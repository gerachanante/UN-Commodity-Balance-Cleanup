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tables/table8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T:\Indexes\"/>
    </mc:Choice>
  </mc:AlternateContent>
  <xr:revisionPtr revIDLastSave="0" documentId="13_ncr:1_{FADDB00A-F749-4C17-97EC-928A13490910}" xr6:coauthVersionLast="47" xr6:coauthVersionMax="47" xr10:uidLastSave="{00000000-0000-0000-0000-000000000000}"/>
  <bookViews>
    <workbookView xWindow="-28920" yWindow="-120" windowWidth="29040" windowHeight="15720" xr2:uid="{E05399DA-C915-40CC-9A8B-1CE1AC518A46}"/>
  </bookViews>
  <sheets>
    <sheet name="Reference" sheetId="2" r:id="rId1"/>
    <sheet name="Cleanup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H463" i="2" l="1"/>
  <c r="BG463" i="2"/>
  <c r="BN463" i="2" s="1"/>
  <c r="BF463" i="2"/>
  <c r="BE463" i="2"/>
  <c r="BH462" i="2"/>
  <c r="BG462" i="2"/>
  <c r="BN462" i="2" s="1"/>
  <c r="BF462" i="2"/>
  <c r="BE462" i="2"/>
  <c r="BH461" i="2"/>
  <c r="BG461" i="2"/>
  <c r="BN461" i="2" s="1"/>
  <c r="BF461" i="2"/>
  <c r="BE461" i="2"/>
  <c r="BH460" i="2"/>
  <c r="BG460" i="2"/>
  <c r="BN460" i="2" s="1"/>
  <c r="BF460" i="2"/>
  <c r="BE460" i="2"/>
  <c r="BH459" i="2"/>
  <c r="BG459" i="2"/>
  <c r="BN459" i="2" s="1"/>
  <c r="BF459" i="2"/>
  <c r="BE459" i="2"/>
  <c r="BE325" i="2"/>
  <c r="BK325" i="2" s="1"/>
  <c r="BF325" i="2"/>
  <c r="BG325" i="2"/>
  <c r="BN325" i="2" s="1"/>
  <c r="BH325" i="2"/>
  <c r="BE326" i="2"/>
  <c r="BK326" i="2" s="1"/>
  <c r="BF326" i="2"/>
  <c r="BG326" i="2"/>
  <c r="BN326" i="2" s="1"/>
  <c r="BH326" i="2"/>
  <c r="BH458" i="2"/>
  <c r="BG458" i="2"/>
  <c r="BN458" i="2" s="1"/>
  <c r="BF458" i="2"/>
  <c r="BE458" i="2"/>
  <c r="BH456" i="2"/>
  <c r="BG456" i="2"/>
  <c r="BN456" i="2" s="1"/>
  <c r="BF456" i="2"/>
  <c r="BE456" i="2"/>
  <c r="BH452" i="2"/>
  <c r="BG452" i="2"/>
  <c r="BN452" i="2" s="1"/>
  <c r="BF452" i="2"/>
  <c r="BE452" i="2"/>
  <c r="BH451" i="2"/>
  <c r="BG451" i="2"/>
  <c r="BN451" i="2" s="1"/>
  <c r="BF451" i="2"/>
  <c r="BE451" i="2"/>
  <c r="BK451" i="2" s="1"/>
  <c r="BH442" i="2"/>
  <c r="BG442" i="2"/>
  <c r="BN442" i="2" s="1"/>
  <c r="BF442" i="2"/>
  <c r="BE442" i="2"/>
  <c r="BH441" i="2"/>
  <c r="BG441" i="2"/>
  <c r="BN441" i="2" s="1"/>
  <c r="BF441" i="2"/>
  <c r="BE441" i="2"/>
  <c r="BH445" i="2"/>
  <c r="BG445" i="2"/>
  <c r="BN445" i="2" s="1"/>
  <c r="BF445" i="2"/>
  <c r="BE445" i="2"/>
  <c r="BK445" i="2" s="1"/>
  <c r="BH444" i="2"/>
  <c r="BG444" i="2"/>
  <c r="BN444" i="2" s="1"/>
  <c r="BF444" i="2"/>
  <c r="BE444" i="2"/>
  <c r="BH430" i="2"/>
  <c r="BG430" i="2"/>
  <c r="BN430" i="2" s="1"/>
  <c r="BF430" i="2"/>
  <c r="BE430" i="2"/>
  <c r="BH429" i="2"/>
  <c r="BG429" i="2"/>
  <c r="BN429" i="2" s="1"/>
  <c r="BF429" i="2"/>
  <c r="BE429" i="2"/>
  <c r="BH408" i="2"/>
  <c r="BG408" i="2"/>
  <c r="BN408" i="2" s="1"/>
  <c r="BF408" i="2"/>
  <c r="BE408" i="2"/>
  <c r="BH407" i="2"/>
  <c r="BG407" i="2"/>
  <c r="BN407" i="2" s="1"/>
  <c r="BF407" i="2"/>
  <c r="BE407" i="2"/>
  <c r="BH359" i="2"/>
  <c r="BG359" i="2"/>
  <c r="BN359" i="2" s="1"/>
  <c r="BF359" i="2"/>
  <c r="BE359" i="2"/>
  <c r="BH358" i="2"/>
  <c r="BG358" i="2"/>
  <c r="BN358" i="2" s="1"/>
  <c r="BF358" i="2"/>
  <c r="BE358" i="2"/>
  <c r="BH352" i="2"/>
  <c r="BG352" i="2"/>
  <c r="BN352" i="2" s="1"/>
  <c r="BF352" i="2"/>
  <c r="BE352" i="2"/>
  <c r="BH344" i="2"/>
  <c r="BG344" i="2"/>
  <c r="BN344" i="2" s="1"/>
  <c r="BF344" i="2"/>
  <c r="BE344" i="2"/>
  <c r="BH343" i="2"/>
  <c r="BG343" i="2"/>
  <c r="BN343" i="2" s="1"/>
  <c r="BF343" i="2"/>
  <c r="BE343" i="2"/>
  <c r="BH300" i="2"/>
  <c r="BG300" i="2"/>
  <c r="BN300" i="2" s="1"/>
  <c r="BF300" i="2"/>
  <c r="BE300" i="2"/>
  <c r="BH299" i="2"/>
  <c r="BG299" i="2"/>
  <c r="BN299" i="2" s="1"/>
  <c r="BF299" i="2"/>
  <c r="BE299" i="2"/>
  <c r="BH319" i="2"/>
  <c r="BG319" i="2"/>
  <c r="BN319" i="2" s="1"/>
  <c r="BF319" i="2"/>
  <c r="BE319" i="2"/>
  <c r="BH393" i="2"/>
  <c r="BG393" i="2"/>
  <c r="BN393" i="2" s="1"/>
  <c r="BF393" i="2"/>
  <c r="BE393" i="2"/>
  <c r="BK393" i="2" s="1"/>
  <c r="BH395" i="2"/>
  <c r="BG395" i="2"/>
  <c r="BN395" i="2" s="1"/>
  <c r="BF395" i="2"/>
  <c r="BE395" i="2"/>
  <c r="BH332" i="2"/>
  <c r="BG332" i="2"/>
  <c r="BN332" i="2" s="1"/>
  <c r="BF332" i="2"/>
  <c r="BE332" i="2"/>
  <c r="BH334" i="2"/>
  <c r="BG334" i="2"/>
  <c r="BN334" i="2" s="1"/>
  <c r="BF334" i="2"/>
  <c r="BE334" i="2"/>
  <c r="BH333" i="2"/>
  <c r="BG333" i="2"/>
  <c r="BN333" i="2" s="1"/>
  <c r="BF333" i="2"/>
  <c r="BE333" i="2"/>
  <c r="BH323" i="2"/>
  <c r="BG323" i="2"/>
  <c r="BN323" i="2" s="1"/>
  <c r="BF323" i="2"/>
  <c r="BE323" i="2"/>
  <c r="BH322" i="2"/>
  <c r="BG322" i="2"/>
  <c r="BF322" i="2"/>
  <c r="BE322" i="2"/>
  <c r="BK322" i="2" s="1"/>
  <c r="BH318" i="2"/>
  <c r="BG318" i="2"/>
  <c r="BN318" i="2" s="1"/>
  <c r="BF318" i="2"/>
  <c r="BE318" i="2"/>
  <c r="BH317" i="2"/>
  <c r="BG317" i="2"/>
  <c r="BN317" i="2" s="1"/>
  <c r="BF317" i="2"/>
  <c r="BE317" i="2"/>
  <c r="BE314" i="2"/>
  <c r="BK314" i="2" s="1"/>
  <c r="BE341" i="2"/>
  <c r="BK341" i="2" s="1"/>
  <c r="BE399" i="2"/>
  <c r="BK399" i="2" s="1"/>
  <c r="BE405" i="2"/>
  <c r="BE411" i="2"/>
  <c r="BK411" i="2" s="1"/>
  <c r="BE416" i="2"/>
  <c r="BK416" i="2" s="1"/>
  <c r="BE402" i="2"/>
  <c r="BE433" i="2"/>
  <c r="BK433" i="2" s="1"/>
  <c r="BE311" i="2"/>
  <c r="BK311" i="2" s="1"/>
  <c r="BE448" i="2"/>
  <c r="BK448" i="2" s="1"/>
  <c r="BF314" i="2"/>
  <c r="BF341" i="2"/>
  <c r="BF399" i="2"/>
  <c r="BF405" i="2"/>
  <c r="BF411" i="2"/>
  <c r="BF416" i="2"/>
  <c r="BF402" i="2"/>
  <c r="BF433" i="2"/>
  <c r="BF311" i="2"/>
  <c r="BF448" i="2"/>
  <c r="BG314" i="2"/>
  <c r="BN314" i="2" s="1"/>
  <c r="BG341" i="2"/>
  <c r="BN341" i="2" s="1"/>
  <c r="BG399" i="2"/>
  <c r="BN399" i="2" s="1"/>
  <c r="BG405" i="2"/>
  <c r="BN405" i="2" s="1"/>
  <c r="BG411" i="2"/>
  <c r="BN411" i="2" s="1"/>
  <c r="BG416" i="2"/>
  <c r="BN416" i="2" s="1"/>
  <c r="BG402" i="2"/>
  <c r="BN402" i="2" s="1"/>
  <c r="BG433" i="2"/>
  <c r="BN433" i="2" s="1"/>
  <c r="BG311" i="2"/>
  <c r="BN311" i="2" s="1"/>
  <c r="BG448" i="2"/>
  <c r="BN448" i="2" s="1"/>
  <c r="BH314" i="2"/>
  <c r="BH341" i="2"/>
  <c r="BH399" i="2"/>
  <c r="BH405" i="2"/>
  <c r="BH411" i="2"/>
  <c r="BH416" i="2"/>
  <c r="BH402" i="2"/>
  <c r="BH433" i="2"/>
  <c r="BH311" i="2"/>
  <c r="BH448" i="2"/>
  <c r="BH306" i="2"/>
  <c r="BG306" i="2"/>
  <c r="BN306" i="2" s="1"/>
  <c r="BF306" i="2"/>
  <c r="BE306" i="2"/>
  <c r="BK306" i="2" s="1"/>
  <c r="BE367" i="2"/>
  <c r="BK367" i="2" s="1"/>
  <c r="BE369" i="2"/>
  <c r="BK369" i="2" s="1"/>
  <c r="BE371" i="2"/>
  <c r="BK371" i="2" s="1"/>
  <c r="BE373" i="2"/>
  <c r="BK373" i="2" s="1"/>
  <c r="BE375" i="2"/>
  <c r="BK375" i="2" s="1"/>
  <c r="BE377" i="2"/>
  <c r="BK377" i="2" s="1"/>
  <c r="BE379" i="2"/>
  <c r="BK379" i="2" s="1"/>
  <c r="BE381" i="2"/>
  <c r="BK381" i="2" s="1"/>
  <c r="BE383" i="2"/>
  <c r="BK383" i="2" s="1"/>
  <c r="BE385" i="2"/>
  <c r="BK385" i="2" s="1"/>
  <c r="BE387" i="2"/>
  <c r="BK387" i="2" s="1"/>
  <c r="BE389" i="2"/>
  <c r="BK389" i="2" s="1"/>
  <c r="BE391" i="2"/>
  <c r="BK391" i="2" s="1"/>
  <c r="BF367" i="2"/>
  <c r="BF369" i="2"/>
  <c r="BF371" i="2"/>
  <c r="BF373" i="2"/>
  <c r="BF375" i="2"/>
  <c r="BF377" i="2"/>
  <c r="BF379" i="2"/>
  <c r="BF381" i="2"/>
  <c r="BF383" i="2"/>
  <c r="BF385" i="2"/>
  <c r="BF387" i="2"/>
  <c r="BF389" i="2"/>
  <c r="BF391" i="2"/>
  <c r="BG367" i="2"/>
  <c r="BN367" i="2" s="1"/>
  <c r="BG369" i="2"/>
  <c r="BN369" i="2" s="1"/>
  <c r="BG371" i="2"/>
  <c r="BN371" i="2" s="1"/>
  <c r="BG373" i="2"/>
  <c r="BN373" i="2" s="1"/>
  <c r="BG375" i="2"/>
  <c r="BN375" i="2" s="1"/>
  <c r="BG377" i="2"/>
  <c r="BN377" i="2" s="1"/>
  <c r="BG379" i="2"/>
  <c r="BN379" i="2" s="1"/>
  <c r="BG381" i="2"/>
  <c r="BN381" i="2" s="1"/>
  <c r="BG383" i="2"/>
  <c r="BN383" i="2" s="1"/>
  <c r="BG385" i="2"/>
  <c r="BN385" i="2" s="1"/>
  <c r="BG387" i="2"/>
  <c r="BN387" i="2" s="1"/>
  <c r="BG389" i="2"/>
  <c r="BG391" i="2"/>
  <c r="BH367" i="2"/>
  <c r="BH369" i="2"/>
  <c r="BH371" i="2"/>
  <c r="BH373" i="2"/>
  <c r="BH375" i="2"/>
  <c r="BH377" i="2"/>
  <c r="BH379" i="2"/>
  <c r="BH381" i="2"/>
  <c r="BH383" i="2"/>
  <c r="BH385" i="2"/>
  <c r="BH387" i="2"/>
  <c r="BH389" i="2"/>
  <c r="BH391" i="2"/>
  <c r="BE390" i="2"/>
  <c r="BK390" i="2" s="1"/>
  <c r="BE361" i="2"/>
  <c r="BK361" i="2" s="1"/>
  <c r="BE363" i="2"/>
  <c r="BK363" i="2" s="1"/>
  <c r="BE365" i="2"/>
  <c r="BK365" i="2" s="1"/>
  <c r="BF390" i="2"/>
  <c r="BF361" i="2"/>
  <c r="BF363" i="2"/>
  <c r="BF365" i="2"/>
  <c r="BG390" i="2"/>
  <c r="BN390" i="2" s="1"/>
  <c r="BG361" i="2"/>
  <c r="BN361" i="2" s="1"/>
  <c r="BG363" i="2"/>
  <c r="BN363" i="2" s="1"/>
  <c r="BG365" i="2"/>
  <c r="BN365" i="2" s="1"/>
  <c r="BH390" i="2"/>
  <c r="BH361" i="2"/>
  <c r="BH363" i="2"/>
  <c r="BH365" i="2"/>
  <c r="BE382" i="2"/>
  <c r="BK382" i="2" s="1"/>
  <c r="BE384" i="2"/>
  <c r="BK384" i="2" s="1"/>
  <c r="BE386" i="2"/>
  <c r="BK386" i="2" s="1"/>
  <c r="BE388" i="2"/>
  <c r="BK388" i="2" s="1"/>
  <c r="BF382" i="2"/>
  <c r="BF384" i="2"/>
  <c r="BF386" i="2"/>
  <c r="BF388" i="2"/>
  <c r="BG382" i="2"/>
  <c r="BN382" i="2" s="1"/>
  <c r="BG384" i="2"/>
  <c r="BN384" i="2" s="1"/>
  <c r="BG386" i="2"/>
  <c r="BN386" i="2" s="1"/>
  <c r="BG388" i="2"/>
  <c r="BN388" i="2" s="1"/>
  <c r="BH382" i="2"/>
  <c r="BH384" i="2"/>
  <c r="BH386" i="2"/>
  <c r="BH388" i="2"/>
  <c r="BE362" i="2"/>
  <c r="BK362" i="2" s="1"/>
  <c r="BE364" i="2"/>
  <c r="BK364" i="2" s="1"/>
  <c r="BE366" i="2"/>
  <c r="BK366" i="2" s="1"/>
  <c r="BE368" i="2"/>
  <c r="BK368" i="2" s="1"/>
  <c r="BE370" i="2"/>
  <c r="BK370" i="2" s="1"/>
  <c r="BE372" i="2"/>
  <c r="BK372" i="2" s="1"/>
  <c r="BE374" i="2"/>
  <c r="BK374" i="2" s="1"/>
  <c r="BE376" i="2"/>
  <c r="BK376" i="2" s="1"/>
  <c r="BE378" i="2"/>
  <c r="BK378" i="2" s="1"/>
  <c r="BE380" i="2"/>
  <c r="BK380" i="2" s="1"/>
  <c r="BF362" i="2"/>
  <c r="BF364" i="2"/>
  <c r="BF366" i="2"/>
  <c r="BF368" i="2"/>
  <c r="BF370" i="2"/>
  <c r="BF372" i="2"/>
  <c r="BF374" i="2"/>
  <c r="BF376" i="2"/>
  <c r="BF378" i="2"/>
  <c r="BF380" i="2"/>
  <c r="BG362" i="2"/>
  <c r="BN362" i="2" s="1"/>
  <c r="BG364" i="2"/>
  <c r="BN364" i="2" s="1"/>
  <c r="BG366" i="2"/>
  <c r="BN366" i="2" s="1"/>
  <c r="BG368" i="2"/>
  <c r="BN368" i="2" s="1"/>
  <c r="BG370" i="2"/>
  <c r="BN370" i="2" s="1"/>
  <c r="BG372" i="2"/>
  <c r="BN372" i="2" s="1"/>
  <c r="BG374" i="2"/>
  <c r="BN374" i="2" s="1"/>
  <c r="BG376" i="2"/>
  <c r="BN376" i="2" s="1"/>
  <c r="BG378" i="2"/>
  <c r="BN378" i="2" s="1"/>
  <c r="BG380" i="2"/>
  <c r="BN380" i="2" s="1"/>
  <c r="BH362" i="2"/>
  <c r="BH364" i="2"/>
  <c r="BH366" i="2"/>
  <c r="BH368" i="2"/>
  <c r="BH370" i="2"/>
  <c r="BH372" i="2"/>
  <c r="BH374" i="2"/>
  <c r="BH376" i="2"/>
  <c r="BH378" i="2"/>
  <c r="BH380" i="2"/>
  <c r="BE360" i="2"/>
  <c r="BK360" i="2" s="1"/>
  <c r="BF360" i="2"/>
  <c r="BG360" i="2"/>
  <c r="BN360" i="2" s="1"/>
  <c r="BH360" i="2"/>
  <c r="BH438" i="2"/>
  <c r="BG438" i="2"/>
  <c r="BN438" i="2" s="1"/>
  <c r="BF438" i="2"/>
  <c r="BE438" i="2"/>
  <c r="BK438" i="2" s="1"/>
  <c r="BH440" i="2"/>
  <c r="BG440" i="2"/>
  <c r="BN440" i="2" s="1"/>
  <c r="BF440" i="2"/>
  <c r="BE440" i="2"/>
  <c r="BH348" i="2"/>
  <c r="BG348" i="2"/>
  <c r="BN348" i="2" s="1"/>
  <c r="BF348" i="2"/>
  <c r="BE348" i="2"/>
  <c r="BK348" i="2" s="1"/>
  <c r="BE437" i="2"/>
  <c r="BK437" i="2" s="1"/>
  <c r="BF437" i="2"/>
  <c r="BG437" i="2"/>
  <c r="BN437" i="2" s="1"/>
  <c r="BH437" i="2"/>
  <c r="BE439" i="2"/>
  <c r="BK439" i="2" s="1"/>
  <c r="BF439" i="2"/>
  <c r="BG439" i="2"/>
  <c r="BN439" i="2" s="1"/>
  <c r="BH439" i="2"/>
  <c r="BH347" i="2"/>
  <c r="BG347" i="2"/>
  <c r="BN347" i="2" s="1"/>
  <c r="BF347" i="2"/>
  <c r="BE347" i="2"/>
  <c r="BH285" i="2"/>
  <c r="BG285" i="2"/>
  <c r="BN285" i="2" s="1"/>
  <c r="BF285" i="2"/>
  <c r="BE285" i="2"/>
  <c r="BH203" i="2"/>
  <c r="BG203" i="2"/>
  <c r="BN203" i="2" s="1"/>
  <c r="BF203" i="2"/>
  <c r="BE203" i="2"/>
  <c r="BH8" i="2"/>
  <c r="BG8" i="2"/>
  <c r="BN8" i="2" s="1"/>
  <c r="BF8" i="2"/>
  <c r="BE8" i="2"/>
  <c r="BH7" i="2"/>
  <c r="BG7" i="2"/>
  <c r="BN7" i="2" s="1"/>
  <c r="BF7" i="2"/>
  <c r="BE7" i="2"/>
  <c r="AK500" i="2" a="1"/>
  <c r="AK500" i="2" s="1"/>
  <c r="AL500" i="2" s="1" a="1"/>
  <c r="AL500" i="2" s="1"/>
  <c r="AM500" i="2" s="1" a="1"/>
  <c r="AM500" i="2" s="1"/>
  <c r="AN500" i="2" s="1" a="1"/>
  <c r="AN500" i="2" s="1"/>
  <c r="AO500" i="2" s="1" a="1"/>
  <c r="AO500" i="2" s="1"/>
  <c r="AP500" i="2" s="1" a="1"/>
  <c r="AP500" i="2" s="1"/>
  <c r="AQ500" i="2" s="1" a="1"/>
  <c r="AQ500" i="2" s="1"/>
  <c r="AR500" i="2" s="1"/>
  <c r="AS500" i="2" s="1"/>
  <c r="AT500" i="2" s="1"/>
  <c r="AU500" i="2" s="1"/>
  <c r="AV500" i="2" s="1"/>
  <c r="AW500" i="2" s="1"/>
  <c r="AX500" i="2" s="1"/>
  <c r="AY500" i="2" s="1"/>
  <c r="AC500" i="2"/>
  <c r="BH93" i="2"/>
  <c r="BG93" i="2"/>
  <c r="BN93" i="2" s="1"/>
  <c r="BF93" i="2"/>
  <c r="BE93" i="2"/>
  <c r="BH9" i="2"/>
  <c r="BG9" i="2"/>
  <c r="BN9" i="2" s="1"/>
  <c r="BF9" i="2"/>
  <c r="BE9" i="2"/>
  <c r="AK459" i="2" a="1"/>
  <c r="AK459" i="2" s="1"/>
  <c r="AL459" i="2" s="1" a="1"/>
  <c r="AL459" i="2" s="1"/>
  <c r="AM459" i="2" s="1" a="1"/>
  <c r="AM459" i="2" s="1"/>
  <c r="AN459" i="2" s="1" a="1"/>
  <c r="AN459" i="2" s="1"/>
  <c r="AO459" i="2" s="1" a="1"/>
  <c r="AO459" i="2" s="1"/>
  <c r="AP459" i="2" s="1" a="1"/>
  <c r="AP459" i="2" s="1"/>
  <c r="AQ459" i="2" s="1" a="1"/>
  <c r="AQ459" i="2" s="1"/>
  <c r="AR459" i="2" s="1"/>
  <c r="AS459" i="2" s="1"/>
  <c r="AT459" i="2" s="1"/>
  <c r="AU459" i="2" s="1"/>
  <c r="AV459" i="2" s="1"/>
  <c r="AW459" i="2" s="1"/>
  <c r="AX459" i="2" s="1"/>
  <c r="AY459" i="2" s="1"/>
  <c r="AC459" i="2"/>
  <c r="BE100" i="2"/>
  <c r="BK100" i="2" s="1"/>
  <c r="BE186" i="2"/>
  <c r="BK186" i="2" s="1"/>
  <c r="BE201" i="2"/>
  <c r="BK201" i="2" s="1"/>
  <c r="BE282" i="2"/>
  <c r="BK282" i="2" s="1"/>
  <c r="BF100" i="2"/>
  <c r="BF186" i="2"/>
  <c r="BF201" i="2"/>
  <c r="BF282" i="2"/>
  <c r="BG100" i="2"/>
  <c r="BN100" i="2" s="1"/>
  <c r="BG186" i="2"/>
  <c r="BN186" i="2" s="1"/>
  <c r="BG201" i="2"/>
  <c r="BN201" i="2" s="1"/>
  <c r="BG282" i="2"/>
  <c r="BN282" i="2" s="1"/>
  <c r="BH100" i="2"/>
  <c r="BH186" i="2"/>
  <c r="BH201" i="2"/>
  <c r="BH282" i="2"/>
  <c r="BH95" i="2"/>
  <c r="BG95" i="2"/>
  <c r="BN95" i="2" s="1"/>
  <c r="BF95" i="2"/>
  <c r="BE95" i="2"/>
  <c r="BK95" i="2" s="1"/>
  <c r="BH11" i="2"/>
  <c r="BG11" i="2"/>
  <c r="BN11" i="2" s="1"/>
  <c r="BF11" i="2"/>
  <c r="BE11" i="2"/>
  <c r="BE205" i="2"/>
  <c r="BK205" i="2" s="1"/>
  <c r="BE286" i="2"/>
  <c r="BK286" i="2" s="1"/>
  <c r="BE6" i="2"/>
  <c r="BK6" i="2" s="1"/>
  <c r="BE90" i="2"/>
  <c r="BK90" i="2" s="1"/>
  <c r="BE102" i="2"/>
  <c r="BK102" i="2" s="1"/>
  <c r="BE188" i="2"/>
  <c r="BK188" i="2" s="1"/>
  <c r="BE4" i="2"/>
  <c r="BK4" i="2" s="1"/>
  <c r="BE88" i="2"/>
  <c r="BK88" i="2" s="1"/>
  <c r="BF205" i="2"/>
  <c r="BF286" i="2"/>
  <c r="BF6" i="2"/>
  <c r="BF90" i="2"/>
  <c r="BF102" i="2"/>
  <c r="BF188" i="2"/>
  <c r="BF4" i="2"/>
  <c r="BF88" i="2"/>
  <c r="BG205" i="2"/>
  <c r="BN205" i="2" s="1"/>
  <c r="BG286" i="2"/>
  <c r="BN286" i="2" s="1"/>
  <c r="BG6" i="2"/>
  <c r="BN6" i="2" s="1"/>
  <c r="BG90" i="2"/>
  <c r="BN90" i="2" s="1"/>
  <c r="BG102" i="2"/>
  <c r="BN102" i="2" s="1"/>
  <c r="BG188" i="2"/>
  <c r="BN188" i="2" s="1"/>
  <c r="BG4" i="2"/>
  <c r="BN4" i="2" s="1"/>
  <c r="BG88" i="2"/>
  <c r="BN88" i="2" s="1"/>
  <c r="BH205" i="2"/>
  <c r="BH286" i="2"/>
  <c r="BH6" i="2"/>
  <c r="BH90" i="2"/>
  <c r="BH102" i="2"/>
  <c r="BH188" i="2"/>
  <c r="BH4" i="2"/>
  <c r="BH88" i="2"/>
  <c r="AK552" i="2" a="1"/>
  <c r="AK552" i="2" s="1"/>
  <c r="AL552" i="2" s="1" a="1"/>
  <c r="AL552" i="2" s="1"/>
  <c r="AM552" i="2" s="1" a="1"/>
  <c r="AM552" i="2" s="1"/>
  <c r="AN552" i="2" s="1" a="1"/>
  <c r="AN552" i="2" s="1"/>
  <c r="AO552" i="2" s="1" a="1"/>
  <c r="AO552" i="2" s="1"/>
  <c r="AP552" i="2" s="1" a="1"/>
  <c r="AP552" i="2" s="1"/>
  <c r="AQ552" i="2" s="1" a="1"/>
  <c r="AQ552" i="2" s="1"/>
  <c r="AR552" i="2" s="1"/>
  <c r="AS552" i="2" s="1"/>
  <c r="AT552" i="2" s="1"/>
  <c r="AU552" i="2" s="1"/>
  <c r="AV552" i="2" s="1"/>
  <c r="AW552" i="2" s="1"/>
  <c r="AX552" i="2" s="1"/>
  <c r="AY552" i="2" s="1"/>
  <c r="AC552" i="2"/>
  <c r="AK551" i="2" a="1"/>
  <c r="AK551" i="2" s="1"/>
  <c r="AL551" i="2" s="1" a="1"/>
  <c r="AL551" i="2" s="1"/>
  <c r="AM551" i="2" s="1" a="1"/>
  <c r="AM551" i="2" s="1"/>
  <c r="AN551" i="2" s="1" a="1"/>
  <c r="AN551" i="2" s="1"/>
  <c r="AO551" i="2" s="1" a="1"/>
  <c r="AO551" i="2" s="1"/>
  <c r="AP551" i="2" s="1" a="1"/>
  <c r="AP551" i="2" s="1"/>
  <c r="AQ551" i="2" s="1" a="1"/>
  <c r="AQ551" i="2" s="1"/>
  <c r="AR551" i="2" s="1"/>
  <c r="AS551" i="2" s="1"/>
  <c r="AT551" i="2" s="1"/>
  <c r="AU551" i="2" s="1"/>
  <c r="AV551" i="2" s="1"/>
  <c r="AW551" i="2" s="1"/>
  <c r="AX551" i="2" s="1"/>
  <c r="AY551" i="2" s="1"/>
  <c r="AC551" i="2"/>
  <c r="BH202" i="2"/>
  <c r="BG202" i="2"/>
  <c r="BN202" i="2" s="1"/>
  <c r="BF202" i="2"/>
  <c r="BE202" i="2"/>
  <c r="BE283" i="2"/>
  <c r="BK283" i="2" s="1"/>
  <c r="BF283" i="2"/>
  <c r="BG283" i="2"/>
  <c r="BN283" i="2" s="1"/>
  <c r="BH283" i="2"/>
  <c r="BE108" i="2"/>
  <c r="BK108" i="2" s="1"/>
  <c r="BE194" i="2"/>
  <c r="BK194" i="2" s="1"/>
  <c r="BF108" i="2"/>
  <c r="BF194" i="2"/>
  <c r="BG108" i="2"/>
  <c r="BG194" i="2"/>
  <c r="BN194" i="2" s="1"/>
  <c r="BH108" i="2"/>
  <c r="BH194" i="2"/>
  <c r="BE345" i="2"/>
  <c r="BK345" i="2" s="1"/>
  <c r="BF345" i="2"/>
  <c r="BG345" i="2"/>
  <c r="BN345" i="2" s="1"/>
  <c r="BH345" i="2"/>
  <c r="BH192" i="2"/>
  <c r="BG192" i="2"/>
  <c r="BN192" i="2" s="1"/>
  <c r="BF192" i="2"/>
  <c r="BE192" i="2"/>
  <c r="BH106" i="2"/>
  <c r="BG106" i="2"/>
  <c r="BN106" i="2" s="1"/>
  <c r="BF106" i="2"/>
  <c r="BE106" i="2"/>
  <c r="BK106" i="2" s="1"/>
  <c r="BE109" i="2"/>
  <c r="BK109" i="2" s="1"/>
  <c r="BF109" i="2"/>
  <c r="BG109" i="2"/>
  <c r="BN109" i="2" s="1"/>
  <c r="BH109" i="2"/>
  <c r="BE195" i="2"/>
  <c r="BK195" i="2" s="1"/>
  <c r="BF195" i="2"/>
  <c r="BG195" i="2"/>
  <c r="BN195" i="2" s="1"/>
  <c r="BH195" i="2"/>
  <c r="BE197" i="2"/>
  <c r="BK197" i="2" s="1"/>
  <c r="BF197" i="2"/>
  <c r="BG197" i="2"/>
  <c r="BN197" i="2" s="1"/>
  <c r="BH197" i="2"/>
  <c r="BE196" i="2"/>
  <c r="BK196" i="2" s="1"/>
  <c r="BF196" i="2"/>
  <c r="BG196" i="2"/>
  <c r="BN196" i="2" s="1"/>
  <c r="BH196" i="2"/>
  <c r="BH330" i="2"/>
  <c r="BG330" i="2"/>
  <c r="BN330" i="2" s="1"/>
  <c r="BF330" i="2"/>
  <c r="BE330" i="2"/>
  <c r="BH328" i="2"/>
  <c r="BG328" i="2"/>
  <c r="BN328" i="2" s="1"/>
  <c r="BF328" i="2"/>
  <c r="BE328" i="2"/>
  <c r="BK328" i="2" s="1"/>
  <c r="BH329" i="2"/>
  <c r="BG329" i="2"/>
  <c r="BF329" i="2"/>
  <c r="BE329" i="2"/>
  <c r="BK329" i="2" s="1"/>
  <c r="BH327" i="2"/>
  <c r="BG327" i="2"/>
  <c r="BN327" i="2" s="1"/>
  <c r="BF327" i="2"/>
  <c r="BE327" i="2"/>
  <c r="BH424" i="2"/>
  <c r="BG424" i="2"/>
  <c r="BN424" i="2" s="1"/>
  <c r="BF424" i="2"/>
  <c r="BE424" i="2"/>
  <c r="BH434" i="2"/>
  <c r="BG434" i="2"/>
  <c r="BN434" i="2" s="1"/>
  <c r="BF434" i="2"/>
  <c r="BE434" i="2"/>
  <c r="BK434" i="2" s="1"/>
  <c r="BH357" i="2"/>
  <c r="BG357" i="2"/>
  <c r="BN357" i="2" s="1"/>
  <c r="BF357" i="2"/>
  <c r="BE357" i="2"/>
  <c r="BH450" i="2"/>
  <c r="BG450" i="2"/>
  <c r="BN450" i="2" s="1"/>
  <c r="BF450" i="2"/>
  <c r="BE450" i="2"/>
  <c r="BH342" i="2"/>
  <c r="BG342" i="2"/>
  <c r="BN342" i="2" s="1"/>
  <c r="BF342" i="2"/>
  <c r="BE342" i="2"/>
  <c r="BK342" i="2" s="1"/>
  <c r="BH446" i="2"/>
  <c r="BG446" i="2"/>
  <c r="BN446" i="2" s="1"/>
  <c r="BF446" i="2"/>
  <c r="BE446" i="2"/>
  <c r="BH443" i="2"/>
  <c r="BG443" i="2"/>
  <c r="BN443" i="2" s="1"/>
  <c r="BF443" i="2"/>
  <c r="BE443" i="2"/>
  <c r="BH431" i="2"/>
  <c r="BG431" i="2"/>
  <c r="BF431" i="2"/>
  <c r="BE431" i="2"/>
  <c r="BK431" i="2" s="1"/>
  <c r="BH428" i="2"/>
  <c r="BG428" i="2"/>
  <c r="BN428" i="2" s="1"/>
  <c r="BF428" i="2"/>
  <c r="BE428" i="2"/>
  <c r="BH414" i="2"/>
  <c r="BG414" i="2"/>
  <c r="BN414" i="2" s="1"/>
  <c r="BF414" i="2"/>
  <c r="BE414" i="2"/>
  <c r="BK414" i="2" s="1"/>
  <c r="BH409" i="2"/>
  <c r="BG409" i="2"/>
  <c r="BN409" i="2" s="1"/>
  <c r="BF409" i="2"/>
  <c r="BE409" i="2"/>
  <c r="BK409" i="2" s="1"/>
  <c r="BH406" i="2"/>
  <c r="BG406" i="2"/>
  <c r="BN406" i="2" s="1"/>
  <c r="BF406" i="2"/>
  <c r="BE406" i="2"/>
  <c r="BH403" i="2"/>
  <c r="BG403" i="2"/>
  <c r="BN403" i="2" s="1"/>
  <c r="BF403" i="2"/>
  <c r="BE403" i="2"/>
  <c r="BK403" i="2" s="1"/>
  <c r="BH400" i="2"/>
  <c r="BG400" i="2"/>
  <c r="BN400" i="2" s="1"/>
  <c r="BF400" i="2"/>
  <c r="BE400" i="2"/>
  <c r="BK400" i="2" s="1"/>
  <c r="BH397" i="2"/>
  <c r="BG397" i="2"/>
  <c r="BN397" i="2" s="1"/>
  <c r="BF397" i="2"/>
  <c r="BE397" i="2"/>
  <c r="BH339" i="2"/>
  <c r="BG339" i="2"/>
  <c r="BN339" i="2" s="1"/>
  <c r="BF339" i="2"/>
  <c r="BE339" i="2"/>
  <c r="BK339" i="2" s="1"/>
  <c r="BH324" i="2"/>
  <c r="BG324" i="2"/>
  <c r="BN324" i="2" s="1"/>
  <c r="BF324" i="2"/>
  <c r="BE324" i="2"/>
  <c r="BH303" i="2"/>
  <c r="BG303" i="2"/>
  <c r="BN303" i="2" s="1"/>
  <c r="BF303" i="2"/>
  <c r="BE303" i="2"/>
  <c r="BU100" i="2"/>
  <c r="BT100" i="2"/>
  <c r="BX100" i="2" s="1"/>
  <c r="BU99" i="2"/>
  <c r="BT99" i="2"/>
  <c r="BX99" i="2" s="1"/>
  <c r="BU98" i="2"/>
  <c r="BT98" i="2"/>
  <c r="BX98" i="2" s="1"/>
  <c r="BU97" i="2"/>
  <c r="BT97" i="2"/>
  <c r="BX97" i="2" s="1"/>
  <c r="BU96" i="2"/>
  <c r="BT96" i="2"/>
  <c r="BX96" i="2" s="1"/>
  <c r="BU95" i="2"/>
  <c r="BT95" i="2"/>
  <c r="BX95" i="2" s="1"/>
  <c r="BU94" i="2"/>
  <c r="BT94" i="2"/>
  <c r="BX94" i="2" s="1"/>
  <c r="BU93" i="2"/>
  <c r="BT93" i="2"/>
  <c r="BU92" i="2"/>
  <c r="BT92" i="2"/>
  <c r="BX92" i="2" s="1"/>
  <c r="BU91" i="2"/>
  <c r="BT91" i="2"/>
  <c r="BX91" i="2" s="1"/>
  <c r="BU90" i="2"/>
  <c r="BT90" i="2"/>
  <c r="BX90" i="2" s="1"/>
  <c r="BU89" i="2"/>
  <c r="BT89" i="2"/>
  <c r="BX89" i="2" s="1"/>
  <c r="BU88" i="2"/>
  <c r="BT88" i="2"/>
  <c r="BX88" i="2" s="1"/>
  <c r="BU87" i="2"/>
  <c r="BT87" i="2"/>
  <c r="BX87" i="2" s="1"/>
  <c r="BU86" i="2"/>
  <c r="BT86" i="2"/>
  <c r="BX86" i="2" s="1"/>
  <c r="BU85" i="2"/>
  <c r="BT85" i="2"/>
  <c r="BX85" i="2" s="1"/>
  <c r="BU84" i="2"/>
  <c r="BT84" i="2"/>
  <c r="BX84" i="2" s="1"/>
  <c r="BU83" i="2"/>
  <c r="BT83" i="2"/>
  <c r="BU82" i="2"/>
  <c r="BT82" i="2"/>
  <c r="BX82" i="2" s="1"/>
  <c r="BU81" i="2"/>
  <c r="BT81" i="2"/>
  <c r="BX81" i="2" s="1"/>
  <c r="BU80" i="2"/>
  <c r="BT80" i="2"/>
  <c r="BX80" i="2" s="1"/>
  <c r="BU79" i="2"/>
  <c r="BT79" i="2"/>
  <c r="BX79" i="2" s="1"/>
  <c r="BU78" i="2"/>
  <c r="BT78" i="2"/>
  <c r="BX78" i="2" s="1"/>
  <c r="BU77" i="2"/>
  <c r="BT77" i="2"/>
  <c r="BX77" i="2" s="1"/>
  <c r="BU76" i="2"/>
  <c r="BT76" i="2"/>
  <c r="BX76" i="2" s="1"/>
  <c r="BU75" i="2"/>
  <c r="BT75" i="2"/>
  <c r="BX75" i="2" s="1"/>
  <c r="BU74" i="2"/>
  <c r="BT74" i="2"/>
  <c r="BX74" i="2" s="1"/>
  <c r="BU73" i="2"/>
  <c r="BT73" i="2"/>
  <c r="BX73" i="2" s="1"/>
  <c r="BU72" i="2"/>
  <c r="BT72" i="2"/>
  <c r="BX72" i="2" s="1"/>
  <c r="BU71" i="2"/>
  <c r="BT71" i="2"/>
  <c r="BX71" i="2" s="1"/>
  <c r="BU70" i="2"/>
  <c r="BT70" i="2"/>
  <c r="BX70" i="2" s="1"/>
  <c r="BU69" i="2"/>
  <c r="BT69" i="2"/>
  <c r="BX69" i="2" s="1"/>
  <c r="BU68" i="2"/>
  <c r="BT68" i="2"/>
  <c r="BX68" i="2" s="1"/>
  <c r="BU67" i="2"/>
  <c r="BT67" i="2"/>
  <c r="BX67" i="2" s="1"/>
  <c r="BU66" i="2"/>
  <c r="BT66" i="2"/>
  <c r="BX66" i="2" s="1"/>
  <c r="BU65" i="2"/>
  <c r="BT65" i="2"/>
  <c r="BX65" i="2" s="1"/>
  <c r="BU64" i="2"/>
  <c r="BT64" i="2"/>
  <c r="BX64" i="2" s="1"/>
  <c r="BU63" i="2"/>
  <c r="BT63" i="2"/>
  <c r="BX63" i="2" s="1"/>
  <c r="BU62" i="2"/>
  <c r="BT62" i="2"/>
  <c r="BX62" i="2" s="1"/>
  <c r="BU61" i="2"/>
  <c r="BT61" i="2"/>
  <c r="BX61" i="2" s="1"/>
  <c r="BU60" i="2"/>
  <c r="BT60" i="2"/>
  <c r="BU59" i="2"/>
  <c r="BT59" i="2"/>
  <c r="BX59" i="2" s="1"/>
  <c r="BU58" i="2"/>
  <c r="BT58" i="2"/>
  <c r="BX58" i="2" s="1"/>
  <c r="BU57" i="2"/>
  <c r="BT57" i="2"/>
  <c r="BX57" i="2" s="1"/>
  <c r="BU56" i="2"/>
  <c r="BT56" i="2"/>
  <c r="BX56" i="2" s="1"/>
  <c r="BU55" i="2"/>
  <c r="BT55" i="2"/>
  <c r="BX55" i="2" s="1"/>
  <c r="BU54" i="2"/>
  <c r="BT54" i="2"/>
  <c r="BX54" i="2" s="1"/>
  <c r="BU53" i="2"/>
  <c r="BT53" i="2"/>
  <c r="BX53" i="2" s="1"/>
  <c r="BU52" i="2"/>
  <c r="BT52" i="2"/>
  <c r="BX52" i="2" s="1"/>
  <c r="BU51" i="2"/>
  <c r="BT51" i="2"/>
  <c r="BX51" i="2" s="1"/>
  <c r="BU50" i="2"/>
  <c r="BT50" i="2"/>
  <c r="BX50" i="2" s="1"/>
  <c r="BU49" i="2"/>
  <c r="BT49" i="2"/>
  <c r="BX49" i="2" s="1"/>
  <c r="BU48" i="2"/>
  <c r="BT48" i="2"/>
  <c r="BX48" i="2" s="1"/>
  <c r="BU47" i="2"/>
  <c r="BT47" i="2"/>
  <c r="BX47" i="2" s="1"/>
  <c r="BU46" i="2"/>
  <c r="BT46" i="2"/>
  <c r="BX46" i="2" s="1"/>
  <c r="BU45" i="2"/>
  <c r="BT45" i="2"/>
  <c r="BU44" i="2"/>
  <c r="BT44" i="2"/>
  <c r="BX44" i="2" s="1"/>
  <c r="BU43" i="2"/>
  <c r="BT43" i="2"/>
  <c r="BX43" i="2" s="1"/>
  <c r="BU42" i="2"/>
  <c r="BT42" i="2"/>
  <c r="BX42" i="2" s="1"/>
  <c r="BU41" i="2"/>
  <c r="BT41" i="2"/>
  <c r="BX41" i="2" s="1"/>
  <c r="BU40" i="2"/>
  <c r="BT40" i="2"/>
  <c r="BX40" i="2" s="1"/>
  <c r="BU39" i="2"/>
  <c r="BT39" i="2"/>
  <c r="BU38" i="2"/>
  <c r="BT38" i="2"/>
  <c r="BX38" i="2" s="1"/>
  <c r="BU37" i="2"/>
  <c r="BT37" i="2"/>
  <c r="BX37" i="2" s="1"/>
  <c r="BU36" i="2"/>
  <c r="BT36" i="2"/>
  <c r="BU35" i="2"/>
  <c r="BT35" i="2"/>
  <c r="BX35" i="2" s="1"/>
  <c r="BU34" i="2"/>
  <c r="BT34" i="2"/>
  <c r="BX34" i="2" s="1"/>
  <c r="BU33" i="2"/>
  <c r="BT33" i="2"/>
  <c r="BX33" i="2" s="1"/>
  <c r="BU32" i="2"/>
  <c r="BT32" i="2"/>
  <c r="BX32" i="2" s="1"/>
  <c r="BU31" i="2"/>
  <c r="BT31" i="2"/>
  <c r="BX31" i="2" s="1"/>
  <c r="BU30" i="2"/>
  <c r="BT30" i="2"/>
  <c r="BX30" i="2" s="1"/>
  <c r="BU29" i="2"/>
  <c r="BT29" i="2"/>
  <c r="BX29" i="2" s="1"/>
  <c r="BU28" i="2"/>
  <c r="BT28" i="2"/>
  <c r="BX28" i="2" s="1"/>
  <c r="BU27" i="2"/>
  <c r="BT27" i="2"/>
  <c r="BX27" i="2" s="1"/>
  <c r="BU26" i="2"/>
  <c r="BT26" i="2"/>
  <c r="BX26" i="2" s="1"/>
  <c r="BU25" i="2"/>
  <c r="BT25" i="2"/>
  <c r="BX25" i="2" s="1"/>
  <c r="BU24" i="2"/>
  <c r="BT24" i="2"/>
  <c r="BX24" i="2" s="1"/>
  <c r="BU23" i="2"/>
  <c r="BT23" i="2"/>
  <c r="BX23" i="2" s="1"/>
  <c r="BU22" i="2"/>
  <c r="BT22" i="2"/>
  <c r="BX22" i="2" s="1"/>
  <c r="BU21" i="2"/>
  <c r="BT21" i="2"/>
  <c r="BX21" i="2" s="1"/>
  <c r="BU20" i="2"/>
  <c r="BT20" i="2"/>
  <c r="BX20" i="2" s="1"/>
  <c r="BH191" i="2"/>
  <c r="BG191" i="2"/>
  <c r="BN191" i="2" s="1"/>
  <c r="BF191" i="2"/>
  <c r="BE191" i="2"/>
  <c r="BH105" i="2"/>
  <c r="BG105" i="2"/>
  <c r="BN105" i="2" s="1"/>
  <c r="BF105" i="2"/>
  <c r="BE105" i="2"/>
  <c r="BK105" i="2" s="1"/>
  <c r="BH396" i="2"/>
  <c r="BG396" i="2"/>
  <c r="BN396" i="2" s="1"/>
  <c r="BF396" i="2"/>
  <c r="BE396" i="2"/>
  <c r="BH449" i="2"/>
  <c r="BG449" i="2"/>
  <c r="BN449" i="2" s="1"/>
  <c r="BF449" i="2"/>
  <c r="BE449" i="2"/>
  <c r="BE394" i="2"/>
  <c r="BK394" i="2" s="1"/>
  <c r="BF394" i="2"/>
  <c r="BG394" i="2"/>
  <c r="BN394" i="2" s="1"/>
  <c r="BH394" i="2"/>
  <c r="BE426" i="2"/>
  <c r="BK426" i="2" s="1"/>
  <c r="BF426" i="2"/>
  <c r="BG426" i="2"/>
  <c r="BN426" i="2" s="1"/>
  <c r="BH426" i="2"/>
  <c r="BE337" i="2"/>
  <c r="BK337" i="2" s="1"/>
  <c r="BF337" i="2"/>
  <c r="BG337" i="2"/>
  <c r="BN337" i="2" s="1"/>
  <c r="BH337" i="2"/>
  <c r="BE419" i="2"/>
  <c r="BK419" i="2" s="1"/>
  <c r="BF419" i="2"/>
  <c r="BG419" i="2"/>
  <c r="BN419" i="2" s="1"/>
  <c r="BH419" i="2"/>
  <c r="BH91" i="2"/>
  <c r="BG91" i="2"/>
  <c r="BN91" i="2" s="1"/>
  <c r="BF91" i="2"/>
  <c r="BE91" i="2"/>
  <c r="BK91" i="2" s="1"/>
  <c r="BT19" i="2"/>
  <c r="BU19" i="2"/>
  <c r="BU18" i="2"/>
  <c r="BT18" i="2"/>
  <c r="BX18" i="2" s="1"/>
  <c r="BU17" i="2"/>
  <c r="BT17" i="2"/>
  <c r="BX17" i="2" s="1"/>
  <c r="BU16" i="2"/>
  <c r="BT16" i="2"/>
  <c r="BX16" i="2" s="1"/>
  <c r="BU15" i="2"/>
  <c r="BT15" i="2"/>
  <c r="BX15" i="2" s="1"/>
  <c r="BU14" i="2"/>
  <c r="BT14" i="2"/>
  <c r="BX14" i="2" s="1"/>
  <c r="BU13" i="2"/>
  <c r="BT13" i="2"/>
  <c r="BX13" i="2" s="1"/>
  <c r="BU12" i="2"/>
  <c r="BT12" i="2"/>
  <c r="BU11" i="2"/>
  <c r="BT11" i="2"/>
  <c r="BU10" i="2"/>
  <c r="BT10" i="2"/>
  <c r="BX10" i="2" s="1"/>
  <c r="BU9" i="2"/>
  <c r="BT9" i="2"/>
  <c r="BU8" i="2"/>
  <c r="BT8" i="2"/>
  <c r="BU7" i="2"/>
  <c r="BT7" i="2"/>
  <c r="BU6" i="2"/>
  <c r="BT6" i="2"/>
  <c r="BX6" i="2" s="1"/>
  <c r="BU5" i="2"/>
  <c r="BT5" i="2"/>
  <c r="BU4" i="2"/>
  <c r="BT4" i="2"/>
  <c r="BX4" i="2" s="1"/>
  <c r="BH199" i="2"/>
  <c r="BG199" i="2"/>
  <c r="BN199" i="2" s="1"/>
  <c r="BF199" i="2"/>
  <c r="BE199" i="2"/>
  <c r="BH198" i="2"/>
  <c r="BG198" i="2"/>
  <c r="BN198" i="2" s="1"/>
  <c r="BF198" i="2"/>
  <c r="BE198" i="2"/>
  <c r="BK198" i="2" s="1"/>
  <c r="BH200" i="2"/>
  <c r="BG200" i="2"/>
  <c r="BN200" i="2" s="1"/>
  <c r="BF200" i="2"/>
  <c r="BE200" i="2"/>
  <c r="BK200" i="2" s="1"/>
  <c r="BH288" i="2"/>
  <c r="BG288" i="2"/>
  <c r="BN288" i="2" s="1"/>
  <c r="BF288" i="2"/>
  <c r="BE288" i="2"/>
  <c r="BH287" i="2"/>
  <c r="BG287" i="2"/>
  <c r="BN287" i="2" s="1"/>
  <c r="BF287" i="2"/>
  <c r="BE287" i="2"/>
  <c r="BK287" i="2" s="1"/>
  <c r="BH289" i="2"/>
  <c r="BG289" i="2"/>
  <c r="BN289" i="2" s="1"/>
  <c r="BF289" i="2"/>
  <c r="BE289" i="2"/>
  <c r="BK289" i="2" s="1"/>
  <c r="BH453" i="2"/>
  <c r="BG453" i="2"/>
  <c r="BN453" i="2" s="1"/>
  <c r="BF453" i="2"/>
  <c r="BE453" i="2"/>
  <c r="BH425" i="2"/>
  <c r="BG425" i="2"/>
  <c r="BN425" i="2" s="1"/>
  <c r="BF425" i="2"/>
  <c r="BE425" i="2"/>
  <c r="BH392" i="2"/>
  <c r="BG392" i="2"/>
  <c r="BN392" i="2" s="1"/>
  <c r="BF392" i="2"/>
  <c r="BE392" i="2"/>
  <c r="BH331" i="2"/>
  <c r="BG331" i="2"/>
  <c r="BN331" i="2" s="1"/>
  <c r="BF331" i="2"/>
  <c r="BE331" i="2"/>
  <c r="BH316" i="2"/>
  <c r="BG316" i="2"/>
  <c r="BN316" i="2" s="1"/>
  <c r="BF316" i="2"/>
  <c r="BE316" i="2"/>
  <c r="BH292" i="2"/>
  <c r="BG292" i="2"/>
  <c r="BN292" i="2" s="1"/>
  <c r="BF292" i="2"/>
  <c r="BE292" i="2"/>
  <c r="BH455" i="2"/>
  <c r="BG455" i="2"/>
  <c r="BN455" i="2" s="1"/>
  <c r="BF455" i="2"/>
  <c r="BE455" i="2"/>
  <c r="BH454" i="2"/>
  <c r="BG454" i="2"/>
  <c r="BN454" i="2" s="1"/>
  <c r="BF454" i="2"/>
  <c r="BE454" i="2"/>
  <c r="BH457" i="2"/>
  <c r="BG457" i="2"/>
  <c r="BN457" i="2" s="1"/>
  <c r="BF457" i="2"/>
  <c r="BE457" i="2"/>
  <c r="BK457" i="2" s="1"/>
  <c r="BH412" i="2"/>
  <c r="BG412" i="2"/>
  <c r="BN412" i="2" s="1"/>
  <c r="BF412" i="2"/>
  <c r="BE412" i="2"/>
  <c r="BK412" i="2" s="1"/>
  <c r="BH447" i="2"/>
  <c r="BG447" i="2"/>
  <c r="BN447" i="2" s="1"/>
  <c r="BF447" i="2"/>
  <c r="BE447" i="2"/>
  <c r="BH432" i="2"/>
  <c r="BG432" i="2"/>
  <c r="BN432" i="2" s="1"/>
  <c r="BF432" i="2"/>
  <c r="BE432" i="2"/>
  <c r="BH415" i="2"/>
  <c r="BG415" i="2"/>
  <c r="BN415" i="2" s="1"/>
  <c r="BF415" i="2"/>
  <c r="BE415" i="2"/>
  <c r="BK415" i="2" s="1"/>
  <c r="BH404" i="2"/>
  <c r="BG404" i="2"/>
  <c r="BN404" i="2" s="1"/>
  <c r="BF404" i="2"/>
  <c r="BE404" i="2"/>
  <c r="BH401" i="2"/>
  <c r="BG401" i="2"/>
  <c r="BN401" i="2" s="1"/>
  <c r="BF401" i="2"/>
  <c r="BE401" i="2"/>
  <c r="BH398" i="2"/>
  <c r="BG398" i="2"/>
  <c r="BN398" i="2" s="1"/>
  <c r="BF398" i="2"/>
  <c r="BE398" i="2"/>
  <c r="BK398" i="2" s="1"/>
  <c r="BH427" i="2"/>
  <c r="BG427" i="2"/>
  <c r="BN427" i="2" s="1"/>
  <c r="BF427" i="2"/>
  <c r="BE427" i="2"/>
  <c r="BH420" i="2"/>
  <c r="BG420" i="2"/>
  <c r="BN420" i="2" s="1"/>
  <c r="BF420" i="2"/>
  <c r="BE420" i="2"/>
  <c r="BH338" i="2"/>
  <c r="BG338" i="2"/>
  <c r="BF338" i="2"/>
  <c r="BE338" i="2"/>
  <c r="BK338" i="2" s="1"/>
  <c r="BH315" i="2"/>
  <c r="BG315" i="2"/>
  <c r="BN315" i="2" s="1"/>
  <c r="BF315" i="2"/>
  <c r="BE315" i="2"/>
  <c r="BH310" i="2"/>
  <c r="BG310" i="2"/>
  <c r="BN310" i="2" s="1"/>
  <c r="BF310" i="2"/>
  <c r="BE310" i="2"/>
  <c r="BH307" i="2"/>
  <c r="BG307" i="2"/>
  <c r="BN307" i="2" s="1"/>
  <c r="BF307" i="2"/>
  <c r="BE307" i="2"/>
  <c r="BK307" i="2" s="1"/>
  <c r="BH413" i="2"/>
  <c r="BG413" i="2"/>
  <c r="BN413" i="2" s="1"/>
  <c r="BF413" i="2"/>
  <c r="BE413" i="2"/>
  <c r="BH291" i="2"/>
  <c r="BG291" i="2"/>
  <c r="BN291" i="2" s="1"/>
  <c r="BF291" i="2"/>
  <c r="BE291" i="2"/>
  <c r="BH423" i="2"/>
  <c r="BG423" i="2"/>
  <c r="BN423" i="2" s="1"/>
  <c r="BF423" i="2"/>
  <c r="BE423" i="2"/>
  <c r="BH355" i="2"/>
  <c r="BG355" i="2"/>
  <c r="BN355" i="2" s="1"/>
  <c r="BF355" i="2"/>
  <c r="BE355" i="2"/>
  <c r="BH356" i="2"/>
  <c r="BG356" i="2"/>
  <c r="BN356" i="2" s="1"/>
  <c r="BF356" i="2"/>
  <c r="BE356" i="2"/>
  <c r="BK356" i="2" s="1"/>
  <c r="BH313" i="2"/>
  <c r="BG313" i="2"/>
  <c r="BN313" i="2" s="1"/>
  <c r="BF313" i="2"/>
  <c r="BE313" i="2"/>
  <c r="BK313" i="2" s="1"/>
  <c r="BH312" i="2"/>
  <c r="BG312" i="2"/>
  <c r="BN312" i="2" s="1"/>
  <c r="BF312" i="2"/>
  <c r="BE312" i="2"/>
  <c r="BK312" i="2" s="1"/>
  <c r="BH354" i="2"/>
  <c r="BG354" i="2"/>
  <c r="BN354" i="2" s="1"/>
  <c r="BF354" i="2"/>
  <c r="BE354" i="2"/>
  <c r="BK354" i="2" s="1"/>
  <c r="BH353" i="2"/>
  <c r="BG353" i="2"/>
  <c r="BN353" i="2" s="1"/>
  <c r="BF353" i="2"/>
  <c r="BE353" i="2"/>
  <c r="BK353" i="2" s="1"/>
  <c r="BH418" i="2"/>
  <c r="BG418" i="2"/>
  <c r="BN418" i="2" s="1"/>
  <c r="BF418" i="2"/>
  <c r="BE418" i="2"/>
  <c r="BK418" i="2" s="1"/>
  <c r="BH417" i="2"/>
  <c r="BG417" i="2"/>
  <c r="BN417" i="2" s="1"/>
  <c r="BF417" i="2"/>
  <c r="BE417" i="2"/>
  <c r="BK417" i="2" s="1"/>
  <c r="BH336" i="2"/>
  <c r="BG336" i="2"/>
  <c r="BN336" i="2" s="1"/>
  <c r="BF336" i="2"/>
  <c r="BE336" i="2"/>
  <c r="BK336" i="2" s="1"/>
  <c r="BH335" i="2"/>
  <c r="BG335" i="2"/>
  <c r="BN335" i="2" s="1"/>
  <c r="BF335" i="2"/>
  <c r="BE335" i="2"/>
  <c r="BK335" i="2" s="1"/>
  <c r="BH321" i="2"/>
  <c r="BG321" i="2"/>
  <c r="BN321" i="2" s="1"/>
  <c r="BF321" i="2"/>
  <c r="BE321" i="2"/>
  <c r="BK321" i="2" s="1"/>
  <c r="BH320" i="2"/>
  <c r="BG320" i="2"/>
  <c r="BN320" i="2" s="1"/>
  <c r="BF320" i="2"/>
  <c r="BE320" i="2"/>
  <c r="BK320" i="2" s="1"/>
  <c r="BH309" i="2"/>
  <c r="BG309" i="2"/>
  <c r="BN309" i="2" s="1"/>
  <c r="BF309" i="2"/>
  <c r="BE309" i="2"/>
  <c r="BK309" i="2" s="1"/>
  <c r="BH308" i="2"/>
  <c r="BG308" i="2"/>
  <c r="BN308" i="2" s="1"/>
  <c r="BF308" i="2"/>
  <c r="BE308" i="2"/>
  <c r="BK308" i="2" s="1"/>
  <c r="BH305" i="2"/>
  <c r="BG305" i="2"/>
  <c r="BN305" i="2" s="1"/>
  <c r="BF305" i="2"/>
  <c r="BE305" i="2"/>
  <c r="BK305" i="2" s="1"/>
  <c r="BH304" i="2"/>
  <c r="BG304" i="2"/>
  <c r="BN304" i="2" s="1"/>
  <c r="BF304" i="2"/>
  <c r="BE304" i="2"/>
  <c r="BK304" i="2" s="1"/>
  <c r="BH302" i="2"/>
  <c r="BG302" i="2"/>
  <c r="BN302" i="2" s="1"/>
  <c r="BF302" i="2"/>
  <c r="BE302" i="2"/>
  <c r="BK302" i="2" s="1"/>
  <c r="BH301" i="2"/>
  <c r="BG301" i="2"/>
  <c r="BN301" i="2" s="1"/>
  <c r="BF301" i="2"/>
  <c r="BE301" i="2"/>
  <c r="BK301" i="2" s="1"/>
  <c r="BH298" i="2"/>
  <c r="BG298" i="2"/>
  <c r="BN298" i="2" s="1"/>
  <c r="BF298" i="2"/>
  <c r="BE298" i="2"/>
  <c r="BK298" i="2" s="1"/>
  <c r="BH297" i="2"/>
  <c r="BG297" i="2"/>
  <c r="BN297" i="2" s="1"/>
  <c r="BF297" i="2"/>
  <c r="BE297" i="2"/>
  <c r="BK297" i="2" s="1"/>
  <c r="BH271" i="2"/>
  <c r="BG271" i="2"/>
  <c r="BN271" i="2" s="1"/>
  <c r="BF271" i="2"/>
  <c r="BE271" i="2"/>
  <c r="BK271" i="2" s="1"/>
  <c r="BH233" i="2"/>
  <c r="BG233" i="2"/>
  <c r="BN233" i="2" s="1"/>
  <c r="BF233" i="2"/>
  <c r="BE233" i="2"/>
  <c r="BK233" i="2" s="1"/>
  <c r="BH175" i="2"/>
  <c r="BG175" i="2"/>
  <c r="BN175" i="2" s="1"/>
  <c r="BF175" i="2"/>
  <c r="BE175" i="2"/>
  <c r="BK175" i="2" s="1"/>
  <c r="BH137" i="2"/>
  <c r="BG137" i="2"/>
  <c r="BN137" i="2" s="1"/>
  <c r="BF137" i="2"/>
  <c r="BE137" i="2"/>
  <c r="BK137" i="2" s="1"/>
  <c r="BH77" i="2"/>
  <c r="BG77" i="2"/>
  <c r="BN77" i="2" s="1"/>
  <c r="BF77" i="2"/>
  <c r="BE77" i="2"/>
  <c r="BK77" i="2" s="1"/>
  <c r="BH39" i="2"/>
  <c r="BG39" i="2"/>
  <c r="BN39" i="2" s="1"/>
  <c r="BF39" i="2"/>
  <c r="BE39" i="2"/>
  <c r="BK39" i="2" s="1"/>
  <c r="BH246" i="2"/>
  <c r="BG246" i="2"/>
  <c r="BN246" i="2" s="1"/>
  <c r="BF246" i="2"/>
  <c r="BE246" i="2"/>
  <c r="BK246" i="2" s="1"/>
  <c r="BH208" i="2"/>
  <c r="BG208" i="2"/>
  <c r="BN208" i="2" s="1"/>
  <c r="BF208" i="2"/>
  <c r="BE208" i="2"/>
  <c r="BK208" i="2" s="1"/>
  <c r="BH150" i="2"/>
  <c r="BG150" i="2"/>
  <c r="BN150" i="2" s="1"/>
  <c r="BF150" i="2"/>
  <c r="BE150" i="2"/>
  <c r="BK150" i="2" s="1"/>
  <c r="BH112" i="2"/>
  <c r="BG112" i="2"/>
  <c r="BN112" i="2" s="1"/>
  <c r="BF112" i="2"/>
  <c r="BE112" i="2"/>
  <c r="BK112" i="2" s="1"/>
  <c r="BH52" i="2"/>
  <c r="BG52" i="2"/>
  <c r="BN52" i="2" s="1"/>
  <c r="BF52" i="2"/>
  <c r="BE52" i="2"/>
  <c r="BK52" i="2" s="1"/>
  <c r="BH14" i="2"/>
  <c r="BG14" i="2"/>
  <c r="BN14" i="2" s="1"/>
  <c r="BF14" i="2"/>
  <c r="BE14" i="2"/>
  <c r="BK14" i="2" s="1"/>
  <c r="BH290" i="2"/>
  <c r="BG290" i="2"/>
  <c r="BN290" i="2" s="1"/>
  <c r="BF290" i="2"/>
  <c r="BE290" i="2"/>
  <c r="BK290" i="2" s="1"/>
  <c r="BH421" i="2"/>
  <c r="BG421" i="2"/>
  <c r="BN421" i="2" s="1"/>
  <c r="BF421" i="2"/>
  <c r="BE421" i="2"/>
  <c r="BK421" i="2" s="1"/>
  <c r="BH422" i="2"/>
  <c r="BG422" i="2"/>
  <c r="BN422" i="2" s="1"/>
  <c r="BF422" i="2"/>
  <c r="BE422" i="2"/>
  <c r="BK422" i="2" s="1"/>
  <c r="BQ463" i="2" l="1"/>
  <c r="BQ462" i="2"/>
  <c r="BK462" i="2"/>
  <c r="BR462" i="2" s="1"/>
  <c r="BK463" i="2"/>
  <c r="BR463" i="2" s="1"/>
  <c r="BQ461" i="2"/>
  <c r="BQ460" i="2"/>
  <c r="BK460" i="2"/>
  <c r="BR460" i="2" s="1"/>
  <c r="BK461" i="2"/>
  <c r="BR461" i="2" s="1"/>
  <c r="BQ459" i="2"/>
  <c r="BK459" i="2"/>
  <c r="BR459" i="2" s="1"/>
  <c r="BR325" i="2"/>
  <c r="BQ325" i="2"/>
  <c r="BR326" i="2"/>
  <c r="BQ326" i="2"/>
  <c r="BQ458" i="2"/>
  <c r="BK458" i="2"/>
  <c r="BR458" i="2" s="1"/>
  <c r="BQ456" i="2"/>
  <c r="BQ452" i="2"/>
  <c r="BK456" i="2"/>
  <c r="BR456" i="2" s="1"/>
  <c r="BR451" i="2"/>
  <c r="BQ451" i="2"/>
  <c r="BK452" i="2"/>
  <c r="BR452" i="2" s="1"/>
  <c r="BQ441" i="2"/>
  <c r="BQ444" i="2"/>
  <c r="BQ442" i="2"/>
  <c r="BK442" i="2"/>
  <c r="BR442" i="2" s="1"/>
  <c r="BR445" i="2"/>
  <c r="BK441" i="2"/>
  <c r="BR441" i="2" s="1"/>
  <c r="BQ445" i="2"/>
  <c r="BQ430" i="2"/>
  <c r="BK444" i="2"/>
  <c r="BR444" i="2" s="1"/>
  <c r="BQ429" i="2"/>
  <c r="BK429" i="2"/>
  <c r="BR429" i="2" s="1"/>
  <c r="BK430" i="2"/>
  <c r="BR430" i="2" s="1"/>
  <c r="BQ407" i="2"/>
  <c r="BQ408" i="2"/>
  <c r="BK407" i="2"/>
  <c r="BR407" i="2" s="1"/>
  <c r="BK408" i="2"/>
  <c r="BR408" i="2" s="1"/>
  <c r="BQ358" i="2"/>
  <c r="BQ359" i="2"/>
  <c r="BK358" i="2"/>
  <c r="BR358" i="2" s="1"/>
  <c r="BK359" i="2"/>
  <c r="BR359" i="2" s="1"/>
  <c r="BQ352" i="2"/>
  <c r="BK352" i="2"/>
  <c r="BR352" i="2" s="1"/>
  <c r="BQ343" i="2"/>
  <c r="BQ344" i="2"/>
  <c r="BK343" i="2"/>
  <c r="BR343" i="2" s="1"/>
  <c r="BK344" i="2"/>
  <c r="BR344" i="2" s="1"/>
  <c r="BQ300" i="2"/>
  <c r="BQ299" i="2"/>
  <c r="BK299" i="2"/>
  <c r="BR299" i="2" s="1"/>
  <c r="BK300" i="2"/>
  <c r="BR300" i="2" s="1"/>
  <c r="BQ319" i="2"/>
  <c r="BK319" i="2"/>
  <c r="BR319" i="2" s="1"/>
  <c r="BQ393" i="2"/>
  <c r="BQ395" i="2"/>
  <c r="BR393" i="2"/>
  <c r="BK395" i="2"/>
  <c r="BR395" i="2" s="1"/>
  <c r="BQ332" i="2"/>
  <c r="BQ333" i="2"/>
  <c r="BK332" i="2"/>
  <c r="BR332" i="2" s="1"/>
  <c r="BQ334" i="2"/>
  <c r="BK333" i="2"/>
  <c r="BR333" i="2" s="1"/>
  <c r="BK334" i="2"/>
  <c r="BR334" i="2" s="1"/>
  <c r="BQ322" i="2"/>
  <c r="BN322" i="2"/>
  <c r="BR322" i="2" s="1"/>
  <c r="BQ323" i="2"/>
  <c r="BK323" i="2"/>
  <c r="BR323" i="2" s="1"/>
  <c r="BQ318" i="2"/>
  <c r="BK318" i="2"/>
  <c r="BR318" i="2" s="1"/>
  <c r="BQ317" i="2"/>
  <c r="BK317" i="2"/>
  <c r="BR317" i="2" s="1"/>
  <c r="BR433" i="2"/>
  <c r="BQ314" i="2"/>
  <c r="BQ402" i="2"/>
  <c r="BQ311" i="2"/>
  <c r="BQ399" i="2"/>
  <c r="BQ405" i="2"/>
  <c r="BR314" i="2"/>
  <c r="BR341" i="2"/>
  <c r="BQ448" i="2"/>
  <c r="BR448" i="2"/>
  <c r="BK402" i="2"/>
  <c r="BR402" i="2" s="1"/>
  <c r="BR311" i="2"/>
  <c r="BR411" i="2"/>
  <c r="BR416" i="2"/>
  <c r="BQ341" i="2"/>
  <c r="BQ433" i="2"/>
  <c r="BQ416" i="2"/>
  <c r="BK405" i="2"/>
  <c r="BR405" i="2" s="1"/>
  <c r="BR399" i="2"/>
  <c r="BQ411" i="2"/>
  <c r="BQ389" i="2"/>
  <c r="BQ375" i="2"/>
  <c r="BR306" i="2"/>
  <c r="BQ306" i="2"/>
  <c r="BR371" i="2"/>
  <c r="BR377" i="2"/>
  <c r="BQ377" i="2"/>
  <c r="BR367" i="2"/>
  <c r="BQ379" i="2"/>
  <c r="BR365" i="2"/>
  <c r="BQ391" i="2"/>
  <c r="BQ373" i="2"/>
  <c r="BQ371" i="2"/>
  <c r="BR369" i="2"/>
  <c r="BQ367" i="2"/>
  <c r="BR363" i="2"/>
  <c r="BQ381" i="2"/>
  <c r="BR375" i="2"/>
  <c r="BQ369" i="2"/>
  <c r="BR379" i="2"/>
  <c r="BR383" i="2"/>
  <c r="BR387" i="2"/>
  <c r="BR381" i="2"/>
  <c r="BR385" i="2"/>
  <c r="BR361" i="2"/>
  <c r="BN391" i="2"/>
  <c r="BR391" i="2" s="1"/>
  <c r="BQ387" i="2"/>
  <c r="BN389" i="2"/>
  <c r="BR389" i="2" s="1"/>
  <c r="BQ378" i="2"/>
  <c r="BQ365" i="2"/>
  <c r="BQ385" i="2"/>
  <c r="BR373" i="2"/>
  <c r="BQ383" i="2"/>
  <c r="BR388" i="2"/>
  <c r="BR386" i="2"/>
  <c r="BR384" i="2"/>
  <c r="BR382" i="2"/>
  <c r="BQ390" i="2"/>
  <c r="BR390" i="2"/>
  <c r="BQ386" i="2"/>
  <c r="BR372" i="2"/>
  <c r="BR364" i="2"/>
  <c r="BQ363" i="2"/>
  <c r="BQ384" i="2"/>
  <c r="BQ361" i="2"/>
  <c r="BQ388" i="2"/>
  <c r="BQ382" i="2"/>
  <c r="BR366" i="2"/>
  <c r="BR376" i="2"/>
  <c r="BR374" i="2"/>
  <c r="BR370" i="2"/>
  <c r="BQ380" i="2"/>
  <c r="BR378" i="2"/>
  <c r="BQ374" i="2"/>
  <c r="BQ372" i="2"/>
  <c r="BQ370" i="2"/>
  <c r="BQ368" i="2"/>
  <c r="BQ366" i="2"/>
  <c r="BQ364" i="2"/>
  <c r="BQ362" i="2"/>
  <c r="BR380" i="2"/>
  <c r="BR368" i="2"/>
  <c r="BQ360" i="2"/>
  <c r="BQ376" i="2"/>
  <c r="BR362" i="2"/>
  <c r="BR360" i="2"/>
  <c r="BQ348" i="2"/>
  <c r="BR348" i="2"/>
  <c r="BQ440" i="2"/>
  <c r="BQ438" i="2"/>
  <c r="BR438" i="2"/>
  <c r="BK440" i="2"/>
  <c r="BR440" i="2" s="1"/>
  <c r="BQ437" i="2"/>
  <c r="BQ439" i="2"/>
  <c r="BR437" i="2"/>
  <c r="BR439" i="2"/>
  <c r="BQ347" i="2"/>
  <c r="BK347" i="2"/>
  <c r="BR347" i="2" s="1"/>
  <c r="BQ285" i="2"/>
  <c r="BK285" i="2"/>
  <c r="BR285" i="2" s="1"/>
  <c r="BQ203" i="2"/>
  <c r="BK203" i="2"/>
  <c r="BR203" i="2" s="1"/>
  <c r="BQ8" i="2"/>
  <c r="BQ7" i="2"/>
  <c r="BK7" i="2"/>
  <c r="BR7" i="2" s="1"/>
  <c r="BK8" i="2"/>
  <c r="BR8" i="2" s="1"/>
  <c r="BQ93" i="2"/>
  <c r="BQ9" i="2"/>
  <c r="BK9" i="2"/>
  <c r="BR9" i="2" s="1"/>
  <c r="BK93" i="2"/>
  <c r="BR93" i="2" s="1"/>
  <c r="BQ88" i="2"/>
  <c r="BQ4" i="2"/>
  <c r="BR186" i="2"/>
  <c r="BR100" i="2"/>
  <c r="BR4" i="2"/>
  <c r="BR201" i="2"/>
  <c r="BR282" i="2"/>
  <c r="BQ201" i="2"/>
  <c r="BQ282" i="2"/>
  <c r="BQ186" i="2"/>
  <c r="BR88" i="2"/>
  <c r="BQ100" i="2"/>
  <c r="BQ6" i="2"/>
  <c r="BQ188" i="2"/>
  <c r="BQ102" i="2"/>
  <c r="BQ90" i="2"/>
  <c r="BR188" i="2"/>
  <c r="BR90" i="2"/>
  <c r="BR6" i="2"/>
  <c r="BQ286" i="2"/>
  <c r="BR286" i="2"/>
  <c r="BQ205" i="2"/>
  <c r="BR205" i="2"/>
  <c r="BQ95" i="2"/>
  <c r="BQ11" i="2"/>
  <c r="BR95" i="2"/>
  <c r="BK11" i="2"/>
  <c r="BR11" i="2" s="1"/>
  <c r="BR102" i="2"/>
  <c r="BR403" i="2"/>
  <c r="BR106" i="2"/>
  <c r="BR400" i="2"/>
  <c r="BR434" i="2"/>
  <c r="BQ202" i="2"/>
  <c r="BR290" i="2"/>
  <c r="BR208" i="2"/>
  <c r="BR175" i="2"/>
  <c r="BR301" i="2"/>
  <c r="BR309" i="2"/>
  <c r="BR417" i="2"/>
  <c r="BR313" i="2"/>
  <c r="BR415" i="2"/>
  <c r="BK202" i="2"/>
  <c r="BR202" i="2" s="1"/>
  <c r="BR197" i="2"/>
  <c r="BR414" i="2"/>
  <c r="BR342" i="2"/>
  <c r="BQ283" i="2"/>
  <c r="BR283" i="2"/>
  <c r="BQ108" i="2"/>
  <c r="BR109" i="2"/>
  <c r="BR394" i="2"/>
  <c r="BR52" i="2"/>
  <c r="BR39" i="2"/>
  <c r="BR271" i="2"/>
  <c r="BR304" i="2"/>
  <c r="BR321" i="2"/>
  <c r="BR353" i="2"/>
  <c r="BR398" i="2"/>
  <c r="BR198" i="2"/>
  <c r="BR91" i="2"/>
  <c r="BQ194" i="2"/>
  <c r="BR194" i="2"/>
  <c r="BN108" i="2"/>
  <c r="BR108" i="2" s="1"/>
  <c r="BR426" i="2"/>
  <c r="BR14" i="2"/>
  <c r="BR246" i="2"/>
  <c r="BR233" i="2"/>
  <c r="BR302" i="2"/>
  <c r="BR320" i="2"/>
  <c r="BR418" i="2"/>
  <c r="BR356" i="2"/>
  <c r="BR307" i="2"/>
  <c r="BR200" i="2"/>
  <c r="BR195" i="2"/>
  <c r="BR328" i="2"/>
  <c r="BR422" i="2"/>
  <c r="BR112" i="2"/>
  <c r="BR77" i="2"/>
  <c r="BR297" i="2"/>
  <c r="BR305" i="2"/>
  <c r="BR335" i="2"/>
  <c r="BR354" i="2"/>
  <c r="BR412" i="2"/>
  <c r="BR289" i="2"/>
  <c r="BR196" i="2"/>
  <c r="BR339" i="2"/>
  <c r="BR409" i="2"/>
  <c r="BR337" i="2"/>
  <c r="BR419" i="2"/>
  <c r="BR421" i="2"/>
  <c r="BR150" i="2"/>
  <c r="BR137" i="2"/>
  <c r="BR298" i="2"/>
  <c r="BR308" i="2"/>
  <c r="BR336" i="2"/>
  <c r="BR312" i="2"/>
  <c r="BR457" i="2"/>
  <c r="BR287" i="2"/>
  <c r="BR105" i="2"/>
  <c r="BR345" i="2"/>
  <c r="BQ345" i="2"/>
  <c r="BQ106" i="2"/>
  <c r="BQ192" i="2"/>
  <c r="BK192" i="2"/>
  <c r="BR192" i="2" s="1"/>
  <c r="BV30" i="2"/>
  <c r="BV84" i="2"/>
  <c r="BV65" i="2"/>
  <c r="BV66" i="2"/>
  <c r="BQ109" i="2"/>
  <c r="BQ195" i="2"/>
  <c r="BQ197" i="2"/>
  <c r="BQ196" i="2"/>
  <c r="BQ303" i="2"/>
  <c r="BQ329" i="2"/>
  <c r="BQ328" i="2"/>
  <c r="BQ330" i="2"/>
  <c r="BQ327" i="2"/>
  <c r="BN329" i="2"/>
  <c r="BR329" i="2" s="1"/>
  <c r="BK330" i="2"/>
  <c r="BR330" i="2" s="1"/>
  <c r="BK327" i="2"/>
  <c r="BR327" i="2" s="1"/>
  <c r="BQ424" i="2"/>
  <c r="BQ397" i="2"/>
  <c r="BK424" i="2"/>
  <c r="BR424" i="2" s="1"/>
  <c r="BQ446" i="2"/>
  <c r="BV90" i="2"/>
  <c r="BQ450" i="2"/>
  <c r="BV100" i="2"/>
  <c r="BV92" i="2"/>
  <c r="BQ431" i="2"/>
  <c r="BV59" i="2"/>
  <c r="BV50" i="2"/>
  <c r="BQ324" i="2"/>
  <c r="BQ406" i="2"/>
  <c r="BV75" i="2"/>
  <c r="BV48" i="2"/>
  <c r="BN431" i="2"/>
  <c r="BR431" i="2" s="1"/>
  <c r="BQ357" i="2"/>
  <c r="BQ443" i="2"/>
  <c r="BQ342" i="2"/>
  <c r="BQ400" i="2"/>
  <c r="BQ428" i="2"/>
  <c r="BQ434" i="2"/>
  <c r="BK357" i="2"/>
  <c r="BR357" i="2" s="1"/>
  <c r="BQ409" i="2"/>
  <c r="BK406" i="2"/>
  <c r="BR406" i="2" s="1"/>
  <c r="BQ339" i="2"/>
  <c r="BQ403" i="2"/>
  <c r="BK443" i="2"/>
  <c r="BR443" i="2" s="1"/>
  <c r="BQ414" i="2"/>
  <c r="BK450" i="2"/>
  <c r="BR450" i="2" s="1"/>
  <c r="BK303" i="2"/>
  <c r="BR303" i="2" s="1"/>
  <c r="BK397" i="2"/>
  <c r="BR397" i="2" s="1"/>
  <c r="BK428" i="2"/>
  <c r="BR428" i="2" s="1"/>
  <c r="BK446" i="2"/>
  <c r="BR446" i="2" s="1"/>
  <c r="BK324" i="2"/>
  <c r="BR324" i="2" s="1"/>
  <c r="BV26" i="2"/>
  <c r="BV86" i="2"/>
  <c r="BV53" i="2"/>
  <c r="BV62" i="2"/>
  <c r="BV68" i="2"/>
  <c r="BV77" i="2"/>
  <c r="BV47" i="2"/>
  <c r="BV72" i="2"/>
  <c r="BV71" i="2"/>
  <c r="BV21" i="2"/>
  <c r="BV38" i="2"/>
  <c r="BV98" i="2"/>
  <c r="BV88" i="2"/>
  <c r="BV33" i="2"/>
  <c r="BV54" i="2"/>
  <c r="BV80" i="2"/>
  <c r="BV89" i="2"/>
  <c r="BV99" i="2"/>
  <c r="BV96" i="2"/>
  <c r="BV95" i="2"/>
  <c r="BV97" i="2"/>
  <c r="BV93" i="2"/>
  <c r="BX93" i="2"/>
  <c r="BV94" i="2"/>
  <c r="BV74" i="2"/>
  <c r="BV91" i="2"/>
  <c r="BV83" i="2"/>
  <c r="BV87" i="2"/>
  <c r="BX83" i="2"/>
  <c r="BV85" i="2"/>
  <c r="BV81" i="2"/>
  <c r="BV82" i="2"/>
  <c r="BV78" i="2"/>
  <c r="BV79" i="2"/>
  <c r="BV76" i="2"/>
  <c r="BV69" i="2"/>
  <c r="BV73" i="2"/>
  <c r="BV70" i="2"/>
  <c r="BV67" i="2"/>
  <c r="BV63" i="2"/>
  <c r="BV60" i="2"/>
  <c r="BV64" i="2"/>
  <c r="BX60" i="2"/>
  <c r="BV56" i="2"/>
  <c r="BV61" i="2"/>
  <c r="BV57" i="2"/>
  <c r="BV58" i="2"/>
  <c r="BV55" i="2"/>
  <c r="BV51" i="2"/>
  <c r="BV52" i="2"/>
  <c r="BV45" i="2"/>
  <c r="BV49" i="2"/>
  <c r="BX45" i="2"/>
  <c r="BV44" i="2"/>
  <c r="BV46" i="2"/>
  <c r="BV39" i="2"/>
  <c r="BV36" i="2"/>
  <c r="BV29" i="2"/>
  <c r="BV32" i="2"/>
  <c r="BV41" i="2"/>
  <c r="BV42" i="2"/>
  <c r="BV43" i="2"/>
  <c r="BX39" i="2"/>
  <c r="BV40" i="2"/>
  <c r="BV35" i="2"/>
  <c r="BX36" i="2"/>
  <c r="BV37" i="2"/>
  <c r="BV34" i="2"/>
  <c r="BV31" i="2"/>
  <c r="BV27" i="2"/>
  <c r="BV28" i="2"/>
  <c r="BV23" i="2"/>
  <c r="BV24" i="2"/>
  <c r="BV25" i="2"/>
  <c r="BV20" i="2"/>
  <c r="BV22" i="2"/>
  <c r="BQ105" i="2"/>
  <c r="BQ191" i="2"/>
  <c r="BK191" i="2"/>
  <c r="BR191" i="2" s="1"/>
  <c r="BQ396" i="2"/>
  <c r="BQ449" i="2"/>
  <c r="BK396" i="2"/>
  <c r="BR396" i="2" s="1"/>
  <c r="BK449" i="2"/>
  <c r="BR449" i="2" s="1"/>
  <c r="BQ337" i="2"/>
  <c r="BQ426" i="2"/>
  <c r="BQ394" i="2"/>
  <c r="BQ419" i="2"/>
  <c r="BQ91" i="2"/>
  <c r="BV19" i="2"/>
  <c r="BX19" i="2"/>
  <c r="BV13" i="2"/>
  <c r="BV16" i="2"/>
  <c r="BV17" i="2"/>
  <c r="BV18" i="2"/>
  <c r="BV12" i="2"/>
  <c r="BV11" i="2"/>
  <c r="BV14" i="2"/>
  <c r="BX11" i="2"/>
  <c r="BV15" i="2"/>
  <c r="BX12" i="2"/>
  <c r="BV10" i="2"/>
  <c r="BV4" i="2"/>
  <c r="BV5" i="2"/>
  <c r="BV8" i="2"/>
  <c r="BV9" i="2"/>
  <c r="BV7" i="2"/>
  <c r="BX7" i="2"/>
  <c r="BV6" i="2"/>
  <c r="BX5" i="2"/>
  <c r="BX8" i="2"/>
  <c r="BX9" i="2"/>
  <c r="BQ198" i="2"/>
  <c r="BQ199" i="2"/>
  <c r="BQ200" i="2"/>
  <c r="BK199" i="2"/>
  <c r="BR199" i="2" s="1"/>
  <c r="BQ287" i="2"/>
  <c r="BQ288" i="2"/>
  <c r="BQ289" i="2"/>
  <c r="BK288" i="2"/>
  <c r="BR288" i="2" s="1"/>
  <c r="BQ453" i="2"/>
  <c r="BQ316" i="2"/>
  <c r="BK453" i="2"/>
  <c r="BR453" i="2" s="1"/>
  <c r="BQ331" i="2"/>
  <c r="BQ425" i="2"/>
  <c r="BQ392" i="2"/>
  <c r="BK331" i="2"/>
  <c r="BR331" i="2" s="1"/>
  <c r="BK392" i="2"/>
  <c r="BR392" i="2" s="1"/>
  <c r="BK425" i="2"/>
  <c r="BR425" i="2" s="1"/>
  <c r="BK316" i="2"/>
  <c r="BR316" i="2" s="1"/>
  <c r="BQ292" i="2"/>
  <c r="BK292" i="2"/>
  <c r="BR292" i="2" s="1"/>
  <c r="BQ404" i="2"/>
  <c r="BQ427" i="2"/>
  <c r="BQ432" i="2"/>
  <c r="BQ455" i="2"/>
  <c r="BQ310" i="2"/>
  <c r="BQ447" i="2"/>
  <c r="BQ454" i="2"/>
  <c r="BK455" i="2"/>
  <c r="BR455" i="2" s="1"/>
  <c r="BQ315" i="2"/>
  <c r="BQ401" i="2"/>
  <c r="BQ412" i="2"/>
  <c r="BK447" i="2"/>
  <c r="BR447" i="2" s="1"/>
  <c r="BK404" i="2"/>
  <c r="BR404" i="2" s="1"/>
  <c r="BQ398" i="2"/>
  <c r="BQ420" i="2"/>
  <c r="BK401" i="2"/>
  <c r="BR401" i="2" s="1"/>
  <c r="BK432" i="2"/>
  <c r="BR432" i="2" s="1"/>
  <c r="BQ415" i="2"/>
  <c r="BQ457" i="2"/>
  <c r="BK454" i="2"/>
  <c r="BR454" i="2" s="1"/>
  <c r="BQ338" i="2"/>
  <c r="BK315" i="2"/>
  <c r="BR315" i="2" s="1"/>
  <c r="BK310" i="2"/>
  <c r="BR310" i="2" s="1"/>
  <c r="BK420" i="2"/>
  <c r="BR420" i="2" s="1"/>
  <c r="BN338" i="2"/>
  <c r="BR338" i="2" s="1"/>
  <c r="BK427" i="2"/>
  <c r="BR427" i="2" s="1"/>
  <c r="BQ307" i="2"/>
  <c r="BQ413" i="2"/>
  <c r="BK413" i="2"/>
  <c r="BR413" i="2" s="1"/>
  <c r="BQ291" i="2"/>
  <c r="BK291" i="2"/>
  <c r="BR291" i="2" s="1"/>
  <c r="BQ421" i="2"/>
  <c r="BQ423" i="2"/>
  <c r="BK423" i="2"/>
  <c r="BR423" i="2" s="1"/>
  <c r="BQ321" i="2"/>
  <c r="BQ320" i="2"/>
  <c r="BQ14" i="2"/>
  <c r="BQ297" i="2"/>
  <c r="BQ52" i="2"/>
  <c r="BQ290" i="2"/>
  <c r="BQ417" i="2"/>
  <c r="BQ335" i="2"/>
  <c r="BQ208" i="2"/>
  <c r="BQ112" i="2"/>
  <c r="BQ308" i="2"/>
  <c r="BQ336" i="2"/>
  <c r="BQ298" i="2"/>
  <c r="BQ150" i="2"/>
  <c r="BQ355" i="2"/>
  <c r="BK355" i="2"/>
  <c r="BR355" i="2" s="1"/>
  <c r="BQ418" i="2"/>
  <c r="BQ246" i="2"/>
  <c r="BQ305" i="2"/>
  <c r="BQ304" i="2"/>
  <c r="BQ422" i="2"/>
  <c r="BQ356" i="2"/>
  <c r="BQ312" i="2"/>
  <c r="BQ233" i="2"/>
  <c r="BQ309" i="2"/>
  <c r="BQ302" i="2"/>
  <c r="BQ354" i="2"/>
  <c r="BQ175" i="2"/>
  <c r="BQ313" i="2"/>
  <c r="BQ271" i="2"/>
  <c r="BQ353" i="2"/>
  <c r="BQ137" i="2"/>
  <c r="BQ77" i="2"/>
  <c r="BQ301" i="2"/>
  <c r="BQ39" i="2"/>
  <c r="BH5" i="2" l="1"/>
  <c r="BG5" i="2"/>
  <c r="BN5" i="2" s="1"/>
  <c r="BF5" i="2"/>
  <c r="BE5" i="2"/>
  <c r="BH89" i="2"/>
  <c r="BG89" i="2"/>
  <c r="BN89" i="2" s="1"/>
  <c r="BF89" i="2"/>
  <c r="BE89" i="2"/>
  <c r="BH101" i="2"/>
  <c r="BG101" i="2"/>
  <c r="BN101" i="2" s="1"/>
  <c r="BF101" i="2"/>
  <c r="BE101" i="2"/>
  <c r="BE187" i="2"/>
  <c r="BF187" i="2"/>
  <c r="BG187" i="2"/>
  <c r="BN187" i="2" s="1"/>
  <c r="BH187" i="2"/>
  <c r="BK5" i="2" l="1"/>
  <c r="BR5" i="2" s="1"/>
  <c r="BQ5" i="2"/>
  <c r="BK101" i="2"/>
  <c r="BR101" i="2" s="1"/>
  <c r="BQ101" i="2"/>
  <c r="BK89" i="2"/>
  <c r="BR89" i="2" s="1"/>
  <c r="BQ89" i="2"/>
  <c r="BK187" i="2"/>
  <c r="BR187" i="2" s="1"/>
  <c r="BQ187" i="2"/>
  <c r="BH97" i="2" l="1"/>
  <c r="BH96" i="2"/>
  <c r="BH99" i="2"/>
  <c r="BH98" i="2"/>
  <c r="BH296" i="2"/>
  <c r="BH294" i="2"/>
  <c r="BH350" i="2"/>
  <c r="BH410" i="2"/>
  <c r="BH340" i="2"/>
  <c r="BH204" i="2"/>
  <c r="BH346" i="2"/>
  <c r="BH349" i="2"/>
  <c r="BH190" i="2"/>
  <c r="BH104" i="2"/>
  <c r="BH436" i="2"/>
  <c r="BH435" i="2"/>
  <c r="BH351" i="2"/>
  <c r="BH295" i="2"/>
  <c r="BH293" i="2"/>
  <c r="BH258" i="2"/>
  <c r="BH272" i="2"/>
  <c r="BH256" i="2"/>
  <c r="BH245" i="2"/>
  <c r="BH274" i="2"/>
  <c r="BH251" i="2"/>
  <c r="BH277" i="2"/>
  <c r="BH281" i="2"/>
  <c r="BH278" i="2"/>
  <c r="BH244" i="2"/>
  <c r="BH280" i="2"/>
  <c r="BH275" i="2"/>
  <c r="BH276" i="2"/>
  <c r="BH263" i="2"/>
  <c r="BH269" i="2"/>
  <c r="BH266" i="2"/>
  <c r="BH265" i="2"/>
  <c r="BH262" i="2"/>
  <c r="BH253" i="2"/>
  <c r="BH284" i="2"/>
  <c r="BH268" i="2"/>
  <c r="BH267" i="2"/>
  <c r="BH273" i="2"/>
  <c r="BH247" i="2"/>
  <c r="BH261" i="2"/>
  <c r="BH254" i="2"/>
  <c r="BH257" i="2"/>
  <c r="BH250" i="2"/>
  <c r="BH259" i="2"/>
  <c r="BH270" i="2"/>
  <c r="BH248" i="2"/>
  <c r="BH279" i="2"/>
  <c r="BH260" i="2"/>
  <c r="BH255" i="2"/>
  <c r="BH264" i="2"/>
  <c r="BH249" i="2"/>
  <c r="BH252" i="2"/>
  <c r="BH220" i="2"/>
  <c r="BH234" i="2"/>
  <c r="BH218" i="2"/>
  <c r="BH207" i="2"/>
  <c r="BH236" i="2"/>
  <c r="BH213" i="2"/>
  <c r="BH239" i="2"/>
  <c r="BH243" i="2"/>
  <c r="BH240" i="2"/>
  <c r="BH206" i="2"/>
  <c r="BH242" i="2"/>
  <c r="BH237" i="2"/>
  <c r="BH238" i="2"/>
  <c r="BH225" i="2"/>
  <c r="BH231" i="2"/>
  <c r="BH228" i="2"/>
  <c r="BH227" i="2"/>
  <c r="BH224" i="2"/>
  <c r="BH215" i="2"/>
  <c r="BH230" i="2"/>
  <c r="BH229" i="2"/>
  <c r="BH235" i="2"/>
  <c r="BH209" i="2"/>
  <c r="BH223" i="2"/>
  <c r="BH216" i="2"/>
  <c r="BH219" i="2"/>
  <c r="BH212" i="2"/>
  <c r="BH221" i="2"/>
  <c r="BH232" i="2"/>
  <c r="BH210" i="2"/>
  <c r="BH241" i="2"/>
  <c r="BH222" i="2"/>
  <c r="BH217" i="2"/>
  <c r="BH226" i="2"/>
  <c r="BH211" i="2"/>
  <c r="BH214" i="2"/>
  <c r="BH162" i="2"/>
  <c r="BH176" i="2"/>
  <c r="BH160" i="2"/>
  <c r="BH149" i="2"/>
  <c r="BH193" i="2"/>
  <c r="BH178" i="2"/>
  <c r="BH155" i="2"/>
  <c r="BH181" i="2"/>
  <c r="BH185" i="2"/>
  <c r="BH182" i="2"/>
  <c r="BH148" i="2"/>
  <c r="BH184" i="2"/>
  <c r="BH179" i="2"/>
  <c r="BH180" i="2"/>
  <c r="BH167" i="2"/>
  <c r="BH173" i="2"/>
  <c r="BH170" i="2"/>
  <c r="BH169" i="2"/>
  <c r="BH166" i="2"/>
  <c r="BH157" i="2"/>
  <c r="BH189" i="2"/>
  <c r="BH172" i="2"/>
  <c r="BH171" i="2"/>
  <c r="BH177" i="2"/>
  <c r="BH151" i="2"/>
  <c r="BH165" i="2"/>
  <c r="BH158" i="2"/>
  <c r="BH161" i="2"/>
  <c r="BH154" i="2"/>
  <c r="BH163" i="2"/>
  <c r="BH174" i="2"/>
  <c r="BH152" i="2"/>
  <c r="BH183" i="2"/>
  <c r="BH164" i="2"/>
  <c r="BH159" i="2"/>
  <c r="BH168" i="2"/>
  <c r="BH153" i="2"/>
  <c r="BH156" i="2"/>
  <c r="BH124" i="2"/>
  <c r="BH138" i="2"/>
  <c r="BH122" i="2"/>
  <c r="BH111" i="2"/>
  <c r="BH107" i="2"/>
  <c r="BH140" i="2"/>
  <c r="BH117" i="2"/>
  <c r="BH143" i="2"/>
  <c r="BH147" i="2"/>
  <c r="BH144" i="2"/>
  <c r="BH110" i="2"/>
  <c r="BH146" i="2"/>
  <c r="BH141" i="2"/>
  <c r="BH142" i="2"/>
  <c r="BH129" i="2"/>
  <c r="BH135" i="2"/>
  <c r="BH132" i="2"/>
  <c r="BH131" i="2"/>
  <c r="BH128" i="2"/>
  <c r="BH119" i="2"/>
  <c r="BH103" i="2"/>
  <c r="BH134" i="2"/>
  <c r="BH133" i="2"/>
  <c r="BH139" i="2"/>
  <c r="BH113" i="2"/>
  <c r="BH127" i="2"/>
  <c r="BH120" i="2"/>
  <c r="BH123" i="2"/>
  <c r="BH116" i="2"/>
  <c r="BH125" i="2"/>
  <c r="BH136" i="2"/>
  <c r="BH114" i="2"/>
  <c r="BH145" i="2"/>
  <c r="BH126" i="2"/>
  <c r="BH121" i="2"/>
  <c r="BH130" i="2"/>
  <c r="BH115" i="2"/>
  <c r="BH118" i="2"/>
  <c r="BH64" i="2"/>
  <c r="BH78" i="2"/>
  <c r="BH62" i="2"/>
  <c r="BH51" i="2"/>
  <c r="BH94" i="2"/>
  <c r="BH80" i="2"/>
  <c r="BH57" i="2"/>
  <c r="BH83" i="2"/>
  <c r="BH87" i="2"/>
  <c r="BH84" i="2"/>
  <c r="BH50" i="2"/>
  <c r="BH86" i="2"/>
  <c r="BH81" i="2"/>
  <c r="BH82" i="2"/>
  <c r="BH69" i="2"/>
  <c r="BH75" i="2"/>
  <c r="BH72" i="2"/>
  <c r="BH71" i="2"/>
  <c r="BH68" i="2"/>
  <c r="BH59" i="2"/>
  <c r="BH92" i="2"/>
  <c r="BH74" i="2"/>
  <c r="BH73" i="2"/>
  <c r="BH79" i="2"/>
  <c r="BH53" i="2"/>
  <c r="BH67" i="2"/>
  <c r="BH60" i="2"/>
  <c r="BH63" i="2"/>
  <c r="BH56" i="2"/>
  <c r="BH65" i="2"/>
  <c r="BH76" i="2"/>
  <c r="BH54" i="2"/>
  <c r="BH85" i="2"/>
  <c r="BH66" i="2"/>
  <c r="BH61" i="2"/>
  <c r="BH70" i="2"/>
  <c r="BH55" i="2"/>
  <c r="BH58" i="2"/>
  <c r="BH26" i="2"/>
  <c r="BH40" i="2"/>
  <c r="BH24" i="2"/>
  <c r="BH13" i="2"/>
  <c r="BH10" i="2"/>
  <c r="BH42" i="2"/>
  <c r="BH19" i="2"/>
  <c r="BH45" i="2"/>
  <c r="BH49" i="2"/>
  <c r="BH46" i="2"/>
  <c r="BH12" i="2"/>
  <c r="BH48" i="2"/>
  <c r="BH43" i="2"/>
  <c r="BH44" i="2"/>
  <c r="BH31" i="2"/>
  <c r="BH37" i="2"/>
  <c r="BH34" i="2"/>
  <c r="BH33" i="2"/>
  <c r="BH30" i="2"/>
  <c r="BH21" i="2"/>
  <c r="BH36" i="2"/>
  <c r="BH35" i="2"/>
  <c r="BH41" i="2"/>
  <c r="BH15" i="2"/>
  <c r="BH29" i="2"/>
  <c r="BH22" i="2"/>
  <c r="BH25" i="2"/>
  <c r="BH18" i="2"/>
  <c r="BH27" i="2"/>
  <c r="BH38" i="2"/>
  <c r="BH16" i="2"/>
  <c r="BH47" i="2"/>
  <c r="BH28" i="2"/>
  <c r="BH23" i="2"/>
  <c r="BH32" i="2"/>
  <c r="BH17" i="2"/>
  <c r="BH20" i="2"/>
  <c r="BF97" i="2"/>
  <c r="BF96" i="2"/>
  <c r="BF99" i="2"/>
  <c r="BF98" i="2"/>
  <c r="BF296" i="2"/>
  <c r="BF294" i="2"/>
  <c r="BF350" i="2"/>
  <c r="BF410" i="2"/>
  <c r="BF340" i="2"/>
  <c r="BF204" i="2"/>
  <c r="BF346" i="2"/>
  <c r="BF349" i="2"/>
  <c r="BF190" i="2"/>
  <c r="BF104" i="2"/>
  <c r="BF436" i="2"/>
  <c r="BF435" i="2"/>
  <c r="BF351" i="2"/>
  <c r="BF295" i="2"/>
  <c r="BF293" i="2"/>
  <c r="BF258" i="2"/>
  <c r="BF272" i="2"/>
  <c r="BF256" i="2"/>
  <c r="BF245" i="2"/>
  <c r="BF274" i="2"/>
  <c r="BF251" i="2"/>
  <c r="BF277" i="2"/>
  <c r="BF281" i="2"/>
  <c r="BF278" i="2"/>
  <c r="BF244" i="2"/>
  <c r="BF280" i="2"/>
  <c r="BF275" i="2"/>
  <c r="BF276" i="2"/>
  <c r="BF263" i="2"/>
  <c r="BF269" i="2"/>
  <c r="BF266" i="2"/>
  <c r="BF265" i="2"/>
  <c r="BF262" i="2"/>
  <c r="BF253" i="2"/>
  <c r="BF284" i="2"/>
  <c r="BF268" i="2"/>
  <c r="BF267" i="2"/>
  <c r="BF273" i="2"/>
  <c r="BF247" i="2"/>
  <c r="BF261" i="2"/>
  <c r="BF254" i="2"/>
  <c r="BF257" i="2"/>
  <c r="BF250" i="2"/>
  <c r="BF259" i="2"/>
  <c r="BF270" i="2"/>
  <c r="BF248" i="2"/>
  <c r="BF279" i="2"/>
  <c r="BF260" i="2"/>
  <c r="BF255" i="2"/>
  <c r="BF264" i="2"/>
  <c r="BF249" i="2"/>
  <c r="BF252" i="2"/>
  <c r="BF220" i="2"/>
  <c r="BF234" i="2"/>
  <c r="BF218" i="2"/>
  <c r="BF207" i="2"/>
  <c r="BF236" i="2"/>
  <c r="BF213" i="2"/>
  <c r="BF239" i="2"/>
  <c r="BF243" i="2"/>
  <c r="BF240" i="2"/>
  <c r="BF206" i="2"/>
  <c r="BF242" i="2"/>
  <c r="BF237" i="2"/>
  <c r="BF238" i="2"/>
  <c r="BF225" i="2"/>
  <c r="BF231" i="2"/>
  <c r="BF228" i="2"/>
  <c r="BF227" i="2"/>
  <c r="BF224" i="2"/>
  <c r="BF215" i="2"/>
  <c r="BF230" i="2"/>
  <c r="BF229" i="2"/>
  <c r="BF235" i="2"/>
  <c r="BF209" i="2"/>
  <c r="BF223" i="2"/>
  <c r="BF216" i="2"/>
  <c r="BF219" i="2"/>
  <c r="BF212" i="2"/>
  <c r="BF221" i="2"/>
  <c r="BF232" i="2"/>
  <c r="BF210" i="2"/>
  <c r="BF241" i="2"/>
  <c r="BF222" i="2"/>
  <c r="BF217" i="2"/>
  <c r="BF226" i="2"/>
  <c r="BF211" i="2"/>
  <c r="BF214" i="2"/>
  <c r="BF162" i="2"/>
  <c r="BF176" i="2"/>
  <c r="BF160" i="2"/>
  <c r="BF149" i="2"/>
  <c r="BF193" i="2"/>
  <c r="BF178" i="2"/>
  <c r="BF155" i="2"/>
  <c r="BF181" i="2"/>
  <c r="BF185" i="2"/>
  <c r="BF182" i="2"/>
  <c r="BF148" i="2"/>
  <c r="BF184" i="2"/>
  <c r="BF179" i="2"/>
  <c r="BF180" i="2"/>
  <c r="BF167" i="2"/>
  <c r="BF173" i="2"/>
  <c r="BF170" i="2"/>
  <c r="BF169" i="2"/>
  <c r="BF166" i="2"/>
  <c r="BF157" i="2"/>
  <c r="BF189" i="2"/>
  <c r="BF172" i="2"/>
  <c r="BF171" i="2"/>
  <c r="BF177" i="2"/>
  <c r="BF151" i="2"/>
  <c r="BF165" i="2"/>
  <c r="BF158" i="2"/>
  <c r="BF161" i="2"/>
  <c r="BF154" i="2"/>
  <c r="BF163" i="2"/>
  <c r="BF174" i="2"/>
  <c r="BF152" i="2"/>
  <c r="BF183" i="2"/>
  <c r="BF164" i="2"/>
  <c r="BF159" i="2"/>
  <c r="BF168" i="2"/>
  <c r="BF153" i="2"/>
  <c r="BF156" i="2"/>
  <c r="BF124" i="2"/>
  <c r="BF138" i="2"/>
  <c r="BF122" i="2"/>
  <c r="BF111" i="2"/>
  <c r="BF107" i="2"/>
  <c r="BF140" i="2"/>
  <c r="BF117" i="2"/>
  <c r="BF143" i="2"/>
  <c r="BF147" i="2"/>
  <c r="BF144" i="2"/>
  <c r="BF110" i="2"/>
  <c r="BF146" i="2"/>
  <c r="BF141" i="2"/>
  <c r="BF142" i="2"/>
  <c r="BF129" i="2"/>
  <c r="BF135" i="2"/>
  <c r="BF132" i="2"/>
  <c r="BF131" i="2"/>
  <c r="BF128" i="2"/>
  <c r="BF119" i="2"/>
  <c r="BF103" i="2"/>
  <c r="BF134" i="2"/>
  <c r="BF133" i="2"/>
  <c r="BF139" i="2"/>
  <c r="BF113" i="2"/>
  <c r="BF127" i="2"/>
  <c r="BF120" i="2"/>
  <c r="BF123" i="2"/>
  <c r="BF116" i="2"/>
  <c r="BF125" i="2"/>
  <c r="BF136" i="2"/>
  <c r="BF114" i="2"/>
  <c r="BF145" i="2"/>
  <c r="BF126" i="2"/>
  <c r="BF121" i="2"/>
  <c r="BF130" i="2"/>
  <c r="BF115" i="2"/>
  <c r="BF118" i="2"/>
  <c r="BF64" i="2"/>
  <c r="BF78" i="2"/>
  <c r="BF62" i="2"/>
  <c r="BF51" i="2"/>
  <c r="BF94" i="2"/>
  <c r="BF80" i="2"/>
  <c r="BF57" i="2"/>
  <c r="BF83" i="2"/>
  <c r="BF87" i="2"/>
  <c r="BF84" i="2"/>
  <c r="BF50" i="2"/>
  <c r="BF86" i="2"/>
  <c r="BF81" i="2"/>
  <c r="BF82" i="2"/>
  <c r="BF69" i="2"/>
  <c r="BF75" i="2"/>
  <c r="BF72" i="2"/>
  <c r="BF71" i="2"/>
  <c r="BF68" i="2"/>
  <c r="BF59" i="2"/>
  <c r="BF92" i="2"/>
  <c r="BF74" i="2"/>
  <c r="BF73" i="2"/>
  <c r="BF79" i="2"/>
  <c r="BF53" i="2"/>
  <c r="BF67" i="2"/>
  <c r="BF60" i="2"/>
  <c r="BF63" i="2"/>
  <c r="BF56" i="2"/>
  <c r="BF65" i="2"/>
  <c r="BF76" i="2"/>
  <c r="BF54" i="2"/>
  <c r="BF85" i="2"/>
  <c r="BF66" i="2"/>
  <c r="BF61" i="2"/>
  <c r="BF70" i="2"/>
  <c r="BF55" i="2"/>
  <c r="BF58" i="2"/>
  <c r="BF26" i="2"/>
  <c r="BF40" i="2"/>
  <c r="BF24" i="2"/>
  <c r="BF13" i="2"/>
  <c r="BF10" i="2"/>
  <c r="BF42" i="2"/>
  <c r="BF19" i="2"/>
  <c r="BF45" i="2"/>
  <c r="BF49" i="2"/>
  <c r="BF46" i="2"/>
  <c r="BF12" i="2"/>
  <c r="BF48" i="2"/>
  <c r="BF43" i="2"/>
  <c r="BF44" i="2"/>
  <c r="BF31" i="2"/>
  <c r="BF37" i="2"/>
  <c r="BF34" i="2"/>
  <c r="BF33" i="2"/>
  <c r="BF30" i="2"/>
  <c r="BF21" i="2"/>
  <c r="BF36" i="2"/>
  <c r="BF35" i="2"/>
  <c r="BF41" i="2"/>
  <c r="BF15" i="2"/>
  <c r="BF29" i="2"/>
  <c r="BF22" i="2"/>
  <c r="BF25" i="2"/>
  <c r="BF18" i="2"/>
  <c r="BF27" i="2"/>
  <c r="BF38" i="2"/>
  <c r="BF16" i="2"/>
  <c r="BF47" i="2"/>
  <c r="BF28" i="2"/>
  <c r="BF23" i="2"/>
  <c r="BF32" i="2"/>
  <c r="BF17" i="2"/>
  <c r="BF20" i="2"/>
  <c r="BG20" i="2"/>
  <c r="BG17" i="2"/>
  <c r="BG32" i="2"/>
  <c r="BG23" i="2"/>
  <c r="BG28" i="2"/>
  <c r="BG47" i="2"/>
  <c r="BG16" i="2"/>
  <c r="BG38" i="2"/>
  <c r="BG27" i="2"/>
  <c r="BG18" i="2"/>
  <c r="BG25" i="2"/>
  <c r="BG22" i="2"/>
  <c r="BG29" i="2"/>
  <c r="BG15" i="2"/>
  <c r="BG41" i="2"/>
  <c r="BG35" i="2"/>
  <c r="BG36" i="2"/>
  <c r="BG21" i="2"/>
  <c r="BG30" i="2"/>
  <c r="BG33" i="2"/>
  <c r="BG34" i="2"/>
  <c r="BG37" i="2"/>
  <c r="BG31" i="2"/>
  <c r="BG44" i="2"/>
  <c r="BG43" i="2"/>
  <c r="BG48" i="2"/>
  <c r="BG12" i="2"/>
  <c r="BG46" i="2"/>
  <c r="BG49" i="2"/>
  <c r="BG45" i="2"/>
  <c r="BG19" i="2"/>
  <c r="BG42" i="2"/>
  <c r="BG10" i="2"/>
  <c r="BN10" i="2" s="1"/>
  <c r="BG13" i="2"/>
  <c r="BG24" i="2"/>
  <c r="BG40" i="2"/>
  <c r="BG26" i="2"/>
  <c r="BG58" i="2"/>
  <c r="BG55" i="2"/>
  <c r="BG70" i="2"/>
  <c r="BG61" i="2"/>
  <c r="BG66" i="2"/>
  <c r="BG85" i="2"/>
  <c r="BG54" i="2"/>
  <c r="BG76" i="2"/>
  <c r="BG65" i="2"/>
  <c r="BG56" i="2"/>
  <c r="BG63" i="2"/>
  <c r="BG60" i="2"/>
  <c r="BG67" i="2"/>
  <c r="BG53" i="2"/>
  <c r="BG79" i="2"/>
  <c r="BG73" i="2"/>
  <c r="BG74" i="2"/>
  <c r="BG92" i="2"/>
  <c r="BG59" i="2"/>
  <c r="BG68" i="2"/>
  <c r="BG71" i="2"/>
  <c r="BG72" i="2"/>
  <c r="BG75" i="2"/>
  <c r="BG69" i="2"/>
  <c r="BG82" i="2"/>
  <c r="BG81" i="2"/>
  <c r="BG86" i="2"/>
  <c r="BG50" i="2"/>
  <c r="BG84" i="2"/>
  <c r="BG87" i="2"/>
  <c r="BG83" i="2"/>
  <c r="BG57" i="2"/>
  <c r="BG80" i="2"/>
  <c r="BG94" i="2"/>
  <c r="BN94" i="2" s="1"/>
  <c r="BG51" i="2"/>
  <c r="BG62" i="2"/>
  <c r="BG78" i="2"/>
  <c r="BG64" i="2"/>
  <c r="BG118" i="2"/>
  <c r="BG115" i="2"/>
  <c r="BG130" i="2"/>
  <c r="BG121" i="2"/>
  <c r="BG126" i="2"/>
  <c r="BG145" i="2"/>
  <c r="BG114" i="2"/>
  <c r="BG136" i="2"/>
  <c r="BG125" i="2"/>
  <c r="BG116" i="2"/>
  <c r="BG123" i="2"/>
  <c r="BG120" i="2"/>
  <c r="BG127" i="2"/>
  <c r="BG113" i="2"/>
  <c r="BG139" i="2"/>
  <c r="BG133" i="2"/>
  <c r="BG134" i="2"/>
  <c r="BG103" i="2"/>
  <c r="BG119" i="2"/>
  <c r="BG128" i="2"/>
  <c r="BG131" i="2"/>
  <c r="BG132" i="2"/>
  <c r="BG135" i="2"/>
  <c r="BG129" i="2"/>
  <c r="BG142" i="2"/>
  <c r="BG141" i="2"/>
  <c r="BG146" i="2"/>
  <c r="BG110" i="2"/>
  <c r="BG144" i="2"/>
  <c r="BG147" i="2"/>
  <c r="BG143" i="2"/>
  <c r="BG117" i="2"/>
  <c r="BG140" i="2"/>
  <c r="BG107" i="2"/>
  <c r="BG111" i="2"/>
  <c r="BG122" i="2"/>
  <c r="BG138" i="2"/>
  <c r="BG124" i="2"/>
  <c r="BG156" i="2"/>
  <c r="BG153" i="2"/>
  <c r="BG168" i="2"/>
  <c r="BG159" i="2"/>
  <c r="BG164" i="2"/>
  <c r="BG183" i="2"/>
  <c r="BG152" i="2"/>
  <c r="BG174" i="2"/>
  <c r="BG163" i="2"/>
  <c r="BG154" i="2"/>
  <c r="BG161" i="2"/>
  <c r="BG158" i="2"/>
  <c r="BG165" i="2"/>
  <c r="BG151" i="2"/>
  <c r="BG177" i="2"/>
  <c r="BG171" i="2"/>
  <c r="BG172" i="2"/>
  <c r="BG189" i="2"/>
  <c r="BG157" i="2"/>
  <c r="BG166" i="2"/>
  <c r="BG169" i="2"/>
  <c r="BG170" i="2"/>
  <c r="BG173" i="2"/>
  <c r="BG167" i="2"/>
  <c r="BG180" i="2"/>
  <c r="BG179" i="2"/>
  <c r="BG184" i="2"/>
  <c r="BG148" i="2"/>
  <c r="BG182" i="2"/>
  <c r="BG185" i="2"/>
  <c r="BG181" i="2"/>
  <c r="BG155" i="2"/>
  <c r="BG178" i="2"/>
  <c r="BG193" i="2"/>
  <c r="BG149" i="2"/>
  <c r="BG160" i="2"/>
  <c r="BG176" i="2"/>
  <c r="BG162" i="2"/>
  <c r="BG214" i="2"/>
  <c r="BG211" i="2"/>
  <c r="BG226" i="2"/>
  <c r="BG217" i="2"/>
  <c r="BG222" i="2"/>
  <c r="BG241" i="2"/>
  <c r="BG210" i="2"/>
  <c r="BG232" i="2"/>
  <c r="BG221" i="2"/>
  <c r="BG212" i="2"/>
  <c r="BG219" i="2"/>
  <c r="BG216" i="2"/>
  <c r="BG223" i="2"/>
  <c r="BG209" i="2"/>
  <c r="BG235" i="2"/>
  <c r="BG229" i="2"/>
  <c r="BG230" i="2"/>
  <c r="BG215" i="2"/>
  <c r="BG224" i="2"/>
  <c r="BG227" i="2"/>
  <c r="BG228" i="2"/>
  <c r="BG231" i="2"/>
  <c r="BG225" i="2"/>
  <c r="BG238" i="2"/>
  <c r="BG237" i="2"/>
  <c r="BG242" i="2"/>
  <c r="BG206" i="2"/>
  <c r="BG240" i="2"/>
  <c r="BG243" i="2"/>
  <c r="BG239" i="2"/>
  <c r="BG213" i="2"/>
  <c r="BG236" i="2"/>
  <c r="BG207" i="2"/>
  <c r="BG218" i="2"/>
  <c r="BG234" i="2"/>
  <c r="BG220" i="2"/>
  <c r="BG252" i="2"/>
  <c r="BG249" i="2"/>
  <c r="BG264" i="2"/>
  <c r="BG255" i="2"/>
  <c r="BG260" i="2"/>
  <c r="BG279" i="2"/>
  <c r="BG248" i="2"/>
  <c r="BG270" i="2"/>
  <c r="BG259" i="2"/>
  <c r="BG250" i="2"/>
  <c r="BG257" i="2"/>
  <c r="BG254" i="2"/>
  <c r="BG261" i="2"/>
  <c r="BG247" i="2"/>
  <c r="BG273" i="2"/>
  <c r="BG267" i="2"/>
  <c r="BG268" i="2"/>
  <c r="BG284" i="2"/>
  <c r="BG253" i="2"/>
  <c r="BG262" i="2"/>
  <c r="BG265" i="2"/>
  <c r="BG266" i="2"/>
  <c r="BG269" i="2"/>
  <c r="BG263" i="2"/>
  <c r="BG276" i="2"/>
  <c r="BG275" i="2"/>
  <c r="BG280" i="2"/>
  <c r="BG244" i="2"/>
  <c r="BG278" i="2"/>
  <c r="BG281" i="2"/>
  <c r="BG277" i="2"/>
  <c r="BG251" i="2"/>
  <c r="BG274" i="2"/>
  <c r="BG245" i="2"/>
  <c r="BG256" i="2"/>
  <c r="BG272" i="2"/>
  <c r="BG258" i="2"/>
  <c r="BG293" i="2"/>
  <c r="BG295" i="2"/>
  <c r="BG351" i="2"/>
  <c r="BG435" i="2"/>
  <c r="BG436" i="2"/>
  <c r="BG104" i="2"/>
  <c r="BG190" i="2"/>
  <c r="BG349" i="2"/>
  <c r="BG346" i="2"/>
  <c r="BG204" i="2"/>
  <c r="BG340" i="2"/>
  <c r="BG410" i="2"/>
  <c r="BG350" i="2"/>
  <c r="BG294" i="2"/>
  <c r="BG296" i="2"/>
  <c r="BG98" i="2"/>
  <c r="BN98" i="2" s="1"/>
  <c r="BG99" i="2"/>
  <c r="BN99" i="2" s="1"/>
  <c r="BG96" i="2"/>
  <c r="BN96" i="2" s="1"/>
  <c r="BG97" i="2"/>
  <c r="BN97" i="2" s="1"/>
  <c r="BE97" i="2"/>
  <c r="BE96" i="2"/>
  <c r="BE99" i="2"/>
  <c r="BE98" i="2"/>
  <c r="BE296" i="2"/>
  <c r="BE294" i="2"/>
  <c r="BE350" i="2"/>
  <c r="BE410" i="2"/>
  <c r="BE340" i="2"/>
  <c r="BE204" i="2"/>
  <c r="BE346" i="2"/>
  <c r="BE349" i="2"/>
  <c r="BE190" i="2"/>
  <c r="BE104" i="2"/>
  <c r="BE436" i="2"/>
  <c r="BE435" i="2"/>
  <c r="BE351" i="2"/>
  <c r="BE295" i="2"/>
  <c r="BE293" i="2"/>
  <c r="BE258" i="2"/>
  <c r="BE272" i="2"/>
  <c r="BE256" i="2"/>
  <c r="BE245" i="2"/>
  <c r="BE274" i="2"/>
  <c r="BE251" i="2"/>
  <c r="BE277" i="2"/>
  <c r="BE281" i="2"/>
  <c r="BE278" i="2"/>
  <c r="BE244" i="2"/>
  <c r="BE280" i="2"/>
  <c r="BE275" i="2"/>
  <c r="BE276" i="2"/>
  <c r="BE263" i="2"/>
  <c r="BE269" i="2"/>
  <c r="BE266" i="2"/>
  <c r="BE265" i="2"/>
  <c r="BE262" i="2"/>
  <c r="BE253" i="2"/>
  <c r="BE284" i="2"/>
  <c r="BE268" i="2"/>
  <c r="BE267" i="2"/>
  <c r="BE273" i="2"/>
  <c r="BE247" i="2"/>
  <c r="BE261" i="2"/>
  <c r="BE254" i="2"/>
  <c r="BE257" i="2"/>
  <c r="BE250" i="2"/>
  <c r="BE259" i="2"/>
  <c r="BE270" i="2"/>
  <c r="BE248" i="2"/>
  <c r="BE279" i="2"/>
  <c r="BE260" i="2"/>
  <c r="BE255" i="2"/>
  <c r="BE264" i="2"/>
  <c r="BE249" i="2"/>
  <c r="BE252" i="2"/>
  <c r="BE220" i="2"/>
  <c r="BE234" i="2"/>
  <c r="BE218" i="2"/>
  <c r="BE207" i="2"/>
  <c r="BE236" i="2"/>
  <c r="BE213" i="2"/>
  <c r="BE239" i="2"/>
  <c r="BE243" i="2"/>
  <c r="BE240" i="2"/>
  <c r="BE206" i="2"/>
  <c r="BE242" i="2"/>
  <c r="BE237" i="2"/>
  <c r="BE238" i="2"/>
  <c r="BE225" i="2"/>
  <c r="BE231" i="2"/>
  <c r="BE228" i="2"/>
  <c r="BE227" i="2"/>
  <c r="BE224" i="2"/>
  <c r="BE215" i="2"/>
  <c r="BE230" i="2"/>
  <c r="BE229" i="2"/>
  <c r="BE235" i="2"/>
  <c r="BE209" i="2"/>
  <c r="BE223" i="2"/>
  <c r="BE216" i="2"/>
  <c r="BE219" i="2"/>
  <c r="BE212" i="2"/>
  <c r="BE221" i="2"/>
  <c r="BE232" i="2"/>
  <c r="BE210" i="2"/>
  <c r="BE241" i="2"/>
  <c r="BE222" i="2"/>
  <c r="BE217" i="2"/>
  <c r="BE226" i="2"/>
  <c r="BE211" i="2"/>
  <c r="BE214" i="2"/>
  <c r="BE162" i="2"/>
  <c r="BE176" i="2"/>
  <c r="BE160" i="2"/>
  <c r="BE149" i="2"/>
  <c r="BE193" i="2"/>
  <c r="BE178" i="2"/>
  <c r="BE155" i="2"/>
  <c r="BE181" i="2"/>
  <c r="BE185" i="2"/>
  <c r="BE182" i="2"/>
  <c r="BE148" i="2"/>
  <c r="BE184" i="2"/>
  <c r="BE179" i="2"/>
  <c r="BE180" i="2"/>
  <c r="BE167" i="2"/>
  <c r="BE173" i="2"/>
  <c r="BE170" i="2"/>
  <c r="BE169" i="2"/>
  <c r="BE166" i="2"/>
  <c r="BE157" i="2"/>
  <c r="BE189" i="2"/>
  <c r="BE172" i="2"/>
  <c r="BE171" i="2"/>
  <c r="BE177" i="2"/>
  <c r="BE151" i="2"/>
  <c r="BE165" i="2"/>
  <c r="BE158" i="2"/>
  <c r="BE161" i="2"/>
  <c r="BE154" i="2"/>
  <c r="BE163" i="2"/>
  <c r="BE174" i="2"/>
  <c r="BE152" i="2"/>
  <c r="BE183" i="2"/>
  <c r="BE164" i="2"/>
  <c r="BE159" i="2"/>
  <c r="BE168" i="2"/>
  <c r="BE153" i="2"/>
  <c r="BE156" i="2"/>
  <c r="BE124" i="2"/>
  <c r="BE138" i="2"/>
  <c r="BE122" i="2"/>
  <c r="BE111" i="2"/>
  <c r="BE107" i="2"/>
  <c r="BE140" i="2"/>
  <c r="BE117" i="2"/>
  <c r="BE143" i="2"/>
  <c r="BE147" i="2"/>
  <c r="BE144" i="2"/>
  <c r="BE110" i="2"/>
  <c r="BE146" i="2"/>
  <c r="BE141" i="2"/>
  <c r="BE142" i="2"/>
  <c r="BE129" i="2"/>
  <c r="BE135" i="2"/>
  <c r="BE132" i="2"/>
  <c r="BE131" i="2"/>
  <c r="BE128" i="2"/>
  <c r="BE119" i="2"/>
  <c r="BE103" i="2"/>
  <c r="BE134" i="2"/>
  <c r="BE133" i="2"/>
  <c r="BE139" i="2"/>
  <c r="BE113" i="2"/>
  <c r="BE127" i="2"/>
  <c r="BE120" i="2"/>
  <c r="BE123" i="2"/>
  <c r="BE116" i="2"/>
  <c r="BE125" i="2"/>
  <c r="BE136" i="2"/>
  <c r="BE114" i="2"/>
  <c r="BE145" i="2"/>
  <c r="BE126" i="2"/>
  <c r="BE121" i="2"/>
  <c r="BE130" i="2"/>
  <c r="BE115" i="2"/>
  <c r="BE118" i="2"/>
  <c r="BE64" i="2"/>
  <c r="BE78" i="2"/>
  <c r="BE62" i="2"/>
  <c r="BE51" i="2"/>
  <c r="BE94" i="2"/>
  <c r="BE80" i="2"/>
  <c r="BE57" i="2"/>
  <c r="BE83" i="2"/>
  <c r="BE87" i="2"/>
  <c r="BE84" i="2"/>
  <c r="BE50" i="2"/>
  <c r="BE86" i="2"/>
  <c r="BE81" i="2"/>
  <c r="BE82" i="2"/>
  <c r="BE69" i="2"/>
  <c r="BE75" i="2"/>
  <c r="BE72" i="2"/>
  <c r="BE71" i="2"/>
  <c r="BE68" i="2"/>
  <c r="BE59" i="2"/>
  <c r="BE92" i="2"/>
  <c r="BE74" i="2"/>
  <c r="BE73" i="2"/>
  <c r="BE79" i="2"/>
  <c r="BE53" i="2"/>
  <c r="BE67" i="2"/>
  <c r="BE60" i="2"/>
  <c r="BE63" i="2"/>
  <c r="BE56" i="2"/>
  <c r="BE65" i="2"/>
  <c r="BE76" i="2"/>
  <c r="BE54" i="2"/>
  <c r="BE85" i="2"/>
  <c r="BE66" i="2"/>
  <c r="BE61" i="2"/>
  <c r="BE70" i="2"/>
  <c r="BE55" i="2"/>
  <c r="BE58" i="2"/>
  <c r="BE26" i="2"/>
  <c r="BE40" i="2"/>
  <c r="BE24" i="2"/>
  <c r="BE13" i="2"/>
  <c r="BE10" i="2"/>
  <c r="BE42" i="2"/>
  <c r="BE19" i="2"/>
  <c r="BE45" i="2"/>
  <c r="BE49" i="2"/>
  <c r="BE46" i="2"/>
  <c r="BE12" i="2"/>
  <c r="BE48" i="2"/>
  <c r="BE43" i="2"/>
  <c r="BE44" i="2"/>
  <c r="BE31" i="2"/>
  <c r="BE37" i="2"/>
  <c r="BE34" i="2"/>
  <c r="BE33" i="2"/>
  <c r="BE30" i="2"/>
  <c r="BE21" i="2"/>
  <c r="BE36" i="2"/>
  <c r="BE35" i="2"/>
  <c r="BE41" i="2"/>
  <c r="BE15" i="2"/>
  <c r="BE29" i="2"/>
  <c r="BE22" i="2"/>
  <c r="BE25" i="2"/>
  <c r="BE18" i="2"/>
  <c r="BE27" i="2"/>
  <c r="BE38" i="2"/>
  <c r="BE16" i="2"/>
  <c r="BE47" i="2"/>
  <c r="BE28" i="2"/>
  <c r="BE23" i="2"/>
  <c r="BE32" i="2"/>
  <c r="BE17" i="2"/>
  <c r="BE20" i="2"/>
  <c r="AK447" i="2" a="1"/>
  <c r="AK447" i="2" s="1"/>
  <c r="AL447" i="2" s="1" a="1"/>
  <c r="AL447" i="2" s="1"/>
  <c r="AM447" i="2" s="1" a="1"/>
  <c r="AM447" i="2" s="1"/>
  <c r="AN447" i="2" s="1" a="1"/>
  <c r="AN447" i="2" s="1"/>
  <c r="AO447" i="2" s="1" a="1"/>
  <c r="AO447" i="2" s="1"/>
  <c r="AP447" i="2" s="1" a="1"/>
  <c r="AP447" i="2" s="1"/>
  <c r="AQ447" i="2" s="1" a="1"/>
  <c r="AQ447" i="2" s="1"/>
  <c r="AR447" i="2" s="1"/>
  <c r="AS447" i="2" s="1"/>
  <c r="AT447" i="2" s="1"/>
  <c r="AU447" i="2" s="1"/>
  <c r="AV447" i="2" s="1"/>
  <c r="AW447" i="2" s="1"/>
  <c r="AX447" i="2" s="1"/>
  <c r="AY447" i="2" s="1"/>
  <c r="AC447" i="2"/>
  <c r="AK330" i="2" a="1"/>
  <c r="AK330" i="2" s="1"/>
  <c r="AL330" i="2" s="1" a="1"/>
  <c r="AL330" i="2" s="1"/>
  <c r="AM330" i="2" s="1" a="1"/>
  <c r="AM330" i="2" s="1"/>
  <c r="AN330" i="2" s="1" a="1"/>
  <c r="AN330" i="2" s="1"/>
  <c r="AO330" i="2" s="1" a="1"/>
  <c r="AO330" i="2" s="1"/>
  <c r="AP330" i="2" s="1" a="1"/>
  <c r="AP330" i="2" s="1"/>
  <c r="AQ330" i="2" s="1" a="1"/>
  <c r="AQ330" i="2" s="1"/>
  <c r="AR330" i="2" s="1"/>
  <c r="AS330" i="2" s="1"/>
  <c r="AT330" i="2" s="1"/>
  <c r="AU330" i="2" s="1"/>
  <c r="AV330" i="2" s="1"/>
  <c r="AW330" i="2" s="1"/>
  <c r="AX330" i="2" s="1"/>
  <c r="AY330" i="2" s="1"/>
  <c r="AC330" i="2"/>
  <c r="AK241" i="2" a="1"/>
  <c r="AK241" i="2" s="1"/>
  <c r="AL241" i="2" s="1" a="1"/>
  <c r="AL241" i="2" s="1"/>
  <c r="AM241" i="2" s="1" a="1"/>
  <c r="AM241" i="2" s="1"/>
  <c r="AN241" i="2" s="1" a="1"/>
  <c r="AN241" i="2" s="1"/>
  <c r="AO241" i="2" s="1" a="1"/>
  <c r="AO241" i="2" s="1"/>
  <c r="AP241" i="2" s="1" a="1"/>
  <c r="AP241" i="2" s="1"/>
  <c r="AQ241" i="2" s="1" a="1"/>
  <c r="AQ241" i="2" s="1"/>
  <c r="AR241" i="2" s="1"/>
  <c r="AS241" i="2" s="1"/>
  <c r="AT241" i="2" s="1"/>
  <c r="AU241" i="2" s="1"/>
  <c r="AV241" i="2" s="1"/>
  <c r="AW241" i="2" s="1"/>
  <c r="AX241" i="2" s="1"/>
  <c r="AY241" i="2" s="1"/>
  <c r="AC241" i="2"/>
  <c r="AK446" i="2" a="1"/>
  <c r="AK446" i="2" s="1"/>
  <c r="AL446" i="2" s="1" a="1"/>
  <c r="AL446" i="2" s="1"/>
  <c r="AM446" i="2" s="1" a="1"/>
  <c r="AM446" i="2" s="1"/>
  <c r="AN446" i="2" s="1" a="1"/>
  <c r="AN446" i="2" s="1"/>
  <c r="AO446" i="2" s="1" a="1"/>
  <c r="AO446" i="2" s="1"/>
  <c r="AP446" i="2" s="1" a="1"/>
  <c r="AP446" i="2" s="1"/>
  <c r="AQ446" i="2" s="1" a="1"/>
  <c r="AQ446" i="2" s="1"/>
  <c r="AR446" i="2" s="1"/>
  <c r="AS446" i="2" s="1"/>
  <c r="AT446" i="2" s="1"/>
  <c r="AU446" i="2" s="1"/>
  <c r="AV446" i="2" s="1"/>
  <c r="AW446" i="2" s="1"/>
  <c r="AX446" i="2" s="1"/>
  <c r="AY446" i="2" s="1"/>
  <c r="AC446" i="2"/>
  <c r="AK445" i="2" a="1"/>
  <c r="AK445" i="2" s="1"/>
  <c r="AL445" i="2" s="1" a="1"/>
  <c r="AL445" i="2" s="1"/>
  <c r="AM445" i="2" s="1" a="1"/>
  <c r="AM445" i="2" s="1"/>
  <c r="AN445" i="2" s="1" a="1"/>
  <c r="AN445" i="2" s="1"/>
  <c r="AO445" i="2" s="1" a="1"/>
  <c r="AO445" i="2" s="1"/>
  <c r="AP445" i="2" s="1" a="1"/>
  <c r="AP445" i="2" s="1"/>
  <c r="AQ445" i="2" s="1" a="1"/>
  <c r="AQ445" i="2" s="1"/>
  <c r="AR445" i="2" s="1"/>
  <c r="AS445" i="2" s="1"/>
  <c r="AT445" i="2" s="1"/>
  <c r="AU445" i="2" s="1"/>
  <c r="AV445" i="2" s="1"/>
  <c r="AW445" i="2" s="1"/>
  <c r="AX445" i="2" s="1"/>
  <c r="AY445" i="2" s="1"/>
  <c r="AC445" i="2"/>
  <c r="AK444" i="2" a="1"/>
  <c r="AK444" i="2" s="1"/>
  <c r="AL444" i="2" s="1" a="1"/>
  <c r="AL444" i="2" s="1"/>
  <c r="AM444" i="2" s="1" a="1"/>
  <c r="AM444" i="2" s="1"/>
  <c r="AN444" i="2" s="1" a="1"/>
  <c r="AN444" i="2" s="1"/>
  <c r="AO444" i="2" s="1" a="1"/>
  <c r="AO444" i="2" s="1"/>
  <c r="AP444" i="2" s="1" a="1"/>
  <c r="AP444" i="2" s="1"/>
  <c r="AQ444" i="2" s="1" a="1"/>
  <c r="AQ444" i="2" s="1"/>
  <c r="AR444" i="2" s="1"/>
  <c r="AS444" i="2" s="1"/>
  <c r="AT444" i="2" s="1"/>
  <c r="AU444" i="2" s="1"/>
  <c r="AV444" i="2" s="1"/>
  <c r="AW444" i="2" s="1"/>
  <c r="AX444" i="2" s="1"/>
  <c r="AY444" i="2" s="1"/>
  <c r="AC444" i="2"/>
  <c r="AK443" i="2" a="1"/>
  <c r="AK443" i="2" s="1"/>
  <c r="AL443" i="2" s="1" a="1"/>
  <c r="AL443" i="2" s="1"/>
  <c r="AM443" i="2" s="1" a="1"/>
  <c r="AM443" i="2" s="1"/>
  <c r="AN443" i="2" s="1" a="1"/>
  <c r="AN443" i="2" s="1"/>
  <c r="AO443" i="2" s="1" a="1"/>
  <c r="AO443" i="2" s="1"/>
  <c r="AP443" i="2" s="1" a="1"/>
  <c r="AP443" i="2" s="1"/>
  <c r="AQ443" i="2" s="1" a="1"/>
  <c r="AQ443" i="2" s="1"/>
  <c r="AR443" i="2" s="1"/>
  <c r="AS443" i="2" s="1"/>
  <c r="AT443" i="2" s="1"/>
  <c r="AU443" i="2" s="1"/>
  <c r="AV443" i="2" s="1"/>
  <c r="AW443" i="2" s="1"/>
  <c r="AX443" i="2" s="1"/>
  <c r="AY443" i="2" s="1"/>
  <c r="AC443" i="2"/>
  <c r="AK442" i="2" a="1"/>
  <c r="AK442" i="2" s="1"/>
  <c r="AL442" i="2" s="1" a="1"/>
  <c r="AL442" i="2" s="1"/>
  <c r="AM442" i="2" s="1" a="1"/>
  <c r="AM442" i="2" s="1"/>
  <c r="AN442" i="2" s="1" a="1"/>
  <c r="AN442" i="2" s="1"/>
  <c r="AO442" i="2" s="1" a="1"/>
  <c r="AO442" i="2" s="1"/>
  <c r="AP442" i="2" s="1" a="1"/>
  <c r="AP442" i="2" s="1"/>
  <c r="AQ442" i="2" s="1" a="1"/>
  <c r="AQ442" i="2" s="1"/>
  <c r="AR442" i="2" s="1"/>
  <c r="AS442" i="2" s="1"/>
  <c r="AT442" i="2" s="1"/>
  <c r="AU442" i="2" s="1"/>
  <c r="AV442" i="2" s="1"/>
  <c r="AW442" i="2" s="1"/>
  <c r="AX442" i="2" s="1"/>
  <c r="AY442" i="2" s="1"/>
  <c r="AC442" i="2"/>
  <c r="AK441" i="2" a="1"/>
  <c r="AK441" i="2" s="1"/>
  <c r="AL441" i="2" s="1" a="1"/>
  <c r="AL441" i="2" s="1"/>
  <c r="AM441" i="2" s="1" a="1"/>
  <c r="AM441" i="2" s="1"/>
  <c r="AN441" i="2" s="1" a="1"/>
  <c r="AN441" i="2" s="1"/>
  <c r="AO441" i="2" s="1" a="1"/>
  <c r="AO441" i="2" s="1"/>
  <c r="AP441" i="2" s="1" a="1"/>
  <c r="AP441" i="2" s="1"/>
  <c r="AQ441" i="2" s="1" a="1"/>
  <c r="AQ441" i="2" s="1"/>
  <c r="AR441" i="2" s="1"/>
  <c r="AS441" i="2" s="1"/>
  <c r="AT441" i="2" s="1"/>
  <c r="AU441" i="2" s="1"/>
  <c r="AV441" i="2" s="1"/>
  <c r="AW441" i="2" s="1"/>
  <c r="AX441" i="2" s="1"/>
  <c r="AY441" i="2" s="1"/>
  <c r="AC441" i="2"/>
  <c r="AK440" i="2" a="1"/>
  <c r="AK440" i="2" s="1"/>
  <c r="AL440" i="2" s="1" a="1"/>
  <c r="AL440" i="2" s="1"/>
  <c r="AM440" i="2" s="1" a="1"/>
  <c r="AM440" i="2" s="1"/>
  <c r="AN440" i="2" s="1" a="1"/>
  <c r="AN440" i="2" s="1"/>
  <c r="AO440" i="2" s="1" a="1"/>
  <c r="AO440" i="2" s="1"/>
  <c r="AP440" i="2" s="1" a="1"/>
  <c r="AP440" i="2" s="1"/>
  <c r="AQ440" i="2" s="1" a="1"/>
  <c r="AQ440" i="2" s="1"/>
  <c r="AR440" i="2" s="1"/>
  <c r="AS440" i="2" s="1"/>
  <c r="AT440" i="2" s="1"/>
  <c r="AU440" i="2" s="1"/>
  <c r="AV440" i="2" s="1"/>
  <c r="AW440" i="2" s="1"/>
  <c r="AX440" i="2" s="1"/>
  <c r="AY440" i="2" s="1"/>
  <c r="AC440" i="2"/>
  <c r="AK439" i="2" a="1"/>
  <c r="AK439" i="2" s="1"/>
  <c r="AL439" i="2" s="1" a="1"/>
  <c r="AL439" i="2" s="1"/>
  <c r="AM439" i="2" s="1" a="1"/>
  <c r="AM439" i="2" s="1"/>
  <c r="AN439" i="2" s="1" a="1"/>
  <c r="AN439" i="2" s="1"/>
  <c r="AO439" i="2" s="1" a="1"/>
  <c r="AO439" i="2" s="1"/>
  <c r="AP439" i="2" s="1" a="1"/>
  <c r="AP439" i="2" s="1"/>
  <c r="AQ439" i="2" s="1" a="1"/>
  <c r="AQ439" i="2" s="1"/>
  <c r="AR439" i="2" s="1"/>
  <c r="AS439" i="2" s="1"/>
  <c r="AT439" i="2" s="1"/>
  <c r="AU439" i="2" s="1"/>
  <c r="AV439" i="2" s="1"/>
  <c r="AW439" i="2" s="1"/>
  <c r="AX439" i="2" s="1"/>
  <c r="AY439" i="2" s="1"/>
  <c r="AC439" i="2"/>
  <c r="AK438" i="2" a="1"/>
  <c r="AK438" i="2" s="1"/>
  <c r="AL438" i="2" s="1" a="1"/>
  <c r="AL438" i="2" s="1"/>
  <c r="AM438" i="2" s="1" a="1"/>
  <c r="AM438" i="2" s="1"/>
  <c r="AN438" i="2" s="1" a="1"/>
  <c r="AN438" i="2" s="1"/>
  <c r="AO438" i="2" s="1" a="1"/>
  <c r="AO438" i="2" s="1"/>
  <c r="AP438" i="2" s="1" a="1"/>
  <c r="AP438" i="2" s="1"/>
  <c r="AQ438" i="2" s="1" a="1"/>
  <c r="AQ438" i="2" s="1"/>
  <c r="AR438" i="2" s="1"/>
  <c r="AS438" i="2" s="1"/>
  <c r="AT438" i="2" s="1"/>
  <c r="AU438" i="2" s="1"/>
  <c r="AV438" i="2" s="1"/>
  <c r="AW438" i="2" s="1"/>
  <c r="AX438" i="2" s="1"/>
  <c r="AY438" i="2" s="1"/>
  <c r="AC438" i="2"/>
  <c r="AK437" i="2" a="1"/>
  <c r="AK437" i="2" s="1"/>
  <c r="AL437" i="2" s="1" a="1"/>
  <c r="AL437" i="2" s="1"/>
  <c r="AM437" i="2" s="1" a="1"/>
  <c r="AM437" i="2" s="1"/>
  <c r="AN437" i="2" s="1" a="1"/>
  <c r="AN437" i="2" s="1"/>
  <c r="AO437" i="2" s="1" a="1"/>
  <c r="AO437" i="2" s="1"/>
  <c r="AP437" i="2" s="1" a="1"/>
  <c r="AP437" i="2" s="1"/>
  <c r="AQ437" i="2" s="1" a="1"/>
  <c r="AQ437" i="2" s="1"/>
  <c r="AR437" i="2" s="1"/>
  <c r="AS437" i="2" s="1"/>
  <c r="AT437" i="2" s="1"/>
  <c r="AU437" i="2" s="1"/>
  <c r="AV437" i="2" s="1"/>
  <c r="AW437" i="2" s="1"/>
  <c r="AX437" i="2" s="1"/>
  <c r="AY437" i="2" s="1"/>
  <c r="AC437" i="2"/>
  <c r="AK436" i="2" a="1"/>
  <c r="AK436" i="2" s="1"/>
  <c r="AL436" i="2" s="1" a="1"/>
  <c r="AL436" i="2" s="1"/>
  <c r="AM436" i="2" s="1" a="1"/>
  <c r="AM436" i="2" s="1"/>
  <c r="AN436" i="2" s="1" a="1"/>
  <c r="AN436" i="2" s="1"/>
  <c r="AO436" i="2" s="1" a="1"/>
  <c r="AO436" i="2" s="1"/>
  <c r="AP436" i="2" s="1" a="1"/>
  <c r="AP436" i="2" s="1"/>
  <c r="AQ436" i="2" s="1" a="1"/>
  <c r="AQ436" i="2" s="1"/>
  <c r="AR436" i="2" s="1"/>
  <c r="AS436" i="2" s="1"/>
  <c r="AT436" i="2" s="1"/>
  <c r="AU436" i="2" s="1"/>
  <c r="AV436" i="2" s="1"/>
  <c r="AW436" i="2" s="1"/>
  <c r="AX436" i="2" s="1"/>
  <c r="AY436" i="2" s="1"/>
  <c r="AC436" i="2"/>
  <c r="AK435" i="2" a="1"/>
  <c r="AK435" i="2" s="1"/>
  <c r="AL435" i="2" s="1" a="1"/>
  <c r="AL435" i="2" s="1"/>
  <c r="AM435" i="2" s="1" a="1"/>
  <c r="AM435" i="2" s="1"/>
  <c r="AN435" i="2" s="1" a="1"/>
  <c r="AN435" i="2" s="1"/>
  <c r="AO435" i="2" s="1" a="1"/>
  <c r="AO435" i="2" s="1"/>
  <c r="AP435" i="2" s="1" a="1"/>
  <c r="AP435" i="2" s="1"/>
  <c r="AQ435" i="2" s="1" a="1"/>
  <c r="AQ435" i="2" s="1"/>
  <c r="AR435" i="2" s="1"/>
  <c r="AS435" i="2" s="1"/>
  <c r="AT435" i="2" s="1"/>
  <c r="AU435" i="2" s="1"/>
  <c r="AV435" i="2" s="1"/>
  <c r="AW435" i="2" s="1"/>
  <c r="AX435" i="2" s="1"/>
  <c r="AY435" i="2" s="1"/>
  <c r="AC435" i="2"/>
  <c r="AK434" i="2" a="1"/>
  <c r="AK434" i="2" s="1"/>
  <c r="AL434" i="2" s="1" a="1"/>
  <c r="AL434" i="2" s="1"/>
  <c r="AM434" i="2" s="1" a="1"/>
  <c r="AM434" i="2" s="1"/>
  <c r="AN434" i="2" s="1" a="1"/>
  <c r="AN434" i="2" s="1"/>
  <c r="AO434" i="2" s="1" a="1"/>
  <c r="AO434" i="2" s="1"/>
  <c r="AP434" i="2" s="1" a="1"/>
  <c r="AP434" i="2" s="1"/>
  <c r="AQ434" i="2" s="1" a="1"/>
  <c r="AQ434" i="2" s="1"/>
  <c r="AR434" i="2" s="1"/>
  <c r="AS434" i="2" s="1"/>
  <c r="AT434" i="2" s="1"/>
  <c r="AU434" i="2" s="1"/>
  <c r="AV434" i="2" s="1"/>
  <c r="AW434" i="2" s="1"/>
  <c r="AX434" i="2" s="1"/>
  <c r="AY434" i="2" s="1"/>
  <c r="AC434" i="2"/>
  <c r="AK433" i="2" a="1"/>
  <c r="AK433" i="2" s="1"/>
  <c r="AL433" i="2" s="1" a="1"/>
  <c r="AL433" i="2" s="1"/>
  <c r="AM433" i="2" s="1" a="1"/>
  <c r="AM433" i="2" s="1"/>
  <c r="AN433" i="2" s="1" a="1"/>
  <c r="AN433" i="2" s="1"/>
  <c r="AO433" i="2" s="1" a="1"/>
  <c r="AO433" i="2" s="1"/>
  <c r="AP433" i="2" s="1" a="1"/>
  <c r="AP433" i="2" s="1"/>
  <c r="AQ433" i="2" s="1" a="1"/>
  <c r="AQ433" i="2" s="1"/>
  <c r="AR433" i="2" s="1"/>
  <c r="AS433" i="2" s="1"/>
  <c r="AT433" i="2" s="1"/>
  <c r="AU433" i="2" s="1"/>
  <c r="AV433" i="2" s="1"/>
  <c r="AW433" i="2" s="1"/>
  <c r="AX433" i="2" s="1"/>
  <c r="AY433" i="2" s="1"/>
  <c r="AC433" i="2"/>
  <c r="AK432" i="2" a="1"/>
  <c r="AK432" i="2" s="1"/>
  <c r="AL432" i="2" s="1" a="1"/>
  <c r="AL432" i="2" s="1"/>
  <c r="AM432" i="2" s="1" a="1"/>
  <c r="AM432" i="2" s="1"/>
  <c r="AN432" i="2" s="1" a="1"/>
  <c r="AN432" i="2" s="1"/>
  <c r="AO432" i="2" s="1" a="1"/>
  <c r="AO432" i="2" s="1"/>
  <c r="AP432" i="2" s="1" a="1"/>
  <c r="AP432" i="2" s="1"/>
  <c r="AQ432" i="2" s="1" a="1"/>
  <c r="AQ432" i="2" s="1"/>
  <c r="AR432" i="2" s="1"/>
  <c r="AS432" i="2" s="1"/>
  <c r="AT432" i="2" s="1"/>
  <c r="AU432" i="2" s="1"/>
  <c r="AV432" i="2" s="1"/>
  <c r="AW432" i="2" s="1"/>
  <c r="AX432" i="2" s="1"/>
  <c r="AY432" i="2" s="1"/>
  <c r="AC432" i="2"/>
  <c r="AK431" i="2" a="1"/>
  <c r="AK431" i="2" s="1"/>
  <c r="AL431" i="2" s="1" a="1"/>
  <c r="AL431" i="2" s="1"/>
  <c r="AM431" i="2" s="1" a="1"/>
  <c r="AM431" i="2" s="1"/>
  <c r="AN431" i="2" s="1" a="1"/>
  <c r="AN431" i="2" s="1"/>
  <c r="AO431" i="2" s="1" a="1"/>
  <c r="AO431" i="2" s="1"/>
  <c r="AP431" i="2" s="1" a="1"/>
  <c r="AP431" i="2" s="1"/>
  <c r="AQ431" i="2" s="1" a="1"/>
  <c r="AQ431" i="2" s="1"/>
  <c r="AR431" i="2" s="1"/>
  <c r="AS431" i="2" s="1"/>
  <c r="AT431" i="2" s="1"/>
  <c r="AU431" i="2" s="1"/>
  <c r="AV431" i="2" s="1"/>
  <c r="AW431" i="2" s="1"/>
  <c r="AX431" i="2" s="1"/>
  <c r="AY431" i="2" s="1"/>
  <c r="AC431" i="2"/>
  <c r="AK430" i="2" a="1"/>
  <c r="AK430" i="2" s="1"/>
  <c r="AL430" i="2" s="1" a="1"/>
  <c r="AL430" i="2" s="1"/>
  <c r="AM430" i="2" s="1" a="1"/>
  <c r="AM430" i="2" s="1"/>
  <c r="AN430" i="2" s="1" a="1"/>
  <c r="AN430" i="2" s="1"/>
  <c r="AO430" i="2" s="1" a="1"/>
  <c r="AO430" i="2" s="1"/>
  <c r="AP430" i="2" s="1" a="1"/>
  <c r="AP430" i="2" s="1"/>
  <c r="AQ430" i="2" s="1" a="1"/>
  <c r="AQ430" i="2" s="1"/>
  <c r="AR430" i="2" s="1"/>
  <c r="AS430" i="2" s="1"/>
  <c r="AT430" i="2" s="1"/>
  <c r="AU430" i="2" s="1"/>
  <c r="AV430" i="2" s="1"/>
  <c r="AW430" i="2" s="1"/>
  <c r="AX430" i="2" s="1"/>
  <c r="AY430" i="2" s="1"/>
  <c r="AC430" i="2"/>
  <c r="AK429" i="2" a="1"/>
  <c r="AK429" i="2" s="1"/>
  <c r="AL429" i="2" s="1" a="1"/>
  <c r="AL429" i="2" s="1"/>
  <c r="AM429" i="2" s="1" a="1"/>
  <c r="AM429" i="2" s="1"/>
  <c r="AN429" i="2" s="1" a="1"/>
  <c r="AN429" i="2" s="1"/>
  <c r="AO429" i="2" s="1" a="1"/>
  <c r="AO429" i="2" s="1"/>
  <c r="AP429" i="2" s="1" a="1"/>
  <c r="AP429" i="2" s="1"/>
  <c r="AQ429" i="2" s="1" a="1"/>
  <c r="AQ429" i="2" s="1"/>
  <c r="AR429" i="2" s="1"/>
  <c r="AS429" i="2" s="1"/>
  <c r="AT429" i="2" s="1"/>
  <c r="AU429" i="2" s="1"/>
  <c r="AV429" i="2" s="1"/>
  <c r="AW429" i="2" s="1"/>
  <c r="AX429" i="2" s="1"/>
  <c r="AY429" i="2" s="1"/>
  <c r="AC429" i="2"/>
  <c r="AK428" i="2" a="1"/>
  <c r="AK428" i="2" s="1"/>
  <c r="AL428" i="2" s="1" a="1"/>
  <c r="AL428" i="2" s="1"/>
  <c r="AM428" i="2" s="1" a="1"/>
  <c r="AM428" i="2" s="1"/>
  <c r="AN428" i="2" s="1" a="1"/>
  <c r="AN428" i="2" s="1"/>
  <c r="AO428" i="2" s="1" a="1"/>
  <c r="AO428" i="2" s="1"/>
  <c r="AP428" i="2" s="1" a="1"/>
  <c r="AP428" i="2" s="1"/>
  <c r="AQ428" i="2" s="1" a="1"/>
  <c r="AQ428" i="2" s="1"/>
  <c r="AR428" i="2" s="1"/>
  <c r="AS428" i="2" s="1"/>
  <c r="AT428" i="2" s="1"/>
  <c r="AU428" i="2" s="1"/>
  <c r="AV428" i="2" s="1"/>
  <c r="AW428" i="2" s="1"/>
  <c r="AX428" i="2" s="1"/>
  <c r="AY428" i="2" s="1"/>
  <c r="AC428" i="2"/>
  <c r="AK427" i="2" a="1"/>
  <c r="AK427" i="2" s="1"/>
  <c r="AL427" i="2" s="1" a="1"/>
  <c r="AL427" i="2" s="1"/>
  <c r="AM427" i="2" s="1" a="1"/>
  <c r="AM427" i="2" s="1"/>
  <c r="AN427" i="2" s="1" a="1"/>
  <c r="AN427" i="2" s="1"/>
  <c r="AO427" i="2" s="1" a="1"/>
  <c r="AO427" i="2" s="1"/>
  <c r="AP427" i="2" s="1" a="1"/>
  <c r="AP427" i="2" s="1"/>
  <c r="AQ427" i="2" s="1" a="1"/>
  <c r="AQ427" i="2" s="1"/>
  <c r="AR427" i="2" s="1"/>
  <c r="AS427" i="2" s="1"/>
  <c r="AT427" i="2" s="1"/>
  <c r="AU427" i="2" s="1"/>
  <c r="AV427" i="2" s="1"/>
  <c r="AW427" i="2" s="1"/>
  <c r="AX427" i="2" s="1"/>
  <c r="AY427" i="2" s="1"/>
  <c r="AC427" i="2"/>
  <c r="AK426" i="2" a="1"/>
  <c r="AK426" i="2" s="1"/>
  <c r="AL426" i="2" s="1" a="1"/>
  <c r="AL426" i="2" s="1"/>
  <c r="AM426" i="2" s="1" a="1"/>
  <c r="AM426" i="2" s="1"/>
  <c r="AN426" i="2" s="1" a="1"/>
  <c r="AN426" i="2" s="1"/>
  <c r="AO426" i="2" s="1" a="1"/>
  <c r="AO426" i="2" s="1"/>
  <c r="AP426" i="2" s="1" a="1"/>
  <c r="AP426" i="2" s="1"/>
  <c r="AQ426" i="2" s="1" a="1"/>
  <c r="AQ426" i="2" s="1"/>
  <c r="AR426" i="2" s="1"/>
  <c r="AS426" i="2" s="1"/>
  <c r="AT426" i="2" s="1"/>
  <c r="AU426" i="2" s="1"/>
  <c r="AV426" i="2" s="1"/>
  <c r="AW426" i="2" s="1"/>
  <c r="AX426" i="2" s="1"/>
  <c r="AY426" i="2" s="1"/>
  <c r="AC426" i="2"/>
  <c r="AK425" i="2" a="1"/>
  <c r="AK425" i="2" s="1"/>
  <c r="AL425" i="2" s="1" a="1"/>
  <c r="AL425" i="2" s="1"/>
  <c r="AM425" i="2" s="1" a="1"/>
  <c r="AM425" i="2" s="1"/>
  <c r="AN425" i="2" s="1" a="1"/>
  <c r="AN425" i="2" s="1"/>
  <c r="AO425" i="2" s="1" a="1"/>
  <c r="AO425" i="2" s="1"/>
  <c r="AP425" i="2" s="1" a="1"/>
  <c r="AP425" i="2" s="1"/>
  <c r="AQ425" i="2" s="1" a="1"/>
  <c r="AQ425" i="2" s="1"/>
  <c r="AR425" i="2" s="1"/>
  <c r="AS425" i="2" s="1"/>
  <c r="AT425" i="2" s="1"/>
  <c r="AU425" i="2" s="1"/>
  <c r="AV425" i="2" s="1"/>
  <c r="AW425" i="2" s="1"/>
  <c r="AX425" i="2" s="1"/>
  <c r="AY425" i="2" s="1"/>
  <c r="AC425" i="2"/>
  <c r="AK424" i="2" a="1"/>
  <c r="AK424" i="2" s="1"/>
  <c r="AL424" i="2" s="1" a="1"/>
  <c r="AL424" i="2" s="1"/>
  <c r="AM424" i="2" s="1" a="1"/>
  <c r="AM424" i="2" s="1"/>
  <c r="AN424" i="2" s="1" a="1"/>
  <c r="AN424" i="2" s="1"/>
  <c r="AO424" i="2" s="1" a="1"/>
  <c r="AO424" i="2" s="1"/>
  <c r="AP424" i="2" s="1" a="1"/>
  <c r="AP424" i="2" s="1"/>
  <c r="AQ424" i="2" s="1" a="1"/>
  <c r="AQ424" i="2" s="1"/>
  <c r="AR424" i="2" s="1"/>
  <c r="AS424" i="2" s="1"/>
  <c r="AT424" i="2" s="1"/>
  <c r="AU424" i="2" s="1"/>
  <c r="AV424" i="2" s="1"/>
  <c r="AW424" i="2" s="1"/>
  <c r="AX424" i="2" s="1"/>
  <c r="AY424" i="2" s="1"/>
  <c r="AC424" i="2"/>
  <c r="AK423" i="2" a="1"/>
  <c r="AK423" i="2" s="1"/>
  <c r="AL423" i="2" s="1" a="1"/>
  <c r="AL423" i="2" s="1"/>
  <c r="AM423" i="2" s="1" a="1"/>
  <c r="AM423" i="2" s="1"/>
  <c r="AN423" i="2" s="1" a="1"/>
  <c r="AN423" i="2" s="1"/>
  <c r="AO423" i="2" s="1" a="1"/>
  <c r="AO423" i="2" s="1"/>
  <c r="AP423" i="2" s="1" a="1"/>
  <c r="AP423" i="2" s="1"/>
  <c r="AQ423" i="2" s="1" a="1"/>
  <c r="AQ423" i="2" s="1"/>
  <c r="AR423" i="2" s="1"/>
  <c r="AS423" i="2" s="1"/>
  <c r="AT423" i="2" s="1"/>
  <c r="AU423" i="2" s="1"/>
  <c r="AV423" i="2" s="1"/>
  <c r="AW423" i="2" s="1"/>
  <c r="AX423" i="2" s="1"/>
  <c r="AY423" i="2" s="1"/>
  <c r="AC423" i="2"/>
  <c r="AK422" i="2" a="1"/>
  <c r="AK422" i="2" s="1"/>
  <c r="AL422" i="2" s="1" a="1"/>
  <c r="AL422" i="2" s="1"/>
  <c r="AM422" i="2" s="1" a="1"/>
  <c r="AM422" i="2" s="1"/>
  <c r="AN422" i="2" s="1" a="1"/>
  <c r="AN422" i="2" s="1"/>
  <c r="AO422" i="2" s="1" a="1"/>
  <c r="AO422" i="2" s="1"/>
  <c r="AP422" i="2" s="1" a="1"/>
  <c r="AP422" i="2" s="1"/>
  <c r="AQ422" i="2" s="1" a="1"/>
  <c r="AQ422" i="2" s="1"/>
  <c r="AR422" i="2" s="1"/>
  <c r="AS422" i="2" s="1"/>
  <c r="AT422" i="2" s="1"/>
  <c r="AU422" i="2" s="1"/>
  <c r="AV422" i="2" s="1"/>
  <c r="AW422" i="2" s="1"/>
  <c r="AX422" i="2" s="1"/>
  <c r="AY422" i="2" s="1"/>
  <c r="AC422" i="2"/>
  <c r="AK421" i="2" a="1"/>
  <c r="AK421" i="2" s="1"/>
  <c r="AL421" i="2" s="1" a="1"/>
  <c r="AL421" i="2" s="1"/>
  <c r="AM421" i="2" s="1" a="1"/>
  <c r="AM421" i="2" s="1"/>
  <c r="AN421" i="2" s="1" a="1"/>
  <c r="AN421" i="2" s="1"/>
  <c r="AO421" i="2" s="1" a="1"/>
  <c r="AO421" i="2" s="1"/>
  <c r="AP421" i="2" s="1" a="1"/>
  <c r="AP421" i="2" s="1"/>
  <c r="AQ421" i="2" s="1" a="1"/>
  <c r="AQ421" i="2" s="1"/>
  <c r="AR421" i="2" s="1"/>
  <c r="AS421" i="2" s="1"/>
  <c r="AT421" i="2" s="1"/>
  <c r="AU421" i="2" s="1"/>
  <c r="AV421" i="2" s="1"/>
  <c r="AW421" i="2" s="1"/>
  <c r="AX421" i="2" s="1"/>
  <c r="AY421" i="2" s="1"/>
  <c r="AC421" i="2"/>
  <c r="AK419" i="2" a="1"/>
  <c r="AK419" i="2" s="1"/>
  <c r="AL419" i="2" s="1" a="1"/>
  <c r="AL419" i="2" s="1"/>
  <c r="AM419" i="2" s="1" a="1"/>
  <c r="AM419" i="2" s="1"/>
  <c r="AN419" i="2" s="1" a="1"/>
  <c r="AN419" i="2" s="1"/>
  <c r="AO419" i="2" s="1" a="1"/>
  <c r="AO419" i="2" s="1"/>
  <c r="AP419" i="2" s="1" a="1"/>
  <c r="AP419" i="2" s="1"/>
  <c r="AQ419" i="2" s="1" a="1"/>
  <c r="AQ419" i="2" s="1"/>
  <c r="AR419" i="2" s="1"/>
  <c r="AS419" i="2" s="1"/>
  <c r="AT419" i="2" s="1"/>
  <c r="AU419" i="2" s="1"/>
  <c r="AV419" i="2" s="1"/>
  <c r="AW419" i="2" s="1"/>
  <c r="AX419" i="2" s="1"/>
  <c r="AY419" i="2" s="1"/>
  <c r="AC419" i="2"/>
  <c r="AK416" i="2" a="1"/>
  <c r="AK416" i="2" s="1"/>
  <c r="AL416" i="2" s="1" a="1"/>
  <c r="AL416" i="2" s="1"/>
  <c r="AM416" i="2" s="1" a="1"/>
  <c r="AM416" i="2" s="1"/>
  <c r="AN416" i="2" s="1" a="1"/>
  <c r="AN416" i="2" s="1"/>
  <c r="AO416" i="2" s="1" a="1"/>
  <c r="AO416" i="2" s="1"/>
  <c r="AP416" i="2" s="1" a="1"/>
  <c r="AP416" i="2" s="1"/>
  <c r="AQ416" i="2" s="1" a="1"/>
  <c r="AQ416" i="2" s="1"/>
  <c r="AR416" i="2" s="1"/>
  <c r="AS416" i="2" s="1"/>
  <c r="AT416" i="2" s="1"/>
  <c r="AU416" i="2" s="1"/>
  <c r="AV416" i="2" s="1"/>
  <c r="AW416" i="2" s="1"/>
  <c r="AX416" i="2" s="1"/>
  <c r="AY416" i="2" s="1"/>
  <c r="AC416" i="2"/>
  <c r="AK413" i="2" a="1"/>
  <c r="AK413" i="2" s="1"/>
  <c r="AL413" i="2" s="1" a="1"/>
  <c r="AL413" i="2" s="1"/>
  <c r="AM413" i="2" s="1" a="1"/>
  <c r="AM413" i="2" s="1"/>
  <c r="AN413" i="2" s="1" a="1"/>
  <c r="AN413" i="2" s="1"/>
  <c r="AO413" i="2" s="1" a="1"/>
  <c r="AO413" i="2" s="1"/>
  <c r="AP413" i="2" s="1" a="1"/>
  <c r="AP413" i="2" s="1"/>
  <c r="AQ413" i="2" s="1" a="1"/>
  <c r="AQ413" i="2" s="1"/>
  <c r="AR413" i="2" s="1"/>
  <c r="AS413" i="2" s="1"/>
  <c r="AT413" i="2" s="1"/>
  <c r="AU413" i="2" s="1"/>
  <c r="AV413" i="2" s="1"/>
  <c r="AW413" i="2" s="1"/>
  <c r="AX413" i="2" s="1"/>
  <c r="AY413" i="2" s="1"/>
  <c r="AC413" i="2"/>
  <c r="AK410" i="2" a="1"/>
  <c r="AK410" i="2" s="1"/>
  <c r="AL410" i="2" s="1" a="1"/>
  <c r="AL410" i="2" s="1"/>
  <c r="AM410" i="2" s="1" a="1"/>
  <c r="AM410" i="2" s="1"/>
  <c r="AN410" i="2" s="1" a="1"/>
  <c r="AN410" i="2" s="1"/>
  <c r="AO410" i="2" s="1" a="1"/>
  <c r="AO410" i="2" s="1"/>
  <c r="AP410" i="2" s="1" a="1"/>
  <c r="AP410" i="2" s="1"/>
  <c r="AQ410" i="2" s="1" a="1"/>
  <c r="AQ410" i="2" s="1"/>
  <c r="AR410" i="2" s="1"/>
  <c r="AS410" i="2" s="1"/>
  <c r="AT410" i="2" s="1"/>
  <c r="AU410" i="2" s="1"/>
  <c r="AV410" i="2" s="1"/>
  <c r="AW410" i="2" s="1"/>
  <c r="AX410" i="2" s="1"/>
  <c r="AY410" i="2" s="1"/>
  <c r="AC410" i="2"/>
  <c r="AK407" i="2" a="1"/>
  <c r="AK407" i="2" s="1"/>
  <c r="AL407" i="2" s="1" a="1"/>
  <c r="AL407" i="2" s="1"/>
  <c r="AM407" i="2" s="1" a="1"/>
  <c r="AM407" i="2" s="1"/>
  <c r="AN407" i="2" s="1" a="1"/>
  <c r="AN407" i="2" s="1"/>
  <c r="AO407" i="2" s="1" a="1"/>
  <c r="AO407" i="2" s="1"/>
  <c r="AP407" i="2" s="1" a="1"/>
  <c r="AP407" i="2" s="1"/>
  <c r="AQ407" i="2" s="1" a="1"/>
  <c r="AQ407" i="2" s="1"/>
  <c r="AR407" i="2" s="1"/>
  <c r="AS407" i="2" s="1"/>
  <c r="AT407" i="2" s="1"/>
  <c r="AU407" i="2" s="1"/>
  <c r="AV407" i="2" s="1"/>
  <c r="AW407" i="2" s="1"/>
  <c r="AX407" i="2" s="1"/>
  <c r="AY407" i="2" s="1"/>
  <c r="AC407" i="2"/>
  <c r="AK404" i="2" a="1"/>
  <c r="AK404" i="2" s="1"/>
  <c r="AL404" i="2" s="1" a="1"/>
  <c r="AL404" i="2" s="1"/>
  <c r="AM404" i="2" s="1" a="1"/>
  <c r="AM404" i="2" s="1"/>
  <c r="AN404" i="2" s="1" a="1"/>
  <c r="AN404" i="2" s="1"/>
  <c r="AO404" i="2" s="1" a="1"/>
  <c r="AO404" i="2" s="1"/>
  <c r="AP404" i="2" s="1" a="1"/>
  <c r="AP404" i="2" s="1"/>
  <c r="AQ404" i="2" s="1" a="1"/>
  <c r="AQ404" i="2" s="1"/>
  <c r="AR404" i="2" s="1"/>
  <c r="AS404" i="2" s="1"/>
  <c r="AT404" i="2" s="1"/>
  <c r="AU404" i="2" s="1"/>
  <c r="AV404" i="2" s="1"/>
  <c r="AW404" i="2" s="1"/>
  <c r="AX404" i="2" s="1"/>
  <c r="AY404" i="2" s="1"/>
  <c r="AC404" i="2"/>
  <c r="AK401" i="2" a="1"/>
  <c r="AK401" i="2" s="1"/>
  <c r="AL401" i="2" s="1" a="1"/>
  <c r="AL401" i="2" s="1"/>
  <c r="AM401" i="2" s="1" a="1"/>
  <c r="AM401" i="2" s="1"/>
  <c r="AN401" i="2" s="1" a="1"/>
  <c r="AN401" i="2" s="1"/>
  <c r="AO401" i="2" s="1" a="1"/>
  <c r="AO401" i="2" s="1"/>
  <c r="AP401" i="2" s="1" a="1"/>
  <c r="AP401" i="2" s="1"/>
  <c r="AQ401" i="2" s="1" a="1"/>
  <c r="AQ401" i="2" s="1"/>
  <c r="AR401" i="2" s="1"/>
  <c r="AS401" i="2" s="1"/>
  <c r="AT401" i="2" s="1"/>
  <c r="AU401" i="2" s="1"/>
  <c r="AV401" i="2" s="1"/>
  <c r="AW401" i="2" s="1"/>
  <c r="AX401" i="2" s="1"/>
  <c r="AY401" i="2" s="1"/>
  <c r="AC401" i="2"/>
  <c r="AK398" i="2" a="1"/>
  <c r="AK398" i="2" s="1"/>
  <c r="AL398" i="2" s="1" a="1"/>
  <c r="AL398" i="2" s="1"/>
  <c r="AM398" i="2" s="1" a="1"/>
  <c r="AM398" i="2" s="1"/>
  <c r="AN398" i="2" s="1" a="1"/>
  <c r="AN398" i="2" s="1"/>
  <c r="AO398" i="2" s="1" a="1"/>
  <c r="AO398" i="2" s="1"/>
  <c r="AP398" i="2" s="1" a="1"/>
  <c r="AP398" i="2" s="1"/>
  <c r="AQ398" i="2" s="1" a="1"/>
  <c r="AQ398" i="2" s="1"/>
  <c r="AR398" i="2" s="1"/>
  <c r="AS398" i="2" s="1"/>
  <c r="AT398" i="2" s="1"/>
  <c r="AU398" i="2" s="1"/>
  <c r="AV398" i="2" s="1"/>
  <c r="AW398" i="2" s="1"/>
  <c r="AX398" i="2" s="1"/>
  <c r="AY398" i="2" s="1"/>
  <c r="AC398" i="2"/>
  <c r="AK395" i="2" a="1"/>
  <c r="AK395" i="2" s="1"/>
  <c r="AL395" i="2" s="1" a="1"/>
  <c r="AL395" i="2" s="1"/>
  <c r="AM395" i="2" s="1" a="1"/>
  <c r="AM395" i="2" s="1"/>
  <c r="AN395" i="2" s="1" a="1"/>
  <c r="AN395" i="2" s="1"/>
  <c r="AO395" i="2" s="1" a="1"/>
  <c r="AO395" i="2" s="1"/>
  <c r="AP395" i="2" s="1" a="1"/>
  <c r="AP395" i="2" s="1"/>
  <c r="AQ395" i="2" s="1" a="1"/>
  <c r="AQ395" i="2" s="1"/>
  <c r="AR395" i="2" s="1"/>
  <c r="AS395" i="2" s="1"/>
  <c r="AT395" i="2" s="1"/>
  <c r="AU395" i="2" s="1"/>
  <c r="AV395" i="2" s="1"/>
  <c r="AW395" i="2" s="1"/>
  <c r="AX395" i="2" s="1"/>
  <c r="AY395" i="2" s="1"/>
  <c r="AC395" i="2"/>
  <c r="AK392" i="2" a="1"/>
  <c r="AK392" i="2" s="1"/>
  <c r="AL392" i="2" s="1" a="1"/>
  <c r="AL392" i="2" s="1"/>
  <c r="AM392" i="2" s="1" a="1"/>
  <c r="AM392" i="2" s="1"/>
  <c r="AN392" i="2" s="1" a="1"/>
  <c r="AN392" i="2" s="1"/>
  <c r="AO392" i="2" s="1" a="1"/>
  <c r="AO392" i="2" s="1"/>
  <c r="AP392" i="2" s="1" a="1"/>
  <c r="AP392" i="2" s="1"/>
  <c r="AQ392" i="2" s="1" a="1"/>
  <c r="AQ392" i="2" s="1"/>
  <c r="AR392" i="2" s="1"/>
  <c r="AS392" i="2" s="1"/>
  <c r="AT392" i="2" s="1"/>
  <c r="AU392" i="2" s="1"/>
  <c r="AV392" i="2" s="1"/>
  <c r="AW392" i="2" s="1"/>
  <c r="AX392" i="2" s="1"/>
  <c r="AY392" i="2" s="1"/>
  <c r="AC392" i="2"/>
  <c r="AK389" i="2" a="1"/>
  <c r="AK389" i="2" s="1"/>
  <c r="AL389" i="2" s="1" a="1"/>
  <c r="AL389" i="2" s="1"/>
  <c r="AM389" i="2" s="1" a="1"/>
  <c r="AM389" i="2" s="1"/>
  <c r="AN389" i="2" s="1" a="1"/>
  <c r="AN389" i="2" s="1"/>
  <c r="AO389" i="2" s="1" a="1"/>
  <c r="AO389" i="2" s="1"/>
  <c r="AP389" i="2" s="1" a="1"/>
  <c r="AP389" i="2" s="1"/>
  <c r="AQ389" i="2" s="1" a="1"/>
  <c r="AQ389" i="2" s="1"/>
  <c r="AR389" i="2" s="1"/>
  <c r="AS389" i="2" s="1"/>
  <c r="AT389" i="2" s="1"/>
  <c r="AU389" i="2" s="1"/>
  <c r="AV389" i="2" s="1"/>
  <c r="AW389" i="2" s="1"/>
  <c r="AX389" i="2" s="1"/>
  <c r="AY389" i="2" s="1"/>
  <c r="AC389" i="2"/>
  <c r="AK386" i="2" a="1"/>
  <c r="AK386" i="2" s="1"/>
  <c r="AL386" i="2" s="1" a="1"/>
  <c r="AL386" i="2" s="1"/>
  <c r="AM386" i="2" s="1" a="1"/>
  <c r="AM386" i="2" s="1"/>
  <c r="AN386" i="2" s="1" a="1"/>
  <c r="AN386" i="2" s="1"/>
  <c r="AO386" i="2" s="1" a="1"/>
  <c r="AO386" i="2" s="1"/>
  <c r="AP386" i="2" s="1" a="1"/>
  <c r="AP386" i="2" s="1"/>
  <c r="AQ386" i="2" s="1" a="1"/>
  <c r="AQ386" i="2" s="1"/>
  <c r="AR386" i="2" s="1"/>
  <c r="AS386" i="2" s="1"/>
  <c r="AT386" i="2" s="1"/>
  <c r="AU386" i="2" s="1"/>
  <c r="AV386" i="2" s="1"/>
  <c r="AW386" i="2" s="1"/>
  <c r="AX386" i="2" s="1"/>
  <c r="AY386" i="2" s="1"/>
  <c r="AC386" i="2"/>
  <c r="AK383" i="2" a="1"/>
  <c r="AK383" i="2" s="1"/>
  <c r="AL383" i="2" s="1" a="1"/>
  <c r="AL383" i="2" s="1"/>
  <c r="AM383" i="2" s="1" a="1"/>
  <c r="AM383" i="2" s="1"/>
  <c r="AN383" i="2" s="1" a="1"/>
  <c r="AN383" i="2" s="1"/>
  <c r="AO383" i="2" s="1" a="1"/>
  <c r="AO383" i="2" s="1"/>
  <c r="AP383" i="2" s="1" a="1"/>
  <c r="AP383" i="2" s="1"/>
  <c r="AQ383" i="2" s="1" a="1"/>
  <c r="AQ383" i="2" s="1"/>
  <c r="AR383" i="2" s="1"/>
  <c r="AS383" i="2" s="1"/>
  <c r="AT383" i="2" s="1"/>
  <c r="AU383" i="2" s="1"/>
  <c r="AV383" i="2" s="1"/>
  <c r="AW383" i="2" s="1"/>
  <c r="AX383" i="2" s="1"/>
  <c r="AY383" i="2" s="1"/>
  <c r="AC383" i="2"/>
  <c r="AK380" i="2" a="1"/>
  <c r="AK380" i="2" s="1"/>
  <c r="AL380" i="2" s="1" a="1"/>
  <c r="AL380" i="2" s="1"/>
  <c r="AM380" i="2" s="1" a="1"/>
  <c r="AM380" i="2" s="1"/>
  <c r="AN380" i="2" s="1" a="1"/>
  <c r="AN380" i="2" s="1"/>
  <c r="AO380" i="2" s="1" a="1"/>
  <c r="AO380" i="2" s="1"/>
  <c r="AP380" i="2" s="1" a="1"/>
  <c r="AP380" i="2" s="1"/>
  <c r="AQ380" i="2" s="1" a="1"/>
  <c r="AQ380" i="2" s="1"/>
  <c r="AR380" i="2" s="1"/>
  <c r="AS380" i="2" s="1"/>
  <c r="AT380" i="2" s="1"/>
  <c r="AU380" i="2" s="1"/>
  <c r="AV380" i="2" s="1"/>
  <c r="AW380" i="2" s="1"/>
  <c r="AX380" i="2" s="1"/>
  <c r="AY380" i="2" s="1"/>
  <c r="AC380" i="2"/>
  <c r="AK377" i="2" a="1"/>
  <c r="AK377" i="2" s="1"/>
  <c r="AL377" i="2" s="1" a="1"/>
  <c r="AL377" i="2" s="1"/>
  <c r="AM377" i="2" s="1" a="1"/>
  <c r="AM377" i="2" s="1"/>
  <c r="AN377" i="2" s="1" a="1"/>
  <c r="AN377" i="2" s="1"/>
  <c r="AO377" i="2" s="1" a="1"/>
  <c r="AO377" i="2" s="1"/>
  <c r="AP377" i="2" s="1" a="1"/>
  <c r="AP377" i="2" s="1"/>
  <c r="AQ377" i="2" s="1" a="1"/>
  <c r="AQ377" i="2" s="1"/>
  <c r="AR377" i="2" s="1"/>
  <c r="AS377" i="2" s="1"/>
  <c r="AT377" i="2" s="1"/>
  <c r="AU377" i="2" s="1"/>
  <c r="AV377" i="2" s="1"/>
  <c r="AW377" i="2" s="1"/>
  <c r="AX377" i="2" s="1"/>
  <c r="AY377" i="2" s="1"/>
  <c r="AC377" i="2"/>
  <c r="AK372" i="2" a="1"/>
  <c r="AK372" i="2" s="1"/>
  <c r="AL372" i="2" s="1" a="1"/>
  <c r="AL372" i="2" s="1"/>
  <c r="AM372" i="2" s="1" a="1"/>
  <c r="AM372" i="2" s="1"/>
  <c r="AN372" i="2" s="1" a="1"/>
  <c r="AN372" i="2" s="1"/>
  <c r="AO372" i="2" s="1" a="1"/>
  <c r="AO372" i="2" s="1"/>
  <c r="AP372" i="2" s="1" a="1"/>
  <c r="AP372" i="2" s="1"/>
  <c r="AQ372" i="2" s="1" a="1"/>
  <c r="AQ372" i="2" s="1"/>
  <c r="AR372" i="2" s="1"/>
  <c r="AS372" i="2" s="1"/>
  <c r="AT372" i="2" s="1"/>
  <c r="AU372" i="2" s="1"/>
  <c r="AV372" i="2" s="1"/>
  <c r="AW372" i="2" s="1"/>
  <c r="AX372" i="2" s="1"/>
  <c r="AY372" i="2" s="1"/>
  <c r="AC372" i="2"/>
  <c r="AK369" i="2" a="1"/>
  <c r="AK369" i="2" s="1"/>
  <c r="AL369" i="2" s="1" a="1"/>
  <c r="AL369" i="2" s="1"/>
  <c r="AM369" i="2" s="1" a="1"/>
  <c r="AM369" i="2" s="1"/>
  <c r="AN369" i="2" s="1" a="1"/>
  <c r="AN369" i="2" s="1"/>
  <c r="AO369" i="2" s="1" a="1"/>
  <c r="AO369" i="2" s="1"/>
  <c r="AP369" i="2" s="1" a="1"/>
  <c r="AP369" i="2" s="1"/>
  <c r="AQ369" i="2" s="1" a="1"/>
  <c r="AQ369" i="2" s="1"/>
  <c r="AR369" i="2" s="1"/>
  <c r="AS369" i="2" s="1"/>
  <c r="AT369" i="2" s="1"/>
  <c r="AU369" i="2" s="1"/>
  <c r="AV369" i="2" s="1"/>
  <c r="AW369" i="2" s="1"/>
  <c r="AX369" i="2" s="1"/>
  <c r="AY369" i="2" s="1"/>
  <c r="AC369" i="2"/>
  <c r="AK366" i="2" a="1"/>
  <c r="AK366" i="2" s="1"/>
  <c r="AL366" i="2" s="1" a="1"/>
  <c r="AL366" i="2" s="1"/>
  <c r="AM366" i="2" s="1" a="1"/>
  <c r="AM366" i="2" s="1"/>
  <c r="AN366" i="2" s="1" a="1"/>
  <c r="AN366" i="2" s="1"/>
  <c r="AO366" i="2" s="1" a="1"/>
  <c r="AO366" i="2" s="1"/>
  <c r="AP366" i="2" s="1" a="1"/>
  <c r="AP366" i="2" s="1"/>
  <c r="AQ366" i="2" s="1" a="1"/>
  <c r="AQ366" i="2" s="1"/>
  <c r="AR366" i="2" s="1"/>
  <c r="AS366" i="2" s="1"/>
  <c r="AT366" i="2" s="1"/>
  <c r="AU366" i="2" s="1"/>
  <c r="AV366" i="2" s="1"/>
  <c r="AW366" i="2" s="1"/>
  <c r="AX366" i="2" s="1"/>
  <c r="AY366" i="2" s="1"/>
  <c r="AC366" i="2"/>
  <c r="AK363" i="2" a="1"/>
  <c r="AK363" i="2" s="1"/>
  <c r="AL363" i="2" s="1" a="1"/>
  <c r="AL363" i="2" s="1"/>
  <c r="AM363" i="2" s="1" a="1"/>
  <c r="AM363" i="2" s="1"/>
  <c r="AN363" i="2" s="1" a="1"/>
  <c r="AN363" i="2" s="1"/>
  <c r="AO363" i="2" s="1" a="1"/>
  <c r="AO363" i="2" s="1"/>
  <c r="AP363" i="2" s="1" a="1"/>
  <c r="AP363" i="2" s="1"/>
  <c r="AQ363" i="2" s="1" a="1"/>
  <c r="AQ363" i="2" s="1"/>
  <c r="AR363" i="2" s="1"/>
  <c r="AS363" i="2" s="1"/>
  <c r="AT363" i="2" s="1"/>
  <c r="AU363" i="2" s="1"/>
  <c r="AV363" i="2" s="1"/>
  <c r="AW363" i="2" s="1"/>
  <c r="AX363" i="2" s="1"/>
  <c r="AY363" i="2" s="1"/>
  <c r="AC363" i="2"/>
  <c r="AK360" i="2" a="1"/>
  <c r="AK360" i="2" s="1"/>
  <c r="AL360" i="2" s="1" a="1"/>
  <c r="AL360" i="2" s="1"/>
  <c r="AM360" i="2" s="1" a="1"/>
  <c r="AM360" i="2" s="1"/>
  <c r="AN360" i="2" s="1" a="1"/>
  <c r="AN360" i="2" s="1"/>
  <c r="AO360" i="2" s="1" a="1"/>
  <c r="AO360" i="2" s="1"/>
  <c r="AP360" i="2" s="1" a="1"/>
  <c r="AP360" i="2" s="1"/>
  <c r="AQ360" i="2" s="1" a="1"/>
  <c r="AQ360" i="2" s="1"/>
  <c r="AR360" i="2" s="1"/>
  <c r="AS360" i="2" s="1"/>
  <c r="AT360" i="2" s="1"/>
  <c r="AU360" i="2" s="1"/>
  <c r="AV360" i="2" s="1"/>
  <c r="AW360" i="2" s="1"/>
  <c r="AX360" i="2" s="1"/>
  <c r="AY360" i="2" s="1"/>
  <c r="AC360" i="2"/>
  <c r="AK357" i="2" a="1"/>
  <c r="AK357" i="2" s="1"/>
  <c r="AL357" i="2" s="1" a="1"/>
  <c r="AL357" i="2" s="1"/>
  <c r="AM357" i="2" s="1" a="1"/>
  <c r="AM357" i="2" s="1"/>
  <c r="AN357" i="2" s="1" a="1"/>
  <c r="AN357" i="2" s="1"/>
  <c r="AO357" i="2" s="1" a="1"/>
  <c r="AO357" i="2" s="1"/>
  <c r="AP357" i="2" s="1" a="1"/>
  <c r="AP357" i="2" s="1"/>
  <c r="AQ357" i="2" s="1" a="1"/>
  <c r="AQ357" i="2" s="1"/>
  <c r="AR357" i="2" s="1"/>
  <c r="AS357" i="2" s="1"/>
  <c r="AT357" i="2" s="1"/>
  <c r="AU357" i="2" s="1"/>
  <c r="AV357" i="2" s="1"/>
  <c r="AW357" i="2" s="1"/>
  <c r="AX357" i="2" s="1"/>
  <c r="AY357" i="2" s="1"/>
  <c r="AC357" i="2"/>
  <c r="AK354" i="2" a="1"/>
  <c r="AK354" i="2" s="1"/>
  <c r="AL354" i="2" s="1" a="1"/>
  <c r="AL354" i="2" s="1"/>
  <c r="AM354" i="2" s="1" a="1"/>
  <c r="AM354" i="2" s="1"/>
  <c r="AN354" i="2" s="1" a="1"/>
  <c r="AN354" i="2" s="1"/>
  <c r="AO354" i="2" s="1" a="1"/>
  <c r="AO354" i="2" s="1"/>
  <c r="AP354" i="2" s="1" a="1"/>
  <c r="AP354" i="2" s="1"/>
  <c r="AQ354" i="2" s="1" a="1"/>
  <c r="AQ354" i="2" s="1"/>
  <c r="AR354" i="2" s="1"/>
  <c r="AS354" i="2" s="1"/>
  <c r="AT354" i="2" s="1"/>
  <c r="AU354" i="2" s="1"/>
  <c r="AV354" i="2" s="1"/>
  <c r="AW354" i="2" s="1"/>
  <c r="AX354" i="2" s="1"/>
  <c r="AY354" i="2" s="1"/>
  <c r="AC354" i="2"/>
  <c r="AK351" i="2" a="1"/>
  <c r="AK351" i="2" s="1"/>
  <c r="AL351" i="2" s="1" a="1"/>
  <c r="AL351" i="2" s="1"/>
  <c r="AM351" i="2" s="1" a="1"/>
  <c r="AM351" i="2" s="1"/>
  <c r="AN351" i="2" s="1" a="1"/>
  <c r="AN351" i="2" s="1"/>
  <c r="AO351" i="2" s="1" a="1"/>
  <c r="AO351" i="2" s="1"/>
  <c r="AP351" i="2" s="1" a="1"/>
  <c r="AP351" i="2" s="1"/>
  <c r="AQ351" i="2" s="1" a="1"/>
  <c r="AQ351" i="2" s="1"/>
  <c r="AR351" i="2" s="1"/>
  <c r="AS351" i="2" s="1"/>
  <c r="AT351" i="2" s="1"/>
  <c r="AU351" i="2" s="1"/>
  <c r="AV351" i="2" s="1"/>
  <c r="AW351" i="2" s="1"/>
  <c r="AX351" i="2" s="1"/>
  <c r="AY351" i="2" s="1"/>
  <c r="AC351" i="2"/>
  <c r="AK348" i="2" a="1"/>
  <c r="AK348" i="2" s="1"/>
  <c r="AL348" i="2" s="1" a="1"/>
  <c r="AL348" i="2" s="1"/>
  <c r="AM348" i="2" s="1" a="1"/>
  <c r="AM348" i="2" s="1"/>
  <c r="AN348" i="2" s="1" a="1"/>
  <c r="AN348" i="2" s="1"/>
  <c r="AO348" i="2" s="1" a="1"/>
  <c r="AO348" i="2" s="1"/>
  <c r="AP348" i="2" s="1" a="1"/>
  <c r="AP348" i="2" s="1"/>
  <c r="AQ348" i="2" s="1" a="1"/>
  <c r="AQ348" i="2" s="1"/>
  <c r="AR348" i="2" s="1"/>
  <c r="AS348" i="2" s="1"/>
  <c r="AT348" i="2" s="1"/>
  <c r="AU348" i="2" s="1"/>
  <c r="AV348" i="2" s="1"/>
  <c r="AW348" i="2" s="1"/>
  <c r="AX348" i="2" s="1"/>
  <c r="AY348" i="2" s="1"/>
  <c r="AC348" i="2"/>
  <c r="AK345" i="2" a="1"/>
  <c r="AK345" i="2" s="1"/>
  <c r="AL345" i="2" s="1" a="1"/>
  <c r="AL345" i="2" s="1"/>
  <c r="AM345" i="2" s="1" a="1"/>
  <c r="AM345" i="2" s="1"/>
  <c r="AN345" i="2" s="1" a="1"/>
  <c r="AN345" i="2" s="1"/>
  <c r="AO345" i="2" s="1" a="1"/>
  <c r="AO345" i="2" s="1"/>
  <c r="AP345" i="2" s="1" a="1"/>
  <c r="AP345" i="2" s="1"/>
  <c r="AQ345" i="2" s="1" a="1"/>
  <c r="AQ345" i="2" s="1"/>
  <c r="AR345" i="2" s="1"/>
  <c r="AS345" i="2" s="1"/>
  <c r="AT345" i="2" s="1"/>
  <c r="AU345" i="2" s="1"/>
  <c r="AV345" i="2" s="1"/>
  <c r="AW345" i="2" s="1"/>
  <c r="AX345" i="2" s="1"/>
  <c r="AY345" i="2" s="1"/>
  <c r="AC345" i="2"/>
  <c r="AK342" i="2" a="1"/>
  <c r="AK342" i="2" s="1"/>
  <c r="AL342" i="2" s="1" a="1"/>
  <c r="AL342" i="2" s="1"/>
  <c r="AM342" i="2" s="1" a="1"/>
  <c r="AM342" i="2" s="1"/>
  <c r="AN342" i="2" s="1" a="1"/>
  <c r="AN342" i="2" s="1"/>
  <c r="AO342" i="2" s="1" a="1"/>
  <c r="AO342" i="2" s="1"/>
  <c r="AP342" i="2" s="1" a="1"/>
  <c r="AP342" i="2" s="1"/>
  <c r="AQ342" i="2" s="1" a="1"/>
  <c r="AQ342" i="2" s="1"/>
  <c r="AR342" i="2" s="1"/>
  <c r="AS342" i="2" s="1"/>
  <c r="AT342" i="2" s="1"/>
  <c r="AU342" i="2" s="1"/>
  <c r="AV342" i="2" s="1"/>
  <c r="AW342" i="2" s="1"/>
  <c r="AX342" i="2" s="1"/>
  <c r="AY342" i="2" s="1"/>
  <c r="AC342" i="2"/>
  <c r="AK339" i="2" a="1"/>
  <c r="AK339" i="2" s="1"/>
  <c r="AL339" i="2" s="1" a="1"/>
  <c r="AL339" i="2" s="1"/>
  <c r="AM339" i="2" s="1" a="1"/>
  <c r="AM339" i="2" s="1"/>
  <c r="AN339" i="2" s="1" a="1"/>
  <c r="AN339" i="2" s="1"/>
  <c r="AO339" i="2" s="1" a="1"/>
  <c r="AO339" i="2" s="1"/>
  <c r="AP339" i="2" s="1" a="1"/>
  <c r="AP339" i="2" s="1"/>
  <c r="AQ339" i="2" s="1" a="1"/>
  <c r="AQ339" i="2" s="1"/>
  <c r="AR339" i="2" s="1"/>
  <c r="AS339" i="2" s="1"/>
  <c r="AT339" i="2" s="1"/>
  <c r="AU339" i="2" s="1"/>
  <c r="AV339" i="2" s="1"/>
  <c r="AW339" i="2" s="1"/>
  <c r="AX339" i="2" s="1"/>
  <c r="AY339" i="2" s="1"/>
  <c r="AC339" i="2"/>
  <c r="AK336" i="2" a="1"/>
  <c r="AK336" i="2" s="1"/>
  <c r="AL336" i="2" s="1" a="1"/>
  <c r="AL336" i="2" s="1"/>
  <c r="AM336" i="2" s="1" a="1"/>
  <c r="AM336" i="2" s="1"/>
  <c r="AN336" i="2" s="1" a="1"/>
  <c r="AN336" i="2" s="1"/>
  <c r="AO336" i="2" s="1" a="1"/>
  <c r="AO336" i="2" s="1"/>
  <c r="AP336" i="2" s="1" a="1"/>
  <c r="AP336" i="2" s="1"/>
  <c r="AQ336" i="2" s="1" a="1"/>
  <c r="AQ336" i="2" s="1"/>
  <c r="AR336" i="2" s="1"/>
  <c r="AS336" i="2" s="1"/>
  <c r="AT336" i="2" s="1"/>
  <c r="AU336" i="2" s="1"/>
  <c r="AV336" i="2" s="1"/>
  <c r="AW336" i="2" s="1"/>
  <c r="AX336" i="2" s="1"/>
  <c r="AY336" i="2" s="1"/>
  <c r="AC336" i="2"/>
  <c r="AK333" i="2" a="1"/>
  <c r="AK333" i="2" s="1"/>
  <c r="AL333" i="2" s="1" a="1"/>
  <c r="AL333" i="2" s="1"/>
  <c r="AM333" i="2" s="1" a="1"/>
  <c r="AM333" i="2" s="1"/>
  <c r="AN333" i="2" s="1" a="1"/>
  <c r="AN333" i="2" s="1"/>
  <c r="AO333" i="2" s="1" a="1"/>
  <c r="AO333" i="2" s="1"/>
  <c r="AP333" i="2" s="1" a="1"/>
  <c r="AP333" i="2" s="1"/>
  <c r="AQ333" i="2" s="1" a="1"/>
  <c r="AQ333" i="2" s="1"/>
  <c r="AR333" i="2" s="1"/>
  <c r="AS333" i="2" s="1"/>
  <c r="AT333" i="2" s="1"/>
  <c r="AU333" i="2" s="1"/>
  <c r="AV333" i="2" s="1"/>
  <c r="AW333" i="2" s="1"/>
  <c r="AX333" i="2" s="1"/>
  <c r="AY333" i="2" s="1"/>
  <c r="AC333" i="2"/>
  <c r="AC467" i="2"/>
  <c r="AK467" i="2" a="1"/>
  <c r="AK467" i="2" s="1"/>
  <c r="AL467" i="2" s="1" a="1"/>
  <c r="AL467" i="2" s="1"/>
  <c r="AM467" i="2" s="1" a="1"/>
  <c r="AM467" i="2" s="1"/>
  <c r="AN467" i="2" s="1" a="1"/>
  <c r="AN467" i="2" s="1"/>
  <c r="AO467" i="2" s="1" a="1"/>
  <c r="AO467" i="2" s="1"/>
  <c r="AP467" i="2" s="1" a="1"/>
  <c r="AP467" i="2" s="1"/>
  <c r="AQ467" i="2" s="1" a="1"/>
  <c r="AQ467" i="2" s="1"/>
  <c r="AR467" i="2" s="1"/>
  <c r="AS467" i="2" s="1"/>
  <c r="AT467" i="2" s="1"/>
  <c r="AU467" i="2" s="1"/>
  <c r="AV467" i="2" s="1"/>
  <c r="AW467" i="2" s="1"/>
  <c r="AX467" i="2" s="1"/>
  <c r="AY467" i="2" s="1"/>
  <c r="AK525" i="2" a="1"/>
  <c r="AK525" i="2" s="1"/>
  <c r="AL525" i="2" s="1" a="1"/>
  <c r="AL525" i="2" s="1"/>
  <c r="AM525" i="2" s="1" a="1"/>
  <c r="AM525" i="2" s="1"/>
  <c r="AN525" i="2" s="1" a="1"/>
  <c r="AN525" i="2" s="1"/>
  <c r="AO525" i="2" s="1" a="1"/>
  <c r="AO525" i="2" s="1"/>
  <c r="AP525" i="2" s="1" a="1"/>
  <c r="AP525" i="2" s="1"/>
  <c r="AQ525" i="2" s="1" a="1"/>
  <c r="AQ525" i="2" s="1"/>
  <c r="AR525" i="2" s="1"/>
  <c r="AS525" i="2" s="1"/>
  <c r="AT525" i="2" s="1"/>
  <c r="AU525" i="2" s="1"/>
  <c r="AV525" i="2" s="1"/>
  <c r="AW525" i="2" s="1"/>
  <c r="AX525" i="2" s="1"/>
  <c r="AY525" i="2" s="1"/>
  <c r="AC525" i="2"/>
  <c r="AK522" i="2" a="1"/>
  <c r="AK522" i="2" s="1"/>
  <c r="AL522" i="2" s="1" a="1"/>
  <c r="AL522" i="2" s="1"/>
  <c r="AM522" i="2" s="1" a="1"/>
  <c r="AM522" i="2" s="1"/>
  <c r="AN522" i="2" s="1" a="1"/>
  <c r="AN522" i="2" s="1"/>
  <c r="AO522" i="2" s="1" a="1"/>
  <c r="AO522" i="2" s="1"/>
  <c r="AP522" i="2" s="1" a="1"/>
  <c r="AP522" i="2" s="1"/>
  <c r="AQ522" i="2" s="1" a="1"/>
  <c r="AQ522" i="2" s="1"/>
  <c r="AR522" i="2" s="1"/>
  <c r="AS522" i="2" s="1"/>
  <c r="AT522" i="2" s="1"/>
  <c r="AU522" i="2" s="1"/>
  <c r="AV522" i="2" s="1"/>
  <c r="AW522" i="2" s="1"/>
  <c r="AX522" i="2" s="1"/>
  <c r="AY522" i="2" s="1"/>
  <c r="AC522" i="2"/>
  <c r="AK519" i="2" a="1"/>
  <c r="AK519" i="2" s="1"/>
  <c r="AL519" i="2" s="1" a="1"/>
  <c r="AL519" i="2" s="1"/>
  <c r="AM519" i="2" s="1" a="1"/>
  <c r="AM519" i="2" s="1"/>
  <c r="AN519" i="2" s="1" a="1"/>
  <c r="AN519" i="2" s="1"/>
  <c r="AO519" i="2" s="1" a="1"/>
  <c r="AO519" i="2" s="1"/>
  <c r="AP519" i="2" s="1" a="1"/>
  <c r="AP519" i="2" s="1"/>
  <c r="AQ519" i="2" s="1" a="1"/>
  <c r="AQ519" i="2" s="1"/>
  <c r="AR519" i="2" s="1"/>
  <c r="AS519" i="2" s="1"/>
  <c r="AT519" i="2" s="1"/>
  <c r="AU519" i="2" s="1"/>
  <c r="AV519" i="2" s="1"/>
  <c r="AW519" i="2" s="1"/>
  <c r="AX519" i="2" s="1"/>
  <c r="AY519" i="2" s="1"/>
  <c r="AC519" i="2"/>
  <c r="AK516" i="2" a="1"/>
  <c r="AK516" i="2" s="1"/>
  <c r="AL516" i="2" s="1" a="1"/>
  <c r="AL516" i="2" s="1"/>
  <c r="AM516" i="2" s="1" a="1"/>
  <c r="AM516" i="2" s="1"/>
  <c r="AN516" i="2" s="1" a="1"/>
  <c r="AN516" i="2" s="1"/>
  <c r="AO516" i="2" s="1" a="1"/>
  <c r="AO516" i="2" s="1"/>
  <c r="AP516" i="2" s="1" a="1"/>
  <c r="AP516" i="2" s="1"/>
  <c r="AQ516" i="2" s="1" a="1"/>
  <c r="AQ516" i="2" s="1"/>
  <c r="AR516" i="2" s="1"/>
  <c r="AS516" i="2" s="1"/>
  <c r="AT516" i="2" s="1"/>
  <c r="AU516" i="2" s="1"/>
  <c r="AV516" i="2" s="1"/>
  <c r="AW516" i="2" s="1"/>
  <c r="AX516" i="2" s="1"/>
  <c r="AY516" i="2" s="1"/>
  <c r="AC516" i="2"/>
  <c r="AK513" i="2" a="1"/>
  <c r="AK513" i="2" s="1"/>
  <c r="AL513" i="2" s="1" a="1"/>
  <c r="AL513" i="2" s="1"/>
  <c r="AM513" i="2" s="1" a="1"/>
  <c r="AM513" i="2" s="1"/>
  <c r="AN513" i="2" s="1" a="1"/>
  <c r="AN513" i="2" s="1"/>
  <c r="AO513" i="2" s="1" a="1"/>
  <c r="AO513" i="2" s="1"/>
  <c r="AP513" i="2" s="1" a="1"/>
  <c r="AP513" i="2" s="1"/>
  <c r="AQ513" i="2" s="1" a="1"/>
  <c r="AQ513" i="2" s="1"/>
  <c r="AR513" i="2" s="1"/>
  <c r="AS513" i="2" s="1"/>
  <c r="AT513" i="2" s="1"/>
  <c r="AU513" i="2" s="1"/>
  <c r="AV513" i="2" s="1"/>
  <c r="AW513" i="2" s="1"/>
  <c r="AX513" i="2" s="1"/>
  <c r="AY513" i="2" s="1"/>
  <c r="AC513" i="2"/>
  <c r="AK510" i="2" a="1"/>
  <c r="AK510" i="2" s="1"/>
  <c r="AL510" i="2" s="1" a="1"/>
  <c r="AL510" i="2" s="1"/>
  <c r="AM510" i="2" s="1" a="1"/>
  <c r="AM510" i="2" s="1"/>
  <c r="AN510" i="2" s="1" a="1"/>
  <c r="AN510" i="2" s="1"/>
  <c r="AO510" i="2" s="1" a="1"/>
  <c r="AO510" i="2" s="1"/>
  <c r="AP510" i="2" s="1" a="1"/>
  <c r="AP510" i="2" s="1"/>
  <c r="AQ510" i="2" s="1" a="1"/>
  <c r="AQ510" i="2" s="1"/>
  <c r="AR510" i="2" s="1"/>
  <c r="AS510" i="2" s="1"/>
  <c r="AT510" i="2" s="1"/>
  <c r="AU510" i="2" s="1"/>
  <c r="AV510" i="2" s="1"/>
  <c r="AW510" i="2" s="1"/>
  <c r="AX510" i="2" s="1"/>
  <c r="AY510" i="2" s="1"/>
  <c r="AC510" i="2"/>
  <c r="AK507" i="2" a="1"/>
  <c r="AK507" i="2" s="1"/>
  <c r="AL507" i="2" s="1" a="1"/>
  <c r="AL507" i="2" s="1"/>
  <c r="AM507" i="2" s="1" a="1"/>
  <c r="AM507" i="2" s="1"/>
  <c r="AN507" i="2" s="1" a="1"/>
  <c r="AN507" i="2" s="1"/>
  <c r="AO507" i="2" s="1" a="1"/>
  <c r="AO507" i="2" s="1"/>
  <c r="AP507" i="2" s="1" a="1"/>
  <c r="AP507" i="2" s="1"/>
  <c r="AQ507" i="2" s="1" a="1"/>
  <c r="AQ507" i="2" s="1"/>
  <c r="AR507" i="2" s="1"/>
  <c r="AS507" i="2" s="1"/>
  <c r="AT507" i="2" s="1"/>
  <c r="AU507" i="2" s="1"/>
  <c r="AV507" i="2" s="1"/>
  <c r="AW507" i="2" s="1"/>
  <c r="AX507" i="2" s="1"/>
  <c r="AY507" i="2" s="1"/>
  <c r="AC507" i="2"/>
  <c r="AK504" i="2" a="1"/>
  <c r="AK504" i="2" s="1"/>
  <c r="AL504" i="2" s="1" a="1"/>
  <c r="AL504" i="2" s="1"/>
  <c r="AM504" i="2" s="1" a="1"/>
  <c r="AM504" i="2" s="1"/>
  <c r="AN504" i="2" s="1" a="1"/>
  <c r="AN504" i="2" s="1"/>
  <c r="AO504" i="2" s="1" a="1"/>
  <c r="AO504" i="2" s="1"/>
  <c r="AP504" i="2" s="1" a="1"/>
  <c r="AP504" i="2" s="1"/>
  <c r="AQ504" i="2" s="1" a="1"/>
  <c r="AQ504" i="2" s="1"/>
  <c r="AR504" i="2" s="1"/>
  <c r="AS504" i="2" s="1"/>
  <c r="AT504" i="2" s="1"/>
  <c r="AU504" i="2" s="1"/>
  <c r="AV504" i="2" s="1"/>
  <c r="AW504" i="2" s="1"/>
  <c r="AX504" i="2" s="1"/>
  <c r="AY504" i="2" s="1"/>
  <c r="AC504" i="2"/>
  <c r="AK501" i="2" a="1"/>
  <c r="AK501" i="2" s="1"/>
  <c r="AL501" i="2" s="1" a="1"/>
  <c r="AL501" i="2" s="1"/>
  <c r="AM501" i="2" s="1" a="1"/>
  <c r="AM501" i="2" s="1"/>
  <c r="AN501" i="2" s="1" a="1"/>
  <c r="AN501" i="2" s="1"/>
  <c r="AO501" i="2" s="1" a="1"/>
  <c r="AO501" i="2" s="1"/>
  <c r="AP501" i="2" s="1" a="1"/>
  <c r="AP501" i="2" s="1"/>
  <c r="AQ501" i="2" s="1" a="1"/>
  <c r="AQ501" i="2" s="1"/>
  <c r="AR501" i="2" s="1"/>
  <c r="AS501" i="2" s="1"/>
  <c r="AT501" i="2" s="1"/>
  <c r="AU501" i="2" s="1"/>
  <c r="AV501" i="2" s="1"/>
  <c r="AW501" i="2" s="1"/>
  <c r="AX501" i="2" s="1"/>
  <c r="AY501" i="2" s="1"/>
  <c r="AC501" i="2"/>
  <c r="AK498" i="2" a="1"/>
  <c r="AK498" i="2" s="1"/>
  <c r="AL498" i="2" s="1" a="1"/>
  <c r="AL498" i="2" s="1"/>
  <c r="AM498" i="2" s="1" a="1"/>
  <c r="AM498" i="2" s="1"/>
  <c r="AN498" i="2" s="1" a="1"/>
  <c r="AN498" i="2" s="1"/>
  <c r="AO498" i="2" s="1" a="1"/>
  <c r="AO498" i="2" s="1"/>
  <c r="AP498" i="2" s="1" a="1"/>
  <c r="AP498" i="2" s="1"/>
  <c r="AQ498" i="2" s="1" a="1"/>
  <c r="AQ498" i="2" s="1"/>
  <c r="AR498" i="2" s="1"/>
  <c r="AS498" i="2" s="1"/>
  <c r="AT498" i="2" s="1"/>
  <c r="AU498" i="2" s="1"/>
  <c r="AV498" i="2" s="1"/>
  <c r="AW498" i="2" s="1"/>
  <c r="AX498" i="2" s="1"/>
  <c r="AY498" i="2" s="1"/>
  <c r="AC498" i="2"/>
  <c r="AK495" i="2" a="1"/>
  <c r="AK495" i="2" s="1"/>
  <c r="AL495" i="2" s="1" a="1"/>
  <c r="AL495" i="2" s="1"/>
  <c r="AM495" i="2" s="1" a="1"/>
  <c r="AM495" i="2" s="1"/>
  <c r="AN495" i="2" s="1" a="1"/>
  <c r="AN495" i="2" s="1"/>
  <c r="AO495" i="2" s="1" a="1"/>
  <c r="AO495" i="2" s="1"/>
  <c r="AP495" i="2" s="1" a="1"/>
  <c r="AP495" i="2" s="1"/>
  <c r="AQ495" i="2" s="1" a="1"/>
  <c r="AQ495" i="2" s="1"/>
  <c r="AR495" i="2" s="1"/>
  <c r="AS495" i="2" s="1"/>
  <c r="AT495" i="2" s="1"/>
  <c r="AU495" i="2" s="1"/>
  <c r="AV495" i="2" s="1"/>
  <c r="AW495" i="2" s="1"/>
  <c r="AX495" i="2" s="1"/>
  <c r="AY495" i="2" s="1"/>
  <c r="AC495" i="2"/>
  <c r="AK490" i="2" a="1"/>
  <c r="AK490" i="2" s="1"/>
  <c r="AL490" i="2" s="1" a="1"/>
  <c r="AL490" i="2" s="1"/>
  <c r="AM490" i="2" s="1" a="1"/>
  <c r="AM490" i="2" s="1"/>
  <c r="AN490" i="2" s="1" a="1"/>
  <c r="AN490" i="2" s="1"/>
  <c r="AO490" i="2" s="1" a="1"/>
  <c r="AO490" i="2" s="1"/>
  <c r="AP490" i="2" s="1" a="1"/>
  <c r="AP490" i="2" s="1"/>
  <c r="AQ490" i="2" s="1" a="1"/>
  <c r="AQ490" i="2" s="1"/>
  <c r="AR490" i="2" s="1"/>
  <c r="AS490" i="2" s="1"/>
  <c r="AT490" i="2" s="1"/>
  <c r="AU490" i="2" s="1"/>
  <c r="AV490" i="2" s="1"/>
  <c r="AW490" i="2" s="1"/>
  <c r="AX490" i="2" s="1"/>
  <c r="AY490" i="2" s="1"/>
  <c r="AC490" i="2"/>
  <c r="AK487" i="2" a="1"/>
  <c r="AK487" i="2" s="1"/>
  <c r="AL487" i="2" s="1" a="1"/>
  <c r="AL487" i="2" s="1"/>
  <c r="AM487" i="2" s="1" a="1"/>
  <c r="AM487" i="2" s="1"/>
  <c r="AN487" i="2" s="1" a="1"/>
  <c r="AN487" i="2" s="1"/>
  <c r="AO487" i="2" s="1" a="1"/>
  <c r="AO487" i="2" s="1"/>
  <c r="AP487" i="2" s="1" a="1"/>
  <c r="AP487" i="2" s="1"/>
  <c r="AQ487" i="2" s="1" a="1"/>
  <c r="AQ487" i="2" s="1"/>
  <c r="AR487" i="2" s="1"/>
  <c r="AS487" i="2" s="1"/>
  <c r="AT487" i="2" s="1"/>
  <c r="AU487" i="2" s="1"/>
  <c r="AV487" i="2" s="1"/>
  <c r="AW487" i="2" s="1"/>
  <c r="AX487" i="2" s="1"/>
  <c r="AY487" i="2" s="1"/>
  <c r="AC487" i="2"/>
  <c r="AK484" i="2" a="1"/>
  <c r="AK484" i="2" s="1"/>
  <c r="AL484" i="2" s="1" a="1"/>
  <c r="AL484" i="2" s="1"/>
  <c r="AM484" i="2" s="1" a="1"/>
  <c r="AM484" i="2" s="1"/>
  <c r="AN484" i="2" s="1" a="1"/>
  <c r="AN484" i="2" s="1"/>
  <c r="AO484" i="2" s="1" a="1"/>
  <c r="AO484" i="2" s="1"/>
  <c r="AP484" i="2" s="1" a="1"/>
  <c r="AP484" i="2" s="1"/>
  <c r="AQ484" i="2" s="1" a="1"/>
  <c r="AQ484" i="2" s="1"/>
  <c r="AR484" i="2" s="1"/>
  <c r="AS484" i="2" s="1"/>
  <c r="AT484" i="2" s="1"/>
  <c r="AU484" i="2" s="1"/>
  <c r="AV484" i="2" s="1"/>
  <c r="AW484" i="2" s="1"/>
  <c r="AX484" i="2" s="1"/>
  <c r="AY484" i="2" s="1"/>
  <c r="AC484" i="2"/>
  <c r="AK482" i="2" a="1"/>
  <c r="AK482" i="2" s="1"/>
  <c r="AL482" i="2" s="1" a="1"/>
  <c r="AL482" i="2" s="1"/>
  <c r="AM482" i="2" s="1" a="1"/>
  <c r="AM482" i="2" s="1"/>
  <c r="AN482" i="2" s="1" a="1"/>
  <c r="AN482" i="2" s="1"/>
  <c r="AO482" i="2" s="1" a="1"/>
  <c r="AO482" i="2" s="1"/>
  <c r="AP482" i="2" s="1" a="1"/>
  <c r="AP482" i="2" s="1"/>
  <c r="AQ482" i="2" s="1" a="1"/>
  <c r="AQ482" i="2" s="1"/>
  <c r="AR482" i="2" s="1"/>
  <c r="AS482" i="2" s="1"/>
  <c r="AT482" i="2" s="1"/>
  <c r="AU482" i="2" s="1"/>
  <c r="AV482" i="2" s="1"/>
  <c r="AW482" i="2" s="1"/>
  <c r="AX482" i="2" s="1"/>
  <c r="AY482" i="2" s="1"/>
  <c r="AC482" i="2"/>
  <c r="AK479" i="2" a="1"/>
  <c r="AK479" i="2" s="1"/>
  <c r="AL479" i="2" s="1" a="1"/>
  <c r="AL479" i="2" s="1"/>
  <c r="AM479" i="2" s="1" a="1"/>
  <c r="AM479" i="2" s="1"/>
  <c r="AN479" i="2" s="1" a="1"/>
  <c r="AN479" i="2" s="1"/>
  <c r="AO479" i="2" s="1" a="1"/>
  <c r="AO479" i="2" s="1"/>
  <c r="AP479" i="2" s="1" a="1"/>
  <c r="AP479" i="2" s="1"/>
  <c r="AQ479" i="2" s="1" a="1"/>
  <c r="AQ479" i="2" s="1"/>
  <c r="AR479" i="2" s="1"/>
  <c r="AS479" i="2" s="1"/>
  <c r="AT479" i="2" s="1"/>
  <c r="AU479" i="2" s="1"/>
  <c r="AV479" i="2" s="1"/>
  <c r="AW479" i="2" s="1"/>
  <c r="AX479" i="2" s="1"/>
  <c r="AY479" i="2" s="1"/>
  <c r="AC479" i="2"/>
  <c r="AK476" i="2" a="1"/>
  <c r="AK476" i="2" s="1"/>
  <c r="AL476" i="2" s="1" a="1"/>
  <c r="AL476" i="2" s="1"/>
  <c r="AM476" i="2" s="1" a="1"/>
  <c r="AM476" i="2" s="1"/>
  <c r="AN476" i="2" s="1" a="1"/>
  <c r="AN476" i="2" s="1"/>
  <c r="AO476" i="2" s="1" a="1"/>
  <c r="AO476" i="2" s="1"/>
  <c r="AP476" i="2" s="1" a="1"/>
  <c r="AP476" i="2" s="1"/>
  <c r="AQ476" i="2" s="1" a="1"/>
  <c r="AQ476" i="2" s="1"/>
  <c r="AR476" i="2" s="1"/>
  <c r="AS476" i="2" s="1"/>
  <c r="AT476" i="2" s="1"/>
  <c r="AU476" i="2" s="1"/>
  <c r="AV476" i="2" s="1"/>
  <c r="AW476" i="2" s="1"/>
  <c r="AX476" i="2" s="1"/>
  <c r="AY476" i="2" s="1"/>
  <c r="AC476" i="2"/>
  <c r="AK473" i="2" a="1"/>
  <c r="AK473" i="2" s="1"/>
  <c r="AL473" i="2" s="1" a="1"/>
  <c r="AL473" i="2" s="1"/>
  <c r="AM473" i="2" s="1" a="1"/>
  <c r="AM473" i="2" s="1"/>
  <c r="AN473" i="2" s="1" a="1"/>
  <c r="AN473" i="2" s="1"/>
  <c r="AO473" i="2" s="1" a="1"/>
  <c r="AO473" i="2" s="1"/>
  <c r="AP473" i="2" s="1" a="1"/>
  <c r="AP473" i="2" s="1"/>
  <c r="AQ473" i="2" s="1" a="1"/>
  <c r="AQ473" i="2" s="1"/>
  <c r="AR473" i="2" s="1"/>
  <c r="AS473" i="2" s="1"/>
  <c r="AT473" i="2" s="1"/>
  <c r="AU473" i="2" s="1"/>
  <c r="AV473" i="2" s="1"/>
  <c r="AW473" i="2" s="1"/>
  <c r="AX473" i="2" s="1"/>
  <c r="AY473" i="2" s="1"/>
  <c r="AC473" i="2"/>
  <c r="AK470" i="2" a="1"/>
  <c r="AK470" i="2" s="1"/>
  <c r="AL470" i="2" s="1" a="1"/>
  <c r="AL470" i="2" s="1"/>
  <c r="AM470" i="2" s="1" a="1"/>
  <c r="AM470" i="2" s="1"/>
  <c r="AN470" i="2" s="1" a="1"/>
  <c r="AN470" i="2" s="1"/>
  <c r="AO470" i="2" s="1" a="1"/>
  <c r="AO470" i="2" s="1"/>
  <c r="AP470" i="2" s="1" a="1"/>
  <c r="AP470" i="2" s="1"/>
  <c r="AQ470" i="2" s="1" a="1"/>
  <c r="AQ470" i="2" s="1"/>
  <c r="AR470" i="2" s="1"/>
  <c r="AS470" i="2" s="1"/>
  <c r="AT470" i="2" s="1"/>
  <c r="AU470" i="2" s="1"/>
  <c r="AV470" i="2" s="1"/>
  <c r="AW470" i="2" s="1"/>
  <c r="AX470" i="2" s="1"/>
  <c r="AY470" i="2" s="1"/>
  <c r="AC470" i="2"/>
  <c r="AK465" i="2" a="1"/>
  <c r="AK465" i="2" s="1"/>
  <c r="AL465" i="2" s="1" a="1"/>
  <c r="AL465" i="2" s="1"/>
  <c r="AM465" i="2" s="1" a="1"/>
  <c r="AM465" i="2" s="1"/>
  <c r="AN465" i="2" s="1" a="1"/>
  <c r="AN465" i="2" s="1"/>
  <c r="AO465" i="2" s="1" a="1"/>
  <c r="AO465" i="2" s="1"/>
  <c r="AP465" i="2" s="1" a="1"/>
  <c r="AP465" i="2" s="1"/>
  <c r="AQ465" i="2" s="1" a="1"/>
  <c r="AQ465" i="2" s="1"/>
  <c r="AR465" i="2" s="1"/>
  <c r="AS465" i="2" s="1"/>
  <c r="AT465" i="2" s="1"/>
  <c r="AU465" i="2" s="1"/>
  <c r="AV465" i="2" s="1"/>
  <c r="AW465" i="2" s="1"/>
  <c r="AX465" i="2" s="1"/>
  <c r="AY465" i="2" s="1"/>
  <c r="AC465" i="2"/>
  <c r="AK462" i="2" a="1"/>
  <c r="AK462" i="2" s="1"/>
  <c r="AL462" i="2" s="1" a="1"/>
  <c r="AL462" i="2" s="1"/>
  <c r="AM462" i="2" s="1" a="1"/>
  <c r="AM462" i="2" s="1"/>
  <c r="AN462" i="2" s="1" a="1"/>
  <c r="AN462" i="2" s="1"/>
  <c r="AO462" i="2" s="1" a="1"/>
  <c r="AO462" i="2" s="1"/>
  <c r="AP462" i="2" s="1" a="1"/>
  <c r="AP462" i="2" s="1"/>
  <c r="AQ462" i="2" s="1" a="1"/>
  <c r="AQ462" i="2" s="1"/>
  <c r="AR462" i="2" s="1"/>
  <c r="AS462" i="2" s="1"/>
  <c r="AT462" i="2" s="1"/>
  <c r="AU462" i="2" s="1"/>
  <c r="AV462" i="2" s="1"/>
  <c r="AW462" i="2" s="1"/>
  <c r="AX462" i="2" s="1"/>
  <c r="AY462" i="2" s="1"/>
  <c r="AC462" i="2"/>
  <c r="AK460" i="2" a="1"/>
  <c r="AK460" i="2" s="1"/>
  <c r="AL460" i="2" s="1" a="1"/>
  <c r="AL460" i="2" s="1"/>
  <c r="AM460" i="2" s="1" a="1"/>
  <c r="AM460" i="2" s="1"/>
  <c r="AN460" i="2" s="1" a="1"/>
  <c r="AN460" i="2" s="1"/>
  <c r="AO460" i="2" s="1" a="1"/>
  <c r="AO460" i="2" s="1"/>
  <c r="AP460" i="2" s="1" a="1"/>
  <c r="AP460" i="2" s="1"/>
  <c r="AQ460" i="2" s="1" a="1"/>
  <c r="AQ460" i="2" s="1"/>
  <c r="AR460" i="2" s="1"/>
  <c r="AS460" i="2" s="1"/>
  <c r="AT460" i="2" s="1"/>
  <c r="AU460" i="2" s="1"/>
  <c r="AV460" i="2" s="1"/>
  <c r="AW460" i="2" s="1"/>
  <c r="AX460" i="2" s="1"/>
  <c r="AY460" i="2" s="1"/>
  <c r="AC460" i="2"/>
  <c r="AK456" i="2" a="1"/>
  <c r="AK456" i="2" s="1"/>
  <c r="AL456" i="2" s="1" a="1"/>
  <c r="AL456" i="2" s="1"/>
  <c r="AM456" i="2" s="1" a="1"/>
  <c r="AM456" i="2" s="1"/>
  <c r="AN456" i="2" s="1" a="1"/>
  <c r="AN456" i="2" s="1"/>
  <c r="AO456" i="2" s="1" a="1"/>
  <c r="AO456" i="2" s="1"/>
  <c r="AP456" i="2" s="1" a="1"/>
  <c r="AP456" i="2" s="1"/>
  <c r="AQ456" i="2" s="1" a="1"/>
  <c r="AQ456" i="2" s="1"/>
  <c r="AR456" i="2" s="1"/>
  <c r="AS456" i="2" s="1"/>
  <c r="AT456" i="2" s="1"/>
  <c r="AU456" i="2" s="1"/>
  <c r="AV456" i="2" s="1"/>
  <c r="AW456" i="2" s="1"/>
  <c r="AX456" i="2" s="1"/>
  <c r="AY456" i="2" s="1"/>
  <c r="AC456" i="2"/>
  <c r="AK453" i="2" a="1"/>
  <c r="AK453" i="2" s="1"/>
  <c r="AL453" i="2" s="1" a="1"/>
  <c r="AL453" i="2" s="1"/>
  <c r="AM453" i="2" s="1" a="1"/>
  <c r="AM453" i="2" s="1"/>
  <c r="AN453" i="2" s="1" a="1"/>
  <c r="AN453" i="2" s="1"/>
  <c r="AO453" i="2" s="1" a="1"/>
  <c r="AO453" i="2" s="1"/>
  <c r="AP453" i="2" s="1" a="1"/>
  <c r="AP453" i="2" s="1"/>
  <c r="AQ453" i="2" s="1" a="1"/>
  <c r="AQ453" i="2" s="1"/>
  <c r="AR453" i="2" s="1"/>
  <c r="AS453" i="2" s="1"/>
  <c r="AT453" i="2" s="1"/>
  <c r="AU453" i="2" s="1"/>
  <c r="AV453" i="2" s="1"/>
  <c r="AW453" i="2" s="1"/>
  <c r="AX453" i="2" s="1"/>
  <c r="AY453" i="2" s="1"/>
  <c r="AC453" i="2"/>
  <c r="AK450" i="2" a="1"/>
  <c r="AK450" i="2" s="1"/>
  <c r="AL450" i="2" s="1" a="1"/>
  <c r="AL450" i="2" s="1"/>
  <c r="AM450" i="2" s="1" a="1"/>
  <c r="AM450" i="2" s="1"/>
  <c r="AN450" i="2" s="1" a="1"/>
  <c r="AN450" i="2" s="1"/>
  <c r="AO450" i="2" s="1" a="1"/>
  <c r="AO450" i="2" s="1"/>
  <c r="AP450" i="2" s="1" a="1"/>
  <c r="AP450" i="2" s="1"/>
  <c r="AQ450" i="2" s="1" a="1"/>
  <c r="AQ450" i="2" s="1"/>
  <c r="AR450" i="2" s="1"/>
  <c r="AS450" i="2" s="1"/>
  <c r="AT450" i="2" s="1"/>
  <c r="AU450" i="2" s="1"/>
  <c r="AV450" i="2" s="1"/>
  <c r="AW450" i="2" s="1"/>
  <c r="AX450" i="2" s="1"/>
  <c r="AY450" i="2" s="1"/>
  <c r="AC450" i="2"/>
  <c r="AK311" i="2" a="1"/>
  <c r="AK311" i="2" s="1"/>
  <c r="AL311" i="2" s="1" a="1"/>
  <c r="AL311" i="2" s="1"/>
  <c r="AM311" i="2" s="1" a="1"/>
  <c r="AM311" i="2" s="1"/>
  <c r="AN311" i="2" s="1" a="1"/>
  <c r="AN311" i="2" s="1"/>
  <c r="AO311" i="2" s="1" a="1"/>
  <c r="AO311" i="2" s="1"/>
  <c r="AP311" i="2" s="1" a="1"/>
  <c r="AP311" i="2" s="1"/>
  <c r="AQ311" i="2" s="1" a="1"/>
  <c r="AQ311" i="2" s="1"/>
  <c r="AR311" i="2" s="1"/>
  <c r="AS311" i="2" s="1"/>
  <c r="AT311" i="2" s="1"/>
  <c r="AU311" i="2" s="1"/>
  <c r="AV311" i="2" s="1"/>
  <c r="AW311" i="2" s="1"/>
  <c r="AX311" i="2" s="1"/>
  <c r="AY311" i="2" s="1"/>
  <c r="AC311" i="2"/>
  <c r="AK308" i="2" a="1"/>
  <c r="AK308" i="2" s="1"/>
  <c r="AL308" i="2" s="1" a="1"/>
  <c r="AL308" i="2" s="1"/>
  <c r="AM308" i="2" s="1" a="1"/>
  <c r="AM308" i="2" s="1"/>
  <c r="AN308" i="2" s="1" a="1"/>
  <c r="AN308" i="2" s="1"/>
  <c r="AO308" i="2" s="1" a="1"/>
  <c r="AO308" i="2" s="1"/>
  <c r="AP308" i="2" s="1" a="1"/>
  <c r="AP308" i="2" s="1"/>
  <c r="AQ308" i="2" s="1" a="1"/>
  <c r="AQ308" i="2" s="1"/>
  <c r="AR308" i="2" s="1"/>
  <c r="AS308" i="2" s="1"/>
  <c r="AT308" i="2" s="1"/>
  <c r="AU308" i="2" s="1"/>
  <c r="AV308" i="2" s="1"/>
  <c r="AW308" i="2" s="1"/>
  <c r="AX308" i="2" s="1"/>
  <c r="AY308" i="2" s="1"/>
  <c r="AC308" i="2"/>
  <c r="AK305" i="2" a="1"/>
  <c r="AK305" i="2" s="1"/>
  <c r="AL305" i="2" s="1" a="1"/>
  <c r="AL305" i="2" s="1"/>
  <c r="AM305" i="2" s="1" a="1"/>
  <c r="AM305" i="2" s="1"/>
  <c r="AN305" i="2" s="1" a="1"/>
  <c r="AN305" i="2" s="1"/>
  <c r="AO305" i="2" s="1" a="1"/>
  <c r="AO305" i="2" s="1"/>
  <c r="AP305" i="2" s="1" a="1"/>
  <c r="AP305" i="2" s="1"/>
  <c r="AQ305" i="2" s="1" a="1"/>
  <c r="AQ305" i="2" s="1"/>
  <c r="AR305" i="2" s="1"/>
  <c r="AS305" i="2" s="1"/>
  <c r="AT305" i="2" s="1"/>
  <c r="AU305" i="2" s="1"/>
  <c r="AV305" i="2" s="1"/>
  <c r="AW305" i="2" s="1"/>
  <c r="AX305" i="2" s="1"/>
  <c r="AY305" i="2" s="1"/>
  <c r="AC305" i="2"/>
  <c r="AK304" i="2" a="1"/>
  <c r="AK304" i="2" s="1"/>
  <c r="AL304" i="2" s="1" a="1"/>
  <c r="AL304" i="2" s="1"/>
  <c r="AM304" i="2" s="1" a="1"/>
  <c r="AM304" i="2" s="1"/>
  <c r="AN304" i="2" s="1" a="1"/>
  <c r="AN304" i="2" s="1"/>
  <c r="AO304" i="2" s="1" a="1"/>
  <c r="AO304" i="2" s="1"/>
  <c r="AP304" i="2" s="1" a="1"/>
  <c r="AP304" i="2" s="1"/>
  <c r="AQ304" i="2" s="1" a="1"/>
  <c r="AQ304" i="2" s="1"/>
  <c r="AR304" i="2" s="1"/>
  <c r="AS304" i="2" s="1"/>
  <c r="AT304" i="2" s="1"/>
  <c r="AU304" i="2" s="1"/>
  <c r="AV304" i="2" s="1"/>
  <c r="AW304" i="2" s="1"/>
  <c r="AX304" i="2" s="1"/>
  <c r="AY304" i="2" s="1"/>
  <c r="AC304" i="2"/>
  <c r="AK301" i="2" a="1"/>
  <c r="AK301" i="2" s="1"/>
  <c r="AL301" i="2" s="1" a="1"/>
  <c r="AL301" i="2" s="1"/>
  <c r="AM301" i="2" s="1" a="1"/>
  <c r="AM301" i="2" s="1"/>
  <c r="AN301" i="2" s="1" a="1"/>
  <c r="AN301" i="2" s="1"/>
  <c r="AO301" i="2" s="1" a="1"/>
  <c r="AO301" i="2" s="1"/>
  <c r="AP301" i="2" s="1" a="1"/>
  <c r="AP301" i="2" s="1"/>
  <c r="AQ301" i="2" s="1" a="1"/>
  <c r="AQ301" i="2" s="1"/>
  <c r="AR301" i="2" s="1"/>
  <c r="AS301" i="2" s="1"/>
  <c r="AT301" i="2" s="1"/>
  <c r="AU301" i="2" s="1"/>
  <c r="AV301" i="2" s="1"/>
  <c r="AW301" i="2" s="1"/>
  <c r="AX301" i="2" s="1"/>
  <c r="AY301" i="2" s="1"/>
  <c r="AC301" i="2"/>
  <c r="AK298" i="2" a="1"/>
  <c r="AK298" i="2" s="1"/>
  <c r="AL298" i="2" s="1" a="1"/>
  <c r="AL298" i="2" s="1"/>
  <c r="AM298" i="2" s="1" a="1"/>
  <c r="AM298" i="2" s="1"/>
  <c r="AN298" i="2" s="1" a="1"/>
  <c r="AN298" i="2" s="1"/>
  <c r="AO298" i="2" s="1" a="1"/>
  <c r="AO298" i="2" s="1"/>
  <c r="AP298" i="2" s="1" a="1"/>
  <c r="AP298" i="2" s="1"/>
  <c r="AQ298" i="2" s="1" a="1"/>
  <c r="AQ298" i="2" s="1"/>
  <c r="AR298" i="2" s="1"/>
  <c r="AS298" i="2" s="1"/>
  <c r="AT298" i="2" s="1"/>
  <c r="AU298" i="2" s="1"/>
  <c r="AV298" i="2" s="1"/>
  <c r="AW298" i="2" s="1"/>
  <c r="AX298" i="2" s="1"/>
  <c r="AY298" i="2" s="1"/>
  <c r="AC298" i="2"/>
  <c r="AK295" i="2" a="1"/>
  <c r="AK295" i="2" s="1"/>
  <c r="AL295" i="2" s="1" a="1"/>
  <c r="AL295" i="2" s="1"/>
  <c r="AM295" i="2" s="1" a="1"/>
  <c r="AM295" i="2" s="1"/>
  <c r="AN295" i="2" s="1" a="1"/>
  <c r="AN295" i="2" s="1"/>
  <c r="AO295" i="2" s="1" a="1"/>
  <c r="AO295" i="2" s="1"/>
  <c r="AP295" i="2" s="1" a="1"/>
  <c r="AP295" i="2" s="1"/>
  <c r="AQ295" i="2" s="1" a="1"/>
  <c r="AQ295" i="2" s="1"/>
  <c r="AR295" i="2" s="1"/>
  <c r="AS295" i="2" s="1"/>
  <c r="AT295" i="2" s="1"/>
  <c r="AU295" i="2" s="1"/>
  <c r="AV295" i="2" s="1"/>
  <c r="AW295" i="2" s="1"/>
  <c r="AX295" i="2" s="1"/>
  <c r="AY295" i="2" s="1"/>
  <c r="AC295" i="2"/>
  <c r="AK292" i="2" a="1"/>
  <c r="AK292" i="2" s="1"/>
  <c r="AL292" i="2" s="1" a="1"/>
  <c r="AL292" i="2" s="1"/>
  <c r="AM292" i="2" s="1" a="1"/>
  <c r="AM292" i="2" s="1"/>
  <c r="AN292" i="2" s="1" a="1"/>
  <c r="AN292" i="2" s="1"/>
  <c r="AO292" i="2" s="1" a="1"/>
  <c r="AO292" i="2" s="1"/>
  <c r="AP292" i="2" s="1" a="1"/>
  <c r="AP292" i="2" s="1"/>
  <c r="AQ292" i="2" s="1" a="1"/>
  <c r="AQ292" i="2" s="1"/>
  <c r="AR292" i="2" s="1"/>
  <c r="AS292" i="2" s="1"/>
  <c r="AT292" i="2" s="1"/>
  <c r="AU292" i="2" s="1"/>
  <c r="AV292" i="2" s="1"/>
  <c r="AW292" i="2" s="1"/>
  <c r="AX292" i="2" s="1"/>
  <c r="AY292" i="2" s="1"/>
  <c r="AC292" i="2"/>
  <c r="AK289" i="2" a="1"/>
  <c r="AK289" i="2" s="1"/>
  <c r="AL289" i="2" s="1" a="1"/>
  <c r="AL289" i="2" s="1"/>
  <c r="AM289" i="2" s="1" a="1"/>
  <c r="AM289" i="2" s="1"/>
  <c r="AN289" i="2" s="1" a="1"/>
  <c r="AN289" i="2" s="1"/>
  <c r="AO289" i="2" s="1" a="1"/>
  <c r="AO289" i="2" s="1"/>
  <c r="AP289" i="2" s="1" a="1"/>
  <c r="AP289" i="2" s="1"/>
  <c r="AQ289" i="2" s="1" a="1"/>
  <c r="AQ289" i="2" s="1"/>
  <c r="AR289" i="2" s="1"/>
  <c r="AS289" i="2" s="1"/>
  <c r="AT289" i="2" s="1"/>
  <c r="AU289" i="2" s="1"/>
  <c r="AV289" i="2" s="1"/>
  <c r="AW289" i="2" s="1"/>
  <c r="AX289" i="2" s="1"/>
  <c r="AY289" i="2" s="1"/>
  <c r="AC289" i="2"/>
  <c r="AK286" i="2" a="1"/>
  <c r="AK286" i="2" s="1"/>
  <c r="AL286" i="2" s="1" a="1"/>
  <c r="AL286" i="2" s="1"/>
  <c r="AM286" i="2" s="1" a="1"/>
  <c r="AM286" i="2" s="1"/>
  <c r="AN286" i="2" s="1" a="1"/>
  <c r="AN286" i="2" s="1"/>
  <c r="AO286" i="2" s="1" a="1"/>
  <c r="AO286" i="2" s="1"/>
  <c r="AP286" i="2" s="1" a="1"/>
  <c r="AP286" i="2" s="1"/>
  <c r="AQ286" i="2" s="1" a="1"/>
  <c r="AQ286" i="2" s="1"/>
  <c r="AR286" i="2" s="1"/>
  <c r="AS286" i="2" s="1"/>
  <c r="AT286" i="2" s="1"/>
  <c r="AU286" i="2" s="1"/>
  <c r="AV286" i="2" s="1"/>
  <c r="AW286" i="2" s="1"/>
  <c r="AX286" i="2" s="1"/>
  <c r="AY286" i="2" s="1"/>
  <c r="AC286" i="2"/>
  <c r="AK283" i="2" a="1"/>
  <c r="AK283" i="2" s="1"/>
  <c r="AL283" i="2" s="1" a="1"/>
  <c r="AL283" i="2" s="1"/>
  <c r="AM283" i="2" s="1" a="1"/>
  <c r="AM283" i="2" s="1"/>
  <c r="AN283" i="2" s="1" a="1"/>
  <c r="AN283" i="2" s="1"/>
  <c r="AO283" i="2" s="1" a="1"/>
  <c r="AO283" i="2" s="1"/>
  <c r="AP283" i="2" s="1" a="1"/>
  <c r="AP283" i="2" s="1"/>
  <c r="AQ283" i="2" s="1" a="1"/>
  <c r="AQ283" i="2" s="1"/>
  <c r="AR283" i="2" s="1"/>
  <c r="AS283" i="2" s="1"/>
  <c r="AT283" i="2" s="1"/>
  <c r="AU283" i="2" s="1"/>
  <c r="AV283" i="2" s="1"/>
  <c r="AW283" i="2" s="1"/>
  <c r="AX283" i="2" s="1"/>
  <c r="AY283" i="2" s="1"/>
  <c r="AC283" i="2"/>
  <c r="AK279" i="2" a="1"/>
  <c r="AK279" i="2" s="1"/>
  <c r="AL279" i="2" s="1" a="1"/>
  <c r="AL279" i="2" s="1"/>
  <c r="AM279" i="2" s="1" a="1"/>
  <c r="AM279" i="2" s="1"/>
  <c r="AN279" i="2" s="1" a="1"/>
  <c r="AN279" i="2" s="1"/>
  <c r="AO279" i="2" s="1" a="1"/>
  <c r="AO279" i="2" s="1"/>
  <c r="AP279" i="2" s="1" a="1"/>
  <c r="AP279" i="2" s="1"/>
  <c r="AQ279" i="2" s="1" a="1"/>
  <c r="AQ279" i="2" s="1"/>
  <c r="AR279" i="2" s="1"/>
  <c r="AS279" i="2" s="1"/>
  <c r="AT279" i="2" s="1"/>
  <c r="AU279" i="2" s="1"/>
  <c r="AV279" i="2" s="1"/>
  <c r="AW279" i="2" s="1"/>
  <c r="AX279" i="2" s="1"/>
  <c r="AY279" i="2" s="1"/>
  <c r="AC279" i="2"/>
  <c r="AK276" i="2" a="1"/>
  <c r="AK276" i="2" s="1"/>
  <c r="AL276" i="2" s="1" a="1"/>
  <c r="AL276" i="2" s="1"/>
  <c r="AM276" i="2" s="1" a="1"/>
  <c r="AM276" i="2" s="1"/>
  <c r="AN276" i="2" s="1" a="1"/>
  <c r="AN276" i="2" s="1"/>
  <c r="AO276" i="2" s="1" a="1"/>
  <c r="AO276" i="2" s="1"/>
  <c r="AP276" i="2" s="1" a="1"/>
  <c r="AP276" i="2" s="1"/>
  <c r="AQ276" i="2" s="1" a="1"/>
  <c r="AQ276" i="2" s="1"/>
  <c r="AR276" i="2" s="1"/>
  <c r="AS276" i="2" s="1"/>
  <c r="AT276" i="2" s="1"/>
  <c r="AU276" i="2" s="1"/>
  <c r="AV276" i="2" s="1"/>
  <c r="AW276" i="2" s="1"/>
  <c r="AX276" i="2" s="1"/>
  <c r="AY276" i="2" s="1"/>
  <c r="AC276" i="2"/>
  <c r="AK273" i="2" a="1"/>
  <c r="AK273" i="2" s="1"/>
  <c r="AL273" i="2" s="1" a="1"/>
  <c r="AL273" i="2" s="1"/>
  <c r="AM273" i="2" s="1" a="1"/>
  <c r="AM273" i="2" s="1"/>
  <c r="AN273" i="2" s="1" a="1"/>
  <c r="AN273" i="2" s="1"/>
  <c r="AO273" i="2" s="1" a="1"/>
  <c r="AO273" i="2" s="1"/>
  <c r="AP273" i="2" s="1" a="1"/>
  <c r="AP273" i="2" s="1"/>
  <c r="AQ273" i="2" s="1" a="1"/>
  <c r="AQ273" i="2" s="1"/>
  <c r="AR273" i="2" s="1"/>
  <c r="AS273" i="2" s="1"/>
  <c r="AT273" i="2" s="1"/>
  <c r="AU273" i="2" s="1"/>
  <c r="AV273" i="2" s="1"/>
  <c r="AW273" i="2" s="1"/>
  <c r="AX273" i="2" s="1"/>
  <c r="AY273" i="2" s="1"/>
  <c r="AC273" i="2"/>
  <c r="AK270" i="2" a="1"/>
  <c r="AK270" i="2" s="1"/>
  <c r="AL270" i="2" s="1" a="1"/>
  <c r="AL270" i="2" s="1"/>
  <c r="AM270" i="2" s="1" a="1"/>
  <c r="AM270" i="2" s="1"/>
  <c r="AN270" i="2" s="1" a="1"/>
  <c r="AN270" i="2" s="1"/>
  <c r="AO270" i="2" s="1" a="1"/>
  <c r="AO270" i="2" s="1"/>
  <c r="AP270" i="2" s="1" a="1"/>
  <c r="AP270" i="2" s="1"/>
  <c r="AQ270" i="2" s="1" a="1"/>
  <c r="AQ270" i="2" s="1"/>
  <c r="AR270" i="2" s="1"/>
  <c r="AS270" i="2" s="1"/>
  <c r="AT270" i="2" s="1"/>
  <c r="AU270" i="2" s="1"/>
  <c r="AV270" i="2" s="1"/>
  <c r="AW270" i="2" s="1"/>
  <c r="AX270" i="2" s="1"/>
  <c r="AY270" i="2" s="1"/>
  <c r="AC270" i="2"/>
  <c r="AK267" i="2" a="1"/>
  <c r="AK267" i="2" s="1"/>
  <c r="AL267" i="2" s="1" a="1"/>
  <c r="AL267" i="2" s="1"/>
  <c r="AM267" i="2" s="1" a="1"/>
  <c r="AM267" i="2" s="1"/>
  <c r="AN267" i="2" s="1" a="1"/>
  <c r="AN267" i="2" s="1"/>
  <c r="AO267" i="2" s="1" a="1"/>
  <c r="AO267" i="2" s="1"/>
  <c r="AP267" i="2" s="1" a="1"/>
  <c r="AP267" i="2" s="1"/>
  <c r="AQ267" i="2" s="1" a="1"/>
  <c r="AQ267" i="2" s="1"/>
  <c r="AR267" i="2" s="1"/>
  <c r="AS267" i="2" s="1"/>
  <c r="AT267" i="2" s="1"/>
  <c r="AU267" i="2" s="1"/>
  <c r="AV267" i="2" s="1"/>
  <c r="AW267" i="2" s="1"/>
  <c r="AX267" i="2" s="1"/>
  <c r="AY267" i="2" s="1"/>
  <c r="AC267" i="2"/>
  <c r="AK264" i="2" a="1"/>
  <c r="AK264" i="2" s="1"/>
  <c r="AL264" i="2" s="1" a="1"/>
  <c r="AL264" i="2" s="1"/>
  <c r="AM264" i="2" s="1" a="1"/>
  <c r="AM264" i="2" s="1"/>
  <c r="AN264" i="2" s="1" a="1"/>
  <c r="AN264" i="2" s="1"/>
  <c r="AO264" i="2" s="1" a="1"/>
  <c r="AO264" i="2" s="1"/>
  <c r="AP264" i="2" s="1" a="1"/>
  <c r="AP264" i="2" s="1"/>
  <c r="AQ264" i="2" s="1" a="1"/>
  <c r="AQ264" i="2" s="1"/>
  <c r="AR264" i="2" s="1"/>
  <c r="AS264" i="2" s="1"/>
  <c r="AT264" i="2" s="1"/>
  <c r="AU264" i="2" s="1"/>
  <c r="AV264" i="2" s="1"/>
  <c r="AW264" i="2" s="1"/>
  <c r="AX264" i="2" s="1"/>
  <c r="AY264" i="2" s="1"/>
  <c r="AC264" i="2"/>
  <c r="AK261" i="2" a="1"/>
  <c r="AK261" i="2" s="1"/>
  <c r="AL261" i="2" s="1" a="1"/>
  <c r="AL261" i="2" s="1"/>
  <c r="AM261" i="2" s="1" a="1"/>
  <c r="AM261" i="2" s="1"/>
  <c r="AN261" i="2" s="1" a="1"/>
  <c r="AN261" i="2" s="1"/>
  <c r="AO261" i="2" s="1" a="1"/>
  <c r="AO261" i="2" s="1"/>
  <c r="AP261" i="2" s="1" a="1"/>
  <c r="AP261" i="2" s="1"/>
  <c r="AQ261" i="2" s="1" a="1"/>
  <c r="AQ261" i="2" s="1"/>
  <c r="AR261" i="2" s="1"/>
  <c r="AS261" i="2" s="1"/>
  <c r="AT261" i="2" s="1"/>
  <c r="AU261" i="2" s="1"/>
  <c r="AV261" i="2" s="1"/>
  <c r="AW261" i="2" s="1"/>
  <c r="AX261" i="2" s="1"/>
  <c r="AY261" i="2" s="1"/>
  <c r="AC261" i="2"/>
  <c r="AK258" i="2" a="1"/>
  <c r="AK258" i="2" s="1"/>
  <c r="AL258" i="2" s="1" a="1"/>
  <c r="AL258" i="2" s="1"/>
  <c r="AM258" i="2" s="1" a="1"/>
  <c r="AM258" i="2" s="1"/>
  <c r="AN258" i="2" s="1" a="1"/>
  <c r="AN258" i="2" s="1"/>
  <c r="AO258" i="2" s="1" a="1"/>
  <c r="AO258" i="2" s="1"/>
  <c r="AP258" i="2" s="1" a="1"/>
  <c r="AP258" i="2" s="1"/>
  <c r="AQ258" i="2" s="1" a="1"/>
  <c r="AQ258" i="2" s="1"/>
  <c r="AR258" i="2" s="1"/>
  <c r="AS258" i="2" s="1"/>
  <c r="AT258" i="2" s="1"/>
  <c r="AU258" i="2" s="1"/>
  <c r="AV258" i="2" s="1"/>
  <c r="AW258" i="2" s="1"/>
  <c r="AX258" i="2" s="1"/>
  <c r="AY258" i="2" s="1"/>
  <c r="AC258" i="2"/>
  <c r="AK255" i="2" a="1"/>
  <c r="AK255" i="2" s="1"/>
  <c r="AL255" i="2" s="1" a="1"/>
  <c r="AL255" i="2" s="1"/>
  <c r="AM255" i="2" s="1" a="1"/>
  <c r="AM255" i="2" s="1"/>
  <c r="AN255" i="2" s="1" a="1"/>
  <c r="AN255" i="2" s="1"/>
  <c r="AO255" i="2" s="1" a="1"/>
  <c r="AO255" i="2" s="1"/>
  <c r="AP255" i="2" s="1" a="1"/>
  <c r="AP255" i="2" s="1"/>
  <c r="AQ255" i="2" s="1" a="1"/>
  <c r="AQ255" i="2" s="1"/>
  <c r="AR255" i="2" s="1"/>
  <c r="AS255" i="2" s="1"/>
  <c r="AT255" i="2" s="1"/>
  <c r="AU255" i="2" s="1"/>
  <c r="AV255" i="2" s="1"/>
  <c r="AW255" i="2" s="1"/>
  <c r="AX255" i="2" s="1"/>
  <c r="AY255" i="2" s="1"/>
  <c r="AC255" i="2"/>
  <c r="AK252" i="2" a="1"/>
  <c r="AK252" i="2" s="1"/>
  <c r="AL252" i="2" s="1" a="1"/>
  <c r="AL252" i="2" s="1"/>
  <c r="AM252" i="2" s="1" a="1"/>
  <c r="AM252" i="2" s="1"/>
  <c r="AN252" i="2" s="1" a="1"/>
  <c r="AN252" i="2" s="1"/>
  <c r="AO252" i="2" s="1" a="1"/>
  <c r="AO252" i="2" s="1"/>
  <c r="AP252" i="2" s="1" a="1"/>
  <c r="AP252" i="2" s="1"/>
  <c r="AQ252" i="2" s="1" a="1"/>
  <c r="AQ252" i="2" s="1"/>
  <c r="AR252" i="2" s="1"/>
  <c r="AS252" i="2" s="1"/>
  <c r="AT252" i="2" s="1"/>
  <c r="AU252" i="2" s="1"/>
  <c r="AV252" i="2" s="1"/>
  <c r="AW252" i="2" s="1"/>
  <c r="AX252" i="2" s="1"/>
  <c r="AY252" i="2" s="1"/>
  <c r="AC252" i="2"/>
  <c r="AK249" i="2" a="1"/>
  <c r="AK249" i="2" s="1"/>
  <c r="AL249" i="2" s="1" a="1"/>
  <c r="AL249" i="2" s="1"/>
  <c r="AM249" i="2" s="1" a="1"/>
  <c r="AM249" i="2" s="1"/>
  <c r="AN249" i="2" s="1" a="1"/>
  <c r="AN249" i="2" s="1"/>
  <c r="AO249" i="2" s="1" a="1"/>
  <c r="AO249" i="2" s="1"/>
  <c r="AP249" i="2" s="1" a="1"/>
  <c r="AP249" i="2" s="1"/>
  <c r="AQ249" i="2" s="1" a="1"/>
  <c r="AQ249" i="2" s="1"/>
  <c r="AR249" i="2" s="1"/>
  <c r="AS249" i="2" s="1"/>
  <c r="AT249" i="2" s="1"/>
  <c r="AU249" i="2" s="1"/>
  <c r="AV249" i="2" s="1"/>
  <c r="AW249" i="2" s="1"/>
  <c r="AX249" i="2" s="1"/>
  <c r="AY249" i="2" s="1"/>
  <c r="AC249" i="2"/>
  <c r="AK246" i="2" a="1"/>
  <c r="AK246" i="2" s="1"/>
  <c r="AL246" i="2" s="1" a="1"/>
  <c r="AL246" i="2" s="1"/>
  <c r="AM246" i="2" s="1" a="1"/>
  <c r="AM246" i="2" s="1"/>
  <c r="AN246" i="2" s="1" a="1"/>
  <c r="AN246" i="2" s="1"/>
  <c r="AO246" i="2" s="1" a="1"/>
  <c r="AO246" i="2" s="1"/>
  <c r="AP246" i="2" s="1" a="1"/>
  <c r="AP246" i="2" s="1"/>
  <c r="AQ246" i="2" s="1" a="1"/>
  <c r="AQ246" i="2" s="1"/>
  <c r="AR246" i="2" s="1"/>
  <c r="AS246" i="2" s="1"/>
  <c r="AT246" i="2" s="1"/>
  <c r="AU246" i="2" s="1"/>
  <c r="AV246" i="2" s="1"/>
  <c r="AW246" i="2" s="1"/>
  <c r="AX246" i="2" s="1"/>
  <c r="AY246" i="2" s="1"/>
  <c r="AC246" i="2"/>
  <c r="AK243" i="2" a="1"/>
  <c r="AK243" i="2" s="1"/>
  <c r="AL243" i="2" s="1" a="1"/>
  <c r="AL243" i="2" s="1"/>
  <c r="AM243" i="2" s="1" a="1"/>
  <c r="AM243" i="2" s="1"/>
  <c r="AN243" i="2" s="1" a="1"/>
  <c r="AN243" i="2" s="1"/>
  <c r="AO243" i="2" s="1" a="1"/>
  <c r="AO243" i="2" s="1"/>
  <c r="AP243" i="2" s="1" a="1"/>
  <c r="AP243" i="2" s="1"/>
  <c r="AQ243" i="2" s="1" a="1"/>
  <c r="AQ243" i="2" s="1"/>
  <c r="AR243" i="2" s="1"/>
  <c r="AS243" i="2" s="1"/>
  <c r="AT243" i="2" s="1"/>
  <c r="AU243" i="2" s="1"/>
  <c r="AV243" i="2" s="1"/>
  <c r="AW243" i="2" s="1"/>
  <c r="AX243" i="2" s="1"/>
  <c r="AY243" i="2" s="1"/>
  <c r="AC243" i="2"/>
  <c r="AK324" i="2" a="1"/>
  <c r="AK324" i="2" s="1"/>
  <c r="AL324" i="2" s="1" a="1"/>
  <c r="AL324" i="2" s="1"/>
  <c r="AM324" i="2" s="1" a="1"/>
  <c r="AM324" i="2" s="1"/>
  <c r="AN324" i="2" s="1" a="1"/>
  <c r="AN324" i="2" s="1"/>
  <c r="AO324" i="2" s="1" a="1"/>
  <c r="AO324" i="2" s="1"/>
  <c r="AP324" i="2" s="1" a="1"/>
  <c r="AP324" i="2" s="1"/>
  <c r="AQ324" i="2" s="1" a="1"/>
  <c r="AQ324" i="2" s="1"/>
  <c r="AR324" i="2" s="1"/>
  <c r="AS324" i="2" s="1"/>
  <c r="AT324" i="2" s="1"/>
  <c r="AU324" i="2" s="1"/>
  <c r="AV324" i="2" s="1"/>
  <c r="AW324" i="2" s="1"/>
  <c r="AX324" i="2" s="1"/>
  <c r="AY324" i="2" s="1"/>
  <c r="AC324" i="2"/>
  <c r="BQ25" i="2" l="1"/>
  <c r="BQ45" i="2"/>
  <c r="BQ60" i="2"/>
  <c r="BQ57" i="2"/>
  <c r="BQ127" i="2"/>
  <c r="BQ140" i="2"/>
  <c r="BQ151" i="2"/>
  <c r="BQ193" i="2"/>
  <c r="BQ235" i="2"/>
  <c r="BQ218" i="2"/>
  <c r="BQ268" i="2"/>
  <c r="BQ272" i="2"/>
  <c r="BQ19" i="2"/>
  <c r="BQ67" i="2"/>
  <c r="BQ80" i="2"/>
  <c r="BQ113" i="2"/>
  <c r="BQ107" i="2"/>
  <c r="BQ177" i="2"/>
  <c r="BQ149" i="2"/>
  <c r="BQ229" i="2"/>
  <c r="BQ234" i="2"/>
  <c r="BQ284" i="2"/>
  <c r="BQ258" i="2"/>
  <c r="BQ20" i="2"/>
  <c r="BQ33" i="2"/>
  <c r="BQ70" i="2"/>
  <c r="BQ72" i="2"/>
  <c r="BQ121" i="2"/>
  <c r="BQ135" i="2"/>
  <c r="BQ164" i="2"/>
  <c r="BQ167" i="2"/>
  <c r="BQ241" i="2"/>
  <c r="BQ237" i="2"/>
  <c r="BQ270" i="2"/>
  <c r="BQ280" i="2"/>
  <c r="BQ346" i="2"/>
  <c r="BQ17" i="2"/>
  <c r="BQ217" i="2"/>
  <c r="BQ130" i="2"/>
  <c r="BQ248" i="2"/>
  <c r="BQ170" i="2"/>
  <c r="BQ55" i="2"/>
  <c r="BQ34" i="2"/>
  <c r="BQ61" i="2"/>
  <c r="BQ75" i="2"/>
  <c r="BQ126" i="2"/>
  <c r="BQ129" i="2"/>
  <c r="BQ183" i="2"/>
  <c r="BQ180" i="2"/>
  <c r="BQ210" i="2"/>
  <c r="BQ242" i="2"/>
  <c r="BQ259" i="2"/>
  <c r="BQ244" i="2"/>
  <c r="BQ21" i="2"/>
  <c r="BQ225" i="2"/>
  <c r="BQ159" i="2"/>
  <c r="BQ58" i="2"/>
  <c r="BQ115" i="2"/>
  <c r="BQ276" i="2"/>
  <c r="BQ173" i="2"/>
  <c r="BQ168" i="2"/>
  <c r="BQ30" i="2"/>
  <c r="BQ222" i="2"/>
  <c r="BQ131" i="2"/>
  <c r="BQ132" i="2"/>
  <c r="BQ349" i="2"/>
  <c r="BQ68" i="2"/>
  <c r="BQ279" i="2"/>
  <c r="BQ71" i="2"/>
  <c r="BQ275" i="2"/>
  <c r="BQ190" i="2"/>
  <c r="BQ238" i="2"/>
  <c r="BQ53" i="2"/>
  <c r="BQ172" i="2"/>
  <c r="BQ27" i="2"/>
  <c r="BQ63" i="2"/>
  <c r="BQ143" i="2"/>
  <c r="BQ273" i="2"/>
  <c r="BK98" i="2"/>
  <c r="BR98" i="2" s="1"/>
  <c r="BQ98" i="2"/>
  <c r="BK97" i="2"/>
  <c r="BR97" i="2" s="1"/>
  <c r="BQ97" i="2"/>
  <c r="BQ122" i="2"/>
  <c r="BQ46" i="2"/>
  <c r="BQ87" i="2"/>
  <c r="BQ158" i="2"/>
  <c r="BQ155" i="2"/>
  <c r="BQ223" i="2"/>
  <c r="BQ245" i="2"/>
  <c r="BQ18" i="2"/>
  <c r="BQ49" i="2"/>
  <c r="BQ83" i="2"/>
  <c r="BQ120" i="2"/>
  <c r="BQ117" i="2"/>
  <c r="BQ165" i="2"/>
  <c r="BQ178" i="2"/>
  <c r="BQ209" i="2"/>
  <c r="BQ207" i="2"/>
  <c r="BQ267" i="2"/>
  <c r="BQ256" i="2"/>
  <c r="BK99" i="2"/>
  <c r="BR99" i="2" s="1"/>
  <c r="BQ99" i="2"/>
  <c r="BQ160" i="2"/>
  <c r="BQ29" i="2"/>
  <c r="BQ162" i="2"/>
  <c r="BQ41" i="2"/>
  <c r="BQ24" i="2"/>
  <c r="BQ74" i="2"/>
  <c r="BQ78" i="2"/>
  <c r="BQ103" i="2"/>
  <c r="BQ124" i="2"/>
  <c r="BQ157" i="2"/>
  <c r="BQ214" i="2"/>
  <c r="BQ227" i="2"/>
  <c r="BQ264" i="2"/>
  <c r="BQ266" i="2"/>
  <c r="BQ435" i="2"/>
  <c r="BQ13" i="2"/>
  <c r="BQ40" i="2"/>
  <c r="BQ92" i="2"/>
  <c r="BQ64" i="2"/>
  <c r="BQ119" i="2"/>
  <c r="BQ156" i="2"/>
  <c r="BQ166" i="2"/>
  <c r="BQ211" i="2"/>
  <c r="BQ228" i="2"/>
  <c r="BQ255" i="2"/>
  <c r="BQ269" i="2"/>
  <c r="BQ436" i="2"/>
  <c r="BQ22" i="2"/>
  <c r="BQ51" i="2"/>
  <c r="BQ249" i="2"/>
  <c r="BQ59" i="2"/>
  <c r="BQ118" i="2"/>
  <c r="BQ128" i="2"/>
  <c r="BQ153" i="2"/>
  <c r="BQ169" i="2"/>
  <c r="BQ226" i="2"/>
  <c r="BQ231" i="2"/>
  <c r="BQ260" i="2"/>
  <c r="BQ263" i="2"/>
  <c r="BQ104" i="2"/>
  <c r="BK96" i="2"/>
  <c r="BR96" i="2" s="1"/>
  <c r="BQ96" i="2"/>
  <c r="BQ111" i="2"/>
  <c r="BQ220" i="2"/>
  <c r="BQ138" i="2"/>
  <c r="BQ10" i="2"/>
  <c r="BQ134" i="2"/>
  <c r="BQ262" i="2"/>
  <c r="BQ15" i="2"/>
  <c r="BQ171" i="2"/>
  <c r="BQ189" i="2"/>
  <c r="BQ66" i="2"/>
  <c r="BQ232" i="2"/>
  <c r="BQ204" i="2"/>
  <c r="BQ139" i="2"/>
  <c r="BQ293" i="2"/>
  <c r="BQ252" i="2"/>
  <c r="BQ37" i="2"/>
  <c r="BQ145" i="2"/>
  <c r="BQ152" i="2"/>
  <c r="BQ278" i="2"/>
  <c r="BQ23" i="2"/>
  <c r="BQ85" i="2"/>
  <c r="BQ141" i="2"/>
  <c r="BQ174" i="2"/>
  <c r="BQ184" i="2"/>
  <c r="BQ221" i="2"/>
  <c r="BQ240" i="2"/>
  <c r="BQ257" i="2"/>
  <c r="BQ281" i="2"/>
  <c r="BQ340" i="2"/>
  <c r="BQ42" i="2"/>
  <c r="BQ230" i="2"/>
  <c r="BQ133" i="2"/>
  <c r="BQ69" i="2"/>
  <c r="BQ179" i="2"/>
  <c r="BQ206" i="2"/>
  <c r="BQ31" i="2"/>
  <c r="BQ82" i="2"/>
  <c r="BQ114" i="2"/>
  <c r="BQ28" i="2"/>
  <c r="BQ44" i="2"/>
  <c r="BQ54" i="2"/>
  <c r="BQ81" i="2"/>
  <c r="BQ136" i="2"/>
  <c r="BQ146" i="2"/>
  <c r="BQ163" i="2"/>
  <c r="BQ148" i="2"/>
  <c r="BQ212" i="2"/>
  <c r="BQ243" i="2"/>
  <c r="BQ277" i="2"/>
  <c r="BQ410" i="2"/>
  <c r="BQ253" i="2"/>
  <c r="BQ79" i="2"/>
  <c r="BQ295" i="2"/>
  <c r="BQ62" i="2"/>
  <c r="BQ224" i="2"/>
  <c r="BQ35" i="2"/>
  <c r="BQ47" i="2"/>
  <c r="BQ43" i="2"/>
  <c r="BQ76" i="2"/>
  <c r="BQ86" i="2"/>
  <c r="BQ125" i="2"/>
  <c r="BQ110" i="2"/>
  <c r="BQ154" i="2"/>
  <c r="BQ182" i="2"/>
  <c r="BQ219" i="2"/>
  <c r="BQ239" i="2"/>
  <c r="BQ254" i="2"/>
  <c r="BQ251" i="2"/>
  <c r="BQ350" i="2"/>
  <c r="BQ94" i="2"/>
  <c r="BQ176" i="2"/>
  <c r="BQ265" i="2"/>
  <c r="BQ26" i="2"/>
  <c r="BQ16" i="2"/>
  <c r="BQ48" i="2"/>
  <c r="BQ65" i="2"/>
  <c r="BQ50" i="2"/>
  <c r="BQ116" i="2"/>
  <c r="BQ144" i="2"/>
  <c r="BQ161" i="2"/>
  <c r="BQ185" i="2"/>
  <c r="BQ213" i="2"/>
  <c r="BQ261" i="2"/>
  <c r="BQ274" i="2"/>
  <c r="BQ294" i="2"/>
  <c r="BQ215" i="2"/>
  <c r="BQ73" i="2"/>
  <c r="BQ351" i="2"/>
  <c r="BQ36" i="2"/>
  <c r="BQ32" i="2"/>
  <c r="BQ142" i="2"/>
  <c r="BQ250" i="2"/>
  <c r="BQ38" i="2"/>
  <c r="BQ12" i="2"/>
  <c r="BQ56" i="2"/>
  <c r="BQ84" i="2"/>
  <c r="BQ123" i="2"/>
  <c r="BQ147" i="2"/>
  <c r="BQ181" i="2"/>
  <c r="BQ216" i="2"/>
  <c r="BQ236" i="2"/>
  <c r="BQ247" i="2"/>
  <c r="BQ296" i="2"/>
  <c r="BN20" i="2"/>
  <c r="BN17" i="2"/>
  <c r="BN32" i="2"/>
  <c r="BN23" i="2"/>
  <c r="BN28" i="2"/>
  <c r="BN47" i="2"/>
  <c r="BN16" i="2"/>
  <c r="BN38" i="2"/>
  <c r="BN27" i="2"/>
  <c r="BN18" i="2"/>
  <c r="BN25" i="2"/>
  <c r="BN22" i="2"/>
  <c r="BN29" i="2"/>
  <c r="BN15" i="2"/>
  <c r="BN41" i="2"/>
  <c r="BN35" i="2"/>
  <c r="BN36" i="2"/>
  <c r="BN21" i="2"/>
  <c r="BN30" i="2"/>
  <c r="BN33" i="2"/>
  <c r="BN34" i="2"/>
  <c r="BN37" i="2"/>
  <c r="BN31" i="2"/>
  <c r="BN44" i="2"/>
  <c r="BN43" i="2"/>
  <c r="BN48" i="2"/>
  <c r="BN12" i="2"/>
  <c r="BN46" i="2"/>
  <c r="BN49" i="2"/>
  <c r="BN45" i="2"/>
  <c r="BN19" i="2"/>
  <c r="BN42" i="2"/>
  <c r="BN13" i="2"/>
  <c r="BN24" i="2"/>
  <c r="BN40" i="2"/>
  <c r="BN26" i="2"/>
  <c r="BN58" i="2"/>
  <c r="BN55" i="2"/>
  <c r="BN70" i="2"/>
  <c r="BN61" i="2"/>
  <c r="BN66" i="2"/>
  <c r="BN85" i="2"/>
  <c r="BN54" i="2"/>
  <c r="BN76" i="2"/>
  <c r="BN65" i="2"/>
  <c r="BN56" i="2"/>
  <c r="BN63" i="2"/>
  <c r="BN60" i="2"/>
  <c r="BN67" i="2"/>
  <c r="BN53" i="2"/>
  <c r="BN79" i="2"/>
  <c r="BN73" i="2"/>
  <c r="BN74" i="2"/>
  <c r="BN92" i="2"/>
  <c r="BN59" i="2"/>
  <c r="BN68" i="2"/>
  <c r="BN71" i="2"/>
  <c r="BN72" i="2"/>
  <c r="BN75" i="2"/>
  <c r="BN69" i="2"/>
  <c r="BN82" i="2"/>
  <c r="BN81" i="2"/>
  <c r="BN86" i="2"/>
  <c r="BN50" i="2"/>
  <c r="BN84" i="2"/>
  <c r="BN87" i="2"/>
  <c r="BN83" i="2"/>
  <c r="BN57" i="2"/>
  <c r="BN80" i="2"/>
  <c r="BN51" i="2"/>
  <c r="BN62" i="2"/>
  <c r="BN78" i="2"/>
  <c r="BN64" i="2"/>
  <c r="BN118" i="2"/>
  <c r="BN115" i="2"/>
  <c r="BN130" i="2"/>
  <c r="BN121" i="2"/>
  <c r="BN126" i="2"/>
  <c r="BN145" i="2"/>
  <c r="BN114" i="2"/>
  <c r="BN136" i="2"/>
  <c r="BN125" i="2"/>
  <c r="BN116" i="2"/>
  <c r="BN123" i="2"/>
  <c r="BN120" i="2"/>
  <c r="BN127" i="2"/>
  <c r="BN113" i="2"/>
  <c r="BN139" i="2"/>
  <c r="BN133" i="2"/>
  <c r="BN134" i="2"/>
  <c r="BN103" i="2"/>
  <c r="BN119" i="2"/>
  <c r="BN128" i="2"/>
  <c r="BN131" i="2"/>
  <c r="BN132" i="2"/>
  <c r="BN135" i="2"/>
  <c r="BN129" i="2"/>
  <c r="BN142" i="2"/>
  <c r="BN141" i="2"/>
  <c r="BN146" i="2"/>
  <c r="BN110" i="2"/>
  <c r="BN144" i="2"/>
  <c r="BN147" i="2"/>
  <c r="BN143" i="2"/>
  <c r="BN117" i="2"/>
  <c r="BN140" i="2"/>
  <c r="BN107" i="2"/>
  <c r="BN111" i="2"/>
  <c r="BN122" i="2"/>
  <c r="BN138" i="2"/>
  <c r="BN124" i="2"/>
  <c r="BN156" i="2"/>
  <c r="BN153" i="2"/>
  <c r="BN168" i="2"/>
  <c r="BN159" i="2"/>
  <c r="BN164" i="2"/>
  <c r="BN183" i="2"/>
  <c r="BN152" i="2"/>
  <c r="BN174" i="2"/>
  <c r="BN163" i="2"/>
  <c r="BN154" i="2"/>
  <c r="BN161" i="2"/>
  <c r="BN158" i="2"/>
  <c r="BN165" i="2"/>
  <c r="BN151" i="2"/>
  <c r="BN177" i="2"/>
  <c r="BN171" i="2"/>
  <c r="BN172" i="2"/>
  <c r="BN189" i="2"/>
  <c r="BN157" i="2"/>
  <c r="BN166" i="2"/>
  <c r="BN169" i="2"/>
  <c r="BN170" i="2"/>
  <c r="BN173" i="2"/>
  <c r="BN167" i="2"/>
  <c r="BN180" i="2"/>
  <c r="BN179" i="2"/>
  <c r="BN184" i="2"/>
  <c r="BN148" i="2"/>
  <c r="BN182" i="2"/>
  <c r="BN185" i="2"/>
  <c r="BN181" i="2"/>
  <c r="BN155" i="2"/>
  <c r="BN178" i="2"/>
  <c r="BN193" i="2"/>
  <c r="BN149" i="2"/>
  <c r="BN160" i="2"/>
  <c r="BN176" i="2"/>
  <c r="BN162" i="2"/>
  <c r="BN214" i="2"/>
  <c r="BN211" i="2"/>
  <c r="BN226" i="2"/>
  <c r="BN217" i="2"/>
  <c r="BN222" i="2"/>
  <c r="BN241" i="2"/>
  <c r="BN210" i="2"/>
  <c r="BN232" i="2"/>
  <c r="BN221" i="2"/>
  <c r="BN212" i="2"/>
  <c r="BN219" i="2"/>
  <c r="BN216" i="2"/>
  <c r="BN223" i="2"/>
  <c r="BN209" i="2"/>
  <c r="BN235" i="2"/>
  <c r="BN229" i="2"/>
  <c r="BN230" i="2"/>
  <c r="BN215" i="2"/>
  <c r="BN224" i="2"/>
  <c r="BN227" i="2"/>
  <c r="BN228" i="2"/>
  <c r="BN231" i="2"/>
  <c r="BN225" i="2"/>
  <c r="BN238" i="2"/>
  <c r="BN237" i="2"/>
  <c r="BN242" i="2"/>
  <c r="BN206" i="2"/>
  <c r="BN240" i="2"/>
  <c r="BN243" i="2"/>
  <c r="BN239" i="2"/>
  <c r="BN213" i="2"/>
  <c r="BN236" i="2"/>
  <c r="BN207" i="2"/>
  <c r="BN218" i="2"/>
  <c r="BN234" i="2"/>
  <c r="BN220" i="2"/>
  <c r="BN252" i="2"/>
  <c r="BN249" i="2"/>
  <c r="BN264" i="2"/>
  <c r="BN255" i="2"/>
  <c r="BN260" i="2"/>
  <c r="BN279" i="2"/>
  <c r="BN248" i="2"/>
  <c r="BN270" i="2"/>
  <c r="BN259" i="2"/>
  <c r="BN250" i="2"/>
  <c r="BN257" i="2"/>
  <c r="BN254" i="2"/>
  <c r="BN261" i="2"/>
  <c r="BN247" i="2"/>
  <c r="BN273" i="2"/>
  <c r="BN267" i="2"/>
  <c r="BN268" i="2"/>
  <c r="BN284" i="2"/>
  <c r="BN253" i="2"/>
  <c r="BN262" i="2"/>
  <c r="BN265" i="2"/>
  <c r="BN266" i="2"/>
  <c r="BN269" i="2"/>
  <c r="BN263" i="2"/>
  <c r="BN276" i="2"/>
  <c r="BN275" i="2"/>
  <c r="BN280" i="2"/>
  <c r="BN244" i="2"/>
  <c r="BN278" i="2"/>
  <c r="BN281" i="2"/>
  <c r="BN277" i="2"/>
  <c r="BN251" i="2"/>
  <c r="BN274" i="2"/>
  <c r="BN245" i="2"/>
  <c r="BN256" i="2"/>
  <c r="BN272" i="2"/>
  <c r="BN258" i="2"/>
  <c r="BN293" i="2"/>
  <c r="BN295" i="2"/>
  <c r="BN351" i="2"/>
  <c r="BN435" i="2"/>
  <c r="BN436" i="2"/>
  <c r="BN104" i="2"/>
  <c r="BN190" i="2"/>
  <c r="BN349" i="2"/>
  <c r="BN346" i="2"/>
  <c r="BN204" i="2"/>
  <c r="BN340" i="2"/>
  <c r="BN410" i="2"/>
  <c r="BN350" i="2"/>
  <c r="BN294" i="2"/>
  <c r="BN296" i="2"/>
  <c r="BK20" i="2"/>
  <c r="BK17" i="2"/>
  <c r="BK32" i="2"/>
  <c r="BK23" i="2"/>
  <c r="BK28" i="2"/>
  <c r="BK47" i="2"/>
  <c r="BK16" i="2"/>
  <c r="BK38" i="2"/>
  <c r="BK27" i="2"/>
  <c r="BK18" i="2"/>
  <c r="BK25" i="2"/>
  <c r="BK22" i="2"/>
  <c r="BK29" i="2"/>
  <c r="BK15" i="2"/>
  <c r="BK41" i="2"/>
  <c r="BK35" i="2"/>
  <c r="BK36" i="2"/>
  <c r="BK21" i="2"/>
  <c r="BK30" i="2"/>
  <c r="BK33" i="2"/>
  <c r="BK34" i="2"/>
  <c r="BK37" i="2"/>
  <c r="BK31" i="2"/>
  <c r="BK44" i="2"/>
  <c r="BK43" i="2"/>
  <c r="BK48" i="2"/>
  <c r="BK12" i="2"/>
  <c r="BK46" i="2"/>
  <c r="BK49" i="2"/>
  <c r="BK45" i="2"/>
  <c r="BK19" i="2"/>
  <c r="BK42" i="2"/>
  <c r="BK10" i="2"/>
  <c r="BR10" i="2" s="1"/>
  <c r="BK13" i="2"/>
  <c r="BK24" i="2"/>
  <c r="BK40" i="2"/>
  <c r="BK26" i="2"/>
  <c r="BK58" i="2"/>
  <c r="BK55" i="2"/>
  <c r="BK70" i="2"/>
  <c r="BK61" i="2"/>
  <c r="BK66" i="2"/>
  <c r="BK85" i="2"/>
  <c r="BK54" i="2"/>
  <c r="BK76" i="2"/>
  <c r="BK65" i="2"/>
  <c r="BK56" i="2"/>
  <c r="BK63" i="2"/>
  <c r="BK60" i="2"/>
  <c r="BK67" i="2"/>
  <c r="BK53" i="2"/>
  <c r="BK79" i="2"/>
  <c r="BK73" i="2"/>
  <c r="BK74" i="2"/>
  <c r="BK92" i="2"/>
  <c r="BK59" i="2"/>
  <c r="BK68" i="2"/>
  <c r="BK71" i="2"/>
  <c r="BK72" i="2"/>
  <c r="BK75" i="2"/>
  <c r="BK69" i="2"/>
  <c r="BK82" i="2"/>
  <c r="BK81" i="2"/>
  <c r="BK86" i="2"/>
  <c r="BK50" i="2"/>
  <c r="BK84" i="2"/>
  <c r="BK87" i="2"/>
  <c r="BK83" i="2"/>
  <c r="BK57" i="2"/>
  <c r="BK80" i="2"/>
  <c r="BK94" i="2"/>
  <c r="BR94" i="2" s="1"/>
  <c r="BK51" i="2"/>
  <c r="BK62" i="2"/>
  <c r="BK78" i="2"/>
  <c r="BK64" i="2"/>
  <c r="BK118" i="2"/>
  <c r="BK115" i="2"/>
  <c r="BK130" i="2"/>
  <c r="BK121" i="2"/>
  <c r="BK126" i="2"/>
  <c r="BK145" i="2"/>
  <c r="BK114" i="2"/>
  <c r="BK136" i="2"/>
  <c r="BK125" i="2"/>
  <c r="BK116" i="2"/>
  <c r="BK123" i="2"/>
  <c r="BK120" i="2"/>
  <c r="BK127" i="2"/>
  <c r="BK113" i="2"/>
  <c r="BK139" i="2"/>
  <c r="BK133" i="2"/>
  <c r="BK134" i="2"/>
  <c r="BK103" i="2"/>
  <c r="BK119" i="2"/>
  <c r="BK128" i="2"/>
  <c r="BK131" i="2"/>
  <c r="BK132" i="2"/>
  <c r="BK135" i="2"/>
  <c r="BK129" i="2"/>
  <c r="BK142" i="2"/>
  <c r="BK141" i="2"/>
  <c r="BK146" i="2"/>
  <c r="BK110" i="2"/>
  <c r="BK144" i="2"/>
  <c r="BK147" i="2"/>
  <c r="BK143" i="2"/>
  <c r="BK117" i="2"/>
  <c r="BK140" i="2"/>
  <c r="BK107" i="2"/>
  <c r="BK111" i="2"/>
  <c r="BK122" i="2"/>
  <c r="BK138" i="2"/>
  <c r="BK124" i="2"/>
  <c r="BK156" i="2"/>
  <c r="BK153" i="2"/>
  <c r="BK168" i="2"/>
  <c r="BK159" i="2"/>
  <c r="BK164" i="2"/>
  <c r="BK183" i="2"/>
  <c r="BK152" i="2"/>
  <c r="BK174" i="2"/>
  <c r="BK163" i="2"/>
  <c r="BK154" i="2"/>
  <c r="BK161" i="2"/>
  <c r="BK158" i="2"/>
  <c r="BK165" i="2"/>
  <c r="BK151" i="2"/>
  <c r="BK177" i="2"/>
  <c r="BK171" i="2"/>
  <c r="BK172" i="2"/>
  <c r="BK189" i="2"/>
  <c r="BK157" i="2"/>
  <c r="BK166" i="2"/>
  <c r="BK169" i="2"/>
  <c r="BK170" i="2"/>
  <c r="BK173" i="2"/>
  <c r="BK167" i="2"/>
  <c r="BK180" i="2"/>
  <c r="BK179" i="2"/>
  <c r="BK184" i="2"/>
  <c r="BK148" i="2"/>
  <c r="BK182" i="2"/>
  <c r="BK185" i="2"/>
  <c r="BK181" i="2"/>
  <c r="BK155" i="2"/>
  <c r="BK178" i="2"/>
  <c r="BK193" i="2"/>
  <c r="BK149" i="2"/>
  <c r="BK160" i="2"/>
  <c r="BK176" i="2"/>
  <c r="BK162" i="2"/>
  <c r="BK214" i="2"/>
  <c r="BK211" i="2"/>
  <c r="BK226" i="2"/>
  <c r="BK217" i="2"/>
  <c r="BK222" i="2"/>
  <c r="BK241" i="2"/>
  <c r="BK210" i="2"/>
  <c r="BK232" i="2"/>
  <c r="BK221" i="2"/>
  <c r="BK212" i="2"/>
  <c r="BK219" i="2"/>
  <c r="BK216" i="2"/>
  <c r="BK223" i="2"/>
  <c r="BK209" i="2"/>
  <c r="BK235" i="2"/>
  <c r="BK229" i="2"/>
  <c r="BK230" i="2"/>
  <c r="BK215" i="2"/>
  <c r="BK224" i="2"/>
  <c r="BK227" i="2"/>
  <c r="BK228" i="2"/>
  <c r="BK231" i="2"/>
  <c r="BK225" i="2"/>
  <c r="BK238" i="2"/>
  <c r="BK237" i="2"/>
  <c r="BK242" i="2"/>
  <c r="BK206" i="2"/>
  <c r="BK240" i="2"/>
  <c r="BK243" i="2"/>
  <c r="BK239" i="2"/>
  <c r="BK213" i="2"/>
  <c r="BK236" i="2"/>
  <c r="BK207" i="2"/>
  <c r="BK218" i="2"/>
  <c r="BK234" i="2"/>
  <c r="BK220" i="2"/>
  <c r="BK252" i="2"/>
  <c r="BK249" i="2"/>
  <c r="BK264" i="2"/>
  <c r="BK255" i="2"/>
  <c r="BK260" i="2"/>
  <c r="BK279" i="2"/>
  <c r="BK248" i="2"/>
  <c r="BK270" i="2"/>
  <c r="BK259" i="2"/>
  <c r="BK250" i="2"/>
  <c r="BK257" i="2"/>
  <c r="BK254" i="2"/>
  <c r="BK261" i="2"/>
  <c r="BK247" i="2"/>
  <c r="BK273" i="2"/>
  <c r="BK267" i="2"/>
  <c r="BK268" i="2"/>
  <c r="BK284" i="2"/>
  <c r="BK253" i="2"/>
  <c r="BK262" i="2"/>
  <c r="BK265" i="2"/>
  <c r="BK266" i="2"/>
  <c r="BK269" i="2"/>
  <c r="BK263" i="2"/>
  <c r="BK276" i="2"/>
  <c r="BK275" i="2"/>
  <c r="BK280" i="2"/>
  <c r="BK244" i="2"/>
  <c r="BK278" i="2"/>
  <c r="BK281" i="2"/>
  <c r="BK277" i="2"/>
  <c r="BK251" i="2"/>
  <c r="BK274" i="2"/>
  <c r="BK245" i="2"/>
  <c r="BK256" i="2"/>
  <c r="BK272" i="2"/>
  <c r="BK258" i="2"/>
  <c r="BK293" i="2"/>
  <c r="BK295" i="2"/>
  <c r="BK351" i="2"/>
  <c r="BK435" i="2"/>
  <c r="BK436" i="2"/>
  <c r="BK104" i="2"/>
  <c r="BK190" i="2"/>
  <c r="BK349" i="2"/>
  <c r="BK346" i="2"/>
  <c r="BK204" i="2"/>
  <c r="BK340" i="2"/>
  <c r="BK410" i="2"/>
  <c r="BK350" i="2"/>
  <c r="BK294" i="2"/>
  <c r="BK296" i="2"/>
  <c r="BR29" i="2" l="1"/>
  <c r="BR74" i="2"/>
  <c r="BR13" i="2"/>
  <c r="BR15" i="2"/>
  <c r="BR295" i="2"/>
  <c r="BR178" i="2"/>
  <c r="BR165" i="2"/>
  <c r="BR143" i="2"/>
  <c r="BR123" i="2"/>
  <c r="BR236" i="2"/>
  <c r="BR267" i="2"/>
  <c r="BR216" i="2"/>
  <c r="BR234" i="2"/>
  <c r="BR235" i="2"/>
  <c r="BR243" i="2"/>
  <c r="BR272" i="2"/>
  <c r="BR268" i="2"/>
  <c r="BR181" i="2"/>
  <c r="BR258" i="2"/>
  <c r="BR157" i="2"/>
  <c r="BR230" i="2"/>
  <c r="BR273" i="2"/>
  <c r="BR212" i="2"/>
  <c r="BR148" i="2"/>
  <c r="BR78" i="2"/>
  <c r="BR262" i="2"/>
  <c r="BR284" i="2"/>
  <c r="BR218" i="2"/>
  <c r="BR158" i="2"/>
  <c r="BR147" i="2"/>
  <c r="BR133" i="2"/>
  <c r="BR227" i="2"/>
  <c r="BR177" i="2"/>
  <c r="BR249" i="2"/>
  <c r="BR209" i="2"/>
  <c r="BR41" i="2"/>
  <c r="BR293" i="2"/>
  <c r="BR193" i="2"/>
  <c r="BR229" i="2"/>
  <c r="BR351" i="2"/>
  <c r="BR51" i="2"/>
  <c r="BR113" i="2"/>
  <c r="BR134" i="2"/>
  <c r="BR62" i="2"/>
  <c r="BR265" i="2"/>
  <c r="BR252" i="2"/>
  <c r="BR160" i="2"/>
  <c r="BR124" i="2"/>
  <c r="BR151" i="2"/>
  <c r="BR107" i="2"/>
  <c r="BR215" i="2"/>
  <c r="BR149" i="2"/>
  <c r="BR24" i="2"/>
  <c r="BR120" i="2"/>
  <c r="BR220" i="2"/>
  <c r="BR67" i="2"/>
  <c r="BR49" i="2"/>
  <c r="BR18" i="2"/>
  <c r="BR80" i="2"/>
  <c r="BR122" i="2"/>
  <c r="BR45" i="2"/>
  <c r="BR27" i="2"/>
  <c r="BR139" i="2"/>
  <c r="BR140" i="2"/>
  <c r="BR435" i="2"/>
  <c r="BR22" i="2"/>
  <c r="BR176" i="2"/>
  <c r="BR73" i="2"/>
  <c r="BR171" i="2"/>
  <c r="BR53" i="2"/>
  <c r="BR19" i="2"/>
  <c r="BR25" i="2"/>
  <c r="BR47" i="2"/>
  <c r="BR60" i="2"/>
  <c r="BR43" i="2"/>
  <c r="BR38" i="2"/>
  <c r="BR63" i="2"/>
  <c r="BR57" i="2"/>
  <c r="BR16" i="2"/>
  <c r="BR48" i="2"/>
  <c r="BR79" i="2"/>
  <c r="BR172" i="2"/>
  <c r="BR84" i="2"/>
  <c r="BR117" i="2"/>
  <c r="BR56" i="2"/>
  <c r="BR214" i="2"/>
  <c r="BR83" i="2"/>
  <c r="BR12" i="2"/>
  <c r="BR266" i="2"/>
  <c r="BR264" i="2"/>
  <c r="BR224" i="2"/>
  <c r="BR162" i="2"/>
  <c r="BR189" i="2"/>
  <c r="BR138" i="2"/>
  <c r="BR253" i="2"/>
  <c r="BR256" i="2"/>
  <c r="BR247" i="2"/>
  <c r="BR185" i="2"/>
  <c r="BR161" i="2"/>
  <c r="BR144" i="2"/>
  <c r="BR116" i="2"/>
  <c r="BR50" i="2"/>
  <c r="BR65" i="2"/>
  <c r="BR245" i="2"/>
  <c r="BR296" i="2"/>
  <c r="BR274" i="2"/>
  <c r="BR261" i="2"/>
  <c r="BR125" i="2"/>
  <c r="BR213" i="2"/>
  <c r="BR154" i="2"/>
  <c r="BR110" i="2"/>
  <c r="BR86" i="2"/>
  <c r="BR76" i="2"/>
  <c r="BR294" i="2"/>
  <c r="BR163" i="2"/>
  <c r="BR146" i="2"/>
  <c r="BR136" i="2"/>
  <c r="BR81" i="2"/>
  <c r="BR54" i="2"/>
  <c r="BR44" i="2"/>
  <c r="BR28" i="2"/>
  <c r="BR277" i="2"/>
  <c r="BR410" i="2"/>
  <c r="BR223" i="2"/>
  <c r="BR155" i="2"/>
  <c r="BR87" i="2"/>
  <c r="BR251" i="2"/>
  <c r="BR182" i="2"/>
  <c r="BR350" i="2"/>
  <c r="BR239" i="2"/>
  <c r="BR254" i="2"/>
  <c r="BR219" i="2"/>
  <c r="BR103" i="2"/>
  <c r="BR46" i="2"/>
  <c r="BR127" i="2"/>
  <c r="BR436" i="2"/>
  <c r="BR269" i="2"/>
  <c r="BR228" i="2"/>
  <c r="BR211" i="2"/>
  <c r="BR166" i="2"/>
  <c r="BR156" i="2"/>
  <c r="BR119" i="2"/>
  <c r="BR64" i="2"/>
  <c r="BR92" i="2"/>
  <c r="BR104" i="2"/>
  <c r="BR263" i="2"/>
  <c r="BR260" i="2"/>
  <c r="BR231" i="2"/>
  <c r="BR226" i="2"/>
  <c r="BR169" i="2"/>
  <c r="BR153" i="2"/>
  <c r="BR128" i="2"/>
  <c r="BR59" i="2"/>
  <c r="BR36" i="2"/>
  <c r="BR35" i="2"/>
  <c r="BR111" i="2"/>
  <c r="BR42" i="2"/>
  <c r="BR207" i="2"/>
  <c r="BR255" i="2"/>
  <c r="BR40" i="2"/>
  <c r="BR237" i="2"/>
  <c r="BR346" i="2"/>
  <c r="BR241" i="2"/>
  <c r="BR280" i="2"/>
  <c r="BR270" i="2"/>
  <c r="BR340" i="2"/>
  <c r="BR281" i="2"/>
  <c r="BR257" i="2"/>
  <c r="BR240" i="2"/>
  <c r="BR221" i="2"/>
  <c r="BR184" i="2"/>
  <c r="BR174" i="2"/>
  <c r="BR141" i="2"/>
  <c r="BR114" i="2"/>
  <c r="BR82" i="2"/>
  <c r="BR85" i="2"/>
  <c r="BR31" i="2"/>
  <c r="BR23" i="2"/>
  <c r="BR204" i="2"/>
  <c r="BR206" i="2"/>
  <c r="BR152" i="2"/>
  <c r="BR69" i="2"/>
  <c r="BR32" i="2"/>
  <c r="BR250" i="2"/>
  <c r="BR179" i="2"/>
  <c r="BR145" i="2"/>
  <c r="BR66" i="2"/>
  <c r="BR242" i="2"/>
  <c r="BR210" i="2"/>
  <c r="BR183" i="2"/>
  <c r="BR129" i="2"/>
  <c r="BR126" i="2"/>
  <c r="BR75" i="2"/>
  <c r="BR61" i="2"/>
  <c r="BR34" i="2"/>
  <c r="BR17" i="2"/>
  <c r="BR278" i="2"/>
  <c r="BR232" i="2"/>
  <c r="BR142" i="2"/>
  <c r="BR37" i="2"/>
  <c r="BR244" i="2"/>
  <c r="BR259" i="2"/>
  <c r="BR180" i="2"/>
  <c r="BR167" i="2"/>
  <c r="BR164" i="2"/>
  <c r="BR135" i="2"/>
  <c r="BR121" i="2"/>
  <c r="BR72" i="2"/>
  <c r="BR70" i="2"/>
  <c r="BR33" i="2"/>
  <c r="BR20" i="2"/>
  <c r="BR349" i="2"/>
  <c r="BR173" i="2"/>
  <c r="BR132" i="2"/>
  <c r="BR248" i="2"/>
  <c r="BR238" i="2"/>
  <c r="BR222" i="2"/>
  <c r="BR159" i="2"/>
  <c r="BR130" i="2"/>
  <c r="BR71" i="2"/>
  <c r="BR55" i="2"/>
  <c r="BR30" i="2"/>
  <c r="BR190" i="2"/>
  <c r="BR276" i="2"/>
  <c r="BR279" i="2"/>
  <c r="BR225" i="2"/>
  <c r="BR217" i="2"/>
  <c r="BR170" i="2"/>
  <c r="BR168" i="2"/>
  <c r="BR131" i="2"/>
  <c r="BR115" i="2"/>
  <c r="BR68" i="2"/>
  <c r="BR58" i="2"/>
  <c r="BR21" i="2"/>
  <c r="BR118" i="2"/>
  <c r="BR26" i="2"/>
  <c r="BR275" i="2"/>
  <c r="AK517" i="2" a="1"/>
  <c r="AK517" i="2" s="1"/>
  <c r="AL517" i="2" s="1" a="1"/>
  <c r="AL517" i="2" s="1"/>
  <c r="AM517" i="2" s="1" a="1"/>
  <c r="AM517" i="2" s="1"/>
  <c r="AN517" i="2" s="1" a="1"/>
  <c r="AN517" i="2" s="1"/>
  <c r="AO517" i="2" s="1" a="1"/>
  <c r="AO517" i="2" s="1"/>
  <c r="AP517" i="2" s="1" a="1"/>
  <c r="AP517" i="2" s="1"/>
  <c r="AQ517" i="2" s="1" a="1"/>
  <c r="AQ517" i="2" s="1"/>
  <c r="AR517" i="2" s="1"/>
  <c r="AS517" i="2" s="1"/>
  <c r="AT517" i="2" s="1"/>
  <c r="AU517" i="2" s="1"/>
  <c r="AV517" i="2" s="1"/>
  <c r="AW517" i="2" s="1"/>
  <c r="AX517" i="2" s="1"/>
  <c r="AY517" i="2" s="1"/>
  <c r="AC517" i="2"/>
  <c r="AK212" i="2" a="1"/>
  <c r="AK212" i="2" s="1"/>
  <c r="AL212" i="2" s="1" a="1"/>
  <c r="AL212" i="2" s="1"/>
  <c r="AM212" i="2" s="1" a="1"/>
  <c r="AM212" i="2" s="1"/>
  <c r="AN212" i="2" s="1" a="1"/>
  <c r="AN212" i="2" s="1"/>
  <c r="AO212" i="2" s="1" a="1"/>
  <c r="AO212" i="2" s="1"/>
  <c r="AP212" i="2" s="1" a="1"/>
  <c r="AP212" i="2" s="1"/>
  <c r="AQ212" i="2" s="1" a="1"/>
  <c r="AQ212" i="2" s="1"/>
  <c r="AR212" i="2" s="1"/>
  <c r="AS212" i="2" s="1"/>
  <c r="AT212" i="2" s="1"/>
  <c r="AU212" i="2" s="1"/>
  <c r="AV212" i="2" s="1"/>
  <c r="AW212" i="2" s="1"/>
  <c r="AX212" i="2" s="1"/>
  <c r="AY212" i="2" s="1"/>
  <c r="AC212" i="2"/>
  <c r="AK518" i="2" a="1"/>
  <c r="AK518" i="2" s="1"/>
  <c r="AL518" i="2" s="1" a="1"/>
  <c r="AL518" i="2" s="1"/>
  <c r="AM518" i="2" s="1" a="1"/>
  <c r="AM518" i="2" s="1"/>
  <c r="AN518" i="2" s="1" a="1"/>
  <c r="AN518" i="2" s="1"/>
  <c r="AO518" i="2" s="1" a="1"/>
  <c r="AO518" i="2" s="1"/>
  <c r="AP518" i="2" s="1" a="1"/>
  <c r="AP518" i="2" s="1"/>
  <c r="AQ518" i="2" s="1" a="1"/>
  <c r="AQ518" i="2" s="1"/>
  <c r="AR518" i="2" s="1"/>
  <c r="AS518" i="2" s="1"/>
  <c r="AT518" i="2" s="1"/>
  <c r="AU518" i="2" s="1"/>
  <c r="AV518" i="2" s="1"/>
  <c r="AW518" i="2" s="1"/>
  <c r="AX518" i="2" s="1"/>
  <c r="AY518" i="2" s="1"/>
  <c r="AC518" i="2"/>
  <c r="AK183" i="2" a="1"/>
  <c r="AK183" i="2" s="1"/>
  <c r="AL183" i="2" s="1" a="1"/>
  <c r="AL183" i="2" s="1"/>
  <c r="AM183" i="2" s="1" a="1"/>
  <c r="AM183" i="2" s="1"/>
  <c r="AN183" i="2" s="1" a="1"/>
  <c r="AN183" i="2" s="1"/>
  <c r="AO183" i="2" s="1" a="1"/>
  <c r="AO183" i="2" s="1"/>
  <c r="AP183" i="2" s="1" a="1"/>
  <c r="AP183" i="2" s="1"/>
  <c r="AQ183" i="2" s="1" a="1"/>
  <c r="AQ183" i="2" s="1"/>
  <c r="AR183" i="2" s="1"/>
  <c r="AS183" i="2" s="1"/>
  <c r="AT183" i="2" s="1"/>
  <c r="AU183" i="2" s="1"/>
  <c r="AV183" i="2" s="1"/>
  <c r="AW183" i="2" s="1"/>
  <c r="AX183" i="2" s="1"/>
  <c r="AY183" i="2" s="1"/>
  <c r="AC183" i="2"/>
  <c r="AK496" i="2" a="1"/>
  <c r="AK496" i="2" s="1"/>
  <c r="AL496" i="2" s="1" a="1"/>
  <c r="AL496" i="2" s="1"/>
  <c r="AM496" i="2" s="1" a="1"/>
  <c r="AM496" i="2" s="1"/>
  <c r="AN496" i="2" s="1" a="1"/>
  <c r="AN496" i="2" s="1"/>
  <c r="AO496" i="2" s="1" a="1"/>
  <c r="AO496" i="2" s="1"/>
  <c r="AP496" i="2" s="1" a="1"/>
  <c r="AP496" i="2" s="1"/>
  <c r="AQ496" i="2" s="1" a="1"/>
  <c r="AQ496" i="2" s="1"/>
  <c r="AR496" i="2" s="1"/>
  <c r="AS496" i="2" s="1"/>
  <c r="AT496" i="2" s="1"/>
  <c r="AU496" i="2" s="1"/>
  <c r="AV496" i="2" s="1"/>
  <c r="AW496" i="2" s="1"/>
  <c r="AX496" i="2" s="1"/>
  <c r="AY496" i="2" s="1"/>
  <c r="AC496" i="2"/>
  <c r="AK378" i="2" a="1"/>
  <c r="AK378" i="2" s="1"/>
  <c r="AL378" i="2" s="1" a="1"/>
  <c r="AL378" i="2" s="1"/>
  <c r="AM378" i="2" s="1" a="1"/>
  <c r="AM378" i="2" s="1"/>
  <c r="AN378" i="2" s="1" a="1"/>
  <c r="AN378" i="2" s="1"/>
  <c r="AO378" i="2" s="1" a="1"/>
  <c r="AO378" i="2" s="1"/>
  <c r="AP378" i="2" s="1" a="1"/>
  <c r="AP378" i="2" s="1"/>
  <c r="AQ378" i="2" s="1" a="1"/>
  <c r="AQ378" i="2" s="1"/>
  <c r="AR378" i="2" s="1"/>
  <c r="AS378" i="2" s="1"/>
  <c r="AT378" i="2" s="1"/>
  <c r="AU378" i="2" s="1"/>
  <c r="AV378" i="2" s="1"/>
  <c r="AW378" i="2" s="1"/>
  <c r="AX378" i="2" s="1"/>
  <c r="AY378" i="2" s="1"/>
  <c r="AC378" i="2"/>
  <c r="AK284" i="2" a="1"/>
  <c r="AK284" i="2" s="1"/>
  <c r="AL284" i="2" s="1" a="1"/>
  <c r="AL284" i="2" s="1"/>
  <c r="AM284" i="2" s="1" a="1"/>
  <c r="AM284" i="2" s="1"/>
  <c r="AN284" i="2" s="1" a="1"/>
  <c r="AN284" i="2" s="1"/>
  <c r="AO284" i="2" s="1" a="1"/>
  <c r="AO284" i="2" s="1"/>
  <c r="AP284" i="2" s="1" a="1"/>
  <c r="AP284" i="2" s="1"/>
  <c r="AQ284" i="2" s="1" a="1"/>
  <c r="AQ284" i="2" s="1"/>
  <c r="AR284" i="2" s="1"/>
  <c r="AS284" i="2" s="1"/>
  <c r="AT284" i="2" s="1"/>
  <c r="AU284" i="2" s="1"/>
  <c r="AV284" i="2" s="1"/>
  <c r="AW284" i="2" s="1"/>
  <c r="AX284" i="2" s="1"/>
  <c r="AY284" i="2" s="1"/>
  <c r="AC284" i="2"/>
  <c r="AK204" i="2" a="1"/>
  <c r="AK204" i="2" s="1"/>
  <c r="AL204" i="2" s="1" a="1"/>
  <c r="AL204" i="2" s="1"/>
  <c r="AM204" i="2" s="1" a="1"/>
  <c r="AM204" i="2" s="1"/>
  <c r="AN204" i="2" s="1" a="1"/>
  <c r="AN204" i="2" s="1"/>
  <c r="AO204" i="2" s="1" a="1"/>
  <c r="AO204" i="2" s="1"/>
  <c r="AP204" i="2" s="1" a="1"/>
  <c r="AP204" i="2" s="1"/>
  <c r="AQ204" i="2" s="1" a="1"/>
  <c r="AQ204" i="2" s="1"/>
  <c r="AR204" i="2" s="1"/>
  <c r="AS204" i="2" s="1"/>
  <c r="AT204" i="2" s="1"/>
  <c r="AU204" i="2" s="1"/>
  <c r="AV204" i="2" s="1"/>
  <c r="AW204" i="2" s="1"/>
  <c r="AX204" i="2" s="1"/>
  <c r="AY204" i="2" s="1"/>
  <c r="AC204" i="2"/>
  <c r="AK497" i="2" a="1"/>
  <c r="AK497" i="2" s="1"/>
  <c r="AL497" i="2" s="1" a="1"/>
  <c r="AL497" i="2" s="1"/>
  <c r="AM497" i="2" s="1" a="1"/>
  <c r="AM497" i="2" s="1"/>
  <c r="AN497" i="2" s="1" a="1"/>
  <c r="AN497" i="2" s="1"/>
  <c r="AO497" i="2" s="1" a="1"/>
  <c r="AO497" i="2" s="1"/>
  <c r="AP497" i="2" s="1" a="1"/>
  <c r="AP497" i="2" s="1"/>
  <c r="AQ497" i="2" s="1" a="1"/>
  <c r="AQ497" i="2" s="1"/>
  <c r="AR497" i="2" s="1"/>
  <c r="AS497" i="2" s="1"/>
  <c r="AT497" i="2" s="1"/>
  <c r="AU497" i="2" s="1"/>
  <c r="AV497" i="2" s="1"/>
  <c r="AW497" i="2" s="1"/>
  <c r="AX497" i="2" s="1"/>
  <c r="AY497" i="2" s="1"/>
  <c r="AC497" i="2"/>
  <c r="AK379" i="2" a="1"/>
  <c r="AK379" i="2" s="1"/>
  <c r="AL379" i="2" s="1" a="1"/>
  <c r="AL379" i="2" s="1"/>
  <c r="AM379" i="2" s="1" a="1"/>
  <c r="AM379" i="2" s="1"/>
  <c r="AN379" i="2" s="1" a="1"/>
  <c r="AN379" i="2" s="1"/>
  <c r="AO379" i="2" s="1" a="1"/>
  <c r="AO379" i="2" s="1"/>
  <c r="AP379" i="2" s="1" a="1"/>
  <c r="AP379" i="2" s="1"/>
  <c r="AQ379" i="2" s="1" a="1"/>
  <c r="AQ379" i="2" s="1"/>
  <c r="AR379" i="2" s="1"/>
  <c r="AS379" i="2" s="1"/>
  <c r="AT379" i="2" s="1"/>
  <c r="AU379" i="2" s="1"/>
  <c r="AV379" i="2" s="1"/>
  <c r="AW379" i="2" s="1"/>
  <c r="AX379" i="2" s="1"/>
  <c r="AY379" i="2" s="1"/>
  <c r="AC379" i="2"/>
  <c r="AK285" i="2" a="1"/>
  <c r="AK285" i="2" s="1"/>
  <c r="AL285" i="2" s="1" a="1"/>
  <c r="AL285" i="2" s="1"/>
  <c r="AM285" i="2" s="1" a="1"/>
  <c r="AM285" i="2" s="1"/>
  <c r="AN285" i="2" s="1" a="1"/>
  <c r="AN285" i="2" s="1"/>
  <c r="AO285" i="2" s="1" a="1"/>
  <c r="AO285" i="2" s="1"/>
  <c r="AP285" i="2" s="1" a="1"/>
  <c r="AP285" i="2" s="1"/>
  <c r="AQ285" i="2" s="1" a="1"/>
  <c r="AQ285" i="2" s="1"/>
  <c r="AR285" i="2" s="1"/>
  <c r="AS285" i="2" s="1"/>
  <c r="AT285" i="2" s="1"/>
  <c r="AU285" i="2" s="1"/>
  <c r="AV285" i="2" s="1"/>
  <c r="AW285" i="2" s="1"/>
  <c r="AX285" i="2" s="1"/>
  <c r="AY285" i="2" s="1"/>
  <c r="AC285" i="2"/>
  <c r="AK175" i="2" a="1"/>
  <c r="AK175" i="2" s="1"/>
  <c r="AL175" i="2" s="1" a="1"/>
  <c r="AL175" i="2" s="1"/>
  <c r="AM175" i="2" s="1" a="1"/>
  <c r="AM175" i="2" s="1"/>
  <c r="AN175" i="2" s="1" a="1"/>
  <c r="AN175" i="2" s="1"/>
  <c r="AO175" i="2" s="1" a="1"/>
  <c r="AO175" i="2" s="1"/>
  <c r="AP175" i="2" s="1" a="1"/>
  <c r="AP175" i="2" s="1"/>
  <c r="AQ175" i="2" s="1" a="1"/>
  <c r="AQ175" i="2" s="1"/>
  <c r="AR175" i="2" s="1"/>
  <c r="AS175" i="2" s="1"/>
  <c r="AT175" i="2" s="1"/>
  <c r="AU175" i="2" s="1"/>
  <c r="AV175" i="2" s="1"/>
  <c r="AW175" i="2" s="1"/>
  <c r="AX175" i="2" s="1"/>
  <c r="AY175" i="2" s="1"/>
  <c r="AC175" i="2"/>
  <c r="AK464" i="2" a="1"/>
  <c r="AK464" i="2" s="1"/>
  <c r="AL464" i="2" s="1" a="1"/>
  <c r="AL464" i="2" s="1"/>
  <c r="AM464" i="2" s="1" a="1"/>
  <c r="AM464" i="2" s="1"/>
  <c r="AN464" i="2" s="1" a="1"/>
  <c r="AN464" i="2" s="1"/>
  <c r="AO464" i="2" s="1" a="1"/>
  <c r="AO464" i="2" s="1"/>
  <c r="AP464" i="2" s="1" a="1"/>
  <c r="AP464" i="2" s="1"/>
  <c r="AQ464" i="2" s="1" a="1"/>
  <c r="AQ464" i="2" s="1"/>
  <c r="AR464" i="2" s="1"/>
  <c r="AS464" i="2" s="1"/>
  <c r="AT464" i="2" s="1"/>
  <c r="AU464" i="2" s="1"/>
  <c r="AV464" i="2" s="1"/>
  <c r="AW464" i="2" s="1"/>
  <c r="AX464" i="2" s="1"/>
  <c r="AY464" i="2" s="1"/>
  <c r="AC464" i="2"/>
  <c r="AK347" i="2" a="1"/>
  <c r="AK347" i="2" s="1"/>
  <c r="AL347" i="2" s="1" a="1"/>
  <c r="AL347" i="2" s="1"/>
  <c r="AM347" i="2" s="1" a="1"/>
  <c r="AM347" i="2" s="1"/>
  <c r="AN347" i="2" s="1" a="1"/>
  <c r="AN347" i="2" s="1"/>
  <c r="AO347" i="2" s="1" a="1"/>
  <c r="AO347" i="2" s="1"/>
  <c r="AP347" i="2" s="1" a="1"/>
  <c r="AP347" i="2" s="1"/>
  <c r="AQ347" i="2" s="1" a="1"/>
  <c r="AQ347" i="2" s="1"/>
  <c r="AR347" i="2" s="1"/>
  <c r="AS347" i="2" s="1"/>
  <c r="AT347" i="2" s="1"/>
  <c r="AU347" i="2" s="1"/>
  <c r="AV347" i="2" s="1"/>
  <c r="AW347" i="2" s="1"/>
  <c r="AX347" i="2" s="1"/>
  <c r="AY347" i="2" s="1"/>
  <c r="AC347" i="2"/>
  <c r="AK257" i="2" a="1"/>
  <c r="AK257" i="2" s="1"/>
  <c r="AL257" i="2" s="1" a="1"/>
  <c r="AL257" i="2" s="1"/>
  <c r="AM257" i="2" s="1" a="1"/>
  <c r="AM257" i="2" s="1"/>
  <c r="AN257" i="2" s="1" a="1"/>
  <c r="AN257" i="2" s="1"/>
  <c r="AO257" i="2" s="1" a="1"/>
  <c r="AO257" i="2" s="1"/>
  <c r="AP257" i="2" s="1" a="1"/>
  <c r="AP257" i="2" s="1"/>
  <c r="AQ257" i="2" s="1" a="1"/>
  <c r="AQ257" i="2" s="1"/>
  <c r="AR257" i="2" s="1"/>
  <c r="AS257" i="2" s="1"/>
  <c r="AT257" i="2" s="1"/>
  <c r="AU257" i="2" s="1"/>
  <c r="AV257" i="2" s="1"/>
  <c r="AW257" i="2" s="1"/>
  <c r="AX257" i="2" s="1"/>
  <c r="AY257" i="2" s="1"/>
  <c r="AC257" i="2"/>
  <c r="AK195" i="2" a="1"/>
  <c r="AK195" i="2" s="1"/>
  <c r="AL195" i="2" s="1" a="1"/>
  <c r="AL195" i="2" s="1"/>
  <c r="AM195" i="2" s="1" a="1"/>
  <c r="AM195" i="2" s="1"/>
  <c r="AN195" i="2" s="1" a="1"/>
  <c r="AN195" i="2" s="1"/>
  <c r="AO195" i="2" s="1" a="1"/>
  <c r="AO195" i="2" s="1"/>
  <c r="AP195" i="2" s="1" a="1"/>
  <c r="AP195" i="2" s="1"/>
  <c r="AQ195" i="2" s="1" a="1"/>
  <c r="AQ195" i="2" s="1"/>
  <c r="AR195" i="2" s="1"/>
  <c r="AS195" i="2" s="1"/>
  <c r="AT195" i="2" s="1"/>
  <c r="AU195" i="2" s="1"/>
  <c r="AV195" i="2" s="1"/>
  <c r="AW195" i="2" s="1"/>
  <c r="AX195" i="2" s="1"/>
  <c r="AY195" i="2" s="1"/>
  <c r="AC195" i="2"/>
  <c r="AK466" i="2" a="1"/>
  <c r="AK466" i="2" s="1"/>
  <c r="AL466" i="2" s="1" a="1"/>
  <c r="AL466" i="2" s="1"/>
  <c r="AM466" i="2" s="1" a="1"/>
  <c r="AM466" i="2" s="1"/>
  <c r="AN466" i="2" s="1" a="1"/>
  <c r="AN466" i="2" s="1"/>
  <c r="AO466" i="2" s="1" a="1"/>
  <c r="AO466" i="2" s="1"/>
  <c r="AP466" i="2" s="1" a="1"/>
  <c r="AP466" i="2" s="1"/>
  <c r="AQ466" i="2" s="1" a="1"/>
  <c r="AQ466" i="2" s="1"/>
  <c r="AR466" i="2" s="1"/>
  <c r="AS466" i="2" s="1"/>
  <c r="AT466" i="2" s="1"/>
  <c r="AU466" i="2" s="1"/>
  <c r="AV466" i="2" s="1"/>
  <c r="AW466" i="2" s="1"/>
  <c r="AX466" i="2" s="1"/>
  <c r="AY466" i="2" s="1"/>
  <c r="AC466" i="2"/>
  <c r="AK349" i="2" a="1"/>
  <c r="AK349" i="2" s="1"/>
  <c r="AL349" i="2" s="1" a="1"/>
  <c r="AL349" i="2" s="1"/>
  <c r="AM349" i="2" s="1" a="1"/>
  <c r="AM349" i="2" s="1"/>
  <c r="AN349" i="2" s="1" a="1"/>
  <c r="AN349" i="2" s="1"/>
  <c r="AO349" i="2" s="1" a="1"/>
  <c r="AO349" i="2" s="1"/>
  <c r="AP349" i="2" s="1" a="1"/>
  <c r="AP349" i="2" s="1"/>
  <c r="AQ349" i="2" s="1" a="1"/>
  <c r="AQ349" i="2" s="1"/>
  <c r="AR349" i="2" s="1"/>
  <c r="AS349" i="2" s="1"/>
  <c r="AT349" i="2" s="1"/>
  <c r="AU349" i="2" s="1"/>
  <c r="AV349" i="2" s="1"/>
  <c r="AW349" i="2" s="1"/>
  <c r="AX349" i="2" s="1"/>
  <c r="AY349" i="2" s="1"/>
  <c r="AC349" i="2"/>
  <c r="AK259" i="2" a="1"/>
  <c r="AK259" i="2" s="1"/>
  <c r="AL259" i="2" s="1" a="1"/>
  <c r="AL259" i="2" s="1"/>
  <c r="AM259" i="2" s="1" a="1"/>
  <c r="AM259" i="2" s="1"/>
  <c r="AN259" i="2" s="1" a="1"/>
  <c r="AN259" i="2" s="1"/>
  <c r="AO259" i="2" s="1" a="1"/>
  <c r="AO259" i="2" s="1"/>
  <c r="AP259" i="2" s="1" a="1"/>
  <c r="AP259" i="2" s="1"/>
  <c r="AQ259" i="2" s="1" a="1"/>
  <c r="AQ259" i="2" s="1"/>
  <c r="AR259" i="2" s="1"/>
  <c r="AS259" i="2" s="1"/>
  <c r="AT259" i="2" s="1"/>
  <c r="AU259" i="2" s="1"/>
  <c r="AV259" i="2" s="1"/>
  <c r="AW259" i="2" s="1"/>
  <c r="AX259" i="2" s="1"/>
  <c r="AY259" i="2" s="1"/>
  <c r="AC259" i="2"/>
  <c r="AK166" i="2" a="1"/>
  <c r="AK166" i="2" s="1"/>
  <c r="AL166" i="2" s="1" a="1"/>
  <c r="AL166" i="2" s="1"/>
  <c r="AM166" i="2" s="1" a="1"/>
  <c r="AM166" i="2" s="1"/>
  <c r="AN166" i="2" s="1" a="1"/>
  <c r="AN166" i="2" s="1"/>
  <c r="AO166" i="2" s="1" a="1"/>
  <c r="AO166" i="2" s="1"/>
  <c r="AP166" i="2" s="1" a="1"/>
  <c r="AP166" i="2" s="1"/>
  <c r="AQ166" i="2" s="1" a="1"/>
  <c r="AQ166" i="2" s="1"/>
  <c r="AR166" i="2" s="1"/>
  <c r="AS166" i="2" s="1"/>
  <c r="AT166" i="2" s="1"/>
  <c r="AU166" i="2" s="1"/>
  <c r="AV166" i="2" s="1"/>
  <c r="AW166" i="2" s="1"/>
  <c r="AX166" i="2" s="1"/>
  <c r="AY166" i="2" s="1"/>
  <c r="AC166" i="2"/>
  <c r="AK520" i="2" a="1"/>
  <c r="AK520" i="2" s="1"/>
  <c r="AL520" i="2" s="1" a="1"/>
  <c r="AL520" i="2" s="1"/>
  <c r="AM520" i="2" s="1" a="1"/>
  <c r="AM520" i="2" s="1"/>
  <c r="AN520" i="2" s="1" a="1"/>
  <c r="AN520" i="2" s="1"/>
  <c r="AO520" i="2" s="1" a="1"/>
  <c r="AO520" i="2" s="1"/>
  <c r="AP520" i="2" s="1" a="1"/>
  <c r="AP520" i="2" s="1"/>
  <c r="AQ520" i="2" s="1" a="1"/>
  <c r="AQ520" i="2" s="1"/>
  <c r="AR520" i="2" s="1"/>
  <c r="AS520" i="2" s="1"/>
  <c r="AT520" i="2" s="1"/>
  <c r="AU520" i="2" s="1"/>
  <c r="AV520" i="2" s="1"/>
  <c r="AW520" i="2" s="1"/>
  <c r="AX520" i="2" s="1"/>
  <c r="AY520" i="2" s="1"/>
  <c r="AC520" i="2"/>
  <c r="AK408" i="2" a="1"/>
  <c r="AK408" i="2" s="1"/>
  <c r="AL408" i="2" s="1" a="1"/>
  <c r="AL408" i="2" s="1"/>
  <c r="AM408" i="2" s="1" a="1"/>
  <c r="AM408" i="2" s="1"/>
  <c r="AN408" i="2" s="1" a="1"/>
  <c r="AN408" i="2" s="1"/>
  <c r="AO408" i="2" s="1" a="1"/>
  <c r="AO408" i="2" s="1"/>
  <c r="AP408" i="2" s="1" a="1"/>
  <c r="AP408" i="2" s="1"/>
  <c r="AQ408" i="2" s="1" a="1"/>
  <c r="AQ408" i="2" s="1"/>
  <c r="AR408" i="2" s="1"/>
  <c r="AS408" i="2" s="1"/>
  <c r="AT408" i="2" s="1"/>
  <c r="AU408" i="2" s="1"/>
  <c r="AV408" i="2" s="1"/>
  <c r="AW408" i="2" s="1"/>
  <c r="AX408" i="2" s="1"/>
  <c r="AY408" i="2" s="1"/>
  <c r="AC408" i="2"/>
  <c r="AK306" i="2" a="1"/>
  <c r="AK306" i="2" s="1"/>
  <c r="AL306" i="2" s="1" a="1"/>
  <c r="AL306" i="2" s="1"/>
  <c r="AM306" i="2" s="1" a="1"/>
  <c r="AM306" i="2" s="1"/>
  <c r="AN306" i="2" s="1" a="1"/>
  <c r="AN306" i="2" s="1"/>
  <c r="AO306" i="2" s="1" a="1"/>
  <c r="AO306" i="2" s="1"/>
  <c r="AP306" i="2" s="1" a="1"/>
  <c r="AP306" i="2" s="1"/>
  <c r="AQ306" i="2" s="1" a="1"/>
  <c r="AQ306" i="2" s="1"/>
  <c r="AR306" i="2" s="1"/>
  <c r="AS306" i="2" s="1"/>
  <c r="AT306" i="2" s="1"/>
  <c r="AU306" i="2" s="1"/>
  <c r="AV306" i="2" s="1"/>
  <c r="AW306" i="2" s="1"/>
  <c r="AX306" i="2" s="1"/>
  <c r="AY306" i="2" s="1"/>
  <c r="AC306" i="2"/>
  <c r="AK213" i="2" a="1"/>
  <c r="AK213" i="2" s="1"/>
  <c r="AL213" i="2" s="1" a="1"/>
  <c r="AL213" i="2" s="1"/>
  <c r="AM213" i="2" s="1" a="1"/>
  <c r="AM213" i="2" s="1"/>
  <c r="AN213" i="2" s="1" a="1"/>
  <c r="AN213" i="2" s="1"/>
  <c r="AO213" i="2" s="1" a="1"/>
  <c r="AO213" i="2" s="1"/>
  <c r="AP213" i="2" s="1" a="1"/>
  <c r="AP213" i="2" s="1"/>
  <c r="AQ213" i="2" s="1" a="1"/>
  <c r="AQ213" i="2" s="1"/>
  <c r="AR213" i="2" s="1"/>
  <c r="AS213" i="2" s="1"/>
  <c r="AT213" i="2" s="1"/>
  <c r="AU213" i="2" s="1"/>
  <c r="AV213" i="2" s="1"/>
  <c r="AW213" i="2" s="1"/>
  <c r="AX213" i="2" s="1"/>
  <c r="AY213" i="2" s="1"/>
  <c r="AC213" i="2"/>
  <c r="AK521" i="2" a="1"/>
  <c r="AK521" i="2" s="1"/>
  <c r="AL521" i="2" s="1" a="1"/>
  <c r="AL521" i="2" s="1"/>
  <c r="AM521" i="2" s="1" a="1"/>
  <c r="AM521" i="2" s="1"/>
  <c r="AN521" i="2" s="1" a="1"/>
  <c r="AN521" i="2" s="1"/>
  <c r="AO521" i="2" s="1" a="1"/>
  <c r="AO521" i="2" s="1"/>
  <c r="AP521" i="2" s="1" a="1"/>
  <c r="AP521" i="2" s="1"/>
  <c r="AQ521" i="2" s="1" a="1"/>
  <c r="AQ521" i="2" s="1"/>
  <c r="AR521" i="2" s="1"/>
  <c r="AS521" i="2" s="1"/>
  <c r="AT521" i="2" s="1"/>
  <c r="AU521" i="2" s="1"/>
  <c r="AV521" i="2" s="1"/>
  <c r="AW521" i="2" s="1"/>
  <c r="AX521" i="2" s="1"/>
  <c r="AY521" i="2" s="1"/>
  <c r="AC521" i="2"/>
  <c r="AK409" i="2" a="1"/>
  <c r="AK409" i="2" s="1"/>
  <c r="AL409" i="2" s="1" a="1"/>
  <c r="AL409" i="2" s="1"/>
  <c r="AM409" i="2" s="1" a="1"/>
  <c r="AM409" i="2" s="1"/>
  <c r="AN409" i="2" s="1" a="1"/>
  <c r="AN409" i="2" s="1"/>
  <c r="AO409" i="2" s="1" a="1"/>
  <c r="AO409" i="2" s="1"/>
  <c r="AP409" i="2" s="1" a="1"/>
  <c r="AP409" i="2" s="1"/>
  <c r="AQ409" i="2" s="1" a="1"/>
  <c r="AQ409" i="2" s="1"/>
  <c r="AR409" i="2" s="1"/>
  <c r="AS409" i="2" s="1"/>
  <c r="AT409" i="2" s="1"/>
  <c r="AU409" i="2" s="1"/>
  <c r="AV409" i="2" s="1"/>
  <c r="AW409" i="2" s="1"/>
  <c r="AX409" i="2" s="1"/>
  <c r="AY409" i="2" s="1"/>
  <c r="AC409" i="2"/>
  <c r="AK307" i="2" a="1"/>
  <c r="AK307" i="2" s="1"/>
  <c r="AL307" i="2" s="1" a="1"/>
  <c r="AL307" i="2" s="1"/>
  <c r="AM307" i="2" s="1" a="1"/>
  <c r="AM307" i="2" s="1"/>
  <c r="AN307" i="2" s="1" a="1"/>
  <c r="AN307" i="2" s="1"/>
  <c r="AO307" i="2" s="1" a="1"/>
  <c r="AO307" i="2" s="1"/>
  <c r="AP307" i="2" s="1" a="1"/>
  <c r="AP307" i="2" s="1"/>
  <c r="AQ307" i="2" s="1" a="1"/>
  <c r="AQ307" i="2" s="1"/>
  <c r="AR307" i="2" s="1"/>
  <c r="AS307" i="2" s="1"/>
  <c r="AT307" i="2" s="1"/>
  <c r="AU307" i="2" s="1"/>
  <c r="AV307" i="2" s="1"/>
  <c r="AW307" i="2" s="1"/>
  <c r="AX307" i="2" s="1"/>
  <c r="AY307" i="2" s="1"/>
  <c r="AC307" i="2"/>
  <c r="AK184" i="2" a="1"/>
  <c r="AK184" i="2" s="1"/>
  <c r="AL184" i="2" s="1" a="1"/>
  <c r="AL184" i="2" s="1"/>
  <c r="AM184" i="2" s="1" a="1"/>
  <c r="AM184" i="2" s="1"/>
  <c r="AN184" i="2" s="1" a="1"/>
  <c r="AN184" i="2" s="1"/>
  <c r="AO184" i="2" s="1" a="1"/>
  <c r="AO184" i="2" s="1"/>
  <c r="AP184" i="2" s="1" a="1"/>
  <c r="AP184" i="2" s="1"/>
  <c r="AQ184" i="2" s="1" a="1"/>
  <c r="AQ184" i="2" s="1"/>
  <c r="AR184" i="2" s="1"/>
  <c r="AS184" i="2" s="1"/>
  <c r="AT184" i="2" s="1"/>
  <c r="AU184" i="2" s="1"/>
  <c r="AV184" i="2" s="1"/>
  <c r="AW184" i="2" s="1"/>
  <c r="AX184" i="2" s="1"/>
  <c r="AY184" i="2" s="1"/>
  <c r="AC184" i="2"/>
  <c r="AK511" i="2" a="1"/>
  <c r="AK511" i="2" s="1"/>
  <c r="AL511" i="2" s="1" a="1"/>
  <c r="AL511" i="2" s="1"/>
  <c r="AM511" i="2" s="1" a="1"/>
  <c r="AM511" i="2" s="1"/>
  <c r="AN511" i="2" s="1" a="1"/>
  <c r="AN511" i="2" s="1"/>
  <c r="AO511" i="2" s="1" a="1"/>
  <c r="AO511" i="2" s="1"/>
  <c r="AP511" i="2" s="1" a="1"/>
  <c r="AP511" i="2" s="1"/>
  <c r="AQ511" i="2" s="1" a="1"/>
  <c r="AQ511" i="2" s="1"/>
  <c r="AR511" i="2" s="1"/>
  <c r="AS511" i="2" s="1"/>
  <c r="AT511" i="2" s="1"/>
  <c r="AU511" i="2" s="1"/>
  <c r="AV511" i="2" s="1"/>
  <c r="AW511" i="2" s="1"/>
  <c r="AX511" i="2" s="1"/>
  <c r="AY511" i="2" s="1"/>
  <c r="AC511" i="2"/>
  <c r="AK393" i="2" a="1"/>
  <c r="AK393" i="2" s="1"/>
  <c r="AL393" i="2" s="1" a="1"/>
  <c r="AL393" i="2" s="1"/>
  <c r="AM393" i="2" s="1" a="1"/>
  <c r="AM393" i="2" s="1"/>
  <c r="AN393" i="2" s="1" a="1"/>
  <c r="AN393" i="2" s="1"/>
  <c r="AO393" i="2" s="1" a="1"/>
  <c r="AO393" i="2" s="1"/>
  <c r="AP393" i="2" s="1" a="1"/>
  <c r="AP393" i="2" s="1"/>
  <c r="AQ393" i="2" s="1" a="1"/>
  <c r="AQ393" i="2" s="1"/>
  <c r="AR393" i="2" s="1"/>
  <c r="AS393" i="2" s="1"/>
  <c r="AT393" i="2" s="1"/>
  <c r="AU393" i="2" s="1"/>
  <c r="AV393" i="2" s="1"/>
  <c r="AW393" i="2" s="1"/>
  <c r="AX393" i="2" s="1"/>
  <c r="AY393" i="2" s="1"/>
  <c r="AC393" i="2"/>
  <c r="AK299" i="2" a="1"/>
  <c r="AK299" i="2" s="1"/>
  <c r="AL299" i="2" s="1" a="1"/>
  <c r="AL299" i="2" s="1"/>
  <c r="AM299" i="2" s="1" a="1"/>
  <c r="AM299" i="2" s="1"/>
  <c r="AN299" i="2" s="1" a="1"/>
  <c r="AN299" i="2" s="1"/>
  <c r="AO299" i="2" s="1" a="1"/>
  <c r="AO299" i="2" s="1"/>
  <c r="AP299" i="2" s="1" a="1"/>
  <c r="AP299" i="2" s="1"/>
  <c r="AQ299" i="2" s="1" a="1"/>
  <c r="AQ299" i="2" s="1"/>
  <c r="AR299" i="2" s="1"/>
  <c r="AS299" i="2" s="1"/>
  <c r="AT299" i="2" s="1"/>
  <c r="AU299" i="2" s="1"/>
  <c r="AV299" i="2" s="1"/>
  <c r="AW299" i="2" s="1"/>
  <c r="AX299" i="2" s="1"/>
  <c r="AY299" i="2" s="1"/>
  <c r="AC299" i="2"/>
  <c r="AK209" i="2" a="1"/>
  <c r="AK209" i="2" s="1"/>
  <c r="AL209" i="2" s="1" a="1"/>
  <c r="AL209" i="2" s="1"/>
  <c r="AM209" i="2" s="1" a="1"/>
  <c r="AM209" i="2" s="1"/>
  <c r="AN209" i="2" s="1" a="1"/>
  <c r="AN209" i="2" s="1"/>
  <c r="AO209" i="2" s="1" a="1"/>
  <c r="AO209" i="2" s="1"/>
  <c r="AP209" i="2" s="1" a="1"/>
  <c r="AP209" i="2" s="1"/>
  <c r="AQ209" i="2" s="1" a="1"/>
  <c r="AQ209" i="2" s="1"/>
  <c r="AR209" i="2" s="1"/>
  <c r="AS209" i="2" s="1"/>
  <c r="AT209" i="2" s="1"/>
  <c r="AU209" i="2" s="1"/>
  <c r="AV209" i="2" s="1"/>
  <c r="AW209" i="2" s="1"/>
  <c r="AX209" i="2" s="1"/>
  <c r="AY209" i="2" s="1"/>
  <c r="AC209" i="2"/>
  <c r="AK512" i="2" a="1"/>
  <c r="AK512" i="2" s="1"/>
  <c r="AL512" i="2" s="1" a="1"/>
  <c r="AL512" i="2" s="1"/>
  <c r="AM512" i="2" s="1" a="1"/>
  <c r="AM512" i="2" s="1"/>
  <c r="AN512" i="2" s="1" a="1"/>
  <c r="AN512" i="2" s="1"/>
  <c r="AO512" i="2" s="1" a="1"/>
  <c r="AO512" i="2" s="1"/>
  <c r="AP512" i="2" s="1" a="1"/>
  <c r="AP512" i="2" s="1"/>
  <c r="AQ512" i="2" s="1" a="1"/>
  <c r="AQ512" i="2" s="1"/>
  <c r="AR512" i="2" s="1"/>
  <c r="AS512" i="2" s="1"/>
  <c r="AT512" i="2" s="1"/>
  <c r="AU512" i="2" s="1"/>
  <c r="AV512" i="2" s="1"/>
  <c r="AW512" i="2" s="1"/>
  <c r="AX512" i="2" s="1"/>
  <c r="AY512" i="2" s="1"/>
  <c r="AC512" i="2"/>
  <c r="AK394" i="2" a="1"/>
  <c r="AK394" i="2" s="1"/>
  <c r="AL394" i="2" s="1" a="1"/>
  <c r="AL394" i="2" s="1"/>
  <c r="AM394" i="2" s="1" a="1"/>
  <c r="AM394" i="2" s="1"/>
  <c r="AN394" i="2" s="1" a="1"/>
  <c r="AN394" i="2" s="1"/>
  <c r="AO394" i="2" s="1" a="1"/>
  <c r="AO394" i="2" s="1"/>
  <c r="AP394" i="2" s="1" a="1"/>
  <c r="AP394" i="2" s="1"/>
  <c r="AQ394" i="2" s="1" a="1"/>
  <c r="AQ394" i="2" s="1"/>
  <c r="AR394" i="2" s="1"/>
  <c r="AS394" i="2" s="1"/>
  <c r="AT394" i="2" s="1"/>
  <c r="AU394" i="2" s="1"/>
  <c r="AV394" i="2" s="1"/>
  <c r="AW394" i="2" s="1"/>
  <c r="AX394" i="2" s="1"/>
  <c r="AY394" i="2" s="1"/>
  <c r="AC394" i="2"/>
  <c r="AK300" i="2" a="1"/>
  <c r="AK300" i="2" s="1"/>
  <c r="AL300" i="2" s="1" a="1"/>
  <c r="AL300" i="2" s="1"/>
  <c r="AM300" i="2" s="1" a="1"/>
  <c r="AM300" i="2" s="1"/>
  <c r="AN300" i="2" s="1" a="1"/>
  <c r="AN300" i="2" s="1"/>
  <c r="AO300" i="2" s="1" a="1"/>
  <c r="AO300" i="2" s="1"/>
  <c r="AP300" i="2" s="1" a="1"/>
  <c r="AP300" i="2" s="1"/>
  <c r="AQ300" i="2" s="1" a="1"/>
  <c r="AQ300" i="2" s="1"/>
  <c r="AR300" i="2" s="1"/>
  <c r="AS300" i="2" s="1"/>
  <c r="AT300" i="2" s="1"/>
  <c r="AU300" i="2" s="1"/>
  <c r="AV300" i="2" s="1"/>
  <c r="AW300" i="2" s="1"/>
  <c r="AX300" i="2" s="1"/>
  <c r="AY300" i="2" s="1"/>
  <c r="AC300" i="2"/>
  <c r="AK180" i="2" a="1"/>
  <c r="AK180" i="2" s="1"/>
  <c r="AL180" i="2" s="1" a="1"/>
  <c r="AL180" i="2" s="1"/>
  <c r="AM180" i="2" s="1" a="1"/>
  <c r="AM180" i="2" s="1"/>
  <c r="AN180" i="2" s="1" a="1"/>
  <c r="AN180" i="2" s="1"/>
  <c r="AO180" i="2" s="1" a="1"/>
  <c r="AO180" i="2" s="1"/>
  <c r="AP180" i="2" s="1" a="1"/>
  <c r="AP180" i="2" s="1"/>
  <c r="AQ180" i="2" s="1" a="1"/>
  <c r="AQ180" i="2" s="1"/>
  <c r="AR180" i="2" s="1"/>
  <c r="AS180" i="2" s="1"/>
  <c r="AT180" i="2" s="1"/>
  <c r="AU180" i="2" s="1"/>
  <c r="AV180" i="2" s="1"/>
  <c r="AW180" i="2" s="1"/>
  <c r="AX180" i="2" s="1"/>
  <c r="AY180" i="2" s="1"/>
  <c r="AC180" i="2"/>
  <c r="AK514" i="2" a="1"/>
  <c r="AK514" i="2" s="1"/>
  <c r="AL514" i="2" s="1" a="1"/>
  <c r="AL514" i="2" s="1"/>
  <c r="AM514" i="2" s="1" a="1"/>
  <c r="AM514" i="2" s="1"/>
  <c r="AN514" i="2" s="1" a="1"/>
  <c r="AN514" i="2" s="1"/>
  <c r="AO514" i="2" s="1" a="1"/>
  <c r="AO514" i="2" s="1"/>
  <c r="AP514" i="2" s="1" a="1"/>
  <c r="AP514" i="2" s="1"/>
  <c r="AQ514" i="2" s="1" a="1"/>
  <c r="AQ514" i="2" s="1"/>
  <c r="AR514" i="2" s="1"/>
  <c r="AS514" i="2" s="1"/>
  <c r="AT514" i="2" s="1"/>
  <c r="AU514" i="2" s="1"/>
  <c r="AV514" i="2" s="1"/>
  <c r="AW514" i="2" s="1"/>
  <c r="AX514" i="2" s="1"/>
  <c r="AY514" i="2" s="1"/>
  <c r="AC514" i="2"/>
  <c r="AK399" i="2" a="1"/>
  <c r="AK399" i="2" s="1"/>
  <c r="AL399" i="2" s="1" a="1"/>
  <c r="AL399" i="2" s="1"/>
  <c r="AM399" i="2" s="1" a="1"/>
  <c r="AM399" i="2" s="1"/>
  <c r="AN399" i="2" s="1" a="1"/>
  <c r="AN399" i="2" s="1"/>
  <c r="AO399" i="2" s="1" a="1"/>
  <c r="AO399" i="2" s="1"/>
  <c r="AP399" i="2" s="1" a="1"/>
  <c r="AP399" i="2" s="1"/>
  <c r="AQ399" i="2" s="1" a="1"/>
  <c r="AQ399" i="2" s="1"/>
  <c r="AR399" i="2" s="1"/>
  <c r="AS399" i="2" s="1"/>
  <c r="AT399" i="2" s="1"/>
  <c r="AU399" i="2" s="1"/>
  <c r="AV399" i="2" s="1"/>
  <c r="AW399" i="2" s="1"/>
  <c r="AX399" i="2" s="1"/>
  <c r="AY399" i="2" s="1"/>
  <c r="AC399" i="2"/>
  <c r="AK302" i="2" a="1"/>
  <c r="AK302" i="2" s="1"/>
  <c r="AL302" i="2" s="1" a="1"/>
  <c r="AL302" i="2" s="1"/>
  <c r="AM302" i="2" s="1" a="1"/>
  <c r="AM302" i="2" s="1"/>
  <c r="AN302" i="2" s="1" a="1"/>
  <c r="AN302" i="2" s="1"/>
  <c r="AO302" i="2" s="1" a="1"/>
  <c r="AO302" i="2" s="1"/>
  <c r="AP302" i="2" s="1" a="1"/>
  <c r="AP302" i="2" s="1"/>
  <c r="AQ302" i="2" s="1" a="1"/>
  <c r="AQ302" i="2" s="1"/>
  <c r="AR302" i="2" s="1"/>
  <c r="AS302" i="2" s="1"/>
  <c r="AT302" i="2" s="1"/>
  <c r="AU302" i="2" s="1"/>
  <c r="AV302" i="2" s="1"/>
  <c r="AW302" i="2" s="1"/>
  <c r="AX302" i="2" s="1"/>
  <c r="AY302" i="2" s="1"/>
  <c r="AC302" i="2"/>
  <c r="AK210" i="2" a="1"/>
  <c r="AK210" i="2" s="1"/>
  <c r="AL210" i="2" s="1" a="1"/>
  <c r="AL210" i="2" s="1"/>
  <c r="AM210" i="2" s="1" a="1"/>
  <c r="AM210" i="2" s="1"/>
  <c r="AN210" i="2" s="1" a="1"/>
  <c r="AN210" i="2" s="1"/>
  <c r="AO210" i="2" s="1" a="1"/>
  <c r="AO210" i="2" s="1"/>
  <c r="AP210" i="2" s="1" a="1"/>
  <c r="AP210" i="2" s="1"/>
  <c r="AQ210" i="2" s="1" a="1"/>
  <c r="AQ210" i="2" s="1"/>
  <c r="AR210" i="2" s="1"/>
  <c r="AS210" i="2" s="1"/>
  <c r="AT210" i="2" s="1"/>
  <c r="AU210" i="2" s="1"/>
  <c r="AV210" i="2" s="1"/>
  <c r="AW210" i="2" s="1"/>
  <c r="AX210" i="2" s="1"/>
  <c r="AY210" i="2" s="1"/>
  <c r="AC210" i="2"/>
  <c r="AK515" i="2" a="1"/>
  <c r="AK515" i="2" s="1"/>
  <c r="AL515" i="2" s="1" a="1"/>
  <c r="AL515" i="2" s="1"/>
  <c r="AM515" i="2" s="1" a="1"/>
  <c r="AM515" i="2" s="1"/>
  <c r="AN515" i="2" s="1" a="1"/>
  <c r="AN515" i="2" s="1"/>
  <c r="AO515" i="2" s="1" a="1"/>
  <c r="AO515" i="2" s="1"/>
  <c r="AP515" i="2" s="1" a="1"/>
  <c r="AP515" i="2" s="1"/>
  <c r="AQ515" i="2" s="1" a="1"/>
  <c r="AQ515" i="2" s="1"/>
  <c r="AR515" i="2" s="1"/>
  <c r="AS515" i="2" s="1"/>
  <c r="AT515" i="2" s="1"/>
  <c r="AU515" i="2" s="1"/>
  <c r="AV515" i="2" s="1"/>
  <c r="AW515" i="2" s="1"/>
  <c r="AX515" i="2" s="1"/>
  <c r="AY515" i="2" s="1"/>
  <c r="AC515" i="2"/>
  <c r="AK400" i="2" a="1"/>
  <c r="AK400" i="2" s="1"/>
  <c r="AL400" i="2" s="1" a="1"/>
  <c r="AL400" i="2" s="1"/>
  <c r="AM400" i="2" s="1" a="1"/>
  <c r="AM400" i="2" s="1"/>
  <c r="AN400" i="2" s="1" a="1"/>
  <c r="AN400" i="2" s="1"/>
  <c r="AO400" i="2" s="1" a="1"/>
  <c r="AO400" i="2" s="1"/>
  <c r="AP400" i="2" s="1" a="1"/>
  <c r="AP400" i="2" s="1"/>
  <c r="AQ400" i="2" s="1" a="1"/>
  <c r="AQ400" i="2" s="1"/>
  <c r="AR400" i="2" s="1"/>
  <c r="AS400" i="2" s="1"/>
  <c r="AT400" i="2" s="1"/>
  <c r="AU400" i="2" s="1"/>
  <c r="AV400" i="2" s="1"/>
  <c r="AW400" i="2" s="1"/>
  <c r="AX400" i="2" s="1"/>
  <c r="AY400" i="2" s="1"/>
  <c r="AC400" i="2"/>
  <c r="AK303" i="2" a="1"/>
  <c r="AK303" i="2" s="1"/>
  <c r="AL303" i="2" s="1" a="1"/>
  <c r="AL303" i="2" s="1"/>
  <c r="AM303" i="2" s="1" a="1"/>
  <c r="AM303" i="2" s="1"/>
  <c r="AN303" i="2" s="1" a="1"/>
  <c r="AN303" i="2" s="1"/>
  <c r="AO303" i="2" s="1" a="1"/>
  <c r="AO303" i="2" s="1"/>
  <c r="AP303" i="2" s="1" a="1"/>
  <c r="AP303" i="2" s="1"/>
  <c r="AQ303" i="2" s="1" a="1"/>
  <c r="AQ303" i="2" s="1"/>
  <c r="AR303" i="2" s="1"/>
  <c r="AS303" i="2" s="1"/>
  <c r="AT303" i="2" s="1"/>
  <c r="AU303" i="2" s="1"/>
  <c r="AV303" i="2" s="1"/>
  <c r="AW303" i="2" s="1"/>
  <c r="AX303" i="2" s="1"/>
  <c r="AY303" i="2" s="1"/>
  <c r="AC303" i="2"/>
  <c r="AK181" i="2" a="1"/>
  <c r="AK181" i="2" s="1"/>
  <c r="AL181" i="2" s="1" a="1"/>
  <c r="AL181" i="2" s="1"/>
  <c r="AM181" i="2" s="1" a="1"/>
  <c r="AM181" i="2" s="1"/>
  <c r="AN181" i="2" s="1" a="1"/>
  <c r="AN181" i="2" s="1"/>
  <c r="AO181" i="2" s="1" a="1"/>
  <c r="AO181" i="2" s="1"/>
  <c r="AP181" i="2" s="1" a="1"/>
  <c r="AP181" i="2" s="1"/>
  <c r="AQ181" i="2" s="1" a="1"/>
  <c r="AQ181" i="2" s="1"/>
  <c r="AR181" i="2" s="1"/>
  <c r="AS181" i="2" s="1"/>
  <c r="AT181" i="2" s="1"/>
  <c r="AU181" i="2" s="1"/>
  <c r="AV181" i="2" s="1"/>
  <c r="AW181" i="2" s="1"/>
  <c r="AX181" i="2" s="1"/>
  <c r="AY181" i="2" s="1"/>
  <c r="AC181" i="2"/>
  <c r="AK472" i="2" a="1"/>
  <c r="AK472" i="2" s="1"/>
  <c r="AL472" i="2" s="1" a="1"/>
  <c r="AL472" i="2" s="1"/>
  <c r="AM472" i="2" s="1" a="1"/>
  <c r="AM472" i="2" s="1"/>
  <c r="AN472" i="2" s="1" a="1"/>
  <c r="AN472" i="2" s="1"/>
  <c r="AO472" i="2" s="1" a="1"/>
  <c r="AO472" i="2" s="1"/>
  <c r="AP472" i="2" s="1" a="1"/>
  <c r="AP472" i="2" s="1"/>
  <c r="AQ472" i="2" s="1" a="1"/>
  <c r="AQ472" i="2" s="1"/>
  <c r="AR472" i="2" s="1"/>
  <c r="AS472" i="2" s="1"/>
  <c r="AT472" i="2" s="1"/>
  <c r="AU472" i="2" s="1"/>
  <c r="AV472" i="2" s="1"/>
  <c r="AW472" i="2" s="1"/>
  <c r="AX472" i="2" s="1"/>
  <c r="AY472" i="2" s="1"/>
  <c r="AC472" i="2"/>
  <c r="AK353" i="2" a="1"/>
  <c r="AK353" i="2" s="1"/>
  <c r="AL353" i="2" s="1" a="1"/>
  <c r="AL353" i="2" s="1"/>
  <c r="AM353" i="2" s="1" a="1"/>
  <c r="AM353" i="2" s="1"/>
  <c r="AN353" i="2" s="1" a="1"/>
  <c r="AN353" i="2" s="1"/>
  <c r="AO353" i="2" s="1" a="1"/>
  <c r="AO353" i="2" s="1"/>
  <c r="AP353" i="2" s="1" a="1"/>
  <c r="AP353" i="2" s="1"/>
  <c r="AQ353" i="2" s="1" a="1"/>
  <c r="AQ353" i="2" s="1"/>
  <c r="AR353" i="2" s="1"/>
  <c r="AS353" i="2" s="1"/>
  <c r="AT353" i="2" s="1"/>
  <c r="AU353" i="2" s="1"/>
  <c r="AV353" i="2" s="1"/>
  <c r="AW353" i="2" s="1"/>
  <c r="AX353" i="2" s="1"/>
  <c r="AY353" i="2" s="1"/>
  <c r="AC353" i="2"/>
  <c r="AK263" i="2" a="1"/>
  <c r="AK263" i="2" s="1"/>
  <c r="AL263" i="2" s="1" a="1"/>
  <c r="AL263" i="2" s="1"/>
  <c r="AM263" i="2" s="1" a="1"/>
  <c r="AM263" i="2" s="1"/>
  <c r="AN263" i="2" s="1" a="1"/>
  <c r="AN263" i="2" s="1"/>
  <c r="AO263" i="2" s="1" a="1"/>
  <c r="AO263" i="2" s="1"/>
  <c r="AP263" i="2" s="1" a="1"/>
  <c r="AP263" i="2" s="1"/>
  <c r="AQ263" i="2" s="1" a="1"/>
  <c r="AQ263" i="2" s="1"/>
  <c r="AR263" i="2" s="1"/>
  <c r="AS263" i="2" s="1"/>
  <c r="AT263" i="2" s="1"/>
  <c r="AU263" i="2" s="1"/>
  <c r="AV263" i="2" s="1"/>
  <c r="AW263" i="2" s="1"/>
  <c r="AX263" i="2" s="1"/>
  <c r="AY263" i="2" s="1"/>
  <c r="AC263" i="2"/>
  <c r="AK197" i="2" a="1"/>
  <c r="AK197" i="2" s="1"/>
  <c r="AL197" i="2" s="1" a="1"/>
  <c r="AL197" i="2" s="1"/>
  <c r="AM197" i="2" s="1" a="1"/>
  <c r="AM197" i="2" s="1"/>
  <c r="AN197" i="2" s="1" a="1"/>
  <c r="AN197" i="2" s="1"/>
  <c r="AO197" i="2" s="1" a="1"/>
  <c r="AO197" i="2" s="1"/>
  <c r="AP197" i="2" s="1" a="1"/>
  <c r="AP197" i="2" s="1"/>
  <c r="AQ197" i="2" s="1" a="1"/>
  <c r="AQ197" i="2" s="1"/>
  <c r="AR197" i="2" s="1"/>
  <c r="AS197" i="2" s="1"/>
  <c r="AT197" i="2" s="1"/>
  <c r="AU197" i="2" s="1"/>
  <c r="AV197" i="2" s="1"/>
  <c r="AW197" i="2" s="1"/>
  <c r="AX197" i="2" s="1"/>
  <c r="AY197" i="2" s="1"/>
  <c r="AC197" i="2"/>
  <c r="AK474" i="2" a="1"/>
  <c r="AK474" i="2" s="1"/>
  <c r="AL474" i="2" s="1" a="1"/>
  <c r="AL474" i="2" s="1"/>
  <c r="AM474" i="2" s="1" a="1"/>
  <c r="AM474" i="2" s="1"/>
  <c r="AN474" i="2" s="1" a="1"/>
  <c r="AN474" i="2" s="1"/>
  <c r="AO474" i="2" s="1" a="1"/>
  <c r="AO474" i="2" s="1"/>
  <c r="AP474" i="2" s="1" a="1"/>
  <c r="AP474" i="2" s="1"/>
  <c r="AQ474" i="2" s="1" a="1"/>
  <c r="AQ474" i="2" s="1"/>
  <c r="AR474" i="2" s="1"/>
  <c r="AS474" i="2" s="1"/>
  <c r="AT474" i="2" s="1"/>
  <c r="AU474" i="2" s="1"/>
  <c r="AV474" i="2" s="1"/>
  <c r="AW474" i="2" s="1"/>
  <c r="AX474" i="2" s="1"/>
  <c r="AY474" i="2" s="1"/>
  <c r="AC474" i="2"/>
  <c r="AK355" i="2" a="1"/>
  <c r="AK355" i="2" s="1"/>
  <c r="AL355" i="2" s="1" a="1"/>
  <c r="AL355" i="2" s="1"/>
  <c r="AM355" i="2" s="1" a="1"/>
  <c r="AM355" i="2" s="1"/>
  <c r="AN355" i="2" s="1" a="1"/>
  <c r="AN355" i="2" s="1"/>
  <c r="AO355" i="2" s="1" a="1"/>
  <c r="AO355" i="2" s="1"/>
  <c r="AP355" i="2" s="1" a="1"/>
  <c r="AP355" i="2" s="1"/>
  <c r="AQ355" i="2" s="1" a="1"/>
  <c r="AQ355" i="2" s="1"/>
  <c r="AR355" i="2" s="1"/>
  <c r="AS355" i="2" s="1"/>
  <c r="AT355" i="2" s="1"/>
  <c r="AU355" i="2" s="1"/>
  <c r="AV355" i="2" s="1"/>
  <c r="AW355" i="2" s="1"/>
  <c r="AX355" i="2" s="1"/>
  <c r="AY355" i="2" s="1"/>
  <c r="AC355" i="2"/>
  <c r="AK265" i="2" a="1"/>
  <c r="AK265" i="2" s="1"/>
  <c r="AL265" i="2" s="1" a="1"/>
  <c r="AL265" i="2" s="1"/>
  <c r="AM265" i="2" s="1" a="1"/>
  <c r="AM265" i="2" s="1"/>
  <c r="AN265" i="2" s="1" a="1"/>
  <c r="AN265" i="2" s="1"/>
  <c r="AO265" i="2" s="1" a="1"/>
  <c r="AO265" i="2" s="1"/>
  <c r="AP265" i="2" s="1" a="1"/>
  <c r="AP265" i="2" s="1"/>
  <c r="AQ265" i="2" s="1" a="1"/>
  <c r="AQ265" i="2" s="1"/>
  <c r="AR265" i="2" s="1"/>
  <c r="AS265" i="2" s="1"/>
  <c r="AT265" i="2" s="1"/>
  <c r="AU265" i="2" s="1"/>
  <c r="AV265" i="2" s="1"/>
  <c r="AW265" i="2" s="1"/>
  <c r="AX265" i="2" s="1"/>
  <c r="AY265" i="2" s="1"/>
  <c r="AC265" i="2"/>
  <c r="AK168" i="2" a="1"/>
  <c r="AK168" i="2" s="1"/>
  <c r="AL168" i="2" s="1" a="1"/>
  <c r="AL168" i="2" s="1"/>
  <c r="AM168" i="2" s="1" a="1"/>
  <c r="AM168" i="2" s="1"/>
  <c r="AN168" i="2" s="1" a="1"/>
  <c r="AN168" i="2" s="1"/>
  <c r="AO168" i="2" s="1" a="1"/>
  <c r="AO168" i="2" s="1"/>
  <c r="AP168" i="2" s="1" a="1"/>
  <c r="AP168" i="2" s="1"/>
  <c r="AQ168" i="2" s="1" a="1"/>
  <c r="AQ168" i="2" s="1"/>
  <c r="AR168" i="2" s="1"/>
  <c r="AS168" i="2" s="1"/>
  <c r="AT168" i="2" s="1"/>
  <c r="AU168" i="2" s="1"/>
  <c r="AV168" i="2" s="1"/>
  <c r="AW168" i="2" s="1"/>
  <c r="AX168" i="2" s="1"/>
  <c r="AY168" i="2" s="1"/>
  <c r="AC168" i="2"/>
  <c r="AK481" i="2" a="1"/>
  <c r="AK481" i="2" s="1"/>
  <c r="AL481" i="2" s="1" a="1"/>
  <c r="AL481" i="2" s="1"/>
  <c r="AM481" i="2" s="1" a="1"/>
  <c r="AM481" i="2" s="1"/>
  <c r="AN481" i="2" s="1" a="1"/>
  <c r="AN481" i="2" s="1"/>
  <c r="AO481" i="2" s="1" a="1"/>
  <c r="AO481" i="2" s="1"/>
  <c r="AP481" i="2" s="1" a="1"/>
  <c r="AP481" i="2" s="1"/>
  <c r="AQ481" i="2" s="1" a="1"/>
  <c r="AQ481" i="2" s="1"/>
  <c r="AR481" i="2" s="1"/>
  <c r="AS481" i="2" s="1"/>
  <c r="AT481" i="2" s="1"/>
  <c r="AU481" i="2" s="1"/>
  <c r="AV481" i="2" s="1"/>
  <c r="AW481" i="2" s="1"/>
  <c r="AX481" i="2" s="1"/>
  <c r="AY481" i="2" s="1"/>
  <c r="AC481" i="2"/>
  <c r="AK362" i="2" a="1"/>
  <c r="AK362" i="2" s="1"/>
  <c r="AL362" i="2" s="1" a="1"/>
  <c r="AL362" i="2" s="1"/>
  <c r="AM362" i="2" s="1" a="1"/>
  <c r="AM362" i="2" s="1"/>
  <c r="AN362" i="2" s="1" a="1"/>
  <c r="AN362" i="2" s="1"/>
  <c r="AO362" i="2" s="1" a="1"/>
  <c r="AO362" i="2" s="1"/>
  <c r="AP362" i="2" s="1" a="1"/>
  <c r="AP362" i="2" s="1"/>
  <c r="AQ362" i="2" s="1" a="1"/>
  <c r="AQ362" i="2" s="1"/>
  <c r="AR362" i="2" s="1"/>
  <c r="AS362" i="2" s="1"/>
  <c r="AT362" i="2" s="1"/>
  <c r="AU362" i="2" s="1"/>
  <c r="AV362" i="2" s="1"/>
  <c r="AW362" i="2" s="1"/>
  <c r="AX362" i="2" s="1"/>
  <c r="AY362" i="2" s="1"/>
  <c r="AC362" i="2"/>
  <c r="AK272" i="2" a="1"/>
  <c r="AK272" i="2" s="1"/>
  <c r="AL272" i="2" s="1" a="1"/>
  <c r="AL272" i="2" s="1"/>
  <c r="AM272" i="2" s="1" a="1"/>
  <c r="AM272" i="2" s="1"/>
  <c r="AN272" i="2" s="1" a="1"/>
  <c r="AN272" i="2" s="1"/>
  <c r="AO272" i="2" s="1" a="1"/>
  <c r="AO272" i="2" s="1"/>
  <c r="AP272" i="2" s="1" a="1"/>
  <c r="AP272" i="2" s="1"/>
  <c r="AQ272" i="2" s="1" a="1"/>
  <c r="AQ272" i="2" s="1"/>
  <c r="AR272" i="2" s="1"/>
  <c r="AS272" i="2" s="1"/>
  <c r="AT272" i="2" s="1"/>
  <c r="AU272" i="2" s="1"/>
  <c r="AV272" i="2" s="1"/>
  <c r="AW272" i="2" s="1"/>
  <c r="AX272" i="2" s="1"/>
  <c r="AY272" i="2" s="1"/>
  <c r="AC272" i="2"/>
  <c r="AK200" i="2" a="1"/>
  <c r="AK200" i="2" s="1"/>
  <c r="AL200" i="2" s="1" a="1"/>
  <c r="AL200" i="2" s="1"/>
  <c r="AM200" i="2" s="1" a="1"/>
  <c r="AM200" i="2" s="1"/>
  <c r="AN200" i="2" s="1" a="1"/>
  <c r="AN200" i="2" s="1"/>
  <c r="AO200" i="2" s="1" a="1"/>
  <c r="AO200" i="2" s="1"/>
  <c r="AP200" i="2" s="1" a="1"/>
  <c r="AP200" i="2" s="1"/>
  <c r="AQ200" i="2" s="1" a="1"/>
  <c r="AQ200" i="2" s="1"/>
  <c r="AR200" i="2" s="1"/>
  <c r="AS200" i="2" s="1"/>
  <c r="AT200" i="2" s="1"/>
  <c r="AU200" i="2" s="1"/>
  <c r="AV200" i="2" s="1"/>
  <c r="AW200" i="2" s="1"/>
  <c r="AX200" i="2" s="1"/>
  <c r="AY200" i="2" s="1"/>
  <c r="AC200" i="2"/>
  <c r="AK483" i="2" a="1"/>
  <c r="AK483" i="2" s="1"/>
  <c r="AL483" i="2" s="1" a="1"/>
  <c r="AL483" i="2" s="1"/>
  <c r="AM483" i="2" s="1" a="1"/>
  <c r="AM483" i="2" s="1"/>
  <c r="AN483" i="2" s="1" a="1"/>
  <c r="AN483" i="2" s="1"/>
  <c r="AO483" i="2" s="1" a="1"/>
  <c r="AO483" i="2" s="1"/>
  <c r="AP483" i="2" s="1" a="1"/>
  <c r="AP483" i="2" s="1"/>
  <c r="AQ483" i="2" s="1" a="1"/>
  <c r="AQ483" i="2" s="1"/>
  <c r="AR483" i="2" s="1"/>
  <c r="AS483" i="2" s="1"/>
  <c r="AT483" i="2" s="1"/>
  <c r="AU483" i="2" s="1"/>
  <c r="AV483" i="2" s="1"/>
  <c r="AW483" i="2" s="1"/>
  <c r="AX483" i="2" s="1"/>
  <c r="AY483" i="2" s="1"/>
  <c r="AC483" i="2"/>
  <c r="AK364" i="2" a="1"/>
  <c r="AK364" i="2" s="1"/>
  <c r="AL364" i="2" s="1" a="1"/>
  <c r="AL364" i="2" s="1"/>
  <c r="AM364" i="2" s="1" a="1"/>
  <c r="AM364" i="2" s="1"/>
  <c r="AN364" i="2" s="1" a="1"/>
  <c r="AN364" i="2" s="1"/>
  <c r="AO364" i="2" s="1" a="1"/>
  <c r="AO364" i="2" s="1"/>
  <c r="AP364" i="2" s="1" a="1"/>
  <c r="AP364" i="2" s="1"/>
  <c r="AQ364" i="2" s="1" a="1"/>
  <c r="AQ364" i="2" s="1"/>
  <c r="AR364" i="2" s="1"/>
  <c r="AS364" i="2" s="1"/>
  <c r="AT364" i="2" s="1"/>
  <c r="AU364" i="2" s="1"/>
  <c r="AV364" i="2" s="1"/>
  <c r="AW364" i="2" s="1"/>
  <c r="AX364" i="2" s="1"/>
  <c r="AY364" i="2" s="1"/>
  <c r="AC364" i="2"/>
  <c r="AK274" i="2" a="1"/>
  <c r="AK274" i="2" s="1"/>
  <c r="AL274" i="2" s="1" a="1"/>
  <c r="AL274" i="2" s="1"/>
  <c r="AM274" i="2" s="1" a="1"/>
  <c r="AM274" i="2" s="1"/>
  <c r="AN274" i="2" s="1" a="1"/>
  <c r="AN274" i="2" s="1"/>
  <c r="AO274" i="2" s="1" a="1"/>
  <c r="AO274" i="2" s="1"/>
  <c r="AP274" i="2" s="1" a="1"/>
  <c r="AP274" i="2" s="1"/>
  <c r="AQ274" i="2" s="1" a="1"/>
  <c r="AQ274" i="2" s="1"/>
  <c r="AR274" i="2" s="1"/>
  <c r="AS274" i="2" s="1"/>
  <c r="AT274" i="2" s="1"/>
  <c r="AU274" i="2" s="1"/>
  <c r="AV274" i="2" s="1"/>
  <c r="AW274" i="2" s="1"/>
  <c r="AX274" i="2" s="1"/>
  <c r="AY274" i="2" s="1"/>
  <c r="AC274" i="2"/>
  <c r="AK171" i="2" a="1"/>
  <c r="AK171" i="2" s="1"/>
  <c r="AL171" i="2" s="1" a="1"/>
  <c r="AL171" i="2" s="1"/>
  <c r="AM171" i="2" s="1" a="1"/>
  <c r="AM171" i="2" s="1"/>
  <c r="AN171" i="2" s="1" a="1"/>
  <c r="AN171" i="2" s="1"/>
  <c r="AO171" i="2" s="1" a="1"/>
  <c r="AO171" i="2" s="1"/>
  <c r="AP171" i="2" s="1" a="1"/>
  <c r="AP171" i="2" s="1"/>
  <c r="AQ171" i="2" s="1" a="1"/>
  <c r="AQ171" i="2" s="1"/>
  <c r="AR171" i="2" s="1"/>
  <c r="AS171" i="2" s="1"/>
  <c r="AT171" i="2" s="1"/>
  <c r="AU171" i="2" s="1"/>
  <c r="AV171" i="2" s="1"/>
  <c r="AW171" i="2" s="1"/>
  <c r="AX171" i="2" s="1"/>
  <c r="AY171" i="2" s="1"/>
  <c r="AC171" i="2"/>
  <c r="AK455" i="2" a="1"/>
  <c r="AK455" i="2" s="1"/>
  <c r="AL455" i="2" s="1" a="1"/>
  <c r="AL455" i="2" s="1"/>
  <c r="AM455" i="2" s="1" a="1"/>
  <c r="AM455" i="2" s="1"/>
  <c r="AN455" i="2" s="1" a="1"/>
  <c r="AN455" i="2" s="1"/>
  <c r="AO455" i="2" s="1" a="1"/>
  <c r="AO455" i="2" s="1"/>
  <c r="AP455" i="2" s="1" a="1"/>
  <c r="AP455" i="2" s="1"/>
  <c r="AQ455" i="2" s="1" a="1"/>
  <c r="AQ455" i="2" s="1"/>
  <c r="AR455" i="2" s="1"/>
  <c r="AS455" i="2" s="1"/>
  <c r="AT455" i="2" s="1"/>
  <c r="AU455" i="2" s="1"/>
  <c r="AV455" i="2" s="1"/>
  <c r="AW455" i="2" s="1"/>
  <c r="AX455" i="2" s="1"/>
  <c r="AY455" i="2" s="1"/>
  <c r="AC455" i="2"/>
  <c r="AK338" i="2" a="1"/>
  <c r="AK338" i="2" s="1"/>
  <c r="AL338" i="2" s="1" a="1"/>
  <c r="AL338" i="2" s="1"/>
  <c r="AM338" i="2" s="1" a="1"/>
  <c r="AM338" i="2" s="1"/>
  <c r="AN338" i="2" s="1" a="1"/>
  <c r="AN338" i="2" s="1"/>
  <c r="AO338" i="2" s="1" a="1"/>
  <c r="AO338" i="2" s="1"/>
  <c r="AP338" i="2" s="1" a="1"/>
  <c r="AP338" i="2" s="1"/>
  <c r="AQ338" i="2" s="1" a="1"/>
  <c r="AQ338" i="2" s="1"/>
  <c r="AR338" i="2" s="1"/>
  <c r="AS338" i="2" s="1"/>
  <c r="AT338" i="2" s="1"/>
  <c r="AU338" i="2" s="1"/>
  <c r="AV338" i="2" s="1"/>
  <c r="AW338" i="2" s="1"/>
  <c r="AX338" i="2" s="1"/>
  <c r="AY338" i="2" s="1"/>
  <c r="AC338" i="2"/>
  <c r="AK248" i="2" a="1"/>
  <c r="AK248" i="2" s="1"/>
  <c r="AL248" i="2" s="1" a="1"/>
  <c r="AL248" i="2" s="1"/>
  <c r="AM248" i="2" s="1" a="1"/>
  <c r="AM248" i="2" s="1"/>
  <c r="AN248" i="2" s="1" a="1"/>
  <c r="AN248" i="2" s="1"/>
  <c r="AO248" i="2" s="1" a="1"/>
  <c r="AO248" i="2" s="1"/>
  <c r="AP248" i="2" s="1" a="1"/>
  <c r="AP248" i="2" s="1"/>
  <c r="AQ248" i="2" s="1" a="1"/>
  <c r="AQ248" i="2" s="1"/>
  <c r="AR248" i="2" s="1"/>
  <c r="AS248" i="2" s="1"/>
  <c r="AT248" i="2" s="1"/>
  <c r="AU248" i="2" s="1"/>
  <c r="AV248" i="2" s="1"/>
  <c r="AW248" i="2" s="1"/>
  <c r="AX248" i="2" s="1"/>
  <c r="AY248" i="2" s="1"/>
  <c r="AC248" i="2"/>
  <c r="AK192" i="2" a="1"/>
  <c r="AK192" i="2" s="1"/>
  <c r="AL192" i="2" s="1" a="1"/>
  <c r="AL192" i="2" s="1"/>
  <c r="AM192" i="2" s="1" a="1"/>
  <c r="AM192" i="2" s="1"/>
  <c r="AN192" i="2" s="1" a="1"/>
  <c r="AN192" i="2" s="1"/>
  <c r="AO192" i="2" s="1" a="1"/>
  <c r="AO192" i="2" s="1"/>
  <c r="AP192" i="2" s="1" a="1"/>
  <c r="AP192" i="2" s="1"/>
  <c r="AQ192" i="2" s="1" a="1"/>
  <c r="AQ192" i="2" s="1"/>
  <c r="AR192" i="2" s="1"/>
  <c r="AS192" i="2" s="1"/>
  <c r="AT192" i="2" s="1"/>
  <c r="AU192" i="2" s="1"/>
  <c r="AV192" i="2" s="1"/>
  <c r="AW192" i="2" s="1"/>
  <c r="AX192" i="2" s="1"/>
  <c r="AY192" i="2" s="1"/>
  <c r="AC192" i="2"/>
  <c r="AK457" i="2" a="1"/>
  <c r="AK457" i="2" s="1"/>
  <c r="AL457" i="2" s="1" a="1"/>
  <c r="AL457" i="2" s="1"/>
  <c r="AM457" i="2" s="1" a="1"/>
  <c r="AM457" i="2" s="1"/>
  <c r="AN457" i="2" s="1" a="1"/>
  <c r="AN457" i="2" s="1"/>
  <c r="AO457" i="2" s="1" a="1"/>
  <c r="AO457" i="2" s="1"/>
  <c r="AP457" i="2" s="1" a="1"/>
  <c r="AP457" i="2" s="1"/>
  <c r="AQ457" i="2" s="1" a="1"/>
  <c r="AQ457" i="2" s="1"/>
  <c r="AR457" i="2" s="1"/>
  <c r="AS457" i="2" s="1"/>
  <c r="AT457" i="2" s="1"/>
  <c r="AU457" i="2" s="1"/>
  <c r="AV457" i="2" s="1"/>
  <c r="AW457" i="2" s="1"/>
  <c r="AX457" i="2" s="1"/>
  <c r="AY457" i="2" s="1"/>
  <c r="AC457" i="2"/>
  <c r="AK340" i="2" a="1"/>
  <c r="AK340" i="2" s="1"/>
  <c r="AL340" i="2" s="1" a="1"/>
  <c r="AL340" i="2" s="1"/>
  <c r="AM340" i="2" s="1" a="1"/>
  <c r="AM340" i="2" s="1"/>
  <c r="AN340" i="2" s="1" a="1"/>
  <c r="AN340" i="2" s="1"/>
  <c r="AO340" i="2" s="1" a="1"/>
  <c r="AO340" i="2" s="1"/>
  <c r="AP340" i="2" s="1" a="1"/>
  <c r="AP340" i="2" s="1"/>
  <c r="AQ340" i="2" s="1" a="1"/>
  <c r="AQ340" i="2" s="1"/>
  <c r="AR340" i="2" s="1"/>
  <c r="AS340" i="2" s="1"/>
  <c r="AT340" i="2" s="1"/>
  <c r="AU340" i="2" s="1"/>
  <c r="AV340" i="2" s="1"/>
  <c r="AW340" i="2" s="1"/>
  <c r="AX340" i="2" s="1"/>
  <c r="AY340" i="2" s="1"/>
  <c r="AC340" i="2"/>
  <c r="AK250" i="2" a="1"/>
  <c r="AK250" i="2" s="1"/>
  <c r="AL250" i="2" s="1" a="1"/>
  <c r="AL250" i="2" s="1"/>
  <c r="AM250" i="2" s="1" a="1"/>
  <c r="AM250" i="2" s="1"/>
  <c r="AN250" i="2" s="1" a="1"/>
  <c r="AN250" i="2" s="1"/>
  <c r="AO250" i="2" s="1" a="1"/>
  <c r="AO250" i="2" s="1"/>
  <c r="AP250" i="2" s="1" a="1"/>
  <c r="AP250" i="2" s="1"/>
  <c r="AQ250" i="2" s="1" a="1"/>
  <c r="AQ250" i="2" s="1"/>
  <c r="AR250" i="2" s="1"/>
  <c r="AS250" i="2" s="1"/>
  <c r="AT250" i="2" s="1"/>
  <c r="AU250" i="2" s="1"/>
  <c r="AV250" i="2" s="1"/>
  <c r="AW250" i="2" s="1"/>
  <c r="AX250" i="2" s="1"/>
  <c r="AY250" i="2" s="1"/>
  <c r="AC250" i="2"/>
  <c r="AK163" i="2" a="1"/>
  <c r="AK163" i="2" s="1"/>
  <c r="AL163" i="2" s="1" a="1"/>
  <c r="AL163" i="2" s="1"/>
  <c r="AM163" i="2" s="1" a="1"/>
  <c r="AM163" i="2" s="1"/>
  <c r="AN163" i="2" s="1" a="1"/>
  <c r="AN163" i="2" s="1"/>
  <c r="AO163" i="2" s="1" a="1"/>
  <c r="AO163" i="2" s="1"/>
  <c r="AP163" i="2" s="1" a="1"/>
  <c r="AP163" i="2" s="1"/>
  <c r="AQ163" i="2" s="1" a="1"/>
  <c r="AQ163" i="2" s="1"/>
  <c r="AR163" i="2" s="1"/>
  <c r="AS163" i="2" s="1"/>
  <c r="AT163" i="2" s="1"/>
  <c r="AU163" i="2" s="1"/>
  <c r="AV163" i="2" s="1"/>
  <c r="AW163" i="2" s="1"/>
  <c r="AX163" i="2" s="1"/>
  <c r="AY163" i="2" s="1"/>
  <c r="AC163" i="2"/>
  <c r="AK486" i="2" a="1"/>
  <c r="AK486" i="2" s="1"/>
  <c r="AL486" i="2" s="1" a="1"/>
  <c r="AL486" i="2" s="1"/>
  <c r="AM486" i="2" s="1" a="1"/>
  <c r="AM486" i="2" s="1"/>
  <c r="AN486" i="2" s="1" a="1"/>
  <c r="AN486" i="2" s="1"/>
  <c r="AO486" i="2" s="1" a="1"/>
  <c r="AO486" i="2" s="1"/>
  <c r="AP486" i="2" s="1" a="1"/>
  <c r="AP486" i="2" s="1"/>
  <c r="AQ486" i="2" s="1" a="1"/>
  <c r="AQ486" i="2" s="1"/>
  <c r="AR486" i="2" s="1"/>
  <c r="AS486" i="2" s="1"/>
  <c r="AT486" i="2" s="1"/>
  <c r="AU486" i="2" s="1"/>
  <c r="AV486" i="2" s="1"/>
  <c r="AW486" i="2" s="1"/>
  <c r="AX486" i="2" s="1"/>
  <c r="AY486" i="2" s="1"/>
  <c r="AC486" i="2"/>
  <c r="AK368" i="2" a="1"/>
  <c r="AK368" i="2" s="1"/>
  <c r="AL368" i="2" s="1" a="1"/>
  <c r="AL368" i="2" s="1"/>
  <c r="AM368" i="2" s="1" a="1"/>
  <c r="AM368" i="2" s="1"/>
  <c r="AN368" i="2" s="1" a="1"/>
  <c r="AN368" i="2" s="1"/>
  <c r="AO368" i="2" s="1" a="1"/>
  <c r="AO368" i="2" s="1"/>
  <c r="AP368" i="2" s="1" a="1"/>
  <c r="AP368" i="2" s="1"/>
  <c r="AQ368" i="2" s="1" a="1"/>
  <c r="AQ368" i="2" s="1"/>
  <c r="AR368" i="2" s="1"/>
  <c r="AS368" i="2" s="1"/>
  <c r="AT368" i="2" s="1"/>
  <c r="AU368" i="2" s="1"/>
  <c r="AV368" i="2" s="1"/>
  <c r="AW368" i="2" s="1"/>
  <c r="AX368" i="2" s="1"/>
  <c r="AY368" i="2" s="1"/>
  <c r="AC368" i="2"/>
  <c r="AK275" i="2" a="1"/>
  <c r="AK275" i="2" s="1"/>
  <c r="AL275" i="2" s="1" a="1"/>
  <c r="AL275" i="2" s="1"/>
  <c r="AM275" i="2" s="1" a="1"/>
  <c r="AM275" i="2" s="1"/>
  <c r="AN275" i="2" s="1" a="1"/>
  <c r="AN275" i="2" s="1"/>
  <c r="AO275" i="2" s="1" a="1"/>
  <c r="AO275" i="2" s="1"/>
  <c r="AP275" i="2" s="1" a="1"/>
  <c r="AP275" i="2" s="1"/>
  <c r="AQ275" i="2" s="1" a="1"/>
  <c r="AQ275" i="2" s="1"/>
  <c r="AR275" i="2" s="1"/>
  <c r="AS275" i="2" s="1"/>
  <c r="AT275" i="2" s="1"/>
  <c r="AU275" i="2" s="1"/>
  <c r="AV275" i="2" s="1"/>
  <c r="AW275" i="2" s="1"/>
  <c r="AX275" i="2" s="1"/>
  <c r="AY275" i="2" s="1"/>
  <c r="AC275" i="2"/>
  <c r="AK201" i="2" a="1"/>
  <c r="AK201" i="2" s="1"/>
  <c r="AL201" i="2" s="1" a="1"/>
  <c r="AL201" i="2" s="1"/>
  <c r="AM201" i="2" s="1" a="1"/>
  <c r="AM201" i="2" s="1"/>
  <c r="AN201" i="2" s="1" a="1"/>
  <c r="AN201" i="2" s="1"/>
  <c r="AO201" i="2" s="1" a="1"/>
  <c r="AO201" i="2" s="1"/>
  <c r="AP201" i="2" s="1" a="1"/>
  <c r="AP201" i="2" s="1"/>
  <c r="AQ201" i="2" s="1" a="1"/>
  <c r="AQ201" i="2" s="1"/>
  <c r="AR201" i="2" s="1"/>
  <c r="AS201" i="2" s="1"/>
  <c r="AT201" i="2" s="1"/>
  <c r="AU201" i="2" s="1"/>
  <c r="AV201" i="2" s="1"/>
  <c r="AW201" i="2" s="1"/>
  <c r="AX201" i="2" s="1"/>
  <c r="AY201" i="2" s="1"/>
  <c r="AC201" i="2"/>
  <c r="AK488" i="2" a="1"/>
  <c r="AK488" i="2" s="1"/>
  <c r="AL488" i="2" s="1" a="1"/>
  <c r="AL488" i="2" s="1"/>
  <c r="AM488" i="2" s="1" a="1"/>
  <c r="AM488" i="2" s="1"/>
  <c r="AN488" i="2" s="1" a="1"/>
  <c r="AN488" i="2" s="1"/>
  <c r="AO488" i="2" s="1" a="1"/>
  <c r="AO488" i="2" s="1"/>
  <c r="AP488" i="2" s="1" a="1"/>
  <c r="AP488" i="2" s="1"/>
  <c r="AQ488" i="2" s="1" a="1"/>
  <c r="AQ488" i="2" s="1"/>
  <c r="AR488" i="2" s="1"/>
  <c r="AS488" i="2" s="1"/>
  <c r="AT488" i="2" s="1"/>
  <c r="AU488" i="2" s="1"/>
  <c r="AV488" i="2" s="1"/>
  <c r="AW488" i="2" s="1"/>
  <c r="AX488" i="2" s="1"/>
  <c r="AY488" i="2" s="1"/>
  <c r="AC488" i="2"/>
  <c r="AK370" i="2" a="1"/>
  <c r="AK370" i="2" s="1"/>
  <c r="AL370" i="2" s="1" a="1"/>
  <c r="AL370" i="2" s="1"/>
  <c r="AM370" i="2" s="1" a="1"/>
  <c r="AM370" i="2" s="1"/>
  <c r="AN370" i="2" s="1" a="1"/>
  <c r="AN370" i="2" s="1"/>
  <c r="AO370" i="2" s="1" a="1"/>
  <c r="AO370" i="2" s="1"/>
  <c r="AP370" i="2" s="1" a="1"/>
  <c r="AP370" i="2" s="1"/>
  <c r="AQ370" i="2" s="1" a="1"/>
  <c r="AQ370" i="2" s="1"/>
  <c r="AR370" i="2" s="1"/>
  <c r="AS370" i="2" s="1"/>
  <c r="AT370" i="2" s="1"/>
  <c r="AU370" i="2" s="1"/>
  <c r="AV370" i="2" s="1"/>
  <c r="AW370" i="2" s="1"/>
  <c r="AX370" i="2" s="1"/>
  <c r="AY370" i="2" s="1"/>
  <c r="AC370" i="2"/>
  <c r="AK277" i="2" a="1"/>
  <c r="AK277" i="2" s="1"/>
  <c r="AL277" i="2" s="1" a="1"/>
  <c r="AL277" i="2" s="1"/>
  <c r="AM277" i="2" s="1" a="1"/>
  <c r="AM277" i="2" s="1"/>
  <c r="AN277" i="2" s="1" a="1"/>
  <c r="AN277" i="2" s="1"/>
  <c r="AO277" i="2" s="1" a="1"/>
  <c r="AO277" i="2" s="1"/>
  <c r="AP277" i="2" s="1" a="1"/>
  <c r="AP277" i="2" s="1"/>
  <c r="AQ277" i="2" s="1" a="1"/>
  <c r="AQ277" i="2" s="1"/>
  <c r="AR277" i="2" s="1"/>
  <c r="AS277" i="2" s="1"/>
  <c r="AT277" i="2" s="1"/>
  <c r="AU277" i="2" s="1"/>
  <c r="AV277" i="2" s="1"/>
  <c r="AW277" i="2" s="1"/>
  <c r="AX277" i="2" s="1"/>
  <c r="AY277" i="2" s="1"/>
  <c r="AC277" i="2"/>
  <c r="AK172" i="2" a="1"/>
  <c r="AK172" i="2" s="1"/>
  <c r="AL172" i="2" s="1" a="1"/>
  <c r="AL172" i="2" s="1"/>
  <c r="AM172" i="2" s="1" a="1"/>
  <c r="AM172" i="2" s="1"/>
  <c r="AN172" i="2" s="1" a="1"/>
  <c r="AN172" i="2" s="1"/>
  <c r="AO172" i="2" s="1" a="1"/>
  <c r="AO172" i="2" s="1"/>
  <c r="AP172" i="2" s="1" a="1"/>
  <c r="AP172" i="2" s="1"/>
  <c r="AQ172" i="2" s="1" a="1"/>
  <c r="AQ172" i="2" s="1"/>
  <c r="AR172" i="2" s="1"/>
  <c r="AS172" i="2" s="1"/>
  <c r="AT172" i="2" s="1"/>
  <c r="AU172" i="2" s="1"/>
  <c r="AV172" i="2" s="1"/>
  <c r="AW172" i="2" s="1"/>
  <c r="AX172" i="2" s="1"/>
  <c r="AY172" i="2" s="1"/>
  <c r="AC172" i="2"/>
  <c r="AK493" i="2" a="1"/>
  <c r="AK493" i="2" s="1"/>
  <c r="AL493" i="2" s="1" a="1"/>
  <c r="AL493" i="2" s="1"/>
  <c r="AM493" i="2" s="1" a="1"/>
  <c r="AM493" i="2" s="1"/>
  <c r="AN493" i="2" s="1" a="1"/>
  <c r="AN493" i="2" s="1"/>
  <c r="AO493" i="2" s="1" a="1"/>
  <c r="AO493" i="2" s="1"/>
  <c r="AP493" i="2" s="1" a="1"/>
  <c r="AP493" i="2" s="1"/>
  <c r="AQ493" i="2" s="1" a="1"/>
  <c r="AQ493" i="2" s="1"/>
  <c r="AR493" i="2" s="1"/>
  <c r="AS493" i="2" s="1"/>
  <c r="AT493" i="2" s="1"/>
  <c r="AU493" i="2" s="1"/>
  <c r="AV493" i="2" s="1"/>
  <c r="AW493" i="2" s="1"/>
  <c r="AX493" i="2" s="1"/>
  <c r="AY493" i="2" s="1"/>
  <c r="AC493" i="2"/>
  <c r="AK375" i="2" a="1"/>
  <c r="AK375" i="2" s="1"/>
  <c r="AL375" i="2" s="1" a="1"/>
  <c r="AL375" i="2" s="1"/>
  <c r="AM375" i="2" s="1" a="1"/>
  <c r="AM375" i="2" s="1"/>
  <c r="AN375" i="2" s="1" a="1"/>
  <c r="AN375" i="2" s="1"/>
  <c r="AO375" i="2" s="1" a="1"/>
  <c r="AO375" i="2" s="1"/>
  <c r="AP375" i="2" s="1" a="1"/>
  <c r="AP375" i="2" s="1"/>
  <c r="AQ375" i="2" s="1" a="1"/>
  <c r="AQ375" i="2" s="1"/>
  <c r="AR375" i="2" s="1"/>
  <c r="AS375" i="2" s="1"/>
  <c r="AT375" i="2" s="1"/>
  <c r="AU375" i="2" s="1"/>
  <c r="AV375" i="2" s="1"/>
  <c r="AW375" i="2" s="1"/>
  <c r="AX375" i="2" s="1"/>
  <c r="AY375" i="2" s="1"/>
  <c r="AC375" i="2"/>
  <c r="AK281" i="2" a="1"/>
  <c r="AK281" i="2" s="1"/>
  <c r="AL281" i="2" s="1" a="1"/>
  <c r="AL281" i="2" s="1"/>
  <c r="AM281" i="2" s="1" a="1"/>
  <c r="AM281" i="2" s="1"/>
  <c r="AN281" i="2" s="1" a="1"/>
  <c r="AN281" i="2" s="1"/>
  <c r="AO281" i="2" s="1" a="1"/>
  <c r="AO281" i="2" s="1"/>
  <c r="AP281" i="2" s="1" a="1"/>
  <c r="AP281" i="2" s="1"/>
  <c r="AQ281" i="2" s="1" a="1"/>
  <c r="AQ281" i="2" s="1"/>
  <c r="AR281" i="2" s="1"/>
  <c r="AS281" i="2" s="1"/>
  <c r="AT281" i="2" s="1"/>
  <c r="AU281" i="2" s="1"/>
  <c r="AV281" i="2" s="1"/>
  <c r="AW281" i="2" s="1"/>
  <c r="AX281" i="2" s="1"/>
  <c r="AY281" i="2" s="1"/>
  <c r="AC281" i="2"/>
  <c r="AK203" i="2" a="1"/>
  <c r="AK203" i="2" s="1"/>
  <c r="AL203" i="2" s="1" a="1"/>
  <c r="AL203" i="2" s="1"/>
  <c r="AM203" i="2" s="1" a="1"/>
  <c r="AM203" i="2" s="1"/>
  <c r="AN203" i="2" s="1" a="1"/>
  <c r="AN203" i="2" s="1"/>
  <c r="AO203" i="2" s="1" a="1"/>
  <c r="AO203" i="2" s="1"/>
  <c r="AP203" i="2" s="1" a="1"/>
  <c r="AP203" i="2" s="1"/>
  <c r="AQ203" i="2" s="1" a="1"/>
  <c r="AQ203" i="2" s="1"/>
  <c r="AR203" i="2" s="1"/>
  <c r="AS203" i="2" s="1"/>
  <c r="AT203" i="2" s="1"/>
  <c r="AU203" i="2" s="1"/>
  <c r="AV203" i="2" s="1"/>
  <c r="AW203" i="2" s="1"/>
  <c r="AX203" i="2" s="1"/>
  <c r="AY203" i="2" s="1"/>
  <c r="AC203" i="2"/>
  <c r="AK494" i="2" a="1"/>
  <c r="AK494" i="2" s="1"/>
  <c r="AL494" i="2" s="1" a="1"/>
  <c r="AL494" i="2" s="1"/>
  <c r="AM494" i="2" s="1" a="1"/>
  <c r="AM494" i="2" s="1"/>
  <c r="AN494" i="2" s="1" a="1"/>
  <c r="AN494" i="2" s="1"/>
  <c r="AO494" i="2" s="1" a="1"/>
  <c r="AO494" i="2" s="1"/>
  <c r="AP494" i="2" s="1" a="1"/>
  <c r="AP494" i="2" s="1"/>
  <c r="AQ494" i="2" s="1" a="1"/>
  <c r="AQ494" i="2" s="1"/>
  <c r="AR494" i="2" s="1"/>
  <c r="AS494" i="2" s="1"/>
  <c r="AT494" i="2" s="1"/>
  <c r="AU494" i="2" s="1"/>
  <c r="AV494" i="2" s="1"/>
  <c r="AW494" i="2" s="1"/>
  <c r="AX494" i="2" s="1"/>
  <c r="AY494" i="2" s="1"/>
  <c r="AC494" i="2"/>
  <c r="AK376" i="2" a="1"/>
  <c r="AK376" i="2" s="1"/>
  <c r="AL376" i="2" s="1" a="1"/>
  <c r="AL376" i="2" s="1"/>
  <c r="AM376" i="2" s="1" a="1"/>
  <c r="AM376" i="2" s="1"/>
  <c r="AN376" i="2" s="1" a="1"/>
  <c r="AN376" i="2" s="1"/>
  <c r="AO376" i="2" s="1" a="1"/>
  <c r="AO376" i="2" s="1"/>
  <c r="AP376" i="2" s="1" a="1"/>
  <c r="AP376" i="2" s="1"/>
  <c r="AQ376" i="2" s="1" a="1"/>
  <c r="AQ376" i="2" s="1"/>
  <c r="AR376" i="2" s="1"/>
  <c r="AS376" i="2" s="1"/>
  <c r="AT376" i="2" s="1"/>
  <c r="AU376" i="2" s="1"/>
  <c r="AV376" i="2" s="1"/>
  <c r="AW376" i="2" s="1"/>
  <c r="AX376" i="2" s="1"/>
  <c r="AY376" i="2" s="1"/>
  <c r="AC376" i="2"/>
  <c r="AK282" i="2" a="1"/>
  <c r="AK282" i="2" s="1"/>
  <c r="AL282" i="2" s="1" a="1"/>
  <c r="AL282" i="2" s="1"/>
  <c r="AM282" i="2" s="1" a="1"/>
  <c r="AM282" i="2" s="1"/>
  <c r="AN282" i="2" s="1" a="1"/>
  <c r="AN282" i="2" s="1"/>
  <c r="AO282" i="2" s="1" a="1"/>
  <c r="AO282" i="2" s="1"/>
  <c r="AP282" i="2" s="1" a="1"/>
  <c r="AP282" i="2" s="1"/>
  <c r="AQ282" i="2" s="1" a="1"/>
  <c r="AQ282" i="2" s="1"/>
  <c r="AR282" i="2" s="1"/>
  <c r="AS282" i="2" s="1"/>
  <c r="AT282" i="2" s="1"/>
  <c r="AU282" i="2" s="1"/>
  <c r="AV282" i="2" s="1"/>
  <c r="AW282" i="2" s="1"/>
  <c r="AX282" i="2" s="1"/>
  <c r="AY282" i="2" s="1"/>
  <c r="AC282" i="2"/>
  <c r="AK174" i="2" a="1"/>
  <c r="AK174" i="2" s="1"/>
  <c r="AL174" i="2" s="1" a="1"/>
  <c r="AL174" i="2" s="1"/>
  <c r="AM174" i="2" s="1" a="1"/>
  <c r="AM174" i="2" s="1"/>
  <c r="AN174" i="2" s="1" a="1"/>
  <c r="AN174" i="2" s="1"/>
  <c r="AO174" i="2" s="1" a="1"/>
  <c r="AO174" i="2" s="1"/>
  <c r="AP174" i="2" s="1" a="1"/>
  <c r="AP174" i="2" s="1"/>
  <c r="AQ174" i="2" s="1" a="1"/>
  <c r="AQ174" i="2" s="1"/>
  <c r="AR174" i="2" s="1"/>
  <c r="AS174" i="2" s="1"/>
  <c r="AT174" i="2" s="1"/>
  <c r="AU174" i="2" s="1"/>
  <c r="AV174" i="2" s="1"/>
  <c r="AW174" i="2" s="1"/>
  <c r="AX174" i="2" s="1"/>
  <c r="AY174" i="2" s="1"/>
  <c r="AC174" i="2"/>
  <c r="AK505" i="2" a="1"/>
  <c r="AK505" i="2" s="1"/>
  <c r="AL505" i="2" s="1" a="1"/>
  <c r="AL505" i="2" s="1"/>
  <c r="AM505" i="2" s="1" a="1"/>
  <c r="AM505" i="2" s="1"/>
  <c r="AN505" i="2" s="1" a="1"/>
  <c r="AN505" i="2" s="1"/>
  <c r="AO505" i="2" s="1" a="1"/>
  <c r="AO505" i="2" s="1"/>
  <c r="AP505" i="2" s="1" a="1"/>
  <c r="AP505" i="2" s="1"/>
  <c r="AQ505" i="2" s="1" a="1"/>
  <c r="AQ505" i="2" s="1"/>
  <c r="AR505" i="2" s="1"/>
  <c r="AS505" i="2" s="1"/>
  <c r="AT505" i="2" s="1"/>
  <c r="AU505" i="2" s="1"/>
  <c r="AV505" i="2" s="1"/>
  <c r="AW505" i="2" s="1"/>
  <c r="AX505" i="2" s="1"/>
  <c r="AY505" i="2" s="1"/>
  <c r="AC505" i="2"/>
  <c r="AK387" i="2" a="1"/>
  <c r="AK387" i="2" s="1"/>
  <c r="AL387" i="2" s="1" a="1"/>
  <c r="AL387" i="2" s="1"/>
  <c r="AM387" i="2" s="1" a="1"/>
  <c r="AM387" i="2" s="1"/>
  <c r="AN387" i="2" s="1" a="1"/>
  <c r="AN387" i="2" s="1"/>
  <c r="AO387" i="2" s="1" a="1"/>
  <c r="AO387" i="2" s="1"/>
  <c r="AP387" i="2" s="1" a="1"/>
  <c r="AP387" i="2" s="1"/>
  <c r="AQ387" i="2" s="1" a="1"/>
  <c r="AQ387" i="2" s="1"/>
  <c r="AR387" i="2" s="1"/>
  <c r="AS387" i="2" s="1"/>
  <c r="AT387" i="2" s="1"/>
  <c r="AU387" i="2" s="1"/>
  <c r="AV387" i="2" s="1"/>
  <c r="AW387" i="2" s="1"/>
  <c r="AX387" i="2" s="1"/>
  <c r="AY387" i="2" s="1"/>
  <c r="AC387" i="2"/>
  <c r="AK293" i="2" a="1"/>
  <c r="AK293" i="2" s="1"/>
  <c r="AL293" i="2" s="1" a="1"/>
  <c r="AL293" i="2" s="1"/>
  <c r="AM293" i="2" s="1" a="1"/>
  <c r="AM293" i="2" s="1"/>
  <c r="AN293" i="2" s="1" a="1"/>
  <c r="AN293" i="2" s="1"/>
  <c r="AO293" i="2" s="1" a="1"/>
  <c r="AO293" i="2" s="1"/>
  <c r="AP293" i="2" s="1" a="1"/>
  <c r="AP293" i="2" s="1"/>
  <c r="AQ293" i="2" s="1" a="1"/>
  <c r="AQ293" i="2" s="1"/>
  <c r="AR293" i="2" s="1"/>
  <c r="AS293" i="2" s="1"/>
  <c r="AT293" i="2" s="1"/>
  <c r="AU293" i="2" s="1"/>
  <c r="AV293" i="2" s="1"/>
  <c r="AW293" i="2" s="1"/>
  <c r="AX293" i="2" s="1"/>
  <c r="AY293" i="2" s="1"/>
  <c r="AC293" i="2"/>
  <c r="AK207" i="2" a="1"/>
  <c r="AK207" i="2" s="1"/>
  <c r="AL207" i="2" s="1" a="1"/>
  <c r="AL207" i="2" s="1"/>
  <c r="AM207" i="2" s="1" a="1"/>
  <c r="AM207" i="2" s="1"/>
  <c r="AN207" i="2" s="1" a="1"/>
  <c r="AN207" i="2" s="1"/>
  <c r="AO207" i="2" s="1" a="1"/>
  <c r="AO207" i="2" s="1"/>
  <c r="AP207" i="2" s="1" a="1"/>
  <c r="AP207" i="2" s="1"/>
  <c r="AQ207" i="2" s="1" a="1"/>
  <c r="AQ207" i="2" s="1"/>
  <c r="AR207" i="2" s="1"/>
  <c r="AS207" i="2" s="1"/>
  <c r="AT207" i="2" s="1"/>
  <c r="AU207" i="2" s="1"/>
  <c r="AV207" i="2" s="1"/>
  <c r="AW207" i="2" s="1"/>
  <c r="AX207" i="2" s="1"/>
  <c r="AY207" i="2" s="1"/>
  <c r="AC207" i="2"/>
  <c r="AK506" i="2" a="1"/>
  <c r="AK506" i="2" s="1"/>
  <c r="AL506" i="2" s="1" a="1"/>
  <c r="AL506" i="2" s="1"/>
  <c r="AM506" i="2" s="1" a="1"/>
  <c r="AM506" i="2" s="1"/>
  <c r="AN506" i="2" s="1" a="1"/>
  <c r="AN506" i="2" s="1"/>
  <c r="AO506" i="2" s="1" a="1"/>
  <c r="AO506" i="2" s="1"/>
  <c r="AP506" i="2" s="1" a="1"/>
  <c r="AP506" i="2" s="1"/>
  <c r="AQ506" i="2" s="1" a="1"/>
  <c r="AQ506" i="2" s="1"/>
  <c r="AR506" i="2" s="1"/>
  <c r="AS506" i="2" s="1"/>
  <c r="AT506" i="2" s="1"/>
  <c r="AU506" i="2" s="1"/>
  <c r="AV506" i="2" s="1"/>
  <c r="AW506" i="2" s="1"/>
  <c r="AX506" i="2" s="1"/>
  <c r="AY506" i="2" s="1"/>
  <c r="AC506" i="2"/>
  <c r="AK388" i="2" a="1"/>
  <c r="AK388" i="2" s="1"/>
  <c r="AL388" i="2" s="1" a="1"/>
  <c r="AL388" i="2" s="1"/>
  <c r="AM388" i="2" s="1" a="1"/>
  <c r="AM388" i="2" s="1"/>
  <c r="AN388" i="2" s="1" a="1"/>
  <c r="AN388" i="2" s="1"/>
  <c r="AO388" i="2" s="1" a="1"/>
  <c r="AO388" i="2" s="1"/>
  <c r="AP388" i="2" s="1" a="1"/>
  <c r="AP388" i="2" s="1"/>
  <c r="AQ388" i="2" s="1" a="1"/>
  <c r="AQ388" i="2" s="1"/>
  <c r="AR388" i="2" s="1"/>
  <c r="AS388" i="2" s="1"/>
  <c r="AT388" i="2" s="1"/>
  <c r="AU388" i="2" s="1"/>
  <c r="AV388" i="2" s="1"/>
  <c r="AW388" i="2" s="1"/>
  <c r="AX388" i="2" s="1"/>
  <c r="AY388" i="2" s="1"/>
  <c r="AC388" i="2"/>
  <c r="AK294" i="2" a="1"/>
  <c r="AK294" i="2" s="1"/>
  <c r="AL294" i="2" s="1" a="1"/>
  <c r="AL294" i="2" s="1"/>
  <c r="AM294" i="2" s="1" a="1"/>
  <c r="AM294" i="2" s="1"/>
  <c r="AN294" i="2" s="1" a="1"/>
  <c r="AN294" i="2" s="1"/>
  <c r="AO294" i="2" s="1" a="1"/>
  <c r="AO294" i="2" s="1"/>
  <c r="AP294" i="2" s="1" a="1"/>
  <c r="AP294" i="2" s="1"/>
  <c r="AQ294" i="2" s="1" a="1"/>
  <c r="AQ294" i="2" s="1"/>
  <c r="AR294" i="2" s="1"/>
  <c r="AS294" i="2" s="1"/>
  <c r="AT294" i="2" s="1"/>
  <c r="AU294" i="2" s="1"/>
  <c r="AV294" i="2" s="1"/>
  <c r="AW294" i="2" s="1"/>
  <c r="AX294" i="2" s="1"/>
  <c r="AY294" i="2" s="1"/>
  <c r="AC294" i="2"/>
  <c r="AK178" i="2" a="1"/>
  <c r="AK178" i="2" s="1"/>
  <c r="AL178" i="2" s="1" a="1"/>
  <c r="AL178" i="2" s="1"/>
  <c r="AM178" i="2" s="1" a="1"/>
  <c r="AM178" i="2" s="1"/>
  <c r="AN178" i="2" s="1" a="1"/>
  <c r="AN178" i="2" s="1"/>
  <c r="AO178" i="2" s="1" a="1"/>
  <c r="AO178" i="2" s="1"/>
  <c r="AP178" i="2" s="1" a="1"/>
  <c r="AP178" i="2" s="1"/>
  <c r="AQ178" i="2" s="1" a="1"/>
  <c r="AQ178" i="2" s="1"/>
  <c r="AR178" i="2" s="1"/>
  <c r="AS178" i="2" s="1"/>
  <c r="AT178" i="2" s="1"/>
  <c r="AU178" i="2" s="1"/>
  <c r="AV178" i="2" s="1"/>
  <c r="AW178" i="2" s="1"/>
  <c r="AX178" i="2" s="1"/>
  <c r="AY178" i="2" s="1"/>
  <c r="AC178" i="2"/>
  <c r="AK523" i="2" a="1"/>
  <c r="AK523" i="2" s="1"/>
  <c r="AL523" i="2" s="1" a="1"/>
  <c r="AL523" i="2" s="1"/>
  <c r="AM523" i="2" s="1" a="1"/>
  <c r="AM523" i="2" s="1"/>
  <c r="AN523" i="2" s="1" a="1"/>
  <c r="AN523" i="2" s="1"/>
  <c r="AO523" i="2" s="1" a="1"/>
  <c r="AO523" i="2" s="1"/>
  <c r="AP523" i="2" s="1" a="1"/>
  <c r="AP523" i="2" s="1"/>
  <c r="AQ523" i="2" s="1" a="1"/>
  <c r="AQ523" i="2" s="1"/>
  <c r="AR523" i="2" s="1"/>
  <c r="AS523" i="2" s="1"/>
  <c r="AT523" i="2" s="1"/>
  <c r="AU523" i="2" s="1"/>
  <c r="AV523" i="2" s="1"/>
  <c r="AW523" i="2" s="1"/>
  <c r="AX523" i="2" s="1"/>
  <c r="AY523" i="2" s="1"/>
  <c r="AC523" i="2"/>
  <c r="AK417" i="2" a="1"/>
  <c r="AK417" i="2" s="1"/>
  <c r="AL417" i="2" s="1" a="1"/>
  <c r="AL417" i="2" s="1"/>
  <c r="AM417" i="2" s="1" a="1"/>
  <c r="AM417" i="2" s="1"/>
  <c r="AN417" i="2" s="1" a="1"/>
  <c r="AN417" i="2" s="1"/>
  <c r="AO417" i="2" s="1" a="1"/>
  <c r="AO417" i="2" s="1"/>
  <c r="AP417" i="2" s="1" a="1"/>
  <c r="AP417" i="2" s="1"/>
  <c r="AQ417" i="2" s="1" a="1"/>
  <c r="AQ417" i="2" s="1"/>
  <c r="AR417" i="2" s="1"/>
  <c r="AS417" i="2" s="1"/>
  <c r="AT417" i="2" s="1"/>
  <c r="AU417" i="2" s="1"/>
  <c r="AV417" i="2" s="1"/>
  <c r="AW417" i="2" s="1"/>
  <c r="AX417" i="2" s="1"/>
  <c r="AY417" i="2" s="1"/>
  <c r="AC417" i="2"/>
  <c r="AK309" i="2" a="1"/>
  <c r="AK309" i="2" s="1"/>
  <c r="AL309" i="2" s="1" a="1"/>
  <c r="AL309" i="2" s="1"/>
  <c r="AM309" i="2" s="1" a="1"/>
  <c r="AM309" i="2" s="1"/>
  <c r="AN309" i="2" s="1" a="1"/>
  <c r="AN309" i="2" s="1"/>
  <c r="AO309" i="2" s="1" a="1"/>
  <c r="AO309" i="2" s="1"/>
  <c r="AP309" i="2" s="1" a="1"/>
  <c r="AP309" i="2" s="1"/>
  <c r="AQ309" i="2" s="1" a="1"/>
  <c r="AQ309" i="2" s="1"/>
  <c r="AR309" i="2" s="1"/>
  <c r="AS309" i="2" s="1"/>
  <c r="AT309" i="2" s="1"/>
  <c r="AU309" i="2" s="1"/>
  <c r="AV309" i="2" s="1"/>
  <c r="AW309" i="2" s="1"/>
  <c r="AX309" i="2" s="1"/>
  <c r="AY309" i="2" s="1"/>
  <c r="AC309" i="2"/>
  <c r="AK214" i="2" a="1"/>
  <c r="AK214" i="2" s="1"/>
  <c r="AL214" i="2" s="1" a="1"/>
  <c r="AL214" i="2" s="1"/>
  <c r="AM214" i="2" s="1" a="1"/>
  <c r="AM214" i="2" s="1"/>
  <c r="AN214" i="2" s="1" a="1"/>
  <c r="AN214" i="2" s="1"/>
  <c r="AO214" i="2" s="1" a="1"/>
  <c r="AO214" i="2" s="1"/>
  <c r="AP214" i="2" s="1" a="1"/>
  <c r="AP214" i="2" s="1"/>
  <c r="AQ214" i="2" s="1" a="1"/>
  <c r="AQ214" i="2" s="1"/>
  <c r="AR214" i="2" s="1"/>
  <c r="AS214" i="2" s="1"/>
  <c r="AT214" i="2" s="1"/>
  <c r="AU214" i="2" s="1"/>
  <c r="AV214" i="2" s="1"/>
  <c r="AW214" i="2" s="1"/>
  <c r="AX214" i="2" s="1"/>
  <c r="AY214" i="2" s="1"/>
  <c r="AC214" i="2"/>
  <c r="AK524" i="2" a="1"/>
  <c r="AK524" i="2" s="1"/>
  <c r="AL524" i="2" s="1" a="1"/>
  <c r="AL524" i="2" s="1"/>
  <c r="AM524" i="2" s="1" a="1"/>
  <c r="AM524" i="2" s="1"/>
  <c r="AN524" i="2" s="1" a="1"/>
  <c r="AN524" i="2" s="1"/>
  <c r="AO524" i="2" s="1" a="1"/>
  <c r="AO524" i="2" s="1"/>
  <c r="AP524" i="2" s="1" a="1"/>
  <c r="AP524" i="2" s="1"/>
  <c r="AQ524" i="2" s="1" a="1"/>
  <c r="AQ524" i="2" s="1"/>
  <c r="AR524" i="2" s="1"/>
  <c r="AS524" i="2" s="1"/>
  <c r="AT524" i="2" s="1"/>
  <c r="AU524" i="2" s="1"/>
  <c r="AV524" i="2" s="1"/>
  <c r="AW524" i="2" s="1"/>
  <c r="AX524" i="2" s="1"/>
  <c r="AY524" i="2" s="1"/>
  <c r="AC524" i="2"/>
  <c r="AK418" i="2" a="1"/>
  <c r="AK418" i="2" s="1"/>
  <c r="AL418" i="2" s="1" a="1"/>
  <c r="AL418" i="2" s="1"/>
  <c r="AM418" i="2" s="1" a="1"/>
  <c r="AM418" i="2" s="1"/>
  <c r="AN418" i="2" s="1" a="1"/>
  <c r="AN418" i="2" s="1"/>
  <c r="AO418" i="2" s="1" a="1"/>
  <c r="AO418" i="2" s="1"/>
  <c r="AP418" i="2" s="1" a="1"/>
  <c r="AP418" i="2" s="1"/>
  <c r="AQ418" i="2" s="1" a="1"/>
  <c r="AQ418" i="2" s="1"/>
  <c r="AR418" i="2" s="1"/>
  <c r="AS418" i="2" s="1"/>
  <c r="AT418" i="2" s="1"/>
  <c r="AU418" i="2" s="1"/>
  <c r="AV418" i="2" s="1"/>
  <c r="AW418" i="2" s="1"/>
  <c r="AX418" i="2" s="1"/>
  <c r="AY418" i="2" s="1"/>
  <c r="AC418" i="2"/>
  <c r="AK310" i="2" a="1"/>
  <c r="AK310" i="2" s="1"/>
  <c r="AL310" i="2" s="1" a="1"/>
  <c r="AL310" i="2" s="1"/>
  <c r="AM310" i="2" s="1" a="1"/>
  <c r="AM310" i="2" s="1"/>
  <c r="AN310" i="2" s="1" a="1"/>
  <c r="AN310" i="2" s="1"/>
  <c r="AO310" i="2" s="1" a="1"/>
  <c r="AO310" i="2" s="1"/>
  <c r="AP310" i="2" s="1" a="1"/>
  <c r="AP310" i="2" s="1"/>
  <c r="AQ310" i="2" s="1" a="1"/>
  <c r="AQ310" i="2" s="1"/>
  <c r="AR310" i="2" s="1"/>
  <c r="AS310" i="2" s="1"/>
  <c r="AT310" i="2" s="1"/>
  <c r="AU310" i="2" s="1"/>
  <c r="AV310" i="2" s="1"/>
  <c r="AW310" i="2" s="1"/>
  <c r="AX310" i="2" s="1"/>
  <c r="AY310" i="2" s="1"/>
  <c r="AC310" i="2"/>
  <c r="AK185" i="2" a="1"/>
  <c r="AK185" i="2" s="1"/>
  <c r="AL185" i="2" s="1" a="1"/>
  <c r="AL185" i="2" s="1"/>
  <c r="AM185" i="2" s="1" a="1"/>
  <c r="AM185" i="2" s="1"/>
  <c r="AN185" i="2" s="1" a="1"/>
  <c r="AN185" i="2" s="1"/>
  <c r="AO185" i="2" s="1" a="1"/>
  <c r="AO185" i="2" s="1"/>
  <c r="AP185" i="2" s="1" a="1"/>
  <c r="AP185" i="2" s="1"/>
  <c r="AQ185" i="2" s="1" a="1"/>
  <c r="AQ185" i="2" s="1"/>
  <c r="AR185" i="2" s="1"/>
  <c r="AS185" i="2" s="1"/>
  <c r="AT185" i="2" s="1"/>
  <c r="AU185" i="2" s="1"/>
  <c r="AV185" i="2" s="1"/>
  <c r="AW185" i="2" s="1"/>
  <c r="AX185" i="2" s="1"/>
  <c r="AY185" i="2" s="1"/>
  <c r="AC185" i="2"/>
  <c r="AK489" i="2" a="1"/>
  <c r="AK489" i="2" s="1"/>
  <c r="AL489" i="2" s="1" a="1"/>
  <c r="AL489" i="2" s="1"/>
  <c r="AM489" i="2" s="1" a="1"/>
  <c r="AM489" i="2" s="1"/>
  <c r="AN489" i="2" s="1" a="1"/>
  <c r="AN489" i="2" s="1"/>
  <c r="AO489" i="2" s="1" a="1"/>
  <c r="AO489" i="2" s="1"/>
  <c r="AP489" i="2" s="1" a="1"/>
  <c r="AP489" i="2" s="1"/>
  <c r="AQ489" i="2" s="1" a="1"/>
  <c r="AQ489" i="2" s="1"/>
  <c r="AR489" i="2" s="1"/>
  <c r="AS489" i="2" s="1"/>
  <c r="AT489" i="2" s="1"/>
  <c r="AU489" i="2" s="1"/>
  <c r="AV489" i="2" s="1"/>
  <c r="AW489" i="2" s="1"/>
  <c r="AX489" i="2" s="1"/>
  <c r="AY489" i="2" s="1"/>
  <c r="AC489" i="2"/>
  <c r="AK371" i="2" a="1"/>
  <c r="AK371" i="2" s="1"/>
  <c r="AL371" i="2" s="1" a="1"/>
  <c r="AL371" i="2" s="1"/>
  <c r="AM371" i="2" s="1" a="1"/>
  <c r="AM371" i="2" s="1"/>
  <c r="AN371" i="2" s="1" a="1"/>
  <c r="AN371" i="2" s="1"/>
  <c r="AO371" i="2" s="1" a="1"/>
  <c r="AO371" i="2" s="1"/>
  <c r="AP371" i="2" s="1" a="1"/>
  <c r="AP371" i="2" s="1"/>
  <c r="AQ371" i="2" s="1" a="1"/>
  <c r="AQ371" i="2" s="1"/>
  <c r="AR371" i="2" s="1"/>
  <c r="AS371" i="2" s="1"/>
  <c r="AT371" i="2" s="1"/>
  <c r="AU371" i="2" s="1"/>
  <c r="AV371" i="2" s="1"/>
  <c r="AW371" i="2" s="1"/>
  <c r="AX371" i="2" s="1"/>
  <c r="AY371" i="2" s="1"/>
  <c r="AC371" i="2"/>
  <c r="AK278" i="2" a="1"/>
  <c r="AK278" i="2" s="1"/>
  <c r="AL278" i="2" s="1" a="1"/>
  <c r="AL278" i="2" s="1"/>
  <c r="AM278" i="2" s="1" a="1"/>
  <c r="AM278" i="2" s="1"/>
  <c r="AN278" i="2" s="1" a="1"/>
  <c r="AN278" i="2" s="1"/>
  <c r="AO278" i="2" s="1" a="1"/>
  <c r="AO278" i="2" s="1"/>
  <c r="AP278" i="2" s="1" a="1"/>
  <c r="AP278" i="2" s="1"/>
  <c r="AQ278" i="2" s="1" a="1"/>
  <c r="AQ278" i="2" s="1"/>
  <c r="AR278" i="2" s="1"/>
  <c r="AS278" i="2" s="1"/>
  <c r="AT278" i="2" s="1"/>
  <c r="AU278" i="2" s="1"/>
  <c r="AV278" i="2" s="1"/>
  <c r="AW278" i="2" s="1"/>
  <c r="AX278" i="2" s="1"/>
  <c r="AY278" i="2" s="1"/>
  <c r="AC278" i="2"/>
  <c r="AK202" i="2" a="1"/>
  <c r="AK202" i="2" s="1"/>
  <c r="AL202" i="2" s="1" a="1"/>
  <c r="AL202" i="2" s="1"/>
  <c r="AM202" i="2" s="1" a="1"/>
  <c r="AM202" i="2" s="1"/>
  <c r="AN202" i="2" s="1" a="1"/>
  <c r="AN202" i="2" s="1"/>
  <c r="AO202" i="2" s="1" a="1"/>
  <c r="AO202" i="2" s="1"/>
  <c r="AP202" i="2" s="1" a="1"/>
  <c r="AP202" i="2" s="1"/>
  <c r="AQ202" i="2" s="1" a="1"/>
  <c r="AQ202" i="2" s="1"/>
  <c r="AR202" i="2" s="1"/>
  <c r="AS202" i="2" s="1"/>
  <c r="AT202" i="2" s="1"/>
  <c r="AU202" i="2" s="1"/>
  <c r="AV202" i="2" s="1"/>
  <c r="AW202" i="2" s="1"/>
  <c r="AX202" i="2" s="1"/>
  <c r="AY202" i="2" s="1"/>
  <c r="AC202" i="2"/>
  <c r="AK491" i="2" a="1"/>
  <c r="AK491" i="2" s="1"/>
  <c r="AL491" i="2" s="1" a="1"/>
  <c r="AL491" i="2" s="1"/>
  <c r="AM491" i="2" s="1" a="1"/>
  <c r="AM491" i="2" s="1"/>
  <c r="AN491" i="2" s="1" a="1"/>
  <c r="AN491" i="2" s="1"/>
  <c r="AO491" i="2" s="1" a="1"/>
  <c r="AO491" i="2" s="1"/>
  <c r="AP491" i="2" s="1" a="1"/>
  <c r="AP491" i="2" s="1"/>
  <c r="AQ491" i="2" s="1" a="1"/>
  <c r="AQ491" i="2" s="1"/>
  <c r="AR491" i="2" s="1"/>
  <c r="AS491" i="2" s="1"/>
  <c r="AT491" i="2" s="1"/>
  <c r="AU491" i="2" s="1"/>
  <c r="AV491" i="2" s="1"/>
  <c r="AW491" i="2" s="1"/>
  <c r="AX491" i="2" s="1"/>
  <c r="AY491" i="2" s="1"/>
  <c r="AC491" i="2"/>
  <c r="AK373" i="2" a="1"/>
  <c r="AK373" i="2" s="1"/>
  <c r="AL373" i="2" s="1" a="1"/>
  <c r="AL373" i="2" s="1"/>
  <c r="AM373" i="2" s="1" a="1"/>
  <c r="AM373" i="2" s="1"/>
  <c r="AN373" i="2" s="1" a="1"/>
  <c r="AN373" i="2" s="1"/>
  <c r="AO373" i="2" s="1" a="1"/>
  <c r="AO373" i="2" s="1"/>
  <c r="AP373" i="2" s="1" a="1"/>
  <c r="AP373" i="2" s="1"/>
  <c r="AQ373" i="2" s="1" a="1"/>
  <c r="AQ373" i="2" s="1"/>
  <c r="AR373" i="2" s="1"/>
  <c r="AS373" i="2" s="1"/>
  <c r="AT373" i="2" s="1"/>
  <c r="AU373" i="2" s="1"/>
  <c r="AV373" i="2" s="1"/>
  <c r="AW373" i="2" s="1"/>
  <c r="AX373" i="2" s="1"/>
  <c r="AY373" i="2" s="1"/>
  <c r="AC373" i="2"/>
  <c r="AK280" i="2" a="1"/>
  <c r="AK280" i="2" s="1"/>
  <c r="AL280" i="2" s="1" a="1"/>
  <c r="AL280" i="2" s="1"/>
  <c r="AM280" i="2" s="1" a="1"/>
  <c r="AM280" i="2" s="1"/>
  <c r="AN280" i="2" s="1" a="1"/>
  <c r="AN280" i="2" s="1"/>
  <c r="AO280" i="2" s="1" a="1"/>
  <c r="AO280" i="2" s="1"/>
  <c r="AP280" i="2" s="1" a="1"/>
  <c r="AP280" i="2" s="1"/>
  <c r="AQ280" i="2" s="1" a="1"/>
  <c r="AQ280" i="2" s="1"/>
  <c r="AR280" i="2" s="1"/>
  <c r="AS280" i="2" s="1"/>
  <c r="AT280" i="2" s="1"/>
  <c r="AU280" i="2" s="1"/>
  <c r="AV280" i="2" s="1"/>
  <c r="AW280" i="2" s="1"/>
  <c r="AX280" i="2" s="1"/>
  <c r="AY280" i="2" s="1"/>
  <c r="AC280" i="2"/>
  <c r="AK173" i="2" a="1"/>
  <c r="AK173" i="2" s="1"/>
  <c r="AL173" i="2" s="1" a="1"/>
  <c r="AL173" i="2" s="1"/>
  <c r="AM173" i="2" s="1" a="1"/>
  <c r="AM173" i="2" s="1"/>
  <c r="AN173" i="2" s="1" a="1"/>
  <c r="AN173" i="2" s="1"/>
  <c r="AO173" i="2" s="1" a="1"/>
  <c r="AO173" i="2" s="1"/>
  <c r="AP173" i="2" s="1" a="1"/>
  <c r="AP173" i="2" s="1"/>
  <c r="AQ173" i="2" s="1" a="1"/>
  <c r="AQ173" i="2" s="1"/>
  <c r="AR173" i="2" s="1"/>
  <c r="AS173" i="2" s="1"/>
  <c r="AT173" i="2" s="1"/>
  <c r="AU173" i="2" s="1"/>
  <c r="AV173" i="2" s="1"/>
  <c r="AW173" i="2" s="1"/>
  <c r="AX173" i="2" s="1"/>
  <c r="AY173" i="2" s="1"/>
  <c r="AC173" i="2"/>
  <c r="AK452" i="2" a="1"/>
  <c r="AK452" i="2" s="1"/>
  <c r="AL452" i="2" s="1" a="1"/>
  <c r="AL452" i="2" s="1"/>
  <c r="AM452" i="2" s="1" a="1"/>
  <c r="AM452" i="2" s="1"/>
  <c r="AN452" i="2" s="1" a="1"/>
  <c r="AN452" i="2" s="1"/>
  <c r="AO452" i="2" s="1" a="1"/>
  <c r="AO452" i="2" s="1"/>
  <c r="AP452" i="2" s="1" a="1"/>
  <c r="AP452" i="2" s="1"/>
  <c r="AQ452" i="2" s="1" a="1"/>
  <c r="AQ452" i="2" s="1"/>
  <c r="AR452" i="2" s="1"/>
  <c r="AS452" i="2" s="1"/>
  <c r="AT452" i="2" s="1"/>
  <c r="AU452" i="2" s="1"/>
  <c r="AV452" i="2" s="1"/>
  <c r="AW452" i="2" s="1"/>
  <c r="AX452" i="2" s="1"/>
  <c r="AY452" i="2" s="1"/>
  <c r="AC452" i="2"/>
  <c r="AK335" i="2" a="1"/>
  <c r="AK335" i="2" s="1"/>
  <c r="AL335" i="2" s="1" a="1"/>
  <c r="AL335" i="2" s="1"/>
  <c r="AM335" i="2" s="1" a="1"/>
  <c r="AM335" i="2" s="1"/>
  <c r="AN335" i="2" s="1" a="1"/>
  <c r="AN335" i="2" s="1"/>
  <c r="AO335" i="2" s="1" a="1"/>
  <c r="AO335" i="2" s="1"/>
  <c r="AP335" i="2" s="1" a="1"/>
  <c r="AP335" i="2" s="1"/>
  <c r="AQ335" i="2" s="1" a="1"/>
  <c r="AQ335" i="2" s="1"/>
  <c r="AR335" i="2" s="1"/>
  <c r="AS335" i="2" s="1"/>
  <c r="AT335" i="2" s="1"/>
  <c r="AU335" i="2" s="1"/>
  <c r="AV335" i="2" s="1"/>
  <c r="AW335" i="2" s="1"/>
  <c r="AX335" i="2" s="1"/>
  <c r="AY335" i="2" s="1"/>
  <c r="AC335" i="2"/>
  <c r="AK245" i="2" a="1"/>
  <c r="AK245" i="2" s="1"/>
  <c r="AL245" i="2" s="1" a="1"/>
  <c r="AL245" i="2" s="1"/>
  <c r="AM245" i="2" s="1" a="1"/>
  <c r="AM245" i="2" s="1"/>
  <c r="AN245" i="2" s="1" a="1"/>
  <c r="AN245" i="2" s="1"/>
  <c r="AO245" i="2" s="1" a="1"/>
  <c r="AO245" i="2" s="1"/>
  <c r="AP245" i="2" s="1" a="1"/>
  <c r="AP245" i="2" s="1"/>
  <c r="AQ245" i="2" s="1" a="1"/>
  <c r="AQ245" i="2" s="1"/>
  <c r="AR245" i="2" s="1"/>
  <c r="AS245" i="2" s="1"/>
  <c r="AT245" i="2" s="1"/>
  <c r="AU245" i="2" s="1"/>
  <c r="AV245" i="2" s="1"/>
  <c r="AW245" i="2" s="1"/>
  <c r="AX245" i="2" s="1"/>
  <c r="AY245" i="2" s="1"/>
  <c r="AC245" i="2"/>
  <c r="AK191" i="2" a="1"/>
  <c r="AK191" i="2" s="1"/>
  <c r="AL191" i="2" s="1" a="1"/>
  <c r="AL191" i="2" s="1"/>
  <c r="AM191" i="2" s="1" a="1"/>
  <c r="AM191" i="2" s="1"/>
  <c r="AN191" i="2" s="1" a="1"/>
  <c r="AN191" i="2" s="1"/>
  <c r="AO191" i="2" s="1" a="1"/>
  <c r="AO191" i="2" s="1"/>
  <c r="AP191" i="2" s="1" a="1"/>
  <c r="AP191" i="2" s="1"/>
  <c r="AQ191" i="2" s="1" a="1"/>
  <c r="AQ191" i="2" s="1"/>
  <c r="AR191" i="2" s="1"/>
  <c r="AS191" i="2" s="1"/>
  <c r="AT191" i="2" s="1"/>
  <c r="AU191" i="2" s="1"/>
  <c r="AV191" i="2" s="1"/>
  <c r="AW191" i="2" s="1"/>
  <c r="AX191" i="2" s="1"/>
  <c r="AY191" i="2" s="1"/>
  <c r="AC191" i="2"/>
  <c r="AK454" i="2" a="1"/>
  <c r="AK454" i="2" s="1"/>
  <c r="AL454" i="2" s="1" a="1"/>
  <c r="AL454" i="2" s="1"/>
  <c r="AM454" i="2" s="1" a="1"/>
  <c r="AM454" i="2" s="1"/>
  <c r="AN454" i="2" s="1" a="1"/>
  <c r="AN454" i="2" s="1"/>
  <c r="AO454" i="2" s="1" a="1"/>
  <c r="AO454" i="2" s="1"/>
  <c r="AP454" i="2" s="1" a="1"/>
  <c r="AP454" i="2" s="1"/>
  <c r="AQ454" i="2" s="1" a="1"/>
  <c r="AQ454" i="2" s="1"/>
  <c r="AR454" i="2" s="1"/>
  <c r="AS454" i="2" s="1"/>
  <c r="AT454" i="2" s="1"/>
  <c r="AU454" i="2" s="1"/>
  <c r="AV454" i="2" s="1"/>
  <c r="AW454" i="2" s="1"/>
  <c r="AX454" i="2" s="1"/>
  <c r="AY454" i="2" s="1"/>
  <c r="AC454" i="2"/>
  <c r="AK337" i="2" a="1"/>
  <c r="AK337" i="2" s="1"/>
  <c r="AL337" i="2" s="1" a="1"/>
  <c r="AL337" i="2" s="1"/>
  <c r="AM337" i="2" s="1" a="1"/>
  <c r="AM337" i="2" s="1"/>
  <c r="AN337" i="2" s="1" a="1"/>
  <c r="AN337" i="2" s="1"/>
  <c r="AO337" i="2" s="1" a="1"/>
  <c r="AO337" i="2" s="1"/>
  <c r="AP337" i="2" s="1" a="1"/>
  <c r="AP337" i="2" s="1"/>
  <c r="AQ337" i="2" s="1" a="1"/>
  <c r="AQ337" i="2" s="1"/>
  <c r="AR337" i="2" s="1"/>
  <c r="AS337" i="2" s="1"/>
  <c r="AT337" i="2" s="1"/>
  <c r="AU337" i="2" s="1"/>
  <c r="AV337" i="2" s="1"/>
  <c r="AW337" i="2" s="1"/>
  <c r="AX337" i="2" s="1"/>
  <c r="AY337" i="2" s="1"/>
  <c r="AC337" i="2"/>
  <c r="AK247" i="2" a="1"/>
  <c r="AK247" i="2" s="1"/>
  <c r="AL247" i="2" s="1" a="1"/>
  <c r="AL247" i="2" s="1"/>
  <c r="AM247" i="2" s="1" a="1"/>
  <c r="AM247" i="2" s="1"/>
  <c r="AN247" i="2" s="1" a="1"/>
  <c r="AN247" i="2" s="1"/>
  <c r="AO247" i="2" s="1" a="1"/>
  <c r="AO247" i="2" s="1"/>
  <c r="AP247" i="2" s="1" a="1"/>
  <c r="AP247" i="2" s="1"/>
  <c r="AQ247" i="2" s="1" a="1"/>
  <c r="AQ247" i="2" s="1"/>
  <c r="AR247" i="2" s="1"/>
  <c r="AS247" i="2" s="1"/>
  <c r="AT247" i="2" s="1"/>
  <c r="AU247" i="2" s="1"/>
  <c r="AV247" i="2" s="1"/>
  <c r="AW247" i="2" s="1"/>
  <c r="AX247" i="2" s="1"/>
  <c r="AY247" i="2" s="1"/>
  <c r="AC247" i="2"/>
  <c r="AK162" i="2" a="1"/>
  <c r="AK162" i="2" s="1"/>
  <c r="AL162" i="2" s="1" a="1"/>
  <c r="AL162" i="2" s="1"/>
  <c r="AM162" i="2" s="1" a="1"/>
  <c r="AM162" i="2" s="1"/>
  <c r="AN162" i="2" s="1" a="1"/>
  <c r="AN162" i="2" s="1"/>
  <c r="AO162" i="2" s="1" a="1"/>
  <c r="AO162" i="2" s="1"/>
  <c r="AP162" i="2" s="1" a="1"/>
  <c r="AP162" i="2" s="1"/>
  <c r="AQ162" i="2" s="1" a="1"/>
  <c r="AQ162" i="2" s="1"/>
  <c r="AR162" i="2" s="1"/>
  <c r="AS162" i="2" s="1"/>
  <c r="AT162" i="2" s="1"/>
  <c r="AU162" i="2" s="1"/>
  <c r="AV162" i="2" s="1"/>
  <c r="AW162" i="2" s="1"/>
  <c r="AX162" i="2" s="1"/>
  <c r="AY162" i="2" s="1"/>
  <c r="AC162" i="2"/>
  <c r="AK449" i="2" a="1"/>
  <c r="AK449" i="2" s="1"/>
  <c r="AL449" i="2" s="1" a="1"/>
  <c r="AL449" i="2" s="1"/>
  <c r="AM449" i="2" s="1" a="1"/>
  <c r="AM449" i="2" s="1"/>
  <c r="AN449" i="2" s="1" a="1"/>
  <c r="AN449" i="2" s="1"/>
  <c r="AO449" i="2" s="1" a="1"/>
  <c r="AO449" i="2" s="1"/>
  <c r="AP449" i="2" s="1" a="1"/>
  <c r="AP449" i="2" s="1"/>
  <c r="AQ449" i="2" s="1" a="1"/>
  <c r="AQ449" i="2" s="1"/>
  <c r="AR449" i="2" s="1"/>
  <c r="AS449" i="2" s="1"/>
  <c r="AT449" i="2" s="1"/>
  <c r="AU449" i="2" s="1"/>
  <c r="AV449" i="2" s="1"/>
  <c r="AW449" i="2" s="1"/>
  <c r="AX449" i="2" s="1"/>
  <c r="AY449" i="2" s="1"/>
  <c r="AC449" i="2"/>
  <c r="AK332" i="2" a="1"/>
  <c r="AK332" i="2" s="1"/>
  <c r="AL332" i="2" s="1" a="1"/>
  <c r="AL332" i="2" s="1"/>
  <c r="AM332" i="2" s="1" a="1"/>
  <c r="AM332" i="2" s="1"/>
  <c r="AN332" i="2" s="1" a="1"/>
  <c r="AN332" i="2" s="1"/>
  <c r="AO332" i="2" s="1" a="1"/>
  <c r="AO332" i="2" s="1"/>
  <c r="AP332" i="2" s="1" a="1"/>
  <c r="AP332" i="2" s="1"/>
  <c r="AQ332" i="2" s="1" a="1"/>
  <c r="AQ332" i="2" s="1"/>
  <c r="AR332" i="2" s="1"/>
  <c r="AS332" i="2" s="1"/>
  <c r="AT332" i="2" s="1"/>
  <c r="AU332" i="2" s="1"/>
  <c r="AV332" i="2" s="1"/>
  <c r="AW332" i="2" s="1"/>
  <c r="AX332" i="2" s="1"/>
  <c r="AY332" i="2" s="1"/>
  <c r="AC332" i="2"/>
  <c r="AK242" i="2" a="1"/>
  <c r="AK242" i="2" s="1"/>
  <c r="AL242" i="2" s="1" a="1"/>
  <c r="AL242" i="2" s="1"/>
  <c r="AM242" i="2" s="1" a="1"/>
  <c r="AM242" i="2" s="1"/>
  <c r="AN242" i="2" s="1" a="1"/>
  <c r="AN242" i="2" s="1"/>
  <c r="AO242" i="2" s="1" a="1"/>
  <c r="AO242" i="2" s="1"/>
  <c r="AP242" i="2" s="1" a="1"/>
  <c r="AP242" i="2" s="1"/>
  <c r="AQ242" i="2" s="1" a="1"/>
  <c r="AQ242" i="2" s="1"/>
  <c r="AR242" i="2" s="1"/>
  <c r="AS242" i="2" s="1"/>
  <c r="AT242" i="2" s="1"/>
  <c r="AU242" i="2" s="1"/>
  <c r="AV242" i="2" s="1"/>
  <c r="AW242" i="2" s="1"/>
  <c r="AX242" i="2" s="1"/>
  <c r="AY242" i="2" s="1"/>
  <c r="AC242" i="2"/>
  <c r="AK190" i="2" a="1"/>
  <c r="AK190" i="2" s="1"/>
  <c r="AL190" i="2" s="1" a="1"/>
  <c r="AL190" i="2" s="1"/>
  <c r="AM190" i="2" s="1" a="1"/>
  <c r="AM190" i="2" s="1"/>
  <c r="AN190" i="2" s="1" a="1"/>
  <c r="AN190" i="2" s="1"/>
  <c r="AO190" i="2" s="1" a="1"/>
  <c r="AO190" i="2" s="1"/>
  <c r="AP190" i="2" s="1" a="1"/>
  <c r="AP190" i="2" s="1"/>
  <c r="AQ190" i="2" s="1" a="1"/>
  <c r="AQ190" i="2" s="1"/>
  <c r="AR190" i="2" s="1"/>
  <c r="AS190" i="2" s="1"/>
  <c r="AT190" i="2" s="1"/>
  <c r="AU190" i="2" s="1"/>
  <c r="AV190" i="2" s="1"/>
  <c r="AW190" i="2" s="1"/>
  <c r="AX190" i="2" s="1"/>
  <c r="AY190" i="2" s="1"/>
  <c r="AC190" i="2"/>
  <c r="AK451" i="2" a="1"/>
  <c r="AK451" i="2" s="1"/>
  <c r="AL451" i="2" s="1" a="1"/>
  <c r="AL451" i="2" s="1"/>
  <c r="AM451" i="2" s="1" a="1"/>
  <c r="AM451" i="2" s="1"/>
  <c r="AN451" i="2" s="1" a="1"/>
  <c r="AN451" i="2" s="1"/>
  <c r="AO451" i="2" s="1" a="1"/>
  <c r="AO451" i="2" s="1"/>
  <c r="AP451" i="2" s="1" a="1"/>
  <c r="AP451" i="2" s="1"/>
  <c r="AQ451" i="2" s="1" a="1"/>
  <c r="AQ451" i="2" s="1"/>
  <c r="AR451" i="2" s="1"/>
  <c r="AS451" i="2" s="1"/>
  <c r="AT451" i="2" s="1"/>
  <c r="AU451" i="2" s="1"/>
  <c r="AV451" i="2" s="1"/>
  <c r="AW451" i="2" s="1"/>
  <c r="AX451" i="2" s="1"/>
  <c r="AY451" i="2" s="1"/>
  <c r="AC451" i="2"/>
  <c r="AK334" i="2" a="1"/>
  <c r="AK334" i="2" s="1"/>
  <c r="AL334" i="2" s="1" a="1"/>
  <c r="AL334" i="2" s="1"/>
  <c r="AM334" i="2" s="1" a="1"/>
  <c r="AM334" i="2" s="1"/>
  <c r="AN334" i="2" s="1" a="1"/>
  <c r="AN334" i="2" s="1"/>
  <c r="AO334" i="2" s="1" a="1"/>
  <c r="AO334" i="2" s="1"/>
  <c r="AP334" i="2" s="1" a="1"/>
  <c r="AP334" i="2" s="1"/>
  <c r="AQ334" i="2" s="1" a="1"/>
  <c r="AQ334" i="2" s="1"/>
  <c r="AR334" i="2" s="1"/>
  <c r="AS334" i="2" s="1"/>
  <c r="AT334" i="2" s="1"/>
  <c r="AU334" i="2" s="1"/>
  <c r="AV334" i="2" s="1"/>
  <c r="AW334" i="2" s="1"/>
  <c r="AX334" i="2" s="1"/>
  <c r="AY334" i="2" s="1"/>
  <c r="AC334" i="2"/>
  <c r="AK244" i="2" a="1"/>
  <c r="AK244" i="2" s="1"/>
  <c r="AL244" i="2" s="1" a="1"/>
  <c r="AL244" i="2" s="1"/>
  <c r="AM244" i="2" s="1" a="1"/>
  <c r="AM244" i="2" s="1"/>
  <c r="AN244" i="2" s="1" a="1"/>
  <c r="AN244" i="2" s="1"/>
  <c r="AO244" i="2" s="1" a="1"/>
  <c r="AO244" i="2" s="1"/>
  <c r="AP244" i="2" s="1" a="1"/>
  <c r="AP244" i="2" s="1"/>
  <c r="AQ244" i="2" s="1" a="1"/>
  <c r="AQ244" i="2" s="1"/>
  <c r="AR244" i="2" s="1"/>
  <c r="AS244" i="2" s="1"/>
  <c r="AT244" i="2" s="1"/>
  <c r="AU244" i="2" s="1"/>
  <c r="AV244" i="2" s="1"/>
  <c r="AW244" i="2" s="1"/>
  <c r="AX244" i="2" s="1"/>
  <c r="AY244" i="2" s="1"/>
  <c r="AC244" i="2"/>
  <c r="AK161" i="2" a="1"/>
  <c r="AK161" i="2" s="1"/>
  <c r="AL161" i="2" s="1" a="1"/>
  <c r="AL161" i="2" s="1"/>
  <c r="AM161" i="2" s="1" a="1"/>
  <c r="AM161" i="2" s="1"/>
  <c r="AN161" i="2" s="1" a="1"/>
  <c r="AN161" i="2" s="1"/>
  <c r="AO161" i="2" s="1" a="1"/>
  <c r="AO161" i="2" s="1"/>
  <c r="AP161" i="2" s="1" a="1"/>
  <c r="AP161" i="2" s="1"/>
  <c r="AQ161" i="2" s="1" a="1"/>
  <c r="AQ161" i="2" s="1"/>
  <c r="AR161" i="2" s="1"/>
  <c r="AS161" i="2" s="1"/>
  <c r="AT161" i="2" s="1"/>
  <c r="AU161" i="2" s="1"/>
  <c r="AV161" i="2" s="1"/>
  <c r="AW161" i="2" s="1"/>
  <c r="AX161" i="2" s="1"/>
  <c r="AY161" i="2" s="1"/>
  <c r="AC161" i="2"/>
  <c r="AK475" i="2" a="1"/>
  <c r="AK475" i="2" s="1"/>
  <c r="AL475" i="2" s="1" a="1"/>
  <c r="AL475" i="2" s="1"/>
  <c r="AM475" i="2" s="1" a="1"/>
  <c r="AM475" i="2" s="1"/>
  <c r="AN475" i="2" s="1" a="1"/>
  <c r="AN475" i="2" s="1"/>
  <c r="AO475" i="2" s="1" a="1"/>
  <c r="AO475" i="2" s="1"/>
  <c r="AP475" i="2" s="1" a="1"/>
  <c r="AP475" i="2" s="1"/>
  <c r="AQ475" i="2" s="1" a="1"/>
  <c r="AQ475" i="2" s="1"/>
  <c r="AR475" i="2" s="1"/>
  <c r="AS475" i="2" s="1"/>
  <c r="AT475" i="2" s="1"/>
  <c r="AU475" i="2" s="1"/>
  <c r="AV475" i="2" s="1"/>
  <c r="AW475" i="2" s="1"/>
  <c r="AX475" i="2" s="1"/>
  <c r="AY475" i="2" s="1"/>
  <c r="AC475" i="2"/>
  <c r="AK356" i="2" a="1"/>
  <c r="AK356" i="2" s="1"/>
  <c r="AL356" i="2" s="1" a="1"/>
  <c r="AL356" i="2" s="1"/>
  <c r="AM356" i="2" s="1" a="1"/>
  <c r="AM356" i="2" s="1"/>
  <c r="AN356" i="2" s="1" a="1"/>
  <c r="AN356" i="2" s="1"/>
  <c r="AO356" i="2" s="1" a="1"/>
  <c r="AO356" i="2" s="1"/>
  <c r="AP356" i="2" s="1" a="1"/>
  <c r="AP356" i="2" s="1"/>
  <c r="AQ356" i="2" s="1" a="1"/>
  <c r="AQ356" i="2" s="1"/>
  <c r="AR356" i="2" s="1"/>
  <c r="AS356" i="2" s="1"/>
  <c r="AT356" i="2" s="1"/>
  <c r="AU356" i="2" s="1"/>
  <c r="AV356" i="2" s="1"/>
  <c r="AW356" i="2" s="1"/>
  <c r="AX356" i="2" s="1"/>
  <c r="AY356" i="2" s="1"/>
  <c r="AC356" i="2"/>
  <c r="AK266" i="2" a="1"/>
  <c r="AK266" i="2" s="1"/>
  <c r="AL266" i="2" s="1" a="1"/>
  <c r="AL266" i="2" s="1"/>
  <c r="AM266" i="2" s="1" a="1"/>
  <c r="AM266" i="2" s="1"/>
  <c r="AN266" i="2" s="1" a="1"/>
  <c r="AN266" i="2" s="1"/>
  <c r="AO266" i="2" s="1" a="1"/>
  <c r="AO266" i="2" s="1"/>
  <c r="AP266" i="2" s="1" a="1"/>
  <c r="AP266" i="2" s="1"/>
  <c r="AQ266" i="2" s="1" a="1"/>
  <c r="AQ266" i="2" s="1"/>
  <c r="AR266" i="2" s="1"/>
  <c r="AS266" i="2" s="1"/>
  <c r="AT266" i="2" s="1"/>
  <c r="AU266" i="2" s="1"/>
  <c r="AV266" i="2" s="1"/>
  <c r="AW266" i="2" s="1"/>
  <c r="AX266" i="2" s="1"/>
  <c r="AY266" i="2" s="1"/>
  <c r="AC266" i="2"/>
  <c r="AK198" i="2" a="1"/>
  <c r="AK198" i="2" s="1"/>
  <c r="AL198" i="2" s="1" a="1"/>
  <c r="AL198" i="2" s="1"/>
  <c r="AM198" i="2" s="1" a="1"/>
  <c r="AM198" i="2" s="1"/>
  <c r="AN198" i="2" s="1" a="1"/>
  <c r="AN198" i="2" s="1"/>
  <c r="AO198" i="2" s="1" a="1"/>
  <c r="AO198" i="2" s="1"/>
  <c r="AP198" i="2" s="1" a="1"/>
  <c r="AP198" i="2" s="1"/>
  <c r="AQ198" i="2" s="1" a="1"/>
  <c r="AQ198" i="2" s="1"/>
  <c r="AR198" i="2" s="1"/>
  <c r="AS198" i="2" s="1"/>
  <c r="AT198" i="2" s="1"/>
  <c r="AU198" i="2" s="1"/>
  <c r="AV198" i="2" s="1"/>
  <c r="AW198" i="2" s="1"/>
  <c r="AX198" i="2" s="1"/>
  <c r="AY198" i="2" s="1"/>
  <c r="AC198" i="2"/>
  <c r="AK477" i="2" a="1"/>
  <c r="AK477" i="2" s="1"/>
  <c r="AL477" i="2" s="1" a="1"/>
  <c r="AL477" i="2" s="1"/>
  <c r="AM477" i="2" s="1" a="1"/>
  <c r="AM477" i="2" s="1"/>
  <c r="AN477" i="2" s="1" a="1"/>
  <c r="AN477" i="2" s="1"/>
  <c r="AO477" i="2" s="1" a="1"/>
  <c r="AO477" i="2" s="1"/>
  <c r="AP477" i="2" s="1" a="1"/>
  <c r="AP477" i="2" s="1"/>
  <c r="AQ477" i="2" s="1" a="1"/>
  <c r="AQ477" i="2" s="1"/>
  <c r="AR477" i="2" s="1"/>
  <c r="AS477" i="2" s="1"/>
  <c r="AT477" i="2" s="1"/>
  <c r="AU477" i="2" s="1"/>
  <c r="AV477" i="2" s="1"/>
  <c r="AW477" i="2" s="1"/>
  <c r="AX477" i="2" s="1"/>
  <c r="AY477" i="2" s="1"/>
  <c r="AC477" i="2"/>
  <c r="AK358" i="2" a="1"/>
  <c r="AK358" i="2" s="1"/>
  <c r="AL358" i="2" s="1" a="1"/>
  <c r="AL358" i="2" s="1"/>
  <c r="AM358" i="2" s="1" a="1"/>
  <c r="AM358" i="2" s="1"/>
  <c r="AN358" i="2" s="1" a="1"/>
  <c r="AN358" i="2" s="1"/>
  <c r="AO358" i="2" s="1" a="1"/>
  <c r="AO358" i="2" s="1"/>
  <c r="AP358" i="2" s="1" a="1"/>
  <c r="AP358" i="2" s="1"/>
  <c r="AQ358" i="2" s="1" a="1"/>
  <c r="AQ358" i="2" s="1"/>
  <c r="AR358" i="2" s="1"/>
  <c r="AS358" i="2" s="1"/>
  <c r="AT358" i="2" s="1"/>
  <c r="AU358" i="2" s="1"/>
  <c r="AV358" i="2" s="1"/>
  <c r="AW358" i="2" s="1"/>
  <c r="AX358" i="2" s="1"/>
  <c r="AY358" i="2" s="1"/>
  <c r="AC358" i="2"/>
  <c r="AK268" i="2" a="1"/>
  <c r="AK268" i="2" s="1"/>
  <c r="AL268" i="2" s="1" a="1"/>
  <c r="AL268" i="2" s="1"/>
  <c r="AM268" i="2" s="1" a="1"/>
  <c r="AM268" i="2" s="1"/>
  <c r="AN268" i="2" s="1" a="1"/>
  <c r="AN268" i="2" s="1"/>
  <c r="AO268" i="2" s="1" a="1"/>
  <c r="AO268" i="2" s="1"/>
  <c r="AP268" i="2" s="1" a="1"/>
  <c r="AP268" i="2" s="1"/>
  <c r="AQ268" i="2" s="1" a="1"/>
  <c r="AQ268" i="2" s="1"/>
  <c r="AR268" i="2" s="1"/>
  <c r="AS268" i="2" s="1"/>
  <c r="AT268" i="2" s="1"/>
  <c r="AU268" i="2" s="1"/>
  <c r="AV268" i="2" s="1"/>
  <c r="AW268" i="2" s="1"/>
  <c r="AX268" i="2" s="1"/>
  <c r="AY268" i="2" s="1"/>
  <c r="AC268" i="2"/>
  <c r="AK169" i="2" a="1"/>
  <c r="AK169" i="2" s="1"/>
  <c r="AL169" i="2" s="1" a="1"/>
  <c r="AL169" i="2" s="1"/>
  <c r="AM169" i="2" s="1" a="1"/>
  <c r="AM169" i="2" s="1"/>
  <c r="AN169" i="2" s="1" a="1"/>
  <c r="AN169" i="2" s="1"/>
  <c r="AO169" i="2" s="1" a="1"/>
  <c r="AO169" i="2" s="1"/>
  <c r="AP169" i="2" s="1" a="1"/>
  <c r="AP169" i="2" s="1"/>
  <c r="AQ169" i="2" s="1" a="1"/>
  <c r="AQ169" i="2" s="1"/>
  <c r="AR169" i="2" s="1"/>
  <c r="AS169" i="2" s="1"/>
  <c r="AT169" i="2" s="1"/>
  <c r="AU169" i="2" s="1"/>
  <c r="AV169" i="2" s="1"/>
  <c r="AW169" i="2" s="1"/>
  <c r="AX169" i="2" s="1"/>
  <c r="AY169" i="2" s="1"/>
  <c r="AC169" i="2"/>
  <c r="AK469" i="2" a="1"/>
  <c r="AK469" i="2" s="1"/>
  <c r="AL469" i="2" s="1" a="1"/>
  <c r="AL469" i="2" s="1"/>
  <c r="AM469" i="2" s="1" a="1"/>
  <c r="AM469" i="2" s="1"/>
  <c r="AN469" i="2" s="1" a="1"/>
  <c r="AN469" i="2" s="1"/>
  <c r="AO469" i="2" s="1" a="1"/>
  <c r="AO469" i="2" s="1"/>
  <c r="AP469" i="2" s="1" a="1"/>
  <c r="AP469" i="2" s="1"/>
  <c r="AQ469" i="2" s="1" a="1"/>
  <c r="AQ469" i="2" s="1"/>
  <c r="AR469" i="2" s="1"/>
  <c r="AS469" i="2" s="1"/>
  <c r="AT469" i="2" s="1"/>
  <c r="AU469" i="2" s="1"/>
  <c r="AV469" i="2" s="1"/>
  <c r="AW469" i="2" s="1"/>
  <c r="AX469" i="2" s="1"/>
  <c r="AY469" i="2" s="1"/>
  <c r="AC469" i="2"/>
  <c r="AK350" i="2" a="1"/>
  <c r="AK350" i="2" s="1"/>
  <c r="AL350" i="2" s="1" a="1"/>
  <c r="AL350" i="2" s="1"/>
  <c r="AM350" i="2" s="1" a="1"/>
  <c r="AM350" i="2" s="1"/>
  <c r="AN350" i="2" s="1" a="1"/>
  <c r="AN350" i="2" s="1"/>
  <c r="AO350" i="2" s="1" a="1"/>
  <c r="AO350" i="2" s="1"/>
  <c r="AP350" i="2" s="1" a="1"/>
  <c r="AP350" i="2" s="1"/>
  <c r="AQ350" i="2" s="1" a="1"/>
  <c r="AQ350" i="2" s="1"/>
  <c r="AR350" i="2" s="1"/>
  <c r="AS350" i="2" s="1"/>
  <c r="AT350" i="2" s="1"/>
  <c r="AU350" i="2" s="1"/>
  <c r="AV350" i="2" s="1"/>
  <c r="AW350" i="2" s="1"/>
  <c r="AX350" i="2" s="1"/>
  <c r="AY350" i="2" s="1"/>
  <c r="AC350" i="2"/>
  <c r="AK260" i="2" a="1"/>
  <c r="AK260" i="2" s="1"/>
  <c r="AL260" i="2" s="1" a="1"/>
  <c r="AL260" i="2" s="1"/>
  <c r="AM260" i="2" s="1" a="1"/>
  <c r="AM260" i="2" s="1"/>
  <c r="AN260" i="2" s="1" a="1"/>
  <c r="AN260" i="2" s="1"/>
  <c r="AO260" i="2" s="1" a="1"/>
  <c r="AO260" i="2" s="1"/>
  <c r="AP260" i="2" s="1" a="1"/>
  <c r="AP260" i="2" s="1"/>
  <c r="AQ260" i="2" s="1" a="1"/>
  <c r="AQ260" i="2" s="1"/>
  <c r="AR260" i="2" s="1"/>
  <c r="AS260" i="2" s="1"/>
  <c r="AT260" i="2" s="1"/>
  <c r="AU260" i="2" s="1"/>
  <c r="AV260" i="2" s="1"/>
  <c r="AW260" i="2" s="1"/>
  <c r="AX260" i="2" s="1"/>
  <c r="AY260" i="2" s="1"/>
  <c r="AC260" i="2"/>
  <c r="AK196" i="2" a="1"/>
  <c r="AK196" i="2" s="1"/>
  <c r="AL196" i="2" s="1" a="1"/>
  <c r="AL196" i="2" s="1"/>
  <c r="AM196" i="2" s="1" a="1"/>
  <c r="AM196" i="2" s="1"/>
  <c r="AN196" i="2" s="1" a="1"/>
  <c r="AN196" i="2" s="1"/>
  <c r="AO196" i="2" s="1" a="1"/>
  <c r="AO196" i="2" s="1"/>
  <c r="AP196" i="2" s="1" a="1"/>
  <c r="AP196" i="2" s="1"/>
  <c r="AQ196" i="2" s="1" a="1"/>
  <c r="AQ196" i="2" s="1"/>
  <c r="AR196" i="2" s="1"/>
  <c r="AS196" i="2" s="1"/>
  <c r="AT196" i="2" s="1"/>
  <c r="AU196" i="2" s="1"/>
  <c r="AV196" i="2" s="1"/>
  <c r="AW196" i="2" s="1"/>
  <c r="AX196" i="2" s="1"/>
  <c r="AY196" i="2" s="1"/>
  <c r="AC196" i="2"/>
  <c r="AK471" i="2" a="1"/>
  <c r="AK471" i="2" s="1"/>
  <c r="AL471" i="2" s="1" a="1"/>
  <c r="AL471" i="2" s="1"/>
  <c r="AM471" i="2" s="1" a="1"/>
  <c r="AM471" i="2" s="1"/>
  <c r="AN471" i="2" s="1" a="1"/>
  <c r="AN471" i="2" s="1"/>
  <c r="AO471" i="2" s="1" a="1"/>
  <c r="AO471" i="2" s="1"/>
  <c r="AP471" i="2" s="1" a="1"/>
  <c r="AP471" i="2" s="1"/>
  <c r="AQ471" i="2" s="1" a="1"/>
  <c r="AQ471" i="2" s="1"/>
  <c r="AR471" i="2" s="1"/>
  <c r="AS471" i="2" s="1"/>
  <c r="AT471" i="2" s="1"/>
  <c r="AU471" i="2" s="1"/>
  <c r="AV471" i="2" s="1"/>
  <c r="AW471" i="2" s="1"/>
  <c r="AX471" i="2" s="1"/>
  <c r="AY471" i="2" s="1"/>
  <c r="AC471" i="2"/>
  <c r="AK352" i="2" a="1"/>
  <c r="AK352" i="2" s="1"/>
  <c r="AL352" i="2" s="1" a="1"/>
  <c r="AL352" i="2" s="1"/>
  <c r="AM352" i="2" s="1" a="1"/>
  <c r="AM352" i="2" s="1"/>
  <c r="AN352" i="2" s="1" a="1"/>
  <c r="AN352" i="2" s="1"/>
  <c r="AO352" i="2" s="1" a="1"/>
  <c r="AO352" i="2" s="1"/>
  <c r="AP352" i="2" s="1" a="1"/>
  <c r="AP352" i="2" s="1"/>
  <c r="AQ352" i="2" s="1" a="1"/>
  <c r="AQ352" i="2" s="1"/>
  <c r="AR352" i="2" s="1"/>
  <c r="AS352" i="2" s="1"/>
  <c r="AT352" i="2" s="1"/>
  <c r="AU352" i="2" s="1"/>
  <c r="AV352" i="2" s="1"/>
  <c r="AW352" i="2" s="1"/>
  <c r="AX352" i="2" s="1"/>
  <c r="AY352" i="2" s="1"/>
  <c r="AC352" i="2"/>
  <c r="AK262" i="2" a="1"/>
  <c r="AK262" i="2" s="1"/>
  <c r="AL262" i="2" s="1" a="1"/>
  <c r="AL262" i="2" s="1"/>
  <c r="AM262" i="2" s="1" a="1"/>
  <c r="AM262" i="2" s="1"/>
  <c r="AN262" i="2" s="1" a="1"/>
  <c r="AN262" i="2" s="1"/>
  <c r="AO262" i="2" s="1" a="1"/>
  <c r="AO262" i="2" s="1"/>
  <c r="AP262" i="2" s="1" a="1"/>
  <c r="AP262" i="2" s="1"/>
  <c r="AQ262" i="2" s="1" a="1"/>
  <c r="AQ262" i="2" s="1"/>
  <c r="AR262" i="2" s="1"/>
  <c r="AS262" i="2" s="1"/>
  <c r="AT262" i="2" s="1"/>
  <c r="AU262" i="2" s="1"/>
  <c r="AV262" i="2" s="1"/>
  <c r="AW262" i="2" s="1"/>
  <c r="AX262" i="2" s="1"/>
  <c r="AY262" i="2" s="1"/>
  <c r="AC262" i="2"/>
  <c r="AK167" i="2" a="1"/>
  <c r="AK167" i="2" s="1"/>
  <c r="AL167" i="2" s="1" a="1"/>
  <c r="AL167" i="2" s="1"/>
  <c r="AM167" i="2" s="1" a="1"/>
  <c r="AM167" i="2" s="1"/>
  <c r="AN167" i="2" s="1" a="1"/>
  <c r="AN167" i="2" s="1"/>
  <c r="AO167" i="2" s="1" a="1"/>
  <c r="AO167" i="2" s="1"/>
  <c r="AP167" i="2" s="1" a="1"/>
  <c r="AP167" i="2" s="1"/>
  <c r="AQ167" i="2" s="1" a="1"/>
  <c r="AQ167" i="2" s="1"/>
  <c r="AR167" i="2" s="1"/>
  <c r="AS167" i="2" s="1"/>
  <c r="AT167" i="2" s="1"/>
  <c r="AU167" i="2" s="1"/>
  <c r="AV167" i="2" s="1"/>
  <c r="AW167" i="2" s="1"/>
  <c r="AX167" i="2" s="1"/>
  <c r="AY167" i="2" s="1"/>
  <c r="AC167" i="2"/>
  <c r="AK502" i="2" a="1"/>
  <c r="AK502" i="2" s="1"/>
  <c r="AL502" i="2" s="1" a="1"/>
  <c r="AL502" i="2" s="1"/>
  <c r="AM502" i="2" s="1" a="1"/>
  <c r="AM502" i="2" s="1"/>
  <c r="AN502" i="2" s="1" a="1"/>
  <c r="AN502" i="2" s="1"/>
  <c r="AO502" i="2" s="1" a="1"/>
  <c r="AO502" i="2" s="1"/>
  <c r="AP502" i="2" s="1" a="1"/>
  <c r="AP502" i="2" s="1"/>
  <c r="AQ502" i="2" s="1" a="1"/>
  <c r="AQ502" i="2" s="1"/>
  <c r="AR502" i="2" s="1"/>
  <c r="AS502" i="2" s="1"/>
  <c r="AT502" i="2" s="1"/>
  <c r="AU502" i="2" s="1"/>
  <c r="AV502" i="2" s="1"/>
  <c r="AW502" i="2" s="1"/>
  <c r="AX502" i="2" s="1"/>
  <c r="AY502" i="2" s="1"/>
  <c r="AC502" i="2"/>
  <c r="AK384" i="2" a="1"/>
  <c r="AK384" i="2" s="1"/>
  <c r="AL384" i="2" s="1" a="1"/>
  <c r="AL384" i="2" s="1"/>
  <c r="AM384" i="2" s="1" a="1"/>
  <c r="AM384" i="2" s="1"/>
  <c r="AN384" i="2" s="1" a="1"/>
  <c r="AN384" i="2" s="1"/>
  <c r="AO384" i="2" s="1" a="1"/>
  <c r="AO384" i="2" s="1"/>
  <c r="AP384" i="2" s="1" a="1"/>
  <c r="AP384" i="2" s="1"/>
  <c r="AQ384" i="2" s="1" a="1"/>
  <c r="AQ384" i="2" s="1"/>
  <c r="AR384" i="2" s="1"/>
  <c r="AS384" i="2" s="1"/>
  <c r="AT384" i="2" s="1"/>
  <c r="AU384" i="2" s="1"/>
  <c r="AV384" i="2" s="1"/>
  <c r="AW384" i="2" s="1"/>
  <c r="AX384" i="2" s="1"/>
  <c r="AY384" i="2" s="1"/>
  <c r="AC384" i="2"/>
  <c r="AK290" i="2" a="1"/>
  <c r="AK290" i="2" s="1"/>
  <c r="AL290" i="2" s="1" a="1"/>
  <c r="AL290" i="2" s="1"/>
  <c r="AM290" i="2" s="1" a="1"/>
  <c r="AM290" i="2" s="1"/>
  <c r="AN290" i="2" s="1" a="1"/>
  <c r="AN290" i="2" s="1"/>
  <c r="AO290" i="2" s="1" a="1"/>
  <c r="AO290" i="2" s="1"/>
  <c r="AP290" i="2" s="1" a="1"/>
  <c r="AP290" i="2" s="1"/>
  <c r="AQ290" i="2" s="1" a="1"/>
  <c r="AQ290" i="2" s="1"/>
  <c r="AR290" i="2" s="1"/>
  <c r="AS290" i="2" s="1"/>
  <c r="AT290" i="2" s="1"/>
  <c r="AU290" i="2" s="1"/>
  <c r="AV290" i="2" s="1"/>
  <c r="AW290" i="2" s="1"/>
  <c r="AX290" i="2" s="1"/>
  <c r="AY290" i="2" s="1"/>
  <c r="AC290" i="2"/>
  <c r="AK206" i="2" a="1"/>
  <c r="AK206" i="2" s="1"/>
  <c r="AL206" i="2" s="1" a="1"/>
  <c r="AL206" i="2" s="1"/>
  <c r="AM206" i="2" s="1" a="1"/>
  <c r="AM206" i="2" s="1"/>
  <c r="AN206" i="2" s="1" a="1"/>
  <c r="AN206" i="2" s="1"/>
  <c r="AO206" i="2" s="1" a="1"/>
  <c r="AO206" i="2" s="1"/>
  <c r="AP206" i="2" s="1" a="1"/>
  <c r="AP206" i="2" s="1"/>
  <c r="AQ206" i="2" s="1" a="1"/>
  <c r="AQ206" i="2" s="1"/>
  <c r="AR206" i="2" s="1"/>
  <c r="AS206" i="2" s="1"/>
  <c r="AT206" i="2" s="1"/>
  <c r="AU206" i="2" s="1"/>
  <c r="AV206" i="2" s="1"/>
  <c r="AW206" i="2" s="1"/>
  <c r="AX206" i="2" s="1"/>
  <c r="AY206" i="2" s="1"/>
  <c r="AC206" i="2"/>
  <c r="AK503" i="2" a="1"/>
  <c r="AK503" i="2" s="1"/>
  <c r="AL503" i="2" s="1" a="1"/>
  <c r="AL503" i="2" s="1"/>
  <c r="AM503" i="2" s="1" a="1"/>
  <c r="AM503" i="2" s="1"/>
  <c r="AN503" i="2" s="1" a="1"/>
  <c r="AN503" i="2" s="1"/>
  <c r="AO503" i="2" s="1" a="1"/>
  <c r="AO503" i="2" s="1"/>
  <c r="AP503" i="2" s="1" a="1"/>
  <c r="AP503" i="2" s="1"/>
  <c r="AQ503" i="2" s="1" a="1"/>
  <c r="AQ503" i="2" s="1"/>
  <c r="AR503" i="2" s="1"/>
  <c r="AS503" i="2" s="1"/>
  <c r="AT503" i="2" s="1"/>
  <c r="AU503" i="2" s="1"/>
  <c r="AV503" i="2" s="1"/>
  <c r="AW503" i="2" s="1"/>
  <c r="AX503" i="2" s="1"/>
  <c r="AY503" i="2" s="1"/>
  <c r="AC503" i="2"/>
  <c r="AK385" i="2" a="1"/>
  <c r="AK385" i="2" s="1"/>
  <c r="AL385" i="2" s="1" a="1"/>
  <c r="AL385" i="2" s="1"/>
  <c r="AM385" i="2" s="1" a="1"/>
  <c r="AM385" i="2" s="1"/>
  <c r="AN385" i="2" s="1" a="1"/>
  <c r="AN385" i="2" s="1"/>
  <c r="AO385" i="2" s="1" a="1"/>
  <c r="AO385" i="2" s="1"/>
  <c r="AP385" i="2" s="1" a="1"/>
  <c r="AP385" i="2" s="1"/>
  <c r="AQ385" i="2" s="1" a="1"/>
  <c r="AQ385" i="2" s="1"/>
  <c r="AR385" i="2" s="1"/>
  <c r="AS385" i="2" s="1"/>
  <c r="AT385" i="2" s="1"/>
  <c r="AU385" i="2" s="1"/>
  <c r="AV385" i="2" s="1"/>
  <c r="AW385" i="2" s="1"/>
  <c r="AX385" i="2" s="1"/>
  <c r="AY385" i="2" s="1"/>
  <c r="AC385" i="2"/>
  <c r="AK291" i="2" a="1"/>
  <c r="AK291" i="2" s="1"/>
  <c r="AL291" i="2" s="1" a="1"/>
  <c r="AL291" i="2" s="1"/>
  <c r="AM291" i="2" s="1" a="1"/>
  <c r="AM291" i="2" s="1"/>
  <c r="AN291" i="2" s="1" a="1"/>
  <c r="AN291" i="2" s="1"/>
  <c r="AO291" i="2" s="1" a="1"/>
  <c r="AO291" i="2" s="1"/>
  <c r="AP291" i="2" s="1" a="1"/>
  <c r="AP291" i="2" s="1"/>
  <c r="AQ291" i="2" s="1" a="1"/>
  <c r="AQ291" i="2" s="1"/>
  <c r="AR291" i="2" s="1"/>
  <c r="AS291" i="2" s="1"/>
  <c r="AT291" i="2" s="1"/>
  <c r="AU291" i="2" s="1"/>
  <c r="AV291" i="2" s="1"/>
  <c r="AW291" i="2" s="1"/>
  <c r="AX291" i="2" s="1"/>
  <c r="AY291" i="2" s="1"/>
  <c r="AC291" i="2"/>
  <c r="AK177" i="2" a="1"/>
  <c r="AK177" i="2" s="1"/>
  <c r="AL177" i="2" s="1" a="1"/>
  <c r="AL177" i="2" s="1"/>
  <c r="AM177" i="2" s="1" a="1"/>
  <c r="AM177" i="2" s="1"/>
  <c r="AN177" i="2" s="1" a="1"/>
  <c r="AN177" i="2" s="1"/>
  <c r="AO177" i="2" s="1" a="1"/>
  <c r="AO177" i="2" s="1"/>
  <c r="AP177" i="2" s="1" a="1"/>
  <c r="AP177" i="2" s="1"/>
  <c r="AQ177" i="2" s="1" a="1"/>
  <c r="AQ177" i="2" s="1"/>
  <c r="AR177" i="2" s="1"/>
  <c r="AS177" i="2" s="1"/>
  <c r="AT177" i="2" s="1"/>
  <c r="AU177" i="2" s="1"/>
  <c r="AV177" i="2" s="1"/>
  <c r="AW177" i="2" s="1"/>
  <c r="AX177" i="2" s="1"/>
  <c r="AY177" i="2" s="1"/>
  <c r="AC177" i="2"/>
  <c r="AC160" i="2" l="1"/>
  <c r="AC147" i="2"/>
  <c r="AK147" i="2" a="1"/>
  <c r="AK147" i="2" s="1"/>
  <c r="AL147" i="2" s="1" a="1"/>
  <c r="AL147" i="2" s="1"/>
  <c r="AM147" i="2" s="1" a="1"/>
  <c r="AM147" i="2" s="1"/>
  <c r="AN147" i="2" s="1" a="1"/>
  <c r="AN147" i="2" s="1"/>
  <c r="AO147" i="2" s="1" a="1"/>
  <c r="AO147" i="2" s="1"/>
  <c r="AP147" i="2" s="1" a="1"/>
  <c r="AP147" i="2" s="1"/>
  <c r="AQ147" i="2" s="1" a="1"/>
  <c r="AQ147" i="2" s="1"/>
  <c r="AR147" i="2" s="1"/>
  <c r="AS147" i="2" s="1"/>
  <c r="AT147" i="2" s="1"/>
  <c r="AU147" i="2" s="1"/>
  <c r="AV147" i="2" s="1"/>
  <c r="AW147" i="2" s="1"/>
  <c r="AX147" i="2" s="1"/>
  <c r="AY147" i="2" s="1"/>
  <c r="AC148" i="2"/>
  <c r="AC150" i="2"/>
  <c r="AC149" i="2"/>
  <c r="AC151" i="2"/>
  <c r="AC154" i="2"/>
  <c r="AC153" i="2"/>
  <c r="AC152" i="2"/>
  <c r="AC215" i="2"/>
  <c r="AK148" i="2" a="1"/>
  <c r="AK148" i="2" s="1"/>
  <c r="AL148" i="2" s="1" a="1"/>
  <c r="AL148" i="2" s="1"/>
  <c r="AM148" i="2" s="1" a="1"/>
  <c r="AM148" i="2" s="1"/>
  <c r="AN148" i="2" s="1" a="1"/>
  <c r="AN148" i="2" s="1"/>
  <c r="AO148" i="2" s="1" a="1"/>
  <c r="AO148" i="2" s="1"/>
  <c r="AP148" i="2" s="1" a="1"/>
  <c r="AP148" i="2" s="1"/>
  <c r="AQ148" i="2" s="1" a="1"/>
  <c r="AQ148" i="2" s="1"/>
  <c r="AR148" i="2" s="1"/>
  <c r="AS148" i="2" s="1"/>
  <c r="AT148" i="2" s="1"/>
  <c r="AU148" i="2" s="1"/>
  <c r="AV148" i="2" s="1"/>
  <c r="AW148" i="2" s="1"/>
  <c r="AX148" i="2" s="1"/>
  <c r="AY148" i="2" s="1"/>
  <c r="AK150" i="2" a="1"/>
  <c r="AK150" i="2" s="1"/>
  <c r="AL150" i="2" s="1" a="1"/>
  <c r="AL150" i="2" s="1"/>
  <c r="AM150" i="2" s="1" a="1"/>
  <c r="AM150" i="2" s="1"/>
  <c r="AN150" i="2" s="1" a="1"/>
  <c r="AN150" i="2" s="1"/>
  <c r="AO150" i="2" s="1" a="1"/>
  <c r="AO150" i="2" s="1"/>
  <c r="AP150" i="2" s="1" a="1"/>
  <c r="AP150" i="2" s="1"/>
  <c r="AQ150" i="2" s="1" a="1"/>
  <c r="AQ150" i="2" s="1"/>
  <c r="AR150" i="2" s="1"/>
  <c r="AS150" i="2" s="1"/>
  <c r="AT150" i="2" s="1"/>
  <c r="AU150" i="2" s="1"/>
  <c r="AV150" i="2" s="1"/>
  <c r="AW150" i="2" s="1"/>
  <c r="AX150" i="2" s="1"/>
  <c r="AY150" i="2" s="1"/>
  <c r="AK149" i="2" a="1"/>
  <c r="AK149" i="2" s="1"/>
  <c r="AL149" i="2" s="1" a="1"/>
  <c r="AL149" i="2" s="1"/>
  <c r="AM149" i="2" s="1" a="1"/>
  <c r="AM149" i="2" s="1"/>
  <c r="AN149" i="2" s="1" a="1"/>
  <c r="AN149" i="2" s="1"/>
  <c r="AO149" i="2" s="1" a="1"/>
  <c r="AO149" i="2" s="1"/>
  <c r="AP149" i="2" s="1" a="1"/>
  <c r="AP149" i="2" s="1"/>
  <c r="AQ149" i="2" s="1" a="1"/>
  <c r="AQ149" i="2" s="1"/>
  <c r="AR149" i="2" s="1"/>
  <c r="AS149" i="2" s="1"/>
  <c r="AT149" i="2" s="1"/>
  <c r="AU149" i="2" s="1"/>
  <c r="AV149" i="2" s="1"/>
  <c r="AW149" i="2" s="1"/>
  <c r="AX149" i="2" s="1"/>
  <c r="AY149" i="2" s="1"/>
  <c r="AK151" i="2" a="1"/>
  <c r="AK151" i="2" s="1"/>
  <c r="AL151" i="2" s="1" a="1"/>
  <c r="AL151" i="2" s="1"/>
  <c r="AM151" i="2" s="1" a="1"/>
  <c r="AM151" i="2" s="1"/>
  <c r="AN151" i="2" s="1" a="1"/>
  <c r="AN151" i="2" s="1"/>
  <c r="AO151" i="2" s="1" a="1"/>
  <c r="AO151" i="2" s="1"/>
  <c r="AP151" i="2" s="1" a="1"/>
  <c r="AP151" i="2" s="1"/>
  <c r="AQ151" i="2" s="1" a="1"/>
  <c r="AQ151" i="2" s="1"/>
  <c r="AR151" i="2" s="1"/>
  <c r="AS151" i="2" s="1"/>
  <c r="AT151" i="2" s="1"/>
  <c r="AU151" i="2" s="1"/>
  <c r="AV151" i="2" s="1"/>
  <c r="AW151" i="2" s="1"/>
  <c r="AX151" i="2" s="1"/>
  <c r="AY151" i="2" s="1"/>
  <c r="AK154" i="2" a="1"/>
  <c r="AK154" i="2" s="1"/>
  <c r="AL154" i="2" s="1" a="1"/>
  <c r="AL154" i="2" s="1"/>
  <c r="AM154" i="2" s="1" a="1"/>
  <c r="AM154" i="2" s="1"/>
  <c r="AN154" i="2" s="1" a="1"/>
  <c r="AN154" i="2" s="1"/>
  <c r="AO154" i="2" s="1" a="1"/>
  <c r="AO154" i="2" s="1"/>
  <c r="AP154" i="2" s="1" a="1"/>
  <c r="AP154" i="2" s="1"/>
  <c r="AQ154" i="2" s="1" a="1"/>
  <c r="AQ154" i="2" s="1"/>
  <c r="AR154" i="2" s="1"/>
  <c r="AS154" i="2" s="1"/>
  <c r="AT154" i="2" s="1"/>
  <c r="AU154" i="2" s="1"/>
  <c r="AV154" i="2" s="1"/>
  <c r="AW154" i="2" s="1"/>
  <c r="AX154" i="2" s="1"/>
  <c r="AY154" i="2" s="1"/>
  <c r="AK153" i="2" a="1"/>
  <c r="AK153" i="2" s="1"/>
  <c r="AL153" i="2" s="1" a="1"/>
  <c r="AL153" i="2" s="1"/>
  <c r="AM153" i="2" s="1" a="1"/>
  <c r="AM153" i="2" s="1"/>
  <c r="AN153" i="2" s="1" a="1"/>
  <c r="AN153" i="2" s="1"/>
  <c r="AO153" i="2" s="1" a="1"/>
  <c r="AO153" i="2" s="1"/>
  <c r="AP153" i="2" s="1" a="1"/>
  <c r="AP153" i="2" s="1"/>
  <c r="AQ153" i="2" s="1" a="1"/>
  <c r="AQ153" i="2" s="1"/>
  <c r="AR153" i="2" s="1"/>
  <c r="AS153" i="2" s="1"/>
  <c r="AT153" i="2" s="1"/>
  <c r="AU153" i="2" s="1"/>
  <c r="AV153" i="2" s="1"/>
  <c r="AW153" i="2" s="1"/>
  <c r="AX153" i="2" s="1"/>
  <c r="AY153" i="2" s="1"/>
  <c r="AK152" i="2" a="1"/>
  <c r="AK152" i="2" s="1"/>
  <c r="AL152" i="2" s="1" a="1"/>
  <c r="AL152" i="2" s="1"/>
  <c r="AM152" i="2" s="1" a="1"/>
  <c r="AM152" i="2" s="1"/>
  <c r="AN152" i="2" s="1" a="1"/>
  <c r="AN152" i="2" s="1"/>
  <c r="AO152" i="2" s="1" a="1"/>
  <c r="AO152" i="2" s="1"/>
  <c r="AP152" i="2" s="1" a="1"/>
  <c r="AP152" i="2" s="1"/>
  <c r="AQ152" i="2" s="1" a="1"/>
  <c r="AQ152" i="2" s="1"/>
  <c r="AR152" i="2" s="1"/>
  <c r="AS152" i="2" s="1"/>
  <c r="AT152" i="2" s="1"/>
  <c r="AU152" i="2" s="1"/>
  <c r="AV152" i="2" s="1"/>
  <c r="AW152" i="2" s="1"/>
  <c r="AX152" i="2" s="1"/>
  <c r="AY152" i="2" s="1"/>
  <c r="AK215" i="2" a="1"/>
  <c r="AK215" i="2" s="1"/>
  <c r="AL215" i="2" s="1" a="1"/>
  <c r="AL215" i="2" s="1"/>
  <c r="AM215" i="2" s="1" a="1"/>
  <c r="AM215" i="2" s="1"/>
  <c r="AN215" i="2" s="1" a="1"/>
  <c r="AN215" i="2" s="1"/>
  <c r="AO215" i="2" s="1" a="1"/>
  <c r="AO215" i="2" s="1"/>
  <c r="AP215" i="2" s="1" a="1"/>
  <c r="AP215" i="2" s="1"/>
  <c r="AQ215" i="2" s="1" a="1"/>
  <c r="AQ215" i="2" s="1"/>
  <c r="AR215" i="2" s="1"/>
  <c r="AS215" i="2" s="1"/>
  <c r="AT215" i="2" s="1"/>
  <c r="AU215" i="2" s="1"/>
  <c r="AV215" i="2" s="1"/>
  <c r="AW215" i="2" s="1"/>
  <c r="AX215" i="2" s="1"/>
  <c r="AY215" i="2" s="1"/>
  <c r="D5" i="3"/>
  <c r="D17" i="3"/>
  <c r="D24" i="3"/>
  <c r="D35" i="3"/>
  <c r="D66" i="3"/>
  <c r="D79" i="3"/>
  <c r="D92" i="3"/>
  <c r="D97" i="3"/>
  <c r="D102" i="3"/>
  <c r="D107" i="3"/>
  <c r="D110" i="3"/>
  <c r="D209" i="3"/>
  <c r="D252" i="3"/>
  <c r="D257" i="3"/>
  <c r="D259" i="3"/>
  <c r="D267" i="3"/>
  <c r="D278" i="3"/>
  <c r="D282" i="3"/>
  <c r="D324" i="3"/>
  <c r="D329" i="3"/>
  <c r="D342" i="3"/>
  <c r="D350" i="3"/>
  <c r="D354" i="3"/>
  <c r="D359" i="3"/>
  <c r="D364" i="3"/>
  <c r="D367" i="3"/>
  <c r="D374" i="3"/>
  <c r="D379" i="3"/>
  <c r="D386" i="3"/>
  <c r="D391" i="3"/>
  <c r="D402" i="3"/>
  <c r="D406" i="3"/>
  <c r="D412" i="3"/>
  <c r="D417" i="3"/>
  <c r="D433" i="3"/>
  <c r="D443" i="3"/>
  <c r="D448" i="3"/>
  <c r="D461" i="3"/>
  <c r="D468" i="3"/>
  <c r="D475" i="3"/>
  <c r="D478" i="3"/>
  <c r="D509" i="3"/>
  <c r="D520" i="3"/>
  <c r="D531" i="3"/>
  <c r="D536" i="3"/>
  <c r="D541" i="3"/>
  <c r="D558" i="3"/>
  <c r="D567" i="3"/>
  <c r="D572" i="3"/>
  <c r="D597" i="3"/>
  <c r="D602" i="3"/>
  <c r="D609" i="3"/>
  <c r="D630" i="3"/>
  <c r="D4" i="3" l="1"/>
  <c r="D16" i="3"/>
  <c r="D3" i="3" l="1"/>
  <c r="D265" i="3"/>
  <c r="D266" i="3"/>
  <c r="D385" i="3"/>
  <c r="D363" i="3"/>
  <c r="D34" i="3"/>
  <c r="D411" i="3"/>
  <c r="D416" i="3"/>
  <c r="D601" i="3"/>
  <c r="D378" i="3"/>
  <c r="D390" i="3"/>
  <c r="D277" i="3"/>
  <c r="D467" i="3"/>
  <c r="D629" i="3"/>
  <c r="D540" i="3"/>
  <c r="D96" i="3"/>
  <c r="D348" i="3"/>
  <c r="D596" i="3"/>
  <c r="D519" i="3"/>
  <c r="D508" i="3"/>
  <c r="D101" i="3"/>
  <c r="D106" i="3"/>
  <c r="D474" i="3"/>
  <c r="D608" i="3"/>
  <c r="D442" i="3"/>
  <c r="D10" i="3"/>
  <c r="D91" i="3"/>
  <c r="D328" i="3"/>
  <c r="D447" i="3"/>
  <c r="D404" i="3"/>
  <c r="D345" i="3"/>
  <c r="D381" i="3"/>
  <c r="D445" i="3"/>
  <c r="D463" i="3"/>
  <c r="D604" i="3"/>
  <c r="D407" i="3"/>
  <c r="D560" i="3"/>
  <c r="D383" i="3"/>
  <c r="D361" i="3"/>
  <c r="D32" i="3"/>
  <c r="D452" i="3"/>
  <c r="D409" i="3"/>
  <c r="D414" i="3"/>
  <c r="D599" i="3"/>
  <c r="D376" i="3"/>
  <c r="D388" i="3"/>
  <c r="D275" i="3"/>
  <c r="D465" i="3"/>
  <c r="D627" i="3"/>
  <c r="D94" i="3"/>
  <c r="D538" i="3"/>
  <c r="D346" i="3"/>
  <c r="D594" i="3"/>
  <c r="D517" i="3"/>
  <c r="D506" i="3"/>
  <c r="D99" i="3"/>
  <c r="D104" i="3"/>
  <c r="D606" i="3"/>
  <c r="D472" i="3"/>
  <c r="D440" i="3"/>
  <c r="D326" i="3"/>
  <c r="D7" i="3"/>
  <c r="D269" i="3"/>
  <c r="D454" i="3"/>
  <c r="D89" i="3"/>
  <c r="D264" i="3"/>
  <c r="D114" i="3"/>
  <c r="D112" i="3"/>
  <c r="D124" i="3"/>
  <c r="D144" i="3"/>
  <c r="D118" i="3"/>
  <c r="D122" i="3"/>
  <c r="D116" i="3"/>
  <c r="D126" i="3"/>
  <c r="D128" i="3"/>
  <c r="D130" i="3"/>
  <c r="D132" i="3"/>
  <c r="D134" i="3"/>
  <c r="D136" i="3"/>
  <c r="D138" i="3"/>
  <c r="D120" i="3"/>
  <c r="D140" i="3"/>
  <c r="D142" i="3"/>
  <c r="D249" i="3"/>
  <c r="D74" i="3"/>
  <c r="D429" i="3"/>
  <c r="D11" i="3"/>
  <c r="D419" i="3"/>
  <c r="D76" i="3"/>
  <c r="D280" i="3"/>
  <c r="D21" i="3"/>
  <c r="D13" i="3"/>
  <c r="D431" i="3"/>
  <c r="D504" i="3"/>
  <c r="D243" i="3"/>
  <c r="D450" i="3"/>
  <c r="D70" i="3"/>
  <c r="D397" i="3"/>
  <c r="D287" i="3"/>
  <c r="D28" i="3"/>
  <c r="D369" i="3"/>
  <c r="D482" i="3"/>
  <c r="D297" i="3"/>
  <c r="D399" i="3"/>
  <c r="D515" i="3"/>
  <c r="D273" i="3"/>
  <c r="D271" i="3"/>
  <c r="D619" i="3"/>
  <c r="D261" i="3"/>
  <c r="D553" i="3"/>
  <c r="D425" i="3"/>
  <c r="D423" i="3"/>
  <c r="D421" i="3"/>
  <c r="D335" i="3"/>
  <c r="D333" i="3"/>
  <c r="D331" i="3"/>
  <c r="D295" i="3"/>
  <c r="D293" i="3"/>
  <c r="D291" i="3"/>
  <c r="D87" i="3"/>
  <c r="D85" i="3"/>
  <c r="D83" i="3"/>
  <c r="D393" i="3"/>
  <c r="D625" i="3"/>
  <c r="D623" i="3"/>
  <c r="D621" i="3"/>
  <c r="D526" i="3"/>
  <c r="D524" i="3"/>
  <c r="D522" i="3"/>
  <c r="D547" i="3"/>
  <c r="D545" i="3"/>
  <c r="D543" i="3"/>
  <c r="D146" i="3"/>
  <c r="D150" i="3"/>
  <c r="D148" i="3"/>
  <c r="D154" i="3"/>
  <c r="D152" i="3"/>
  <c r="D158" i="3"/>
  <c r="D156" i="3"/>
  <c r="D162" i="3"/>
  <c r="D160" i="3"/>
  <c r="D371" i="3"/>
  <c r="D513" i="3"/>
  <c r="D300" i="3"/>
  <c r="D562" i="3"/>
  <c r="D490" i="3"/>
  <c r="D488" i="3"/>
  <c r="D611" i="3"/>
  <c r="D491" i="3"/>
  <c r="D492" i="3"/>
  <c r="D493" i="3"/>
  <c r="D494" i="3"/>
  <c r="D456" i="3"/>
  <c r="D495" i="3"/>
  <c r="D496" i="3"/>
  <c r="D612" i="3"/>
  <c r="D337" i="3"/>
  <c r="D480" i="3"/>
  <c r="D511" i="3"/>
  <c r="D427" i="3"/>
  <c r="D339" i="3"/>
  <c r="D254" i="3"/>
  <c r="D356" i="3"/>
  <c r="D351" i="3"/>
  <c r="D533" i="3"/>
  <c r="D564" i="3"/>
  <c r="D477" i="3"/>
  <c r="D341" i="3"/>
  <c r="D256" i="3"/>
  <c r="D358" i="3"/>
  <c r="D353" i="3"/>
  <c r="D535" i="3"/>
  <c r="D557" i="3"/>
  <c r="D530" i="3"/>
  <c r="D566" i="3"/>
  <c r="D438" i="3"/>
  <c r="D68" i="3"/>
  <c r="D555" i="3"/>
  <c r="D528" i="3"/>
  <c r="D486" i="3"/>
  <c r="D484" i="3"/>
  <c r="D231" i="3"/>
  <c r="D55" i="3"/>
  <c r="D190" i="3"/>
  <c r="D313" i="3"/>
  <c r="D192" i="3"/>
  <c r="D233" i="3"/>
  <c r="D57" i="3"/>
  <c r="D194" i="3"/>
  <c r="D315" i="3"/>
  <c r="D229" i="3"/>
  <c r="D53" i="3"/>
  <c r="D188" i="3"/>
  <c r="D317" i="3"/>
  <c r="D196" i="3"/>
  <c r="D235" i="3"/>
  <c r="D59" i="3"/>
  <c r="D198" i="3"/>
  <c r="D319" i="3"/>
  <c r="D237" i="3"/>
  <c r="D61" i="3"/>
  <c r="D200" i="3"/>
  <c r="D321" i="3"/>
  <c r="D239" i="3"/>
  <c r="D241" i="3"/>
  <c r="D202" i="3"/>
  <c r="D63" i="3"/>
  <c r="D204" i="3"/>
  <c r="D206" i="3"/>
  <c r="D215" i="3"/>
  <c r="D39" i="3"/>
  <c r="D166" i="3"/>
  <c r="D303" i="3"/>
  <c r="D217" i="3"/>
  <c r="D41" i="3"/>
  <c r="D168" i="3"/>
  <c r="D305" i="3"/>
  <c r="D213" i="3"/>
  <c r="D37" i="3"/>
  <c r="D164" i="3"/>
  <c r="D301" i="3"/>
  <c r="D170" i="3"/>
  <c r="D219" i="3"/>
  <c r="D43" i="3"/>
  <c r="D172" i="3"/>
  <c r="D221" i="3"/>
  <c r="D45" i="3"/>
  <c r="D174" i="3"/>
  <c r="D307" i="3"/>
  <c r="D176" i="3"/>
  <c r="D223" i="3"/>
  <c r="D178" i="3"/>
  <c r="D47" i="3"/>
  <c r="D180" i="3"/>
  <c r="D182" i="3"/>
  <c r="D569" i="3"/>
  <c r="D81" i="3"/>
  <c r="D285" i="3"/>
  <c r="D26" i="3"/>
  <c r="D19" i="3"/>
  <c r="D30" i="3"/>
  <c r="D211" i="3"/>
  <c r="D289" i="3"/>
  <c r="D72" i="3"/>
  <c r="D470" i="3"/>
  <c r="D436" i="3"/>
  <c r="D395" i="3"/>
  <c r="D245" i="3"/>
  <c r="D186" i="3"/>
  <c r="D184" i="3"/>
  <c r="D51" i="3"/>
  <c r="D49" i="3"/>
  <c r="D311" i="3"/>
  <c r="D309" i="3"/>
  <c r="D615" i="3"/>
  <c r="D617" i="3"/>
  <c r="D458" i="3"/>
  <c r="D551" i="3"/>
  <c r="D571" i="3"/>
  <c r="D247" i="3"/>
  <c r="D582" i="3"/>
  <c r="D578" i="3"/>
  <c r="D586" i="3"/>
  <c r="D580" i="3"/>
  <c r="D576" i="3"/>
  <c r="D588" i="3"/>
  <c r="D584" i="3"/>
  <c r="D574" i="3"/>
  <c r="D590" i="3"/>
  <c r="D592" i="3"/>
  <c r="D460" i="3"/>
  <c r="D251" i="3"/>
  <c r="D373" i="3"/>
  <c r="D15" i="3"/>
  <c r="D23" i="3"/>
  <c r="D109" i="3"/>
  <c r="D65" i="3"/>
  <c r="D78" i="3"/>
  <c r="D549" i="3"/>
  <c r="D228" i="3"/>
  <c r="D208" i="3"/>
  <c r="D284" i="3"/>
  <c r="D323" i="3"/>
  <c r="D366" i="3"/>
  <c r="D401" i="3"/>
  <c r="D435" i="3"/>
  <c r="D226" i="3"/>
  <c r="D6" i="3"/>
  <c r="D260" i="3"/>
  <c r="D268" i="3"/>
  <c r="D387" i="3"/>
  <c r="D365" i="3"/>
  <c r="D36" i="3"/>
  <c r="D413" i="3"/>
  <c r="D418" i="3"/>
  <c r="D603" i="3"/>
  <c r="D380" i="3"/>
  <c r="D392" i="3"/>
  <c r="D279" i="3"/>
  <c r="D469" i="3"/>
  <c r="D631" i="3"/>
  <c r="D542" i="3"/>
  <c r="D98" i="3"/>
  <c r="D349" i="3"/>
  <c r="D598" i="3"/>
  <c r="D521" i="3"/>
  <c r="D510" i="3"/>
  <c r="D103" i="3"/>
  <c r="D108" i="3"/>
  <c r="D476" i="3"/>
  <c r="D610" i="3"/>
  <c r="D444" i="3"/>
  <c r="D9" i="3"/>
  <c r="D93" i="3"/>
  <c r="D330" i="3"/>
  <c r="D449" i="3"/>
  <c r="D405" i="3"/>
  <c r="D344" i="3"/>
  <c r="D382" i="3"/>
  <c r="D446" i="3"/>
  <c r="D464" i="3"/>
  <c r="D605" i="3"/>
  <c r="D408" i="3"/>
  <c r="D561" i="3"/>
  <c r="D384" i="3"/>
  <c r="D362" i="3"/>
  <c r="D33" i="3"/>
  <c r="D453" i="3"/>
  <c r="D410" i="3"/>
  <c r="D415" i="3"/>
  <c r="D600" i="3"/>
  <c r="D377" i="3"/>
  <c r="D389" i="3"/>
  <c r="D276" i="3"/>
  <c r="D466" i="3"/>
  <c r="D628" i="3"/>
  <c r="D95" i="3"/>
  <c r="D539" i="3"/>
  <c r="D347" i="3"/>
  <c r="D595" i="3"/>
  <c r="D518" i="3"/>
  <c r="D507" i="3"/>
  <c r="D100" i="3"/>
  <c r="D105" i="3"/>
  <c r="D607" i="3"/>
  <c r="D473" i="3"/>
  <c r="D441" i="3"/>
  <c r="D327" i="3"/>
  <c r="D8" i="3"/>
  <c r="D270" i="3"/>
  <c r="D455" i="3"/>
  <c r="D90" i="3"/>
  <c r="D263" i="3"/>
  <c r="D115" i="3"/>
  <c r="D113" i="3"/>
  <c r="D125" i="3"/>
  <c r="D145" i="3"/>
  <c r="D119" i="3"/>
  <c r="D123" i="3"/>
  <c r="D117" i="3"/>
  <c r="D127" i="3"/>
  <c r="D129" i="3"/>
  <c r="D131" i="3"/>
  <c r="D133" i="3"/>
  <c r="D135" i="3"/>
  <c r="D137" i="3"/>
  <c r="D139" i="3"/>
  <c r="D121" i="3"/>
  <c r="D141" i="3"/>
  <c r="D143" i="3"/>
  <c r="D250" i="3"/>
  <c r="D75" i="3"/>
  <c r="D430" i="3"/>
  <c r="D12" i="3"/>
  <c r="D420" i="3"/>
  <c r="D77" i="3"/>
  <c r="D281" i="3"/>
  <c r="D22" i="3"/>
  <c r="D14" i="3"/>
  <c r="D432" i="3"/>
  <c r="D505" i="3"/>
  <c r="D244" i="3"/>
  <c r="D451" i="3"/>
  <c r="D71" i="3"/>
  <c r="D398" i="3"/>
  <c r="D288" i="3"/>
  <c r="D29" i="3"/>
  <c r="D370" i="3"/>
  <c r="D483" i="3"/>
  <c r="D298" i="3"/>
  <c r="D400" i="3"/>
  <c r="D516" i="3"/>
  <c r="D274" i="3"/>
  <c r="D272" i="3"/>
  <c r="D620" i="3"/>
  <c r="D262" i="3"/>
  <c r="D554" i="3"/>
  <c r="D426" i="3"/>
  <c r="D424" i="3"/>
  <c r="D422" i="3"/>
  <c r="D336" i="3"/>
  <c r="D334" i="3"/>
  <c r="D332" i="3"/>
  <c r="D296" i="3"/>
  <c r="D294" i="3"/>
  <c r="D292" i="3"/>
  <c r="D88" i="3"/>
  <c r="D86" i="3"/>
  <c r="D84" i="3"/>
  <c r="D394" i="3"/>
  <c r="D626" i="3"/>
  <c r="D624" i="3"/>
  <c r="D622" i="3"/>
  <c r="D527" i="3"/>
  <c r="D525" i="3"/>
  <c r="D523" i="3"/>
  <c r="D548" i="3"/>
  <c r="D546" i="3"/>
  <c r="D544" i="3"/>
  <c r="D147" i="3"/>
  <c r="D151" i="3"/>
  <c r="D149" i="3"/>
  <c r="D155" i="3"/>
  <c r="D153" i="3"/>
  <c r="D159" i="3"/>
  <c r="D157" i="3"/>
  <c r="D163" i="3"/>
  <c r="D161" i="3"/>
  <c r="D372" i="3"/>
  <c r="D514" i="3"/>
  <c r="D299" i="3"/>
  <c r="D563" i="3"/>
  <c r="D497" i="3"/>
  <c r="D489" i="3"/>
  <c r="D613" i="3"/>
  <c r="D498" i="3"/>
  <c r="D499" i="3"/>
  <c r="D500" i="3"/>
  <c r="D501" i="3"/>
  <c r="D457" i="3"/>
  <c r="D502" i="3"/>
  <c r="D503" i="3"/>
  <c r="D614" i="3"/>
  <c r="D338" i="3"/>
  <c r="D481" i="3"/>
  <c r="D512" i="3"/>
  <c r="D428" i="3"/>
  <c r="D340" i="3"/>
  <c r="D255" i="3"/>
  <c r="D357" i="3"/>
  <c r="D352" i="3"/>
  <c r="D534" i="3"/>
  <c r="D565" i="3"/>
  <c r="D479" i="3"/>
  <c r="D343" i="3"/>
  <c r="D258" i="3"/>
  <c r="D360" i="3"/>
  <c r="D355" i="3"/>
  <c r="D537" i="3"/>
  <c r="D559" i="3"/>
  <c r="D532" i="3"/>
  <c r="D568" i="3"/>
  <c r="D439" i="3"/>
  <c r="D69" i="3"/>
  <c r="D556" i="3"/>
  <c r="D529" i="3"/>
  <c r="D487" i="3"/>
  <c r="D485" i="3"/>
  <c r="D232" i="3"/>
  <c r="D56" i="3"/>
  <c r="D191" i="3"/>
  <c r="D314" i="3"/>
  <c r="D193" i="3"/>
  <c r="D234" i="3"/>
  <c r="D58" i="3"/>
  <c r="D195" i="3"/>
  <c r="D316" i="3"/>
  <c r="D230" i="3"/>
  <c r="D54" i="3"/>
  <c r="D189" i="3"/>
  <c r="D318" i="3"/>
  <c r="D197" i="3"/>
  <c r="D236" i="3"/>
  <c r="D60" i="3"/>
  <c r="D199" i="3"/>
  <c r="D320" i="3"/>
  <c r="D238" i="3"/>
  <c r="D62" i="3"/>
  <c r="D201" i="3"/>
  <c r="D322" i="3"/>
  <c r="D240" i="3"/>
  <c r="D242" i="3"/>
  <c r="D203" i="3"/>
  <c r="D64" i="3"/>
  <c r="D205" i="3"/>
  <c r="D207" i="3"/>
  <c r="D216" i="3"/>
  <c r="D40" i="3"/>
  <c r="D167" i="3"/>
  <c r="D304" i="3"/>
  <c r="D218" i="3"/>
  <c r="D42" i="3"/>
  <c r="D169" i="3"/>
  <c r="D306" i="3"/>
  <c r="D214" i="3"/>
  <c r="D38" i="3"/>
  <c r="D165" i="3"/>
  <c r="D302" i="3"/>
  <c r="D171" i="3"/>
  <c r="D220" i="3"/>
  <c r="D44" i="3"/>
  <c r="D173" i="3"/>
  <c r="D222" i="3"/>
  <c r="D46" i="3"/>
  <c r="D175" i="3"/>
  <c r="D308" i="3"/>
  <c r="D177" i="3"/>
  <c r="D224" i="3"/>
  <c r="D179" i="3"/>
  <c r="D48" i="3"/>
  <c r="D181" i="3"/>
  <c r="D183" i="3"/>
  <c r="D570" i="3"/>
  <c r="D82" i="3"/>
  <c r="D286" i="3"/>
  <c r="D27" i="3"/>
  <c r="D20" i="3"/>
  <c r="D31" i="3"/>
  <c r="D212" i="3"/>
  <c r="D290" i="3"/>
  <c r="D73" i="3"/>
  <c r="D471" i="3"/>
  <c r="D437" i="3"/>
  <c r="D396" i="3"/>
  <c r="D246" i="3"/>
  <c r="D187" i="3"/>
  <c r="D185" i="3"/>
  <c r="D52" i="3"/>
  <c r="D50" i="3"/>
  <c r="D312" i="3"/>
  <c r="D310" i="3"/>
  <c r="D616" i="3"/>
  <c r="D618" i="3"/>
  <c r="D459" i="3"/>
  <c r="D552" i="3"/>
  <c r="D573" i="3"/>
  <c r="D248" i="3"/>
  <c r="D583" i="3"/>
  <c r="D579" i="3"/>
  <c r="D587" i="3"/>
  <c r="D581" i="3"/>
  <c r="D577" i="3"/>
  <c r="D589" i="3"/>
  <c r="D585" i="3"/>
  <c r="D575" i="3"/>
  <c r="D591" i="3"/>
  <c r="D593" i="3"/>
  <c r="D462" i="3"/>
  <c r="D253" i="3"/>
  <c r="D375" i="3"/>
  <c r="D18" i="3"/>
  <c r="D25" i="3"/>
  <c r="D111" i="3"/>
  <c r="D67" i="3"/>
  <c r="D80" i="3"/>
  <c r="D550" i="3"/>
  <c r="D227" i="3"/>
  <c r="D210" i="3"/>
  <c r="D283" i="3"/>
  <c r="D325" i="3"/>
  <c r="D368" i="3"/>
  <c r="D403" i="3"/>
  <c r="D434" i="3"/>
  <c r="D225" i="3"/>
  <c r="AC530" i="2"/>
  <c r="AK52" i="2" l="1" a="1"/>
  <c r="AK52" i="2" s="1"/>
  <c r="AK103" i="2" a="1"/>
  <c r="AK103" i="2" s="1"/>
  <c r="AL103" i="2" s="1" a="1"/>
  <c r="AL103" i="2" s="1"/>
  <c r="AM103" i="2" s="1" a="1"/>
  <c r="AM103" i="2" s="1"/>
  <c r="AN103" i="2" s="1" a="1"/>
  <c r="AN103" i="2" s="1"/>
  <c r="AO103" i="2" s="1" a="1"/>
  <c r="AO103" i="2" s="1"/>
  <c r="AP103" i="2" s="1" a="1"/>
  <c r="AP103" i="2" s="1"/>
  <c r="AQ103" i="2" s="1" a="1"/>
  <c r="AQ103" i="2" s="1"/>
  <c r="AK102" i="2" a="1"/>
  <c r="AK102" i="2" s="1"/>
  <c r="AK104" i="2" a="1"/>
  <c r="AK104" i="2" s="1"/>
  <c r="AK123" i="2" a="1"/>
  <c r="AK123" i="2" s="1"/>
  <c r="AL123" i="2" s="1" a="1"/>
  <c r="AL123" i="2" s="1"/>
  <c r="AM123" i="2" s="1" a="1"/>
  <c r="AM123" i="2" s="1"/>
  <c r="AN123" i="2" s="1" a="1"/>
  <c r="AN123" i="2" s="1"/>
  <c r="AO123" i="2" s="1" a="1"/>
  <c r="AO123" i="2" s="1"/>
  <c r="AP123" i="2" s="1" a="1"/>
  <c r="AP123" i="2" s="1"/>
  <c r="AQ123" i="2" s="1" a="1"/>
  <c r="AQ123" i="2" s="1"/>
  <c r="AK122" i="2" a="1"/>
  <c r="AK122" i="2" s="1"/>
  <c r="AL122" i="2" s="1" a="1"/>
  <c r="AL122" i="2" s="1"/>
  <c r="AM122" i="2" s="1" a="1"/>
  <c r="AM122" i="2" s="1"/>
  <c r="AN122" i="2" s="1" a="1"/>
  <c r="AN122" i="2" s="1"/>
  <c r="AO122" i="2" s="1" a="1"/>
  <c r="AO122" i="2" s="1"/>
  <c r="AP122" i="2" s="1" a="1"/>
  <c r="AP122" i="2" s="1"/>
  <c r="AQ122" i="2" s="1" a="1"/>
  <c r="AQ122" i="2" s="1"/>
  <c r="AK251" i="2" a="1"/>
  <c r="AK251" i="2" s="1"/>
  <c r="AL251" i="2" s="1" a="1"/>
  <c r="AL251" i="2" s="1"/>
  <c r="AM251" i="2" s="1" a="1"/>
  <c r="AM251" i="2" s="1"/>
  <c r="AN251" i="2" s="1" a="1"/>
  <c r="AN251" i="2" s="1"/>
  <c r="AO251" i="2" s="1" a="1"/>
  <c r="AO251" i="2" s="1"/>
  <c r="AP251" i="2" s="1" a="1"/>
  <c r="AP251" i="2" s="1"/>
  <c r="AQ251" i="2" s="1" a="1"/>
  <c r="AQ251" i="2" s="1"/>
  <c r="AK341" i="2" a="1"/>
  <c r="AK341" i="2" s="1"/>
  <c r="AL341" i="2" s="1" a="1"/>
  <c r="AL341" i="2" s="1"/>
  <c r="AM341" i="2" s="1" a="1"/>
  <c r="AM341" i="2" s="1"/>
  <c r="AN341" i="2" s="1" a="1"/>
  <c r="AN341" i="2" s="1"/>
  <c r="AO341" i="2" s="1" a="1"/>
  <c r="AO341" i="2" s="1"/>
  <c r="AP341" i="2" s="1" a="1"/>
  <c r="AP341" i="2" s="1"/>
  <c r="AQ341" i="2" s="1" a="1"/>
  <c r="AQ341" i="2" s="1"/>
  <c r="AK458" i="2" a="1"/>
  <c r="AK458" i="2" s="1"/>
  <c r="AL458" i="2" s="1" a="1"/>
  <c r="AL458" i="2" s="1"/>
  <c r="AM458" i="2" s="1" a="1"/>
  <c r="AM458" i="2" s="1"/>
  <c r="AN458" i="2" s="1" a="1"/>
  <c r="AN458" i="2" s="1"/>
  <c r="AO458" i="2" s="1" a="1"/>
  <c r="AO458" i="2" s="1"/>
  <c r="AP458" i="2" s="1" a="1"/>
  <c r="AP458" i="2" s="1"/>
  <c r="AQ458" i="2" s="1" a="1"/>
  <c r="AQ458" i="2" s="1"/>
  <c r="AK254" i="2" a="1"/>
  <c r="AK254" i="2" s="1"/>
  <c r="AL254" i="2" s="1" a="1"/>
  <c r="AL254" i="2" s="1"/>
  <c r="AM254" i="2" s="1" a="1"/>
  <c r="AM254" i="2" s="1"/>
  <c r="AN254" i="2" s="1" a="1"/>
  <c r="AN254" i="2" s="1"/>
  <c r="AO254" i="2" s="1" a="1"/>
  <c r="AO254" i="2" s="1"/>
  <c r="AP254" i="2" s="1" a="1"/>
  <c r="AP254" i="2" s="1"/>
  <c r="AQ254" i="2" s="1" a="1"/>
  <c r="AQ254" i="2" s="1"/>
  <c r="AK344" i="2" a="1"/>
  <c r="AK344" i="2" s="1"/>
  <c r="AK461" i="2" a="1"/>
  <c r="AK461" i="2" s="1"/>
  <c r="AL461" i="2" s="1" a="1"/>
  <c r="AL461" i="2" s="1"/>
  <c r="AM461" i="2" s="1" a="1"/>
  <c r="AM461" i="2" s="1"/>
  <c r="AN461" i="2" s="1" a="1"/>
  <c r="AN461" i="2" s="1"/>
  <c r="AO461" i="2" s="1" a="1"/>
  <c r="AO461" i="2" s="1"/>
  <c r="AP461" i="2" s="1" a="1"/>
  <c r="AP461" i="2" s="1"/>
  <c r="AQ461" i="2" s="1" a="1"/>
  <c r="AQ461" i="2" s="1"/>
  <c r="AK269" i="2" a="1"/>
  <c r="AK269" i="2" s="1"/>
  <c r="AL269" i="2" s="1" a="1"/>
  <c r="AL269" i="2" s="1"/>
  <c r="AM269" i="2" s="1" a="1"/>
  <c r="AM269" i="2" s="1"/>
  <c r="AN269" i="2" s="1" a="1"/>
  <c r="AN269" i="2" s="1"/>
  <c r="AO269" i="2" s="1" a="1"/>
  <c r="AO269" i="2" s="1"/>
  <c r="AP269" i="2" s="1" a="1"/>
  <c r="AP269" i="2" s="1"/>
  <c r="AQ269" i="2" s="1" a="1"/>
  <c r="AQ269" i="2" s="1"/>
  <c r="AK359" i="2" a="1"/>
  <c r="AK359" i="2" s="1"/>
  <c r="AL359" i="2" s="1" a="1"/>
  <c r="AL359" i="2" s="1"/>
  <c r="AM359" i="2" s="1" a="1"/>
  <c r="AM359" i="2" s="1"/>
  <c r="AN359" i="2" s="1" a="1"/>
  <c r="AN359" i="2" s="1"/>
  <c r="AO359" i="2" s="1" a="1"/>
  <c r="AO359" i="2" s="1"/>
  <c r="AP359" i="2" s="1" a="1"/>
  <c r="AP359" i="2" s="1"/>
  <c r="AQ359" i="2" s="1" a="1"/>
  <c r="AQ359" i="2" s="1"/>
  <c r="AK478" i="2" a="1"/>
  <c r="AK478" i="2" s="1"/>
  <c r="AL478" i="2" s="1" a="1"/>
  <c r="AL478" i="2" s="1"/>
  <c r="AM478" i="2" s="1" a="1"/>
  <c r="AM478" i="2" s="1"/>
  <c r="AN478" i="2" s="1" a="1"/>
  <c r="AN478" i="2" s="1"/>
  <c r="AO478" i="2" s="1" a="1"/>
  <c r="AO478" i="2" s="1"/>
  <c r="AP478" i="2" s="1" a="1"/>
  <c r="AP478" i="2" s="1"/>
  <c r="AQ478" i="2" s="1" a="1"/>
  <c r="AQ478" i="2" s="1"/>
  <c r="AK396" i="2" a="1"/>
  <c r="AK396" i="2" s="1"/>
  <c r="AL396" i="2" s="1" a="1"/>
  <c r="AL396" i="2" s="1"/>
  <c r="AM396" i="2" s="1" a="1"/>
  <c r="AM396" i="2" s="1"/>
  <c r="AN396" i="2" s="1" a="1"/>
  <c r="AN396" i="2" s="1"/>
  <c r="AO396" i="2" s="1" a="1"/>
  <c r="AO396" i="2" s="1"/>
  <c r="AP396" i="2" s="1" a="1"/>
  <c r="AP396" i="2" s="1"/>
  <c r="AQ396" i="2" s="1" a="1"/>
  <c r="AQ396" i="2" s="1"/>
  <c r="AK287" i="2" a="1"/>
  <c r="AK287" i="2" s="1"/>
  <c r="AL287" i="2" s="1" a="1"/>
  <c r="AL287" i="2" s="1"/>
  <c r="AM287" i="2" s="1" a="1"/>
  <c r="AM287" i="2" s="1"/>
  <c r="AN287" i="2" s="1" a="1"/>
  <c r="AN287" i="2" s="1"/>
  <c r="AO287" i="2" s="1" a="1"/>
  <c r="AO287" i="2" s="1"/>
  <c r="AP287" i="2" s="1" a="1"/>
  <c r="AP287" i="2" s="1"/>
  <c r="AQ287" i="2" s="1" a="1"/>
  <c r="AQ287" i="2" s="1"/>
  <c r="AK381" i="2" a="1"/>
  <c r="AK381" i="2" s="1"/>
  <c r="AL381" i="2" s="1" a="1"/>
  <c r="AL381" i="2" s="1"/>
  <c r="AM381" i="2" s="1" a="1"/>
  <c r="AM381" i="2" s="1"/>
  <c r="AN381" i="2" s="1" a="1"/>
  <c r="AN381" i="2" s="1"/>
  <c r="AO381" i="2" s="1" a="1"/>
  <c r="AO381" i="2" s="1"/>
  <c r="AP381" i="2" s="1" a="1"/>
  <c r="AP381" i="2" s="1"/>
  <c r="AQ381" i="2" s="1" a="1"/>
  <c r="AQ381" i="2" s="1"/>
  <c r="AK296" i="2" a="1"/>
  <c r="AK296" i="2" s="1"/>
  <c r="AL296" i="2" s="1" a="1"/>
  <c r="AL296" i="2" s="1"/>
  <c r="AM296" i="2" s="1" a="1"/>
  <c r="AM296" i="2" s="1"/>
  <c r="AN296" i="2" s="1" a="1"/>
  <c r="AN296" i="2" s="1"/>
  <c r="AO296" i="2" s="1" a="1"/>
  <c r="AO296" i="2" s="1"/>
  <c r="AP296" i="2" s="1" a="1"/>
  <c r="AP296" i="2" s="1"/>
  <c r="AQ296" i="2" s="1" a="1"/>
  <c r="AQ296" i="2" s="1"/>
  <c r="AK390" i="2" a="1"/>
  <c r="AK390" i="2" s="1"/>
  <c r="AL390" i="2" s="1" a="1"/>
  <c r="AL390" i="2" s="1"/>
  <c r="AM390" i="2" s="1" a="1"/>
  <c r="AM390" i="2" s="1"/>
  <c r="AN390" i="2" s="1" a="1"/>
  <c r="AN390" i="2" s="1"/>
  <c r="AO390" i="2" s="1" a="1"/>
  <c r="AO390" i="2" s="1"/>
  <c r="AP390" i="2" s="1" a="1"/>
  <c r="AP390" i="2" s="1"/>
  <c r="AQ390" i="2" s="1" a="1"/>
  <c r="AQ390" i="2" s="1"/>
  <c r="AK508" i="2" a="1"/>
  <c r="AK508" i="2" s="1"/>
  <c r="AL508" i="2" s="1" a="1"/>
  <c r="AL508" i="2" s="1"/>
  <c r="AM508" i="2" s="1" a="1"/>
  <c r="AM508" i="2" s="1"/>
  <c r="AN508" i="2" s="1" a="1"/>
  <c r="AN508" i="2" s="1"/>
  <c r="AO508" i="2" s="1" a="1"/>
  <c r="AO508" i="2" s="1"/>
  <c r="AP508" i="2" s="1" a="1"/>
  <c r="AP508" i="2" s="1"/>
  <c r="AQ508" i="2" s="1" a="1"/>
  <c r="AQ508" i="2" s="1"/>
  <c r="AK405" i="2" a="1"/>
  <c r="AK405" i="2" s="1"/>
  <c r="AL405" i="2" s="1" a="1"/>
  <c r="AL405" i="2" s="1"/>
  <c r="AM405" i="2" s="1" a="1"/>
  <c r="AM405" i="2" s="1"/>
  <c r="AN405" i="2" s="1" a="1"/>
  <c r="AN405" i="2" s="1"/>
  <c r="AO405" i="2" s="1" a="1"/>
  <c r="AO405" i="2" s="1"/>
  <c r="AP405" i="2" s="1" a="1"/>
  <c r="AP405" i="2" s="1"/>
  <c r="AQ405" i="2" s="1" a="1"/>
  <c r="AQ405" i="2" s="1"/>
  <c r="AK402" i="2" a="1"/>
  <c r="AK402" i="2" s="1"/>
  <c r="AL402" i="2" s="1" a="1"/>
  <c r="AL402" i="2" s="1"/>
  <c r="AM402" i="2" s="1" a="1"/>
  <c r="AM402" i="2" s="1"/>
  <c r="AN402" i="2" s="1" a="1"/>
  <c r="AN402" i="2" s="1"/>
  <c r="AO402" i="2" s="1" a="1"/>
  <c r="AO402" i="2" s="1"/>
  <c r="AP402" i="2" s="1" a="1"/>
  <c r="AP402" i="2" s="1"/>
  <c r="AQ402" i="2" s="1" a="1"/>
  <c r="AQ402" i="2" s="1"/>
  <c r="AK194" i="2" a="1"/>
  <c r="AK194" i="2" s="1"/>
  <c r="AK199" i="2" a="1"/>
  <c r="AK199" i="2" s="1"/>
  <c r="AL199" i="2" s="1" a="1"/>
  <c r="AL199" i="2" s="1"/>
  <c r="AM199" i="2" s="1" a="1"/>
  <c r="AM199" i="2" s="1"/>
  <c r="AN199" i="2" s="1" a="1"/>
  <c r="AN199" i="2" s="1"/>
  <c r="AO199" i="2" s="1" a="1"/>
  <c r="AO199" i="2" s="1"/>
  <c r="AP199" i="2" s="1" a="1"/>
  <c r="AP199" i="2" s="1"/>
  <c r="AQ199" i="2" s="1" a="1"/>
  <c r="AQ199" i="2" s="1"/>
  <c r="AK193" i="2" a="1"/>
  <c r="AK193" i="2" s="1"/>
  <c r="AL193" i="2" s="1" a="1"/>
  <c r="AL193" i="2" s="1"/>
  <c r="AM193" i="2" s="1" a="1"/>
  <c r="AM193" i="2" s="1"/>
  <c r="AN193" i="2" s="1" a="1"/>
  <c r="AN193" i="2" s="1"/>
  <c r="AO193" i="2" s="1" a="1"/>
  <c r="AO193" i="2" s="1"/>
  <c r="AP193" i="2" s="1" a="1"/>
  <c r="AP193" i="2" s="1"/>
  <c r="AQ193" i="2" s="1" a="1"/>
  <c r="AQ193" i="2" s="1"/>
  <c r="AK365" i="2" a="1"/>
  <c r="AK365" i="2" s="1"/>
  <c r="AL365" i="2" s="1" a="1"/>
  <c r="AL365" i="2" s="1"/>
  <c r="AM365" i="2" s="1" a="1"/>
  <c r="AM365" i="2" s="1"/>
  <c r="AN365" i="2" s="1" a="1"/>
  <c r="AN365" i="2" s="1"/>
  <c r="AO365" i="2" s="1" a="1"/>
  <c r="AO365" i="2" s="1"/>
  <c r="AP365" i="2" s="1" a="1"/>
  <c r="AP365" i="2" s="1"/>
  <c r="AQ365" i="2" s="1" a="1"/>
  <c r="AQ365" i="2" s="1"/>
  <c r="AK205" i="2" a="1"/>
  <c r="AK205" i="2" s="1"/>
  <c r="AL205" i="2" s="1" a="1"/>
  <c r="AL205" i="2" s="1"/>
  <c r="AM205" i="2" s="1" a="1"/>
  <c r="AM205" i="2" s="1"/>
  <c r="AN205" i="2" s="1" a="1"/>
  <c r="AN205" i="2" s="1"/>
  <c r="AO205" i="2" s="1" a="1"/>
  <c r="AO205" i="2" s="1"/>
  <c r="AP205" i="2" s="1" a="1"/>
  <c r="AP205" i="2" s="1"/>
  <c r="AQ205" i="2" s="1" a="1"/>
  <c r="AQ205" i="2" s="1"/>
  <c r="AK208" i="2" a="1"/>
  <c r="AK208" i="2" s="1"/>
  <c r="AL208" i="2" s="1" a="1"/>
  <c r="AL208" i="2" s="1"/>
  <c r="AM208" i="2" s="1" a="1"/>
  <c r="AM208" i="2" s="1"/>
  <c r="AN208" i="2" s="1" a="1"/>
  <c r="AN208" i="2" s="1"/>
  <c r="AO208" i="2" s="1" a="1"/>
  <c r="AO208" i="2" s="1"/>
  <c r="AP208" i="2" s="1" a="1"/>
  <c r="AP208" i="2" s="1"/>
  <c r="AQ208" i="2" s="1" a="1"/>
  <c r="AQ208" i="2" s="1"/>
  <c r="AK211" i="2" a="1"/>
  <c r="AK211" i="2" s="1"/>
  <c r="AL211" i="2" s="1" a="1"/>
  <c r="AL211" i="2" s="1"/>
  <c r="AM211" i="2" s="1" a="1"/>
  <c r="AM211" i="2" s="1"/>
  <c r="AN211" i="2" s="1" a="1"/>
  <c r="AN211" i="2" s="1"/>
  <c r="AO211" i="2" s="1" a="1"/>
  <c r="AO211" i="2" s="1"/>
  <c r="AP211" i="2" s="1" a="1"/>
  <c r="AP211" i="2" s="1"/>
  <c r="AQ211" i="2" s="1" a="1"/>
  <c r="AQ211" i="2" s="1"/>
  <c r="AK4" i="2" a="1"/>
  <c r="AK4" i="2" s="1"/>
  <c r="AL4" i="2" s="1" a="1"/>
  <c r="AL4" i="2" s="1"/>
  <c r="AM4" i="2" s="1" a="1"/>
  <c r="AM4" i="2" s="1"/>
  <c r="AN4" i="2" s="1" a="1"/>
  <c r="AN4" i="2" s="1"/>
  <c r="AO4" i="2" s="1" a="1"/>
  <c r="AO4" i="2" s="1"/>
  <c r="AP4" i="2" s="1" a="1"/>
  <c r="AP4" i="2" s="1"/>
  <c r="AQ4" i="2" s="1" a="1"/>
  <c r="AQ4" i="2" s="1"/>
  <c r="AK65" i="2" a="1"/>
  <c r="AK65" i="2" s="1"/>
  <c r="AL65" i="2" s="1" a="1"/>
  <c r="AL65" i="2" s="1"/>
  <c r="AM65" i="2" s="1" a="1"/>
  <c r="AM65" i="2" s="1"/>
  <c r="AN65" i="2" s="1" a="1"/>
  <c r="AN65" i="2" s="1"/>
  <c r="AO65" i="2" s="1" a="1"/>
  <c r="AO65" i="2" s="1"/>
  <c r="AP65" i="2" s="1" a="1"/>
  <c r="AP65" i="2" s="1"/>
  <c r="AQ65" i="2" s="1" a="1"/>
  <c r="AQ65" i="2" s="1"/>
  <c r="AK66" i="2" a="1"/>
  <c r="AK66" i="2" s="1"/>
  <c r="AL66" i="2" s="1" a="1"/>
  <c r="AL66" i="2" s="1"/>
  <c r="AM66" i="2" s="1" a="1"/>
  <c r="AM66" i="2" s="1"/>
  <c r="AN66" i="2" s="1" a="1"/>
  <c r="AN66" i="2" s="1"/>
  <c r="AO66" i="2" s="1" a="1"/>
  <c r="AO66" i="2" s="1"/>
  <c r="AP66" i="2" s="1" a="1"/>
  <c r="AP66" i="2" s="1"/>
  <c r="AQ66" i="2" s="1" a="1"/>
  <c r="AQ66" i="2" s="1"/>
  <c r="AK73" i="2" a="1"/>
  <c r="AK73" i="2" s="1"/>
  <c r="AL73" i="2" s="1" a="1"/>
  <c r="AL73" i="2" s="1"/>
  <c r="AM73" i="2" s="1" a="1"/>
  <c r="AM73" i="2" s="1"/>
  <c r="AN73" i="2" s="1" a="1"/>
  <c r="AN73" i="2" s="1"/>
  <c r="AO73" i="2" s="1" a="1"/>
  <c r="AO73" i="2" s="1"/>
  <c r="AP73" i="2" s="1" a="1"/>
  <c r="AP73" i="2" s="1"/>
  <c r="AQ73" i="2" s="1" a="1"/>
  <c r="AQ73" i="2" s="1"/>
  <c r="AK71" i="2" a="1"/>
  <c r="AK71" i="2" s="1"/>
  <c r="AL71" i="2" s="1" a="1"/>
  <c r="AL71" i="2" s="1"/>
  <c r="AM71" i="2" s="1" a="1"/>
  <c r="AM71" i="2" s="1"/>
  <c r="AN71" i="2" s="1" a="1"/>
  <c r="AN71" i="2" s="1"/>
  <c r="AO71" i="2" s="1" a="1"/>
  <c r="AO71" i="2" s="1"/>
  <c r="AP71" i="2" s="1" a="1"/>
  <c r="AP71" i="2" s="1"/>
  <c r="AQ71" i="2" s="1" a="1"/>
  <c r="AQ71" i="2" s="1"/>
  <c r="AK67" i="2" a="1"/>
  <c r="AK67" i="2" s="1"/>
  <c r="AK75" i="2" a="1"/>
  <c r="AK75" i="2" s="1"/>
  <c r="AL75" i="2" s="1" a="1"/>
  <c r="AL75" i="2" s="1"/>
  <c r="AM75" i="2" s="1" a="1"/>
  <c r="AM75" i="2" s="1"/>
  <c r="AN75" i="2" s="1" a="1"/>
  <c r="AN75" i="2" s="1"/>
  <c r="AO75" i="2" s="1" a="1"/>
  <c r="AO75" i="2" s="1"/>
  <c r="AP75" i="2" s="1" a="1"/>
  <c r="AP75" i="2" s="1"/>
  <c r="AQ75" i="2" s="1" a="1"/>
  <c r="AQ75" i="2" s="1"/>
  <c r="AK76" i="2" a="1"/>
  <c r="AK76" i="2" s="1"/>
  <c r="AK79" i="2" a="1"/>
  <c r="AK79" i="2" s="1"/>
  <c r="AK72" i="2" a="1"/>
  <c r="AK72" i="2" s="1"/>
  <c r="AL72" i="2" s="1" a="1"/>
  <c r="AL72" i="2" s="1"/>
  <c r="AM72" i="2" s="1" a="1"/>
  <c r="AM72" i="2" s="1"/>
  <c r="AN72" i="2" s="1" a="1"/>
  <c r="AN72" i="2" s="1"/>
  <c r="AO72" i="2" s="1" a="1"/>
  <c r="AO72" i="2" s="1"/>
  <c r="AP72" i="2" s="1" a="1"/>
  <c r="AP72" i="2" s="1"/>
  <c r="AQ72" i="2" s="1" a="1"/>
  <c r="AQ72" i="2" s="1"/>
  <c r="AK74" i="2" a="1"/>
  <c r="AK74" i="2" s="1"/>
  <c r="AK69" i="2" a="1"/>
  <c r="AK69" i="2" s="1"/>
  <c r="AL69" i="2" s="1" a="1"/>
  <c r="AL69" i="2" s="1"/>
  <c r="AM69" i="2" s="1" a="1"/>
  <c r="AM69" i="2" s="1"/>
  <c r="AN69" i="2" s="1" a="1"/>
  <c r="AN69" i="2" s="1"/>
  <c r="AO69" i="2" s="1" a="1"/>
  <c r="AO69" i="2" s="1"/>
  <c r="AP69" i="2" s="1" a="1"/>
  <c r="AP69" i="2" s="1"/>
  <c r="AQ69" i="2" s="1" a="1"/>
  <c r="AQ69" i="2" s="1"/>
  <c r="AK77" i="2" a="1"/>
  <c r="AK77" i="2" s="1"/>
  <c r="AK80" i="2" a="1"/>
  <c r="AK80" i="2" s="1"/>
  <c r="AL80" i="2" s="1" a="1"/>
  <c r="AL80" i="2" s="1"/>
  <c r="AM80" i="2" s="1" a="1"/>
  <c r="AM80" i="2" s="1"/>
  <c r="AN80" i="2" s="1" a="1"/>
  <c r="AN80" i="2" s="1"/>
  <c r="AO80" i="2" s="1" a="1"/>
  <c r="AO80" i="2" s="1"/>
  <c r="AP80" i="2" s="1" a="1"/>
  <c r="AP80" i="2" s="1"/>
  <c r="AQ80" i="2" s="1" a="1"/>
  <c r="AQ80" i="2" s="1"/>
  <c r="AK78" i="2" a="1"/>
  <c r="AK78" i="2" s="1"/>
  <c r="AL78" i="2" s="1" a="1"/>
  <c r="AL78" i="2" s="1"/>
  <c r="AM78" i="2" s="1" a="1"/>
  <c r="AM78" i="2" s="1"/>
  <c r="AN78" i="2" s="1" a="1"/>
  <c r="AN78" i="2" s="1"/>
  <c r="AO78" i="2" s="1" a="1"/>
  <c r="AO78" i="2" s="1"/>
  <c r="AP78" i="2" s="1" a="1"/>
  <c r="AP78" i="2" s="1"/>
  <c r="AQ78" i="2" s="1" a="1"/>
  <c r="AQ78" i="2" s="1"/>
  <c r="AK68" i="2" a="1"/>
  <c r="AK68" i="2" s="1"/>
  <c r="AL68" i="2" s="1" a="1"/>
  <c r="AL68" i="2" s="1"/>
  <c r="AM68" i="2" s="1" a="1"/>
  <c r="AM68" i="2" s="1"/>
  <c r="AN68" i="2" s="1" a="1"/>
  <c r="AN68" i="2" s="1"/>
  <c r="AO68" i="2" s="1" a="1"/>
  <c r="AO68" i="2" s="1"/>
  <c r="AP68" i="2" s="1" a="1"/>
  <c r="AP68" i="2" s="1"/>
  <c r="AQ68" i="2" s="1" a="1"/>
  <c r="AQ68" i="2" s="1"/>
  <c r="AK70" i="2" a="1"/>
  <c r="AK70" i="2" s="1"/>
  <c r="AL70" i="2" s="1" a="1"/>
  <c r="AL70" i="2" s="1"/>
  <c r="AM70" i="2" s="1" a="1"/>
  <c r="AM70" i="2" s="1"/>
  <c r="AN70" i="2" s="1" a="1"/>
  <c r="AN70" i="2" s="1"/>
  <c r="AO70" i="2" s="1" a="1"/>
  <c r="AO70" i="2" s="1"/>
  <c r="AP70" i="2" s="1" a="1"/>
  <c r="AP70" i="2" s="1"/>
  <c r="AQ70" i="2" s="1" a="1"/>
  <c r="AQ70" i="2" s="1"/>
  <c r="AK91" i="2" a="1"/>
  <c r="AK91" i="2" s="1"/>
  <c r="AL91" i="2" s="1" a="1"/>
  <c r="AL91" i="2" s="1"/>
  <c r="AM91" i="2" s="1" a="1"/>
  <c r="AM91" i="2" s="1"/>
  <c r="AN91" i="2" s="1" a="1"/>
  <c r="AN91" i="2" s="1"/>
  <c r="AO91" i="2" s="1" a="1"/>
  <c r="AO91" i="2" s="1"/>
  <c r="AP91" i="2" s="1" a="1"/>
  <c r="AP91" i="2" s="1"/>
  <c r="AQ91" i="2" s="1" a="1"/>
  <c r="AQ91" i="2" s="1"/>
  <c r="AK90" i="2" a="1"/>
  <c r="AK90" i="2" s="1"/>
  <c r="AL90" i="2" s="1" a="1"/>
  <c r="AL90" i="2" s="1"/>
  <c r="AM90" i="2" s="1" a="1"/>
  <c r="AM90" i="2" s="1"/>
  <c r="AN90" i="2" s="1" a="1"/>
  <c r="AN90" i="2" s="1"/>
  <c r="AO90" i="2" s="1" a="1"/>
  <c r="AO90" i="2" s="1"/>
  <c r="AP90" i="2" s="1" a="1"/>
  <c r="AP90" i="2" s="1"/>
  <c r="AQ90" i="2" s="1" a="1"/>
  <c r="AQ90" i="2" s="1"/>
  <c r="AK89" i="2" a="1"/>
  <c r="AK89" i="2" s="1"/>
  <c r="AL89" i="2" s="1" a="1"/>
  <c r="AL89" i="2" s="1"/>
  <c r="AM89" i="2" s="1" a="1"/>
  <c r="AM89" i="2" s="1"/>
  <c r="AN89" i="2" s="1" a="1"/>
  <c r="AN89" i="2" s="1"/>
  <c r="AO89" i="2" s="1" a="1"/>
  <c r="AO89" i="2" s="1"/>
  <c r="AP89" i="2" s="1" a="1"/>
  <c r="AP89" i="2" s="1"/>
  <c r="AQ89" i="2" s="1" a="1"/>
  <c r="AQ89" i="2" s="1"/>
  <c r="AK86" i="2" a="1"/>
  <c r="AK86" i="2" s="1"/>
  <c r="AL86" i="2" s="1" a="1"/>
  <c r="AL86" i="2" s="1"/>
  <c r="AM86" i="2" s="1" a="1"/>
  <c r="AM86" i="2" s="1"/>
  <c r="AN86" i="2" s="1" a="1"/>
  <c r="AN86" i="2" s="1"/>
  <c r="AO86" i="2" s="1" a="1"/>
  <c r="AO86" i="2" s="1"/>
  <c r="AP86" i="2" s="1" a="1"/>
  <c r="AP86" i="2" s="1"/>
  <c r="AQ86" i="2" s="1" a="1"/>
  <c r="AQ86" i="2" s="1"/>
  <c r="AK87" i="2" a="1"/>
  <c r="AK87" i="2" s="1"/>
  <c r="AL87" i="2" s="1" a="1"/>
  <c r="AL87" i="2" s="1"/>
  <c r="AM87" i="2" s="1" a="1"/>
  <c r="AM87" i="2" s="1"/>
  <c r="AN87" i="2" s="1" a="1"/>
  <c r="AN87" i="2" s="1"/>
  <c r="AO87" i="2" s="1" a="1"/>
  <c r="AO87" i="2" s="1"/>
  <c r="AP87" i="2" s="1" a="1"/>
  <c r="AP87" i="2" s="1"/>
  <c r="AQ87" i="2" s="1" a="1"/>
  <c r="AQ87" i="2" s="1"/>
  <c r="AK88" i="2" a="1"/>
  <c r="AK88" i="2" s="1"/>
  <c r="AL88" i="2" s="1" a="1"/>
  <c r="AL88" i="2" s="1"/>
  <c r="AM88" i="2" s="1" a="1"/>
  <c r="AM88" i="2" s="1"/>
  <c r="AN88" i="2" s="1" a="1"/>
  <c r="AN88" i="2" s="1"/>
  <c r="AO88" i="2" s="1" a="1"/>
  <c r="AO88" i="2" s="1"/>
  <c r="AP88" i="2" s="1" a="1"/>
  <c r="AP88" i="2" s="1"/>
  <c r="AQ88" i="2" s="1" a="1"/>
  <c r="AQ88" i="2" s="1"/>
  <c r="AK92" i="2" a="1"/>
  <c r="AK92" i="2" s="1"/>
  <c r="AK84" i="2" a="1"/>
  <c r="AK84" i="2" s="1"/>
  <c r="AL84" i="2" s="1" a="1"/>
  <c r="AL84" i="2" s="1"/>
  <c r="AM84" i="2" s="1" a="1"/>
  <c r="AM84" i="2" s="1"/>
  <c r="AN84" i="2" s="1" a="1"/>
  <c r="AN84" i="2" s="1"/>
  <c r="AO84" i="2" s="1" a="1"/>
  <c r="AO84" i="2" s="1"/>
  <c r="AP84" i="2" s="1" a="1"/>
  <c r="AP84" i="2" s="1"/>
  <c r="AQ84" i="2" s="1" a="1"/>
  <c r="AQ84" i="2" s="1"/>
  <c r="AK81" i="2" a="1"/>
  <c r="AK81" i="2" s="1"/>
  <c r="AK82" i="2" a="1"/>
  <c r="AK82" i="2" s="1"/>
  <c r="AL82" i="2" s="1" a="1"/>
  <c r="AL82" i="2" s="1"/>
  <c r="AM82" i="2" s="1" a="1"/>
  <c r="AM82" i="2" s="1"/>
  <c r="AN82" i="2" s="1" a="1"/>
  <c r="AN82" i="2" s="1"/>
  <c r="AO82" i="2" s="1" a="1"/>
  <c r="AO82" i="2" s="1"/>
  <c r="AP82" i="2" s="1" a="1"/>
  <c r="AP82" i="2" s="1"/>
  <c r="AQ82" i="2" s="1" a="1"/>
  <c r="AQ82" i="2" s="1"/>
  <c r="AK83" i="2" a="1"/>
  <c r="AK83" i="2" s="1"/>
  <c r="AK85" i="2" a="1"/>
  <c r="AK85" i="2" s="1"/>
  <c r="AL85" i="2" s="1" a="1"/>
  <c r="AL85" i="2" s="1"/>
  <c r="AM85" i="2" s="1" a="1"/>
  <c r="AM85" i="2" s="1"/>
  <c r="AN85" i="2" s="1" a="1"/>
  <c r="AN85" i="2" s="1"/>
  <c r="AO85" i="2" s="1" a="1"/>
  <c r="AO85" i="2" s="1"/>
  <c r="AP85" i="2" s="1" a="1"/>
  <c r="AP85" i="2" s="1"/>
  <c r="AQ85" i="2" s="1" a="1"/>
  <c r="AQ85" i="2" s="1"/>
  <c r="AK93" i="2" a="1"/>
  <c r="AK93" i="2" s="1"/>
  <c r="AL93" i="2" s="1" a="1"/>
  <c r="AL93" i="2" s="1"/>
  <c r="AM93" i="2" s="1" a="1"/>
  <c r="AM93" i="2" s="1"/>
  <c r="AN93" i="2" s="1" a="1"/>
  <c r="AN93" i="2" s="1"/>
  <c r="AO93" i="2" s="1" a="1"/>
  <c r="AO93" i="2" s="1"/>
  <c r="AP93" i="2" s="1" a="1"/>
  <c r="AP93" i="2" s="1"/>
  <c r="AQ93" i="2" s="1" a="1"/>
  <c r="AQ93" i="2" s="1"/>
  <c r="AK134" i="2" a="1"/>
  <c r="AK134" i="2" s="1"/>
  <c r="AL134" i="2" s="1" a="1"/>
  <c r="AL134" i="2" s="1"/>
  <c r="AM134" i="2" s="1" a="1"/>
  <c r="AM134" i="2" s="1"/>
  <c r="AN134" i="2" s="1" a="1"/>
  <c r="AN134" i="2" s="1"/>
  <c r="AO134" i="2" s="1" a="1"/>
  <c r="AO134" i="2" s="1"/>
  <c r="AP134" i="2" s="1" a="1"/>
  <c r="AP134" i="2" s="1"/>
  <c r="AQ134" i="2" s="1" a="1"/>
  <c r="AQ134" i="2" s="1"/>
  <c r="AK138" i="2" a="1"/>
  <c r="AK138" i="2" s="1"/>
  <c r="AL138" i="2" s="1" a="1"/>
  <c r="AL138" i="2" s="1"/>
  <c r="AM138" i="2" s="1" a="1"/>
  <c r="AM138" i="2" s="1"/>
  <c r="AN138" i="2" s="1" a="1"/>
  <c r="AN138" i="2" s="1"/>
  <c r="AO138" i="2" s="1" a="1"/>
  <c r="AO138" i="2" s="1"/>
  <c r="AP138" i="2" s="1" a="1"/>
  <c r="AP138" i="2" s="1"/>
  <c r="AQ138" i="2" s="1" a="1"/>
  <c r="AQ138" i="2" s="1"/>
  <c r="AK411" i="2" a="1"/>
  <c r="AK411" i="2" s="1"/>
  <c r="AL411" i="2" s="1" a="1"/>
  <c r="AL411" i="2" s="1"/>
  <c r="AM411" i="2" s="1" a="1"/>
  <c r="AM411" i="2" s="1"/>
  <c r="AN411" i="2" s="1" a="1"/>
  <c r="AN411" i="2" s="1"/>
  <c r="AO411" i="2" s="1" a="1"/>
  <c r="AO411" i="2" s="1"/>
  <c r="AP411" i="2" s="1" a="1"/>
  <c r="AP411" i="2" s="1"/>
  <c r="AQ411" i="2" s="1" a="1"/>
  <c r="AQ411" i="2" s="1"/>
  <c r="AK142" i="2" a="1"/>
  <c r="AK142" i="2" s="1"/>
  <c r="AL142" i="2" s="1" a="1"/>
  <c r="AL142" i="2" s="1"/>
  <c r="AM142" i="2" s="1" a="1"/>
  <c r="AM142" i="2" s="1"/>
  <c r="AN142" i="2" s="1" a="1"/>
  <c r="AN142" i="2" s="1"/>
  <c r="AO142" i="2" s="1" a="1"/>
  <c r="AO142" i="2" s="1"/>
  <c r="AP142" i="2" s="1" a="1"/>
  <c r="AP142" i="2" s="1"/>
  <c r="AQ142" i="2" s="1" a="1"/>
  <c r="AQ142" i="2" s="1"/>
  <c r="AK143" i="2" a="1"/>
  <c r="AK143" i="2" s="1"/>
  <c r="AL143" i="2" s="1" a="1"/>
  <c r="AL143" i="2" s="1"/>
  <c r="AM143" i="2" s="1" a="1"/>
  <c r="AM143" i="2" s="1"/>
  <c r="AN143" i="2" s="1" a="1"/>
  <c r="AN143" i="2" s="1"/>
  <c r="AO143" i="2" s="1" a="1"/>
  <c r="AO143" i="2" s="1"/>
  <c r="AP143" i="2" s="1" a="1"/>
  <c r="AP143" i="2" s="1"/>
  <c r="AQ143" i="2" s="1" a="1"/>
  <c r="AQ143" i="2" s="1"/>
  <c r="AK548" i="2" a="1"/>
  <c r="AK548" i="2" s="1"/>
  <c r="AL548" i="2" s="1" a="1"/>
  <c r="AL548" i="2" s="1"/>
  <c r="AM548" i="2" s="1" a="1"/>
  <c r="AM548" i="2" s="1"/>
  <c r="AN548" i="2" s="1" a="1"/>
  <c r="AN548" i="2" s="1"/>
  <c r="AO548" i="2" s="1" a="1"/>
  <c r="AO548" i="2" s="1"/>
  <c r="AP548" i="2" s="1" a="1"/>
  <c r="AP548" i="2" s="1"/>
  <c r="AQ548" i="2" s="1" a="1"/>
  <c r="AQ548" i="2" s="1"/>
  <c r="AK414" i="2" a="1"/>
  <c r="AK414" i="2" s="1"/>
  <c r="AL414" i="2" s="1" a="1"/>
  <c r="AL414" i="2" s="1"/>
  <c r="AM414" i="2" s="1" a="1"/>
  <c r="AM414" i="2" s="1"/>
  <c r="AN414" i="2" s="1" a="1"/>
  <c r="AN414" i="2" s="1"/>
  <c r="AO414" i="2" s="1" a="1"/>
  <c r="AO414" i="2" s="1"/>
  <c r="AP414" i="2" s="1" a="1"/>
  <c r="AP414" i="2" s="1"/>
  <c r="AQ414" i="2" s="1" a="1"/>
  <c r="AQ414" i="2" s="1"/>
  <c r="AK165" i="2" a="1"/>
  <c r="AK165" i="2" s="1"/>
  <c r="AL165" i="2" s="1" a="1"/>
  <c r="AL165" i="2" s="1"/>
  <c r="AM165" i="2" s="1" a="1"/>
  <c r="AM165" i="2" s="1"/>
  <c r="AN165" i="2" s="1" a="1"/>
  <c r="AN165" i="2" s="1"/>
  <c r="AO165" i="2" s="1" a="1"/>
  <c r="AO165" i="2" s="1"/>
  <c r="AP165" i="2" s="1" a="1"/>
  <c r="AP165" i="2" s="1"/>
  <c r="AQ165" i="2" s="1" a="1"/>
  <c r="AQ165" i="2" s="1"/>
  <c r="AK468" i="2" a="1"/>
  <c r="AK468" i="2" s="1"/>
  <c r="AL468" i="2" s="1" a="1"/>
  <c r="AL468" i="2" s="1"/>
  <c r="AM468" i="2" s="1" a="1"/>
  <c r="AM468" i="2" s="1"/>
  <c r="AN468" i="2" s="1" a="1"/>
  <c r="AN468" i="2" s="1"/>
  <c r="AO468" i="2" s="1" a="1"/>
  <c r="AO468" i="2" s="1"/>
  <c r="AP468" i="2" s="1" a="1"/>
  <c r="AP468" i="2" s="1"/>
  <c r="AQ468" i="2" s="1" a="1"/>
  <c r="AQ468" i="2" s="1"/>
  <c r="AK170" i="2" a="1"/>
  <c r="AK170" i="2" s="1"/>
  <c r="AK164" i="2" a="1"/>
  <c r="AK164" i="2" s="1"/>
  <c r="AL164" i="2" s="1" a="1"/>
  <c r="AL164" i="2" s="1"/>
  <c r="AM164" i="2" s="1" a="1"/>
  <c r="AM164" i="2" s="1"/>
  <c r="AN164" i="2" s="1" a="1"/>
  <c r="AN164" i="2" s="1"/>
  <c r="AO164" i="2" s="1" a="1"/>
  <c r="AO164" i="2" s="1"/>
  <c r="AP164" i="2" s="1" a="1"/>
  <c r="AP164" i="2" s="1"/>
  <c r="AQ164" i="2" s="1" a="1"/>
  <c r="AQ164" i="2" s="1"/>
  <c r="AK485" i="2" a="1"/>
  <c r="AK485" i="2" s="1"/>
  <c r="AL485" i="2" s="1" a="1"/>
  <c r="AL485" i="2" s="1"/>
  <c r="AM485" i="2" s="1" a="1"/>
  <c r="AM485" i="2" s="1"/>
  <c r="AN485" i="2" s="1" a="1"/>
  <c r="AN485" i="2" s="1"/>
  <c r="AO485" i="2" s="1" a="1"/>
  <c r="AO485" i="2" s="1"/>
  <c r="AP485" i="2" s="1" a="1"/>
  <c r="AP485" i="2" s="1"/>
  <c r="AQ485" i="2" s="1" a="1"/>
  <c r="AQ485" i="2" s="1"/>
  <c r="AK367" i="2" a="1"/>
  <c r="AK367" i="2" s="1"/>
  <c r="AL367" i="2" s="1" a="1"/>
  <c r="AL367" i="2" s="1"/>
  <c r="AM367" i="2" s="1" a="1"/>
  <c r="AM367" i="2" s="1"/>
  <c r="AN367" i="2" s="1" a="1"/>
  <c r="AN367" i="2" s="1"/>
  <c r="AO367" i="2" s="1" a="1"/>
  <c r="AO367" i="2" s="1"/>
  <c r="AP367" i="2" s="1" a="1"/>
  <c r="AP367" i="2" s="1"/>
  <c r="AQ367" i="2" s="1" a="1"/>
  <c r="AQ367" i="2" s="1"/>
  <c r="AK176" i="2" a="1"/>
  <c r="AK176" i="2" s="1"/>
  <c r="AL176" i="2" s="1" a="1"/>
  <c r="AL176" i="2" s="1"/>
  <c r="AM176" i="2" s="1" a="1"/>
  <c r="AM176" i="2" s="1"/>
  <c r="AN176" i="2" s="1" a="1"/>
  <c r="AN176" i="2" s="1"/>
  <c r="AO176" i="2" s="1" a="1"/>
  <c r="AO176" i="2" s="1"/>
  <c r="AP176" i="2" s="1" a="1"/>
  <c r="AP176" i="2" s="1"/>
  <c r="AQ176" i="2" s="1" a="1"/>
  <c r="AQ176" i="2" s="1"/>
  <c r="AK179" i="2" a="1"/>
  <c r="AK179" i="2" s="1"/>
  <c r="AL179" i="2" s="1" a="1"/>
  <c r="AL179" i="2" s="1"/>
  <c r="AM179" i="2" s="1" a="1"/>
  <c r="AM179" i="2" s="1"/>
  <c r="AN179" i="2" s="1" a="1"/>
  <c r="AN179" i="2" s="1"/>
  <c r="AO179" i="2" s="1" a="1"/>
  <c r="AO179" i="2" s="1"/>
  <c r="AP179" i="2" s="1" a="1"/>
  <c r="AP179" i="2" s="1"/>
  <c r="AQ179" i="2" s="1" a="1"/>
  <c r="AQ179" i="2" s="1"/>
  <c r="AK182" i="2" a="1"/>
  <c r="AK182" i="2" s="1"/>
  <c r="AL182" i="2" s="1" a="1"/>
  <c r="AL182" i="2" s="1"/>
  <c r="AM182" i="2" s="1" a="1"/>
  <c r="AM182" i="2" s="1"/>
  <c r="AN182" i="2" s="1" a="1"/>
  <c r="AN182" i="2" s="1"/>
  <c r="AO182" i="2" s="1" a="1"/>
  <c r="AO182" i="2" s="1"/>
  <c r="AP182" i="2" s="1" a="1"/>
  <c r="AP182" i="2" s="1"/>
  <c r="AQ182" i="2" s="1" a="1"/>
  <c r="AQ182" i="2" s="1"/>
  <c r="AK412" i="2" a="1"/>
  <c r="AK412" i="2" s="1"/>
  <c r="AK415" i="2" a="1"/>
  <c r="AK415" i="2" s="1"/>
  <c r="AL415" i="2" s="1" a="1"/>
  <c r="AL415" i="2" s="1"/>
  <c r="AM415" i="2" s="1" a="1"/>
  <c r="AM415" i="2" s="1"/>
  <c r="AN415" i="2" s="1" a="1"/>
  <c r="AN415" i="2" s="1"/>
  <c r="AO415" i="2" s="1" a="1"/>
  <c r="AO415" i="2" s="1"/>
  <c r="AP415" i="2" s="1" a="1"/>
  <c r="AP415" i="2" s="1"/>
  <c r="AQ415" i="2" s="1" a="1"/>
  <c r="AQ415" i="2" s="1"/>
  <c r="AK160" i="2" a="1"/>
  <c r="AK160" i="2" s="1"/>
  <c r="AL160" i="2" s="1" a="1"/>
  <c r="AL160" i="2" s="1"/>
  <c r="AM160" i="2" s="1" a="1"/>
  <c r="AM160" i="2" s="1"/>
  <c r="AN160" i="2" s="1" a="1"/>
  <c r="AN160" i="2" s="1"/>
  <c r="AO160" i="2" s="1" a="1"/>
  <c r="AO160" i="2" s="1"/>
  <c r="AP160" i="2" s="1" a="1"/>
  <c r="AP160" i="2" s="1"/>
  <c r="AQ160" i="2" s="1" a="1"/>
  <c r="AQ160" i="2" s="1"/>
  <c r="AK253" i="2" a="1"/>
  <c r="AK253" i="2" s="1"/>
  <c r="AK343" i="2" a="1"/>
  <c r="AK343" i="2" s="1"/>
  <c r="AL343" i="2" s="1" a="1"/>
  <c r="AL343" i="2" s="1"/>
  <c r="AM343" i="2" s="1" a="1"/>
  <c r="AM343" i="2" s="1"/>
  <c r="AN343" i="2" s="1" a="1"/>
  <c r="AN343" i="2" s="1"/>
  <c r="AO343" i="2" s="1" a="1"/>
  <c r="AO343" i="2" s="1"/>
  <c r="AP343" i="2" s="1" a="1"/>
  <c r="AP343" i="2" s="1"/>
  <c r="AQ343" i="2" s="1" a="1"/>
  <c r="AQ343" i="2" s="1"/>
  <c r="AK256" i="2" a="1"/>
  <c r="AK256" i="2" s="1"/>
  <c r="AL256" i="2" s="1" a="1"/>
  <c r="AL256" i="2" s="1"/>
  <c r="AM256" i="2" s="1" a="1"/>
  <c r="AM256" i="2" s="1"/>
  <c r="AN256" i="2" s="1" a="1"/>
  <c r="AN256" i="2" s="1"/>
  <c r="AO256" i="2" s="1" a="1"/>
  <c r="AO256" i="2" s="1"/>
  <c r="AP256" i="2" s="1" a="1"/>
  <c r="AP256" i="2" s="1"/>
  <c r="AQ256" i="2" s="1" a="1"/>
  <c r="AQ256" i="2" s="1"/>
  <c r="AK346" i="2" a="1"/>
  <c r="AK346" i="2" s="1"/>
  <c r="AL346" i="2" s="1" a="1"/>
  <c r="AL346" i="2" s="1"/>
  <c r="AM346" i="2" s="1" a="1"/>
  <c r="AM346" i="2" s="1"/>
  <c r="AN346" i="2" s="1" a="1"/>
  <c r="AN346" i="2" s="1"/>
  <c r="AO346" i="2" s="1" a="1"/>
  <c r="AO346" i="2" s="1"/>
  <c r="AP346" i="2" s="1" a="1"/>
  <c r="AP346" i="2" s="1"/>
  <c r="AQ346" i="2" s="1" a="1"/>
  <c r="AQ346" i="2" s="1"/>
  <c r="AK463" i="2" a="1"/>
  <c r="AK463" i="2" s="1"/>
  <c r="AL463" i="2" s="1" a="1"/>
  <c r="AL463" i="2" s="1"/>
  <c r="AM463" i="2" s="1" a="1"/>
  <c r="AM463" i="2" s="1"/>
  <c r="AN463" i="2" s="1" a="1"/>
  <c r="AN463" i="2" s="1"/>
  <c r="AO463" i="2" s="1" a="1"/>
  <c r="AO463" i="2" s="1"/>
  <c r="AP463" i="2" s="1" a="1"/>
  <c r="AP463" i="2" s="1"/>
  <c r="AQ463" i="2" s="1" a="1"/>
  <c r="AQ463" i="2" s="1"/>
  <c r="AK271" i="2" a="1"/>
  <c r="AK271" i="2" s="1"/>
  <c r="AL271" i="2" s="1" a="1"/>
  <c r="AL271" i="2" s="1"/>
  <c r="AM271" i="2" s="1" a="1"/>
  <c r="AM271" i="2" s="1"/>
  <c r="AN271" i="2" s="1" a="1"/>
  <c r="AN271" i="2" s="1"/>
  <c r="AO271" i="2" s="1" a="1"/>
  <c r="AO271" i="2" s="1"/>
  <c r="AP271" i="2" s="1" a="1"/>
  <c r="AP271" i="2" s="1"/>
  <c r="AQ271" i="2" s="1" a="1"/>
  <c r="AQ271" i="2" s="1"/>
  <c r="AK361" i="2" a="1"/>
  <c r="AK361" i="2" s="1"/>
  <c r="AL361" i="2" s="1" a="1"/>
  <c r="AL361" i="2" s="1"/>
  <c r="AM361" i="2" s="1" a="1"/>
  <c r="AM361" i="2" s="1"/>
  <c r="AN361" i="2" s="1" a="1"/>
  <c r="AN361" i="2" s="1"/>
  <c r="AO361" i="2" s="1" a="1"/>
  <c r="AO361" i="2" s="1"/>
  <c r="AP361" i="2" s="1" a="1"/>
  <c r="AP361" i="2" s="1"/>
  <c r="AQ361" i="2" s="1" a="1"/>
  <c r="AQ361" i="2" s="1"/>
  <c r="AK480" i="2" a="1"/>
  <c r="AK480" i="2" s="1"/>
  <c r="AL480" i="2" s="1" a="1"/>
  <c r="AL480" i="2" s="1"/>
  <c r="AM480" i="2" s="1" a="1"/>
  <c r="AM480" i="2" s="1"/>
  <c r="AN480" i="2" s="1" a="1"/>
  <c r="AN480" i="2" s="1"/>
  <c r="AO480" i="2" s="1" a="1"/>
  <c r="AO480" i="2" s="1"/>
  <c r="AP480" i="2" s="1" a="1"/>
  <c r="AP480" i="2" s="1"/>
  <c r="AQ480" i="2" s="1" a="1"/>
  <c r="AQ480" i="2" s="1"/>
  <c r="AK397" i="2" a="1"/>
  <c r="AK397" i="2" s="1"/>
  <c r="AL397" i="2" s="1" a="1"/>
  <c r="AL397" i="2" s="1"/>
  <c r="AM397" i="2" s="1" a="1"/>
  <c r="AM397" i="2" s="1"/>
  <c r="AN397" i="2" s="1" a="1"/>
  <c r="AN397" i="2" s="1"/>
  <c r="AO397" i="2" s="1" a="1"/>
  <c r="AO397" i="2" s="1"/>
  <c r="AP397" i="2" s="1" a="1"/>
  <c r="AP397" i="2" s="1"/>
  <c r="AQ397" i="2" s="1" a="1"/>
  <c r="AQ397" i="2" s="1"/>
  <c r="AK288" i="2" a="1"/>
  <c r="AK288" i="2" s="1"/>
  <c r="AL288" i="2" s="1" a="1"/>
  <c r="AL288" i="2" s="1"/>
  <c r="AM288" i="2" s="1" a="1"/>
  <c r="AM288" i="2" s="1"/>
  <c r="AN288" i="2" s="1" a="1"/>
  <c r="AN288" i="2" s="1"/>
  <c r="AO288" i="2" s="1" a="1"/>
  <c r="AO288" i="2" s="1"/>
  <c r="AP288" i="2" s="1" a="1"/>
  <c r="AP288" i="2" s="1"/>
  <c r="AQ288" i="2" s="1" a="1"/>
  <c r="AQ288" i="2" s="1"/>
  <c r="AK382" i="2" a="1"/>
  <c r="AK382" i="2" s="1"/>
  <c r="AK499" i="2" a="1"/>
  <c r="AK499" i="2" s="1"/>
  <c r="AK297" i="2" a="1"/>
  <c r="AK297" i="2" s="1"/>
  <c r="AK391" i="2" a="1"/>
  <c r="AK391" i="2" s="1"/>
  <c r="AL391" i="2" s="1" a="1"/>
  <c r="AL391" i="2" s="1"/>
  <c r="AM391" i="2" s="1" a="1"/>
  <c r="AM391" i="2" s="1"/>
  <c r="AN391" i="2" s="1" a="1"/>
  <c r="AN391" i="2" s="1"/>
  <c r="AO391" i="2" s="1" a="1"/>
  <c r="AO391" i="2" s="1"/>
  <c r="AP391" i="2" s="1" a="1"/>
  <c r="AP391" i="2" s="1"/>
  <c r="AQ391" i="2" s="1" a="1"/>
  <c r="AQ391" i="2" s="1"/>
  <c r="AK509" i="2" a="1"/>
  <c r="AK509" i="2" s="1"/>
  <c r="AL509" i="2" s="1" a="1"/>
  <c r="AL509" i="2" s="1"/>
  <c r="AM509" i="2" s="1" a="1"/>
  <c r="AM509" i="2" s="1"/>
  <c r="AN509" i="2" s="1" a="1"/>
  <c r="AN509" i="2" s="1"/>
  <c r="AO509" i="2" s="1" a="1"/>
  <c r="AO509" i="2" s="1"/>
  <c r="AP509" i="2" s="1" a="1"/>
  <c r="AP509" i="2" s="1"/>
  <c r="AQ509" i="2" s="1" a="1"/>
  <c r="AQ509" i="2" s="1"/>
  <c r="AK406" i="2" a="1"/>
  <c r="AK406" i="2" s="1"/>
  <c r="AL406" i="2" s="1" a="1"/>
  <c r="AL406" i="2" s="1"/>
  <c r="AM406" i="2" s="1" a="1"/>
  <c r="AM406" i="2" s="1"/>
  <c r="AN406" i="2" s="1" a="1"/>
  <c r="AN406" i="2" s="1"/>
  <c r="AO406" i="2" s="1" a="1"/>
  <c r="AO406" i="2" s="1"/>
  <c r="AP406" i="2" s="1" a="1"/>
  <c r="AP406" i="2" s="1"/>
  <c r="AQ406" i="2" s="1" a="1"/>
  <c r="AQ406" i="2" s="1"/>
  <c r="AK403" i="2" a="1"/>
  <c r="AK403" i="2" s="1"/>
  <c r="AL403" i="2" s="1" a="1"/>
  <c r="AL403" i="2" s="1"/>
  <c r="AM403" i="2" s="1" a="1"/>
  <c r="AM403" i="2" s="1"/>
  <c r="AN403" i="2" s="1" a="1"/>
  <c r="AN403" i="2" s="1"/>
  <c r="AO403" i="2" s="1" a="1"/>
  <c r="AO403" i="2" s="1"/>
  <c r="AP403" i="2" s="1" a="1"/>
  <c r="AP403" i="2" s="1"/>
  <c r="AQ403" i="2" s="1" a="1"/>
  <c r="AQ403" i="2" s="1"/>
  <c r="AK374" i="2" a="1"/>
  <c r="AK374" i="2" s="1"/>
  <c r="AK331" i="2" a="1"/>
  <c r="AK331" i="2" s="1"/>
  <c r="AL331" i="2" s="1" a="1"/>
  <c r="AL331" i="2" s="1"/>
  <c r="AM331" i="2" s="1" a="1"/>
  <c r="AM331" i="2" s="1"/>
  <c r="AN331" i="2" s="1" a="1"/>
  <c r="AN331" i="2" s="1"/>
  <c r="AO331" i="2" s="1" a="1"/>
  <c r="AO331" i="2" s="1"/>
  <c r="AP331" i="2" s="1" a="1"/>
  <c r="AP331" i="2" s="1"/>
  <c r="AQ331" i="2" s="1" a="1"/>
  <c r="AQ331" i="2" s="1"/>
  <c r="AK8" i="2" a="1"/>
  <c r="AK8" i="2" s="1"/>
  <c r="AK7" i="2" a="1"/>
  <c r="AK7" i="2" s="1"/>
  <c r="AL7" i="2" s="1" a="1"/>
  <c r="AL7" i="2" s="1"/>
  <c r="AM7" i="2" s="1" a="1"/>
  <c r="AM7" i="2" s="1"/>
  <c r="AN7" i="2" s="1" a="1"/>
  <c r="AN7" i="2" s="1"/>
  <c r="AO7" i="2" s="1" a="1"/>
  <c r="AO7" i="2" s="1"/>
  <c r="AP7" i="2" s="1" a="1"/>
  <c r="AP7" i="2" s="1"/>
  <c r="AQ7" i="2" s="1" a="1"/>
  <c r="AQ7" i="2" s="1"/>
  <c r="AK492" i="2" a="1"/>
  <c r="AK492" i="2" s="1"/>
  <c r="AL492" i="2" s="1" a="1"/>
  <c r="AL492" i="2" s="1"/>
  <c r="AM492" i="2" s="1" a="1"/>
  <c r="AM492" i="2" s="1"/>
  <c r="AN492" i="2" s="1" a="1"/>
  <c r="AN492" i="2" s="1"/>
  <c r="AO492" i="2" s="1" a="1"/>
  <c r="AO492" i="2" s="1"/>
  <c r="AP492" i="2" s="1" a="1"/>
  <c r="AP492" i="2" s="1"/>
  <c r="AQ492" i="2" s="1" a="1"/>
  <c r="AQ492" i="2" s="1"/>
  <c r="AK448" i="2" a="1"/>
  <c r="AK448" i="2" s="1"/>
  <c r="AK22" i="2" a="1"/>
  <c r="AK22" i="2" s="1"/>
  <c r="AK19" i="2" a="1"/>
  <c r="AK19" i="2" s="1"/>
  <c r="AL19" i="2" s="1" a="1"/>
  <c r="AL19" i="2" s="1"/>
  <c r="AM19" i="2" s="1" a="1"/>
  <c r="AM19" i="2" s="1"/>
  <c r="AN19" i="2" s="1" a="1"/>
  <c r="AN19" i="2" s="1"/>
  <c r="AO19" i="2" s="1" a="1"/>
  <c r="AO19" i="2" s="1"/>
  <c r="AP19" i="2" s="1" a="1"/>
  <c r="AP19" i="2" s="1"/>
  <c r="AQ19" i="2" s="1" a="1"/>
  <c r="AQ19" i="2" s="1"/>
  <c r="AK28" i="2" a="1"/>
  <c r="AK28" i="2" s="1"/>
  <c r="AL28" i="2" s="1" a="1"/>
  <c r="AL28" i="2" s="1"/>
  <c r="AM28" i="2" s="1" a="1"/>
  <c r="AM28" i="2" s="1"/>
  <c r="AN28" i="2" s="1" a="1"/>
  <c r="AN28" i="2" s="1"/>
  <c r="AO28" i="2" s="1" a="1"/>
  <c r="AO28" i="2" s="1"/>
  <c r="AP28" i="2" s="1" a="1"/>
  <c r="AP28" i="2" s="1"/>
  <c r="AQ28" i="2" s="1" a="1"/>
  <c r="AQ28" i="2" s="1"/>
  <c r="AK14" i="2" a="1"/>
  <c r="AK14" i="2" s="1"/>
  <c r="AL14" i="2" s="1" a="1"/>
  <c r="AL14" i="2" s="1"/>
  <c r="AM14" i="2" s="1" a="1"/>
  <c r="AM14" i="2" s="1"/>
  <c r="AN14" i="2" s="1" a="1"/>
  <c r="AN14" i="2" s="1"/>
  <c r="AO14" i="2" s="1" a="1"/>
  <c r="AO14" i="2" s="1"/>
  <c r="AP14" i="2" s="1" a="1"/>
  <c r="AP14" i="2" s="1"/>
  <c r="AQ14" i="2" s="1" a="1"/>
  <c r="AQ14" i="2" s="1"/>
  <c r="AK27" i="2" a="1"/>
  <c r="AK27" i="2" s="1"/>
  <c r="AL27" i="2" s="1" a="1"/>
  <c r="AL27" i="2" s="1"/>
  <c r="AM27" i="2" s="1" a="1"/>
  <c r="AM27" i="2" s="1"/>
  <c r="AN27" i="2" s="1" a="1"/>
  <c r="AN27" i="2" s="1"/>
  <c r="AO27" i="2" s="1" a="1"/>
  <c r="AO27" i="2" s="1"/>
  <c r="AP27" i="2" s="1" a="1"/>
  <c r="AP27" i="2" s="1"/>
  <c r="AQ27" i="2" s="1" a="1"/>
  <c r="AQ27" i="2" s="1"/>
  <c r="AK20" i="2" a="1"/>
  <c r="AK20" i="2" s="1"/>
  <c r="AL20" i="2" s="1" a="1"/>
  <c r="AL20" i="2" s="1"/>
  <c r="AM20" i="2" s="1" a="1"/>
  <c r="AM20" i="2" s="1"/>
  <c r="AN20" i="2" s="1" a="1"/>
  <c r="AN20" i="2" s="1"/>
  <c r="AO20" i="2" s="1" a="1"/>
  <c r="AO20" i="2" s="1"/>
  <c r="AP20" i="2" s="1" a="1"/>
  <c r="AP20" i="2" s="1"/>
  <c r="AQ20" i="2" s="1" a="1"/>
  <c r="AQ20" i="2" s="1"/>
  <c r="AK23" i="2" a="1"/>
  <c r="AK23" i="2" s="1"/>
  <c r="AL23" i="2" s="1" a="1"/>
  <c r="AL23" i="2" s="1"/>
  <c r="AM23" i="2" s="1" a="1"/>
  <c r="AM23" i="2" s="1"/>
  <c r="AN23" i="2" s="1" a="1"/>
  <c r="AN23" i="2" s="1"/>
  <c r="AO23" i="2" s="1" a="1"/>
  <c r="AO23" i="2" s="1"/>
  <c r="AP23" i="2" s="1" a="1"/>
  <c r="AP23" i="2" s="1"/>
  <c r="AQ23" i="2" s="1" a="1"/>
  <c r="AQ23" i="2" s="1"/>
  <c r="AK16" i="2" a="1"/>
  <c r="AK16" i="2" s="1"/>
  <c r="AK15" i="2" a="1"/>
  <c r="AK15" i="2" s="1"/>
  <c r="AL15" i="2" s="1" a="1"/>
  <c r="AL15" i="2" s="1"/>
  <c r="AM15" i="2" s="1" a="1"/>
  <c r="AM15" i="2" s="1"/>
  <c r="AN15" i="2" s="1" a="1"/>
  <c r="AN15" i="2" s="1"/>
  <c r="AO15" i="2" s="1" a="1"/>
  <c r="AO15" i="2" s="1"/>
  <c r="AP15" i="2" s="1" a="1"/>
  <c r="AP15" i="2" s="1"/>
  <c r="AQ15" i="2" s="1" a="1"/>
  <c r="AQ15" i="2" s="1"/>
  <c r="AK29" i="2" a="1"/>
  <c r="AK29" i="2" s="1"/>
  <c r="AL29" i="2" s="1" a="1"/>
  <c r="AL29" i="2" s="1"/>
  <c r="AM29" i="2" s="1" a="1"/>
  <c r="AM29" i="2" s="1"/>
  <c r="AN29" i="2" s="1" a="1"/>
  <c r="AN29" i="2" s="1"/>
  <c r="AO29" i="2" s="1" a="1"/>
  <c r="AO29" i="2" s="1"/>
  <c r="AP29" i="2" s="1" a="1"/>
  <c r="AP29" i="2" s="1"/>
  <c r="AQ29" i="2" s="1" a="1"/>
  <c r="AQ29" i="2" s="1"/>
  <c r="AK31" i="2" a="1"/>
  <c r="AK31" i="2" s="1"/>
  <c r="AL31" i="2" s="1" a="1"/>
  <c r="AL31" i="2" s="1"/>
  <c r="AM31" i="2" s="1" a="1"/>
  <c r="AM31" i="2" s="1"/>
  <c r="AN31" i="2" s="1" a="1"/>
  <c r="AN31" i="2" s="1"/>
  <c r="AO31" i="2" s="1" a="1"/>
  <c r="AO31" i="2" s="1"/>
  <c r="AP31" i="2" s="1" a="1"/>
  <c r="AP31" i="2" s="1"/>
  <c r="AQ31" i="2" s="1" a="1"/>
  <c r="AQ31" i="2" s="1"/>
  <c r="AK21" i="2" a="1"/>
  <c r="AK21" i="2" s="1"/>
  <c r="AL21" i="2" s="1" a="1"/>
  <c r="AL21" i="2" s="1"/>
  <c r="AM21" i="2" s="1" a="1"/>
  <c r="AM21" i="2" s="1"/>
  <c r="AN21" i="2" s="1" a="1"/>
  <c r="AN21" i="2" s="1"/>
  <c r="AO21" i="2" s="1" a="1"/>
  <c r="AO21" i="2" s="1"/>
  <c r="AP21" i="2" s="1" a="1"/>
  <c r="AP21" i="2" s="1"/>
  <c r="AQ21" i="2" s="1" a="1"/>
  <c r="AQ21" i="2" s="1"/>
  <c r="AK30" i="2" a="1"/>
  <c r="AK30" i="2" s="1"/>
  <c r="AL30" i="2" s="1" a="1"/>
  <c r="AL30" i="2" s="1"/>
  <c r="AM30" i="2" s="1" a="1"/>
  <c r="AM30" i="2" s="1"/>
  <c r="AN30" i="2" s="1" a="1"/>
  <c r="AN30" i="2" s="1"/>
  <c r="AO30" i="2" s="1" a="1"/>
  <c r="AO30" i="2" s="1"/>
  <c r="AP30" i="2" s="1" a="1"/>
  <c r="AP30" i="2" s="1"/>
  <c r="AQ30" i="2" s="1" a="1"/>
  <c r="AQ30" i="2" s="1"/>
  <c r="AK18" i="2" a="1"/>
  <c r="AK18" i="2" s="1"/>
  <c r="AK26" i="2" a="1"/>
  <c r="AK26" i="2" s="1"/>
  <c r="AK24" i="2" a="1"/>
  <c r="AK24" i="2" s="1"/>
  <c r="AK17" i="2" a="1"/>
  <c r="AK17" i="2" s="1"/>
  <c r="AL17" i="2" s="1" a="1"/>
  <c r="AL17" i="2" s="1"/>
  <c r="AM17" i="2" s="1" a="1"/>
  <c r="AM17" i="2" s="1"/>
  <c r="AN17" i="2" s="1" a="1"/>
  <c r="AN17" i="2" s="1"/>
  <c r="AO17" i="2" s="1" a="1"/>
  <c r="AO17" i="2" s="1"/>
  <c r="AP17" i="2" s="1" a="1"/>
  <c r="AP17" i="2" s="1"/>
  <c r="AQ17" i="2" s="1" a="1"/>
  <c r="AQ17" i="2" s="1"/>
  <c r="AK25" i="2" a="1"/>
  <c r="AK25" i="2" s="1"/>
  <c r="AK33" i="2" a="1"/>
  <c r="AK33" i="2" s="1"/>
  <c r="AL33" i="2" s="1" a="1"/>
  <c r="AL33" i="2" s="1"/>
  <c r="AM33" i="2" s="1" a="1"/>
  <c r="AM33" i="2" s="1"/>
  <c r="AN33" i="2" s="1" a="1"/>
  <c r="AN33" i="2" s="1"/>
  <c r="AO33" i="2" s="1" a="1"/>
  <c r="AO33" i="2" s="1"/>
  <c r="AP33" i="2" s="1" a="1"/>
  <c r="AP33" i="2" s="1"/>
  <c r="AQ33" i="2" s="1" a="1"/>
  <c r="AQ33" i="2" s="1"/>
  <c r="AK35" i="2" a="1"/>
  <c r="AK35" i="2" s="1"/>
  <c r="AL35" i="2" s="1" a="1"/>
  <c r="AL35" i="2" s="1"/>
  <c r="AM35" i="2" s="1" a="1"/>
  <c r="AM35" i="2" s="1"/>
  <c r="AN35" i="2" s="1" a="1"/>
  <c r="AN35" i="2" s="1"/>
  <c r="AO35" i="2" s="1" a="1"/>
  <c r="AO35" i="2" s="1"/>
  <c r="AP35" i="2" s="1" a="1"/>
  <c r="AP35" i="2" s="1"/>
  <c r="AQ35" i="2" s="1" a="1"/>
  <c r="AQ35" i="2" s="1"/>
  <c r="AK57" i="2" a="1"/>
  <c r="AK57" i="2" s="1"/>
  <c r="AK34" i="2" a="1"/>
  <c r="AK34" i="2" s="1"/>
  <c r="AL34" i="2" s="1" a="1"/>
  <c r="AL34" i="2" s="1"/>
  <c r="AM34" i="2" s="1" a="1"/>
  <c r="AM34" i="2" s="1"/>
  <c r="AN34" i="2" s="1" a="1"/>
  <c r="AN34" i="2" s="1"/>
  <c r="AO34" i="2" s="1" a="1"/>
  <c r="AO34" i="2" s="1"/>
  <c r="AP34" i="2" s="1" a="1"/>
  <c r="AP34" i="2" s="1"/>
  <c r="AQ34" i="2" s="1" a="1"/>
  <c r="AQ34" i="2" s="1"/>
  <c r="AK95" i="2" a="1"/>
  <c r="AK95" i="2" s="1"/>
  <c r="AL95" i="2" s="1" a="1"/>
  <c r="AL95" i="2" s="1"/>
  <c r="AM95" i="2" s="1" a="1"/>
  <c r="AM95" i="2" s="1"/>
  <c r="AN95" i="2" s="1" a="1"/>
  <c r="AN95" i="2" s="1"/>
  <c r="AO95" i="2" s="1" a="1"/>
  <c r="AO95" i="2" s="1"/>
  <c r="AP95" i="2" s="1" a="1"/>
  <c r="AP95" i="2" s="1"/>
  <c r="AQ95" i="2" s="1" a="1"/>
  <c r="AQ95" i="2" s="1"/>
  <c r="AK94" i="2" a="1"/>
  <c r="AK94" i="2" s="1"/>
  <c r="AL94" i="2" s="1" a="1"/>
  <c r="AL94" i="2" s="1"/>
  <c r="AM94" i="2" s="1" a="1"/>
  <c r="AM94" i="2" s="1"/>
  <c r="AN94" i="2" s="1" a="1"/>
  <c r="AN94" i="2" s="1"/>
  <c r="AO94" i="2" s="1" a="1"/>
  <c r="AO94" i="2" s="1"/>
  <c r="AP94" i="2" s="1" a="1"/>
  <c r="AP94" i="2" s="1"/>
  <c r="AQ94" i="2" s="1" a="1"/>
  <c r="AQ94" i="2" s="1"/>
  <c r="AK96" i="2" a="1"/>
  <c r="AK96" i="2" s="1"/>
  <c r="AL96" i="2" s="1" a="1"/>
  <c r="AL96" i="2" s="1"/>
  <c r="AM96" i="2" s="1" a="1"/>
  <c r="AM96" i="2" s="1"/>
  <c r="AN96" i="2" s="1" a="1"/>
  <c r="AN96" i="2" s="1"/>
  <c r="AO96" i="2" s="1" a="1"/>
  <c r="AO96" i="2" s="1"/>
  <c r="AP96" i="2" s="1" a="1"/>
  <c r="AP96" i="2" s="1"/>
  <c r="AQ96" i="2" s="1" a="1"/>
  <c r="AQ96" i="2" s="1"/>
  <c r="AK108" i="2" a="1"/>
  <c r="AK108" i="2" s="1"/>
  <c r="AL108" i="2" s="1" a="1"/>
  <c r="AL108" i="2" s="1"/>
  <c r="AM108" i="2" s="1" a="1"/>
  <c r="AM108" i="2" s="1"/>
  <c r="AN108" i="2" s="1" a="1"/>
  <c r="AN108" i="2" s="1"/>
  <c r="AO108" i="2" s="1" a="1"/>
  <c r="AO108" i="2" s="1"/>
  <c r="AP108" i="2" s="1" a="1"/>
  <c r="AP108" i="2" s="1"/>
  <c r="AQ108" i="2" s="1" a="1"/>
  <c r="AQ108" i="2" s="1"/>
  <c r="AK107" i="2" a="1"/>
  <c r="AK107" i="2" s="1"/>
  <c r="AL107" i="2" s="1" a="1"/>
  <c r="AL107" i="2" s="1"/>
  <c r="AM107" i="2" s="1" a="1"/>
  <c r="AM107" i="2" s="1"/>
  <c r="AN107" i="2" s="1" a="1"/>
  <c r="AN107" i="2" s="1"/>
  <c r="AO107" i="2" s="1" a="1"/>
  <c r="AO107" i="2" s="1"/>
  <c r="AP107" i="2" s="1" a="1"/>
  <c r="AP107" i="2" s="1"/>
  <c r="AQ107" i="2" s="1" a="1"/>
  <c r="AQ107" i="2" s="1"/>
  <c r="AK186" i="2" a="1"/>
  <c r="AK186" i="2" s="1"/>
  <c r="AL186" i="2" s="1" a="1"/>
  <c r="AL186" i="2" s="1"/>
  <c r="AM186" i="2" s="1" a="1"/>
  <c r="AM186" i="2" s="1"/>
  <c r="AN186" i="2" s="1" a="1"/>
  <c r="AN186" i="2" s="1"/>
  <c r="AO186" i="2" s="1" a="1"/>
  <c r="AO186" i="2" s="1"/>
  <c r="AP186" i="2" s="1" a="1"/>
  <c r="AP186" i="2" s="1"/>
  <c r="AQ186" i="2" s="1" a="1"/>
  <c r="AQ186" i="2" s="1"/>
  <c r="AK98" i="2" a="1"/>
  <c r="AK98" i="2" s="1"/>
  <c r="AK111" i="2" a="1"/>
  <c r="AK111" i="2" s="1"/>
  <c r="AL111" i="2" s="1" a="1"/>
  <c r="AL111" i="2" s="1"/>
  <c r="AM111" i="2" s="1" a="1"/>
  <c r="AM111" i="2" s="1"/>
  <c r="AN111" i="2" s="1" a="1"/>
  <c r="AN111" i="2" s="1"/>
  <c r="AO111" i="2" s="1" a="1"/>
  <c r="AO111" i="2" s="1"/>
  <c r="AP111" i="2" s="1" a="1"/>
  <c r="AP111" i="2" s="1"/>
  <c r="AQ111" i="2" s="1" a="1"/>
  <c r="AQ111" i="2" s="1"/>
  <c r="AK113" i="2" a="1"/>
  <c r="AK113" i="2" s="1"/>
  <c r="AL113" i="2" s="1" a="1"/>
  <c r="AL113" i="2" s="1"/>
  <c r="AM113" i="2" s="1" a="1"/>
  <c r="AM113" i="2" s="1"/>
  <c r="AN113" i="2" s="1" a="1"/>
  <c r="AN113" i="2" s="1"/>
  <c r="AO113" i="2" s="1" a="1"/>
  <c r="AO113" i="2" s="1"/>
  <c r="AP113" i="2" s="1" a="1"/>
  <c r="AP113" i="2" s="1"/>
  <c r="AQ113" i="2" s="1" a="1"/>
  <c r="AQ113" i="2" s="1"/>
  <c r="AK112" i="2" a="1"/>
  <c r="AK112" i="2" s="1"/>
  <c r="AL112" i="2" s="1" a="1"/>
  <c r="AL112" i="2" s="1"/>
  <c r="AM112" i="2" s="1" a="1"/>
  <c r="AM112" i="2" s="1"/>
  <c r="AN112" i="2" s="1" a="1"/>
  <c r="AN112" i="2" s="1"/>
  <c r="AO112" i="2" s="1" a="1"/>
  <c r="AO112" i="2" s="1"/>
  <c r="AP112" i="2" s="1" a="1"/>
  <c r="AP112" i="2" s="1"/>
  <c r="AQ112" i="2" s="1" a="1"/>
  <c r="AQ112" i="2" s="1"/>
  <c r="AK110" i="2" a="1"/>
  <c r="AK110" i="2" s="1"/>
  <c r="AL110" i="2" s="1" a="1"/>
  <c r="AL110" i="2" s="1"/>
  <c r="AM110" i="2" s="1" a="1"/>
  <c r="AM110" i="2" s="1"/>
  <c r="AN110" i="2" s="1" a="1"/>
  <c r="AN110" i="2" s="1"/>
  <c r="AO110" i="2" s="1" a="1"/>
  <c r="AO110" i="2" s="1"/>
  <c r="AP110" i="2" s="1" a="1"/>
  <c r="AP110" i="2" s="1"/>
  <c r="AQ110" i="2" s="1" a="1"/>
  <c r="AQ110" i="2" s="1"/>
  <c r="AK229" i="2" a="1"/>
  <c r="AK229" i="2" s="1"/>
  <c r="AL229" i="2" s="1" a="1"/>
  <c r="AL229" i="2" s="1"/>
  <c r="AM229" i="2" s="1" a="1"/>
  <c r="AM229" i="2" s="1"/>
  <c r="AN229" i="2" s="1" a="1"/>
  <c r="AN229" i="2" s="1"/>
  <c r="AO229" i="2" s="1" a="1"/>
  <c r="AO229" i="2" s="1"/>
  <c r="AP229" i="2" s="1" a="1"/>
  <c r="AP229" i="2" s="1"/>
  <c r="AQ229" i="2" s="1" a="1"/>
  <c r="AQ229" i="2" s="1"/>
  <c r="AK136" i="2" a="1"/>
  <c r="AK136" i="2" s="1"/>
  <c r="AK40" i="2" a="1"/>
  <c r="AK40" i="2" s="1"/>
  <c r="AL40" i="2" s="1" a="1"/>
  <c r="AL40" i="2" s="1"/>
  <c r="AM40" i="2" s="1" a="1"/>
  <c r="AM40" i="2" s="1"/>
  <c r="AN40" i="2" s="1" a="1"/>
  <c r="AN40" i="2" s="1"/>
  <c r="AO40" i="2" s="1" a="1"/>
  <c r="AO40" i="2" s="1"/>
  <c r="AP40" i="2" s="1" a="1"/>
  <c r="AP40" i="2" s="1"/>
  <c r="AQ40" i="2" s="1" a="1"/>
  <c r="AQ40" i="2" s="1"/>
  <c r="AK36" i="2" a="1"/>
  <c r="AK36" i="2" s="1"/>
  <c r="AL36" i="2" s="1" a="1"/>
  <c r="AL36" i="2" s="1"/>
  <c r="AM36" i="2" s="1" a="1"/>
  <c r="AM36" i="2" s="1"/>
  <c r="AN36" i="2" s="1" a="1"/>
  <c r="AN36" i="2" s="1"/>
  <c r="AO36" i="2" s="1" a="1"/>
  <c r="AO36" i="2" s="1"/>
  <c r="AP36" i="2" s="1" a="1"/>
  <c r="AP36" i="2" s="1"/>
  <c r="AQ36" i="2" s="1" a="1"/>
  <c r="AQ36" i="2" s="1"/>
  <c r="AK46" i="2" a="1"/>
  <c r="AK46" i="2" s="1"/>
  <c r="AL46" i="2" s="1" a="1"/>
  <c r="AL46" i="2" s="1"/>
  <c r="AM46" i="2" s="1" a="1"/>
  <c r="AM46" i="2" s="1"/>
  <c r="AN46" i="2" s="1" a="1"/>
  <c r="AN46" i="2" s="1"/>
  <c r="AO46" i="2" s="1" a="1"/>
  <c r="AO46" i="2" s="1"/>
  <c r="AP46" i="2" s="1" a="1"/>
  <c r="AP46" i="2" s="1"/>
  <c r="AQ46" i="2" s="1" a="1"/>
  <c r="AQ46" i="2" s="1"/>
  <c r="AK44" i="2" a="1"/>
  <c r="AK44" i="2" s="1"/>
  <c r="AL44" i="2" s="1" a="1"/>
  <c r="AL44" i="2" s="1"/>
  <c r="AM44" i="2" s="1" a="1"/>
  <c r="AM44" i="2" s="1"/>
  <c r="AN44" i="2" s="1" a="1"/>
  <c r="AN44" i="2" s="1"/>
  <c r="AO44" i="2" s="1" a="1"/>
  <c r="AO44" i="2" s="1"/>
  <c r="AP44" i="2" s="1" a="1"/>
  <c r="AP44" i="2" s="1"/>
  <c r="AQ44" i="2" s="1" a="1"/>
  <c r="AQ44" i="2" s="1"/>
  <c r="AK45" i="2" a="1"/>
  <c r="AK45" i="2" s="1"/>
  <c r="AL45" i="2" s="1" a="1"/>
  <c r="AL45" i="2" s="1"/>
  <c r="AM45" i="2" s="1" a="1"/>
  <c r="AM45" i="2" s="1"/>
  <c r="AN45" i="2" s="1" a="1"/>
  <c r="AN45" i="2" s="1"/>
  <c r="AO45" i="2" s="1" a="1"/>
  <c r="AO45" i="2" s="1"/>
  <c r="AP45" i="2" s="1" a="1"/>
  <c r="AP45" i="2" s="1"/>
  <c r="AQ45" i="2" s="1" a="1"/>
  <c r="AQ45" i="2" s="1"/>
  <c r="AK49" i="2" a="1"/>
  <c r="AK49" i="2" s="1"/>
  <c r="AL49" i="2" s="1" a="1"/>
  <c r="AL49" i="2" s="1"/>
  <c r="AM49" i="2" s="1" a="1"/>
  <c r="AM49" i="2" s="1"/>
  <c r="AN49" i="2" s="1" a="1"/>
  <c r="AN49" i="2" s="1"/>
  <c r="AO49" i="2" s="1" a="1"/>
  <c r="AO49" i="2" s="1"/>
  <c r="AP49" i="2" s="1" a="1"/>
  <c r="AP49" i="2" s="1"/>
  <c r="AQ49" i="2" s="1" a="1"/>
  <c r="AQ49" i="2" s="1"/>
  <c r="AK41" i="2" a="1"/>
  <c r="AK41" i="2" s="1"/>
  <c r="AL41" i="2" s="1" a="1"/>
  <c r="AL41" i="2" s="1"/>
  <c r="AM41" i="2" s="1" a="1"/>
  <c r="AM41" i="2" s="1"/>
  <c r="AN41" i="2" s="1" a="1"/>
  <c r="AN41" i="2" s="1"/>
  <c r="AO41" i="2" s="1" a="1"/>
  <c r="AO41" i="2" s="1"/>
  <c r="AP41" i="2" s="1" a="1"/>
  <c r="AP41" i="2" s="1"/>
  <c r="AQ41" i="2" s="1" a="1"/>
  <c r="AQ41" i="2" s="1"/>
  <c r="AK43" i="2" a="1"/>
  <c r="AK43" i="2" s="1"/>
  <c r="AL43" i="2" s="1" a="1"/>
  <c r="AL43" i="2" s="1"/>
  <c r="AM43" i="2" s="1" a="1"/>
  <c r="AM43" i="2" s="1"/>
  <c r="AN43" i="2" s="1" a="1"/>
  <c r="AN43" i="2" s="1"/>
  <c r="AO43" i="2" s="1" a="1"/>
  <c r="AO43" i="2" s="1"/>
  <c r="AP43" i="2" s="1" a="1"/>
  <c r="AP43" i="2" s="1"/>
  <c r="AQ43" i="2" s="1" a="1"/>
  <c r="AQ43" i="2" s="1"/>
  <c r="AK38" i="2" a="1"/>
  <c r="AK38" i="2" s="1"/>
  <c r="AL38" i="2" s="1" a="1"/>
  <c r="AL38" i="2" s="1"/>
  <c r="AM38" i="2" s="1" a="1"/>
  <c r="AM38" i="2" s="1"/>
  <c r="AN38" i="2" s="1" a="1"/>
  <c r="AN38" i="2" s="1"/>
  <c r="AO38" i="2" s="1" a="1"/>
  <c r="AO38" i="2" s="1"/>
  <c r="AP38" i="2" s="1" a="1"/>
  <c r="AP38" i="2" s="1"/>
  <c r="AQ38" i="2" s="1" a="1"/>
  <c r="AQ38" i="2" s="1"/>
  <c r="AK224" i="2" a="1"/>
  <c r="AK224" i="2" s="1"/>
  <c r="AL224" i="2" s="1" a="1"/>
  <c r="AL224" i="2" s="1"/>
  <c r="AM224" i="2" s="1" a="1"/>
  <c r="AM224" i="2" s="1"/>
  <c r="AN224" i="2" s="1" a="1"/>
  <c r="AN224" i="2" s="1"/>
  <c r="AO224" i="2" s="1" a="1"/>
  <c r="AO224" i="2" s="1"/>
  <c r="AP224" i="2" s="1" a="1"/>
  <c r="AP224" i="2" s="1"/>
  <c r="AQ224" i="2" s="1" a="1"/>
  <c r="AQ224" i="2" s="1"/>
  <c r="AK221" i="2" a="1"/>
  <c r="AK221" i="2" s="1"/>
  <c r="AL221" i="2" s="1" a="1"/>
  <c r="AL221" i="2" s="1"/>
  <c r="AM221" i="2" s="1" a="1"/>
  <c r="AM221" i="2" s="1"/>
  <c r="AN221" i="2" s="1" a="1"/>
  <c r="AN221" i="2" s="1"/>
  <c r="AO221" i="2" s="1" a="1"/>
  <c r="AO221" i="2" s="1"/>
  <c r="AP221" i="2" s="1" a="1"/>
  <c r="AP221" i="2" s="1"/>
  <c r="AQ221" i="2" s="1" a="1"/>
  <c r="AQ221" i="2" s="1"/>
  <c r="AK220" i="2" a="1"/>
  <c r="AK220" i="2" s="1"/>
  <c r="AL220" i="2" s="1" a="1"/>
  <c r="AL220" i="2" s="1"/>
  <c r="AM220" i="2" s="1" a="1"/>
  <c r="AM220" i="2" s="1"/>
  <c r="AN220" i="2" s="1" a="1"/>
  <c r="AN220" i="2" s="1"/>
  <c r="AO220" i="2" s="1" a="1"/>
  <c r="AO220" i="2" s="1"/>
  <c r="AP220" i="2" s="1" a="1"/>
  <c r="AP220" i="2" s="1"/>
  <c r="AQ220" i="2" s="1" a="1"/>
  <c r="AQ220" i="2" s="1"/>
  <c r="AK223" i="2" a="1"/>
  <c r="AK223" i="2" s="1"/>
  <c r="AK222" i="2" a="1"/>
  <c r="AK222" i="2" s="1"/>
  <c r="AL222" i="2" s="1" a="1"/>
  <c r="AL222" i="2" s="1"/>
  <c r="AM222" i="2" s="1" a="1"/>
  <c r="AM222" i="2" s="1"/>
  <c r="AN222" i="2" s="1" a="1"/>
  <c r="AN222" i="2" s="1"/>
  <c r="AO222" i="2" s="1" a="1"/>
  <c r="AO222" i="2" s="1"/>
  <c r="AP222" i="2" s="1" a="1"/>
  <c r="AP222" i="2" s="1"/>
  <c r="AQ222" i="2" s="1" a="1"/>
  <c r="AQ222" i="2" s="1"/>
  <c r="AK226" i="2" a="1"/>
  <c r="AK226" i="2" s="1"/>
  <c r="AL226" i="2" s="1" a="1"/>
  <c r="AL226" i="2" s="1"/>
  <c r="AM226" i="2" s="1" a="1"/>
  <c r="AM226" i="2" s="1"/>
  <c r="AN226" i="2" s="1" a="1"/>
  <c r="AN226" i="2" s="1"/>
  <c r="AO226" i="2" s="1" a="1"/>
  <c r="AO226" i="2" s="1"/>
  <c r="AP226" i="2" s="1" a="1"/>
  <c r="AP226" i="2" s="1"/>
  <c r="AQ226" i="2" s="1" a="1"/>
  <c r="AQ226" i="2" s="1"/>
  <c r="AK227" i="2" a="1"/>
  <c r="AK227" i="2" s="1"/>
  <c r="AK225" i="2" a="1"/>
  <c r="AK225" i="2" s="1"/>
  <c r="AL225" i="2" s="1" a="1"/>
  <c r="AL225" i="2" s="1"/>
  <c r="AM225" i="2" s="1" a="1"/>
  <c r="AM225" i="2" s="1"/>
  <c r="AN225" i="2" s="1" a="1"/>
  <c r="AN225" i="2" s="1"/>
  <c r="AO225" i="2" s="1" a="1"/>
  <c r="AO225" i="2" s="1"/>
  <c r="AP225" i="2" s="1" a="1"/>
  <c r="AP225" i="2" s="1"/>
  <c r="AQ225" i="2" s="1" a="1"/>
  <c r="AQ225" i="2" s="1"/>
  <c r="AK228" i="2" a="1"/>
  <c r="AK228" i="2" s="1"/>
  <c r="AL228" i="2" s="1" a="1"/>
  <c r="AL228" i="2" s="1"/>
  <c r="AM228" i="2" s="1" a="1"/>
  <c r="AM228" i="2" s="1"/>
  <c r="AN228" i="2" s="1" a="1"/>
  <c r="AN228" i="2" s="1"/>
  <c r="AO228" i="2" s="1" a="1"/>
  <c r="AO228" i="2" s="1"/>
  <c r="AP228" i="2" s="1" a="1"/>
  <c r="AP228" i="2" s="1"/>
  <c r="AQ228" i="2" s="1" a="1"/>
  <c r="AQ228" i="2" s="1"/>
  <c r="AK47" i="2" a="1"/>
  <c r="AK47" i="2" s="1"/>
  <c r="AL47" i="2" s="1" a="1"/>
  <c r="AL47" i="2" s="1"/>
  <c r="AM47" i="2" s="1" a="1"/>
  <c r="AM47" i="2" s="1"/>
  <c r="AN47" i="2" s="1" a="1"/>
  <c r="AN47" i="2" s="1"/>
  <c r="AO47" i="2" s="1" a="1"/>
  <c r="AO47" i="2" s="1"/>
  <c r="AP47" i="2" s="1" a="1"/>
  <c r="AP47" i="2" s="1"/>
  <c r="AQ47" i="2" s="1" a="1"/>
  <c r="AQ47" i="2" s="1"/>
  <c r="AK50" i="2" a="1"/>
  <c r="AK50" i="2" s="1"/>
  <c r="AL50" i="2" s="1" a="1"/>
  <c r="AL50" i="2" s="1"/>
  <c r="AM50" i="2" s="1" a="1"/>
  <c r="AM50" i="2" s="1"/>
  <c r="AN50" i="2" s="1" a="1"/>
  <c r="AN50" i="2" s="1"/>
  <c r="AO50" i="2" s="1" a="1"/>
  <c r="AO50" i="2" s="1"/>
  <c r="AP50" i="2" s="1" a="1"/>
  <c r="AP50" i="2" s="1"/>
  <c r="AQ50" i="2" s="1" a="1"/>
  <c r="AQ50" i="2" s="1"/>
  <c r="AK37" i="2" a="1"/>
  <c r="AK37" i="2" s="1"/>
  <c r="AL37" i="2" s="1" a="1"/>
  <c r="AL37" i="2" s="1"/>
  <c r="AM37" i="2" s="1" a="1"/>
  <c r="AM37" i="2" s="1"/>
  <c r="AN37" i="2" s="1" a="1"/>
  <c r="AN37" i="2" s="1"/>
  <c r="AO37" i="2" s="1" a="1"/>
  <c r="AO37" i="2" s="1"/>
  <c r="AP37" i="2" s="1" a="1"/>
  <c r="AP37" i="2" s="1"/>
  <c r="AQ37" i="2" s="1" a="1"/>
  <c r="AQ37" i="2" s="1"/>
  <c r="AK48" i="2" a="1"/>
  <c r="AK48" i="2" s="1"/>
  <c r="AL48" i="2" s="1" a="1"/>
  <c r="AL48" i="2" s="1"/>
  <c r="AM48" i="2" s="1" a="1"/>
  <c r="AM48" i="2" s="1"/>
  <c r="AN48" i="2" s="1" a="1"/>
  <c r="AN48" i="2" s="1"/>
  <c r="AO48" i="2" s="1" a="1"/>
  <c r="AO48" i="2" s="1"/>
  <c r="AP48" i="2" s="1" a="1"/>
  <c r="AP48" i="2" s="1"/>
  <c r="AQ48" i="2" s="1" a="1"/>
  <c r="AQ48" i="2" s="1"/>
  <c r="AK39" i="2" a="1"/>
  <c r="AK39" i="2" s="1"/>
  <c r="AK187" i="2" a="1"/>
  <c r="AK187" i="2" s="1"/>
  <c r="AK120" i="2" a="1"/>
  <c r="AK120" i="2" s="1"/>
  <c r="AK119" i="2" a="1"/>
  <c r="AK119" i="2" s="1"/>
  <c r="AK54" i="2" a="1"/>
  <c r="AK54" i="2" s="1"/>
  <c r="AL54" i="2" s="1" a="1"/>
  <c r="AL54" i="2" s="1"/>
  <c r="AM54" i="2" s="1" a="1"/>
  <c r="AM54" i="2" s="1"/>
  <c r="AN54" i="2" s="1" a="1"/>
  <c r="AN54" i="2" s="1"/>
  <c r="AO54" i="2" s="1" a="1"/>
  <c r="AO54" i="2" s="1"/>
  <c r="AP54" i="2" s="1" a="1"/>
  <c r="AP54" i="2" s="1"/>
  <c r="AQ54" i="2" s="1" a="1"/>
  <c r="AQ54" i="2" s="1"/>
  <c r="AK51" i="2" a="1"/>
  <c r="AK51" i="2" s="1"/>
  <c r="AL51" i="2" s="1" a="1"/>
  <c r="AL51" i="2" s="1"/>
  <c r="AM51" i="2" s="1" a="1"/>
  <c r="AM51" i="2" s="1"/>
  <c r="AN51" i="2" s="1" a="1"/>
  <c r="AN51" i="2" s="1"/>
  <c r="AO51" i="2" s="1" a="1"/>
  <c r="AO51" i="2" s="1"/>
  <c r="AP51" i="2" s="1" a="1"/>
  <c r="AP51" i="2" s="1"/>
  <c r="AQ51" i="2" s="1" a="1"/>
  <c r="AQ51" i="2" s="1"/>
  <c r="AK56" i="2" a="1"/>
  <c r="AK56" i="2" s="1"/>
  <c r="AL56" i="2" s="1" a="1"/>
  <c r="AL56" i="2" s="1"/>
  <c r="AM56" i="2" s="1" a="1"/>
  <c r="AM56" i="2" s="1"/>
  <c r="AN56" i="2" s="1" a="1"/>
  <c r="AN56" i="2" s="1"/>
  <c r="AO56" i="2" s="1" a="1"/>
  <c r="AO56" i="2" s="1"/>
  <c r="AP56" i="2" s="1" a="1"/>
  <c r="AP56" i="2" s="1"/>
  <c r="AQ56" i="2" s="1" a="1"/>
  <c r="AQ56" i="2" s="1"/>
  <c r="AK146" i="2" a="1"/>
  <c r="AK146" i="2" s="1"/>
  <c r="AL146" i="2" s="1" a="1"/>
  <c r="AL146" i="2" s="1"/>
  <c r="AM146" i="2" s="1" a="1"/>
  <c r="AM146" i="2" s="1"/>
  <c r="AN146" i="2" s="1" a="1"/>
  <c r="AN146" i="2" s="1"/>
  <c r="AO146" i="2" s="1" a="1"/>
  <c r="AO146" i="2" s="1"/>
  <c r="AP146" i="2" s="1" a="1"/>
  <c r="AP146" i="2" s="1"/>
  <c r="AQ146" i="2" s="1" a="1"/>
  <c r="AQ146" i="2" s="1"/>
  <c r="AK189" i="2" a="1"/>
  <c r="AK189" i="2" s="1"/>
  <c r="AL189" i="2" s="1" a="1"/>
  <c r="AL189" i="2" s="1"/>
  <c r="AM189" i="2" s="1" a="1"/>
  <c r="AM189" i="2" s="1"/>
  <c r="AN189" i="2" s="1" a="1"/>
  <c r="AN189" i="2" s="1"/>
  <c r="AO189" i="2" s="1" a="1"/>
  <c r="AO189" i="2" s="1"/>
  <c r="AP189" i="2" s="1" a="1"/>
  <c r="AP189" i="2" s="1"/>
  <c r="AQ189" i="2" s="1" a="1"/>
  <c r="AQ189" i="2" s="1"/>
  <c r="AK530" i="2" a="1"/>
  <c r="AK530" i="2" s="1"/>
  <c r="AL530" i="2" s="1" a="1"/>
  <c r="AL530" i="2" s="1"/>
  <c r="AM530" i="2" s="1" a="1"/>
  <c r="AM530" i="2" s="1"/>
  <c r="AN530" i="2" s="1" a="1"/>
  <c r="AN530" i="2" s="1"/>
  <c r="AO530" i="2" s="1" a="1"/>
  <c r="AO530" i="2" s="1"/>
  <c r="AP530" i="2" s="1" a="1"/>
  <c r="AP530" i="2" s="1"/>
  <c r="AQ530" i="2" s="1" a="1"/>
  <c r="AQ530" i="2" s="1"/>
  <c r="AK532" i="2" a="1"/>
  <c r="AK532" i="2" s="1"/>
  <c r="AL532" i="2" s="1" a="1"/>
  <c r="AL532" i="2" s="1"/>
  <c r="AM532" i="2" s="1" a="1"/>
  <c r="AM532" i="2" s="1"/>
  <c r="AN532" i="2" s="1" a="1"/>
  <c r="AN532" i="2" s="1"/>
  <c r="AO532" i="2" s="1" a="1"/>
  <c r="AO532" i="2" s="1"/>
  <c r="AP532" i="2" s="1" a="1"/>
  <c r="AP532" i="2" s="1"/>
  <c r="AQ532" i="2" s="1" a="1"/>
  <c r="AQ532" i="2" s="1"/>
  <c r="AK312" i="2" a="1"/>
  <c r="AK312" i="2" s="1"/>
  <c r="AL312" i="2" s="1" a="1"/>
  <c r="AL312" i="2" s="1"/>
  <c r="AM312" i="2" s="1" a="1"/>
  <c r="AM312" i="2" s="1"/>
  <c r="AN312" i="2" s="1" a="1"/>
  <c r="AN312" i="2" s="1"/>
  <c r="AO312" i="2" s="1" a="1"/>
  <c r="AO312" i="2" s="1"/>
  <c r="AP312" i="2" s="1" a="1"/>
  <c r="AP312" i="2" s="1"/>
  <c r="AQ312" i="2" s="1" a="1"/>
  <c r="AQ312" i="2" s="1"/>
  <c r="AK318" i="2" a="1"/>
  <c r="AK318" i="2" s="1"/>
  <c r="AL318" i="2" s="1" a="1"/>
  <c r="AL318" i="2" s="1"/>
  <c r="AM318" i="2" s="1" a="1"/>
  <c r="AM318" i="2" s="1"/>
  <c r="AN318" i="2" s="1" a="1"/>
  <c r="AN318" i="2" s="1"/>
  <c r="AO318" i="2" s="1" a="1"/>
  <c r="AO318" i="2" s="1"/>
  <c r="AP318" i="2" s="1" a="1"/>
  <c r="AP318" i="2" s="1"/>
  <c r="AQ318" i="2" s="1" a="1"/>
  <c r="AQ318" i="2" s="1"/>
  <c r="AK329" i="2" a="1"/>
  <c r="AK329" i="2" s="1"/>
  <c r="AL329" i="2" s="1" a="1"/>
  <c r="AL329" i="2" s="1"/>
  <c r="AM329" i="2" s="1" a="1"/>
  <c r="AM329" i="2" s="1"/>
  <c r="AN329" i="2" s="1" a="1"/>
  <c r="AN329" i="2" s="1"/>
  <c r="AO329" i="2" s="1" a="1"/>
  <c r="AO329" i="2" s="1"/>
  <c r="AP329" i="2" s="1" a="1"/>
  <c r="AP329" i="2" s="1"/>
  <c r="AQ329" i="2" s="1" a="1"/>
  <c r="AQ329" i="2" s="1"/>
  <c r="AK314" i="2" a="1"/>
  <c r="AK314" i="2" s="1"/>
  <c r="AL314" i="2" s="1" a="1"/>
  <c r="AL314" i="2" s="1"/>
  <c r="AM314" i="2" s="1" a="1"/>
  <c r="AM314" i="2" s="1"/>
  <c r="AN314" i="2" s="1" a="1"/>
  <c r="AN314" i="2" s="1"/>
  <c r="AO314" i="2" s="1" a="1"/>
  <c r="AO314" i="2" s="1"/>
  <c r="AP314" i="2" s="1" a="1"/>
  <c r="AP314" i="2" s="1"/>
  <c r="AQ314" i="2" s="1" a="1"/>
  <c r="AQ314" i="2" s="1"/>
  <c r="AK317" i="2" a="1"/>
  <c r="AK317" i="2" s="1"/>
  <c r="AK313" i="2" a="1"/>
  <c r="AK313" i="2" s="1"/>
  <c r="AL313" i="2" s="1" a="1"/>
  <c r="AL313" i="2" s="1"/>
  <c r="AM313" i="2" s="1" a="1"/>
  <c r="AM313" i="2" s="1"/>
  <c r="AN313" i="2" s="1" a="1"/>
  <c r="AN313" i="2" s="1"/>
  <c r="AO313" i="2" s="1" a="1"/>
  <c r="AO313" i="2" s="1"/>
  <c r="AP313" i="2" s="1" a="1"/>
  <c r="AP313" i="2" s="1"/>
  <c r="AQ313" i="2" s="1" a="1"/>
  <c r="AQ313" i="2" s="1"/>
  <c r="AK319" i="2" a="1"/>
  <c r="AK319" i="2" s="1"/>
  <c r="AL319" i="2" s="1" a="1"/>
  <c r="AL319" i="2" s="1"/>
  <c r="AM319" i="2" s="1" a="1"/>
  <c r="AM319" i="2" s="1"/>
  <c r="AN319" i="2" s="1" a="1"/>
  <c r="AN319" i="2" s="1"/>
  <c r="AO319" i="2" s="1" a="1"/>
  <c r="AO319" i="2" s="1"/>
  <c r="AP319" i="2" s="1" a="1"/>
  <c r="AP319" i="2" s="1"/>
  <c r="AQ319" i="2" s="1" a="1"/>
  <c r="AQ319" i="2" s="1"/>
  <c r="AK316" i="2" a="1"/>
  <c r="AK316" i="2" s="1"/>
  <c r="AK320" i="2" a="1"/>
  <c r="AK320" i="2" s="1"/>
  <c r="AK321" i="2" a="1"/>
  <c r="AK321" i="2" s="1"/>
  <c r="AK322" i="2" a="1"/>
  <c r="AK322" i="2" s="1"/>
  <c r="AK323" i="2" a="1"/>
  <c r="AK323" i="2" s="1"/>
  <c r="AL323" i="2" s="1" a="1"/>
  <c r="AL323" i="2" s="1"/>
  <c r="AM323" i="2" s="1" a="1"/>
  <c r="AM323" i="2" s="1"/>
  <c r="AN323" i="2" s="1" a="1"/>
  <c r="AN323" i="2" s="1"/>
  <c r="AO323" i="2" s="1" a="1"/>
  <c r="AO323" i="2" s="1"/>
  <c r="AP323" i="2" s="1" a="1"/>
  <c r="AP323" i="2" s="1"/>
  <c r="AQ323" i="2" s="1" a="1"/>
  <c r="AQ323" i="2" s="1"/>
  <c r="AK325" i="2" a="1"/>
  <c r="AK325" i="2" s="1"/>
  <c r="AL325" i="2" s="1" a="1"/>
  <c r="AL325" i="2" s="1"/>
  <c r="AM325" i="2" s="1" a="1"/>
  <c r="AM325" i="2" s="1"/>
  <c r="AN325" i="2" s="1" a="1"/>
  <c r="AN325" i="2" s="1"/>
  <c r="AO325" i="2" s="1" a="1"/>
  <c r="AO325" i="2" s="1"/>
  <c r="AP325" i="2" s="1" a="1"/>
  <c r="AP325" i="2" s="1"/>
  <c r="AQ325" i="2" s="1" a="1"/>
  <c r="AQ325" i="2" s="1"/>
  <c r="AK315" i="2" a="1"/>
  <c r="AK315" i="2" s="1"/>
  <c r="AL315" i="2" s="1" a="1"/>
  <c r="AL315" i="2" s="1"/>
  <c r="AM315" i="2" s="1" a="1"/>
  <c r="AM315" i="2" s="1"/>
  <c r="AN315" i="2" s="1" a="1"/>
  <c r="AN315" i="2" s="1"/>
  <c r="AO315" i="2" s="1" a="1"/>
  <c r="AO315" i="2" s="1"/>
  <c r="AP315" i="2" s="1" a="1"/>
  <c r="AP315" i="2" s="1"/>
  <c r="AQ315" i="2" s="1" a="1"/>
  <c r="AQ315" i="2" s="1"/>
  <c r="AK326" i="2" a="1"/>
  <c r="AK326" i="2" s="1"/>
  <c r="AL326" i="2" s="1" a="1"/>
  <c r="AL326" i="2" s="1"/>
  <c r="AM326" i="2" s="1" a="1"/>
  <c r="AM326" i="2" s="1"/>
  <c r="AN326" i="2" s="1" a="1"/>
  <c r="AN326" i="2" s="1"/>
  <c r="AO326" i="2" s="1" a="1"/>
  <c r="AO326" i="2" s="1"/>
  <c r="AP326" i="2" s="1" a="1"/>
  <c r="AP326" i="2" s="1"/>
  <c r="AQ326" i="2" s="1" a="1"/>
  <c r="AQ326" i="2" s="1"/>
  <c r="AK328" i="2" a="1"/>
  <c r="AK328" i="2" s="1"/>
  <c r="AL328" i="2" s="1" a="1"/>
  <c r="AL328" i="2" s="1"/>
  <c r="AM328" i="2" s="1" a="1"/>
  <c r="AM328" i="2" s="1"/>
  <c r="AN328" i="2" s="1" a="1"/>
  <c r="AN328" i="2" s="1"/>
  <c r="AO328" i="2" s="1" a="1"/>
  <c r="AO328" i="2" s="1"/>
  <c r="AP328" i="2" s="1" a="1"/>
  <c r="AP328" i="2" s="1"/>
  <c r="AQ328" i="2" s="1" a="1"/>
  <c r="AQ328" i="2" s="1"/>
  <c r="AK327" i="2" a="1"/>
  <c r="AK327" i="2" s="1"/>
  <c r="AL327" i="2" s="1" a="1"/>
  <c r="AL327" i="2" s="1"/>
  <c r="AM327" i="2" s="1" a="1"/>
  <c r="AM327" i="2" s="1"/>
  <c r="AN327" i="2" s="1" a="1"/>
  <c r="AN327" i="2" s="1"/>
  <c r="AO327" i="2" s="1" a="1"/>
  <c r="AO327" i="2" s="1"/>
  <c r="AP327" i="2" s="1" a="1"/>
  <c r="AP327" i="2" s="1"/>
  <c r="AQ327" i="2" s="1" a="1"/>
  <c r="AQ327" i="2" s="1"/>
  <c r="AK230" i="2" a="1"/>
  <c r="AK230" i="2" s="1"/>
  <c r="AL230" i="2" s="1" a="1"/>
  <c r="AL230" i="2" s="1"/>
  <c r="AM230" i="2" s="1" a="1"/>
  <c r="AM230" i="2" s="1"/>
  <c r="AN230" i="2" s="1" a="1"/>
  <c r="AN230" i="2" s="1"/>
  <c r="AO230" i="2" s="1" a="1"/>
  <c r="AO230" i="2" s="1"/>
  <c r="AP230" i="2" s="1" a="1"/>
  <c r="AP230" i="2" s="1"/>
  <c r="AQ230" i="2" s="1" a="1"/>
  <c r="AQ230" i="2" s="1"/>
  <c r="AK216" i="2" a="1"/>
  <c r="AK216" i="2" s="1"/>
  <c r="AK144" i="2" a="1"/>
  <c r="AK144" i="2" s="1"/>
  <c r="AK145" i="2" a="1"/>
  <c r="AK145" i="2" s="1"/>
  <c r="AL145" i="2" s="1" a="1"/>
  <c r="AL145" i="2" s="1"/>
  <c r="AM145" i="2" s="1" a="1"/>
  <c r="AM145" i="2" s="1"/>
  <c r="AN145" i="2" s="1" a="1"/>
  <c r="AN145" i="2" s="1"/>
  <c r="AO145" i="2" s="1" a="1"/>
  <c r="AO145" i="2" s="1"/>
  <c r="AP145" i="2" s="1" a="1"/>
  <c r="AP145" i="2" s="1"/>
  <c r="AQ145" i="2" s="1" a="1"/>
  <c r="AQ145" i="2" s="1"/>
  <c r="AK127" i="2" a="1"/>
  <c r="AK127" i="2" s="1"/>
  <c r="AL127" i="2" s="1" a="1"/>
  <c r="AL127" i="2" s="1"/>
  <c r="AM127" i="2" s="1" a="1"/>
  <c r="AM127" i="2" s="1"/>
  <c r="AN127" i="2" s="1" a="1"/>
  <c r="AN127" i="2" s="1"/>
  <c r="AO127" i="2" s="1" a="1"/>
  <c r="AO127" i="2" s="1"/>
  <c r="AP127" i="2" s="1" a="1"/>
  <c r="AP127" i="2" s="1"/>
  <c r="AQ127" i="2" s="1" a="1"/>
  <c r="AQ127" i="2" s="1"/>
  <c r="AK126" i="2" a="1"/>
  <c r="AK126" i="2" s="1"/>
  <c r="AL126" i="2" s="1" a="1"/>
  <c r="AL126" i="2" s="1"/>
  <c r="AM126" i="2" s="1" a="1"/>
  <c r="AM126" i="2" s="1"/>
  <c r="AN126" i="2" s="1" a="1"/>
  <c r="AN126" i="2" s="1"/>
  <c r="AO126" i="2" s="1" a="1"/>
  <c r="AO126" i="2" s="1"/>
  <c r="AP126" i="2" s="1" a="1"/>
  <c r="AP126" i="2" s="1"/>
  <c r="AQ126" i="2" s="1" a="1"/>
  <c r="AQ126" i="2" s="1"/>
  <c r="AK130" i="2" a="1"/>
  <c r="AK130" i="2" s="1"/>
  <c r="AL130" i="2" s="1" a="1"/>
  <c r="AL130" i="2" s="1"/>
  <c r="AM130" i="2" s="1" a="1"/>
  <c r="AM130" i="2" s="1"/>
  <c r="AN130" i="2" s="1" a="1"/>
  <c r="AN130" i="2" s="1"/>
  <c r="AO130" i="2" s="1" a="1"/>
  <c r="AO130" i="2" s="1"/>
  <c r="AP130" i="2" s="1" a="1"/>
  <c r="AP130" i="2" s="1"/>
  <c r="AQ130" i="2" s="1" a="1"/>
  <c r="AQ130" i="2" s="1"/>
  <c r="AK129" i="2" a="1"/>
  <c r="AK129" i="2" s="1"/>
  <c r="AK128" i="2" a="1"/>
  <c r="AK128" i="2" s="1"/>
  <c r="AK125" i="2" a="1"/>
  <c r="AK125" i="2" s="1"/>
  <c r="AL125" i="2" s="1" a="1"/>
  <c r="AL125" i="2" s="1"/>
  <c r="AM125" i="2" s="1" a="1"/>
  <c r="AM125" i="2" s="1"/>
  <c r="AN125" i="2" s="1" a="1"/>
  <c r="AN125" i="2" s="1"/>
  <c r="AO125" i="2" s="1" a="1"/>
  <c r="AO125" i="2" s="1"/>
  <c r="AP125" i="2" s="1" a="1"/>
  <c r="AP125" i="2" s="1"/>
  <c r="AQ125" i="2" s="1" a="1"/>
  <c r="AQ125" i="2" s="1"/>
  <c r="AK155" i="2" a="1"/>
  <c r="AK155" i="2" s="1"/>
  <c r="AL155" i="2" s="1" a="1"/>
  <c r="AL155" i="2" s="1"/>
  <c r="AM155" i="2" s="1" a="1"/>
  <c r="AM155" i="2" s="1"/>
  <c r="AN155" i="2" s="1" a="1"/>
  <c r="AN155" i="2" s="1"/>
  <c r="AO155" i="2" s="1" a="1"/>
  <c r="AO155" i="2" s="1"/>
  <c r="AP155" i="2" s="1" a="1"/>
  <c r="AP155" i="2" s="1"/>
  <c r="AQ155" i="2" s="1" a="1"/>
  <c r="AQ155" i="2" s="1"/>
  <c r="AK141" i="2" a="1"/>
  <c r="AK141" i="2" s="1"/>
  <c r="AL141" i="2" s="1" a="1"/>
  <c r="AL141" i="2" s="1"/>
  <c r="AM141" i="2" s="1" a="1"/>
  <c r="AM141" i="2" s="1"/>
  <c r="AN141" i="2" s="1" a="1"/>
  <c r="AN141" i="2" s="1"/>
  <c r="AO141" i="2" s="1" a="1"/>
  <c r="AO141" i="2" s="1"/>
  <c r="AP141" i="2" s="1" a="1"/>
  <c r="AP141" i="2" s="1"/>
  <c r="AQ141" i="2" s="1" a="1"/>
  <c r="AQ141" i="2" s="1"/>
  <c r="AK10" i="2" a="1"/>
  <c r="AK10" i="2" s="1"/>
  <c r="AL10" i="2" s="1" a="1"/>
  <c r="AL10" i="2" s="1"/>
  <c r="AM10" i="2" s="1" a="1"/>
  <c r="AM10" i="2" s="1"/>
  <c r="AN10" i="2" s="1" a="1"/>
  <c r="AN10" i="2" s="1"/>
  <c r="AO10" i="2" s="1" a="1"/>
  <c r="AO10" i="2" s="1"/>
  <c r="AP10" i="2" s="1" a="1"/>
  <c r="AP10" i="2" s="1"/>
  <c r="AQ10" i="2" s="1" a="1"/>
  <c r="AQ10" i="2" s="1"/>
  <c r="AK117" i="2" a="1"/>
  <c r="AK117" i="2" s="1"/>
  <c r="AL117" i="2" s="1" a="1"/>
  <c r="AL117" i="2" s="1"/>
  <c r="AM117" i="2" s="1" a="1"/>
  <c r="AM117" i="2" s="1"/>
  <c r="AN117" i="2" s="1" a="1"/>
  <c r="AN117" i="2" s="1"/>
  <c r="AO117" i="2" s="1" a="1"/>
  <c r="AO117" i="2" s="1"/>
  <c r="AP117" i="2" s="1" a="1"/>
  <c r="AP117" i="2" s="1"/>
  <c r="AQ117" i="2" s="1" a="1"/>
  <c r="AQ117" i="2" s="1"/>
  <c r="AK116" i="2" a="1"/>
  <c r="AK116" i="2" s="1"/>
  <c r="AL116" i="2" s="1" a="1"/>
  <c r="AL116" i="2" s="1"/>
  <c r="AM116" i="2" s="1" a="1"/>
  <c r="AM116" i="2" s="1"/>
  <c r="AN116" i="2" s="1" a="1"/>
  <c r="AN116" i="2" s="1"/>
  <c r="AO116" i="2" s="1" a="1"/>
  <c r="AO116" i="2" s="1"/>
  <c r="AP116" i="2" s="1" a="1"/>
  <c r="AP116" i="2" s="1"/>
  <c r="AQ116" i="2" s="1" a="1"/>
  <c r="AQ116" i="2" s="1"/>
  <c r="AK105" i="2" a="1"/>
  <c r="AK105" i="2" s="1"/>
  <c r="AL105" i="2" s="1" a="1"/>
  <c r="AL105" i="2" s="1"/>
  <c r="AM105" i="2" s="1" a="1"/>
  <c r="AM105" i="2" s="1"/>
  <c r="AN105" i="2" s="1" a="1"/>
  <c r="AN105" i="2" s="1"/>
  <c r="AO105" i="2" s="1" a="1"/>
  <c r="AO105" i="2" s="1"/>
  <c r="AP105" i="2" s="1" a="1"/>
  <c r="AP105" i="2" s="1"/>
  <c r="AQ105" i="2" s="1" a="1"/>
  <c r="AQ105" i="2" s="1"/>
  <c r="AK118" i="2" a="1"/>
  <c r="AK118" i="2" s="1"/>
  <c r="AL118" i="2" s="1" a="1"/>
  <c r="AL118" i="2" s="1"/>
  <c r="AM118" i="2" s="1" a="1"/>
  <c r="AM118" i="2" s="1"/>
  <c r="AN118" i="2" s="1" a="1"/>
  <c r="AN118" i="2" s="1"/>
  <c r="AO118" i="2" s="1" a="1"/>
  <c r="AO118" i="2" s="1"/>
  <c r="AP118" i="2" s="1" a="1"/>
  <c r="AP118" i="2" s="1"/>
  <c r="AQ118" i="2" s="1" a="1"/>
  <c r="AQ118" i="2" s="1"/>
  <c r="AK109" i="2" a="1"/>
  <c r="AK109" i="2" s="1"/>
  <c r="AL109" i="2" s="1" a="1"/>
  <c r="AL109" i="2" s="1"/>
  <c r="AM109" i="2" s="1" a="1"/>
  <c r="AM109" i="2" s="1"/>
  <c r="AN109" i="2" s="1" a="1"/>
  <c r="AN109" i="2" s="1"/>
  <c r="AO109" i="2" s="1" a="1"/>
  <c r="AO109" i="2" s="1"/>
  <c r="AP109" i="2" s="1" a="1"/>
  <c r="AP109" i="2" s="1"/>
  <c r="AQ109" i="2" s="1" a="1"/>
  <c r="AQ109" i="2" s="1"/>
  <c r="AK106" i="2" a="1"/>
  <c r="AK106" i="2" s="1"/>
  <c r="AL106" i="2" s="1" a="1"/>
  <c r="AL106" i="2" s="1"/>
  <c r="AM106" i="2" s="1" a="1"/>
  <c r="AM106" i="2" s="1"/>
  <c r="AN106" i="2" s="1" a="1"/>
  <c r="AN106" i="2" s="1"/>
  <c r="AO106" i="2" s="1" a="1"/>
  <c r="AO106" i="2" s="1"/>
  <c r="AP106" i="2" s="1" a="1"/>
  <c r="AP106" i="2" s="1"/>
  <c r="AQ106" i="2" s="1" a="1"/>
  <c r="AQ106" i="2" s="1"/>
  <c r="AK101" i="2" a="1"/>
  <c r="AK101" i="2" s="1"/>
  <c r="AL101" i="2" s="1" a="1"/>
  <c r="AL101" i="2" s="1"/>
  <c r="AM101" i="2" s="1" a="1"/>
  <c r="AM101" i="2" s="1"/>
  <c r="AN101" i="2" s="1" a="1"/>
  <c r="AN101" i="2" s="1"/>
  <c r="AO101" i="2" s="1" a="1"/>
  <c r="AO101" i="2" s="1"/>
  <c r="AP101" i="2" s="1" a="1"/>
  <c r="AP101" i="2" s="1"/>
  <c r="AQ101" i="2" s="1" a="1"/>
  <c r="AQ101" i="2" s="1"/>
  <c r="AK131" i="2" a="1"/>
  <c r="AK131" i="2" s="1"/>
  <c r="AK124" i="2" a="1"/>
  <c r="AK124" i="2" s="1"/>
  <c r="AL124" i="2" s="1" a="1"/>
  <c r="AL124" i="2" s="1"/>
  <c r="AM124" i="2" s="1" a="1"/>
  <c r="AM124" i="2" s="1"/>
  <c r="AN124" i="2" s="1" a="1"/>
  <c r="AN124" i="2" s="1"/>
  <c r="AO124" i="2" s="1" a="1"/>
  <c r="AO124" i="2" s="1"/>
  <c r="AP124" i="2" s="1" a="1"/>
  <c r="AP124" i="2" s="1"/>
  <c r="AQ124" i="2" s="1" a="1"/>
  <c r="AQ124" i="2" s="1"/>
  <c r="AK115" i="2" a="1"/>
  <c r="AK115" i="2" s="1"/>
  <c r="AL115" i="2" s="1" a="1"/>
  <c r="AL115" i="2" s="1"/>
  <c r="AM115" i="2" s="1" a="1"/>
  <c r="AM115" i="2" s="1"/>
  <c r="AN115" i="2" s="1" a="1"/>
  <c r="AN115" i="2" s="1"/>
  <c r="AO115" i="2" s="1" a="1"/>
  <c r="AO115" i="2" s="1"/>
  <c r="AP115" i="2" s="1" a="1"/>
  <c r="AP115" i="2" s="1"/>
  <c r="AQ115" i="2" s="1" a="1"/>
  <c r="AQ115" i="2" s="1"/>
  <c r="AK121" i="2" a="1"/>
  <c r="AK121" i="2" s="1"/>
  <c r="AL121" i="2" s="1" a="1"/>
  <c r="AL121" i="2" s="1"/>
  <c r="AM121" i="2" s="1" a="1"/>
  <c r="AM121" i="2" s="1"/>
  <c r="AN121" i="2" s="1" a="1"/>
  <c r="AN121" i="2" s="1"/>
  <c r="AO121" i="2" s="1" a="1"/>
  <c r="AO121" i="2" s="1"/>
  <c r="AP121" i="2" s="1" a="1"/>
  <c r="AP121" i="2" s="1"/>
  <c r="AQ121" i="2" s="1" a="1"/>
  <c r="AQ121" i="2" s="1"/>
  <c r="AK114" i="2" a="1"/>
  <c r="AK114" i="2" s="1"/>
  <c r="AK100" i="2" a="1"/>
  <c r="AK100" i="2" s="1"/>
  <c r="AK188" i="2" a="1"/>
  <c r="AK188" i="2" s="1"/>
  <c r="AL188" i="2" s="1" a="1"/>
  <c r="AL188" i="2" s="1"/>
  <c r="AM188" i="2" s="1" a="1"/>
  <c r="AM188" i="2" s="1"/>
  <c r="AN188" i="2" s="1" a="1"/>
  <c r="AN188" i="2" s="1"/>
  <c r="AO188" i="2" s="1" a="1"/>
  <c r="AO188" i="2" s="1"/>
  <c r="AP188" i="2" s="1" a="1"/>
  <c r="AP188" i="2" s="1"/>
  <c r="AQ188" i="2" s="1" a="1"/>
  <c r="AQ188" i="2" s="1"/>
  <c r="AK217" i="2" a="1"/>
  <c r="AK217" i="2" s="1"/>
  <c r="AK157" i="2" a="1"/>
  <c r="AK157" i="2" s="1"/>
  <c r="AK156" i="2" a="1"/>
  <c r="AK156" i="2" s="1"/>
  <c r="AL156" i="2" s="1" a="1"/>
  <c r="AL156" i="2" s="1"/>
  <c r="AM156" i="2" s="1" a="1"/>
  <c r="AM156" i="2" s="1"/>
  <c r="AN156" i="2" s="1" a="1"/>
  <c r="AN156" i="2" s="1"/>
  <c r="AO156" i="2" s="1" a="1"/>
  <c r="AO156" i="2" s="1"/>
  <c r="AP156" i="2" s="1" a="1"/>
  <c r="AP156" i="2" s="1"/>
  <c r="AQ156" i="2" s="1" a="1"/>
  <c r="AQ156" i="2" s="1"/>
  <c r="AK159" i="2" a="1"/>
  <c r="AK159" i="2" s="1"/>
  <c r="AL159" i="2" s="1" a="1"/>
  <c r="AL159" i="2" s="1"/>
  <c r="AM159" i="2" s="1" a="1"/>
  <c r="AM159" i="2" s="1"/>
  <c r="AN159" i="2" s="1" a="1"/>
  <c r="AN159" i="2" s="1"/>
  <c r="AO159" i="2" s="1" a="1"/>
  <c r="AO159" i="2" s="1"/>
  <c r="AP159" i="2" s="1" a="1"/>
  <c r="AP159" i="2" s="1"/>
  <c r="AQ159" i="2" s="1" a="1"/>
  <c r="AQ159" i="2" s="1"/>
  <c r="AK158" i="2" a="1"/>
  <c r="AK158" i="2" s="1"/>
  <c r="AL158" i="2" s="1" a="1"/>
  <c r="AL158" i="2" s="1"/>
  <c r="AM158" i="2" s="1" a="1"/>
  <c r="AM158" i="2" s="1"/>
  <c r="AN158" i="2" s="1" a="1"/>
  <c r="AN158" i="2" s="1"/>
  <c r="AO158" i="2" s="1" a="1"/>
  <c r="AO158" i="2" s="1"/>
  <c r="AP158" i="2" s="1" a="1"/>
  <c r="AP158" i="2" s="1"/>
  <c r="AQ158" i="2" s="1" a="1"/>
  <c r="AQ158" i="2" s="1"/>
  <c r="AK218" i="2" a="1"/>
  <c r="AK218" i="2" s="1"/>
  <c r="AL218" i="2" s="1" a="1"/>
  <c r="AL218" i="2" s="1"/>
  <c r="AM218" i="2" s="1" a="1"/>
  <c r="AM218" i="2" s="1"/>
  <c r="AN218" i="2" s="1" a="1"/>
  <c r="AN218" i="2" s="1"/>
  <c r="AO218" i="2" s="1" a="1"/>
  <c r="AO218" i="2" s="1"/>
  <c r="AP218" i="2" s="1" a="1"/>
  <c r="AP218" i="2" s="1"/>
  <c r="AQ218" i="2" s="1" a="1"/>
  <c r="AQ218" i="2" s="1"/>
  <c r="AK219" i="2" a="1"/>
  <c r="AK219" i="2" s="1"/>
  <c r="AL219" i="2" s="1" a="1"/>
  <c r="AL219" i="2" s="1"/>
  <c r="AM219" i="2" s="1" a="1"/>
  <c r="AM219" i="2" s="1"/>
  <c r="AN219" i="2" s="1" a="1"/>
  <c r="AN219" i="2" s="1"/>
  <c r="AO219" i="2" s="1" a="1"/>
  <c r="AO219" i="2" s="1"/>
  <c r="AP219" i="2" s="1" a="1"/>
  <c r="AP219" i="2" s="1"/>
  <c r="AQ219" i="2" s="1" a="1"/>
  <c r="AQ219" i="2" s="1"/>
  <c r="AK42" i="2" a="1"/>
  <c r="AK42" i="2" s="1"/>
  <c r="AL42" i="2" s="1" a="1"/>
  <c r="AL42" i="2" s="1"/>
  <c r="AM42" i="2" s="1" a="1"/>
  <c r="AM42" i="2" s="1"/>
  <c r="AN42" i="2" s="1" a="1"/>
  <c r="AN42" i="2" s="1"/>
  <c r="AO42" i="2" s="1" a="1"/>
  <c r="AO42" i="2" s="1"/>
  <c r="AP42" i="2" s="1" a="1"/>
  <c r="AP42" i="2" s="1"/>
  <c r="AQ42" i="2" s="1" a="1"/>
  <c r="AQ42" i="2" s="1"/>
  <c r="AK63" i="2" a="1"/>
  <c r="AK63" i="2" s="1"/>
  <c r="AL63" i="2" s="1" a="1"/>
  <c r="AL63" i="2" s="1"/>
  <c r="AM63" i="2" s="1" a="1"/>
  <c r="AM63" i="2" s="1"/>
  <c r="AN63" i="2" s="1" a="1"/>
  <c r="AN63" i="2" s="1"/>
  <c r="AO63" i="2" s="1" a="1"/>
  <c r="AO63" i="2" s="1"/>
  <c r="AP63" i="2" s="1" a="1"/>
  <c r="AP63" i="2" s="1"/>
  <c r="AQ63" i="2" s="1" a="1"/>
  <c r="AQ63" i="2" s="1"/>
  <c r="AK55" i="2" a="1"/>
  <c r="AK55" i="2" s="1"/>
  <c r="AL55" i="2" s="1" a="1"/>
  <c r="AL55" i="2" s="1"/>
  <c r="AM55" i="2" s="1" a="1"/>
  <c r="AM55" i="2" s="1"/>
  <c r="AN55" i="2" s="1" a="1"/>
  <c r="AN55" i="2" s="1"/>
  <c r="AO55" i="2" s="1" a="1"/>
  <c r="AO55" i="2" s="1"/>
  <c r="AP55" i="2" s="1" a="1"/>
  <c r="AP55" i="2" s="1"/>
  <c r="AQ55" i="2" s="1" a="1"/>
  <c r="AQ55" i="2" s="1"/>
  <c r="AK53" i="2" a="1"/>
  <c r="AK53" i="2" s="1"/>
  <c r="AL53" i="2" s="1" a="1"/>
  <c r="AL53" i="2" s="1"/>
  <c r="AM53" i="2" s="1" a="1"/>
  <c r="AM53" i="2" s="1"/>
  <c r="AN53" i="2" s="1" a="1"/>
  <c r="AN53" i="2" s="1"/>
  <c r="AO53" i="2" s="1" a="1"/>
  <c r="AO53" i="2" s="1"/>
  <c r="AP53" i="2" s="1" a="1"/>
  <c r="AP53" i="2" s="1"/>
  <c r="AQ53" i="2" s="1" a="1"/>
  <c r="AQ53" i="2" s="1"/>
  <c r="AK232" i="2" a="1"/>
  <c r="AK232" i="2" s="1"/>
  <c r="AK231" i="2" a="1"/>
  <c r="AK231" i="2" s="1"/>
  <c r="AL231" i="2" s="1" a="1"/>
  <c r="AL231" i="2" s="1"/>
  <c r="AM231" i="2" s="1" a="1"/>
  <c r="AM231" i="2" s="1"/>
  <c r="AN231" i="2" s="1" a="1"/>
  <c r="AN231" i="2" s="1"/>
  <c r="AO231" i="2" s="1" a="1"/>
  <c r="AO231" i="2" s="1"/>
  <c r="AP231" i="2" s="1" a="1"/>
  <c r="AP231" i="2" s="1"/>
  <c r="AQ231" i="2" s="1" a="1"/>
  <c r="AQ231" i="2" s="1"/>
  <c r="AK233" i="2" a="1"/>
  <c r="AK233" i="2" s="1"/>
  <c r="AK234" i="2" a="1"/>
  <c r="AK234" i="2" s="1"/>
  <c r="AL234" i="2" s="1" a="1"/>
  <c r="AL234" i="2" s="1"/>
  <c r="AM234" i="2" s="1" a="1"/>
  <c r="AM234" i="2" s="1"/>
  <c r="AN234" i="2" s="1" a="1"/>
  <c r="AN234" i="2" s="1"/>
  <c r="AO234" i="2" s="1" a="1"/>
  <c r="AO234" i="2" s="1"/>
  <c r="AP234" i="2" s="1" a="1"/>
  <c r="AP234" i="2" s="1"/>
  <c r="AQ234" i="2" s="1" a="1"/>
  <c r="AQ234" i="2" s="1"/>
  <c r="AK534" i="2" a="1"/>
  <c r="AK534" i="2" s="1"/>
  <c r="AK239" i="2" a="1"/>
  <c r="AK239" i="2" s="1"/>
  <c r="AL239" i="2" s="1" a="1"/>
  <c r="AL239" i="2" s="1"/>
  <c r="AM239" i="2" s="1" a="1"/>
  <c r="AM239" i="2" s="1"/>
  <c r="AN239" i="2" s="1" a="1"/>
  <c r="AN239" i="2" s="1"/>
  <c r="AO239" i="2" s="1" a="1"/>
  <c r="AO239" i="2" s="1"/>
  <c r="AP239" i="2" s="1" a="1"/>
  <c r="AP239" i="2" s="1"/>
  <c r="AQ239" i="2" s="1" a="1"/>
  <c r="AQ239" i="2" s="1"/>
  <c r="AK526" i="2" a="1"/>
  <c r="AK526" i="2" s="1"/>
  <c r="AL526" i="2" s="1" a="1"/>
  <c r="AL526" i="2" s="1"/>
  <c r="AM526" i="2" s="1" a="1"/>
  <c r="AM526" i="2" s="1"/>
  <c r="AN526" i="2" s="1" a="1"/>
  <c r="AN526" i="2" s="1"/>
  <c r="AO526" i="2" s="1" a="1"/>
  <c r="AO526" i="2" s="1"/>
  <c r="AP526" i="2" s="1" a="1"/>
  <c r="AP526" i="2" s="1"/>
  <c r="AQ526" i="2" s="1" a="1"/>
  <c r="AQ526" i="2" s="1"/>
  <c r="AK236" i="2" a="1"/>
  <c r="AK236" i="2" s="1"/>
  <c r="AK235" i="2" a="1"/>
  <c r="AK235" i="2" s="1"/>
  <c r="AL235" i="2" s="1" a="1"/>
  <c r="AL235" i="2" s="1"/>
  <c r="AM235" i="2" s="1" a="1"/>
  <c r="AM235" i="2" s="1"/>
  <c r="AN235" i="2" s="1" a="1"/>
  <c r="AN235" i="2" s="1"/>
  <c r="AO235" i="2" s="1" a="1"/>
  <c r="AO235" i="2" s="1"/>
  <c r="AP235" i="2" s="1" a="1"/>
  <c r="AP235" i="2" s="1"/>
  <c r="AQ235" i="2" s="1" a="1"/>
  <c r="AQ235" i="2" s="1"/>
  <c r="AK237" i="2" a="1"/>
  <c r="AK237" i="2" s="1"/>
  <c r="AK240" i="2" a="1"/>
  <c r="AK240" i="2" s="1"/>
  <c r="AL240" i="2" s="1" a="1"/>
  <c r="AL240" i="2" s="1"/>
  <c r="AM240" i="2" s="1" a="1"/>
  <c r="AM240" i="2" s="1"/>
  <c r="AN240" i="2" s="1" a="1"/>
  <c r="AN240" i="2" s="1"/>
  <c r="AO240" i="2" s="1" a="1"/>
  <c r="AO240" i="2" s="1"/>
  <c r="AP240" i="2" s="1" a="1"/>
  <c r="AP240" i="2" s="1"/>
  <c r="AQ240" i="2" s="1" a="1"/>
  <c r="AQ240" i="2" s="1"/>
  <c r="AK527" i="2" a="1"/>
  <c r="AK527" i="2" s="1"/>
  <c r="AL527" i="2" s="1" a="1"/>
  <c r="AL527" i="2" s="1"/>
  <c r="AM527" i="2" s="1" a="1"/>
  <c r="AM527" i="2" s="1"/>
  <c r="AN527" i="2" s="1" a="1"/>
  <c r="AN527" i="2" s="1"/>
  <c r="AO527" i="2" s="1" a="1"/>
  <c r="AO527" i="2" s="1"/>
  <c r="AP527" i="2" s="1" a="1"/>
  <c r="AP527" i="2" s="1"/>
  <c r="AQ527" i="2" s="1" a="1"/>
  <c r="AQ527" i="2" s="1"/>
  <c r="AK238" i="2" a="1"/>
  <c r="AK238" i="2" s="1"/>
  <c r="AL238" i="2" s="1" a="1"/>
  <c r="AL238" i="2" s="1"/>
  <c r="AM238" i="2" s="1" a="1"/>
  <c r="AM238" i="2" s="1"/>
  <c r="AN238" i="2" s="1" a="1"/>
  <c r="AN238" i="2" s="1"/>
  <c r="AO238" i="2" s="1" a="1"/>
  <c r="AO238" i="2" s="1"/>
  <c r="AP238" i="2" s="1" a="1"/>
  <c r="AP238" i="2" s="1"/>
  <c r="AQ238" i="2" s="1" a="1"/>
  <c r="AQ238" i="2" s="1"/>
  <c r="AK533" i="2" a="1"/>
  <c r="AK533" i="2" s="1"/>
  <c r="AL533" i="2" s="1" a="1"/>
  <c r="AL533" i="2" s="1"/>
  <c r="AM533" i="2" s="1" a="1"/>
  <c r="AM533" i="2" s="1"/>
  <c r="AN533" i="2" s="1" a="1"/>
  <c r="AN533" i="2" s="1"/>
  <c r="AO533" i="2" s="1" a="1"/>
  <c r="AO533" i="2" s="1"/>
  <c r="AP533" i="2" s="1" a="1"/>
  <c r="AP533" i="2" s="1"/>
  <c r="AQ533" i="2" s="1" a="1"/>
  <c r="AQ533" i="2" s="1"/>
  <c r="AK529" i="2" a="1"/>
  <c r="AK529" i="2" s="1"/>
  <c r="AL529" i="2" s="1" a="1"/>
  <c r="AL529" i="2" s="1"/>
  <c r="AM529" i="2" s="1" a="1"/>
  <c r="AM529" i="2" s="1"/>
  <c r="AN529" i="2" s="1" a="1"/>
  <c r="AN529" i="2" s="1"/>
  <c r="AO529" i="2" s="1" a="1"/>
  <c r="AO529" i="2" s="1"/>
  <c r="AP529" i="2" s="1" a="1"/>
  <c r="AP529" i="2" s="1"/>
  <c r="AQ529" i="2" s="1" a="1"/>
  <c r="AQ529" i="2" s="1"/>
  <c r="AK528" i="2" a="1"/>
  <c r="AK528" i="2" s="1"/>
  <c r="AL528" i="2" s="1" a="1"/>
  <c r="AL528" i="2" s="1"/>
  <c r="AM528" i="2" s="1" a="1"/>
  <c r="AM528" i="2" s="1"/>
  <c r="AN528" i="2" s="1" a="1"/>
  <c r="AN528" i="2" s="1"/>
  <c r="AO528" i="2" s="1" a="1"/>
  <c r="AO528" i="2" s="1"/>
  <c r="AP528" i="2" s="1" a="1"/>
  <c r="AP528" i="2" s="1"/>
  <c r="AQ528" i="2" s="1" a="1"/>
  <c r="AQ528" i="2" s="1"/>
  <c r="AK420" i="2" a="1"/>
  <c r="AK420" i="2" s="1"/>
  <c r="AL420" i="2" s="1" a="1"/>
  <c r="AL420" i="2" s="1"/>
  <c r="AM420" i="2" s="1" a="1"/>
  <c r="AM420" i="2" s="1"/>
  <c r="AN420" i="2" s="1" a="1"/>
  <c r="AN420" i="2" s="1"/>
  <c r="AO420" i="2" s="1" a="1"/>
  <c r="AO420" i="2" s="1"/>
  <c r="AP420" i="2" s="1" a="1"/>
  <c r="AP420" i="2" s="1"/>
  <c r="AQ420" i="2" s="1" a="1"/>
  <c r="AQ420" i="2" s="1"/>
  <c r="AK531" i="2" a="1"/>
  <c r="AK531" i="2" s="1"/>
  <c r="AL531" i="2" s="1" a="1"/>
  <c r="AL531" i="2" s="1"/>
  <c r="AM531" i="2" s="1" a="1"/>
  <c r="AM531" i="2" s="1"/>
  <c r="AN531" i="2" s="1" a="1"/>
  <c r="AN531" i="2" s="1"/>
  <c r="AO531" i="2" s="1" a="1"/>
  <c r="AO531" i="2" s="1"/>
  <c r="AP531" i="2" s="1" a="1"/>
  <c r="AP531" i="2" s="1"/>
  <c r="AQ531" i="2" s="1" a="1"/>
  <c r="AQ531" i="2" s="1"/>
  <c r="AK62" i="2" a="1"/>
  <c r="AK62" i="2" s="1"/>
  <c r="AL62" i="2" s="1" a="1"/>
  <c r="AL62" i="2" s="1"/>
  <c r="AM62" i="2" s="1" a="1"/>
  <c r="AM62" i="2" s="1"/>
  <c r="AN62" i="2" s="1" a="1"/>
  <c r="AN62" i="2" s="1"/>
  <c r="AO62" i="2" s="1" a="1"/>
  <c r="AO62" i="2" s="1"/>
  <c r="AP62" i="2" s="1" a="1"/>
  <c r="AP62" i="2" s="1"/>
  <c r="AQ62" i="2" s="1" a="1"/>
  <c r="AQ62" i="2" s="1"/>
  <c r="AK61" i="2" a="1"/>
  <c r="AK61" i="2" s="1"/>
  <c r="AL61" i="2" s="1" a="1"/>
  <c r="AL61" i="2" s="1"/>
  <c r="AM61" i="2" s="1" a="1"/>
  <c r="AM61" i="2" s="1"/>
  <c r="AN61" i="2" s="1" a="1"/>
  <c r="AN61" i="2" s="1"/>
  <c r="AO61" i="2" s="1" a="1"/>
  <c r="AO61" i="2" s="1"/>
  <c r="AP61" i="2" s="1" a="1"/>
  <c r="AP61" i="2" s="1"/>
  <c r="AQ61" i="2" s="1" a="1"/>
  <c r="AQ61" i="2" s="1"/>
  <c r="AK58" i="2" a="1"/>
  <c r="AK58" i="2" s="1"/>
  <c r="AL58" i="2" s="1" a="1"/>
  <c r="AL58" i="2" s="1"/>
  <c r="AM58" i="2" s="1" a="1"/>
  <c r="AM58" i="2" s="1"/>
  <c r="AN58" i="2" s="1" a="1"/>
  <c r="AN58" i="2" s="1"/>
  <c r="AO58" i="2" s="1" a="1"/>
  <c r="AO58" i="2" s="1"/>
  <c r="AP58" i="2" s="1" a="1"/>
  <c r="AP58" i="2" s="1"/>
  <c r="AQ58" i="2" s="1" a="1"/>
  <c r="AQ58" i="2" s="1"/>
  <c r="AK59" i="2" a="1"/>
  <c r="AK59" i="2" s="1"/>
  <c r="AL59" i="2" s="1" a="1"/>
  <c r="AL59" i="2" s="1"/>
  <c r="AM59" i="2" s="1" a="1"/>
  <c r="AM59" i="2" s="1"/>
  <c r="AN59" i="2" s="1" a="1"/>
  <c r="AN59" i="2" s="1"/>
  <c r="AO59" i="2" s="1" a="1"/>
  <c r="AO59" i="2" s="1"/>
  <c r="AP59" i="2" s="1" a="1"/>
  <c r="AP59" i="2" s="1"/>
  <c r="AQ59" i="2" s="1" a="1"/>
  <c r="AQ59" i="2" s="1"/>
  <c r="AK64" i="2" a="1"/>
  <c r="AK64" i="2" s="1"/>
  <c r="AK540" i="2" a="1"/>
  <c r="AK540" i="2" s="1"/>
  <c r="AL540" i="2" s="1" a="1"/>
  <c r="AL540" i="2" s="1"/>
  <c r="AM540" i="2" s="1" a="1"/>
  <c r="AM540" i="2" s="1"/>
  <c r="AN540" i="2" s="1" a="1"/>
  <c r="AN540" i="2" s="1"/>
  <c r="AO540" i="2" s="1" a="1"/>
  <c r="AO540" i="2" s="1"/>
  <c r="AP540" i="2" s="1" a="1"/>
  <c r="AP540" i="2" s="1"/>
  <c r="AQ540" i="2" s="1" a="1"/>
  <c r="AQ540" i="2" s="1"/>
  <c r="AK535" i="2" a="1"/>
  <c r="AK535" i="2" s="1"/>
  <c r="AL535" i="2" s="1" a="1"/>
  <c r="AL535" i="2" s="1"/>
  <c r="AM535" i="2" s="1" a="1"/>
  <c r="AM535" i="2" s="1"/>
  <c r="AN535" i="2" s="1" a="1"/>
  <c r="AN535" i="2" s="1"/>
  <c r="AO535" i="2" s="1" a="1"/>
  <c r="AO535" i="2" s="1"/>
  <c r="AP535" i="2" s="1" a="1"/>
  <c r="AP535" i="2" s="1"/>
  <c r="AQ535" i="2" s="1" a="1"/>
  <c r="AQ535" i="2" s="1"/>
  <c r="AK537" i="2" a="1"/>
  <c r="AK537" i="2" s="1"/>
  <c r="AL537" i="2" s="1" a="1"/>
  <c r="AL537" i="2" s="1"/>
  <c r="AM537" i="2" s="1" a="1"/>
  <c r="AM537" i="2" s="1"/>
  <c r="AN537" i="2" s="1" a="1"/>
  <c r="AN537" i="2" s="1"/>
  <c r="AO537" i="2" s="1" a="1"/>
  <c r="AO537" i="2" s="1"/>
  <c r="AP537" i="2" s="1" a="1"/>
  <c r="AP537" i="2" s="1"/>
  <c r="AQ537" i="2" s="1" a="1"/>
  <c r="AQ537" i="2" s="1"/>
  <c r="AK536" i="2" a="1"/>
  <c r="AK536" i="2" s="1"/>
  <c r="AL536" i="2" s="1" a="1"/>
  <c r="AL536" i="2" s="1"/>
  <c r="AM536" i="2" s="1" a="1"/>
  <c r="AM536" i="2" s="1"/>
  <c r="AN536" i="2" s="1" a="1"/>
  <c r="AN536" i="2" s="1"/>
  <c r="AO536" i="2" s="1" a="1"/>
  <c r="AO536" i="2" s="1"/>
  <c r="AP536" i="2" s="1" a="1"/>
  <c r="AP536" i="2" s="1"/>
  <c r="AQ536" i="2" s="1" a="1"/>
  <c r="AQ536" i="2" s="1"/>
  <c r="AK538" i="2" a="1"/>
  <c r="AK538" i="2" s="1"/>
  <c r="AL538" i="2" s="1" a="1"/>
  <c r="AL538" i="2" s="1"/>
  <c r="AM538" i="2" s="1" a="1"/>
  <c r="AM538" i="2" s="1"/>
  <c r="AN538" i="2" s="1" a="1"/>
  <c r="AN538" i="2" s="1"/>
  <c r="AO538" i="2" s="1" a="1"/>
  <c r="AO538" i="2" s="1"/>
  <c r="AP538" i="2" s="1" a="1"/>
  <c r="AP538" i="2" s="1"/>
  <c r="AQ538" i="2" s="1" a="1"/>
  <c r="AQ538" i="2" s="1"/>
  <c r="AK543" i="2" a="1"/>
  <c r="AK543" i="2" s="1"/>
  <c r="AK542" i="2" a="1"/>
  <c r="AK542" i="2" s="1"/>
  <c r="AL542" i="2" s="1" a="1"/>
  <c r="AL542" i="2" s="1"/>
  <c r="AM542" i="2" s="1" a="1"/>
  <c r="AM542" i="2" s="1"/>
  <c r="AN542" i="2" s="1" a="1"/>
  <c r="AN542" i="2" s="1"/>
  <c r="AO542" i="2" s="1" a="1"/>
  <c r="AO542" i="2" s="1"/>
  <c r="AP542" i="2" s="1" a="1"/>
  <c r="AP542" i="2" s="1"/>
  <c r="AQ542" i="2" s="1" a="1"/>
  <c r="AQ542" i="2" s="1"/>
  <c r="AK545" i="2" a="1"/>
  <c r="AK545" i="2" s="1"/>
  <c r="AL545" i="2" s="1" a="1"/>
  <c r="AL545" i="2" s="1"/>
  <c r="AM545" i="2" s="1" a="1"/>
  <c r="AM545" i="2" s="1"/>
  <c r="AN545" i="2" s="1" a="1"/>
  <c r="AN545" i="2" s="1"/>
  <c r="AO545" i="2" s="1" a="1"/>
  <c r="AO545" i="2" s="1"/>
  <c r="AP545" i="2" s="1" a="1"/>
  <c r="AP545" i="2" s="1"/>
  <c r="AQ545" i="2" s="1" a="1"/>
  <c r="AQ545" i="2" s="1"/>
  <c r="AK544" i="2" a="1"/>
  <c r="AK544" i="2" s="1"/>
  <c r="AL544" i="2" s="1" a="1"/>
  <c r="AL544" i="2" s="1"/>
  <c r="AM544" i="2" s="1" a="1"/>
  <c r="AM544" i="2" s="1"/>
  <c r="AN544" i="2" s="1" a="1"/>
  <c r="AN544" i="2" s="1"/>
  <c r="AO544" i="2" s="1" a="1"/>
  <c r="AO544" i="2" s="1"/>
  <c r="AP544" i="2" s="1" a="1"/>
  <c r="AP544" i="2" s="1"/>
  <c r="AQ544" i="2" s="1" a="1"/>
  <c r="AQ544" i="2" s="1"/>
  <c r="AK541" i="2" a="1"/>
  <c r="AK541" i="2" s="1"/>
  <c r="AL541" i="2" s="1" a="1"/>
  <c r="AL541" i="2" s="1"/>
  <c r="AM541" i="2" s="1" a="1"/>
  <c r="AM541" i="2" s="1"/>
  <c r="AN541" i="2" s="1" a="1"/>
  <c r="AN541" i="2" s="1"/>
  <c r="AO541" i="2" s="1" a="1"/>
  <c r="AO541" i="2" s="1"/>
  <c r="AP541" i="2" s="1" a="1"/>
  <c r="AP541" i="2" s="1"/>
  <c r="AQ541" i="2" s="1" a="1"/>
  <c r="AQ541" i="2" s="1"/>
  <c r="AK546" i="2" a="1"/>
  <c r="AK546" i="2" s="1"/>
  <c r="AL546" i="2" s="1" a="1"/>
  <c r="AL546" i="2" s="1"/>
  <c r="AM546" i="2" s="1" a="1"/>
  <c r="AM546" i="2" s="1"/>
  <c r="AN546" i="2" s="1" a="1"/>
  <c r="AN546" i="2" s="1"/>
  <c r="AO546" i="2" s="1" a="1"/>
  <c r="AO546" i="2" s="1"/>
  <c r="AP546" i="2" s="1" a="1"/>
  <c r="AP546" i="2" s="1"/>
  <c r="AQ546" i="2" s="1" a="1"/>
  <c r="AQ546" i="2" s="1"/>
  <c r="AK547" i="2" a="1"/>
  <c r="AK547" i="2" s="1"/>
  <c r="AL547" i="2" s="1" a="1"/>
  <c r="AL547" i="2" s="1"/>
  <c r="AM547" i="2" s="1" a="1"/>
  <c r="AM547" i="2" s="1"/>
  <c r="AN547" i="2" s="1" a="1"/>
  <c r="AN547" i="2" s="1"/>
  <c r="AO547" i="2" s="1" a="1"/>
  <c r="AO547" i="2" s="1"/>
  <c r="AP547" i="2" s="1" a="1"/>
  <c r="AP547" i="2" s="1"/>
  <c r="AQ547" i="2" s="1" a="1"/>
  <c r="AQ547" i="2" s="1"/>
  <c r="AK539" i="2" a="1"/>
  <c r="AK539" i="2" s="1"/>
  <c r="AL539" i="2" s="1" a="1"/>
  <c r="AL539" i="2" s="1"/>
  <c r="AM539" i="2" s="1" a="1"/>
  <c r="AM539" i="2" s="1"/>
  <c r="AN539" i="2" s="1" a="1"/>
  <c r="AN539" i="2" s="1"/>
  <c r="AO539" i="2" s="1" a="1"/>
  <c r="AO539" i="2" s="1"/>
  <c r="AP539" i="2" s="1" a="1"/>
  <c r="AP539" i="2" s="1"/>
  <c r="AQ539" i="2" s="1" a="1"/>
  <c r="AQ539" i="2" s="1"/>
  <c r="AK32" i="2" a="1"/>
  <c r="AK32" i="2" s="1"/>
  <c r="AL32" i="2" s="1" a="1"/>
  <c r="AL32" i="2" s="1"/>
  <c r="AM32" i="2" s="1" a="1"/>
  <c r="AM32" i="2" s="1"/>
  <c r="AN32" i="2" s="1" a="1"/>
  <c r="AN32" i="2" s="1"/>
  <c r="AO32" i="2" s="1" a="1"/>
  <c r="AO32" i="2" s="1"/>
  <c r="AP32" i="2" s="1" a="1"/>
  <c r="AP32" i="2" s="1"/>
  <c r="AQ32" i="2" s="1" a="1"/>
  <c r="AQ32" i="2" s="1"/>
  <c r="AK137" i="2" a="1"/>
  <c r="AK137" i="2" s="1"/>
  <c r="AL137" i="2" s="1" a="1"/>
  <c r="AL137" i="2" s="1"/>
  <c r="AM137" i="2" s="1" a="1"/>
  <c r="AM137" i="2" s="1"/>
  <c r="AN137" i="2" s="1" a="1"/>
  <c r="AN137" i="2" s="1"/>
  <c r="AO137" i="2" s="1" a="1"/>
  <c r="AO137" i="2" s="1"/>
  <c r="AP137" i="2" s="1" a="1"/>
  <c r="AP137" i="2" s="1"/>
  <c r="AQ137" i="2" s="1" a="1"/>
  <c r="AQ137" i="2" s="1"/>
  <c r="AK5" i="2" a="1"/>
  <c r="AK5" i="2" s="1"/>
  <c r="AK6" i="2" a="1"/>
  <c r="AK6" i="2" s="1"/>
  <c r="AK12" i="2" a="1"/>
  <c r="AK12" i="2" s="1"/>
  <c r="AL12" i="2" s="1" a="1"/>
  <c r="AL12" i="2" s="1"/>
  <c r="AM12" i="2" s="1" a="1"/>
  <c r="AM12" i="2" s="1"/>
  <c r="AN12" i="2" s="1" a="1"/>
  <c r="AN12" i="2" s="1"/>
  <c r="AO12" i="2" s="1" a="1"/>
  <c r="AO12" i="2" s="1"/>
  <c r="AP12" i="2" s="1" a="1"/>
  <c r="AP12" i="2" s="1"/>
  <c r="AQ12" i="2" s="1" a="1"/>
  <c r="AQ12" i="2" s="1"/>
  <c r="AK9" i="2" a="1"/>
  <c r="AK9" i="2" s="1"/>
  <c r="AK11" i="2" a="1"/>
  <c r="AK11" i="2" s="1"/>
  <c r="AK60" i="2" a="1"/>
  <c r="AK60" i="2" s="1"/>
  <c r="AL60" i="2" s="1" a="1"/>
  <c r="AL60" i="2" s="1"/>
  <c r="AM60" i="2" s="1" a="1"/>
  <c r="AM60" i="2" s="1"/>
  <c r="AN60" i="2" s="1" a="1"/>
  <c r="AN60" i="2" s="1"/>
  <c r="AO60" i="2" s="1" a="1"/>
  <c r="AO60" i="2" s="1"/>
  <c r="AP60" i="2" s="1" a="1"/>
  <c r="AP60" i="2" s="1"/>
  <c r="AQ60" i="2" s="1" a="1"/>
  <c r="AQ60" i="2" s="1"/>
  <c r="AK13" i="2" a="1"/>
  <c r="AK13" i="2" s="1"/>
  <c r="AL13" i="2" s="1" a="1"/>
  <c r="AL13" i="2" s="1"/>
  <c r="AM13" i="2" s="1" a="1"/>
  <c r="AM13" i="2" s="1"/>
  <c r="AN13" i="2" s="1" a="1"/>
  <c r="AN13" i="2" s="1"/>
  <c r="AO13" i="2" s="1" a="1"/>
  <c r="AO13" i="2" s="1"/>
  <c r="AP13" i="2" s="1" a="1"/>
  <c r="AP13" i="2" s="1"/>
  <c r="AQ13" i="2" s="1" a="1"/>
  <c r="AQ13" i="2" s="1"/>
  <c r="AK549" i="2" a="1"/>
  <c r="AK549" i="2" s="1"/>
  <c r="AL549" i="2" s="1" a="1"/>
  <c r="AL549" i="2" s="1"/>
  <c r="AM549" i="2" s="1" a="1"/>
  <c r="AM549" i="2" s="1"/>
  <c r="AN549" i="2" s="1" a="1"/>
  <c r="AN549" i="2" s="1"/>
  <c r="AO549" i="2" s="1" a="1"/>
  <c r="AO549" i="2" s="1"/>
  <c r="AP549" i="2" s="1" a="1"/>
  <c r="AP549" i="2" s="1"/>
  <c r="AQ549" i="2" s="1" a="1"/>
  <c r="AQ549" i="2" s="1"/>
  <c r="AK97" i="2" a="1"/>
  <c r="AK97" i="2" s="1"/>
  <c r="AL97" i="2" s="1" a="1"/>
  <c r="AL97" i="2" s="1"/>
  <c r="AM97" i="2" s="1" a="1"/>
  <c r="AM97" i="2" s="1"/>
  <c r="AN97" i="2" s="1" a="1"/>
  <c r="AN97" i="2" s="1"/>
  <c r="AO97" i="2" s="1" a="1"/>
  <c r="AO97" i="2" s="1"/>
  <c r="AP97" i="2" s="1" a="1"/>
  <c r="AP97" i="2" s="1"/>
  <c r="AQ97" i="2" s="1" a="1"/>
  <c r="AQ97" i="2" s="1"/>
  <c r="AK99" i="2" a="1"/>
  <c r="AK99" i="2" s="1"/>
  <c r="AL99" i="2" s="1" a="1"/>
  <c r="AL99" i="2" s="1"/>
  <c r="AM99" i="2" s="1" a="1"/>
  <c r="AM99" i="2" s="1"/>
  <c r="AN99" i="2" s="1" a="1"/>
  <c r="AN99" i="2" s="1"/>
  <c r="AO99" i="2" s="1" a="1"/>
  <c r="AO99" i="2" s="1"/>
  <c r="AP99" i="2" s="1" a="1"/>
  <c r="AP99" i="2" s="1"/>
  <c r="AQ99" i="2" s="1" a="1"/>
  <c r="AQ99" i="2" s="1"/>
  <c r="AK550" i="2" a="1"/>
  <c r="AK550" i="2" s="1"/>
  <c r="AL550" i="2" s="1" a="1"/>
  <c r="AL550" i="2" s="1"/>
  <c r="AM550" i="2" s="1" a="1"/>
  <c r="AM550" i="2" s="1"/>
  <c r="AN550" i="2" s="1" a="1"/>
  <c r="AN550" i="2" s="1"/>
  <c r="AO550" i="2" s="1" a="1"/>
  <c r="AO550" i="2" s="1"/>
  <c r="AP550" i="2" s="1" a="1"/>
  <c r="AP550" i="2" s="1"/>
  <c r="AQ550" i="2" s="1" a="1"/>
  <c r="AQ550" i="2" s="1"/>
  <c r="AK133" i="2" a="1"/>
  <c r="AK133" i="2" s="1"/>
  <c r="AL133" i="2" s="1" a="1"/>
  <c r="AL133" i="2" s="1"/>
  <c r="AM133" i="2" s="1" a="1"/>
  <c r="AM133" i="2" s="1"/>
  <c r="AN133" i="2" s="1" a="1"/>
  <c r="AN133" i="2" s="1"/>
  <c r="AO133" i="2" s="1" a="1"/>
  <c r="AO133" i="2" s="1"/>
  <c r="AP133" i="2" s="1" a="1"/>
  <c r="AP133" i="2" s="1"/>
  <c r="AQ133" i="2" s="1" a="1"/>
  <c r="AQ133" i="2" s="1"/>
  <c r="AK135" i="2" a="1"/>
  <c r="AK135" i="2" s="1"/>
  <c r="AL135" i="2" s="1" a="1"/>
  <c r="AL135" i="2" s="1"/>
  <c r="AM135" i="2" s="1" a="1"/>
  <c r="AM135" i="2" s="1"/>
  <c r="AN135" i="2" s="1" a="1"/>
  <c r="AN135" i="2" s="1"/>
  <c r="AO135" i="2" s="1" a="1"/>
  <c r="AO135" i="2" s="1"/>
  <c r="AP135" i="2" s="1" a="1"/>
  <c r="AP135" i="2" s="1"/>
  <c r="AQ135" i="2" s="1" a="1"/>
  <c r="AQ135" i="2" s="1"/>
  <c r="AK139" i="2" a="1"/>
  <c r="AK139" i="2" s="1"/>
  <c r="AL139" i="2" s="1" a="1"/>
  <c r="AL139" i="2" s="1"/>
  <c r="AM139" i="2" s="1" a="1"/>
  <c r="AM139" i="2" s="1"/>
  <c r="AN139" i="2" s="1" a="1"/>
  <c r="AN139" i="2" s="1"/>
  <c r="AO139" i="2" s="1" a="1"/>
  <c r="AO139" i="2" s="1"/>
  <c r="AP139" i="2" s="1" a="1"/>
  <c r="AP139" i="2" s="1"/>
  <c r="AQ139" i="2" s="1" a="1"/>
  <c r="AQ139" i="2" s="1"/>
  <c r="AK140" i="2" a="1"/>
  <c r="AK140" i="2" s="1"/>
  <c r="AL140" i="2" s="1" a="1"/>
  <c r="AL140" i="2" s="1"/>
  <c r="AM140" i="2" s="1" a="1"/>
  <c r="AM140" i="2" s="1"/>
  <c r="AN140" i="2" s="1" a="1"/>
  <c r="AN140" i="2" s="1"/>
  <c r="AO140" i="2" s="1" a="1"/>
  <c r="AO140" i="2" s="1"/>
  <c r="AP140" i="2" s="1" a="1"/>
  <c r="AP140" i="2" s="1"/>
  <c r="AQ140" i="2" s="1" a="1"/>
  <c r="AQ140" i="2" s="1"/>
  <c r="AK132" i="2" a="1"/>
  <c r="AK132" i="2" s="1"/>
  <c r="AL132" i="2" s="1" a="1"/>
  <c r="AL132" i="2" s="1"/>
  <c r="AM132" i="2" s="1" a="1"/>
  <c r="AM132" i="2" s="1"/>
  <c r="AN132" i="2" s="1" a="1"/>
  <c r="AN132" i="2" s="1"/>
  <c r="AO132" i="2" s="1" a="1"/>
  <c r="AO132" i="2" s="1"/>
  <c r="AP132" i="2" s="1" a="1"/>
  <c r="AP132" i="2" s="1"/>
  <c r="AQ132" i="2" s="1" a="1"/>
  <c r="AQ132" i="2" s="1"/>
  <c r="AL543" i="2" l="1" a="1"/>
  <c r="AL543" i="2" s="1"/>
  <c r="AL25" i="2" a="1"/>
  <c r="AL25" i="2" s="1"/>
  <c r="AL79" i="2" a="1"/>
  <c r="AL79" i="2" s="1"/>
  <c r="AL119" i="2" a="1"/>
  <c r="AL119" i="2" s="1"/>
  <c r="AL128" i="2" a="1"/>
  <c r="AL128" i="2" s="1"/>
  <c r="AM128" i="2" s="1" a="1"/>
  <c r="AM128" i="2" s="1"/>
  <c r="AL77" i="2" a="1"/>
  <c r="AL77" i="2" s="1"/>
  <c r="AL74" i="2" a="1"/>
  <c r="AL74" i="2" s="1"/>
  <c r="AL8" i="2" a="1"/>
  <c r="AL8" i="2" s="1"/>
  <c r="AL104" i="2" a="1"/>
  <c r="AL104" i="2" s="1"/>
  <c r="AM104" i="2" s="1" a="1"/>
  <c r="AM104" i="2" s="1"/>
  <c r="AN104" i="2" s="1" a="1"/>
  <c r="AN104" i="2" s="1"/>
  <c r="AO104" i="2" s="1" a="1"/>
  <c r="AO104" i="2" s="1"/>
  <c r="AP104" i="2" s="1" a="1"/>
  <c r="AP104" i="2" s="1"/>
  <c r="AQ104" i="2" s="1" a="1"/>
  <c r="AQ104" i="2" s="1"/>
  <c r="AL102" i="2" a="1"/>
  <c r="AL102" i="2" s="1"/>
  <c r="AL216" i="2" a="1"/>
  <c r="AL216" i="2" s="1"/>
  <c r="AL83" i="2" a="1"/>
  <c r="AL83" i="2" s="1"/>
  <c r="AL57" i="2" a="1"/>
  <c r="AL57" i="2" s="1"/>
  <c r="AL448" i="2" a="1"/>
  <c r="AL448" i="2" s="1"/>
  <c r="AL52" i="2" a="1"/>
  <c r="AL52" i="2" s="1"/>
  <c r="AM52" i="2" s="1" a="1"/>
  <c r="AM52" i="2" s="1"/>
  <c r="AN52" i="2" s="1" a="1"/>
  <c r="AN52" i="2" s="1"/>
  <c r="AO52" i="2" s="1" a="1"/>
  <c r="AO52" i="2" s="1"/>
  <c r="AL534" i="2" a="1"/>
  <c r="AL534" i="2" s="1"/>
  <c r="AL76" i="2" a="1"/>
  <c r="AL76" i="2" s="1"/>
  <c r="AL24" i="2" a="1"/>
  <c r="AL24" i="2" s="1"/>
  <c r="AL412" i="2" a="1"/>
  <c r="AL412" i="2" s="1"/>
  <c r="AL253" i="2" a="1"/>
  <c r="AL253" i="2" s="1"/>
  <c r="AM253" i="2" s="1" a="1"/>
  <c r="AM253" i="2" s="1"/>
  <c r="AL22" i="2" a="1"/>
  <c r="AL22" i="2" s="1"/>
  <c r="AL237" i="2" a="1"/>
  <c r="AL237" i="2" s="1"/>
  <c r="AL194" i="2" a="1"/>
  <c r="AL194" i="2" s="1"/>
  <c r="AM194" i="2" s="1" a="1"/>
  <c r="AM194" i="2" s="1"/>
  <c r="AN194" i="2" s="1" a="1"/>
  <c r="AN194" i="2" s="1"/>
  <c r="AO194" i="2" s="1" a="1"/>
  <c r="AO194" i="2" s="1"/>
  <c r="AP194" i="2" s="1" a="1"/>
  <c r="AP194" i="2" s="1"/>
  <c r="AQ194" i="2" s="1" a="1"/>
  <c r="AQ194" i="2" s="1"/>
  <c r="AL217" i="2" a="1"/>
  <c r="AL217" i="2" s="1"/>
  <c r="AL187" i="2" a="1"/>
  <c r="AL187" i="2" s="1"/>
  <c r="AM187" i="2" s="1" a="1"/>
  <c r="AM187" i="2" s="1"/>
  <c r="AL321" i="2" a="1"/>
  <c r="AL321" i="2" s="1"/>
  <c r="AL136" i="2" a="1"/>
  <c r="AL136" i="2" s="1"/>
  <c r="AM136" i="2" s="1" a="1"/>
  <c r="AM136" i="2" s="1"/>
  <c r="AN136" i="2" s="1" a="1"/>
  <c r="AN136" i="2" s="1"/>
  <c r="AL100" i="2" a="1"/>
  <c r="AL100" i="2" s="1"/>
  <c r="AL157" i="2" a="1"/>
  <c r="AL157" i="2" s="1"/>
  <c r="AL322" i="2" a="1"/>
  <c r="AL322" i="2" s="1"/>
  <c r="AL120" i="2" a="1"/>
  <c r="AL120" i="2" s="1"/>
  <c r="AL129" i="2" a="1"/>
  <c r="AL129" i="2" s="1"/>
  <c r="AM129" i="2" s="1" a="1"/>
  <c r="AM129" i="2" s="1"/>
  <c r="AN129" i="2" s="1" a="1"/>
  <c r="AN129" i="2" s="1"/>
  <c r="AL316" i="2" a="1"/>
  <c r="AL316" i="2" s="1"/>
  <c r="AM316" i="2" s="1" a="1"/>
  <c r="AM316" i="2" s="1"/>
  <c r="AN316" i="2" s="1" a="1"/>
  <c r="AN316" i="2" s="1"/>
  <c r="AO316" i="2" s="1" a="1"/>
  <c r="AO316" i="2" s="1"/>
  <c r="AP316" i="2" s="1" a="1"/>
  <c r="AP316" i="2" s="1"/>
  <c r="AQ316" i="2" s="1" a="1"/>
  <c r="AQ316" i="2" s="1"/>
  <c r="AL114" i="2" a="1"/>
  <c r="AL114" i="2" s="1"/>
  <c r="AM114" i="2" s="1" a="1"/>
  <c r="AM114" i="2" s="1"/>
  <c r="AL39" i="2" a="1"/>
  <c r="AL39" i="2" s="1"/>
  <c r="AM39" i="2" s="1" a="1"/>
  <c r="AM39" i="2" s="1"/>
  <c r="AL144" i="2" a="1"/>
  <c r="AL144" i="2" s="1"/>
  <c r="AM144" i="2" s="1" a="1"/>
  <c r="AM144" i="2" s="1"/>
  <c r="AL320" i="2" a="1"/>
  <c r="AL320" i="2" s="1"/>
  <c r="AL374" i="2" a="1"/>
  <c r="AL374" i="2" s="1"/>
  <c r="AM374" i="2" s="1" a="1"/>
  <c r="AM374" i="2" s="1"/>
  <c r="AL26" i="2" a="1"/>
  <c r="AL26" i="2" s="1"/>
  <c r="AL236" i="2" a="1"/>
  <c r="AL236" i="2" s="1"/>
  <c r="AL317" i="2" a="1"/>
  <c r="AL317" i="2" s="1"/>
  <c r="AL81" i="2" a="1"/>
  <c r="AL81" i="2" s="1"/>
  <c r="AL67" i="2" a="1"/>
  <c r="AL67" i="2" s="1"/>
  <c r="AM67" i="2" s="1" a="1"/>
  <c r="AM67" i="2" s="1"/>
  <c r="AL9" i="2" a="1"/>
  <c r="AL9" i="2" s="1"/>
  <c r="AL227" i="2" a="1"/>
  <c r="AL227" i="2" s="1"/>
  <c r="AM227" i="2" s="1" a="1"/>
  <c r="AM227" i="2" s="1"/>
  <c r="AN227" i="2" s="1" a="1"/>
  <c r="AN227" i="2" s="1"/>
  <c r="AL92" i="2" a="1"/>
  <c r="AL92" i="2" s="1"/>
  <c r="AM92" i="2" s="1" a="1"/>
  <c r="AM92" i="2" s="1"/>
  <c r="AN92" i="2" s="1" a="1"/>
  <c r="AN92" i="2" s="1"/>
  <c r="AL233" i="2" a="1"/>
  <c r="AL233" i="2" s="1"/>
  <c r="AM233" i="2" s="1" a="1"/>
  <c r="AM233" i="2" s="1"/>
  <c r="AL11" i="2" a="1"/>
  <c r="AL11" i="2" s="1"/>
  <c r="AM11" i="2" s="1" a="1"/>
  <c r="AM11" i="2" s="1"/>
  <c r="AL64" i="2" a="1"/>
  <c r="AL64" i="2" s="1"/>
  <c r="AM64" i="2" s="1" a="1"/>
  <c r="AM64" i="2" s="1"/>
  <c r="AL232" i="2" a="1"/>
  <c r="AL232" i="2" s="1"/>
  <c r="AL297" i="2" a="1"/>
  <c r="AL297" i="2" s="1"/>
  <c r="AL18" i="2" a="1"/>
  <c r="AL18" i="2" s="1"/>
  <c r="AL131" i="2" a="1"/>
  <c r="AL131" i="2" s="1"/>
  <c r="AM131" i="2" s="1" a="1"/>
  <c r="AM131" i="2" s="1"/>
  <c r="AL499" i="2" a="1"/>
  <c r="AL499" i="2" s="1"/>
  <c r="AL6" i="2" a="1"/>
  <c r="AL6" i="2" s="1"/>
  <c r="AL98" i="2" a="1"/>
  <c r="AL98" i="2" s="1"/>
  <c r="AL5" i="2" a="1"/>
  <c r="AL5" i="2" s="1"/>
  <c r="AM5" i="2" s="1" a="1"/>
  <c r="AM5" i="2" s="1"/>
  <c r="AL223" i="2" a="1"/>
  <c r="AL223" i="2" s="1"/>
  <c r="AM223" i="2" s="1" a="1"/>
  <c r="AM223" i="2" s="1"/>
  <c r="AN223" i="2" s="1" a="1"/>
  <c r="AN223" i="2" s="1"/>
  <c r="AO223" i="2" s="1" a="1"/>
  <c r="AO223" i="2" s="1"/>
  <c r="AP223" i="2" s="1" a="1"/>
  <c r="AP223" i="2" s="1"/>
  <c r="AQ223" i="2" s="1" a="1"/>
  <c r="AQ223" i="2" s="1"/>
  <c r="AL16" i="2" a="1"/>
  <c r="AL16" i="2" s="1"/>
  <c r="AL382" i="2" a="1"/>
  <c r="AL382" i="2" s="1"/>
  <c r="AL170" i="2" a="1"/>
  <c r="AL170" i="2" s="1"/>
  <c r="AL344" i="2" a="1"/>
  <c r="AL344" i="2" s="1"/>
  <c r="AM344" i="2" s="1" a="1"/>
  <c r="AM344" i="2" s="1"/>
  <c r="AN344" i="2" s="1" a="1"/>
  <c r="AN344" i="2" s="1"/>
  <c r="AP52" i="2" l="1" a="1"/>
  <c r="AP52" i="2" s="1"/>
  <c r="AQ52" i="2" s="1" a="1"/>
  <c r="AQ52" i="2" s="1"/>
  <c r="AO136" i="2" a="1"/>
  <c r="AO136" i="2" s="1"/>
  <c r="AO129" i="2" a="1"/>
  <c r="AO129" i="2" s="1"/>
  <c r="AO344" i="2" a="1"/>
  <c r="AO344" i="2" s="1"/>
  <c r="AO92" i="2" a="1"/>
  <c r="AO92" i="2" s="1"/>
  <c r="AP92" i="2" s="1" a="1"/>
  <c r="AP92" i="2" s="1"/>
  <c r="AQ92" i="2" s="1" a="1"/>
  <c r="AQ92" i="2" s="1"/>
  <c r="AO227" i="2" a="1"/>
  <c r="AO227" i="2" s="1"/>
  <c r="AN67" i="2" a="1"/>
  <c r="AN67" i="2" s="1"/>
  <c r="AN131" i="2" a="1"/>
  <c r="AN131" i="2" s="1"/>
  <c r="AN233" i="2" a="1"/>
  <c r="AN233" i="2" s="1"/>
  <c r="AN187" i="2" a="1"/>
  <c r="AN187" i="2" s="1"/>
  <c r="AN374" i="2" a="1"/>
  <c r="AN374" i="2" s="1"/>
  <c r="AN144" i="2" a="1"/>
  <c r="AN144" i="2" s="1"/>
  <c r="AN5" i="2" a="1"/>
  <c r="AN5" i="2" s="1"/>
  <c r="AN128" i="2" a="1"/>
  <c r="AN128" i="2" s="1"/>
  <c r="AO128" i="2" s="1" a="1"/>
  <c r="AO128" i="2" s="1"/>
  <c r="AP128" i="2" s="1" a="1"/>
  <c r="AP128" i="2" s="1"/>
  <c r="AQ128" i="2" s="1" a="1"/>
  <c r="AQ128" i="2" s="1"/>
  <c r="AN39" i="2" a="1"/>
  <c r="AN39" i="2" s="1"/>
  <c r="AN114" i="2" a="1"/>
  <c r="AN114" i="2" s="1"/>
  <c r="AO114" i="2" s="1" a="1"/>
  <c r="AO114" i="2" s="1"/>
  <c r="AN253" i="2" a="1"/>
  <c r="AN253" i="2" s="1"/>
  <c r="AN64" i="2" a="1"/>
  <c r="AN64" i="2" s="1"/>
  <c r="AN11" i="2" a="1"/>
  <c r="AN11" i="2" s="1"/>
  <c r="AM83" i="2" a="1"/>
  <c r="AM83" i="2" s="1"/>
  <c r="AM119" i="2" a="1"/>
  <c r="AM119" i="2" s="1"/>
  <c r="AM9" i="2" a="1"/>
  <c r="AM9" i="2" s="1"/>
  <c r="AM236" i="2" a="1"/>
  <c r="AM236" i="2" s="1"/>
  <c r="AN236" i="2" s="1" a="1"/>
  <c r="AN236" i="2" s="1"/>
  <c r="AM102" i="2" a="1"/>
  <c r="AM102" i="2" s="1"/>
  <c r="AM217" i="2" a="1"/>
  <c r="AM217" i="2" s="1"/>
  <c r="AM8" i="2" a="1"/>
  <c r="AM8" i="2" s="1"/>
  <c r="AN8" i="2" s="1" a="1"/>
  <c r="AN8" i="2" s="1"/>
  <c r="AM448" i="2" a="1"/>
  <c r="AM448" i="2" s="1"/>
  <c r="AM74" i="2" a="1"/>
  <c r="AM74" i="2" s="1"/>
  <c r="AN74" i="2" s="1" a="1"/>
  <c r="AN74" i="2" s="1"/>
  <c r="AO74" i="2" s="1" a="1"/>
  <c r="AO74" i="2" s="1"/>
  <c r="AM237" i="2" a="1"/>
  <c r="AM237" i="2" s="1"/>
  <c r="AM77" i="2" a="1"/>
  <c r="AM77" i="2" s="1"/>
  <c r="AM499" i="2" a="1"/>
  <c r="AM499" i="2" s="1"/>
  <c r="AM81" i="2" a="1"/>
  <c r="AM81" i="2" s="1"/>
  <c r="AN81" i="2" s="1" a="1"/>
  <c r="AN81" i="2" s="1"/>
  <c r="AM22" i="2" a="1"/>
  <c r="AM22" i="2" s="1"/>
  <c r="AM98" i="2" a="1"/>
  <c r="AM98" i="2" s="1"/>
  <c r="AN98" i="2" s="1" a="1"/>
  <c r="AN98" i="2" s="1"/>
  <c r="AM317" i="2" a="1"/>
  <c r="AM317" i="2" s="1"/>
  <c r="AM18" i="2" a="1"/>
  <c r="AM18" i="2" s="1"/>
  <c r="AN18" i="2" s="1" a="1"/>
  <c r="AN18" i="2" s="1"/>
  <c r="AM26" i="2" a="1"/>
  <c r="AM26" i="2" s="1"/>
  <c r="AM6" i="2" a="1"/>
  <c r="AM6" i="2" s="1"/>
  <c r="AN6" i="2" s="1" a="1"/>
  <c r="AN6" i="2" s="1"/>
  <c r="AM297" i="2" a="1"/>
  <c r="AM297" i="2" s="1"/>
  <c r="AM120" i="2" a="1"/>
  <c r="AM120" i="2" s="1"/>
  <c r="AM24" i="2" a="1"/>
  <c r="AM24" i="2" s="1"/>
  <c r="AM321" i="2" a="1"/>
  <c r="AM321" i="2" s="1"/>
  <c r="AN321" i="2" s="1" a="1"/>
  <c r="AN321" i="2" s="1"/>
  <c r="AM79" i="2" a="1"/>
  <c r="AM79" i="2" s="1"/>
  <c r="AN79" i="2" s="1" a="1"/>
  <c r="AN79" i="2" s="1"/>
  <c r="AM412" i="2" a="1"/>
  <c r="AM412" i="2" s="1"/>
  <c r="AM382" i="2" a="1"/>
  <c r="AM382" i="2" s="1"/>
  <c r="AN382" i="2" s="1" a="1"/>
  <c r="AN382" i="2" s="1"/>
  <c r="AM16" i="2" a="1"/>
  <c r="AM16" i="2" s="1"/>
  <c r="AM232" i="2" a="1"/>
  <c r="AM232" i="2" s="1"/>
  <c r="AN232" i="2" s="1" a="1"/>
  <c r="AN232" i="2" s="1"/>
  <c r="AM322" i="2" a="1"/>
  <c r="AM322" i="2" s="1"/>
  <c r="AM76" i="2" a="1"/>
  <c r="AM76" i="2" s="1"/>
  <c r="AM57" i="2" a="1"/>
  <c r="AM57" i="2" s="1"/>
  <c r="AM320" i="2" a="1"/>
  <c r="AM320" i="2" s="1"/>
  <c r="AN320" i="2" s="1" a="1"/>
  <c r="AN320" i="2" s="1"/>
  <c r="AO320" i="2" s="1" a="1"/>
  <c r="AO320" i="2" s="1"/>
  <c r="AM157" i="2" a="1"/>
  <c r="AM157" i="2" s="1"/>
  <c r="AM534" i="2" a="1"/>
  <c r="AM534" i="2" s="1"/>
  <c r="AN534" i="2" s="1" a="1"/>
  <c r="AN534" i="2" s="1"/>
  <c r="AO534" i="2" s="1" a="1"/>
  <c r="AO534" i="2" s="1"/>
  <c r="AM25" i="2" a="1"/>
  <c r="AM25" i="2" s="1"/>
  <c r="AM216" i="2" a="1"/>
  <c r="AM216" i="2" s="1"/>
  <c r="AN216" i="2" s="1" a="1"/>
  <c r="AN216" i="2" s="1"/>
  <c r="AM170" i="2" a="1"/>
  <c r="AM170" i="2" s="1"/>
  <c r="AM100" i="2" a="1"/>
  <c r="AM100" i="2" s="1"/>
  <c r="AN100" i="2" s="1" a="1"/>
  <c r="AN100" i="2" s="1"/>
  <c r="AM543" i="2" a="1"/>
  <c r="AM543" i="2" s="1"/>
  <c r="AP114" i="2" l="1" a="1"/>
  <c r="AP114" i="2" s="1"/>
  <c r="AQ114" i="2" s="1" a="1"/>
  <c r="AQ114" i="2" s="1"/>
  <c r="AP320" i="2" a="1"/>
  <c r="AP320" i="2" s="1"/>
  <c r="AQ320" i="2" s="1" a="1"/>
  <c r="AQ320" i="2" s="1"/>
  <c r="AP74" i="2" a="1"/>
  <c r="AP74" i="2" s="1"/>
  <c r="AQ74" i="2" s="1" a="1"/>
  <c r="AQ74" i="2" s="1"/>
  <c r="AP227" i="2" a="1"/>
  <c r="AP227" i="2" s="1"/>
  <c r="AQ227" i="2" s="1" a="1"/>
  <c r="AQ227" i="2" s="1"/>
  <c r="AP344" i="2" a="1"/>
  <c r="AP344" i="2" s="1"/>
  <c r="AQ344" i="2" s="1" a="1"/>
  <c r="AQ344" i="2" s="1"/>
  <c r="AP129" i="2" a="1"/>
  <c r="AP129" i="2" s="1"/>
  <c r="AQ129" i="2" s="1" a="1"/>
  <c r="AQ129" i="2" s="1"/>
  <c r="AP136" i="2" a="1"/>
  <c r="AP136" i="2" s="1"/>
  <c r="AQ136" i="2" s="1" a="1"/>
  <c r="AQ136" i="2" s="1"/>
  <c r="AP534" i="2" a="1"/>
  <c r="AP534" i="2" s="1"/>
  <c r="AQ534" i="2" s="1" a="1"/>
  <c r="AQ534" i="2" s="1"/>
  <c r="AO187" i="2" a="1"/>
  <c r="AO187" i="2" s="1"/>
  <c r="AO144" i="2" a="1"/>
  <c r="AO144" i="2" s="1"/>
  <c r="AO8" i="2" a="1"/>
  <c r="AO8" i="2" s="1"/>
  <c r="AP8" i="2" s="1" a="1"/>
  <c r="AP8" i="2" s="1"/>
  <c r="AQ8" i="2" s="1" a="1"/>
  <c r="AQ8" i="2" s="1"/>
  <c r="AO233" i="2" a="1"/>
  <c r="AO233" i="2" s="1"/>
  <c r="AO79" i="2" a="1"/>
  <c r="AO79" i="2" s="1"/>
  <c r="AO131" i="2" a="1"/>
  <c r="AO131" i="2" s="1"/>
  <c r="AO232" i="2" a="1"/>
  <c r="AO232" i="2" s="1"/>
  <c r="AO67" i="2" a="1"/>
  <c r="AO67" i="2" s="1"/>
  <c r="AO382" i="2" a="1"/>
  <c r="AO382" i="2" s="1"/>
  <c r="AP382" i="2" s="1" a="1"/>
  <c r="AP382" i="2" s="1"/>
  <c r="AQ382" i="2" s="1" a="1"/>
  <c r="AQ382" i="2" s="1"/>
  <c r="AO236" i="2" a="1"/>
  <c r="AO236" i="2" s="1"/>
  <c r="AO100" i="2" a="1"/>
  <c r="AO100" i="2" s="1"/>
  <c r="AO321" i="2" a="1"/>
  <c r="AO321" i="2" s="1"/>
  <c r="AP321" i="2" s="1" a="1"/>
  <c r="AP321" i="2" s="1"/>
  <c r="AQ321" i="2" s="1" a="1"/>
  <c r="AQ321" i="2" s="1"/>
  <c r="AO216" i="2" a="1"/>
  <c r="AO216" i="2" s="1"/>
  <c r="AO6" i="2" a="1"/>
  <c r="AO6" i="2" s="1"/>
  <c r="AO18" i="2" a="1"/>
  <c r="AO18" i="2" s="1"/>
  <c r="AO64" i="2" a="1"/>
  <c r="AO64" i="2" s="1"/>
  <c r="AO253" i="2" a="1"/>
  <c r="AO253" i="2" s="1"/>
  <c r="AO98" i="2" a="1"/>
  <c r="AO98" i="2" s="1"/>
  <c r="AO5" i="2" a="1"/>
  <c r="AO5" i="2" s="1"/>
  <c r="AP5" i="2" s="1" a="1"/>
  <c r="AP5" i="2" s="1"/>
  <c r="AQ5" i="2" s="1" a="1"/>
  <c r="AQ5" i="2" s="1"/>
  <c r="AO374" i="2" a="1"/>
  <c r="AO374" i="2" s="1"/>
  <c r="AO11" i="2" a="1"/>
  <c r="AO11" i="2" s="1"/>
  <c r="AO81" i="2" a="1"/>
  <c r="AO81" i="2" s="1"/>
  <c r="AP81" i="2" s="1" a="1"/>
  <c r="AP81" i="2" s="1"/>
  <c r="AQ81" i="2" s="1" a="1"/>
  <c r="AQ81" i="2" s="1"/>
  <c r="AO39" i="2" a="1"/>
  <c r="AO39" i="2" s="1"/>
  <c r="AN170" i="2" a="1"/>
  <c r="AN170" i="2" s="1"/>
  <c r="AN25" i="2" a="1"/>
  <c r="AN25" i="2" s="1"/>
  <c r="AN24" i="2" a="1"/>
  <c r="AN24" i="2" s="1"/>
  <c r="AN120" i="2" a="1"/>
  <c r="AN120" i="2" s="1"/>
  <c r="AN297" i="2" a="1"/>
  <c r="AN297" i="2" s="1"/>
  <c r="AN217" i="2" a="1"/>
  <c r="AN217" i="2" s="1"/>
  <c r="AO217" i="2" s="1" a="1"/>
  <c r="AO217" i="2" s="1"/>
  <c r="AN157" i="2" a="1"/>
  <c r="AN157" i="2" s="1"/>
  <c r="AO157" i="2" s="1" a="1"/>
  <c r="AO157" i="2" s="1"/>
  <c r="AN26" i="2" a="1"/>
  <c r="AN26" i="2" s="1"/>
  <c r="AN102" i="2" a="1"/>
  <c r="AN102" i="2" s="1"/>
  <c r="AO102" i="2" s="1" a="1"/>
  <c r="AO102" i="2" s="1"/>
  <c r="AP102" i="2" s="1" a="1"/>
  <c r="AP102" i="2" s="1"/>
  <c r="AQ102" i="2" s="1" a="1"/>
  <c r="AQ102" i="2" s="1"/>
  <c r="AN57" i="2" a="1"/>
  <c r="AN57" i="2" s="1"/>
  <c r="AN448" i="2" a="1"/>
  <c r="AN448" i="2" s="1"/>
  <c r="AN76" i="2" a="1"/>
  <c r="AN76" i="2" s="1"/>
  <c r="AN322" i="2" a="1"/>
  <c r="AN322" i="2" s="1"/>
  <c r="AN317" i="2" a="1"/>
  <c r="AN317" i="2" s="1"/>
  <c r="AN9" i="2" a="1"/>
  <c r="AN9" i="2" s="1"/>
  <c r="AN119" i="2" a="1"/>
  <c r="AN119" i="2" s="1"/>
  <c r="AO119" i="2" s="1" a="1"/>
  <c r="AO119" i="2" s="1"/>
  <c r="AN83" i="2" a="1"/>
  <c r="AN83" i="2" s="1"/>
  <c r="AO83" i="2" s="1" a="1"/>
  <c r="AO83" i="2" s="1"/>
  <c r="AP83" i="2" s="1" a="1"/>
  <c r="AP83" i="2" s="1"/>
  <c r="AQ83" i="2" s="1" a="1"/>
  <c r="AQ83" i="2" s="1"/>
  <c r="AN499" i="2" a="1"/>
  <c r="AN499" i="2" s="1"/>
  <c r="AN16" i="2" a="1"/>
  <c r="AN16" i="2" s="1"/>
  <c r="AO16" i="2" s="1" a="1"/>
  <c r="AO16" i="2" s="1"/>
  <c r="AN22" i="2" a="1"/>
  <c r="AN22" i="2" s="1"/>
  <c r="AN543" i="2" a="1"/>
  <c r="AN543" i="2" s="1"/>
  <c r="AN412" i="2" a="1"/>
  <c r="AN412" i="2" s="1"/>
  <c r="AN77" i="2" a="1"/>
  <c r="AN77" i="2" s="1"/>
  <c r="AN237" i="2" a="1"/>
  <c r="AN237" i="2" s="1"/>
  <c r="AP98" i="2" l="1" a="1"/>
  <c r="AP98" i="2" s="1"/>
  <c r="AQ98" i="2" s="1" a="1"/>
  <c r="AQ98" i="2" s="1"/>
  <c r="AP144" i="2" a="1"/>
  <c r="AP144" i="2" s="1"/>
  <c r="AQ144" i="2" s="1" a="1"/>
  <c r="AQ144" i="2" s="1"/>
  <c r="AP6" i="2" a="1"/>
  <c r="AP6" i="2" s="1"/>
  <c r="AQ6" i="2" s="1" a="1"/>
  <c r="AQ6" i="2" s="1"/>
  <c r="AP157" i="2" a="1"/>
  <c r="AP157" i="2" s="1"/>
  <c r="AQ157" i="2" s="1" a="1"/>
  <c r="AQ157" i="2" s="1"/>
  <c r="AP216" i="2" a="1"/>
  <c r="AP216" i="2" s="1"/>
  <c r="AQ216" i="2" s="1" a="1"/>
  <c r="AQ216" i="2" s="1"/>
  <c r="AP217" i="2" a="1"/>
  <c r="AP217" i="2" s="1"/>
  <c r="AQ217" i="2" s="1" a="1"/>
  <c r="AQ217" i="2" s="1"/>
  <c r="AP253" i="2" a="1"/>
  <c r="AP253" i="2" s="1"/>
  <c r="AQ253" i="2" s="1" a="1"/>
  <c r="AQ253" i="2" s="1"/>
  <c r="AP18" i="2" a="1"/>
  <c r="AP18" i="2" s="1"/>
  <c r="AQ18" i="2" s="1" a="1"/>
  <c r="AQ18" i="2" s="1"/>
  <c r="AP100" i="2" a="1"/>
  <c r="AP100" i="2" s="1"/>
  <c r="AQ100" i="2" s="1" a="1"/>
  <c r="AQ100" i="2" s="1"/>
  <c r="AP236" i="2" a="1"/>
  <c r="AP236" i="2" s="1"/>
  <c r="AQ236" i="2" s="1" a="1"/>
  <c r="AQ236" i="2" s="1"/>
  <c r="AP64" i="2" a="1"/>
  <c r="AP64" i="2" s="1"/>
  <c r="AQ64" i="2" s="1" a="1"/>
  <c r="AQ64" i="2" s="1"/>
  <c r="AP16" i="2" a="1"/>
  <c r="AP16" i="2" s="1"/>
  <c r="AQ16" i="2" s="1" a="1"/>
  <c r="AQ16" i="2" s="1"/>
  <c r="AP67" i="2" a="1"/>
  <c r="AP67" i="2" s="1"/>
  <c r="AQ67" i="2" s="1" a="1"/>
  <c r="AQ67" i="2" s="1"/>
  <c r="AP232" i="2" a="1"/>
  <c r="AP232" i="2" s="1"/>
  <c r="AQ232" i="2" s="1" a="1"/>
  <c r="AQ232" i="2" s="1"/>
  <c r="AP39" i="2" a="1"/>
  <c r="AP39" i="2" s="1"/>
  <c r="AQ39" i="2" s="1" a="1"/>
  <c r="AQ39" i="2" s="1"/>
  <c r="AP119" i="2" a="1"/>
  <c r="AP119" i="2" s="1"/>
  <c r="AQ119" i="2" s="1" a="1"/>
  <c r="AQ119" i="2" s="1"/>
  <c r="AP131" i="2" a="1"/>
  <c r="AP131" i="2" s="1"/>
  <c r="AQ131" i="2" s="1" a="1"/>
  <c r="AQ131" i="2" s="1"/>
  <c r="AP187" i="2" a="1"/>
  <c r="AP187" i="2" s="1"/>
  <c r="AQ187" i="2" s="1" a="1"/>
  <c r="AQ187" i="2" s="1"/>
  <c r="AP11" i="2" a="1"/>
  <c r="AP11" i="2" s="1"/>
  <c r="AQ11" i="2" s="1" a="1"/>
  <c r="AQ11" i="2" s="1"/>
  <c r="AP79" i="2" a="1"/>
  <c r="AP79" i="2" s="1"/>
  <c r="AQ79" i="2" s="1" a="1"/>
  <c r="AQ79" i="2" s="1"/>
  <c r="AP233" i="2" a="1"/>
  <c r="AP233" i="2" s="1"/>
  <c r="AQ233" i="2" s="1" a="1"/>
  <c r="AQ233" i="2" s="1"/>
  <c r="AP374" i="2" a="1"/>
  <c r="AP374" i="2" s="1"/>
  <c r="AQ374" i="2" s="1" a="1"/>
  <c r="AQ374" i="2" s="1"/>
  <c r="AO543" i="2" a="1"/>
  <c r="AO543" i="2" s="1"/>
  <c r="AO412" i="2" a="1"/>
  <c r="AO412" i="2" s="1"/>
  <c r="AP412" i="2" s="1" a="1"/>
  <c r="AP412" i="2" s="1"/>
  <c r="AQ412" i="2" s="1" a="1"/>
  <c r="AQ412" i="2" s="1"/>
  <c r="AO22" i="2" a="1"/>
  <c r="AO22" i="2" s="1"/>
  <c r="AO297" i="2" a="1"/>
  <c r="AO297" i="2" s="1"/>
  <c r="AP297" i="2" s="1" a="1"/>
  <c r="AP297" i="2" s="1"/>
  <c r="AQ297" i="2" s="1" a="1"/>
  <c r="AQ297" i="2" s="1"/>
  <c r="AO120" i="2" a="1"/>
  <c r="AO120" i="2" s="1"/>
  <c r="AO499" i="2" a="1"/>
  <c r="AO499" i="2" s="1"/>
  <c r="AO24" i="2" a="1"/>
  <c r="AO24" i="2" s="1"/>
  <c r="AO25" i="2" a="1"/>
  <c r="AO25" i="2" s="1"/>
  <c r="AP25" i="2" s="1" a="1"/>
  <c r="AP25" i="2" s="1"/>
  <c r="AQ25" i="2" s="1" a="1"/>
  <c r="AQ25" i="2" s="1"/>
  <c r="AO237" i="2" a="1"/>
  <c r="AO237" i="2" s="1"/>
  <c r="AO26" i="2" a="1"/>
  <c r="AO26" i="2" s="1"/>
  <c r="AO170" i="2" a="1"/>
  <c r="AO170" i="2" s="1"/>
  <c r="AO77" i="2" a="1"/>
  <c r="AO77" i="2" s="1"/>
  <c r="AO9" i="2" a="1"/>
  <c r="AO9" i="2" s="1"/>
  <c r="AP9" i="2" s="1" a="1"/>
  <c r="AP9" i="2" s="1"/>
  <c r="AQ9" i="2" s="1" a="1"/>
  <c r="AQ9" i="2" s="1"/>
  <c r="AO317" i="2" a="1"/>
  <c r="AO317" i="2" s="1"/>
  <c r="AO322" i="2" a="1"/>
  <c r="AO322" i="2" s="1"/>
  <c r="AO76" i="2" a="1"/>
  <c r="AO76" i="2" s="1"/>
  <c r="AO448" i="2" a="1"/>
  <c r="AO448" i="2" s="1"/>
  <c r="AO57" i="2" a="1"/>
  <c r="AO57" i="2" s="1"/>
  <c r="AP22" i="2" l="1" a="1"/>
  <c r="AP22" i="2" s="1"/>
  <c r="AQ22" i="2" s="1" a="1"/>
  <c r="AQ22" i="2" s="1"/>
  <c r="AP237" i="2" a="1"/>
  <c r="AP237" i="2" s="1"/>
  <c r="AQ237" i="2" s="1" a="1"/>
  <c r="AQ237" i="2" s="1"/>
  <c r="AP499" i="2" a="1"/>
  <c r="AP499" i="2" s="1"/>
  <c r="AQ499" i="2" s="1" a="1"/>
  <c r="AQ499" i="2" s="1"/>
  <c r="AP120" i="2" a="1"/>
  <c r="AP120" i="2" s="1"/>
  <c r="AQ120" i="2" s="1" a="1"/>
  <c r="AQ120" i="2" s="1"/>
  <c r="AP24" i="2" a="1"/>
  <c r="AP24" i="2" s="1"/>
  <c r="AQ24" i="2" s="1" a="1"/>
  <c r="AQ24" i="2" s="1"/>
  <c r="AP317" i="2" a="1"/>
  <c r="AP317" i="2" s="1"/>
  <c r="AQ317" i="2" s="1" a="1"/>
  <c r="AQ317" i="2" s="1"/>
  <c r="AP57" i="2" a="1"/>
  <c r="AP57" i="2" s="1"/>
  <c r="AQ57" i="2" s="1" a="1"/>
  <c r="AQ57" i="2" s="1"/>
  <c r="AP322" i="2" a="1"/>
  <c r="AP322" i="2" s="1"/>
  <c r="AQ322" i="2" s="1" a="1"/>
  <c r="AQ322" i="2" s="1"/>
  <c r="AP448" i="2" a="1"/>
  <c r="AP448" i="2" s="1"/>
  <c r="AQ448" i="2" s="1" a="1"/>
  <c r="AQ448" i="2" s="1"/>
  <c r="AP76" i="2" a="1"/>
  <c r="AP76" i="2" s="1"/>
  <c r="AQ76" i="2" s="1" a="1"/>
  <c r="AQ76" i="2" s="1"/>
  <c r="AP543" i="2" a="1"/>
  <c r="AP543" i="2" s="1"/>
  <c r="AQ543" i="2" s="1" a="1"/>
  <c r="AQ543" i="2" s="1"/>
  <c r="AP77" i="2" a="1"/>
  <c r="AP77" i="2" s="1"/>
  <c r="AQ77" i="2" s="1" a="1"/>
  <c r="AQ77" i="2" s="1"/>
  <c r="AP170" i="2" a="1"/>
  <c r="AP170" i="2" s="1"/>
  <c r="AQ170" i="2" s="1" a="1"/>
  <c r="AQ170" i="2" s="1"/>
  <c r="AP26" i="2" a="1"/>
  <c r="AP26" i="2" s="1"/>
  <c r="AQ26" i="2" s="1" a="1"/>
  <c r="AQ26" i="2" s="1"/>
  <c r="AC76" i="2" l="1"/>
  <c r="AC71" i="2"/>
  <c r="AC156" i="2"/>
  <c r="AC4" i="2"/>
  <c r="AC5" i="2"/>
  <c r="AC6" i="2"/>
  <c r="AC9" i="2"/>
  <c r="AC11" i="2"/>
  <c r="AC12" i="2"/>
  <c r="AC13" i="2"/>
  <c r="AC97" i="2"/>
  <c r="AC99" i="2"/>
  <c r="AC134" i="2"/>
  <c r="AC135" i="2"/>
  <c r="AC138" i="2"/>
  <c r="AC139" i="2"/>
  <c r="AC140" i="2"/>
  <c r="AC142" i="2"/>
  <c r="AC143" i="2"/>
  <c r="AC548" i="2"/>
  <c r="AR155" i="2" l="1"/>
  <c r="AS155" i="2" s="1"/>
  <c r="AT155" i="2" s="1"/>
  <c r="AU155" i="2" s="1"/>
  <c r="AV155" i="2" s="1"/>
  <c r="AW155" i="2" s="1"/>
  <c r="AX155" i="2" s="1"/>
  <c r="AY155" i="2" s="1"/>
  <c r="L97" i="2"/>
  <c r="M97" i="2" s="1"/>
  <c r="N97" i="2" s="1"/>
  <c r="O97" i="2" s="1"/>
  <c r="P97" i="2" s="1"/>
  <c r="Q97" i="2" s="1"/>
  <c r="R97" i="2" s="1"/>
  <c r="S97" i="2" s="1"/>
  <c r="T97" i="2" s="1"/>
  <c r="U97" i="2" s="1"/>
  <c r="AC224" i="2"/>
  <c r="L98" i="2"/>
  <c r="M98" i="2" s="1"/>
  <c r="N98" i="2" s="1"/>
  <c r="O98" i="2" s="1"/>
  <c r="P98" i="2" s="1"/>
  <c r="Q98" i="2" s="1"/>
  <c r="R98" i="2" s="1"/>
  <c r="S98" i="2" s="1"/>
  <c r="T98" i="2" s="1"/>
  <c r="U98" i="2" s="1"/>
  <c r="AC221" i="2"/>
  <c r="L99" i="2"/>
  <c r="M99" i="2" s="1"/>
  <c r="N99" i="2" s="1"/>
  <c r="O99" i="2" s="1"/>
  <c r="P99" i="2" s="1"/>
  <c r="Q99" i="2" s="1"/>
  <c r="R99" i="2" s="1"/>
  <c r="S99" i="2" s="1"/>
  <c r="T99" i="2" s="1"/>
  <c r="U99" i="2" s="1"/>
  <c r="AC220" i="2"/>
  <c r="L100" i="2"/>
  <c r="M100" i="2" s="1"/>
  <c r="N100" i="2" s="1"/>
  <c r="O100" i="2" s="1"/>
  <c r="P100" i="2" s="1"/>
  <c r="Q100" i="2" s="1"/>
  <c r="R100" i="2" s="1"/>
  <c r="S100" i="2" s="1"/>
  <c r="T100" i="2" s="1"/>
  <c r="U100" i="2" s="1"/>
  <c r="AC223" i="2"/>
  <c r="L58" i="2"/>
  <c r="M58" i="2" s="1"/>
  <c r="N58" i="2" s="1"/>
  <c r="O58" i="2" s="1"/>
  <c r="P58" i="2" s="1"/>
  <c r="Q58" i="2" s="1"/>
  <c r="R58" i="2" s="1"/>
  <c r="S58" i="2" s="1"/>
  <c r="T58" i="2" s="1"/>
  <c r="U58" i="2" s="1"/>
  <c r="AC222" i="2"/>
  <c r="L101" i="2"/>
  <c r="M101" i="2" s="1"/>
  <c r="N101" i="2" s="1"/>
  <c r="O101" i="2" s="1"/>
  <c r="P101" i="2" s="1"/>
  <c r="Q101" i="2" s="1"/>
  <c r="R101" i="2" s="1"/>
  <c r="S101" i="2" s="1"/>
  <c r="T101" i="2" s="1"/>
  <c r="U101" i="2" s="1"/>
  <c r="AC226" i="2"/>
  <c r="L35" i="2"/>
  <c r="M35" i="2" s="1"/>
  <c r="N35" i="2" s="1"/>
  <c r="O35" i="2" s="1"/>
  <c r="P35" i="2" s="1"/>
  <c r="Q35" i="2" s="1"/>
  <c r="R35" i="2" s="1"/>
  <c r="S35" i="2" s="1"/>
  <c r="T35" i="2" s="1"/>
  <c r="U35" i="2" s="1"/>
  <c r="AC227" i="2"/>
  <c r="L102" i="2"/>
  <c r="M102" i="2" s="1"/>
  <c r="N102" i="2" s="1"/>
  <c r="O102" i="2" s="1"/>
  <c r="P102" i="2" s="1"/>
  <c r="Q102" i="2" s="1"/>
  <c r="R102" i="2" s="1"/>
  <c r="S102" i="2" s="1"/>
  <c r="T102" i="2" s="1"/>
  <c r="U102" i="2" s="1"/>
  <c r="AC225" i="2"/>
  <c r="L76" i="2"/>
  <c r="M76" i="2" s="1"/>
  <c r="N76" i="2" s="1"/>
  <c r="O76" i="2" s="1"/>
  <c r="P76" i="2" s="1"/>
  <c r="Q76" i="2" s="1"/>
  <c r="R76" i="2" s="1"/>
  <c r="S76" i="2" s="1"/>
  <c r="T76" i="2" s="1"/>
  <c r="U76" i="2" s="1"/>
  <c r="AC228" i="2"/>
  <c r="L103" i="2"/>
  <c r="M103" i="2" s="1"/>
  <c r="N103" i="2" s="1"/>
  <c r="O103" i="2" s="1"/>
  <c r="P103" i="2" s="1"/>
  <c r="Q103" i="2" s="1"/>
  <c r="R103" i="2" s="1"/>
  <c r="S103" i="2" s="1"/>
  <c r="T103" i="2" s="1"/>
  <c r="U103" i="2" s="1"/>
  <c r="AC540" i="2"/>
  <c r="L104" i="2"/>
  <c r="M104" i="2" s="1"/>
  <c r="N104" i="2" s="1"/>
  <c r="O104" i="2" s="1"/>
  <c r="P104" i="2" s="1"/>
  <c r="Q104" i="2" s="1"/>
  <c r="R104" i="2" s="1"/>
  <c r="S104" i="2" s="1"/>
  <c r="T104" i="2" s="1"/>
  <c r="U104" i="2" s="1"/>
  <c r="AC535" i="2"/>
  <c r="L83" i="2"/>
  <c r="M83" i="2" s="1"/>
  <c r="N83" i="2" s="1"/>
  <c r="O83" i="2" s="1"/>
  <c r="P83" i="2" s="1"/>
  <c r="Q83" i="2" s="1"/>
  <c r="R83" i="2" s="1"/>
  <c r="S83" i="2" s="1"/>
  <c r="T83" i="2" s="1"/>
  <c r="U83" i="2" s="1"/>
  <c r="AC537" i="2"/>
  <c r="L21" i="2"/>
  <c r="M21" i="2" s="1"/>
  <c r="N21" i="2" s="1"/>
  <c r="O21" i="2" s="1"/>
  <c r="P21" i="2" s="1"/>
  <c r="Q21" i="2" s="1"/>
  <c r="R21" i="2" s="1"/>
  <c r="S21" i="2" s="1"/>
  <c r="T21" i="2" s="1"/>
  <c r="U21" i="2" s="1"/>
  <c r="AC536" i="2"/>
  <c r="L6" i="2"/>
  <c r="M6" i="2" s="1"/>
  <c r="N6" i="2" s="1"/>
  <c r="O6" i="2" s="1"/>
  <c r="P6" i="2" s="1"/>
  <c r="Q6" i="2" s="1"/>
  <c r="R6" i="2" s="1"/>
  <c r="S6" i="2" s="1"/>
  <c r="T6" i="2" s="1"/>
  <c r="U6" i="2" s="1"/>
  <c r="AC538" i="2"/>
  <c r="L84" i="2"/>
  <c r="M84" i="2" s="1"/>
  <c r="N84" i="2" s="1"/>
  <c r="O84" i="2" s="1"/>
  <c r="P84" i="2" s="1"/>
  <c r="Q84" i="2" s="1"/>
  <c r="R84" i="2" s="1"/>
  <c r="S84" i="2" s="1"/>
  <c r="T84" i="2" s="1"/>
  <c r="U84" i="2" s="1"/>
  <c r="AC543" i="2"/>
  <c r="L19" i="2"/>
  <c r="M19" i="2" s="1"/>
  <c r="N19" i="2" s="1"/>
  <c r="O19" i="2" s="1"/>
  <c r="P19" i="2" s="1"/>
  <c r="Q19" i="2" s="1"/>
  <c r="R19" i="2" s="1"/>
  <c r="S19" i="2" s="1"/>
  <c r="T19" i="2" s="1"/>
  <c r="U19" i="2" s="1"/>
  <c r="AC542" i="2"/>
  <c r="L60" i="2"/>
  <c r="M60" i="2" s="1"/>
  <c r="N60" i="2" s="1"/>
  <c r="O60" i="2" s="1"/>
  <c r="P60" i="2" s="1"/>
  <c r="Q60" i="2" s="1"/>
  <c r="R60" i="2" s="1"/>
  <c r="S60" i="2" s="1"/>
  <c r="T60" i="2" s="1"/>
  <c r="U60" i="2" s="1"/>
  <c r="AC545" i="2"/>
  <c r="L51" i="2"/>
  <c r="M51" i="2" s="1"/>
  <c r="N51" i="2" s="1"/>
  <c r="O51" i="2" s="1"/>
  <c r="P51" i="2" s="1"/>
  <c r="Q51" i="2" s="1"/>
  <c r="R51" i="2" s="1"/>
  <c r="S51" i="2" s="1"/>
  <c r="T51" i="2" s="1"/>
  <c r="U51" i="2" s="1"/>
  <c r="AC544" i="2"/>
  <c r="L74" i="2"/>
  <c r="M74" i="2" s="1"/>
  <c r="N74" i="2" s="1"/>
  <c r="O74" i="2" s="1"/>
  <c r="P74" i="2" s="1"/>
  <c r="Q74" i="2" s="1"/>
  <c r="R74" i="2" s="1"/>
  <c r="S74" i="2" s="1"/>
  <c r="T74" i="2" s="1"/>
  <c r="U74" i="2" s="1"/>
  <c r="AC541" i="2"/>
  <c r="L52" i="2"/>
  <c r="M52" i="2" s="1"/>
  <c r="N52" i="2" s="1"/>
  <c r="O52" i="2" s="1"/>
  <c r="P52" i="2" s="1"/>
  <c r="Q52" i="2" s="1"/>
  <c r="R52" i="2" s="1"/>
  <c r="S52" i="2" s="1"/>
  <c r="T52" i="2" s="1"/>
  <c r="U52" i="2" s="1"/>
  <c r="AC546" i="2"/>
  <c r="L85" i="2"/>
  <c r="M85" i="2" s="1"/>
  <c r="N85" i="2" s="1"/>
  <c r="O85" i="2" s="1"/>
  <c r="P85" i="2" s="1"/>
  <c r="Q85" i="2" s="1"/>
  <c r="R85" i="2" s="1"/>
  <c r="S85" i="2" s="1"/>
  <c r="T85" i="2" s="1"/>
  <c r="U85" i="2" s="1"/>
  <c r="AC547" i="2"/>
  <c r="L86" i="2"/>
  <c r="M86" i="2" s="1"/>
  <c r="N86" i="2" s="1"/>
  <c r="O86" i="2" s="1"/>
  <c r="P86" i="2" s="1"/>
  <c r="Q86" i="2" s="1"/>
  <c r="R86" i="2" s="1"/>
  <c r="S86" i="2" s="1"/>
  <c r="T86" i="2" s="1"/>
  <c r="U86" i="2" s="1"/>
  <c r="AC539" i="2"/>
  <c r="L63" i="2"/>
  <c r="M63" i="2" s="1"/>
  <c r="N63" i="2" s="1"/>
  <c r="O63" i="2" s="1"/>
  <c r="P63" i="2" s="1"/>
  <c r="Q63" i="2" s="1"/>
  <c r="R63" i="2" s="1"/>
  <c r="S63" i="2" s="1"/>
  <c r="T63" i="2" s="1"/>
  <c r="U63" i="2" s="1"/>
  <c r="AC32" i="2"/>
  <c r="L44" i="2"/>
  <c r="M44" i="2" s="1"/>
  <c r="N44" i="2" s="1"/>
  <c r="O44" i="2" s="1"/>
  <c r="P44" i="2" s="1"/>
  <c r="Q44" i="2" s="1"/>
  <c r="R44" i="2" s="1"/>
  <c r="S44" i="2" s="1"/>
  <c r="T44" i="2" s="1"/>
  <c r="U44" i="2" s="1"/>
  <c r="AC137" i="2"/>
  <c r="L10" i="2"/>
  <c r="M10" i="2" s="1"/>
  <c r="N10" i="2" s="1"/>
  <c r="O10" i="2" s="1"/>
  <c r="P10" i="2" s="1"/>
  <c r="Q10" i="2" s="1"/>
  <c r="R10" i="2" s="1"/>
  <c r="S10" i="2" s="1"/>
  <c r="T10" i="2" s="1"/>
  <c r="U10" i="2" s="1"/>
  <c r="AC65" i="2"/>
  <c r="L9" i="2"/>
  <c r="M9" i="2" s="1"/>
  <c r="N9" i="2" s="1"/>
  <c r="O9" i="2" s="1"/>
  <c r="P9" i="2" s="1"/>
  <c r="Q9" i="2" s="1"/>
  <c r="R9" i="2" s="1"/>
  <c r="S9" i="2" s="1"/>
  <c r="T9" i="2" s="1"/>
  <c r="U9" i="2" s="1"/>
  <c r="AC66" i="2"/>
  <c r="L24" i="2"/>
  <c r="M24" i="2" s="1"/>
  <c r="N24" i="2" s="1"/>
  <c r="O24" i="2" s="1"/>
  <c r="P24" i="2" s="1"/>
  <c r="Q24" i="2" s="1"/>
  <c r="R24" i="2" s="1"/>
  <c r="S24" i="2" s="1"/>
  <c r="T24" i="2" s="1"/>
  <c r="U24" i="2" s="1"/>
  <c r="AC73" i="2"/>
  <c r="L61" i="2"/>
  <c r="M61" i="2" s="1"/>
  <c r="N61" i="2" s="1"/>
  <c r="O61" i="2" s="1"/>
  <c r="P61" i="2" s="1"/>
  <c r="Q61" i="2" s="1"/>
  <c r="R61" i="2" s="1"/>
  <c r="S61" i="2" s="1"/>
  <c r="T61" i="2" s="1"/>
  <c r="U61" i="2" s="1"/>
  <c r="L42" i="2"/>
  <c r="M42" i="2" s="1"/>
  <c r="N42" i="2" s="1"/>
  <c r="O42" i="2" s="1"/>
  <c r="P42" i="2" s="1"/>
  <c r="Q42" i="2" s="1"/>
  <c r="R42" i="2" s="1"/>
  <c r="S42" i="2" s="1"/>
  <c r="T42" i="2" s="1"/>
  <c r="U42" i="2" s="1"/>
  <c r="AC67" i="2"/>
  <c r="L87" i="2"/>
  <c r="M87" i="2" s="1"/>
  <c r="N87" i="2" s="1"/>
  <c r="O87" i="2" s="1"/>
  <c r="P87" i="2" s="1"/>
  <c r="Q87" i="2" s="1"/>
  <c r="R87" i="2" s="1"/>
  <c r="S87" i="2" s="1"/>
  <c r="T87" i="2" s="1"/>
  <c r="U87" i="2" s="1"/>
  <c r="AC75" i="2"/>
  <c r="L12" i="2"/>
  <c r="M12" i="2" s="1"/>
  <c r="N12" i="2" s="1"/>
  <c r="O12" i="2" s="1"/>
  <c r="P12" i="2" s="1"/>
  <c r="Q12" i="2" s="1"/>
  <c r="R12" i="2" s="1"/>
  <c r="S12" i="2" s="1"/>
  <c r="T12" i="2" s="1"/>
  <c r="U12" i="2" s="1"/>
  <c r="L15" i="2"/>
  <c r="M15" i="2" s="1"/>
  <c r="N15" i="2" s="1"/>
  <c r="O15" i="2" s="1"/>
  <c r="P15" i="2" s="1"/>
  <c r="Q15" i="2" s="1"/>
  <c r="R15" i="2" s="1"/>
  <c r="S15" i="2" s="1"/>
  <c r="T15" i="2" s="1"/>
  <c r="U15" i="2" s="1"/>
  <c r="AC79" i="2"/>
  <c r="L22" i="2"/>
  <c r="M22" i="2" s="1"/>
  <c r="N22" i="2" s="1"/>
  <c r="O22" i="2" s="1"/>
  <c r="P22" i="2" s="1"/>
  <c r="Q22" i="2" s="1"/>
  <c r="R22" i="2" s="1"/>
  <c r="S22" i="2" s="1"/>
  <c r="T22" i="2" s="1"/>
  <c r="U22" i="2" s="1"/>
  <c r="AC72" i="2"/>
  <c r="L88" i="2"/>
  <c r="M88" i="2" s="1"/>
  <c r="N88" i="2" s="1"/>
  <c r="O88" i="2" s="1"/>
  <c r="P88" i="2" s="1"/>
  <c r="Q88" i="2" s="1"/>
  <c r="R88" i="2" s="1"/>
  <c r="S88" i="2" s="1"/>
  <c r="T88" i="2" s="1"/>
  <c r="U88" i="2" s="1"/>
  <c r="AC74" i="2"/>
  <c r="L69" i="2"/>
  <c r="M69" i="2" s="1"/>
  <c r="N69" i="2" s="1"/>
  <c r="O69" i="2" s="1"/>
  <c r="P69" i="2" s="1"/>
  <c r="Q69" i="2" s="1"/>
  <c r="R69" i="2" s="1"/>
  <c r="S69" i="2" s="1"/>
  <c r="T69" i="2" s="1"/>
  <c r="U69" i="2" s="1"/>
  <c r="AC69" i="2"/>
  <c r="L16" i="2"/>
  <c r="M16" i="2" s="1"/>
  <c r="N16" i="2" s="1"/>
  <c r="O16" i="2" s="1"/>
  <c r="P16" i="2" s="1"/>
  <c r="Q16" i="2" s="1"/>
  <c r="R16" i="2" s="1"/>
  <c r="S16" i="2" s="1"/>
  <c r="T16" i="2" s="1"/>
  <c r="U16" i="2" s="1"/>
  <c r="AC77" i="2"/>
  <c r="L65" i="2"/>
  <c r="M65" i="2" s="1"/>
  <c r="N65" i="2" s="1"/>
  <c r="O65" i="2" s="1"/>
  <c r="P65" i="2" s="1"/>
  <c r="Q65" i="2" s="1"/>
  <c r="R65" i="2" s="1"/>
  <c r="S65" i="2" s="1"/>
  <c r="T65" i="2" s="1"/>
  <c r="U65" i="2" s="1"/>
  <c r="AC80" i="2"/>
  <c r="L57" i="2"/>
  <c r="M57" i="2" s="1"/>
  <c r="N57" i="2" s="1"/>
  <c r="O57" i="2" s="1"/>
  <c r="P57" i="2" s="1"/>
  <c r="Q57" i="2" s="1"/>
  <c r="R57" i="2" s="1"/>
  <c r="S57" i="2" s="1"/>
  <c r="T57" i="2" s="1"/>
  <c r="U57" i="2" s="1"/>
  <c r="AC78" i="2"/>
  <c r="L89" i="2"/>
  <c r="M89" i="2" s="1"/>
  <c r="N89" i="2" s="1"/>
  <c r="O89" i="2" s="1"/>
  <c r="P89" i="2" s="1"/>
  <c r="Q89" i="2" s="1"/>
  <c r="R89" i="2" s="1"/>
  <c r="S89" i="2" s="1"/>
  <c r="T89" i="2" s="1"/>
  <c r="U89" i="2" s="1"/>
  <c r="AC68" i="2"/>
  <c r="L23" i="2"/>
  <c r="M23" i="2" s="1"/>
  <c r="N23" i="2" s="1"/>
  <c r="O23" i="2" s="1"/>
  <c r="P23" i="2" s="1"/>
  <c r="Q23" i="2" s="1"/>
  <c r="R23" i="2" s="1"/>
  <c r="S23" i="2" s="1"/>
  <c r="T23" i="2" s="1"/>
  <c r="U23" i="2" s="1"/>
  <c r="AC70" i="2"/>
  <c r="L45" i="2"/>
  <c r="M45" i="2" s="1"/>
  <c r="N45" i="2" s="1"/>
  <c r="O45" i="2" s="1"/>
  <c r="P45" i="2" s="1"/>
  <c r="Q45" i="2" s="1"/>
  <c r="R45" i="2" s="1"/>
  <c r="S45" i="2" s="1"/>
  <c r="T45" i="2" s="1"/>
  <c r="U45" i="2" s="1"/>
  <c r="AC91" i="2"/>
  <c r="L40" i="2"/>
  <c r="M40" i="2" s="1"/>
  <c r="N40" i="2" s="1"/>
  <c r="O40" i="2" s="1"/>
  <c r="P40" i="2" s="1"/>
  <c r="Q40" i="2" s="1"/>
  <c r="R40" i="2" s="1"/>
  <c r="S40" i="2" s="1"/>
  <c r="T40" i="2" s="1"/>
  <c r="U40" i="2" s="1"/>
  <c r="AC90" i="2"/>
  <c r="L5" i="2"/>
  <c r="M5" i="2" s="1"/>
  <c r="N5" i="2" s="1"/>
  <c r="O5" i="2" s="1"/>
  <c r="P5" i="2" s="1"/>
  <c r="Q5" i="2" s="1"/>
  <c r="R5" i="2" s="1"/>
  <c r="S5" i="2" s="1"/>
  <c r="T5" i="2" s="1"/>
  <c r="U5" i="2" s="1"/>
  <c r="AC89" i="2"/>
  <c r="L62" i="2"/>
  <c r="M62" i="2" s="1"/>
  <c r="N62" i="2" s="1"/>
  <c r="O62" i="2" s="1"/>
  <c r="P62" i="2" s="1"/>
  <c r="Q62" i="2" s="1"/>
  <c r="R62" i="2" s="1"/>
  <c r="S62" i="2" s="1"/>
  <c r="T62" i="2" s="1"/>
  <c r="U62" i="2" s="1"/>
  <c r="AC86" i="2"/>
  <c r="L90" i="2"/>
  <c r="M90" i="2" s="1"/>
  <c r="N90" i="2" s="1"/>
  <c r="O90" i="2" s="1"/>
  <c r="P90" i="2" s="1"/>
  <c r="Q90" i="2" s="1"/>
  <c r="R90" i="2" s="1"/>
  <c r="S90" i="2" s="1"/>
  <c r="T90" i="2" s="1"/>
  <c r="U90" i="2" s="1"/>
  <c r="AC87" i="2"/>
  <c r="L73" i="2"/>
  <c r="M73" i="2" s="1"/>
  <c r="N73" i="2" s="1"/>
  <c r="O73" i="2" s="1"/>
  <c r="P73" i="2" s="1"/>
  <c r="Q73" i="2" s="1"/>
  <c r="R73" i="2" s="1"/>
  <c r="S73" i="2" s="1"/>
  <c r="T73" i="2" s="1"/>
  <c r="U73" i="2" s="1"/>
  <c r="AC88" i="2"/>
  <c r="L28" i="2"/>
  <c r="M28" i="2" s="1"/>
  <c r="N28" i="2" s="1"/>
  <c r="O28" i="2" s="1"/>
  <c r="P28" i="2" s="1"/>
  <c r="Q28" i="2" s="1"/>
  <c r="R28" i="2" s="1"/>
  <c r="S28" i="2" s="1"/>
  <c r="T28" i="2" s="1"/>
  <c r="U28" i="2" s="1"/>
  <c r="AC92" i="2"/>
  <c r="L53" i="2"/>
  <c r="M53" i="2" s="1"/>
  <c r="N53" i="2" s="1"/>
  <c r="O53" i="2" s="1"/>
  <c r="P53" i="2" s="1"/>
  <c r="Q53" i="2" s="1"/>
  <c r="R53" i="2" s="1"/>
  <c r="S53" i="2" s="1"/>
  <c r="T53" i="2" s="1"/>
  <c r="U53" i="2" s="1"/>
  <c r="AC84" i="2"/>
  <c r="L59" i="2"/>
  <c r="M59" i="2" s="1"/>
  <c r="N59" i="2" s="1"/>
  <c r="O59" i="2" s="1"/>
  <c r="P59" i="2" s="1"/>
  <c r="Q59" i="2" s="1"/>
  <c r="R59" i="2" s="1"/>
  <c r="S59" i="2" s="1"/>
  <c r="T59" i="2" s="1"/>
  <c r="U59" i="2" s="1"/>
  <c r="AC81" i="2"/>
  <c r="L91" i="2"/>
  <c r="M91" i="2" s="1"/>
  <c r="N91" i="2" s="1"/>
  <c r="O91" i="2" s="1"/>
  <c r="P91" i="2" s="1"/>
  <c r="Q91" i="2" s="1"/>
  <c r="R91" i="2" s="1"/>
  <c r="S91" i="2" s="1"/>
  <c r="T91" i="2" s="1"/>
  <c r="U91" i="2" s="1"/>
  <c r="AC82" i="2"/>
  <c r="L7" i="2"/>
  <c r="M7" i="2" s="1"/>
  <c r="N7" i="2" s="1"/>
  <c r="O7" i="2" s="1"/>
  <c r="P7" i="2" s="1"/>
  <c r="Q7" i="2" s="1"/>
  <c r="R7" i="2" s="1"/>
  <c r="S7" i="2" s="1"/>
  <c r="T7" i="2" s="1"/>
  <c r="U7" i="2" s="1"/>
  <c r="AC83" i="2"/>
  <c r="L55" i="2"/>
  <c r="M55" i="2" s="1"/>
  <c r="N55" i="2" s="1"/>
  <c r="O55" i="2" s="1"/>
  <c r="P55" i="2" s="1"/>
  <c r="Q55" i="2" s="1"/>
  <c r="R55" i="2" s="1"/>
  <c r="S55" i="2" s="1"/>
  <c r="T55" i="2" s="1"/>
  <c r="U55" i="2" s="1"/>
  <c r="AC85" i="2"/>
  <c r="L43" i="2"/>
  <c r="M43" i="2" s="1"/>
  <c r="N43" i="2" s="1"/>
  <c r="O43" i="2" s="1"/>
  <c r="P43" i="2" s="1"/>
  <c r="Q43" i="2" s="1"/>
  <c r="R43" i="2" s="1"/>
  <c r="S43" i="2" s="1"/>
  <c r="T43" i="2" s="1"/>
  <c r="U43" i="2" s="1"/>
  <c r="AC93" i="2"/>
  <c r="L92" i="2"/>
  <c r="M92" i="2" s="1"/>
  <c r="N92" i="2" s="1"/>
  <c r="O92" i="2" s="1"/>
  <c r="P92" i="2" s="1"/>
  <c r="Q92" i="2" s="1"/>
  <c r="R92" i="2" s="1"/>
  <c r="S92" i="2" s="1"/>
  <c r="T92" i="2" s="1"/>
  <c r="U92" i="2" s="1"/>
  <c r="AC188" i="2"/>
  <c r="L49" i="2"/>
  <c r="M49" i="2" s="1"/>
  <c r="N49" i="2" s="1"/>
  <c r="O49" i="2" s="1"/>
  <c r="P49" i="2" s="1"/>
  <c r="Q49" i="2" s="1"/>
  <c r="R49" i="2" s="1"/>
  <c r="S49" i="2" s="1"/>
  <c r="T49" i="2" s="1"/>
  <c r="U49" i="2" s="1"/>
  <c r="AC189" i="2"/>
  <c r="L50" i="2"/>
  <c r="M50" i="2" s="1"/>
  <c r="N50" i="2" s="1"/>
  <c r="O50" i="2" s="1"/>
  <c r="P50" i="2" s="1"/>
  <c r="Q50" i="2" s="1"/>
  <c r="R50" i="2" s="1"/>
  <c r="S50" i="2" s="1"/>
  <c r="T50" i="2" s="1"/>
  <c r="U50" i="2" s="1"/>
  <c r="L26" i="2"/>
  <c r="M26" i="2" s="1"/>
  <c r="N26" i="2" s="1"/>
  <c r="O26" i="2" s="1"/>
  <c r="P26" i="2" s="1"/>
  <c r="Q26" i="2" s="1"/>
  <c r="R26" i="2" s="1"/>
  <c r="S26" i="2" s="1"/>
  <c r="T26" i="2" s="1"/>
  <c r="U26" i="2" s="1"/>
  <c r="AC532" i="2"/>
  <c r="L72" i="2"/>
  <c r="M72" i="2" s="1"/>
  <c r="N72" i="2" s="1"/>
  <c r="O72" i="2" s="1"/>
  <c r="P72" i="2" s="1"/>
  <c r="Q72" i="2" s="1"/>
  <c r="R72" i="2" s="1"/>
  <c r="S72" i="2" s="1"/>
  <c r="T72" i="2" s="1"/>
  <c r="U72" i="2" s="1"/>
  <c r="AC165" i="2"/>
  <c r="L67" i="2"/>
  <c r="M67" i="2" s="1"/>
  <c r="N67" i="2" s="1"/>
  <c r="O67" i="2" s="1"/>
  <c r="P67" i="2" s="1"/>
  <c r="Q67" i="2" s="1"/>
  <c r="R67" i="2" s="1"/>
  <c r="S67" i="2" s="1"/>
  <c r="T67" i="2" s="1"/>
  <c r="U67" i="2" s="1"/>
  <c r="AC256" i="2"/>
  <c r="L79" i="2"/>
  <c r="M79" i="2" s="1"/>
  <c r="N79" i="2" s="1"/>
  <c r="O79" i="2" s="1"/>
  <c r="P79" i="2" s="1"/>
  <c r="Q79" i="2" s="1"/>
  <c r="R79" i="2" s="1"/>
  <c r="S79" i="2" s="1"/>
  <c r="T79" i="2" s="1"/>
  <c r="U79" i="2" s="1"/>
  <c r="AC346" i="2"/>
  <c r="L54" i="2"/>
  <c r="M54" i="2" s="1"/>
  <c r="N54" i="2" s="1"/>
  <c r="O54" i="2" s="1"/>
  <c r="P54" i="2" s="1"/>
  <c r="Q54" i="2" s="1"/>
  <c r="R54" i="2" s="1"/>
  <c r="S54" i="2" s="1"/>
  <c r="T54" i="2" s="1"/>
  <c r="U54" i="2" s="1"/>
  <c r="AC463" i="2"/>
  <c r="L71" i="2"/>
  <c r="M71" i="2" s="1"/>
  <c r="N71" i="2" s="1"/>
  <c r="O71" i="2" s="1"/>
  <c r="P71" i="2" s="1"/>
  <c r="Q71" i="2" s="1"/>
  <c r="R71" i="2" s="1"/>
  <c r="S71" i="2" s="1"/>
  <c r="T71" i="2" s="1"/>
  <c r="U71" i="2" s="1"/>
  <c r="AC468" i="2"/>
  <c r="L66" i="2"/>
  <c r="M66" i="2" s="1"/>
  <c r="N66" i="2" s="1"/>
  <c r="O66" i="2" s="1"/>
  <c r="P66" i="2" s="1"/>
  <c r="Q66" i="2" s="1"/>
  <c r="R66" i="2" s="1"/>
  <c r="S66" i="2" s="1"/>
  <c r="T66" i="2" s="1"/>
  <c r="U66" i="2" s="1"/>
  <c r="AC170" i="2"/>
  <c r="L18" i="2"/>
  <c r="M18" i="2" s="1"/>
  <c r="N18" i="2" s="1"/>
  <c r="O18" i="2" s="1"/>
  <c r="P18" i="2" s="1"/>
  <c r="Q18" i="2" s="1"/>
  <c r="R18" i="2" s="1"/>
  <c r="S18" i="2" s="1"/>
  <c r="T18" i="2" s="1"/>
  <c r="U18" i="2" s="1"/>
  <c r="AC271" i="2"/>
  <c r="L68" i="2"/>
  <c r="M68" i="2" s="1"/>
  <c r="N68" i="2" s="1"/>
  <c r="O68" i="2" s="1"/>
  <c r="P68" i="2" s="1"/>
  <c r="Q68" i="2" s="1"/>
  <c r="R68" i="2" s="1"/>
  <c r="S68" i="2" s="1"/>
  <c r="T68" i="2" s="1"/>
  <c r="U68" i="2" s="1"/>
  <c r="AC361" i="2"/>
  <c r="L93" i="2"/>
  <c r="M93" i="2" s="1"/>
  <c r="N93" i="2" s="1"/>
  <c r="O93" i="2" s="1"/>
  <c r="P93" i="2" s="1"/>
  <c r="Q93" i="2" s="1"/>
  <c r="R93" i="2" s="1"/>
  <c r="S93" i="2" s="1"/>
  <c r="T93" i="2" s="1"/>
  <c r="U93" i="2" s="1"/>
  <c r="AC480" i="2"/>
  <c r="L94" i="2"/>
  <c r="M94" i="2" s="1"/>
  <c r="N94" i="2" s="1"/>
  <c r="O94" i="2" s="1"/>
  <c r="P94" i="2" s="1"/>
  <c r="Q94" i="2" s="1"/>
  <c r="R94" i="2" s="1"/>
  <c r="S94" i="2" s="1"/>
  <c r="T94" i="2" s="1"/>
  <c r="U94" i="2" s="1"/>
  <c r="AC164" i="2"/>
  <c r="L41" i="2"/>
  <c r="M41" i="2" s="1"/>
  <c r="N41" i="2" s="1"/>
  <c r="O41" i="2" s="1"/>
  <c r="P41" i="2" s="1"/>
  <c r="Q41" i="2" s="1"/>
  <c r="R41" i="2" s="1"/>
  <c r="S41" i="2" s="1"/>
  <c r="T41" i="2" s="1"/>
  <c r="U41" i="2" s="1"/>
  <c r="AC253" i="2"/>
  <c r="L17" i="2"/>
  <c r="M17" i="2" s="1"/>
  <c r="N17" i="2" s="1"/>
  <c r="O17" i="2" s="1"/>
  <c r="P17" i="2" s="1"/>
  <c r="Q17" i="2" s="1"/>
  <c r="R17" i="2" s="1"/>
  <c r="S17" i="2" s="1"/>
  <c r="T17" i="2" s="1"/>
  <c r="U17" i="2" s="1"/>
  <c r="AC343" i="2"/>
  <c r="L8" i="2"/>
  <c r="M8" i="2" s="1"/>
  <c r="N8" i="2" s="1"/>
  <c r="O8" i="2" s="1"/>
  <c r="P8" i="2" s="1"/>
  <c r="Q8" i="2" s="1"/>
  <c r="R8" i="2" s="1"/>
  <c r="S8" i="2" s="1"/>
  <c r="T8" i="2" s="1"/>
  <c r="U8" i="2" s="1"/>
  <c r="AC485" i="2"/>
  <c r="L70" i="2"/>
  <c r="M70" i="2" s="1"/>
  <c r="N70" i="2" s="1"/>
  <c r="O70" i="2" s="1"/>
  <c r="P70" i="2" s="1"/>
  <c r="Q70" i="2" s="1"/>
  <c r="R70" i="2" s="1"/>
  <c r="S70" i="2" s="1"/>
  <c r="T70" i="2" s="1"/>
  <c r="U70" i="2" s="1"/>
  <c r="AC367" i="2"/>
  <c r="L77" i="2"/>
  <c r="M77" i="2" s="1"/>
  <c r="N77" i="2" s="1"/>
  <c r="O77" i="2" s="1"/>
  <c r="P77" i="2" s="1"/>
  <c r="Q77" i="2" s="1"/>
  <c r="R77" i="2" s="1"/>
  <c r="S77" i="2" s="1"/>
  <c r="T77" i="2" s="1"/>
  <c r="U77" i="2" s="1"/>
  <c r="AC176" i="2"/>
  <c r="L20" i="2"/>
  <c r="M20" i="2" s="1"/>
  <c r="N20" i="2" s="1"/>
  <c r="O20" i="2" s="1"/>
  <c r="P20" i="2" s="1"/>
  <c r="Q20" i="2" s="1"/>
  <c r="R20" i="2" s="1"/>
  <c r="S20" i="2" s="1"/>
  <c r="T20" i="2" s="1"/>
  <c r="U20" i="2" s="1"/>
  <c r="AC288" i="2"/>
  <c r="L95" i="2"/>
  <c r="M95" i="2" s="1"/>
  <c r="N95" i="2" s="1"/>
  <c r="O95" i="2" s="1"/>
  <c r="P95" i="2" s="1"/>
  <c r="Q95" i="2" s="1"/>
  <c r="R95" i="2" s="1"/>
  <c r="S95" i="2" s="1"/>
  <c r="T95" i="2" s="1"/>
  <c r="U95" i="2" s="1"/>
  <c r="AC382" i="2"/>
  <c r="L4" i="2"/>
  <c r="M4" i="2" s="1"/>
  <c r="N4" i="2" s="1"/>
  <c r="O4" i="2" s="1"/>
  <c r="P4" i="2" s="1"/>
  <c r="Q4" i="2" s="1"/>
  <c r="R4" i="2" s="1"/>
  <c r="S4" i="2" s="1"/>
  <c r="T4" i="2" s="1"/>
  <c r="U4" i="2" s="1"/>
  <c r="AC499" i="2"/>
  <c r="L81" i="2"/>
  <c r="M81" i="2" s="1"/>
  <c r="N81" i="2" s="1"/>
  <c r="O81" i="2" s="1"/>
  <c r="P81" i="2" s="1"/>
  <c r="Q81" i="2" s="1"/>
  <c r="R81" i="2" s="1"/>
  <c r="S81" i="2" s="1"/>
  <c r="T81" i="2" s="1"/>
  <c r="U81" i="2" s="1"/>
  <c r="AC179" i="2"/>
  <c r="L11" i="2"/>
  <c r="M11" i="2" s="1"/>
  <c r="N11" i="2" s="1"/>
  <c r="O11" i="2" s="1"/>
  <c r="P11" i="2" s="1"/>
  <c r="Q11" i="2" s="1"/>
  <c r="R11" i="2" s="1"/>
  <c r="S11" i="2" s="1"/>
  <c r="T11" i="2" s="1"/>
  <c r="U11" i="2" s="1"/>
  <c r="AC297" i="2"/>
  <c r="L80" i="2"/>
  <c r="M80" i="2" s="1"/>
  <c r="N80" i="2" s="1"/>
  <c r="O80" i="2" s="1"/>
  <c r="P80" i="2" s="1"/>
  <c r="Q80" i="2" s="1"/>
  <c r="R80" i="2" s="1"/>
  <c r="S80" i="2" s="1"/>
  <c r="T80" i="2" s="1"/>
  <c r="U80" i="2" s="1"/>
  <c r="AC391" i="2"/>
  <c r="L14" i="2"/>
  <c r="M14" i="2" s="1"/>
  <c r="N14" i="2" s="1"/>
  <c r="O14" i="2" s="1"/>
  <c r="P14" i="2" s="1"/>
  <c r="Q14" i="2" s="1"/>
  <c r="R14" i="2" s="1"/>
  <c r="S14" i="2" s="1"/>
  <c r="T14" i="2" s="1"/>
  <c r="U14" i="2" s="1"/>
  <c r="AC509" i="2"/>
  <c r="L82" i="2"/>
  <c r="M82" i="2" s="1"/>
  <c r="N82" i="2" s="1"/>
  <c r="O82" i="2" s="1"/>
  <c r="P82" i="2" s="1"/>
  <c r="Q82" i="2" s="1"/>
  <c r="R82" i="2" s="1"/>
  <c r="S82" i="2" s="1"/>
  <c r="T82" i="2" s="1"/>
  <c r="U82" i="2" s="1"/>
  <c r="AC397" i="2"/>
  <c r="L64" i="2"/>
  <c r="M64" i="2" s="1"/>
  <c r="N64" i="2" s="1"/>
  <c r="O64" i="2" s="1"/>
  <c r="P64" i="2" s="1"/>
  <c r="Q64" i="2" s="1"/>
  <c r="R64" i="2" s="1"/>
  <c r="S64" i="2" s="1"/>
  <c r="T64" i="2" s="1"/>
  <c r="U64" i="2" s="1"/>
  <c r="AC182" i="2"/>
  <c r="L13" i="2"/>
  <c r="M13" i="2" s="1"/>
  <c r="N13" i="2" s="1"/>
  <c r="O13" i="2" s="1"/>
  <c r="P13" i="2" s="1"/>
  <c r="Q13" i="2" s="1"/>
  <c r="R13" i="2" s="1"/>
  <c r="S13" i="2" s="1"/>
  <c r="T13" i="2" s="1"/>
  <c r="U13" i="2" s="1"/>
  <c r="AC406" i="2"/>
  <c r="L96" i="2"/>
  <c r="M96" i="2" s="1"/>
  <c r="N96" i="2" s="1"/>
  <c r="O96" i="2" s="1"/>
  <c r="P96" i="2" s="1"/>
  <c r="Q96" i="2" s="1"/>
  <c r="R96" i="2" s="1"/>
  <c r="S96" i="2" s="1"/>
  <c r="T96" i="2" s="1"/>
  <c r="U96" i="2" s="1"/>
  <c r="AC403" i="2"/>
  <c r="L48" i="2"/>
  <c r="M48" i="2" s="1"/>
  <c r="N48" i="2" s="1"/>
  <c r="O48" i="2" s="1"/>
  <c r="P48" i="2" s="1"/>
  <c r="Q48" i="2" s="1"/>
  <c r="R48" i="2" s="1"/>
  <c r="S48" i="2" s="1"/>
  <c r="T48" i="2" s="1"/>
  <c r="U48" i="2" s="1"/>
  <c r="AC412" i="2"/>
  <c r="L56" i="2"/>
  <c r="M56" i="2" s="1"/>
  <c r="N56" i="2" s="1"/>
  <c r="O56" i="2" s="1"/>
  <c r="P56" i="2" s="1"/>
  <c r="Q56" i="2" s="1"/>
  <c r="R56" i="2" s="1"/>
  <c r="S56" i="2" s="1"/>
  <c r="T56" i="2" s="1"/>
  <c r="U56" i="2" s="1"/>
  <c r="AC415" i="2"/>
  <c r="L32" i="2"/>
  <c r="M32" i="2" s="1"/>
  <c r="N32" i="2" s="1"/>
  <c r="O32" i="2" s="1"/>
  <c r="P32" i="2" s="1"/>
  <c r="Q32" i="2" s="1"/>
  <c r="R32" i="2" s="1"/>
  <c r="S32" i="2" s="1"/>
  <c r="T32" i="2" s="1"/>
  <c r="U32" i="2" s="1"/>
  <c r="AC194" i="2"/>
  <c r="L30" i="2"/>
  <c r="M30" i="2" s="1"/>
  <c r="N30" i="2" s="1"/>
  <c r="O30" i="2" s="1"/>
  <c r="P30" i="2" s="1"/>
  <c r="Q30" i="2" s="1"/>
  <c r="R30" i="2" s="1"/>
  <c r="S30" i="2" s="1"/>
  <c r="T30" i="2" s="1"/>
  <c r="U30" i="2" s="1"/>
  <c r="AC254" i="2"/>
  <c r="L31" i="2"/>
  <c r="M31" i="2" s="1"/>
  <c r="N31" i="2" s="1"/>
  <c r="O31" i="2" s="1"/>
  <c r="P31" i="2" s="1"/>
  <c r="Q31" i="2" s="1"/>
  <c r="R31" i="2" s="1"/>
  <c r="S31" i="2" s="1"/>
  <c r="T31" i="2" s="1"/>
  <c r="U31" i="2" s="1"/>
  <c r="AC344" i="2"/>
  <c r="L33" i="2"/>
  <c r="M33" i="2" s="1"/>
  <c r="N33" i="2" s="1"/>
  <c r="O33" i="2" s="1"/>
  <c r="P33" i="2" s="1"/>
  <c r="Q33" i="2" s="1"/>
  <c r="R33" i="2" s="1"/>
  <c r="S33" i="2" s="1"/>
  <c r="T33" i="2" s="1"/>
  <c r="U33" i="2" s="1"/>
  <c r="AC461" i="2"/>
  <c r="L36" i="2"/>
  <c r="M36" i="2" s="1"/>
  <c r="N36" i="2" s="1"/>
  <c r="O36" i="2" s="1"/>
  <c r="P36" i="2" s="1"/>
  <c r="Q36" i="2" s="1"/>
  <c r="R36" i="2" s="1"/>
  <c r="S36" i="2" s="1"/>
  <c r="T36" i="2" s="1"/>
  <c r="U36" i="2" s="1"/>
  <c r="AC199" i="2"/>
  <c r="L37" i="2"/>
  <c r="M37" i="2" s="1"/>
  <c r="N37" i="2" s="1"/>
  <c r="O37" i="2" s="1"/>
  <c r="P37" i="2" s="1"/>
  <c r="Q37" i="2" s="1"/>
  <c r="R37" i="2" s="1"/>
  <c r="S37" i="2" s="1"/>
  <c r="T37" i="2" s="1"/>
  <c r="U37" i="2" s="1"/>
  <c r="AC269" i="2"/>
  <c r="L38" i="2"/>
  <c r="M38" i="2" s="1"/>
  <c r="N38" i="2" s="1"/>
  <c r="O38" i="2" s="1"/>
  <c r="P38" i="2" s="1"/>
  <c r="Q38" i="2" s="1"/>
  <c r="R38" i="2" s="1"/>
  <c r="S38" i="2" s="1"/>
  <c r="T38" i="2" s="1"/>
  <c r="U38" i="2" s="1"/>
  <c r="AC359" i="2"/>
  <c r="L39" i="2"/>
  <c r="M39" i="2" s="1"/>
  <c r="N39" i="2" s="1"/>
  <c r="O39" i="2" s="1"/>
  <c r="P39" i="2" s="1"/>
  <c r="Q39" i="2" s="1"/>
  <c r="R39" i="2" s="1"/>
  <c r="S39" i="2" s="1"/>
  <c r="T39" i="2" s="1"/>
  <c r="U39" i="2" s="1"/>
  <c r="AC478" i="2"/>
  <c r="L75" i="2"/>
  <c r="M75" i="2" s="1"/>
  <c r="N75" i="2" s="1"/>
  <c r="O75" i="2" s="1"/>
  <c r="P75" i="2" s="1"/>
  <c r="Q75" i="2" s="1"/>
  <c r="R75" i="2" s="1"/>
  <c r="S75" i="2" s="1"/>
  <c r="T75" i="2" s="1"/>
  <c r="U75" i="2" s="1"/>
  <c r="AC193" i="2"/>
  <c r="L47" i="2"/>
  <c r="M47" i="2" s="1"/>
  <c r="N47" i="2" s="1"/>
  <c r="O47" i="2" s="1"/>
  <c r="P47" i="2" s="1"/>
  <c r="Q47" i="2" s="1"/>
  <c r="R47" i="2" s="1"/>
  <c r="S47" i="2" s="1"/>
  <c r="T47" i="2" s="1"/>
  <c r="U47" i="2" s="1"/>
  <c r="AC251" i="2"/>
  <c r="L34" i="2"/>
  <c r="M34" i="2" s="1"/>
  <c r="N34" i="2" s="1"/>
  <c r="O34" i="2" s="1"/>
  <c r="P34" i="2" s="1"/>
  <c r="Q34" i="2" s="1"/>
  <c r="R34" i="2" s="1"/>
  <c r="S34" i="2" s="1"/>
  <c r="T34" i="2" s="1"/>
  <c r="U34" i="2" s="1"/>
  <c r="AC341" i="2"/>
  <c r="L25" i="2"/>
  <c r="M25" i="2" s="1"/>
  <c r="N25" i="2" s="1"/>
  <c r="O25" i="2" s="1"/>
  <c r="P25" i="2" s="1"/>
  <c r="Q25" i="2" s="1"/>
  <c r="R25" i="2" s="1"/>
  <c r="S25" i="2" s="1"/>
  <c r="T25" i="2" s="1"/>
  <c r="U25" i="2" s="1"/>
  <c r="AC458" i="2"/>
  <c r="L27" i="2"/>
  <c r="M27" i="2" s="1"/>
  <c r="N27" i="2" s="1"/>
  <c r="O27" i="2" s="1"/>
  <c r="P27" i="2" s="1"/>
  <c r="Q27" i="2" s="1"/>
  <c r="R27" i="2" s="1"/>
  <c r="S27" i="2" s="1"/>
  <c r="T27" i="2" s="1"/>
  <c r="U27" i="2" s="1"/>
  <c r="AC365" i="2"/>
  <c r="L29" i="2"/>
  <c r="M29" i="2" s="1"/>
  <c r="N29" i="2" s="1"/>
  <c r="O29" i="2" s="1"/>
  <c r="P29" i="2" s="1"/>
  <c r="Q29" i="2" s="1"/>
  <c r="R29" i="2" s="1"/>
  <c r="S29" i="2" s="1"/>
  <c r="T29" i="2" s="1"/>
  <c r="U29" i="2" s="1"/>
  <c r="AC205" i="2"/>
  <c r="L46" i="2"/>
  <c r="M46" i="2" s="1"/>
  <c r="N46" i="2" s="1"/>
  <c r="O46" i="2" s="1"/>
  <c r="P46" i="2" s="1"/>
  <c r="Q46" i="2" s="1"/>
  <c r="R46" i="2" s="1"/>
  <c r="S46" i="2" s="1"/>
  <c r="T46" i="2" s="1"/>
  <c r="U46" i="2" s="1"/>
  <c r="AC287" i="2"/>
  <c r="L78" i="2"/>
  <c r="M78" i="2" s="1"/>
  <c r="N78" i="2" s="1"/>
  <c r="O78" i="2" s="1"/>
  <c r="P78" i="2" s="1"/>
  <c r="Q78" i="2" s="1"/>
  <c r="R78" i="2" s="1"/>
  <c r="S78" i="2" s="1"/>
  <c r="T78" i="2" s="1"/>
  <c r="U78" i="2" s="1"/>
  <c r="AC381" i="2"/>
  <c r="AC208" i="2"/>
  <c r="AC296" i="2"/>
  <c r="AC390" i="2"/>
  <c r="AC508" i="2"/>
  <c r="AC396" i="2"/>
  <c r="AC211" i="2"/>
  <c r="AC405" i="2"/>
  <c r="AC402" i="2"/>
  <c r="AC411" i="2"/>
  <c r="AC414" i="2"/>
  <c r="AC186" i="2"/>
  <c r="AC187" i="2"/>
  <c r="AC312" i="2"/>
  <c r="AC327" i="2"/>
  <c r="AC318" i="2"/>
  <c r="AC329" i="2"/>
  <c r="AC314" i="2"/>
  <c r="AC317" i="2"/>
  <c r="AC313" i="2"/>
  <c r="AC319" i="2"/>
  <c r="AC316" i="2"/>
  <c r="AC320" i="2"/>
  <c r="AC321" i="2"/>
  <c r="AC322" i="2"/>
  <c r="AC323" i="2"/>
  <c r="AC325" i="2"/>
  <c r="AC315" i="2"/>
  <c r="AC326" i="2"/>
  <c r="AC328" i="2"/>
  <c r="AC217" i="2"/>
  <c r="AC216" i="2"/>
  <c r="AC157" i="2"/>
  <c r="AC159" i="2"/>
  <c r="AC158" i="2"/>
  <c r="AC218" i="2"/>
  <c r="AC234" i="2"/>
  <c r="AC534" i="2"/>
  <c r="AC239" i="2"/>
  <c r="AC526" i="2"/>
  <c r="AC236" i="2"/>
  <c r="AC235" i="2"/>
  <c r="AC237" i="2"/>
  <c r="AC240" i="2"/>
  <c r="AC527" i="2"/>
  <c r="AC238" i="2"/>
  <c r="AC533" i="2"/>
  <c r="AC529" i="2"/>
  <c r="AC528" i="2"/>
  <c r="AC420" i="2"/>
  <c r="AC374" i="2"/>
  <c r="AC331" i="2"/>
  <c r="AC8" i="2"/>
  <c r="AC7" i="2"/>
  <c r="AC492" i="2"/>
  <c r="AC448" i="2"/>
  <c r="AC549" i="2"/>
  <c r="AC550" i="2"/>
  <c r="AC531" i="2"/>
  <c r="AC22" i="2"/>
  <c r="AC19" i="2"/>
  <c r="AC28" i="2"/>
  <c r="AC14" i="2"/>
  <c r="AC27" i="2"/>
  <c r="AC20" i="2"/>
  <c r="AC23" i="2"/>
  <c r="AC16" i="2"/>
  <c r="AC15" i="2"/>
  <c r="AC29" i="2"/>
  <c r="AC31" i="2"/>
  <c r="AC21" i="2"/>
  <c r="AC30" i="2"/>
  <c r="AC18" i="2"/>
  <c r="AC26" i="2"/>
  <c r="AC24" i="2"/>
  <c r="AC17" i="2"/>
  <c r="AC25" i="2"/>
  <c r="AC136" i="2"/>
  <c r="AC145" i="2"/>
  <c r="AC95" i="2"/>
  <c r="AC94" i="2"/>
  <c r="AC96" i="2"/>
  <c r="AC33" i="2"/>
  <c r="AC35" i="2"/>
  <c r="AC57" i="2"/>
  <c r="AC42" i="2"/>
  <c r="AC40" i="2"/>
  <c r="AC36" i="2"/>
  <c r="AC46" i="2"/>
  <c r="AC44" i="2"/>
  <c r="AC45" i="2"/>
  <c r="AC49" i="2"/>
  <c r="AC41" i="2"/>
  <c r="AC43" i="2"/>
  <c r="AC38" i="2"/>
  <c r="AC47" i="2"/>
  <c r="AC50" i="2"/>
  <c r="AC37" i="2"/>
  <c r="AC48" i="2"/>
  <c r="AC39" i="2"/>
  <c r="AC63" i="2"/>
  <c r="AC62" i="2"/>
  <c r="AC61" i="2"/>
  <c r="AC58" i="2"/>
  <c r="AC59" i="2"/>
  <c r="AC64" i="2"/>
  <c r="AC60" i="2"/>
  <c r="AC55" i="2"/>
  <c r="AC54" i="2"/>
  <c r="AC51" i="2"/>
  <c r="AC52" i="2"/>
  <c r="AC56" i="2"/>
  <c r="AC53" i="2"/>
  <c r="AC144" i="2"/>
  <c r="AC105" i="2"/>
  <c r="AC118" i="2"/>
  <c r="AC120" i="2"/>
  <c r="AC119" i="2"/>
  <c r="AC109" i="2"/>
  <c r="AC112" i="2"/>
  <c r="AC110" i="2"/>
  <c r="AC106" i="2"/>
  <c r="AC108" i="2"/>
  <c r="AC107" i="2"/>
  <c r="AC101" i="2"/>
  <c r="AC103" i="2"/>
  <c r="AC102" i="2"/>
  <c r="AC104" i="2"/>
  <c r="AC131" i="2"/>
  <c r="AC133" i="2"/>
  <c r="AC132" i="2"/>
  <c r="AC124" i="2"/>
  <c r="AC128" i="2"/>
  <c r="AC125" i="2"/>
  <c r="AC115" i="2"/>
  <c r="AC117" i="2"/>
  <c r="AC116" i="2"/>
  <c r="AC121" i="2"/>
  <c r="AC123" i="2"/>
  <c r="AC122" i="2"/>
  <c r="AC113" i="2"/>
  <c r="AC111" i="2"/>
  <c r="AC130" i="2"/>
  <c r="AC127" i="2"/>
  <c r="AC129" i="2"/>
  <c r="AC126" i="2"/>
  <c r="AC232" i="2"/>
  <c r="AC231" i="2"/>
  <c r="AC230" i="2"/>
  <c r="AC233" i="2"/>
  <c r="AC146" i="2"/>
  <c r="AC229" i="2"/>
  <c r="AC141" i="2"/>
  <c r="AC10" i="2"/>
  <c r="AC114" i="2"/>
  <c r="AC100" i="2"/>
  <c r="AC219" i="2"/>
  <c r="AC34" i="2"/>
  <c r="AC98" i="2"/>
  <c r="AR71" i="2" l="1"/>
  <c r="AS71" i="2" s="1"/>
  <c r="AT71" i="2" s="1"/>
  <c r="AU71" i="2" s="1"/>
  <c r="AV71" i="2" s="1"/>
  <c r="AW71" i="2" s="1"/>
  <c r="AX71" i="2" s="1"/>
  <c r="AY71" i="2" s="1"/>
  <c r="AR9" i="2"/>
  <c r="AS9" i="2" s="1"/>
  <c r="AT9" i="2" s="1"/>
  <c r="AU9" i="2" s="1"/>
  <c r="AV9" i="2" s="1"/>
  <c r="AW9" i="2" s="1"/>
  <c r="AX9" i="2" s="1"/>
  <c r="AY9" i="2" s="1"/>
  <c r="AR134" i="2"/>
  <c r="AS134" i="2" s="1"/>
  <c r="AT134" i="2" s="1"/>
  <c r="AU134" i="2" s="1"/>
  <c r="AV134" i="2" s="1"/>
  <c r="AW134" i="2" s="1"/>
  <c r="AX134" i="2" s="1"/>
  <c r="AY134" i="2" s="1"/>
  <c r="AR142" i="2"/>
  <c r="AS142" i="2" s="1"/>
  <c r="AT142" i="2" s="1"/>
  <c r="AU142" i="2" s="1"/>
  <c r="AV142" i="2" s="1"/>
  <c r="AW142" i="2" s="1"/>
  <c r="AX142" i="2" s="1"/>
  <c r="AY142" i="2" s="1"/>
  <c r="AR5" i="2"/>
  <c r="AS5" i="2" s="1"/>
  <c r="AT5" i="2" s="1"/>
  <c r="AU5" i="2" s="1"/>
  <c r="AV5" i="2" s="1"/>
  <c r="AW5" i="2" s="1"/>
  <c r="AX5" i="2" s="1"/>
  <c r="AY5" i="2" s="1"/>
  <c r="AR11" i="2"/>
  <c r="AS11" i="2" s="1"/>
  <c r="AT11" i="2" s="1"/>
  <c r="AU11" i="2" s="1"/>
  <c r="AV11" i="2" s="1"/>
  <c r="AW11" i="2" s="1"/>
  <c r="AX11" i="2" s="1"/>
  <c r="AY11" i="2" s="1"/>
  <c r="AR6" i="2"/>
  <c r="AS6" i="2" s="1"/>
  <c r="AT6" i="2" s="1"/>
  <c r="AU6" i="2" s="1"/>
  <c r="AV6" i="2" s="1"/>
  <c r="AW6" i="2" s="1"/>
  <c r="AX6" i="2" s="1"/>
  <c r="AY6" i="2" s="1"/>
  <c r="AR4" i="2"/>
  <c r="AS4" i="2" s="1"/>
  <c r="AT4" i="2" s="1"/>
  <c r="AU4" i="2" s="1"/>
  <c r="AV4" i="2" s="1"/>
  <c r="AW4" i="2" s="1"/>
  <c r="AX4" i="2" s="1"/>
  <c r="AY4" i="2" s="1"/>
  <c r="AR13" i="2"/>
  <c r="AS13" i="2" s="1"/>
  <c r="AT13" i="2" s="1"/>
  <c r="AU13" i="2" s="1"/>
  <c r="AV13" i="2" s="1"/>
  <c r="AW13" i="2" s="1"/>
  <c r="AX13" i="2" s="1"/>
  <c r="AY13" i="2" s="1"/>
  <c r="AR97" i="2"/>
  <c r="AS97" i="2" s="1"/>
  <c r="AT97" i="2" s="1"/>
  <c r="AU97" i="2" s="1"/>
  <c r="AV97" i="2" s="1"/>
  <c r="AW97" i="2" s="1"/>
  <c r="AX97" i="2" s="1"/>
  <c r="AY97" i="2" s="1"/>
  <c r="AR99" i="2"/>
  <c r="AS99" i="2" s="1"/>
  <c r="AT99" i="2" s="1"/>
  <c r="AU99" i="2" s="1"/>
  <c r="AV99" i="2" s="1"/>
  <c r="AW99" i="2" s="1"/>
  <c r="AX99" i="2" s="1"/>
  <c r="AY99" i="2" s="1"/>
  <c r="AR139" i="2"/>
  <c r="AS139" i="2" s="1"/>
  <c r="AT139" i="2" s="1"/>
  <c r="AU139" i="2" s="1"/>
  <c r="AV139" i="2" s="1"/>
  <c r="AW139" i="2" s="1"/>
  <c r="AX139" i="2" s="1"/>
  <c r="AY139" i="2" s="1"/>
  <c r="AR138" i="2"/>
  <c r="AS138" i="2" s="1"/>
  <c r="AT138" i="2" s="1"/>
  <c r="AU138" i="2" s="1"/>
  <c r="AV138" i="2" s="1"/>
  <c r="AW138" i="2" s="1"/>
  <c r="AX138" i="2" s="1"/>
  <c r="AY138" i="2" s="1"/>
  <c r="AR76" i="2"/>
  <c r="AS76" i="2" s="1"/>
  <c r="AT76" i="2" s="1"/>
  <c r="AU76" i="2" s="1"/>
  <c r="AV76" i="2" s="1"/>
  <c r="AW76" i="2" s="1"/>
  <c r="AX76" i="2" s="1"/>
  <c r="AY76" i="2" s="1"/>
  <c r="AR140" i="2"/>
  <c r="AS140" i="2" s="1"/>
  <c r="AT140" i="2" s="1"/>
  <c r="AU140" i="2" s="1"/>
  <c r="AV140" i="2" s="1"/>
  <c r="AW140" i="2" s="1"/>
  <c r="AX140" i="2" s="1"/>
  <c r="AY140" i="2" s="1"/>
  <c r="AR12" i="2"/>
  <c r="AS12" i="2" s="1"/>
  <c r="AT12" i="2" s="1"/>
  <c r="AU12" i="2" s="1"/>
  <c r="AV12" i="2" s="1"/>
  <c r="AW12" i="2" s="1"/>
  <c r="AX12" i="2" s="1"/>
  <c r="AY12" i="2" s="1"/>
  <c r="AR135" i="2"/>
  <c r="AS135" i="2" s="1"/>
  <c r="AT135" i="2" s="1"/>
  <c r="AU135" i="2" s="1"/>
  <c r="AV135" i="2" s="1"/>
  <c r="AW135" i="2" s="1"/>
  <c r="AX135" i="2" s="1"/>
  <c r="AY135" i="2" s="1"/>
  <c r="AR143" i="2"/>
  <c r="AS143" i="2" s="1"/>
  <c r="AT143" i="2" s="1"/>
  <c r="AU143" i="2" s="1"/>
  <c r="AV143" i="2" s="1"/>
  <c r="AW143" i="2" s="1"/>
  <c r="AX143" i="2" s="1"/>
  <c r="AY143" i="2" s="1"/>
  <c r="AR548" i="2"/>
  <c r="AS548" i="2" s="1"/>
  <c r="AT548" i="2" s="1"/>
  <c r="AU548" i="2" s="1"/>
  <c r="AV548" i="2" s="1"/>
  <c r="AW548" i="2" s="1"/>
  <c r="AX548" i="2" s="1"/>
  <c r="AY548" i="2" s="1"/>
  <c r="AR253" i="2" l="1"/>
  <c r="AS253" i="2" s="1"/>
  <c r="AT253" i="2" s="1"/>
  <c r="AU253" i="2" s="1"/>
  <c r="AV253" i="2" s="1"/>
  <c r="AW253" i="2" s="1"/>
  <c r="AX253" i="2" s="1"/>
  <c r="AY253" i="2" s="1"/>
  <c r="AR165" i="2"/>
  <c r="AS165" i="2" s="1"/>
  <c r="AT165" i="2" s="1"/>
  <c r="AU165" i="2" s="1"/>
  <c r="AV165" i="2" s="1"/>
  <c r="AW165" i="2" s="1"/>
  <c r="AX165" i="2" s="1"/>
  <c r="AY165" i="2" s="1"/>
  <c r="AR67" i="2"/>
  <c r="AS67" i="2" s="1"/>
  <c r="AT67" i="2" s="1"/>
  <c r="AU67" i="2" s="1"/>
  <c r="AV67" i="2" s="1"/>
  <c r="AW67" i="2" s="1"/>
  <c r="AX67" i="2" s="1"/>
  <c r="AY67" i="2" s="1"/>
  <c r="AR365" i="2"/>
  <c r="AS365" i="2" s="1"/>
  <c r="AT365" i="2" s="1"/>
  <c r="AU365" i="2" s="1"/>
  <c r="AV365" i="2" s="1"/>
  <c r="AW365" i="2" s="1"/>
  <c r="AX365" i="2" s="1"/>
  <c r="AY365" i="2" s="1"/>
  <c r="AR405" i="2"/>
  <c r="AS405" i="2" s="1"/>
  <c r="AT405" i="2" s="1"/>
  <c r="AU405" i="2" s="1"/>
  <c r="AV405" i="2" s="1"/>
  <c r="AW405" i="2" s="1"/>
  <c r="AX405" i="2" s="1"/>
  <c r="AY405" i="2" s="1"/>
  <c r="AR550" i="2"/>
  <c r="AS550" i="2" s="1"/>
  <c r="AT550" i="2" s="1"/>
  <c r="AU550" i="2" s="1"/>
  <c r="AV550" i="2" s="1"/>
  <c r="AW550" i="2" s="1"/>
  <c r="AX550" i="2" s="1"/>
  <c r="AY550" i="2" s="1"/>
  <c r="AR317" i="2"/>
  <c r="AS317" i="2" s="1"/>
  <c r="AT317" i="2" s="1"/>
  <c r="AU317" i="2" s="1"/>
  <c r="AV317" i="2" s="1"/>
  <c r="AW317" i="2" s="1"/>
  <c r="AX317" i="2" s="1"/>
  <c r="AY317" i="2" s="1"/>
  <c r="AR46" i="2"/>
  <c r="AS46" i="2" s="1"/>
  <c r="AT46" i="2" s="1"/>
  <c r="AU46" i="2" s="1"/>
  <c r="AV46" i="2" s="1"/>
  <c r="AW46" i="2" s="1"/>
  <c r="AX46" i="2" s="1"/>
  <c r="AY46" i="2" s="1"/>
  <c r="AR406" i="2"/>
  <c r="AS406" i="2" s="1"/>
  <c r="AT406" i="2" s="1"/>
  <c r="AU406" i="2" s="1"/>
  <c r="AV406" i="2" s="1"/>
  <c r="AW406" i="2" s="1"/>
  <c r="AX406" i="2" s="1"/>
  <c r="AY406" i="2" s="1"/>
  <c r="AR536" i="2"/>
  <c r="AS536" i="2" s="1"/>
  <c r="AT536" i="2" s="1"/>
  <c r="AU536" i="2" s="1"/>
  <c r="AV536" i="2" s="1"/>
  <c r="AW536" i="2" s="1"/>
  <c r="AX536" i="2" s="1"/>
  <c r="AY536" i="2" s="1"/>
  <c r="AR101" i="2"/>
  <c r="AS101" i="2" s="1"/>
  <c r="AT101" i="2" s="1"/>
  <c r="AU101" i="2" s="1"/>
  <c r="AV101" i="2" s="1"/>
  <c r="AW101" i="2" s="1"/>
  <c r="AX101" i="2" s="1"/>
  <c r="AY101" i="2" s="1"/>
  <c r="AR288" i="2"/>
  <c r="AS288" i="2" s="1"/>
  <c r="AT288" i="2" s="1"/>
  <c r="AU288" i="2" s="1"/>
  <c r="AV288" i="2" s="1"/>
  <c r="AW288" i="2" s="1"/>
  <c r="AX288" i="2" s="1"/>
  <c r="AY288" i="2" s="1"/>
  <c r="AR412" i="2"/>
  <c r="AS412" i="2" s="1"/>
  <c r="AT412" i="2" s="1"/>
  <c r="AU412" i="2" s="1"/>
  <c r="AV412" i="2" s="1"/>
  <c r="AW412" i="2" s="1"/>
  <c r="AX412" i="2" s="1"/>
  <c r="AY412" i="2" s="1"/>
  <c r="AR228" i="2"/>
  <c r="AS228" i="2" s="1"/>
  <c r="AT228" i="2" s="1"/>
  <c r="AU228" i="2" s="1"/>
  <c r="AV228" i="2" s="1"/>
  <c r="AW228" i="2" s="1"/>
  <c r="AX228" i="2" s="1"/>
  <c r="AY228" i="2" s="1"/>
  <c r="AR15" i="2"/>
  <c r="AS15" i="2" s="1"/>
  <c r="AT15" i="2" s="1"/>
  <c r="AU15" i="2" s="1"/>
  <c r="AV15" i="2" s="1"/>
  <c r="AW15" i="2" s="1"/>
  <c r="AX15" i="2" s="1"/>
  <c r="AY15" i="2" s="1"/>
  <c r="AR326" i="2"/>
  <c r="AS326" i="2" s="1"/>
  <c r="AT326" i="2" s="1"/>
  <c r="AU326" i="2" s="1"/>
  <c r="AV326" i="2" s="1"/>
  <c r="AW326" i="2" s="1"/>
  <c r="AX326" i="2" s="1"/>
  <c r="AY326" i="2" s="1"/>
  <c r="AR48" i="2"/>
  <c r="AS48" i="2" s="1"/>
  <c r="AT48" i="2" s="1"/>
  <c r="AU48" i="2" s="1"/>
  <c r="AV48" i="2" s="1"/>
  <c r="AW48" i="2" s="1"/>
  <c r="AX48" i="2" s="1"/>
  <c r="AY48" i="2" s="1"/>
  <c r="AR235" i="2"/>
  <c r="AS235" i="2" s="1"/>
  <c r="AT235" i="2" s="1"/>
  <c r="AU235" i="2" s="1"/>
  <c r="AV235" i="2" s="1"/>
  <c r="AW235" i="2" s="1"/>
  <c r="AX235" i="2" s="1"/>
  <c r="AY235" i="2" s="1"/>
  <c r="AR24" i="2"/>
  <c r="AS24" i="2" s="1"/>
  <c r="AT24" i="2" s="1"/>
  <c r="AU24" i="2" s="1"/>
  <c r="AV24" i="2" s="1"/>
  <c r="AW24" i="2" s="1"/>
  <c r="AX24" i="2" s="1"/>
  <c r="AY24" i="2" s="1"/>
  <c r="AR217" i="2"/>
  <c r="AS217" i="2" s="1"/>
  <c r="AT217" i="2" s="1"/>
  <c r="AU217" i="2" s="1"/>
  <c r="AV217" i="2" s="1"/>
  <c r="AW217" i="2" s="1"/>
  <c r="AX217" i="2" s="1"/>
  <c r="AY217" i="2" s="1"/>
  <c r="AR208" i="2"/>
  <c r="AS208" i="2" s="1"/>
  <c r="AT208" i="2" s="1"/>
  <c r="AU208" i="2" s="1"/>
  <c r="AV208" i="2" s="1"/>
  <c r="AW208" i="2" s="1"/>
  <c r="AX208" i="2" s="1"/>
  <c r="AY208" i="2" s="1"/>
  <c r="AR543" i="2"/>
  <c r="AS543" i="2" s="1"/>
  <c r="AT543" i="2" s="1"/>
  <c r="AU543" i="2" s="1"/>
  <c r="AV543" i="2" s="1"/>
  <c r="AW543" i="2" s="1"/>
  <c r="AX543" i="2" s="1"/>
  <c r="AY543" i="2" s="1"/>
  <c r="AR225" i="2"/>
  <c r="AS225" i="2" s="1"/>
  <c r="AT225" i="2" s="1"/>
  <c r="AU225" i="2" s="1"/>
  <c r="AV225" i="2" s="1"/>
  <c r="AW225" i="2" s="1"/>
  <c r="AX225" i="2" s="1"/>
  <c r="AY225" i="2" s="1"/>
  <c r="AR29" i="2"/>
  <c r="AS29" i="2" s="1"/>
  <c r="AT29" i="2" s="1"/>
  <c r="AU29" i="2" s="1"/>
  <c r="AV29" i="2" s="1"/>
  <c r="AW29" i="2" s="1"/>
  <c r="AX29" i="2" s="1"/>
  <c r="AY29" i="2" s="1"/>
  <c r="AR47" i="2"/>
  <c r="AS47" i="2" s="1"/>
  <c r="AT47" i="2" s="1"/>
  <c r="AU47" i="2" s="1"/>
  <c r="AV47" i="2" s="1"/>
  <c r="AW47" i="2" s="1"/>
  <c r="AX47" i="2" s="1"/>
  <c r="AY47" i="2" s="1"/>
  <c r="AR41" i="2"/>
  <c r="AS41" i="2" s="1"/>
  <c r="AT41" i="2" s="1"/>
  <c r="AU41" i="2" s="1"/>
  <c r="AV41" i="2" s="1"/>
  <c r="AW41" i="2" s="1"/>
  <c r="AX41" i="2" s="1"/>
  <c r="AY41" i="2" s="1"/>
  <c r="AR403" i="2"/>
  <c r="AS403" i="2" s="1"/>
  <c r="AT403" i="2" s="1"/>
  <c r="AU403" i="2" s="1"/>
  <c r="AV403" i="2" s="1"/>
  <c r="AW403" i="2" s="1"/>
  <c r="AX403" i="2" s="1"/>
  <c r="AY403" i="2" s="1"/>
  <c r="AR98" i="2"/>
  <c r="AS98" i="2" s="1"/>
  <c r="AT98" i="2" s="1"/>
  <c r="AU98" i="2" s="1"/>
  <c r="AV98" i="2" s="1"/>
  <c r="AW98" i="2" s="1"/>
  <c r="AX98" i="2" s="1"/>
  <c r="AY98" i="2" s="1"/>
  <c r="AR80" i="2"/>
  <c r="AS80" i="2" s="1"/>
  <c r="AT80" i="2" s="1"/>
  <c r="AU80" i="2" s="1"/>
  <c r="AV80" i="2" s="1"/>
  <c r="AW80" i="2" s="1"/>
  <c r="AX80" i="2" s="1"/>
  <c r="AY80" i="2" s="1"/>
  <c r="AR492" i="2"/>
  <c r="AS492" i="2" s="1"/>
  <c r="AT492" i="2" s="1"/>
  <c r="AU492" i="2" s="1"/>
  <c r="AV492" i="2" s="1"/>
  <c r="AW492" i="2" s="1"/>
  <c r="AX492" i="2" s="1"/>
  <c r="AY492" i="2" s="1"/>
  <c r="AR117" i="2"/>
  <c r="AS117" i="2" s="1"/>
  <c r="AT117" i="2" s="1"/>
  <c r="AU117" i="2" s="1"/>
  <c r="AV117" i="2" s="1"/>
  <c r="AW117" i="2" s="1"/>
  <c r="AX117" i="2" s="1"/>
  <c r="AY117" i="2" s="1"/>
  <c r="AR64" i="2"/>
  <c r="AS64" i="2" s="1"/>
  <c r="AT64" i="2" s="1"/>
  <c r="AU64" i="2" s="1"/>
  <c r="AV64" i="2" s="1"/>
  <c r="AW64" i="2" s="1"/>
  <c r="AX64" i="2" s="1"/>
  <c r="AY64" i="2" s="1"/>
  <c r="AR315" i="2"/>
  <c r="AS315" i="2" s="1"/>
  <c r="AT315" i="2" s="1"/>
  <c r="AU315" i="2" s="1"/>
  <c r="AV315" i="2" s="1"/>
  <c r="AW315" i="2" s="1"/>
  <c r="AX315" i="2" s="1"/>
  <c r="AY315" i="2" s="1"/>
  <c r="AR136" i="2"/>
  <c r="AS136" i="2" s="1"/>
  <c r="AT136" i="2" s="1"/>
  <c r="AU136" i="2" s="1"/>
  <c r="AV136" i="2" s="1"/>
  <c r="AW136" i="2" s="1"/>
  <c r="AX136" i="2" s="1"/>
  <c r="AY136" i="2" s="1"/>
  <c r="AR145" i="2"/>
  <c r="AS145" i="2" s="1"/>
  <c r="AT145" i="2" s="1"/>
  <c r="AU145" i="2" s="1"/>
  <c r="AV145" i="2" s="1"/>
  <c r="AW145" i="2" s="1"/>
  <c r="AX145" i="2" s="1"/>
  <c r="AY145" i="2" s="1"/>
  <c r="AR109" i="2"/>
  <c r="AS109" i="2" s="1"/>
  <c r="AT109" i="2" s="1"/>
  <c r="AU109" i="2" s="1"/>
  <c r="AV109" i="2" s="1"/>
  <c r="AW109" i="2" s="1"/>
  <c r="AX109" i="2" s="1"/>
  <c r="AY109" i="2" s="1"/>
  <c r="AR331" i="2"/>
  <c r="AS331" i="2" s="1"/>
  <c r="AT331" i="2" s="1"/>
  <c r="AU331" i="2" s="1"/>
  <c r="AV331" i="2" s="1"/>
  <c r="AW331" i="2" s="1"/>
  <c r="AX331" i="2" s="1"/>
  <c r="AY331" i="2" s="1"/>
  <c r="AR193" i="2"/>
  <c r="AS193" i="2" s="1"/>
  <c r="AT193" i="2" s="1"/>
  <c r="AU193" i="2" s="1"/>
  <c r="AV193" i="2" s="1"/>
  <c r="AW193" i="2" s="1"/>
  <c r="AX193" i="2" s="1"/>
  <c r="AY193" i="2" s="1"/>
  <c r="AR68" i="2"/>
  <c r="AS68" i="2" s="1"/>
  <c r="AT68" i="2" s="1"/>
  <c r="AU68" i="2" s="1"/>
  <c r="AV68" i="2" s="1"/>
  <c r="AW68" i="2" s="1"/>
  <c r="AX68" i="2" s="1"/>
  <c r="AY68" i="2" s="1"/>
  <c r="AR256" i="2"/>
  <c r="AS256" i="2" s="1"/>
  <c r="AT256" i="2" s="1"/>
  <c r="AU256" i="2" s="1"/>
  <c r="AV256" i="2" s="1"/>
  <c r="AW256" i="2" s="1"/>
  <c r="AX256" i="2" s="1"/>
  <c r="AY256" i="2" s="1"/>
  <c r="AR25" i="2"/>
  <c r="AS25" i="2" s="1"/>
  <c r="AT25" i="2" s="1"/>
  <c r="AU25" i="2" s="1"/>
  <c r="AV25" i="2" s="1"/>
  <c r="AW25" i="2" s="1"/>
  <c r="AX25" i="2" s="1"/>
  <c r="AY25" i="2" s="1"/>
  <c r="AR90" i="2"/>
  <c r="AS90" i="2" s="1"/>
  <c r="AT90" i="2" s="1"/>
  <c r="AU90" i="2" s="1"/>
  <c r="AV90" i="2" s="1"/>
  <c r="AW90" i="2" s="1"/>
  <c r="AX90" i="2" s="1"/>
  <c r="AY90" i="2" s="1"/>
  <c r="AR42" i="2"/>
  <c r="AS42" i="2" s="1"/>
  <c r="AT42" i="2" s="1"/>
  <c r="AU42" i="2" s="1"/>
  <c r="AV42" i="2" s="1"/>
  <c r="AW42" i="2" s="1"/>
  <c r="AX42" i="2" s="1"/>
  <c r="AY42" i="2" s="1"/>
  <c r="AR170" i="2"/>
  <c r="AS170" i="2" s="1"/>
  <c r="AT170" i="2" s="1"/>
  <c r="AU170" i="2" s="1"/>
  <c r="AV170" i="2" s="1"/>
  <c r="AW170" i="2" s="1"/>
  <c r="AX170" i="2" s="1"/>
  <c r="AY170" i="2" s="1"/>
  <c r="AR233" i="2"/>
  <c r="AS233" i="2" s="1"/>
  <c r="AT233" i="2" s="1"/>
  <c r="AU233" i="2" s="1"/>
  <c r="AV233" i="2" s="1"/>
  <c r="AW233" i="2" s="1"/>
  <c r="AX233" i="2" s="1"/>
  <c r="AY233" i="2" s="1"/>
  <c r="AR532" i="2"/>
  <c r="AS532" i="2" s="1"/>
  <c r="AT532" i="2" s="1"/>
  <c r="AU532" i="2" s="1"/>
  <c r="AV532" i="2" s="1"/>
  <c r="AW532" i="2" s="1"/>
  <c r="AX532" i="2" s="1"/>
  <c r="AY532" i="2" s="1"/>
  <c r="AR325" i="2"/>
  <c r="AS325" i="2" s="1"/>
  <c r="AT325" i="2" s="1"/>
  <c r="AU325" i="2" s="1"/>
  <c r="AV325" i="2" s="1"/>
  <c r="AW325" i="2" s="1"/>
  <c r="AX325" i="2" s="1"/>
  <c r="AY325" i="2" s="1"/>
  <c r="AR126" i="2"/>
  <c r="AS126" i="2" s="1"/>
  <c r="AT126" i="2" s="1"/>
  <c r="AU126" i="2" s="1"/>
  <c r="AV126" i="2" s="1"/>
  <c r="AW126" i="2" s="1"/>
  <c r="AX126" i="2" s="1"/>
  <c r="AY126" i="2" s="1"/>
  <c r="AR103" i="2"/>
  <c r="AS103" i="2" s="1"/>
  <c r="AT103" i="2" s="1"/>
  <c r="AU103" i="2" s="1"/>
  <c r="AV103" i="2" s="1"/>
  <c r="AW103" i="2" s="1"/>
  <c r="AX103" i="2" s="1"/>
  <c r="AY103" i="2" s="1"/>
  <c r="AR37" i="2"/>
  <c r="AS37" i="2" s="1"/>
  <c r="AT37" i="2" s="1"/>
  <c r="AU37" i="2" s="1"/>
  <c r="AV37" i="2" s="1"/>
  <c r="AW37" i="2" s="1"/>
  <c r="AX37" i="2" s="1"/>
  <c r="AY37" i="2" s="1"/>
  <c r="AR36" i="2"/>
  <c r="AS36" i="2" s="1"/>
  <c r="AT36" i="2" s="1"/>
  <c r="AU36" i="2" s="1"/>
  <c r="AV36" i="2" s="1"/>
  <c r="AW36" i="2" s="1"/>
  <c r="AX36" i="2" s="1"/>
  <c r="AY36" i="2" s="1"/>
  <c r="AR54" i="2"/>
  <c r="AS54" i="2" s="1"/>
  <c r="AT54" i="2" s="1"/>
  <c r="AU54" i="2" s="1"/>
  <c r="AV54" i="2" s="1"/>
  <c r="AW54" i="2" s="1"/>
  <c r="AX54" i="2" s="1"/>
  <c r="AY54" i="2" s="1"/>
  <c r="AR123" i="2"/>
  <c r="AS123" i="2" s="1"/>
  <c r="AT123" i="2" s="1"/>
  <c r="AU123" i="2" s="1"/>
  <c r="AV123" i="2" s="1"/>
  <c r="AW123" i="2" s="1"/>
  <c r="AX123" i="2" s="1"/>
  <c r="AY123" i="2" s="1"/>
  <c r="AR28" i="2"/>
  <c r="AS28" i="2" s="1"/>
  <c r="AT28" i="2" s="1"/>
  <c r="AU28" i="2" s="1"/>
  <c r="AV28" i="2" s="1"/>
  <c r="AW28" i="2" s="1"/>
  <c r="AX28" i="2" s="1"/>
  <c r="AY28" i="2" s="1"/>
  <c r="AR251" i="2"/>
  <c r="AS251" i="2" s="1"/>
  <c r="AT251" i="2" s="1"/>
  <c r="AU251" i="2" s="1"/>
  <c r="AV251" i="2" s="1"/>
  <c r="AW251" i="2" s="1"/>
  <c r="AX251" i="2" s="1"/>
  <c r="AY251" i="2" s="1"/>
  <c r="AR45" i="2"/>
  <c r="AS45" i="2" s="1"/>
  <c r="AT45" i="2" s="1"/>
  <c r="AU45" i="2" s="1"/>
  <c r="AV45" i="2" s="1"/>
  <c r="AW45" i="2" s="1"/>
  <c r="AX45" i="2" s="1"/>
  <c r="AY45" i="2" s="1"/>
  <c r="AR93" i="2"/>
  <c r="AS93" i="2" s="1"/>
  <c r="AT93" i="2" s="1"/>
  <c r="AU93" i="2" s="1"/>
  <c r="AV93" i="2" s="1"/>
  <c r="AW93" i="2" s="1"/>
  <c r="AX93" i="2" s="1"/>
  <c r="AY93" i="2" s="1"/>
  <c r="AR528" i="2"/>
  <c r="AS528" i="2" s="1"/>
  <c r="AT528" i="2" s="1"/>
  <c r="AU528" i="2" s="1"/>
  <c r="AV528" i="2" s="1"/>
  <c r="AW528" i="2" s="1"/>
  <c r="AX528" i="2" s="1"/>
  <c r="AY528" i="2" s="1"/>
  <c r="AR17" i="2"/>
  <c r="AS17" i="2" s="1"/>
  <c r="AT17" i="2" s="1"/>
  <c r="AU17" i="2" s="1"/>
  <c r="AV17" i="2" s="1"/>
  <c r="AW17" i="2" s="1"/>
  <c r="AX17" i="2" s="1"/>
  <c r="AY17" i="2" s="1"/>
  <c r="AR529" i="2"/>
  <c r="AS529" i="2" s="1"/>
  <c r="AT529" i="2" s="1"/>
  <c r="AU529" i="2" s="1"/>
  <c r="AV529" i="2" s="1"/>
  <c r="AW529" i="2" s="1"/>
  <c r="AX529" i="2" s="1"/>
  <c r="AY529" i="2" s="1"/>
  <c r="AR448" i="2"/>
  <c r="AS448" i="2" s="1"/>
  <c r="AT448" i="2" s="1"/>
  <c r="AU448" i="2" s="1"/>
  <c r="AV448" i="2" s="1"/>
  <c r="AW448" i="2" s="1"/>
  <c r="AX448" i="2" s="1"/>
  <c r="AY448" i="2" s="1"/>
  <c r="AR182" i="2"/>
  <c r="AS182" i="2" s="1"/>
  <c r="AT182" i="2" s="1"/>
  <c r="AU182" i="2" s="1"/>
  <c r="AV182" i="2" s="1"/>
  <c r="AW182" i="2" s="1"/>
  <c r="AX182" i="2" s="1"/>
  <c r="AY182" i="2" s="1"/>
  <c r="AR297" i="2"/>
  <c r="AS297" i="2" s="1"/>
  <c r="AT297" i="2" s="1"/>
  <c r="AU297" i="2" s="1"/>
  <c r="AV297" i="2" s="1"/>
  <c r="AW297" i="2" s="1"/>
  <c r="AX297" i="2" s="1"/>
  <c r="AY297" i="2" s="1"/>
  <c r="AR234" i="2"/>
  <c r="AS234" i="2" s="1"/>
  <c r="AT234" i="2" s="1"/>
  <c r="AU234" i="2" s="1"/>
  <c r="AV234" i="2" s="1"/>
  <c r="AW234" i="2" s="1"/>
  <c r="AX234" i="2" s="1"/>
  <c r="AY234" i="2" s="1"/>
  <c r="AR34" i="2"/>
  <c r="AS34" i="2" s="1"/>
  <c r="AT34" i="2" s="1"/>
  <c r="AU34" i="2" s="1"/>
  <c r="AV34" i="2" s="1"/>
  <c r="AW34" i="2" s="1"/>
  <c r="AX34" i="2" s="1"/>
  <c r="AY34" i="2" s="1"/>
  <c r="AR119" i="2"/>
  <c r="AS119" i="2" s="1"/>
  <c r="AT119" i="2" s="1"/>
  <c r="AU119" i="2" s="1"/>
  <c r="AV119" i="2" s="1"/>
  <c r="AW119" i="2" s="1"/>
  <c r="AX119" i="2" s="1"/>
  <c r="AY119" i="2" s="1"/>
  <c r="AR55" i="2"/>
  <c r="AS55" i="2" s="1"/>
  <c r="AT55" i="2" s="1"/>
  <c r="AU55" i="2" s="1"/>
  <c r="AV55" i="2" s="1"/>
  <c r="AW55" i="2" s="1"/>
  <c r="AX55" i="2" s="1"/>
  <c r="AY55" i="2" s="1"/>
  <c r="AR131" i="2"/>
  <c r="AS131" i="2" s="1"/>
  <c r="AT131" i="2" s="1"/>
  <c r="AU131" i="2" s="1"/>
  <c r="AV131" i="2" s="1"/>
  <c r="AW131" i="2" s="1"/>
  <c r="AX131" i="2" s="1"/>
  <c r="AY131" i="2" s="1"/>
  <c r="AR74" i="2"/>
  <c r="AS74" i="2" s="1"/>
  <c r="AT74" i="2" s="1"/>
  <c r="AU74" i="2" s="1"/>
  <c r="AV74" i="2" s="1"/>
  <c r="AW74" i="2" s="1"/>
  <c r="AX74" i="2" s="1"/>
  <c r="AY74" i="2" s="1"/>
  <c r="AR30" i="2"/>
  <c r="AS30" i="2" s="1"/>
  <c r="AT30" i="2" s="1"/>
  <c r="AU30" i="2" s="1"/>
  <c r="AV30" i="2" s="1"/>
  <c r="AW30" i="2" s="1"/>
  <c r="AX30" i="2" s="1"/>
  <c r="AY30" i="2" s="1"/>
  <c r="AR296" i="2"/>
  <c r="AS296" i="2" s="1"/>
  <c r="AT296" i="2" s="1"/>
  <c r="AU296" i="2" s="1"/>
  <c r="AV296" i="2" s="1"/>
  <c r="AW296" i="2" s="1"/>
  <c r="AX296" i="2" s="1"/>
  <c r="AY296" i="2" s="1"/>
  <c r="AR535" i="2"/>
  <c r="AS535" i="2" s="1"/>
  <c r="AT535" i="2" s="1"/>
  <c r="AU535" i="2" s="1"/>
  <c r="AV535" i="2" s="1"/>
  <c r="AW535" i="2" s="1"/>
  <c r="AX535" i="2" s="1"/>
  <c r="AY535" i="2" s="1"/>
  <c r="AR187" i="2"/>
  <c r="AS187" i="2" s="1"/>
  <c r="AT187" i="2" s="1"/>
  <c r="AU187" i="2" s="1"/>
  <c r="AV187" i="2" s="1"/>
  <c r="AW187" i="2" s="1"/>
  <c r="AX187" i="2" s="1"/>
  <c r="AY187" i="2" s="1"/>
  <c r="AR75" i="2"/>
  <c r="AS75" i="2" s="1"/>
  <c r="AT75" i="2" s="1"/>
  <c r="AU75" i="2" s="1"/>
  <c r="AV75" i="2" s="1"/>
  <c r="AW75" i="2" s="1"/>
  <c r="AX75" i="2" s="1"/>
  <c r="AY75" i="2" s="1"/>
  <c r="AR320" i="2"/>
  <c r="AS320" i="2" s="1"/>
  <c r="AT320" i="2" s="1"/>
  <c r="AU320" i="2" s="1"/>
  <c r="AV320" i="2" s="1"/>
  <c r="AW320" i="2" s="1"/>
  <c r="AX320" i="2" s="1"/>
  <c r="AY320" i="2" s="1"/>
  <c r="AR271" i="2"/>
  <c r="AS271" i="2" s="1"/>
  <c r="AT271" i="2" s="1"/>
  <c r="AU271" i="2" s="1"/>
  <c r="AV271" i="2" s="1"/>
  <c r="AW271" i="2" s="1"/>
  <c r="AX271" i="2" s="1"/>
  <c r="AY271" i="2" s="1"/>
  <c r="AR468" i="2"/>
  <c r="AS468" i="2" s="1"/>
  <c r="AT468" i="2" s="1"/>
  <c r="AU468" i="2" s="1"/>
  <c r="AV468" i="2" s="1"/>
  <c r="AW468" i="2" s="1"/>
  <c r="AX468" i="2" s="1"/>
  <c r="AY468" i="2" s="1"/>
  <c r="AR77" i="2"/>
  <c r="AS77" i="2" s="1"/>
  <c r="AT77" i="2" s="1"/>
  <c r="AU77" i="2" s="1"/>
  <c r="AV77" i="2" s="1"/>
  <c r="AW77" i="2" s="1"/>
  <c r="AX77" i="2" s="1"/>
  <c r="AY77" i="2" s="1"/>
  <c r="AR527" i="2"/>
  <c r="AS527" i="2" s="1"/>
  <c r="AT527" i="2" s="1"/>
  <c r="AU527" i="2" s="1"/>
  <c r="AV527" i="2" s="1"/>
  <c r="AW527" i="2" s="1"/>
  <c r="AX527" i="2" s="1"/>
  <c r="AY527" i="2" s="1"/>
  <c r="AR390" i="2"/>
  <c r="AS390" i="2" s="1"/>
  <c r="AT390" i="2" s="1"/>
  <c r="AU390" i="2" s="1"/>
  <c r="AV390" i="2" s="1"/>
  <c r="AW390" i="2" s="1"/>
  <c r="AX390" i="2" s="1"/>
  <c r="AY390" i="2" s="1"/>
  <c r="AR458" i="2"/>
  <c r="AS458" i="2" s="1"/>
  <c r="AT458" i="2" s="1"/>
  <c r="AU458" i="2" s="1"/>
  <c r="AV458" i="2" s="1"/>
  <c r="AW458" i="2" s="1"/>
  <c r="AX458" i="2" s="1"/>
  <c r="AY458" i="2" s="1"/>
  <c r="AR121" i="2"/>
  <c r="AS121" i="2" s="1"/>
  <c r="AT121" i="2" s="1"/>
  <c r="AU121" i="2" s="1"/>
  <c r="AV121" i="2" s="1"/>
  <c r="AW121" i="2" s="1"/>
  <c r="AX121" i="2" s="1"/>
  <c r="AY121" i="2" s="1"/>
  <c r="AR104" i="2"/>
  <c r="AS104" i="2" s="1"/>
  <c r="AT104" i="2" s="1"/>
  <c r="AU104" i="2" s="1"/>
  <c r="AV104" i="2" s="1"/>
  <c r="AW104" i="2" s="1"/>
  <c r="AX104" i="2" s="1"/>
  <c r="AY104" i="2" s="1"/>
  <c r="AR230" i="2"/>
  <c r="AS230" i="2" s="1"/>
  <c r="AT230" i="2" s="1"/>
  <c r="AU230" i="2" s="1"/>
  <c r="AV230" i="2" s="1"/>
  <c r="AW230" i="2" s="1"/>
  <c r="AX230" i="2" s="1"/>
  <c r="AY230" i="2" s="1"/>
  <c r="AR526" i="2"/>
  <c r="AS526" i="2" s="1"/>
  <c r="AT526" i="2" s="1"/>
  <c r="AU526" i="2" s="1"/>
  <c r="AV526" i="2" s="1"/>
  <c r="AW526" i="2" s="1"/>
  <c r="AX526" i="2" s="1"/>
  <c r="AY526" i="2" s="1"/>
  <c r="AR96" i="2"/>
  <c r="AS96" i="2" s="1"/>
  <c r="AT96" i="2" s="1"/>
  <c r="AU96" i="2" s="1"/>
  <c r="AV96" i="2" s="1"/>
  <c r="AW96" i="2" s="1"/>
  <c r="AX96" i="2" s="1"/>
  <c r="AY96" i="2" s="1"/>
  <c r="AR100" i="2"/>
  <c r="AS100" i="2" s="1"/>
  <c r="AT100" i="2" s="1"/>
  <c r="AU100" i="2" s="1"/>
  <c r="AV100" i="2" s="1"/>
  <c r="AW100" i="2" s="1"/>
  <c r="AX100" i="2" s="1"/>
  <c r="AY100" i="2" s="1"/>
  <c r="AR18" i="2"/>
  <c r="AS18" i="2" s="1"/>
  <c r="AT18" i="2" s="1"/>
  <c r="AU18" i="2" s="1"/>
  <c r="AV18" i="2" s="1"/>
  <c r="AW18" i="2" s="1"/>
  <c r="AX18" i="2" s="1"/>
  <c r="AY18" i="2" s="1"/>
  <c r="AR159" i="2"/>
  <c r="AS159" i="2" s="1"/>
  <c r="AT159" i="2" s="1"/>
  <c r="AU159" i="2" s="1"/>
  <c r="AV159" i="2" s="1"/>
  <c r="AW159" i="2" s="1"/>
  <c r="AX159" i="2" s="1"/>
  <c r="AY159" i="2" s="1"/>
  <c r="AR113" i="2"/>
  <c r="AS113" i="2" s="1"/>
  <c r="AT113" i="2" s="1"/>
  <c r="AU113" i="2" s="1"/>
  <c r="AV113" i="2" s="1"/>
  <c r="AW113" i="2" s="1"/>
  <c r="AX113" i="2" s="1"/>
  <c r="AY113" i="2" s="1"/>
  <c r="AR508" i="2"/>
  <c r="AS508" i="2" s="1"/>
  <c r="AT508" i="2" s="1"/>
  <c r="AU508" i="2" s="1"/>
  <c r="AV508" i="2" s="1"/>
  <c r="AW508" i="2" s="1"/>
  <c r="AX508" i="2" s="1"/>
  <c r="AY508" i="2" s="1"/>
  <c r="AR344" i="2"/>
  <c r="AS344" i="2" s="1"/>
  <c r="AT344" i="2" s="1"/>
  <c r="AU344" i="2" s="1"/>
  <c r="AV344" i="2" s="1"/>
  <c r="AW344" i="2" s="1"/>
  <c r="AX344" i="2" s="1"/>
  <c r="AY344" i="2" s="1"/>
  <c r="AR361" i="2"/>
  <c r="AS361" i="2" s="1"/>
  <c r="AT361" i="2" s="1"/>
  <c r="AU361" i="2" s="1"/>
  <c r="AV361" i="2" s="1"/>
  <c r="AW361" i="2" s="1"/>
  <c r="AX361" i="2" s="1"/>
  <c r="AY361" i="2" s="1"/>
  <c r="AR415" i="2"/>
  <c r="AS415" i="2" s="1"/>
  <c r="AT415" i="2" s="1"/>
  <c r="AU415" i="2" s="1"/>
  <c r="AV415" i="2" s="1"/>
  <c r="AW415" i="2" s="1"/>
  <c r="AX415" i="2" s="1"/>
  <c r="AY415" i="2" s="1"/>
  <c r="AR231" i="2"/>
  <c r="AS231" i="2" s="1"/>
  <c r="AT231" i="2" s="1"/>
  <c r="AU231" i="2" s="1"/>
  <c r="AV231" i="2" s="1"/>
  <c r="AW231" i="2" s="1"/>
  <c r="AX231" i="2" s="1"/>
  <c r="AY231" i="2" s="1"/>
  <c r="AR188" i="2"/>
  <c r="AS188" i="2" s="1"/>
  <c r="AT188" i="2" s="1"/>
  <c r="AU188" i="2" s="1"/>
  <c r="AV188" i="2" s="1"/>
  <c r="AW188" i="2" s="1"/>
  <c r="AX188" i="2" s="1"/>
  <c r="AY188" i="2" s="1"/>
  <c r="AR414" i="2"/>
  <c r="AS414" i="2" s="1"/>
  <c r="AT414" i="2" s="1"/>
  <c r="AU414" i="2" s="1"/>
  <c r="AV414" i="2" s="1"/>
  <c r="AW414" i="2" s="1"/>
  <c r="AX414" i="2" s="1"/>
  <c r="AY414" i="2" s="1"/>
  <c r="AR49" i="2"/>
  <c r="AS49" i="2" s="1"/>
  <c r="AT49" i="2" s="1"/>
  <c r="AU49" i="2" s="1"/>
  <c r="AV49" i="2" s="1"/>
  <c r="AW49" i="2" s="1"/>
  <c r="AX49" i="2" s="1"/>
  <c r="AY49" i="2" s="1"/>
  <c r="AR107" i="2"/>
  <c r="AS107" i="2" s="1"/>
  <c r="AT107" i="2" s="1"/>
  <c r="AU107" i="2" s="1"/>
  <c r="AV107" i="2" s="1"/>
  <c r="AW107" i="2" s="1"/>
  <c r="AX107" i="2" s="1"/>
  <c r="AY107" i="2" s="1"/>
  <c r="AR381" i="2"/>
  <c r="AS381" i="2" s="1"/>
  <c r="AT381" i="2" s="1"/>
  <c r="AU381" i="2" s="1"/>
  <c r="AV381" i="2" s="1"/>
  <c r="AW381" i="2" s="1"/>
  <c r="AX381" i="2" s="1"/>
  <c r="AY381" i="2" s="1"/>
  <c r="AR239" i="2"/>
  <c r="AS239" i="2" s="1"/>
  <c r="AT239" i="2" s="1"/>
  <c r="AU239" i="2" s="1"/>
  <c r="AV239" i="2" s="1"/>
  <c r="AW239" i="2" s="1"/>
  <c r="AX239" i="2" s="1"/>
  <c r="AY239" i="2" s="1"/>
  <c r="AR219" i="2"/>
  <c r="AS219" i="2" s="1"/>
  <c r="AT219" i="2" s="1"/>
  <c r="AU219" i="2" s="1"/>
  <c r="AV219" i="2" s="1"/>
  <c r="AW219" i="2" s="1"/>
  <c r="AX219" i="2" s="1"/>
  <c r="AY219" i="2" s="1"/>
  <c r="AR78" i="2"/>
  <c r="AS78" i="2" s="1"/>
  <c r="AT78" i="2" s="1"/>
  <c r="AU78" i="2" s="1"/>
  <c r="AV78" i="2" s="1"/>
  <c r="AW78" i="2" s="1"/>
  <c r="AX78" i="2" s="1"/>
  <c r="AY78" i="2" s="1"/>
  <c r="AR189" i="2"/>
  <c r="AS189" i="2" s="1"/>
  <c r="AT189" i="2" s="1"/>
  <c r="AU189" i="2" s="1"/>
  <c r="AV189" i="2" s="1"/>
  <c r="AW189" i="2" s="1"/>
  <c r="AX189" i="2" s="1"/>
  <c r="AY189" i="2" s="1"/>
  <c r="AR531" i="2"/>
  <c r="AS531" i="2" s="1"/>
  <c r="AT531" i="2" s="1"/>
  <c r="AU531" i="2" s="1"/>
  <c r="AV531" i="2" s="1"/>
  <c r="AW531" i="2" s="1"/>
  <c r="AX531" i="2" s="1"/>
  <c r="AY531" i="2" s="1"/>
  <c r="AR205" i="2"/>
  <c r="AS205" i="2" s="1"/>
  <c r="AT205" i="2" s="1"/>
  <c r="AU205" i="2" s="1"/>
  <c r="AV205" i="2" s="1"/>
  <c r="AW205" i="2" s="1"/>
  <c r="AX205" i="2" s="1"/>
  <c r="AY205" i="2" s="1"/>
  <c r="AR14" i="2"/>
  <c r="AS14" i="2" s="1"/>
  <c r="AT14" i="2" s="1"/>
  <c r="AU14" i="2" s="1"/>
  <c r="AV14" i="2" s="1"/>
  <c r="AW14" i="2" s="1"/>
  <c r="AX14" i="2" s="1"/>
  <c r="AY14" i="2" s="1"/>
  <c r="AR89" i="2"/>
  <c r="AS89" i="2" s="1"/>
  <c r="AT89" i="2" s="1"/>
  <c r="AU89" i="2" s="1"/>
  <c r="AV89" i="2" s="1"/>
  <c r="AW89" i="2" s="1"/>
  <c r="AX89" i="2" s="1"/>
  <c r="AY89" i="2" s="1"/>
  <c r="AR314" i="2"/>
  <c r="AS314" i="2" s="1"/>
  <c r="AT314" i="2" s="1"/>
  <c r="AU314" i="2" s="1"/>
  <c r="AV314" i="2" s="1"/>
  <c r="AW314" i="2" s="1"/>
  <c r="AX314" i="2" s="1"/>
  <c r="AY314" i="2" s="1"/>
  <c r="AR108" i="2"/>
  <c r="AS108" i="2" s="1"/>
  <c r="AT108" i="2" s="1"/>
  <c r="AU108" i="2" s="1"/>
  <c r="AV108" i="2" s="1"/>
  <c r="AW108" i="2" s="1"/>
  <c r="AX108" i="2" s="1"/>
  <c r="AY108" i="2" s="1"/>
  <c r="AR19" i="2"/>
  <c r="AS19" i="2" s="1"/>
  <c r="AT19" i="2" s="1"/>
  <c r="AU19" i="2" s="1"/>
  <c r="AV19" i="2" s="1"/>
  <c r="AW19" i="2" s="1"/>
  <c r="AX19" i="2" s="1"/>
  <c r="AY19" i="2" s="1"/>
  <c r="AR87" i="2"/>
  <c r="AS87" i="2" s="1"/>
  <c r="AT87" i="2" s="1"/>
  <c r="AU87" i="2" s="1"/>
  <c r="AV87" i="2" s="1"/>
  <c r="AW87" i="2" s="1"/>
  <c r="AX87" i="2" s="1"/>
  <c r="AY87" i="2" s="1"/>
  <c r="AR61" i="2"/>
  <c r="AS61" i="2" s="1"/>
  <c r="AT61" i="2" s="1"/>
  <c r="AU61" i="2" s="1"/>
  <c r="AV61" i="2" s="1"/>
  <c r="AW61" i="2" s="1"/>
  <c r="AX61" i="2" s="1"/>
  <c r="AY61" i="2" s="1"/>
  <c r="AR128" i="2"/>
  <c r="AS128" i="2" s="1"/>
  <c r="AT128" i="2" s="1"/>
  <c r="AU128" i="2" s="1"/>
  <c r="AV128" i="2" s="1"/>
  <c r="AW128" i="2" s="1"/>
  <c r="AX128" i="2" s="1"/>
  <c r="AY128" i="2" s="1"/>
  <c r="AR216" i="2"/>
  <c r="AS216" i="2" s="1"/>
  <c r="AT216" i="2" s="1"/>
  <c r="AU216" i="2" s="1"/>
  <c r="AV216" i="2" s="1"/>
  <c r="AW216" i="2" s="1"/>
  <c r="AX216" i="2" s="1"/>
  <c r="AY216" i="2" s="1"/>
  <c r="AR32" i="2"/>
  <c r="AS32" i="2" s="1"/>
  <c r="AT32" i="2" s="1"/>
  <c r="AU32" i="2" s="1"/>
  <c r="AV32" i="2" s="1"/>
  <c r="AW32" i="2" s="1"/>
  <c r="AX32" i="2" s="1"/>
  <c r="AY32" i="2" s="1"/>
  <c r="AR116" i="2"/>
  <c r="AS116" i="2" s="1"/>
  <c r="AT116" i="2" s="1"/>
  <c r="AU116" i="2" s="1"/>
  <c r="AV116" i="2" s="1"/>
  <c r="AW116" i="2" s="1"/>
  <c r="AX116" i="2" s="1"/>
  <c r="AY116" i="2" s="1"/>
  <c r="AR226" i="2"/>
  <c r="AS226" i="2" s="1"/>
  <c r="AT226" i="2" s="1"/>
  <c r="AU226" i="2" s="1"/>
  <c r="AV226" i="2" s="1"/>
  <c r="AW226" i="2" s="1"/>
  <c r="AX226" i="2" s="1"/>
  <c r="AY226" i="2" s="1"/>
  <c r="AR541" i="2"/>
  <c r="AS541" i="2" s="1"/>
  <c r="AT541" i="2" s="1"/>
  <c r="AU541" i="2" s="1"/>
  <c r="AV541" i="2" s="1"/>
  <c r="AW541" i="2" s="1"/>
  <c r="AX541" i="2" s="1"/>
  <c r="AY541" i="2" s="1"/>
  <c r="AR56" i="2"/>
  <c r="AS56" i="2" s="1"/>
  <c r="AT56" i="2" s="1"/>
  <c r="AU56" i="2" s="1"/>
  <c r="AV56" i="2" s="1"/>
  <c r="AW56" i="2" s="1"/>
  <c r="AX56" i="2" s="1"/>
  <c r="AY56" i="2" s="1"/>
  <c r="AR20" i="2"/>
  <c r="AS20" i="2" s="1"/>
  <c r="AT20" i="2" s="1"/>
  <c r="AU20" i="2" s="1"/>
  <c r="AV20" i="2" s="1"/>
  <c r="AW20" i="2" s="1"/>
  <c r="AX20" i="2" s="1"/>
  <c r="AY20" i="2" s="1"/>
  <c r="AR26" i="2"/>
  <c r="AS26" i="2" s="1"/>
  <c r="AT26" i="2" s="1"/>
  <c r="AU26" i="2" s="1"/>
  <c r="AV26" i="2" s="1"/>
  <c r="AW26" i="2" s="1"/>
  <c r="AX26" i="2" s="1"/>
  <c r="AY26" i="2" s="1"/>
  <c r="AR221" i="2"/>
  <c r="AS221" i="2" s="1"/>
  <c r="AT221" i="2" s="1"/>
  <c r="AU221" i="2" s="1"/>
  <c r="AV221" i="2" s="1"/>
  <c r="AW221" i="2" s="1"/>
  <c r="AX221" i="2" s="1"/>
  <c r="AY221" i="2" s="1"/>
  <c r="AR38" i="2"/>
  <c r="AS38" i="2" s="1"/>
  <c r="AT38" i="2" s="1"/>
  <c r="AU38" i="2" s="1"/>
  <c r="AV38" i="2" s="1"/>
  <c r="AW38" i="2" s="1"/>
  <c r="AX38" i="2" s="1"/>
  <c r="AY38" i="2" s="1"/>
  <c r="AR83" i="2"/>
  <c r="AS83" i="2" s="1"/>
  <c r="AT83" i="2" s="1"/>
  <c r="AU83" i="2" s="1"/>
  <c r="AV83" i="2" s="1"/>
  <c r="AW83" i="2" s="1"/>
  <c r="AX83" i="2" s="1"/>
  <c r="AY83" i="2" s="1"/>
  <c r="AR40" i="2"/>
  <c r="AS40" i="2" s="1"/>
  <c r="AT40" i="2" s="1"/>
  <c r="AU40" i="2" s="1"/>
  <c r="AV40" i="2" s="1"/>
  <c r="AW40" i="2" s="1"/>
  <c r="AX40" i="2" s="1"/>
  <c r="AY40" i="2" s="1"/>
  <c r="AR546" i="2"/>
  <c r="AS546" i="2" s="1"/>
  <c r="AT546" i="2" s="1"/>
  <c r="AU546" i="2" s="1"/>
  <c r="AV546" i="2" s="1"/>
  <c r="AW546" i="2" s="1"/>
  <c r="AX546" i="2" s="1"/>
  <c r="AY546" i="2" s="1"/>
  <c r="AR382" i="2"/>
  <c r="AS382" i="2" s="1"/>
  <c r="AT382" i="2" s="1"/>
  <c r="AU382" i="2" s="1"/>
  <c r="AV382" i="2" s="1"/>
  <c r="AW382" i="2" s="1"/>
  <c r="AX382" i="2" s="1"/>
  <c r="AY382" i="2" s="1"/>
  <c r="AR420" i="2"/>
  <c r="AS420" i="2" s="1"/>
  <c r="AT420" i="2" s="1"/>
  <c r="AU420" i="2" s="1"/>
  <c r="AV420" i="2" s="1"/>
  <c r="AW420" i="2" s="1"/>
  <c r="AX420" i="2" s="1"/>
  <c r="AY420" i="2" s="1"/>
  <c r="AR236" i="2"/>
  <c r="AS236" i="2" s="1"/>
  <c r="AT236" i="2" s="1"/>
  <c r="AU236" i="2" s="1"/>
  <c r="AV236" i="2" s="1"/>
  <c r="AW236" i="2" s="1"/>
  <c r="AX236" i="2" s="1"/>
  <c r="AY236" i="2" s="1"/>
  <c r="AR92" i="2"/>
  <c r="AS92" i="2" s="1"/>
  <c r="AT92" i="2" s="1"/>
  <c r="AU92" i="2" s="1"/>
  <c r="AV92" i="2" s="1"/>
  <c r="AW92" i="2" s="1"/>
  <c r="AX92" i="2" s="1"/>
  <c r="AY92" i="2" s="1"/>
  <c r="AR106" i="2"/>
  <c r="AS106" i="2" s="1"/>
  <c r="AT106" i="2" s="1"/>
  <c r="AU106" i="2" s="1"/>
  <c r="AV106" i="2" s="1"/>
  <c r="AW106" i="2" s="1"/>
  <c r="AX106" i="2" s="1"/>
  <c r="AY106" i="2" s="1"/>
  <c r="AR44" i="2"/>
  <c r="AS44" i="2" s="1"/>
  <c r="AT44" i="2" s="1"/>
  <c r="AU44" i="2" s="1"/>
  <c r="AV44" i="2" s="1"/>
  <c r="AW44" i="2" s="1"/>
  <c r="AX44" i="2" s="1"/>
  <c r="AY44" i="2" s="1"/>
  <c r="AR480" i="2"/>
  <c r="AS480" i="2" s="1"/>
  <c r="AT480" i="2" s="1"/>
  <c r="AU480" i="2" s="1"/>
  <c r="AV480" i="2" s="1"/>
  <c r="AW480" i="2" s="1"/>
  <c r="AX480" i="2" s="1"/>
  <c r="AY480" i="2" s="1"/>
  <c r="AR146" i="2"/>
  <c r="AS146" i="2" s="1"/>
  <c r="AT146" i="2" s="1"/>
  <c r="AU146" i="2" s="1"/>
  <c r="AV146" i="2" s="1"/>
  <c r="AW146" i="2" s="1"/>
  <c r="AX146" i="2" s="1"/>
  <c r="AY146" i="2" s="1"/>
  <c r="AR538" i="2"/>
  <c r="AS538" i="2" s="1"/>
  <c r="AT538" i="2" s="1"/>
  <c r="AU538" i="2" s="1"/>
  <c r="AV538" i="2" s="1"/>
  <c r="AW538" i="2" s="1"/>
  <c r="AX538" i="2" s="1"/>
  <c r="AY538" i="2" s="1"/>
  <c r="AR509" i="2"/>
  <c r="AS509" i="2" s="1"/>
  <c r="AT509" i="2" s="1"/>
  <c r="AU509" i="2" s="1"/>
  <c r="AV509" i="2" s="1"/>
  <c r="AW509" i="2" s="1"/>
  <c r="AX509" i="2" s="1"/>
  <c r="AY509" i="2" s="1"/>
  <c r="AR402" i="2"/>
  <c r="AS402" i="2" s="1"/>
  <c r="AT402" i="2" s="1"/>
  <c r="AU402" i="2" s="1"/>
  <c r="AV402" i="2" s="1"/>
  <c r="AW402" i="2" s="1"/>
  <c r="AX402" i="2" s="1"/>
  <c r="AY402" i="2" s="1"/>
  <c r="AR533" i="2"/>
  <c r="AS533" i="2" s="1"/>
  <c r="AT533" i="2" s="1"/>
  <c r="AU533" i="2" s="1"/>
  <c r="AV533" i="2" s="1"/>
  <c r="AW533" i="2" s="1"/>
  <c r="AX533" i="2" s="1"/>
  <c r="AY533" i="2" s="1"/>
  <c r="AR120" i="2"/>
  <c r="AS120" i="2" s="1"/>
  <c r="AT120" i="2" s="1"/>
  <c r="AU120" i="2" s="1"/>
  <c r="AV120" i="2" s="1"/>
  <c r="AW120" i="2" s="1"/>
  <c r="AX120" i="2" s="1"/>
  <c r="AY120" i="2" s="1"/>
  <c r="AR341" i="2"/>
  <c r="AS341" i="2" s="1"/>
  <c r="AT341" i="2" s="1"/>
  <c r="AU341" i="2" s="1"/>
  <c r="AV341" i="2" s="1"/>
  <c r="AW341" i="2" s="1"/>
  <c r="AX341" i="2" s="1"/>
  <c r="AY341" i="2" s="1"/>
  <c r="AR321" i="2"/>
  <c r="AS321" i="2" s="1"/>
  <c r="AT321" i="2" s="1"/>
  <c r="AU321" i="2" s="1"/>
  <c r="AV321" i="2" s="1"/>
  <c r="AW321" i="2" s="1"/>
  <c r="AX321" i="2" s="1"/>
  <c r="AY321" i="2" s="1"/>
  <c r="AR125" i="2"/>
  <c r="AS125" i="2" s="1"/>
  <c r="AT125" i="2" s="1"/>
  <c r="AU125" i="2" s="1"/>
  <c r="AV125" i="2" s="1"/>
  <c r="AW125" i="2" s="1"/>
  <c r="AX125" i="2" s="1"/>
  <c r="AY125" i="2" s="1"/>
  <c r="AR327" i="2"/>
  <c r="AS327" i="2" s="1"/>
  <c r="AT327" i="2" s="1"/>
  <c r="AU327" i="2" s="1"/>
  <c r="AV327" i="2" s="1"/>
  <c r="AW327" i="2" s="1"/>
  <c r="AX327" i="2" s="1"/>
  <c r="AY327" i="2" s="1"/>
  <c r="AR79" i="2"/>
  <c r="AS79" i="2" s="1"/>
  <c r="AT79" i="2" s="1"/>
  <c r="AU79" i="2" s="1"/>
  <c r="AV79" i="2" s="1"/>
  <c r="AW79" i="2" s="1"/>
  <c r="AX79" i="2" s="1"/>
  <c r="AY79" i="2" s="1"/>
  <c r="AR39" i="2"/>
  <c r="AS39" i="2" s="1"/>
  <c r="AT39" i="2" s="1"/>
  <c r="AU39" i="2" s="1"/>
  <c r="AV39" i="2" s="1"/>
  <c r="AW39" i="2" s="1"/>
  <c r="AX39" i="2" s="1"/>
  <c r="AY39" i="2" s="1"/>
  <c r="AR27" i="2"/>
  <c r="AS27" i="2" s="1"/>
  <c r="AT27" i="2" s="1"/>
  <c r="AU27" i="2" s="1"/>
  <c r="AV27" i="2" s="1"/>
  <c r="AW27" i="2" s="1"/>
  <c r="AX27" i="2" s="1"/>
  <c r="AY27" i="2" s="1"/>
  <c r="AR322" i="2"/>
  <c r="AS322" i="2" s="1"/>
  <c r="AT322" i="2" s="1"/>
  <c r="AU322" i="2" s="1"/>
  <c r="AV322" i="2" s="1"/>
  <c r="AW322" i="2" s="1"/>
  <c r="AX322" i="2" s="1"/>
  <c r="AY322" i="2" s="1"/>
  <c r="AR176" i="2"/>
  <c r="AS176" i="2" s="1"/>
  <c r="AT176" i="2" s="1"/>
  <c r="AU176" i="2" s="1"/>
  <c r="AV176" i="2" s="1"/>
  <c r="AW176" i="2" s="1"/>
  <c r="AX176" i="2" s="1"/>
  <c r="AY176" i="2" s="1"/>
  <c r="AR66" i="2"/>
  <c r="AS66" i="2" s="1"/>
  <c r="AT66" i="2" s="1"/>
  <c r="AU66" i="2" s="1"/>
  <c r="AV66" i="2" s="1"/>
  <c r="AW66" i="2" s="1"/>
  <c r="AX66" i="2" s="1"/>
  <c r="AY66" i="2" s="1"/>
  <c r="AR141" i="2"/>
  <c r="AS141" i="2" s="1"/>
  <c r="AT141" i="2" s="1"/>
  <c r="AU141" i="2" s="1"/>
  <c r="AV141" i="2" s="1"/>
  <c r="AW141" i="2" s="1"/>
  <c r="AX141" i="2" s="1"/>
  <c r="AY141" i="2" s="1"/>
  <c r="AR224" i="2"/>
  <c r="AS224" i="2" s="1"/>
  <c r="AT224" i="2" s="1"/>
  <c r="AU224" i="2" s="1"/>
  <c r="AV224" i="2" s="1"/>
  <c r="AW224" i="2" s="1"/>
  <c r="AX224" i="2" s="1"/>
  <c r="AY224" i="2" s="1"/>
  <c r="AR59" i="2"/>
  <c r="AS59" i="2" s="1"/>
  <c r="AT59" i="2" s="1"/>
  <c r="AU59" i="2" s="1"/>
  <c r="AV59" i="2" s="1"/>
  <c r="AW59" i="2" s="1"/>
  <c r="AX59" i="2" s="1"/>
  <c r="AY59" i="2" s="1"/>
  <c r="AR160" i="2"/>
  <c r="AS160" i="2" s="1"/>
  <c r="AT160" i="2" s="1"/>
  <c r="AU160" i="2" s="1"/>
  <c r="AV160" i="2" s="1"/>
  <c r="AW160" i="2" s="1"/>
  <c r="AX160" i="2" s="1"/>
  <c r="AY160" i="2" s="1"/>
  <c r="AR35" i="2"/>
  <c r="AS35" i="2" s="1"/>
  <c r="AT35" i="2" s="1"/>
  <c r="AU35" i="2" s="1"/>
  <c r="AV35" i="2" s="1"/>
  <c r="AW35" i="2" s="1"/>
  <c r="AX35" i="2" s="1"/>
  <c r="AY35" i="2" s="1"/>
  <c r="AR539" i="2"/>
  <c r="AS539" i="2" s="1"/>
  <c r="AT539" i="2" s="1"/>
  <c r="AU539" i="2" s="1"/>
  <c r="AV539" i="2" s="1"/>
  <c r="AW539" i="2" s="1"/>
  <c r="AX539" i="2" s="1"/>
  <c r="AY539" i="2" s="1"/>
  <c r="AR129" i="2"/>
  <c r="AS129" i="2" s="1"/>
  <c r="AT129" i="2" s="1"/>
  <c r="AU129" i="2" s="1"/>
  <c r="AV129" i="2" s="1"/>
  <c r="AW129" i="2" s="1"/>
  <c r="AX129" i="2" s="1"/>
  <c r="AY129" i="2" s="1"/>
  <c r="AR367" i="2"/>
  <c r="AS367" i="2" s="1"/>
  <c r="AT367" i="2" s="1"/>
  <c r="AU367" i="2" s="1"/>
  <c r="AV367" i="2" s="1"/>
  <c r="AW367" i="2" s="1"/>
  <c r="AX367" i="2" s="1"/>
  <c r="AY367" i="2" s="1"/>
  <c r="AR102" i="2"/>
  <c r="AS102" i="2" s="1"/>
  <c r="AT102" i="2" s="1"/>
  <c r="AU102" i="2" s="1"/>
  <c r="AV102" i="2" s="1"/>
  <c r="AW102" i="2" s="1"/>
  <c r="AX102" i="2" s="1"/>
  <c r="AY102" i="2" s="1"/>
  <c r="AR186" i="2"/>
  <c r="AS186" i="2" s="1"/>
  <c r="AT186" i="2" s="1"/>
  <c r="AU186" i="2" s="1"/>
  <c r="AV186" i="2" s="1"/>
  <c r="AW186" i="2" s="1"/>
  <c r="AX186" i="2" s="1"/>
  <c r="AY186" i="2" s="1"/>
  <c r="AR112" i="2"/>
  <c r="AS112" i="2" s="1"/>
  <c r="AT112" i="2" s="1"/>
  <c r="AU112" i="2" s="1"/>
  <c r="AV112" i="2" s="1"/>
  <c r="AW112" i="2" s="1"/>
  <c r="AX112" i="2" s="1"/>
  <c r="AY112" i="2" s="1"/>
  <c r="AR319" i="2"/>
  <c r="AS319" i="2" s="1"/>
  <c r="AT319" i="2" s="1"/>
  <c r="AU319" i="2" s="1"/>
  <c r="AV319" i="2" s="1"/>
  <c r="AW319" i="2" s="1"/>
  <c r="AX319" i="2" s="1"/>
  <c r="AY319" i="2" s="1"/>
  <c r="AR316" i="2"/>
  <c r="AS316" i="2" s="1"/>
  <c r="AT316" i="2" s="1"/>
  <c r="AU316" i="2" s="1"/>
  <c r="AV316" i="2" s="1"/>
  <c r="AW316" i="2" s="1"/>
  <c r="AX316" i="2" s="1"/>
  <c r="AY316" i="2" s="1"/>
  <c r="AR164" i="2"/>
  <c r="AS164" i="2" s="1"/>
  <c r="AT164" i="2" s="1"/>
  <c r="AU164" i="2" s="1"/>
  <c r="AV164" i="2" s="1"/>
  <c r="AW164" i="2" s="1"/>
  <c r="AX164" i="2" s="1"/>
  <c r="AY164" i="2" s="1"/>
  <c r="AR124" i="2"/>
  <c r="AS124" i="2" s="1"/>
  <c r="AT124" i="2" s="1"/>
  <c r="AU124" i="2" s="1"/>
  <c r="AV124" i="2" s="1"/>
  <c r="AW124" i="2" s="1"/>
  <c r="AX124" i="2" s="1"/>
  <c r="AY124" i="2" s="1"/>
  <c r="AR287" i="2"/>
  <c r="AS287" i="2" s="1"/>
  <c r="AT287" i="2" s="1"/>
  <c r="AU287" i="2" s="1"/>
  <c r="AV287" i="2" s="1"/>
  <c r="AW287" i="2" s="1"/>
  <c r="AX287" i="2" s="1"/>
  <c r="AY287" i="2" s="1"/>
  <c r="AR194" i="2"/>
  <c r="AS194" i="2" s="1"/>
  <c r="AT194" i="2" s="1"/>
  <c r="AU194" i="2" s="1"/>
  <c r="AV194" i="2" s="1"/>
  <c r="AW194" i="2" s="1"/>
  <c r="AX194" i="2" s="1"/>
  <c r="AY194" i="2" s="1"/>
  <c r="AR8" i="2"/>
  <c r="AS8" i="2" s="1"/>
  <c r="AT8" i="2" s="1"/>
  <c r="AU8" i="2" s="1"/>
  <c r="AV8" i="2" s="1"/>
  <c r="AW8" i="2" s="1"/>
  <c r="AX8" i="2" s="1"/>
  <c r="AY8" i="2" s="1"/>
  <c r="AR158" i="2"/>
  <c r="AS158" i="2" s="1"/>
  <c r="AT158" i="2" s="1"/>
  <c r="AU158" i="2" s="1"/>
  <c r="AV158" i="2" s="1"/>
  <c r="AW158" i="2" s="1"/>
  <c r="AX158" i="2" s="1"/>
  <c r="AY158" i="2" s="1"/>
  <c r="AR237" i="2"/>
  <c r="AS237" i="2" s="1"/>
  <c r="AT237" i="2" s="1"/>
  <c r="AU237" i="2" s="1"/>
  <c r="AV237" i="2" s="1"/>
  <c r="AW237" i="2" s="1"/>
  <c r="AX237" i="2" s="1"/>
  <c r="AY237" i="2" s="1"/>
  <c r="AR69" i="2"/>
  <c r="AS69" i="2" s="1"/>
  <c r="AT69" i="2" s="1"/>
  <c r="AU69" i="2" s="1"/>
  <c r="AV69" i="2" s="1"/>
  <c r="AW69" i="2" s="1"/>
  <c r="AX69" i="2" s="1"/>
  <c r="AY69" i="2" s="1"/>
  <c r="AR62" i="2"/>
  <c r="AS62" i="2" s="1"/>
  <c r="AT62" i="2" s="1"/>
  <c r="AU62" i="2" s="1"/>
  <c r="AV62" i="2" s="1"/>
  <c r="AW62" i="2" s="1"/>
  <c r="AX62" i="2" s="1"/>
  <c r="AY62" i="2" s="1"/>
  <c r="AR223" i="2"/>
  <c r="AS223" i="2" s="1"/>
  <c r="AT223" i="2" s="1"/>
  <c r="AU223" i="2" s="1"/>
  <c r="AV223" i="2" s="1"/>
  <c r="AW223" i="2" s="1"/>
  <c r="AX223" i="2" s="1"/>
  <c r="AY223" i="2" s="1"/>
  <c r="AR52" i="2"/>
  <c r="AS52" i="2" s="1"/>
  <c r="AT52" i="2" s="1"/>
  <c r="AU52" i="2" s="1"/>
  <c r="AV52" i="2" s="1"/>
  <c r="AW52" i="2" s="1"/>
  <c r="AX52" i="2" s="1"/>
  <c r="AY52" i="2" s="1"/>
  <c r="AR537" i="2"/>
  <c r="AS537" i="2" s="1"/>
  <c r="AT537" i="2" s="1"/>
  <c r="AU537" i="2" s="1"/>
  <c r="AV537" i="2" s="1"/>
  <c r="AW537" i="2" s="1"/>
  <c r="AX537" i="2" s="1"/>
  <c r="AY537" i="2" s="1"/>
  <c r="AR254" i="2"/>
  <c r="AS254" i="2" s="1"/>
  <c r="AT254" i="2" s="1"/>
  <c r="AU254" i="2" s="1"/>
  <c r="AV254" i="2" s="1"/>
  <c r="AW254" i="2" s="1"/>
  <c r="AX254" i="2" s="1"/>
  <c r="AY254" i="2" s="1"/>
  <c r="AR111" i="2"/>
  <c r="AS111" i="2" s="1"/>
  <c r="AT111" i="2" s="1"/>
  <c r="AU111" i="2" s="1"/>
  <c r="AV111" i="2" s="1"/>
  <c r="AW111" i="2" s="1"/>
  <c r="AX111" i="2" s="1"/>
  <c r="AY111" i="2" s="1"/>
  <c r="AR540" i="2"/>
  <c r="AS540" i="2" s="1"/>
  <c r="AT540" i="2" s="1"/>
  <c r="AU540" i="2" s="1"/>
  <c r="AV540" i="2" s="1"/>
  <c r="AW540" i="2" s="1"/>
  <c r="AX540" i="2" s="1"/>
  <c r="AY540" i="2" s="1"/>
  <c r="AR63" i="2"/>
  <c r="AS63" i="2" s="1"/>
  <c r="AT63" i="2" s="1"/>
  <c r="AU63" i="2" s="1"/>
  <c r="AV63" i="2" s="1"/>
  <c r="AW63" i="2" s="1"/>
  <c r="AX63" i="2" s="1"/>
  <c r="AY63" i="2" s="1"/>
  <c r="AR157" i="2"/>
  <c r="AS157" i="2" s="1"/>
  <c r="AT157" i="2" s="1"/>
  <c r="AU157" i="2" s="1"/>
  <c r="AV157" i="2" s="1"/>
  <c r="AW157" i="2" s="1"/>
  <c r="AX157" i="2" s="1"/>
  <c r="AY157" i="2" s="1"/>
  <c r="AR137" i="2"/>
  <c r="AS137" i="2" s="1"/>
  <c r="AT137" i="2" s="1"/>
  <c r="AU137" i="2" s="1"/>
  <c r="AV137" i="2" s="1"/>
  <c r="AW137" i="2" s="1"/>
  <c r="AX137" i="2" s="1"/>
  <c r="AY137" i="2" s="1"/>
  <c r="AR530" i="2"/>
  <c r="AS530" i="2" s="1"/>
  <c r="AT530" i="2" s="1"/>
  <c r="AU530" i="2" s="1"/>
  <c r="AV530" i="2" s="1"/>
  <c r="AW530" i="2" s="1"/>
  <c r="AX530" i="2" s="1"/>
  <c r="AY530" i="2" s="1"/>
  <c r="AR312" i="2"/>
  <c r="AS312" i="2" s="1"/>
  <c r="AT312" i="2" s="1"/>
  <c r="AU312" i="2" s="1"/>
  <c r="AV312" i="2" s="1"/>
  <c r="AW312" i="2" s="1"/>
  <c r="AX312" i="2" s="1"/>
  <c r="AY312" i="2" s="1"/>
  <c r="AR359" i="2"/>
  <c r="AS359" i="2" s="1"/>
  <c r="AT359" i="2" s="1"/>
  <c r="AU359" i="2" s="1"/>
  <c r="AV359" i="2" s="1"/>
  <c r="AW359" i="2" s="1"/>
  <c r="AX359" i="2" s="1"/>
  <c r="AY359" i="2" s="1"/>
  <c r="AR115" i="2"/>
  <c r="AS115" i="2" s="1"/>
  <c r="AT115" i="2" s="1"/>
  <c r="AU115" i="2" s="1"/>
  <c r="AV115" i="2" s="1"/>
  <c r="AW115" i="2" s="1"/>
  <c r="AX115" i="2" s="1"/>
  <c r="AY115" i="2" s="1"/>
  <c r="AR31" i="2"/>
  <c r="AS31" i="2" s="1"/>
  <c r="AT31" i="2" s="1"/>
  <c r="AU31" i="2" s="1"/>
  <c r="AV31" i="2" s="1"/>
  <c r="AW31" i="2" s="1"/>
  <c r="AX31" i="2" s="1"/>
  <c r="AY31" i="2" s="1"/>
  <c r="AR396" i="2"/>
  <c r="AS396" i="2" s="1"/>
  <c r="AT396" i="2" s="1"/>
  <c r="AU396" i="2" s="1"/>
  <c r="AV396" i="2" s="1"/>
  <c r="AW396" i="2" s="1"/>
  <c r="AX396" i="2" s="1"/>
  <c r="AY396" i="2" s="1"/>
  <c r="AR227" i="2"/>
  <c r="AS227" i="2" s="1"/>
  <c r="AT227" i="2" s="1"/>
  <c r="AU227" i="2" s="1"/>
  <c r="AV227" i="2" s="1"/>
  <c r="AW227" i="2" s="1"/>
  <c r="AX227" i="2" s="1"/>
  <c r="AY227" i="2" s="1"/>
  <c r="AR70" i="2"/>
  <c r="AS70" i="2" s="1"/>
  <c r="AT70" i="2" s="1"/>
  <c r="AU70" i="2" s="1"/>
  <c r="AV70" i="2" s="1"/>
  <c r="AW70" i="2" s="1"/>
  <c r="AX70" i="2" s="1"/>
  <c r="AY70" i="2" s="1"/>
  <c r="AR411" i="2"/>
  <c r="AS411" i="2" s="1"/>
  <c r="AT411" i="2" s="1"/>
  <c r="AU411" i="2" s="1"/>
  <c r="AV411" i="2" s="1"/>
  <c r="AW411" i="2" s="1"/>
  <c r="AX411" i="2" s="1"/>
  <c r="AY411" i="2" s="1"/>
  <c r="AR218" i="2"/>
  <c r="AS218" i="2" s="1"/>
  <c r="AT218" i="2" s="1"/>
  <c r="AU218" i="2" s="1"/>
  <c r="AV218" i="2" s="1"/>
  <c r="AW218" i="2" s="1"/>
  <c r="AX218" i="2" s="1"/>
  <c r="AY218" i="2" s="1"/>
  <c r="AR72" i="2"/>
  <c r="AS72" i="2" s="1"/>
  <c r="AT72" i="2" s="1"/>
  <c r="AU72" i="2" s="1"/>
  <c r="AV72" i="2" s="1"/>
  <c r="AW72" i="2" s="1"/>
  <c r="AX72" i="2" s="1"/>
  <c r="AY72" i="2" s="1"/>
  <c r="AR57" i="2"/>
  <c r="AS57" i="2" s="1"/>
  <c r="AT57" i="2" s="1"/>
  <c r="AU57" i="2" s="1"/>
  <c r="AV57" i="2" s="1"/>
  <c r="AW57" i="2" s="1"/>
  <c r="AX57" i="2" s="1"/>
  <c r="AY57" i="2" s="1"/>
  <c r="AR23" i="2"/>
  <c r="AS23" i="2" s="1"/>
  <c r="AT23" i="2" s="1"/>
  <c r="AU23" i="2" s="1"/>
  <c r="AV23" i="2" s="1"/>
  <c r="AW23" i="2" s="1"/>
  <c r="AX23" i="2" s="1"/>
  <c r="AY23" i="2" s="1"/>
  <c r="AR534" i="2"/>
  <c r="AS534" i="2" s="1"/>
  <c r="AT534" i="2" s="1"/>
  <c r="AU534" i="2" s="1"/>
  <c r="AV534" i="2" s="1"/>
  <c r="AW534" i="2" s="1"/>
  <c r="AX534" i="2" s="1"/>
  <c r="AY534" i="2" s="1"/>
  <c r="AR132" i="2"/>
  <c r="AS132" i="2" s="1"/>
  <c r="AT132" i="2" s="1"/>
  <c r="AU132" i="2" s="1"/>
  <c r="AV132" i="2" s="1"/>
  <c r="AW132" i="2" s="1"/>
  <c r="AX132" i="2" s="1"/>
  <c r="AY132" i="2" s="1"/>
  <c r="AR179" i="2"/>
  <c r="AS179" i="2" s="1"/>
  <c r="AT179" i="2" s="1"/>
  <c r="AU179" i="2" s="1"/>
  <c r="AV179" i="2" s="1"/>
  <c r="AW179" i="2" s="1"/>
  <c r="AX179" i="2" s="1"/>
  <c r="AY179" i="2" s="1"/>
  <c r="AR156" i="2"/>
  <c r="AS156" i="2" s="1"/>
  <c r="AT156" i="2" s="1"/>
  <c r="AU156" i="2" s="1"/>
  <c r="AV156" i="2" s="1"/>
  <c r="AW156" i="2" s="1"/>
  <c r="AX156" i="2" s="1"/>
  <c r="AY156" i="2" s="1"/>
  <c r="AR545" i="2"/>
  <c r="AS545" i="2" s="1"/>
  <c r="AT545" i="2" s="1"/>
  <c r="AU545" i="2" s="1"/>
  <c r="AV545" i="2" s="1"/>
  <c r="AW545" i="2" s="1"/>
  <c r="AX545" i="2" s="1"/>
  <c r="AY545" i="2" s="1"/>
  <c r="AR220" i="2"/>
  <c r="AS220" i="2" s="1"/>
  <c r="AT220" i="2" s="1"/>
  <c r="AU220" i="2" s="1"/>
  <c r="AV220" i="2" s="1"/>
  <c r="AW220" i="2" s="1"/>
  <c r="AX220" i="2" s="1"/>
  <c r="AY220" i="2" s="1"/>
  <c r="AR10" i="2"/>
  <c r="AS10" i="2" s="1"/>
  <c r="AT10" i="2" s="1"/>
  <c r="AU10" i="2" s="1"/>
  <c r="AV10" i="2" s="1"/>
  <c r="AW10" i="2" s="1"/>
  <c r="AX10" i="2" s="1"/>
  <c r="AY10" i="2" s="1"/>
  <c r="AR547" i="2"/>
  <c r="AS547" i="2" s="1"/>
  <c r="AT547" i="2" s="1"/>
  <c r="AU547" i="2" s="1"/>
  <c r="AV547" i="2" s="1"/>
  <c r="AW547" i="2" s="1"/>
  <c r="AX547" i="2" s="1"/>
  <c r="AY547" i="2" s="1"/>
  <c r="AR43" i="2"/>
  <c r="AS43" i="2" s="1"/>
  <c r="AT43" i="2" s="1"/>
  <c r="AU43" i="2" s="1"/>
  <c r="AV43" i="2" s="1"/>
  <c r="AW43" i="2" s="1"/>
  <c r="AX43" i="2" s="1"/>
  <c r="AY43" i="2" s="1"/>
  <c r="AR269" i="2"/>
  <c r="AS269" i="2" s="1"/>
  <c r="AT269" i="2" s="1"/>
  <c r="AU269" i="2" s="1"/>
  <c r="AV269" i="2" s="1"/>
  <c r="AW269" i="2" s="1"/>
  <c r="AX269" i="2" s="1"/>
  <c r="AY269" i="2" s="1"/>
  <c r="AR84" i="2"/>
  <c r="AS84" i="2" s="1"/>
  <c r="AT84" i="2" s="1"/>
  <c r="AU84" i="2" s="1"/>
  <c r="AV84" i="2" s="1"/>
  <c r="AW84" i="2" s="1"/>
  <c r="AX84" i="2" s="1"/>
  <c r="AY84" i="2" s="1"/>
  <c r="AR81" i="2"/>
  <c r="AS81" i="2" s="1"/>
  <c r="AT81" i="2" s="1"/>
  <c r="AU81" i="2" s="1"/>
  <c r="AV81" i="2" s="1"/>
  <c r="AW81" i="2" s="1"/>
  <c r="AX81" i="2" s="1"/>
  <c r="AY81" i="2" s="1"/>
  <c r="AR485" i="2"/>
  <c r="AS485" i="2" s="1"/>
  <c r="AT485" i="2" s="1"/>
  <c r="AU485" i="2" s="1"/>
  <c r="AV485" i="2" s="1"/>
  <c r="AW485" i="2" s="1"/>
  <c r="AX485" i="2" s="1"/>
  <c r="AY485" i="2" s="1"/>
  <c r="AR133" i="2"/>
  <c r="AS133" i="2" s="1"/>
  <c r="AT133" i="2" s="1"/>
  <c r="AU133" i="2" s="1"/>
  <c r="AV133" i="2" s="1"/>
  <c r="AW133" i="2" s="1"/>
  <c r="AX133" i="2" s="1"/>
  <c r="AY133" i="2" s="1"/>
  <c r="AR94" i="2"/>
  <c r="AS94" i="2" s="1"/>
  <c r="AT94" i="2" s="1"/>
  <c r="AU94" i="2" s="1"/>
  <c r="AV94" i="2" s="1"/>
  <c r="AW94" i="2" s="1"/>
  <c r="AX94" i="2" s="1"/>
  <c r="AY94" i="2" s="1"/>
  <c r="AR343" i="2"/>
  <c r="AS343" i="2" s="1"/>
  <c r="AT343" i="2" s="1"/>
  <c r="AU343" i="2" s="1"/>
  <c r="AV343" i="2" s="1"/>
  <c r="AW343" i="2" s="1"/>
  <c r="AX343" i="2" s="1"/>
  <c r="AY343" i="2" s="1"/>
  <c r="AR16" i="2"/>
  <c r="AS16" i="2" s="1"/>
  <c r="AT16" i="2" s="1"/>
  <c r="AU16" i="2" s="1"/>
  <c r="AV16" i="2" s="1"/>
  <c r="AW16" i="2" s="1"/>
  <c r="AX16" i="2" s="1"/>
  <c r="AY16" i="2" s="1"/>
  <c r="AR549" i="2"/>
  <c r="AS549" i="2" s="1"/>
  <c r="AT549" i="2" s="1"/>
  <c r="AU549" i="2" s="1"/>
  <c r="AV549" i="2" s="1"/>
  <c r="AW549" i="2" s="1"/>
  <c r="AX549" i="2" s="1"/>
  <c r="AY549" i="2" s="1"/>
  <c r="AR144" i="2"/>
  <c r="AS144" i="2" s="1"/>
  <c r="AT144" i="2" s="1"/>
  <c r="AU144" i="2" s="1"/>
  <c r="AV144" i="2" s="1"/>
  <c r="AW144" i="2" s="1"/>
  <c r="AX144" i="2" s="1"/>
  <c r="AY144" i="2" s="1"/>
  <c r="AR199" i="2"/>
  <c r="AS199" i="2" s="1"/>
  <c r="AT199" i="2" s="1"/>
  <c r="AU199" i="2" s="1"/>
  <c r="AV199" i="2" s="1"/>
  <c r="AW199" i="2" s="1"/>
  <c r="AX199" i="2" s="1"/>
  <c r="AY199" i="2" s="1"/>
  <c r="AR22" i="2"/>
  <c r="AS22" i="2" s="1"/>
  <c r="AT22" i="2" s="1"/>
  <c r="AU22" i="2" s="1"/>
  <c r="AV22" i="2" s="1"/>
  <c r="AW22" i="2" s="1"/>
  <c r="AX22" i="2" s="1"/>
  <c r="AY22" i="2" s="1"/>
  <c r="AR318" i="2"/>
  <c r="AS318" i="2" s="1"/>
  <c r="AT318" i="2" s="1"/>
  <c r="AU318" i="2" s="1"/>
  <c r="AV318" i="2" s="1"/>
  <c r="AW318" i="2" s="1"/>
  <c r="AX318" i="2" s="1"/>
  <c r="AY318" i="2" s="1"/>
  <c r="AR463" i="2"/>
  <c r="AS463" i="2" s="1"/>
  <c r="AT463" i="2" s="1"/>
  <c r="AU463" i="2" s="1"/>
  <c r="AV463" i="2" s="1"/>
  <c r="AW463" i="2" s="1"/>
  <c r="AX463" i="2" s="1"/>
  <c r="AY463" i="2" s="1"/>
  <c r="AR21" i="2"/>
  <c r="AS21" i="2" s="1"/>
  <c r="AT21" i="2" s="1"/>
  <c r="AU21" i="2" s="1"/>
  <c r="AV21" i="2" s="1"/>
  <c r="AW21" i="2" s="1"/>
  <c r="AX21" i="2" s="1"/>
  <c r="AY21" i="2" s="1"/>
  <c r="AR499" i="2"/>
  <c r="AS499" i="2" s="1"/>
  <c r="AT499" i="2" s="1"/>
  <c r="AU499" i="2" s="1"/>
  <c r="AV499" i="2" s="1"/>
  <c r="AW499" i="2" s="1"/>
  <c r="AX499" i="2" s="1"/>
  <c r="AY499" i="2" s="1"/>
  <c r="AR222" i="2"/>
  <c r="AS222" i="2" s="1"/>
  <c r="AT222" i="2" s="1"/>
  <c r="AU222" i="2" s="1"/>
  <c r="AV222" i="2" s="1"/>
  <c r="AW222" i="2" s="1"/>
  <c r="AX222" i="2" s="1"/>
  <c r="AY222" i="2" s="1"/>
  <c r="AR346" i="2"/>
  <c r="AS346" i="2" s="1"/>
  <c r="AT346" i="2" s="1"/>
  <c r="AU346" i="2" s="1"/>
  <c r="AV346" i="2" s="1"/>
  <c r="AW346" i="2" s="1"/>
  <c r="AX346" i="2" s="1"/>
  <c r="AY346" i="2" s="1"/>
  <c r="AR313" i="2"/>
  <c r="AS313" i="2" s="1"/>
  <c r="AT313" i="2" s="1"/>
  <c r="AU313" i="2" s="1"/>
  <c r="AV313" i="2" s="1"/>
  <c r="AW313" i="2" s="1"/>
  <c r="AX313" i="2" s="1"/>
  <c r="AY313" i="2" s="1"/>
  <c r="AR114" i="2"/>
  <c r="AS114" i="2" s="1"/>
  <c r="AT114" i="2" s="1"/>
  <c r="AU114" i="2" s="1"/>
  <c r="AV114" i="2" s="1"/>
  <c r="AW114" i="2" s="1"/>
  <c r="AX114" i="2" s="1"/>
  <c r="AY114" i="2" s="1"/>
  <c r="AR542" i="2"/>
  <c r="AS542" i="2" s="1"/>
  <c r="AT542" i="2" s="1"/>
  <c r="AU542" i="2" s="1"/>
  <c r="AV542" i="2" s="1"/>
  <c r="AW542" i="2" s="1"/>
  <c r="AX542" i="2" s="1"/>
  <c r="AY542" i="2" s="1"/>
  <c r="AR88" i="2"/>
  <c r="AS88" i="2" s="1"/>
  <c r="AT88" i="2" s="1"/>
  <c r="AU88" i="2" s="1"/>
  <c r="AV88" i="2" s="1"/>
  <c r="AW88" i="2" s="1"/>
  <c r="AX88" i="2" s="1"/>
  <c r="AY88" i="2" s="1"/>
  <c r="AR238" i="2"/>
  <c r="AS238" i="2" s="1"/>
  <c r="AT238" i="2" s="1"/>
  <c r="AU238" i="2" s="1"/>
  <c r="AV238" i="2" s="1"/>
  <c r="AW238" i="2" s="1"/>
  <c r="AX238" i="2" s="1"/>
  <c r="AY238" i="2" s="1"/>
  <c r="AR86" i="2"/>
  <c r="AS86" i="2" s="1"/>
  <c r="AT86" i="2" s="1"/>
  <c r="AU86" i="2" s="1"/>
  <c r="AV86" i="2" s="1"/>
  <c r="AW86" i="2" s="1"/>
  <c r="AX86" i="2" s="1"/>
  <c r="AY86" i="2" s="1"/>
  <c r="AR211" i="2"/>
  <c r="AS211" i="2" s="1"/>
  <c r="AT211" i="2" s="1"/>
  <c r="AU211" i="2" s="1"/>
  <c r="AV211" i="2" s="1"/>
  <c r="AW211" i="2" s="1"/>
  <c r="AX211" i="2" s="1"/>
  <c r="AY211" i="2" s="1"/>
  <c r="AR478" i="2"/>
  <c r="AS478" i="2" s="1"/>
  <c r="AT478" i="2" s="1"/>
  <c r="AU478" i="2" s="1"/>
  <c r="AV478" i="2" s="1"/>
  <c r="AW478" i="2" s="1"/>
  <c r="AX478" i="2" s="1"/>
  <c r="AY478" i="2" s="1"/>
  <c r="AR391" i="2"/>
  <c r="AS391" i="2" s="1"/>
  <c r="AT391" i="2" s="1"/>
  <c r="AU391" i="2" s="1"/>
  <c r="AV391" i="2" s="1"/>
  <c r="AW391" i="2" s="1"/>
  <c r="AX391" i="2" s="1"/>
  <c r="AY391" i="2" s="1"/>
  <c r="AR33" i="2"/>
  <c r="AS33" i="2" s="1"/>
  <c r="AT33" i="2" s="1"/>
  <c r="AU33" i="2" s="1"/>
  <c r="AV33" i="2" s="1"/>
  <c r="AW33" i="2" s="1"/>
  <c r="AX33" i="2" s="1"/>
  <c r="AY33" i="2" s="1"/>
  <c r="AR118" i="2"/>
  <c r="AS118" i="2" s="1"/>
  <c r="AT118" i="2" s="1"/>
  <c r="AU118" i="2" s="1"/>
  <c r="AV118" i="2" s="1"/>
  <c r="AW118" i="2" s="1"/>
  <c r="AX118" i="2" s="1"/>
  <c r="AY118" i="2" s="1"/>
  <c r="AR53" i="2"/>
  <c r="AS53" i="2" s="1"/>
  <c r="AT53" i="2" s="1"/>
  <c r="AU53" i="2" s="1"/>
  <c r="AV53" i="2" s="1"/>
  <c r="AW53" i="2" s="1"/>
  <c r="AX53" i="2" s="1"/>
  <c r="AY53" i="2" s="1"/>
  <c r="AR130" i="2"/>
  <c r="AS130" i="2" s="1"/>
  <c r="AT130" i="2" s="1"/>
  <c r="AU130" i="2" s="1"/>
  <c r="AV130" i="2" s="1"/>
  <c r="AW130" i="2" s="1"/>
  <c r="AX130" i="2" s="1"/>
  <c r="AY130" i="2" s="1"/>
  <c r="AR51" i="2"/>
  <c r="AS51" i="2" s="1"/>
  <c r="AT51" i="2" s="1"/>
  <c r="AU51" i="2" s="1"/>
  <c r="AV51" i="2" s="1"/>
  <c r="AW51" i="2" s="1"/>
  <c r="AX51" i="2" s="1"/>
  <c r="AY51" i="2" s="1"/>
  <c r="AR240" i="2"/>
  <c r="AS240" i="2" s="1"/>
  <c r="AT240" i="2" s="1"/>
  <c r="AU240" i="2" s="1"/>
  <c r="AV240" i="2" s="1"/>
  <c r="AW240" i="2" s="1"/>
  <c r="AX240" i="2" s="1"/>
  <c r="AY240" i="2" s="1"/>
  <c r="AR229" i="2"/>
  <c r="AS229" i="2" s="1"/>
  <c r="AT229" i="2" s="1"/>
  <c r="AU229" i="2" s="1"/>
  <c r="AV229" i="2" s="1"/>
  <c r="AW229" i="2" s="1"/>
  <c r="AX229" i="2" s="1"/>
  <c r="AY229" i="2" s="1"/>
  <c r="AR105" i="2"/>
  <c r="AS105" i="2" s="1"/>
  <c r="AT105" i="2" s="1"/>
  <c r="AU105" i="2" s="1"/>
  <c r="AV105" i="2" s="1"/>
  <c r="AW105" i="2" s="1"/>
  <c r="AX105" i="2" s="1"/>
  <c r="AY105" i="2" s="1"/>
  <c r="AR82" i="2"/>
  <c r="AS82" i="2" s="1"/>
  <c r="AT82" i="2" s="1"/>
  <c r="AU82" i="2" s="1"/>
  <c r="AV82" i="2" s="1"/>
  <c r="AW82" i="2" s="1"/>
  <c r="AX82" i="2" s="1"/>
  <c r="AY82" i="2" s="1"/>
  <c r="AR232" i="2"/>
  <c r="AS232" i="2" s="1"/>
  <c r="AT232" i="2" s="1"/>
  <c r="AU232" i="2" s="1"/>
  <c r="AV232" i="2" s="1"/>
  <c r="AW232" i="2" s="1"/>
  <c r="AX232" i="2" s="1"/>
  <c r="AY232" i="2" s="1"/>
  <c r="AR329" i="2"/>
  <c r="AS329" i="2" s="1"/>
  <c r="AT329" i="2" s="1"/>
  <c r="AU329" i="2" s="1"/>
  <c r="AV329" i="2" s="1"/>
  <c r="AW329" i="2" s="1"/>
  <c r="AX329" i="2" s="1"/>
  <c r="AY329" i="2" s="1"/>
  <c r="AR85" i="2"/>
  <c r="AS85" i="2" s="1"/>
  <c r="AT85" i="2" s="1"/>
  <c r="AU85" i="2" s="1"/>
  <c r="AV85" i="2" s="1"/>
  <c r="AW85" i="2" s="1"/>
  <c r="AX85" i="2" s="1"/>
  <c r="AY85" i="2" s="1"/>
  <c r="AR58" i="2"/>
  <c r="AS58" i="2" s="1"/>
  <c r="AT58" i="2" s="1"/>
  <c r="AU58" i="2" s="1"/>
  <c r="AV58" i="2" s="1"/>
  <c r="AW58" i="2" s="1"/>
  <c r="AX58" i="2" s="1"/>
  <c r="AY58" i="2" s="1"/>
  <c r="AR50" i="2"/>
  <c r="AS50" i="2" s="1"/>
  <c r="AT50" i="2" s="1"/>
  <c r="AU50" i="2" s="1"/>
  <c r="AV50" i="2" s="1"/>
  <c r="AW50" i="2" s="1"/>
  <c r="AX50" i="2" s="1"/>
  <c r="AY50" i="2" s="1"/>
  <c r="AR91" i="2"/>
  <c r="AS91" i="2" s="1"/>
  <c r="AT91" i="2" s="1"/>
  <c r="AU91" i="2" s="1"/>
  <c r="AV91" i="2" s="1"/>
  <c r="AW91" i="2" s="1"/>
  <c r="AX91" i="2" s="1"/>
  <c r="AY91" i="2" s="1"/>
  <c r="AR461" i="2"/>
  <c r="AS461" i="2" s="1"/>
  <c r="AT461" i="2" s="1"/>
  <c r="AU461" i="2" s="1"/>
  <c r="AV461" i="2" s="1"/>
  <c r="AW461" i="2" s="1"/>
  <c r="AX461" i="2" s="1"/>
  <c r="AY461" i="2" s="1"/>
  <c r="AR60" i="2"/>
  <c r="AS60" i="2" s="1"/>
  <c r="AT60" i="2" s="1"/>
  <c r="AU60" i="2" s="1"/>
  <c r="AV60" i="2" s="1"/>
  <c r="AW60" i="2" s="1"/>
  <c r="AX60" i="2" s="1"/>
  <c r="AY60" i="2" s="1"/>
  <c r="AR95" i="2"/>
  <c r="AS95" i="2" s="1"/>
  <c r="AT95" i="2" s="1"/>
  <c r="AU95" i="2" s="1"/>
  <c r="AV95" i="2" s="1"/>
  <c r="AW95" i="2" s="1"/>
  <c r="AX95" i="2" s="1"/>
  <c r="AY95" i="2" s="1"/>
  <c r="AR127" i="2"/>
  <c r="AS127" i="2" s="1"/>
  <c r="AT127" i="2" s="1"/>
  <c r="AU127" i="2" s="1"/>
  <c r="AV127" i="2" s="1"/>
  <c r="AW127" i="2" s="1"/>
  <c r="AX127" i="2" s="1"/>
  <c r="AY127" i="2" s="1"/>
  <c r="AR7" i="2"/>
  <c r="AS7" i="2" s="1"/>
  <c r="AT7" i="2" s="1"/>
  <c r="AU7" i="2" s="1"/>
  <c r="AV7" i="2" s="1"/>
  <c r="AW7" i="2" s="1"/>
  <c r="AX7" i="2" s="1"/>
  <c r="AY7" i="2" s="1"/>
  <c r="AR110" i="2"/>
  <c r="AS110" i="2" s="1"/>
  <c r="AT110" i="2" s="1"/>
  <c r="AU110" i="2" s="1"/>
  <c r="AV110" i="2" s="1"/>
  <c r="AW110" i="2" s="1"/>
  <c r="AX110" i="2" s="1"/>
  <c r="AY110" i="2" s="1"/>
  <c r="AR323" i="2"/>
  <c r="AS323" i="2" s="1"/>
  <c r="AT323" i="2" s="1"/>
  <c r="AU323" i="2" s="1"/>
  <c r="AV323" i="2" s="1"/>
  <c r="AW323" i="2" s="1"/>
  <c r="AX323" i="2" s="1"/>
  <c r="AY323" i="2" s="1"/>
  <c r="AR374" i="2"/>
  <c r="AS374" i="2" s="1"/>
  <c r="AT374" i="2" s="1"/>
  <c r="AU374" i="2" s="1"/>
  <c r="AV374" i="2" s="1"/>
  <c r="AW374" i="2" s="1"/>
  <c r="AX374" i="2" s="1"/>
  <c r="AY374" i="2" s="1"/>
  <c r="AR73" i="2"/>
  <c r="AS73" i="2" s="1"/>
  <c r="AT73" i="2" s="1"/>
  <c r="AU73" i="2" s="1"/>
  <c r="AV73" i="2" s="1"/>
  <c r="AW73" i="2" s="1"/>
  <c r="AX73" i="2" s="1"/>
  <c r="AY73" i="2" s="1"/>
  <c r="AR544" i="2"/>
  <c r="AS544" i="2" s="1"/>
  <c r="AT544" i="2" s="1"/>
  <c r="AU544" i="2" s="1"/>
  <c r="AV544" i="2" s="1"/>
  <c r="AW544" i="2" s="1"/>
  <c r="AX544" i="2" s="1"/>
  <c r="AY544" i="2" s="1"/>
  <c r="AR65" i="2"/>
  <c r="AS65" i="2" s="1"/>
  <c r="AT65" i="2" s="1"/>
  <c r="AU65" i="2" s="1"/>
  <c r="AV65" i="2" s="1"/>
  <c r="AW65" i="2" s="1"/>
  <c r="AX65" i="2" s="1"/>
  <c r="AY65" i="2" s="1"/>
  <c r="AR397" i="2"/>
  <c r="AS397" i="2" s="1"/>
  <c r="AT397" i="2" s="1"/>
  <c r="AU397" i="2" s="1"/>
  <c r="AV397" i="2" s="1"/>
  <c r="AW397" i="2" s="1"/>
  <c r="AX397" i="2" s="1"/>
  <c r="AY397" i="2" s="1"/>
  <c r="AR328" i="2"/>
  <c r="AS328" i="2" s="1"/>
  <c r="AT328" i="2" s="1"/>
  <c r="AU328" i="2" s="1"/>
  <c r="AV328" i="2" s="1"/>
  <c r="AW328" i="2" s="1"/>
  <c r="AX328" i="2" s="1"/>
  <c r="AY328" i="2" s="1"/>
  <c r="AR122" i="2"/>
  <c r="AS122" i="2" s="1"/>
  <c r="AT122" i="2" s="1"/>
  <c r="AU122" i="2" s="1"/>
  <c r="AV122" i="2" s="1"/>
  <c r="AW122" i="2" s="1"/>
  <c r="AX122" i="2" s="1"/>
  <c r="AY122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tc={33C6B13A-DE48-4946-AF0F-4DBD241BB90F}</author>
  </authors>
  <commentList>
    <comment ref="AJ3" authorId="0" shapeId="0" xr:uid="{33C6B13A-DE48-4946-AF0F-4DBD241BB90F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Removing aggregate data points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<sst xmlns="http://schemas.openxmlformats.org/spreadsheetml/2006/main" count="9311" uniqueCount="1698">
  <si>
    <t>DNI</t>
  </si>
  <si>
    <t>Detailed</t>
  </si>
  <si>
    <t>SP</t>
  </si>
  <si>
    <t>Gross refinery output</t>
  </si>
  <si>
    <t>O</t>
  </si>
  <si>
    <t>Final consumption</t>
  </si>
  <si>
    <t>NA</t>
  </si>
  <si>
    <t>Total energy supply</t>
  </si>
  <si>
    <t>GA</t>
  </si>
  <si>
    <t>EP</t>
  </si>
  <si>
    <t>133</t>
  </si>
  <si>
    <t>Total capacity, Autoproducers</t>
  </si>
  <si>
    <t>CS</t>
  </si>
  <si>
    <t>Total capacity, Main activity producers</t>
  </si>
  <si>
    <t>CP</t>
  </si>
  <si>
    <t>Closing stock level held on national territory</t>
  </si>
  <si>
    <t>22</t>
  </si>
  <si>
    <t>Opening stock level held on national territory</t>
  </si>
  <si>
    <t>21</t>
  </si>
  <si>
    <t>19</t>
  </si>
  <si>
    <t>182</t>
  </si>
  <si>
    <t>181</t>
  </si>
  <si>
    <t>17</t>
  </si>
  <si>
    <t>Other reserves</t>
  </si>
  <si>
    <t>163</t>
  </si>
  <si>
    <t>162</t>
  </si>
  <si>
    <t>1622</t>
  </si>
  <si>
    <t>1621</t>
  </si>
  <si>
    <t>161</t>
  </si>
  <si>
    <t>15</t>
  </si>
  <si>
    <t>152</t>
  </si>
  <si>
    <t>151</t>
  </si>
  <si>
    <t>1511</t>
  </si>
  <si>
    <t>13362</t>
  </si>
  <si>
    <t>Electricity generating capacity - Solar Thermal - Autoproducers</t>
  </si>
  <si>
    <t>13ST2</t>
  </si>
  <si>
    <t>13361</t>
  </si>
  <si>
    <t>Electricity generating capacity - Solar Thermal - Main activity producers</t>
  </si>
  <si>
    <t>13ST1</t>
  </si>
  <si>
    <t>Electricity generating capacity - Solar PV - Autoproducers</t>
  </si>
  <si>
    <t>13PV2</t>
  </si>
  <si>
    <t>Electricity generating capacity - Solar PV - Main activity producers</t>
  </si>
  <si>
    <t>13PV1</t>
  </si>
  <si>
    <t>13322</t>
  </si>
  <si>
    <t>Electricity generating capacity - Pumped hydro - Autoproducers</t>
  </si>
  <si>
    <t>13PH2</t>
  </si>
  <si>
    <t>13321</t>
  </si>
  <si>
    <t>Electricity generating capacity - Pumped hydro - Main activity producers</t>
  </si>
  <si>
    <t>13PH1</t>
  </si>
  <si>
    <t>1339</t>
  </si>
  <si>
    <t>Electricity generating capacity - From other sources - Autoproducers</t>
  </si>
  <si>
    <t>13392</t>
  </si>
  <si>
    <t>Electricity generating capacity - From other sources - Main activity producers</t>
  </si>
  <si>
    <t>13391</t>
  </si>
  <si>
    <t>Electricity generating capacity - From other sources</t>
  </si>
  <si>
    <t>1337</t>
  </si>
  <si>
    <t>Tide, wave, marine, Autoproducers</t>
  </si>
  <si>
    <t>13372</t>
  </si>
  <si>
    <t>Tide, wave, marine, Main activity producers</t>
  </si>
  <si>
    <t>13371</t>
  </si>
  <si>
    <t>Tide, wave, marine, total</t>
  </si>
  <si>
    <t>1336</t>
  </si>
  <si>
    <t>Solar, Autoproducers</t>
  </si>
  <si>
    <t>Solar, Main activity producers</t>
  </si>
  <si>
    <t>Solar, total</t>
  </si>
  <si>
    <t>1335</t>
  </si>
  <si>
    <t>Wind, Autoproducers</t>
  </si>
  <si>
    <t>13352</t>
  </si>
  <si>
    <t>Wind, Main activity producers</t>
  </si>
  <si>
    <t>13351</t>
  </si>
  <si>
    <t>Wind, total</t>
  </si>
  <si>
    <t>1334</t>
  </si>
  <si>
    <t>N/A</t>
  </si>
  <si>
    <t>1334R</t>
  </si>
  <si>
    <t>Combustible fuels, Autoproducers</t>
  </si>
  <si>
    <t>13342</t>
  </si>
  <si>
    <t>Combustible fuels, Main activity producers</t>
  </si>
  <si>
    <t>13341</t>
  </si>
  <si>
    <t>Combustible fuels, total</t>
  </si>
  <si>
    <t>1333</t>
  </si>
  <si>
    <t>Geothermal, Autoproducers</t>
  </si>
  <si>
    <t>13332</t>
  </si>
  <si>
    <t>Geothermal, Main activity producers</t>
  </si>
  <si>
    <t>13331</t>
  </si>
  <si>
    <t>Geothermal, total</t>
  </si>
  <si>
    <t>1332</t>
  </si>
  <si>
    <t>Hydro, Autoproducers</t>
  </si>
  <si>
    <t>Hydro, Main activity producers</t>
  </si>
  <si>
    <t>Hydro, total</t>
  </si>
  <si>
    <t>1331</t>
  </si>
  <si>
    <t>Nuclear, Autoproducers</t>
  </si>
  <si>
    <t>13312</t>
  </si>
  <si>
    <t>Nuclear, Main activity producers</t>
  </si>
  <si>
    <t>13311</t>
  </si>
  <si>
    <t>Nuclear, total</t>
  </si>
  <si>
    <t>Total Capacity: Main activity producers and Autoproducers</t>
  </si>
  <si>
    <t>Refinery capacity</t>
  </si>
  <si>
    <t>131</t>
  </si>
  <si>
    <t>12</t>
  </si>
  <si>
    <t>1235</t>
  </si>
  <si>
    <t>123</t>
  </si>
  <si>
    <t>Consumption not elsewhere specified (other)</t>
  </si>
  <si>
    <t>1234</t>
  </si>
  <si>
    <t>1232</t>
  </si>
  <si>
    <t>1232F</t>
  </si>
  <si>
    <t>1231</t>
  </si>
  <si>
    <t>122</t>
  </si>
  <si>
    <t>1226</t>
  </si>
  <si>
    <t>Consumption not elsewhere specified (transport)</t>
  </si>
  <si>
    <t>1225</t>
  </si>
  <si>
    <t>1224</t>
  </si>
  <si>
    <t>1223</t>
  </si>
  <si>
    <t>1222</t>
  </si>
  <si>
    <t>1221</t>
  </si>
  <si>
    <t>1214</t>
  </si>
  <si>
    <t>Consumption not elsewhere specified (industry)</t>
  </si>
  <si>
    <t>1214O</t>
  </si>
  <si>
    <t>1214J</t>
  </si>
  <si>
    <t>1214I</t>
  </si>
  <si>
    <t>1214H</t>
  </si>
  <si>
    <t>1214G</t>
  </si>
  <si>
    <t>1214F</t>
  </si>
  <si>
    <t>1214E</t>
  </si>
  <si>
    <t>1214D</t>
  </si>
  <si>
    <t>1214C</t>
  </si>
  <si>
    <t>1214B</t>
  </si>
  <si>
    <t>1214A</t>
  </si>
  <si>
    <t>121</t>
  </si>
  <si>
    <t>1213</t>
  </si>
  <si>
    <t>1211</t>
  </si>
  <si>
    <t>Non-energy uses</t>
  </si>
  <si>
    <t>11</t>
  </si>
  <si>
    <t>Extraction loss shrinkage</t>
  </si>
  <si>
    <t>105</t>
  </si>
  <si>
    <t>104</t>
  </si>
  <si>
    <t>Vented</t>
  </si>
  <si>
    <t>104B</t>
  </si>
  <si>
    <t>Flared</t>
  </si>
  <si>
    <t>104A</t>
  </si>
  <si>
    <t>Flared and vented</t>
  </si>
  <si>
    <t>Re-injected</t>
  </si>
  <si>
    <t>103</t>
  </si>
  <si>
    <t>Losses</t>
  </si>
  <si>
    <t>101</t>
  </si>
  <si>
    <t>09</t>
  </si>
  <si>
    <t>0934</t>
  </si>
  <si>
    <t>0933</t>
  </si>
  <si>
    <t>0932</t>
  </si>
  <si>
    <t>0931</t>
  </si>
  <si>
    <t>0930</t>
  </si>
  <si>
    <t>Other energy industry own use</t>
  </si>
  <si>
    <t>0928</t>
  </si>
  <si>
    <t>0927</t>
  </si>
  <si>
    <t>0926</t>
  </si>
  <si>
    <t>0925</t>
  </si>
  <si>
    <t>0924</t>
  </si>
  <si>
    <t>0923</t>
  </si>
  <si>
    <t>0922</t>
  </si>
  <si>
    <t>0921</t>
  </si>
  <si>
    <t>0915</t>
  </si>
  <si>
    <t>0914</t>
  </si>
  <si>
    <t>0912</t>
  </si>
  <si>
    <t>0911</t>
  </si>
  <si>
    <t>Energy industries own use</t>
  </si>
  <si>
    <t>08</t>
  </si>
  <si>
    <t>Other transformation</t>
  </si>
  <si>
    <t>089</t>
  </si>
  <si>
    <t>Used for heat pumps</t>
  </si>
  <si>
    <t>0889H</t>
  </si>
  <si>
    <t>Used for electric boilers</t>
  </si>
  <si>
    <t>0889E</t>
  </si>
  <si>
    <t>088</t>
  </si>
  <si>
    <t>08832</t>
  </si>
  <si>
    <t>08831</t>
  </si>
  <si>
    <t>08822</t>
  </si>
  <si>
    <t>08821</t>
  </si>
  <si>
    <t>08812</t>
  </si>
  <si>
    <t>08811</t>
  </si>
  <si>
    <t>087</t>
  </si>
  <si>
    <t>086</t>
  </si>
  <si>
    <t>085PP</t>
  </si>
  <si>
    <t>085LP</t>
  </si>
  <si>
    <t>085GL</t>
  </si>
  <si>
    <t>085EP</t>
  </si>
  <si>
    <t>085CH</t>
  </si>
  <si>
    <t>084</t>
  </si>
  <si>
    <t>083</t>
  </si>
  <si>
    <t>082</t>
  </si>
  <si>
    <t>081</t>
  </si>
  <si>
    <t>Transformation</t>
  </si>
  <si>
    <t>Transfers and recycled products</t>
  </si>
  <si>
    <t>07</t>
  </si>
  <si>
    <t>Stock changes</t>
  </si>
  <si>
    <t>06</t>
  </si>
  <si>
    <t>International aviation bunkers</t>
  </si>
  <si>
    <t>052</t>
  </si>
  <si>
    <t>International marine bunkers</t>
  </si>
  <si>
    <t>051</t>
  </si>
  <si>
    <t>Exports</t>
  </si>
  <si>
    <t>04</t>
  </si>
  <si>
    <t>Imports</t>
  </si>
  <si>
    <t>03</t>
  </si>
  <si>
    <t>022</t>
  </si>
  <si>
    <t>Of which: Hydrogen</t>
  </si>
  <si>
    <t>022H</t>
  </si>
  <si>
    <t>Receipts from other sources</t>
  </si>
  <si>
    <t>01</t>
  </si>
  <si>
    <t>01SBF</t>
  </si>
  <si>
    <t>01RW</t>
  </si>
  <si>
    <t>01RF</t>
  </si>
  <si>
    <t>01PT</t>
  </si>
  <si>
    <t>01PP</t>
  </si>
  <si>
    <t>01OS</t>
  </si>
  <si>
    <t>01NRW</t>
  </si>
  <si>
    <t>01NG</t>
  </si>
  <si>
    <t>01MG</t>
  </si>
  <si>
    <t>01LBF</t>
  </si>
  <si>
    <t>01LB</t>
  </si>
  <si>
    <t>01DL</t>
  </si>
  <si>
    <t>01CR</t>
  </si>
  <si>
    <t>01CP</t>
  </si>
  <si>
    <t>01CL</t>
  </si>
  <si>
    <t>01BS</t>
  </si>
  <si>
    <t>01BI</t>
  </si>
  <si>
    <t>Net production</t>
  </si>
  <si>
    <t>019</t>
  </si>
  <si>
    <t>Gross production</t>
  </si>
  <si>
    <t>018</t>
  </si>
  <si>
    <t>016W</t>
  </si>
  <si>
    <t>016T</t>
  </si>
  <si>
    <t>016S</t>
  </si>
  <si>
    <t>016ST</t>
  </si>
  <si>
    <t>016SP</t>
  </si>
  <si>
    <t>016HY</t>
  </si>
  <si>
    <t>016PH</t>
  </si>
  <si>
    <t>016O</t>
  </si>
  <si>
    <t>016OH</t>
  </si>
  <si>
    <t>016OE</t>
  </si>
  <si>
    <t>016OC</t>
  </si>
  <si>
    <t>016N</t>
  </si>
  <si>
    <t>016NE</t>
  </si>
  <si>
    <t>Falling Water</t>
  </si>
  <si>
    <t>WF</t>
  </si>
  <si>
    <t>016NC</t>
  </si>
  <si>
    <t>Total Refinery Output</t>
  </si>
  <si>
    <t>GR</t>
  </si>
  <si>
    <t>Electricity, net installed capacity of electric power plants</t>
  </si>
  <si>
    <t>EC</t>
  </si>
  <si>
    <t>Direct use of solar thermal heat</t>
  </si>
  <si>
    <t>DS</t>
  </si>
  <si>
    <t>016H</t>
  </si>
  <si>
    <t>016HH</t>
  </si>
  <si>
    <t>Direct use of geothermal heat</t>
  </si>
  <si>
    <t>DG</t>
  </si>
  <si>
    <t>016HE</t>
  </si>
  <si>
    <t>9110</t>
  </si>
  <si>
    <t>Uranium ores</t>
  </si>
  <si>
    <t>9101</t>
  </si>
  <si>
    <t>016HC</t>
  </si>
  <si>
    <t>8000</t>
  </si>
  <si>
    <t>Heat from combustible fuels</t>
  </si>
  <si>
    <t>8000T</t>
  </si>
  <si>
    <t>Heat</t>
  </si>
  <si>
    <t>016G</t>
  </si>
  <si>
    <t>016GH</t>
  </si>
  <si>
    <t>7000</t>
  </si>
  <si>
    <t>Wind electricity</t>
  </si>
  <si>
    <t>7000W</t>
  </si>
  <si>
    <t>016GE</t>
  </si>
  <si>
    <t>Thermal electricity</t>
  </si>
  <si>
    <t>7000T</t>
  </si>
  <si>
    <t>016GC</t>
  </si>
  <si>
    <t>Solar electricity</t>
  </si>
  <si>
    <t>7000S</t>
  </si>
  <si>
    <t>Tide, wave and ocean electricity</t>
  </si>
  <si>
    <t>7000O</t>
  </si>
  <si>
    <t>016C</t>
  </si>
  <si>
    <t>016CH</t>
  </si>
  <si>
    <t>Nuclear electricity</t>
  </si>
  <si>
    <t>7000N</t>
  </si>
  <si>
    <t>016CE</t>
  </si>
  <si>
    <t>Hydropower electricity</t>
  </si>
  <si>
    <t>7000H</t>
  </si>
  <si>
    <t>016CC</t>
  </si>
  <si>
    <t>Geothermal electricity</t>
  </si>
  <si>
    <t>7000G</t>
  </si>
  <si>
    <t>015W</t>
  </si>
  <si>
    <t>6000</t>
  </si>
  <si>
    <t>Municipal waste</t>
  </si>
  <si>
    <t>6200</t>
  </si>
  <si>
    <t>015T</t>
  </si>
  <si>
    <t>Industrial waste</t>
  </si>
  <si>
    <t>6100</t>
  </si>
  <si>
    <t>015S</t>
  </si>
  <si>
    <t>015ST</t>
  </si>
  <si>
    <t>Waste</t>
  </si>
  <si>
    <t>015SP</t>
  </si>
  <si>
    <t>5000</t>
  </si>
  <si>
    <t>Biogases</t>
  </si>
  <si>
    <t>5300</t>
  </si>
  <si>
    <t>5200</t>
  </si>
  <si>
    <t>Other liquid biofuels</t>
  </si>
  <si>
    <t>5290</t>
  </si>
  <si>
    <t>015HY</t>
  </si>
  <si>
    <t>015PH</t>
  </si>
  <si>
    <t>5230</t>
  </si>
  <si>
    <t>Conventional Bio jet kerosene</t>
  </si>
  <si>
    <t>5232</t>
  </si>
  <si>
    <t>015O</t>
  </si>
  <si>
    <t>015OH</t>
  </si>
  <si>
    <t>Bio jet kerosene</t>
  </si>
  <si>
    <t>015OE</t>
  </si>
  <si>
    <t>5220</t>
  </si>
  <si>
    <t>5222</t>
  </si>
  <si>
    <t>015OC</t>
  </si>
  <si>
    <t>Biodiesels</t>
  </si>
  <si>
    <t>5210</t>
  </si>
  <si>
    <t>Conventional biogasoline</t>
  </si>
  <si>
    <t>5212</t>
  </si>
  <si>
    <t>015N</t>
  </si>
  <si>
    <t>015NH</t>
  </si>
  <si>
    <t>Biogasoline</t>
  </si>
  <si>
    <t>015NE</t>
  </si>
  <si>
    <t>Liquid biofuels</t>
  </si>
  <si>
    <t>015NC</t>
  </si>
  <si>
    <t>5100</t>
  </si>
  <si>
    <t>Charcoal</t>
  </si>
  <si>
    <t>5160</t>
  </si>
  <si>
    <t>Other vegetal material and residues</t>
  </si>
  <si>
    <t>5150</t>
  </si>
  <si>
    <t>Black liquor</t>
  </si>
  <si>
    <t>5140</t>
  </si>
  <si>
    <t>015HP</t>
  </si>
  <si>
    <t>Animal waste</t>
  </si>
  <si>
    <t>5130</t>
  </si>
  <si>
    <t>015H</t>
  </si>
  <si>
    <t>015HE</t>
  </si>
  <si>
    <t>Bagasse</t>
  </si>
  <si>
    <t>5120</t>
  </si>
  <si>
    <t>015HC</t>
  </si>
  <si>
    <t>Fuelwood, wood residues and by-products</t>
  </si>
  <si>
    <t>5110</t>
  </si>
  <si>
    <t>Solid biofuels</t>
  </si>
  <si>
    <t>015G</t>
  </si>
  <si>
    <t>015GH</t>
  </si>
  <si>
    <t>Biofuels</t>
  </si>
  <si>
    <t>015GE</t>
  </si>
  <si>
    <t>4690</t>
  </si>
  <si>
    <t>Other oil products n.e.c.</t>
  </si>
  <si>
    <t>4699</t>
  </si>
  <si>
    <t>015GC</t>
  </si>
  <si>
    <t>Bitumen</t>
  </si>
  <si>
    <t>4695</t>
  </si>
  <si>
    <t>Petroleum coke</t>
  </si>
  <si>
    <t>4694</t>
  </si>
  <si>
    <t>015EB</t>
  </si>
  <si>
    <t>Paraffin waxes</t>
  </si>
  <si>
    <t>4693</t>
  </si>
  <si>
    <t>015C</t>
  </si>
  <si>
    <t>015CH</t>
  </si>
  <si>
    <t>Lubricants</t>
  </si>
  <si>
    <t>4692</t>
  </si>
  <si>
    <t>015CE</t>
  </si>
  <si>
    <t>White spirit</t>
  </si>
  <si>
    <t>4691</t>
  </si>
  <si>
    <t>015CC</t>
  </si>
  <si>
    <t>4600</t>
  </si>
  <si>
    <t>Other oil products</t>
  </si>
  <si>
    <t>Fuel oil</t>
  </si>
  <si>
    <t>4680</t>
  </si>
  <si>
    <t>Production from plants</t>
  </si>
  <si>
    <t>014</t>
  </si>
  <si>
    <t>Gas oil/diesel oil and heavy gas oil</t>
  </si>
  <si>
    <t>4670</t>
  </si>
  <si>
    <t>Production from refineries</t>
  </si>
  <si>
    <t>013</t>
  </si>
  <si>
    <t>4660</t>
  </si>
  <si>
    <t>Other kerosene</t>
  </si>
  <si>
    <t>4669</t>
  </si>
  <si>
    <t>Production from off-shore</t>
  </si>
  <si>
    <t>010</t>
  </si>
  <si>
    <t>Kerosene-type jet fuel</t>
  </si>
  <si>
    <t>4661</t>
  </si>
  <si>
    <t>Production</t>
  </si>
  <si>
    <t>Kerosenes</t>
  </si>
  <si>
    <t>Summary</t>
  </si>
  <si>
    <t>B24_NA</t>
  </si>
  <si>
    <t>Non-energy use</t>
  </si>
  <si>
    <t>B52_11</t>
  </si>
  <si>
    <t>4650</t>
  </si>
  <si>
    <t>Gasoline-type jet fuel</t>
  </si>
  <si>
    <t>4653</t>
  </si>
  <si>
    <t>B47_123</t>
  </si>
  <si>
    <t>B51_1234</t>
  </si>
  <si>
    <t>Motor gasoline</t>
  </si>
  <si>
    <t>4652</t>
  </si>
  <si>
    <t>Households</t>
  </si>
  <si>
    <t>B50_1231</t>
  </si>
  <si>
    <t>Aviation gasoline</t>
  </si>
  <si>
    <t>4651</t>
  </si>
  <si>
    <t>Commerce and public services</t>
  </si>
  <si>
    <t>B49_1235</t>
  </si>
  <si>
    <t>Gasolines</t>
  </si>
  <si>
    <t>Agriculture, forestry and fishing</t>
  </si>
  <si>
    <t>B48_1232</t>
  </si>
  <si>
    <t>Naphtha</t>
  </si>
  <si>
    <t>4640</t>
  </si>
  <si>
    <t>B25_FEC</t>
  </si>
  <si>
    <t>Liquefied petroleum gases (LPG)</t>
  </si>
  <si>
    <t>4630</t>
  </si>
  <si>
    <t>B40_122</t>
  </si>
  <si>
    <t>B46_1225</t>
  </si>
  <si>
    <t>Ethane</t>
  </si>
  <si>
    <t>4620</t>
  </si>
  <si>
    <t>Pipeline transport</t>
  </si>
  <si>
    <t>B45_1226</t>
  </si>
  <si>
    <t>Refinery gas</t>
  </si>
  <si>
    <t>4610</t>
  </si>
  <si>
    <t>Domestic navigation</t>
  </si>
  <si>
    <t>B44_1224</t>
  </si>
  <si>
    <t>4000</t>
  </si>
  <si>
    <t>Oil products</t>
  </si>
  <si>
    <t>Domestic aviation</t>
  </si>
  <si>
    <t>B43_1223</t>
  </si>
  <si>
    <t>Other hydrocarbons</t>
  </si>
  <si>
    <t>4500</t>
  </si>
  <si>
    <t>Rail</t>
  </si>
  <si>
    <t>B42_1222</t>
  </si>
  <si>
    <t>Additives and oxygenates</t>
  </si>
  <si>
    <t>4400</t>
  </si>
  <si>
    <t>Road</t>
  </si>
  <si>
    <t>B41_1221</t>
  </si>
  <si>
    <t>Refinery feedstocks</t>
  </si>
  <si>
    <t>4300</t>
  </si>
  <si>
    <t>Transport</t>
  </si>
  <si>
    <t>Natural gas liquids (NGL)</t>
  </si>
  <si>
    <t>4200</t>
  </si>
  <si>
    <t>B26_121</t>
  </si>
  <si>
    <t>B39_1214o</t>
  </si>
  <si>
    <t>Conventional crude oil</t>
  </si>
  <si>
    <t>4100</t>
  </si>
  <si>
    <t>Construction</t>
  </si>
  <si>
    <t>B38_1214i</t>
  </si>
  <si>
    <t>Oil</t>
  </si>
  <si>
    <t>Textile and leather</t>
  </si>
  <si>
    <t>B37_1214j</t>
  </si>
  <si>
    <t>Natural gas</t>
  </si>
  <si>
    <t>3000</t>
  </si>
  <si>
    <t>Wood and wood products</t>
  </si>
  <si>
    <t>B36_1214h</t>
  </si>
  <si>
    <t>Oil shale/oil sands</t>
  </si>
  <si>
    <t>2000</t>
  </si>
  <si>
    <t>Paper, pulp and printing</t>
  </si>
  <si>
    <t>B35_1214g</t>
  </si>
  <si>
    <t>1000</t>
  </si>
  <si>
    <t>Peat products</t>
  </si>
  <si>
    <t>1200</t>
  </si>
  <si>
    <t>Food and tobacco</t>
  </si>
  <si>
    <t>B34_1214f</t>
  </si>
  <si>
    <t>Peat</t>
  </si>
  <si>
    <t>1100</t>
  </si>
  <si>
    <t>Mining and quarrying</t>
  </si>
  <si>
    <t>B33_1214e</t>
  </si>
  <si>
    <t>Peat and peat products</t>
  </si>
  <si>
    <t>Machinery</t>
  </si>
  <si>
    <t>B32_1214d</t>
  </si>
  <si>
    <t>0300</t>
  </si>
  <si>
    <t>Other coal products</t>
  </si>
  <si>
    <t>0390</t>
  </si>
  <si>
    <t>Transport equipment</t>
  </si>
  <si>
    <t>B31_1214c</t>
  </si>
  <si>
    <t>0370</t>
  </si>
  <si>
    <t>Other recovered gases</t>
  </si>
  <si>
    <t>0379</t>
  </si>
  <si>
    <t>Non-metallic minerals</t>
  </si>
  <si>
    <t>B30_1214b</t>
  </si>
  <si>
    <t>Blast furnace gas</t>
  </si>
  <si>
    <t>0371</t>
  </si>
  <si>
    <t>Non-ferrous metals</t>
  </si>
  <si>
    <t>B29_1214a</t>
  </si>
  <si>
    <t>Recovered gases</t>
  </si>
  <si>
    <t>Chemical and petrochemical</t>
  </si>
  <si>
    <t>B28_1213</t>
  </si>
  <si>
    <t>Gas works gas</t>
  </si>
  <si>
    <t>0360</t>
  </si>
  <si>
    <t>Iron and steel</t>
  </si>
  <si>
    <t>B27_1211</t>
  </si>
  <si>
    <t>Coke oven gas</t>
  </si>
  <si>
    <t>0350</t>
  </si>
  <si>
    <t>Coal tar</t>
  </si>
  <si>
    <t>0340</t>
  </si>
  <si>
    <t>Brown coal briquettes (BKB)</t>
  </si>
  <si>
    <t>0330</t>
  </si>
  <si>
    <t>Patent fuel</t>
  </si>
  <si>
    <t>0320</t>
  </si>
  <si>
    <t>B23_101</t>
  </si>
  <si>
    <t>0310</t>
  </si>
  <si>
    <t>Gas coke</t>
  </si>
  <si>
    <t>0312</t>
  </si>
  <si>
    <t>B22_09</t>
  </si>
  <si>
    <t>Coke oven coke</t>
  </si>
  <si>
    <t>0311</t>
  </si>
  <si>
    <t>B10_08</t>
  </si>
  <si>
    <t>B21_089</t>
  </si>
  <si>
    <t>Coal coke</t>
  </si>
  <si>
    <t>B20_086</t>
  </si>
  <si>
    <t>0000</t>
  </si>
  <si>
    <t>Coal products</t>
  </si>
  <si>
    <t>B19_087</t>
  </si>
  <si>
    <t>0200</t>
  </si>
  <si>
    <t>Lignite</t>
  </si>
  <si>
    <t>0220</t>
  </si>
  <si>
    <t>B18_084</t>
  </si>
  <si>
    <t>Sub-bituminous coal</t>
  </si>
  <si>
    <t>0210</t>
  </si>
  <si>
    <t>B17_082</t>
  </si>
  <si>
    <t>Brown coal</t>
  </si>
  <si>
    <t>B16_085LP</t>
  </si>
  <si>
    <t>0120</t>
  </si>
  <si>
    <t>Other bituminous coal</t>
  </si>
  <si>
    <t>0129</t>
  </si>
  <si>
    <t>B15_083</t>
  </si>
  <si>
    <t>Coking coal</t>
  </si>
  <si>
    <t>0121</t>
  </si>
  <si>
    <t>B14_081</t>
  </si>
  <si>
    <t>0100</t>
  </si>
  <si>
    <t>Bituminous coal</t>
  </si>
  <si>
    <t>B11_088</t>
  </si>
  <si>
    <t>B13_08831</t>
  </si>
  <si>
    <t>Anthracite</t>
  </si>
  <si>
    <t>0110</t>
  </si>
  <si>
    <t>B12_08821</t>
  </si>
  <si>
    <t>Hard coal</t>
  </si>
  <si>
    <t>B11_08811</t>
  </si>
  <si>
    <t>Coal</t>
  </si>
  <si>
    <t>Memo: Renewables</t>
  </si>
  <si>
    <t>B10_RE</t>
  </si>
  <si>
    <t>Total energy</t>
  </si>
  <si>
    <t>B09_TE</t>
  </si>
  <si>
    <t>B07_GA</t>
  </si>
  <si>
    <t>B09_07</t>
  </si>
  <si>
    <t>B08_HT</t>
  </si>
  <si>
    <t>Statistical differences</t>
  </si>
  <si>
    <t>B08_SD</t>
  </si>
  <si>
    <t>Electricity</t>
  </si>
  <si>
    <t>B07_EL</t>
  </si>
  <si>
    <t>Nuclear</t>
  </si>
  <si>
    <t>B06_NU</t>
  </si>
  <si>
    <t>Tonne</t>
  </si>
  <si>
    <t>TN</t>
  </si>
  <si>
    <t>B06_06</t>
  </si>
  <si>
    <t>Biofuels and waste</t>
  </si>
  <si>
    <t>B05_BW</t>
  </si>
  <si>
    <t>Terajoule</t>
  </si>
  <si>
    <t>TJ</t>
  </si>
  <si>
    <t>B05_052</t>
  </si>
  <si>
    <t>B04_NG</t>
  </si>
  <si>
    <t>Megawatt</t>
  </si>
  <si>
    <t>MW</t>
  </si>
  <si>
    <t>B04_051</t>
  </si>
  <si>
    <t>B03_OP</t>
  </si>
  <si>
    <t>Cubic metre</t>
  </si>
  <si>
    <t>M3</t>
  </si>
  <si>
    <t>B03_04</t>
  </si>
  <si>
    <t>Primary Oil</t>
  </si>
  <si>
    <t>B02_PO</t>
  </si>
  <si>
    <t>Quarterly</t>
  </si>
  <si>
    <t>Q</t>
  </si>
  <si>
    <t>Gigawatt-hour</t>
  </si>
  <si>
    <t>GWHR</t>
  </si>
  <si>
    <t>B02_03</t>
  </si>
  <si>
    <t>Coal and peat products</t>
  </si>
  <si>
    <t>B01_CP</t>
  </si>
  <si>
    <t>Two-year average</t>
  </si>
  <si>
    <t>2A</t>
  </si>
  <si>
    <t>HSO</t>
  </si>
  <si>
    <t>B01_01</t>
  </si>
  <si>
    <t>Primary coal and peat</t>
  </si>
  <si>
    <t>B00_CL</t>
  </si>
  <si>
    <t>Global</t>
  </si>
  <si>
    <t>G</t>
  </si>
  <si>
    <t>Annual</t>
  </si>
  <si>
    <t>A</t>
  </si>
  <si>
    <t>Units</t>
  </si>
  <si>
    <t>Unit code</t>
  </si>
  <si>
    <t>Level 5</t>
  </si>
  <si>
    <t>Level 4</t>
  </si>
  <si>
    <t>Level 3</t>
  </si>
  <si>
    <t>Level 2</t>
  </si>
  <si>
    <t>Level 1</t>
  </si>
  <si>
    <t>Level 0</t>
  </si>
  <si>
    <t>L5N</t>
  </si>
  <si>
    <t>L4N</t>
  </si>
  <si>
    <t>L3N</t>
  </si>
  <si>
    <t>L2N</t>
  </si>
  <si>
    <t>L1N</t>
  </si>
  <si>
    <t>Balance type</t>
  </si>
  <si>
    <t>Parent</t>
  </si>
  <si>
    <t>Parent code</t>
  </si>
  <si>
    <t>Transaction code</t>
  </si>
  <si>
    <t>Commodity</t>
  </si>
  <si>
    <t>Commodity code</t>
  </si>
  <si>
    <t>Frequency</t>
  </si>
  <si>
    <t>Frequency code</t>
  </si>
  <si>
    <t>Reference tables for UN data - keep updated</t>
  </si>
  <si>
    <t>Scope</t>
  </si>
  <si>
    <t>Scope Code</t>
  </si>
  <si>
    <t>Industry n.e.s</t>
  </si>
  <si>
    <t>Manufacturing  const. and mining</t>
  </si>
  <si>
    <t>Other consumption n.e.s</t>
  </si>
  <si>
    <t>Paper  pulp and printing</t>
  </si>
  <si>
    <t>Transport n.e.s</t>
  </si>
  <si>
    <t>AGR</t>
  </si>
  <si>
    <t>BRI</t>
  </si>
  <si>
    <t>CHP</t>
  </si>
  <si>
    <t>COK</t>
  </si>
  <si>
    <t>BFU</t>
  </si>
  <si>
    <t>CHH</t>
  </si>
  <si>
    <t>ELE</t>
  </si>
  <si>
    <t>HEA</t>
  </si>
  <si>
    <t>GWG</t>
  </si>
  <si>
    <t>LIQ</t>
  </si>
  <si>
    <t>MAN</t>
  </si>
  <si>
    <t>NGL</t>
  </si>
  <si>
    <t>INE</t>
  </si>
  <si>
    <t>REF</t>
  </si>
  <si>
    <t>OCO</t>
  </si>
  <si>
    <t>PAP</t>
  </si>
  <si>
    <t>TNE</t>
  </si>
  <si>
    <t>Block</t>
  </si>
  <si>
    <t>Consumption</t>
  </si>
  <si>
    <t>Supply</t>
  </si>
  <si>
    <t>Installed Capacity</t>
  </si>
  <si>
    <t>SD</t>
  </si>
  <si>
    <t>Resources and reserves</t>
  </si>
  <si>
    <t>Proven recoverable resources</t>
  </si>
  <si>
    <t>Proven resources</t>
  </si>
  <si>
    <t>Unproven resources</t>
  </si>
  <si>
    <t>Total Resources</t>
  </si>
  <si>
    <t>Transaction description</t>
  </si>
  <si>
    <t>Hydropower potential</t>
  </si>
  <si>
    <t>NCV type</t>
  </si>
  <si>
    <t>C</t>
  </si>
  <si>
    <t>D</t>
  </si>
  <si>
    <t>I</t>
  </si>
  <si>
    <t>Electricity, CHP and Heat plants - Main activity - combustible fuels</t>
  </si>
  <si>
    <t>Electricity, CHP and Heat plants - Main activity</t>
  </si>
  <si>
    <t>Electricity, CHP and Heat plants - Autoproducers</t>
  </si>
  <si>
    <t>CHP plants - Main activity - combustible fuels</t>
  </si>
  <si>
    <t>CHP plants - Main activity - Geothermal</t>
  </si>
  <si>
    <t>CHP plants - Main activity - chemical heat/sources</t>
  </si>
  <si>
    <t>CHP plants - Main activity - Nuclear</t>
  </si>
  <si>
    <t>CHP plants - Main activity - other sources</t>
  </si>
  <si>
    <t>CHP plants - Autoproducer - combustible fuels</t>
  </si>
  <si>
    <t>CHP plants - Autoproducer - Geothermal</t>
  </si>
  <si>
    <t>CHP plants - Autoproducer - chemical heat/sources</t>
  </si>
  <si>
    <t>CHP plants - Autoproducer - Nuclear</t>
  </si>
  <si>
    <t>CHP plants - Autoproducer - other sources</t>
  </si>
  <si>
    <t>Electricity plants - Main activity - combustible fuels</t>
  </si>
  <si>
    <t>Electricity plants - Main activity - electric boilers</t>
  </si>
  <si>
    <t>Electricity plants - Main activity - Geothermal</t>
  </si>
  <si>
    <t>Electricity, CHP and Heat plants - Main activity - Geothermal</t>
  </si>
  <si>
    <t>Electricity, CHP and Heat plants - Main activity - chemical heat/sources</t>
  </si>
  <si>
    <t>Electricity, CHP and Heat plants - Main activity - Nuclear</t>
  </si>
  <si>
    <t>Electricity, CHP and Heat plants - Main activity - other sources</t>
  </si>
  <si>
    <t>Electricity, CHP and Heat plants - Main activity - Solar</t>
  </si>
  <si>
    <t>Electricity, CHP and Heat plants - Autoproducer - combustible fuels</t>
  </si>
  <si>
    <t>Electricity, CHP and Heat plants - Autoproducer - Geothermal</t>
  </si>
  <si>
    <t>Electricity, CHP and Heat plants - Autoproducer - chemical heat/sources</t>
  </si>
  <si>
    <t>Electricity, CHP and Heat plants - Autoproducer - Nuclear</t>
  </si>
  <si>
    <t>Electricity, CHP and Heat plants - Autoproducer - other sources</t>
  </si>
  <si>
    <t>Electricity, CHP and Heat plants - Autoproducer - Solar</t>
  </si>
  <si>
    <t>Heat plants - Main activity - combustible fuels</t>
  </si>
  <si>
    <t>Heat plants - Main activity - Geothermal</t>
  </si>
  <si>
    <t>Heat plants - Main activity - Nuclear</t>
  </si>
  <si>
    <t>Heat plants - Main activity - other sources</t>
  </si>
  <si>
    <t>Heat plants - Autoproducer - combustible fuels</t>
  </si>
  <si>
    <t>Heat plants - Autoproducer - Geothermal</t>
  </si>
  <si>
    <t>Heat plants - Autoproducer - chemical heat/sources</t>
  </si>
  <si>
    <t>Heat plants - Autoproducer - other sources</t>
  </si>
  <si>
    <t>Electricity plants - Main activity - chemical heat/sources</t>
  </si>
  <si>
    <t>Electricity plants - Main activity - Nuclear</t>
  </si>
  <si>
    <t>Electricity plants - Main activity - other sources</t>
  </si>
  <si>
    <t>Electricity, CHP and Heat plants - Main activity - Pumped hydro</t>
  </si>
  <si>
    <t>Electricity plants - Autoproducer - combustible fuels</t>
  </si>
  <si>
    <t>Electricity plants - Autoproducer - Geothermal</t>
  </si>
  <si>
    <t>Electricity plants - Autoproducer - chemical heat/sources</t>
  </si>
  <si>
    <t>Electricity plants - Autoproducer - Nuclear</t>
  </si>
  <si>
    <t>Electricity plants - Autoproducer - other sources</t>
  </si>
  <si>
    <t>Electricity plants - Main activity</t>
  </si>
  <si>
    <t>Electricity plants - Autoproducers</t>
  </si>
  <si>
    <t>CHP plants - Main activity</t>
  </si>
  <si>
    <t>CHP plants - Autoproducers</t>
  </si>
  <si>
    <t>Heat plants - Main activity</t>
  </si>
  <si>
    <t>Heat plants - Autoproducers</t>
  </si>
  <si>
    <t>Negative</t>
  </si>
  <si>
    <t>Positive</t>
  </si>
  <si>
    <t>Sign</t>
  </si>
  <si>
    <t>Manufacturing, construction and non-fuel industry</t>
  </si>
  <si>
    <t>Other manufacturing, construction and non-fuel industry</t>
  </si>
  <si>
    <t>Other</t>
  </si>
  <si>
    <t>Fishing</t>
  </si>
  <si>
    <t>Total Final Energy Consumption</t>
  </si>
  <si>
    <t>Coal mines (own use)</t>
  </si>
  <si>
    <t>Oil and gas extraction (own use)</t>
  </si>
  <si>
    <t>Biogas production plants (own use)</t>
  </si>
  <si>
    <t>Nuclear fuel extraction and processing (own use)</t>
  </si>
  <si>
    <t>Coke ovens (own use)</t>
  </si>
  <si>
    <t>Gas works (own use)</t>
  </si>
  <si>
    <t>Briquetting plants (own use)</t>
  </si>
  <si>
    <t>Blast furnaces (own use)</t>
  </si>
  <si>
    <t>Gas-to-liquid (GTL) plants (own use)</t>
  </si>
  <si>
    <t>Oil refineries (own use)</t>
  </si>
  <si>
    <t>Pump-storage plants (own use)</t>
  </si>
  <si>
    <t>Electricity, CHP and Heat plants (own use)</t>
  </si>
  <si>
    <t>Coal liquefaction plants (own use)</t>
  </si>
  <si>
    <t>Natural gas separation plants (own use)</t>
  </si>
  <si>
    <t>Charcoal plants (own use)</t>
  </si>
  <si>
    <t>LNG/regasification plants (own use)</t>
  </si>
  <si>
    <t>Briquetting plants (T)</t>
  </si>
  <si>
    <t>Gas works (T)</t>
  </si>
  <si>
    <t>Coke ovens (T)</t>
  </si>
  <si>
    <t>Blast furnaces (T)</t>
  </si>
  <si>
    <t>Charcoal plants (T)</t>
  </si>
  <si>
    <t>Electricity production (T)</t>
  </si>
  <si>
    <t>Gas-to-liquid (GTL) plants (T)</t>
  </si>
  <si>
    <t>Coal liquefaction plants (T)</t>
  </si>
  <si>
    <t>Petrochemical plants (T)</t>
  </si>
  <si>
    <t>Oil refineries (T)</t>
  </si>
  <si>
    <t>Natural gas blending plants (T)</t>
  </si>
  <si>
    <t>Electricity, CHP and heat plants (T)</t>
  </si>
  <si>
    <t>Refineries</t>
  </si>
  <si>
    <t>Extraction</t>
  </si>
  <si>
    <t>L6N</t>
  </si>
  <si>
    <t>L7N</t>
  </si>
  <si>
    <t>Level 6</t>
  </si>
  <si>
    <t>Level 7</t>
  </si>
  <si>
    <t>Agriculture, forestry and fishing (summary)</t>
  </si>
  <si>
    <t>Final consumption (summary)</t>
  </si>
  <si>
    <t>Final Energy Consumption (summary)</t>
  </si>
  <si>
    <t>Manufacturing, construction and non-fuel mining industries (summary)</t>
  </si>
  <si>
    <t>Iron and steel (summary)</t>
  </si>
  <si>
    <t>Chemical and petrochemical (summary)</t>
  </si>
  <si>
    <t>Non-ferrous metals (summary)</t>
  </si>
  <si>
    <t>Non-metallic minerals (summary)</t>
  </si>
  <si>
    <t>Transport equipment (summary)</t>
  </si>
  <si>
    <t>Machinery (summary)</t>
  </si>
  <si>
    <t>Mining and quarrying (summary)</t>
  </si>
  <si>
    <t>Food and tobacco (summary)</t>
  </si>
  <si>
    <t>Paper, pulp and printing (summary)</t>
  </si>
  <si>
    <t>Wood and wood products (summary)</t>
  </si>
  <si>
    <t>Textile and leather (summary)</t>
  </si>
  <si>
    <t>Construction (summary)</t>
  </si>
  <si>
    <t>Industry consumption not elsewhere specified (summary)</t>
  </si>
  <si>
    <t>Transport (summary)</t>
  </si>
  <si>
    <t>Road (summary)</t>
  </si>
  <si>
    <t>Rail (summary)</t>
  </si>
  <si>
    <t>Domestic aviation (summary)</t>
  </si>
  <si>
    <t>Domestic navigation (summary)</t>
  </si>
  <si>
    <t>Pipeline transport (summary)</t>
  </si>
  <si>
    <t>Transport not elsewhere specified (summary)</t>
  </si>
  <si>
    <t>Other Consumption (summary)</t>
  </si>
  <si>
    <t>Commerce and public services (summary)</t>
  </si>
  <si>
    <t>Households (summary)</t>
  </si>
  <si>
    <t>Other consumption not elsewhere specified (summary)</t>
  </si>
  <si>
    <t>Agriculture forestry and fishing (summary)</t>
  </si>
  <si>
    <t>Primary production (summary)</t>
  </si>
  <si>
    <t>Imports (summary)</t>
  </si>
  <si>
    <t>Exports (summary)</t>
  </si>
  <si>
    <t>International marine bunkers (summary)</t>
  </si>
  <si>
    <t>International aviation bunkers (summary)</t>
  </si>
  <si>
    <t>Stock changes (summary)</t>
  </si>
  <si>
    <t>Total energy supply (summary)</t>
  </si>
  <si>
    <t>Statistical differences (summary)</t>
  </si>
  <si>
    <t>Transfers and recycled products (summary)</t>
  </si>
  <si>
    <t>Transformation (summary)</t>
  </si>
  <si>
    <t>Electricity, Heat and CHP plants (summary)</t>
  </si>
  <si>
    <t>Transformation in electricity plants - main activity producers (summary)</t>
  </si>
  <si>
    <t>Transformation in CHP plants - main activity producers (summary)</t>
  </si>
  <si>
    <t>Transformation in heat plants - main activity producers (summary)</t>
  </si>
  <si>
    <t>Transformation in coke ovens (summary)</t>
  </si>
  <si>
    <t>Transformation in briquetting plants (summary)</t>
  </si>
  <si>
    <t>Transformation in liquefaction plants (summary)</t>
  </si>
  <si>
    <t>Transformation in gas works (summary)</t>
  </si>
  <si>
    <t>Transformation in blast furnaces (summary)</t>
  </si>
  <si>
    <t>Transformation in natural gas blending plants (summary)</t>
  </si>
  <si>
    <t>Transformation in oil refineries (summary)</t>
  </si>
  <si>
    <t>Other transformation (summary)</t>
  </si>
  <si>
    <t>Energy industries own use (summary)</t>
  </si>
  <si>
    <t>Losses (summary)</t>
  </si>
  <si>
    <t>Blast furnaces (summary)</t>
  </si>
  <si>
    <t>Briquetting plants (summary)</t>
  </si>
  <si>
    <t>Electricity  CHP &amp; Heat Plants (summary)</t>
  </si>
  <si>
    <t>CHP plants (summary)</t>
  </si>
  <si>
    <t>Coke ovens (summary)</t>
  </si>
  <si>
    <t>Electricity Plants (summary)</t>
  </si>
  <si>
    <t>Gas works (summary)</t>
  </si>
  <si>
    <t>Heat plants (summary)</t>
  </si>
  <si>
    <t>Liquefaction plants (summary)</t>
  </si>
  <si>
    <t>NGL &amp; gas blending (summary)</t>
  </si>
  <si>
    <t>Oil refineries (summary)</t>
  </si>
  <si>
    <t>Electricity plants - Autoproducer - Pumped hydro</t>
  </si>
  <si>
    <t>Electricity plants - Autoproducer - Solar PV</t>
  </si>
  <si>
    <t>CHP plants - Autoproducer - Solar thermal</t>
  </si>
  <si>
    <t>Electricity plants - Autoproducer - Hydro</t>
  </si>
  <si>
    <t>Electricity plants - Main activity - Tide, wave and marine</t>
  </si>
  <si>
    <t>Electricity plants - Main activity - Wind</t>
  </si>
  <si>
    <t>Heat plants - Main activity - heat pumps</t>
  </si>
  <si>
    <t>Electricity plants - Main activity - Hydro</t>
  </si>
  <si>
    <t>Electricity plants - Main activity - Solar PV</t>
  </si>
  <si>
    <t>CHP plants - Main activity - Solar thermal</t>
  </si>
  <si>
    <t>Electricity plants - Autoproducer - Tide, wave and marine</t>
  </si>
  <si>
    <t>Electricity plants - Autoproducer - Wind</t>
  </si>
  <si>
    <t>Electricity and heat from solid biofuels</t>
  </si>
  <si>
    <t>Electricity and heat from biogases</t>
  </si>
  <si>
    <t>Electricity and heat from bagasse</t>
  </si>
  <si>
    <t>Electricity and heat from hard coal</t>
  </si>
  <si>
    <t>Electricity and heat from solid coal products</t>
  </si>
  <si>
    <t>Electricity and heat from crude oil</t>
  </si>
  <si>
    <t>Electricity and heat from gas oil/diesel oil</t>
  </si>
  <si>
    <t>Electricity and heat from brown coal</t>
  </si>
  <si>
    <t>Electricity and heat from liquid biofuels</t>
  </si>
  <si>
    <t>Electricity and heat from manufactured gases</t>
  </si>
  <si>
    <t>Electricity and heat from natural gas</t>
  </si>
  <si>
    <t>Electricity and heat from non-renewable waste</t>
  </si>
  <si>
    <t>Electricity and heat from oil shale</t>
  </si>
  <si>
    <t>Electricity and heat from other oil products</t>
  </si>
  <si>
    <t>Electricity and heat from peat</t>
  </si>
  <si>
    <t>Electricity and heat from fuel oil</t>
  </si>
  <si>
    <t>Electricity and heat from renewable municipal waste</t>
  </si>
  <si>
    <t>Transaction dirty</t>
  </si>
  <si>
    <t>Transaction clean</t>
  </si>
  <si>
    <t>Agriculture  forestry and fishing</t>
  </si>
  <si>
    <t>Blast furnaces</t>
  </si>
  <si>
    <t>Agriculture  forestry and fishing (S)</t>
  </si>
  <si>
    <t>Blast furnaces (S)</t>
  </si>
  <si>
    <t>Briquetting plants (S)</t>
  </si>
  <si>
    <t>Chemical and petrochemical (S)</t>
  </si>
  <si>
    <t>CHP plants (S)</t>
  </si>
  <si>
    <t>Coke ovens (S)</t>
  </si>
  <si>
    <t>Commerce and public services (S)</t>
  </si>
  <si>
    <t>Construction (S)</t>
  </si>
  <si>
    <t>Domestic aviation (S)</t>
  </si>
  <si>
    <t>Domestic navigation (S)</t>
  </si>
  <si>
    <t>Electricity  CHP &amp; Heat Plants (S)</t>
  </si>
  <si>
    <t>Electricity Plants (S)</t>
  </si>
  <si>
    <t>Energy industries own use (S)</t>
  </si>
  <si>
    <t>Exports (S)</t>
  </si>
  <si>
    <t>Final consumption (S)</t>
  </si>
  <si>
    <t>Final Energy Consumption (S)</t>
  </si>
  <si>
    <t>Food and tobacco (S)</t>
  </si>
  <si>
    <t>Gas works (S)</t>
  </si>
  <si>
    <t>Heat plants (S)</t>
  </si>
  <si>
    <t>Households (S)</t>
  </si>
  <si>
    <t>Imports (S)</t>
  </si>
  <si>
    <t>Industry n.e.s (S)</t>
  </si>
  <si>
    <t>International aviation bunkers (S)</t>
  </si>
  <si>
    <t>International marine bunkers (S)</t>
  </si>
  <si>
    <t>Iron and steel (S)</t>
  </si>
  <si>
    <t>Liquefaction plants (S)</t>
  </si>
  <si>
    <t>Losses (S)</t>
  </si>
  <si>
    <t>Machinery (S)</t>
  </si>
  <si>
    <t>Manufacturing  const. and mining (S)</t>
  </si>
  <si>
    <t>Mining and quarrying (S)</t>
  </si>
  <si>
    <t>NGL &amp; gas blending (S)</t>
  </si>
  <si>
    <t>Non-energy use (S)</t>
  </si>
  <si>
    <t>Non-ferrous metals (S)</t>
  </si>
  <si>
    <t>Non-metallic minerals (S)</t>
  </si>
  <si>
    <t>Oil refineries (S)</t>
  </si>
  <si>
    <t>Other Consumption (S)</t>
  </si>
  <si>
    <t>Other consumption n.e.s (S)</t>
  </si>
  <si>
    <t>Other transformation (S)</t>
  </si>
  <si>
    <t>Paper  pulp and printing (S)</t>
  </si>
  <si>
    <t>Pipeline transport (S)</t>
  </si>
  <si>
    <t>Primary production (S)</t>
  </si>
  <si>
    <t>Rail (S)</t>
  </si>
  <si>
    <t>Road (S)</t>
  </si>
  <si>
    <t>Statistical differences (S)</t>
  </si>
  <si>
    <t>Stock changes (S)</t>
  </si>
  <si>
    <t>Textile and leather (S)</t>
  </si>
  <si>
    <t>Total energy supply (S)</t>
  </si>
  <si>
    <t>Transfers and recycled products (S)</t>
  </si>
  <si>
    <t>Transformation (S)</t>
  </si>
  <si>
    <t>Transport (S)</t>
  </si>
  <si>
    <t>Transport equipment (S)</t>
  </si>
  <si>
    <t>Transport n.e.s (S)</t>
  </si>
  <si>
    <t>Wood and wood products (S)</t>
  </si>
  <si>
    <t>Agriculture, forestry and fishing (S)</t>
  </si>
  <si>
    <t>Agriculture forestry and fishing (S)</t>
  </si>
  <si>
    <t>Manufacturing, construction and non-fuel mining industries (S)</t>
  </si>
  <si>
    <t>Paper, pulp and printing (S)</t>
  </si>
  <si>
    <t>Industry n.e.s. (S)</t>
  </si>
  <si>
    <t>Electricity, Heat and CHP plants (S)</t>
  </si>
  <si>
    <t>Transformation in electricity plants - main activity producers (S)</t>
  </si>
  <si>
    <t>Transformation in CHP plants - main activity producers (S)</t>
  </si>
  <si>
    <t>Transformation in heat plants - main activity producers (S)</t>
  </si>
  <si>
    <t>Transformation in coke ovens (S)</t>
  </si>
  <si>
    <t>Transformation in briquetting plants (S)</t>
  </si>
  <si>
    <t>Transformation in liquefaction plants (S)</t>
  </si>
  <si>
    <t>Transformation in gas works (S)</t>
  </si>
  <si>
    <t>Transformation in blast furnaces (S)</t>
  </si>
  <si>
    <t>Transformation in natural gas blending plants (S)</t>
  </si>
  <si>
    <t>Transformation in oil refineries (S)</t>
  </si>
  <si>
    <t>Other consumption n.e.s. (S)</t>
  </si>
  <si>
    <t>Transport n.e.s. (S)</t>
  </si>
  <si>
    <t>Industry n.e.s.</t>
  </si>
  <si>
    <t>Transport n.e.s.</t>
  </si>
  <si>
    <t>Other n.e.s.</t>
  </si>
  <si>
    <t>MERGE category</t>
  </si>
  <si>
    <t>Chemicals demand</t>
  </si>
  <si>
    <t>Iron and steel demand</t>
  </si>
  <si>
    <t>Non-metallic minerals demand</t>
  </si>
  <si>
    <t>Road demand</t>
  </si>
  <si>
    <t>Agriculture demand</t>
  </si>
  <si>
    <t>Other industry demand</t>
  </si>
  <si>
    <t>Buildings demand</t>
  </si>
  <si>
    <t>Industrial feedstock demand</t>
  </si>
  <si>
    <t>Domestic aviation demand</t>
  </si>
  <si>
    <t>Domestic navigation demand</t>
  </si>
  <si>
    <t>International aviation demand</t>
  </si>
  <si>
    <t>International navigation demand</t>
  </si>
  <si>
    <t>Rail demand</t>
  </si>
  <si>
    <t>CHP plants</t>
  </si>
  <si>
    <t>Electricity plants</t>
  </si>
  <si>
    <t>Heat plants</t>
  </si>
  <si>
    <t>Coke ovens</t>
  </si>
  <si>
    <t>Gas works</t>
  </si>
  <si>
    <t>Briquetting plants</t>
  </si>
  <si>
    <t>Charcoal plants</t>
  </si>
  <si>
    <t>Petrochemical plants</t>
  </si>
  <si>
    <t>Oil refineries</t>
  </si>
  <si>
    <t>Coal mines</t>
  </si>
  <si>
    <t>Coal liquefaction plants</t>
  </si>
  <si>
    <t>Natural gas blending plants</t>
  </si>
  <si>
    <t>Electric boilers</t>
  </si>
  <si>
    <t>Heat pumps</t>
  </si>
  <si>
    <t>Oil and gas extraction</t>
  </si>
  <si>
    <t>Biogas production plants</t>
  </si>
  <si>
    <t xml:space="preserve">Nuclear fuel extraction and processing </t>
  </si>
  <si>
    <t xml:space="preserve">Coke ovens </t>
  </si>
  <si>
    <t xml:space="preserve">Gas works </t>
  </si>
  <si>
    <t xml:space="preserve">Briquetting plants </t>
  </si>
  <si>
    <t xml:space="preserve">Blast furnaces </t>
  </si>
  <si>
    <t xml:space="preserve">Oil refineries </t>
  </si>
  <si>
    <t xml:space="preserve">Pump-storage plants </t>
  </si>
  <si>
    <t xml:space="preserve">Coal liquefaction plants </t>
  </si>
  <si>
    <t xml:space="preserve">Natural gas separation plants </t>
  </si>
  <si>
    <t xml:space="preserve">Gas-to-liquid (GTL) plants </t>
  </si>
  <si>
    <t xml:space="preserve">Charcoal plants </t>
  </si>
  <si>
    <t xml:space="preserve">LNG/regasification plants </t>
  </si>
  <si>
    <t>Reserves from crude petroleum</t>
  </si>
  <si>
    <t>Reserves from oil shale and tar sands</t>
  </si>
  <si>
    <t>Reserves from oil shale</t>
  </si>
  <si>
    <t>Reserves from tar sands</t>
  </si>
  <si>
    <t>Total resources of gases</t>
  </si>
  <si>
    <t>Reserves of nuclear resources, Reasonably assured</t>
  </si>
  <si>
    <t>Reserves of nuclear resources, Estimated additional</t>
  </si>
  <si>
    <t>Production, Autoproducers total</t>
  </si>
  <si>
    <t>Reserves</t>
  </si>
  <si>
    <t>Energy plants</t>
  </si>
  <si>
    <t>Stocks</t>
  </si>
  <si>
    <t>Transfers</t>
  </si>
  <si>
    <t>Conventional biodiesel</t>
  </si>
  <si>
    <t>Commodities</t>
  </si>
  <si>
    <t>Transactions</t>
  </si>
  <si>
    <t>Commodity from</t>
  </si>
  <si>
    <t>Transaction from</t>
  </si>
  <si>
    <t>Commodity to</t>
  </si>
  <si>
    <t>Transaction to</t>
  </si>
  <si>
    <t>cfrom</t>
  </si>
  <si>
    <t>tfrom</t>
  </si>
  <si>
    <t>cto</t>
  </si>
  <si>
    <t>tto</t>
  </si>
  <si>
    <t>Multiplier</t>
  </si>
  <si>
    <t>note</t>
  </si>
  <si>
    <t>removing thermal electricity from the production flow</t>
  </si>
  <si>
    <t>IC Electricity plants</t>
  </si>
  <si>
    <t>IC Nuclear</t>
  </si>
  <si>
    <t>IC Nuclear - Main activity producers</t>
  </si>
  <si>
    <t>IC Nuclear - Autoproducers</t>
  </si>
  <si>
    <t>IC Hydropower</t>
  </si>
  <si>
    <t>IC Hydropower - Main activity producers</t>
  </si>
  <si>
    <t>IC Hydropower - Autoproducers</t>
  </si>
  <si>
    <t>IC Geothermal</t>
  </si>
  <si>
    <t>IC Geothermal - Main activity producers</t>
  </si>
  <si>
    <t>IC Geothermal - Autoproducers</t>
  </si>
  <si>
    <t>IC Combustible fuels</t>
  </si>
  <si>
    <t>IC Combustible fuels - Main activity producers</t>
  </si>
  <si>
    <t>IC Combustible fuels - Autoproducers</t>
  </si>
  <si>
    <t>IC Wind</t>
  </si>
  <si>
    <t>IC Wind - Main activity producers</t>
  </si>
  <si>
    <t>IC Wind - Autoproducers</t>
  </si>
  <si>
    <t>IC Solar</t>
  </si>
  <si>
    <t>IC Solar - Main activity producers</t>
  </si>
  <si>
    <t>IC Solar - Autoproducers</t>
  </si>
  <si>
    <t>IC Marine energy</t>
  </si>
  <si>
    <t>IC Marine energy - Main activity producers</t>
  </si>
  <si>
    <t>IC Marine energy - Autoproducers</t>
  </si>
  <si>
    <t>IC Other energy</t>
  </si>
  <si>
    <t>IC Other energy - Main activity producers</t>
  </si>
  <si>
    <t>IC Other energy - Autoproducers</t>
  </si>
  <si>
    <t>IC Pumped hydropower - Main activity producers</t>
  </si>
  <si>
    <t>IC Pumped hydropower - Autoproducers</t>
  </si>
  <si>
    <t>IC Solar PV - Main activity producers</t>
  </si>
  <si>
    <t>IC Solar PV - Autoproducers</t>
  </si>
  <si>
    <t>IC Solar Thermal - Main activity producers</t>
  </si>
  <si>
    <t>IC Solar Thermal - Autoproducers</t>
  </si>
  <si>
    <t>IC Main activity producers</t>
  </si>
  <si>
    <t>IC Autoproducers</t>
  </si>
  <si>
    <t>015OP</t>
  </si>
  <si>
    <t>015OPC</t>
  </si>
  <si>
    <t>015OPE</t>
  </si>
  <si>
    <t>015OPH</t>
  </si>
  <si>
    <t>016OP</t>
  </si>
  <si>
    <t>016OPC</t>
  </si>
  <si>
    <t>016OPE</t>
  </si>
  <si>
    <t>016OPH</t>
  </si>
  <si>
    <t>015FO</t>
  </si>
  <si>
    <t>015FOC</t>
  </si>
  <si>
    <t>015FOE</t>
  </si>
  <si>
    <t>015FOH</t>
  </si>
  <si>
    <t>016FOP</t>
  </si>
  <si>
    <t>016FOC</t>
  </si>
  <si>
    <t>016FOE</t>
  </si>
  <si>
    <t>016FOH</t>
  </si>
  <si>
    <t>Electricity, CHP and Heat plants - Main activity - fuel oil</t>
  </si>
  <si>
    <t>CHP plants - Main activity - fuel oil</t>
  </si>
  <si>
    <t>Electricity plants - Main activity - fuel oil</t>
  </si>
  <si>
    <t>Heat plants - Main activity - fuel oil</t>
  </si>
  <si>
    <t>Electricity, CHP and Heat plants - Autoproducer - fuel oil</t>
  </si>
  <si>
    <t>CHP plants - Autoproducer - fuel oil</t>
  </si>
  <si>
    <t>Electricity plants - Autoproducer - fuel oil</t>
  </si>
  <si>
    <t>Heat plants - Autoproducer - fuel oil</t>
  </si>
  <si>
    <t>Electricity, CHP and Heat plants - Main activity - gas oil/diesel oil</t>
  </si>
  <si>
    <t>CHP plants - Main activity - gas oil/diesel oil</t>
  </si>
  <si>
    <t>Electricity plants - Main activity - gas oil/diesel oil</t>
  </si>
  <si>
    <t>Heat plants - Main activity - gas oil/diesel oil</t>
  </si>
  <si>
    <t>Electricity, CHP and Heat plants - Autoproducer - gas oil/diesel oil</t>
  </si>
  <si>
    <t>CHP plants - Autoproducer - gas oil/diesel oil</t>
  </si>
  <si>
    <t>Electricity plants - Autoproducer - gas oil/diesel oil</t>
  </si>
  <si>
    <t>Heat plants - Autoproducer - gas oil/diesel oil</t>
  </si>
  <si>
    <t>015D</t>
  </si>
  <si>
    <t>015DC</t>
  </si>
  <si>
    <t>015DE</t>
  </si>
  <si>
    <t>015DH</t>
  </si>
  <si>
    <t>016DP</t>
  </si>
  <si>
    <t>016DC</t>
  </si>
  <si>
    <t>016DE</t>
  </si>
  <si>
    <t>016DH</t>
  </si>
  <si>
    <t>Electricity, CHP and Heat plants - Main activity - other oil products</t>
  </si>
  <si>
    <t>CHP plants - Main activity - other oil products</t>
  </si>
  <si>
    <t>Electricity plants - Main activity - other oil products</t>
  </si>
  <si>
    <t>Heat plants - Main activity - other oil products</t>
  </si>
  <si>
    <t>Electricity, CHP and Heat plants - Autoproducer - other oil products</t>
  </si>
  <si>
    <t>CHP plants - Autoproducer - other oil products</t>
  </si>
  <si>
    <t>Electricity plants - Autoproducer - other oil products</t>
  </si>
  <si>
    <t>Heat plants - Autoproducer - other oil products</t>
  </si>
  <si>
    <t>Electricity, CHP and Heat plants - Main activity - bagasse</t>
  </si>
  <si>
    <t>CHP plants - Main activity - bagasse</t>
  </si>
  <si>
    <t>Electricity plants - Main activity - bagasse</t>
  </si>
  <si>
    <t>Heat plants - Main activity - bagasse</t>
  </si>
  <si>
    <t>Electricity, CHP and Heat plants - Autoproducer - bagasse</t>
  </si>
  <si>
    <t>CHP plants - Autoproducer - bagasse</t>
  </si>
  <si>
    <t>Electricity plants - Autoproducer - bagasse</t>
  </si>
  <si>
    <t>Heat plants - Autoproducer - bagasse</t>
  </si>
  <si>
    <t>Electricity, CHP and Heat plants - Main activity - biogases</t>
  </si>
  <si>
    <t>CHP plants - Main activity - biogases</t>
  </si>
  <si>
    <t>Electricity plants - Main activity - biogases</t>
  </si>
  <si>
    <t>Heat plants - Main activity - biogases</t>
  </si>
  <si>
    <t>Electricity, CHP and Heat plants - Autoproducer - biogases</t>
  </si>
  <si>
    <t>CHP plants - Autoproducer - biogases</t>
  </si>
  <si>
    <t>Electricity plants - Autoproducer - biogases</t>
  </si>
  <si>
    <t>Heat plants - Autoproducer - biogases</t>
  </si>
  <si>
    <t>Electricity, CHP and Heat plants - Main activity - liquid biofuels</t>
  </si>
  <si>
    <t>CHP plants - Main activity - liquid biofuels</t>
  </si>
  <si>
    <t>Electricity plants - Main activity - liquid biofuels</t>
  </si>
  <si>
    <t>Heat plants - Main activity - liquid biofuels</t>
  </si>
  <si>
    <t>Electricity, CHP and Heat plants - Autoproducer - liquid biofuels</t>
  </si>
  <si>
    <t>CHP plants - Autoproducer - liquid biofuels</t>
  </si>
  <si>
    <t>Electricity plants - Autoproducer - liquid biofuels</t>
  </si>
  <si>
    <t>Heat plants - Autoproducer - liquid biofuels</t>
  </si>
  <si>
    <t>015B</t>
  </si>
  <si>
    <t>015BC</t>
  </si>
  <si>
    <t>015BE</t>
  </si>
  <si>
    <t>015BH</t>
  </si>
  <si>
    <t>016BP</t>
  </si>
  <si>
    <t>016BC</t>
  </si>
  <si>
    <t>016BE</t>
  </si>
  <si>
    <t>016BH</t>
  </si>
  <si>
    <t>015BG</t>
  </si>
  <si>
    <t>015BGC</t>
  </si>
  <si>
    <t>015BGE</t>
  </si>
  <si>
    <t>015BGH</t>
  </si>
  <si>
    <t>016BGP</t>
  </si>
  <si>
    <t>016BGC</t>
  </si>
  <si>
    <t>016BGE</t>
  </si>
  <si>
    <t>016BGH</t>
  </si>
  <si>
    <t>015BL</t>
  </si>
  <si>
    <t>015BLC</t>
  </si>
  <si>
    <t>015BLE</t>
  </si>
  <si>
    <t>015BLH</t>
  </si>
  <si>
    <t>016BLP</t>
  </si>
  <si>
    <t>016BLC</t>
  </si>
  <si>
    <t>016BLE</t>
  </si>
  <si>
    <t>016BLH</t>
  </si>
  <si>
    <t>015WD</t>
  </si>
  <si>
    <t>015WDC</t>
  </si>
  <si>
    <t>015WDE</t>
  </si>
  <si>
    <t>015WDH</t>
  </si>
  <si>
    <t>016WDP</t>
  </si>
  <si>
    <t>016WDC</t>
  </si>
  <si>
    <t>016WDE</t>
  </si>
  <si>
    <t>016WDH</t>
  </si>
  <si>
    <t>Electricity, CHP and Heat plants - Main activity - wood</t>
  </si>
  <si>
    <t>CHP plants - Main activity - wood</t>
  </si>
  <si>
    <t>Electricity plants - Main activity - wood</t>
  </si>
  <si>
    <t>Heat plants - Main activity - wood</t>
  </si>
  <si>
    <t>Electricity, CHP and Heat plants - Autoproducer - wood</t>
  </si>
  <si>
    <t>CHP plants - Autoproducer - wood</t>
  </si>
  <si>
    <t>Electricity plants - Autoproducer - wood</t>
  </si>
  <si>
    <t>Heat plants - Autoproducer - wood</t>
  </si>
  <si>
    <t>Electricity, CHP and Heat plants - Main activity - other solid biofuels</t>
  </si>
  <si>
    <t>CHP plants - Main activity - other solid biofuels</t>
  </si>
  <si>
    <t>Electricity plants - Main activity - other solid biofuels</t>
  </si>
  <si>
    <t>Heat plants - Main activity - other solid biofuels</t>
  </si>
  <si>
    <t>Electricity, CHP and Heat plants - Autoproducer - other solid biofuels</t>
  </si>
  <si>
    <t>CHP plants - Autoproducer - other solid biofuels</t>
  </si>
  <si>
    <t>Electricity plants - Autoproducer - other solid biofuels</t>
  </si>
  <si>
    <t>Heat plants - Autoproducer - other solid biofuels</t>
  </si>
  <si>
    <t>015BS</t>
  </si>
  <si>
    <t>015BSC</t>
  </si>
  <si>
    <t>015BSE</t>
  </si>
  <si>
    <t>015BSH</t>
  </si>
  <si>
    <t>016BSP</t>
  </si>
  <si>
    <t>016BSC</t>
  </si>
  <si>
    <t>016BSE</t>
  </si>
  <si>
    <t>016BSH</t>
  </si>
  <si>
    <t>Electricity, CHP and Heat plants - Main activity - municipal solid waste</t>
  </si>
  <si>
    <t>CHP plants - Main activity - municipal solid waste</t>
  </si>
  <si>
    <t>Electricity plants - Main activity - municipal solid waste</t>
  </si>
  <si>
    <t>Heat plants - Main activity - municipal solid waste</t>
  </si>
  <si>
    <t>Electricity, CHP and Heat plants - Autoproducer - municipal solid waste</t>
  </si>
  <si>
    <t>CHP plants - Autoproducer - municipal solid waste</t>
  </si>
  <si>
    <t>Electricity plants - Autoproducer - municipal solid waste</t>
  </si>
  <si>
    <t>Heat plants - Autoproducer - municipal solid waste</t>
  </si>
  <si>
    <t>015MSW</t>
  </si>
  <si>
    <t>015MSWC</t>
  </si>
  <si>
    <t>015MSWE</t>
  </si>
  <si>
    <t>015MSWH</t>
  </si>
  <si>
    <t>016MSWP</t>
  </si>
  <si>
    <t>016MSWC</t>
  </si>
  <si>
    <t>016MSWE</t>
  </si>
  <si>
    <t>016MSWH</t>
  </si>
  <si>
    <t>Electricity, CHP and Heat plants - Main activity - industrial solid waste</t>
  </si>
  <si>
    <t>CHP plants - Main activity - industrial solid waste</t>
  </si>
  <si>
    <t>Electricity plants - Main activity - industrial solid waste</t>
  </si>
  <si>
    <t>Heat plants - Main activity - industrial solid waste</t>
  </si>
  <si>
    <t>Electricity, CHP and Heat plants - Autoproducer - industrial solid waste</t>
  </si>
  <si>
    <t>CHP plants - Autoproducer - industrial solid waste</t>
  </si>
  <si>
    <t>Electricity plants - Autoproducer - industrial solid waste</t>
  </si>
  <si>
    <t>Heat plants - Autoproducer - industrial solid waste</t>
  </si>
  <si>
    <t>015ISW</t>
  </si>
  <si>
    <t>015ISWC</t>
  </si>
  <si>
    <t>015ISWE</t>
  </si>
  <si>
    <t>015ISWH</t>
  </si>
  <si>
    <t>016ISWP</t>
  </si>
  <si>
    <t>016ISWC</t>
  </si>
  <si>
    <t>016ISWE</t>
  </si>
  <si>
    <t>016ISWH</t>
  </si>
  <si>
    <t>015CBC</t>
  </si>
  <si>
    <t>015CBE</t>
  </si>
  <si>
    <t>015CBH</t>
  </si>
  <si>
    <t>016CBP</t>
  </si>
  <si>
    <t>016CBC</t>
  </si>
  <si>
    <t>016CBE</t>
  </si>
  <si>
    <t>016CBH</t>
  </si>
  <si>
    <t>Electricity, CHP and Heat plants - Main activity - brown coal</t>
  </si>
  <si>
    <t>CHP plants - Main activity - brown coal</t>
  </si>
  <si>
    <t>Electricity plants - Main activity - brown coal</t>
  </si>
  <si>
    <t>Heat plants - Main activity - brown coal</t>
  </si>
  <si>
    <t>Electricity, CHP and Heat plants - Autoproducer - brown coal</t>
  </si>
  <si>
    <t>CHP plants - Autoproducer - brown coal</t>
  </si>
  <si>
    <t>Electricity plants - Autoproducer - brown coal</t>
  </si>
  <si>
    <t>Heat plants - Autoproducer - brown coal</t>
  </si>
  <si>
    <t>Electricity, CHP and Heat plants - Main activity - hard coal</t>
  </si>
  <si>
    <t>CHP plants - Main activity - hard coal</t>
  </si>
  <si>
    <t>Electricity plants - Main activity - hard coal</t>
  </si>
  <si>
    <t>Heat plants - Main activity - hard coal</t>
  </si>
  <si>
    <t>Electricity, CHP and Heat plants - Autoproducer - hard coal</t>
  </si>
  <si>
    <t>CHP plants - Autoproducer - hard coal</t>
  </si>
  <si>
    <t>Electricity plants - Autoproducer - hard coal</t>
  </si>
  <si>
    <t>Heat plants - Autoproducer - hard coal</t>
  </si>
  <si>
    <t>Electricity, CHP and Heat plants - Main activity - shale</t>
  </si>
  <si>
    <t>CHP plants - Main activity - shale</t>
  </si>
  <si>
    <t>Electricity plants - Main activity - shale</t>
  </si>
  <si>
    <t>Heat plants - Main activity - shale</t>
  </si>
  <si>
    <t>Electricity, CHP and Heat plants - Autoproducer - shale</t>
  </si>
  <si>
    <t>CHP plants - Autoproducer - shale</t>
  </si>
  <si>
    <t>Electricity plants - Autoproducer - shale</t>
  </si>
  <si>
    <t>Heat plants - Autoproducer - shale</t>
  </si>
  <si>
    <t>Electricity, CHP and Heat plants - Main activity - peat</t>
  </si>
  <si>
    <t>CHP plants - Main activity - peat</t>
  </si>
  <si>
    <t>Electricity plants - Main activity - peat</t>
  </si>
  <si>
    <t>Heat plants - Main activity - peat</t>
  </si>
  <si>
    <t>Electricity, CHP and Heat plants - Autoproducer - peat</t>
  </si>
  <si>
    <t>CHP plants - Autoproducer - peat</t>
  </si>
  <si>
    <t>Electricity plants - Autoproducer - peat</t>
  </si>
  <si>
    <t>Heat plants - Autoproducer - peat</t>
  </si>
  <si>
    <t>Electricity, CHP and Heat plants - Main activity - solid coal products</t>
  </si>
  <si>
    <t>CHP plants - Main activity - solid coal products</t>
  </si>
  <si>
    <t>Electricity plants - Main activity - solid coal products</t>
  </si>
  <si>
    <t>Heat plants - Main activity - solid coal products</t>
  </si>
  <si>
    <t>Electricity, CHP and Heat plants - Autoproducer - solid coal products</t>
  </si>
  <si>
    <t>CHP plants - Autoproducer - solid coal products</t>
  </si>
  <si>
    <t>Electricity plants - Autoproducer - solid coal products</t>
  </si>
  <si>
    <t>Heat plants - Autoproducer - solid coal products</t>
  </si>
  <si>
    <t>Electricity, CHP and Heat plants - Main activity - gas coal products</t>
  </si>
  <si>
    <t>CHP plants - Main activity - gas coal products</t>
  </si>
  <si>
    <t>Electricity plants - Main activity - gas coal products</t>
  </si>
  <si>
    <t>Heat plants - Main activity - gas coal products</t>
  </si>
  <si>
    <t>Electricity, CHP and Heat plants - Autoproducer - gas coal products</t>
  </si>
  <si>
    <t>CHP plants - Autoproducer - gas coal products</t>
  </si>
  <si>
    <t>Electricity plants - Autoproducer - gas coal products</t>
  </si>
  <si>
    <t>Heat plants - Autoproducer - gas coal products</t>
  </si>
  <si>
    <t>Electricity, CHP and Heat plants - Main activity - crude oil</t>
  </si>
  <si>
    <t>CHP plants - Main activity - crude oil</t>
  </si>
  <si>
    <t>Electricity plants - Main activity - crude oil</t>
  </si>
  <si>
    <t>Heat plants - Main activity - crude oil</t>
  </si>
  <si>
    <t>Electricity, CHP and Heat plants - Autoproducer - crude oil</t>
  </si>
  <si>
    <t>CHP plants - Autoproducer - crude oil</t>
  </si>
  <si>
    <t>Electricity plants - Autoproducer - crude oil</t>
  </si>
  <si>
    <t>Heat plants - Autoproducer - crude oil</t>
  </si>
  <si>
    <t>Electricity, CHP and Heat plants - Main activity - natural gas</t>
  </si>
  <si>
    <t>CHP plants - Main activity - natural gas</t>
  </si>
  <si>
    <t>Electricity plants - Main activity - natural gas</t>
  </si>
  <si>
    <t>Heat plants - Main activity - natural gas</t>
  </si>
  <si>
    <t>Electricity, CHP and Heat plants - Autoproducer - natural gas</t>
  </si>
  <si>
    <t>CHP plants - Autoproducer - natural gas</t>
  </si>
  <si>
    <t>Electricity plants - Autoproducer - natural gas</t>
  </si>
  <si>
    <t>Heat plants - Autoproducer - natural gas</t>
  </si>
  <si>
    <t>015CB</t>
  </si>
  <si>
    <t>015HCO</t>
  </si>
  <si>
    <t>015HCOC</t>
  </si>
  <si>
    <t>015HCOE</t>
  </si>
  <si>
    <t>015HCOH</t>
  </si>
  <si>
    <t>016HCOP</t>
  </si>
  <si>
    <t>016HCOC</t>
  </si>
  <si>
    <t>016HCOE</t>
  </si>
  <si>
    <t>016HCOH</t>
  </si>
  <si>
    <t>015CGC</t>
  </si>
  <si>
    <t>015CGE</t>
  </si>
  <si>
    <t>015CGH</t>
  </si>
  <si>
    <t>016CGP</t>
  </si>
  <si>
    <t>016CGC</t>
  </si>
  <si>
    <t>016CGE</t>
  </si>
  <si>
    <t>016CGH</t>
  </si>
  <si>
    <t>015SHC</t>
  </si>
  <si>
    <t>015SHE</t>
  </si>
  <si>
    <t>015SHH</t>
  </si>
  <si>
    <t>016SHP</t>
  </si>
  <si>
    <t>016SHC</t>
  </si>
  <si>
    <t>016SHE</t>
  </si>
  <si>
    <t>016SHH</t>
  </si>
  <si>
    <t>015PTC</t>
  </si>
  <si>
    <t>015PTE</t>
  </si>
  <si>
    <t>015PTH</t>
  </si>
  <si>
    <t>016PTP</t>
  </si>
  <si>
    <t>016PTC</t>
  </si>
  <si>
    <t>016PTE</t>
  </si>
  <si>
    <t>016PTH</t>
  </si>
  <si>
    <t>015CSC</t>
  </si>
  <si>
    <t>015CSE</t>
  </si>
  <si>
    <t>015CSH</t>
  </si>
  <si>
    <t>016CSP</t>
  </si>
  <si>
    <t>016CSC</t>
  </si>
  <si>
    <t>016CSE</t>
  </si>
  <si>
    <t>016CSH</t>
  </si>
  <si>
    <t>015COC</t>
  </si>
  <si>
    <t>015COE</t>
  </si>
  <si>
    <t>015COH</t>
  </si>
  <si>
    <t>016COP</t>
  </si>
  <si>
    <t>016COC</t>
  </si>
  <si>
    <t>016COE</t>
  </si>
  <si>
    <t>016COH</t>
  </si>
  <si>
    <t>015NGC</t>
  </si>
  <si>
    <t>015NGE</t>
  </si>
  <si>
    <t>015NGH</t>
  </si>
  <si>
    <t>016NGP</t>
  </si>
  <si>
    <t>016NGC</t>
  </si>
  <si>
    <t>016NGE</t>
  </si>
  <si>
    <t>016NGH</t>
  </si>
  <si>
    <t>015NG</t>
  </si>
  <si>
    <t>015CO</t>
  </si>
  <si>
    <t>015CS</t>
  </si>
  <si>
    <t>015PT</t>
  </si>
  <si>
    <t>015SH</t>
  </si>
  <si>
    <t>015CG</t>
  </si>
  <si>
    <t>Electricity, CHP and Heat plants - Main activity - Solar CSP</t>
  </si>
  <si>
    <t>CHP plants - Main activity - Solar CSP</t>
  </si>
  <si>
    <t>Electricity plants - Main activity - Solar CSP</t>
  </si>
  <si>
    <t>Heat plants - Main activity - Solar CSP</t>
  </si>
  <si>
    <t>Electricity, CHP and Heat plants - Autoproducer - Solar CSP</t>
  </si>
  <si>
    <t>CHP plants - Autoproducer - Solar CSP</t>
  </si>
  <si>
    <t>Electricity plants - Autoproducer - Solar CSP</t>
  </si>
  <si>
    <t>Heat plants - Autoproducer - Solar CSP</t>
  </si>
  <si>
    <t>015CSP</t>
  </si>
  <si>
    <t>016CSPP</t>
  </si>
  <si>
    <t>Electricity, CHP and Heat plants - combustible fuels</t>
  </si>
  <si>
    <t>CHP plants - combustible fuels</t>
  </si>
  <si>
    <t>Electricity plants - combustible fuels</t>
  </si>
  <si>
    <t>Heat plants - combustible fuels</t>
  </si>
  <si>
    <t>Electricity, CHP and Heat plants - Geothermal</t>
  </si>
  <si>
    <t>CHP plants - Geothermal</t>
  </si>
  <si>
    <t>Electricity plants - Geothermal</t>
  </si>
  <si>
    <t>Heat plants - Geothermal</t>
  </si>
  <si>
    <t>Electricity, CHP and Heat plants - chemical heat/sources</t>
  </si>
  <si>
    <t>CHP plants - chemical heat/sources</t>
  </si>
  <si>
    <t>Electricity plants - chemical heat/sources</t>
  </si>
  <si>
    <t>Heat plants - chemical heat/sources</t>
  </si>
  <si>
    <t>Electricity plants - Hydro</t>
  </si>
  <si>
    <t>Electricity, CHP and Heat plants - Nuclear</t>
  </si>
  <si>
    <t>CHP plants - Nuclear</t>
  </si>
  <si>
    <t>Electricity plants - Nuclear</t>
  </si>
  <si>
    <t>Electricity, CHP and Heat plants - other sources</t>
  </si>
  <si>
    <t>CHP plants - other sources</t>
  </si>
  <si>
    <t>Electricity plants - other sources</t>
  </si>
  <si>
    <t>Heat plants - other sources</t>
  </si>
  <si>
    <t>Electricity plants - Pumped hydro</t>
  </si>
  <si>
    <t>Electricity, CHP and Heat plants - Solar</t>
  </si>
  <si>
    <t>Electricity plants - Solar PV</t>
  </si>
  <si>
    <t>Electricity plants - Tide, wave and marine</t>
  </si>
  <si>
    <t>Electricity plants - Wind</t>
  </si>
  <si>
    <t>Heat plants - heat pumps</t>
  </si>
  <si>
    <t>Heat plants - Nuclear</t>
  </si>
  <si>
    <t>Electricity, CHP and Heat plants - other oil products</t>
  </si>
  <si>
    <t>CHP plants - other oil products</t>
  </si>
  <si>
    <t>Electricity plants - other oil products</t>
  </si>
  <si>
    <t>Heat plants - other oil products</t>
  </si>
  <si>
    <t>Electricity, CHP and Heat plants - fuel oil</t>
  </si>
  <si>
    <t>CHP plants - fuel oil</t>
  </si>
  <si>
    <t>Electricity plants - fuel oil</t>
  </si>
  <si>
    <t>Heat plants - fuel oil</t>
  </si>
  <si>
    <t>Electricity, CHP and Heat plants - gas oil/diesel oil</t>
  </si>
  <si>
    <t>CHP plants - gas oil/diesel oil</t>
  </si>
  <si>
    <t>Electricity plants - gas oil/diesel oil</t>
  </si>
  <si>
    <t>Heat plants - gas oil/diesel oil</t>
  </si>
  <si>
    <t>Electricity, CHP and Heat plants - bagasse</t>
  </si>
  <si>
    <t>CHP plants - bagasse</t>
  </si>
  <si>
    <t>Electricity plants - bagasse</t>
  </si>
  <si>
    <t>Heat plants - bagasse</t>
  </si>
  <si>
    <t>Electricity, CHP and Heat plants - biogases</t>
  </si>
  <si>
    <t>CHP plants - biogases</t>
  </si>
  <si>
    <t>Electricity plants - biogases</t>
  </si>
  <si>
    <t>Heat plants - biogases</t>
  </si>
  <si>
    <t>Electricity, CHP and Heat plants - liquid biofuels</t>
  </si>
  <si>
    <t>CHP plants - liquid biofuels</t>
  </si>
  <si>
    <t>Electricity plants - liquid biofuels</t>
  </si>
  <si>
    <t>Heat plants - liquid biofuels</t>
  </si>
  <si>
    <t>Electricity, CHP and Heat plants - wood</t>
  </si>
  <si>
    <t>CHP plants - wood</t>
  </si>
  <si>
    <t>Electricity plants - wood</t>
  </si>
  <si>
    <t>Heat plants - wood</t>
  </si>
  <si>
    <t>Electricity, CHP and Heat plants - other solid biofuels</t>
  </si>
  <si>
    <t>CHP plants - other solid biofuels</t>
  </si>
  <si>
    <t>Electricity plants - other solid biofuels</t>
  </si>
  <si>
    <t>Heat plants - other solid biofuels</t>
  </si>
  <si>
    <t>Electricity, CHP and Heat plants - municipal solid waste</t>
  </si>
  <si>
    <t>CHP plants - municipal solid waste</t>
  </si>
  <si>
    <t>Electricity plants - municipal solid waste</t>
  </si>
  <si>
    <t>Heat plants - municipal solid waste</t>
  </si>
  <si>
    <t>Electricity, CHP and Heat plants - industrial solid waste</t>
  </si>
  <si>
    <t>CHP plants - industrial solid waste</t>
  </si>
  <si>
    <t>Electricity plants - industrial solid waste</t>
  </si>
  <si>
    <t>Heat plants - industrial solid waste</t>
  </si>
  <si>
    <t>Electricity, CHP and Heat plants - brown coal</t>
  </si>
  <si>
    <t>CHP plants - brown coal</t>
  </si>
  <si>
    <t>Electricity plants - brown coal</t>
  </si>
  <si>
    <t>Heat plants - brown coal</t>
  </si>
  <si>
    <t>Electricity, CHP and Heat plants - hard coal</t>
  </si>
  <si>
    <t>CHP plants - hard coal</t>
  </si>
  <si>
    <t>Electricity plants - hard coal</t>
  </si>
  <si>
    <t>Heat plants - hard coal</t>
  </si>
  <si>
    <t>Electricity, CHP and Heat plants - gas coal products</t>
  </si>
  <si>
    <t>CHP plants - gas coal products</t>
  </si>
  <si>
    <t>Electricity plants - gas coal products</t>
  </si>
  <si>
    <t>Heat plants - gas coal products</t>
  </si>
  <si>
    <t>Electricity, CHP and Heat plants - shale</t>
  </si>
  <si>
    <t>CHP plants - shale</t>
  </si>
  <si>
    <t>Electricity plants - shale</t>
  </si>
  <si>
    <t>Heat plants - shale</t>
  </si>
  <si>
    <t>Electricity, CHP and Heat plants - peat</t>
  </si>
  <si>
    <t>CHP plants - peat</t>
  </si>
  <si>
    <t>Electricity plants - peat</t>
  </si>
  <si>
    <t>Heat plants - peat</t>
  </si>
  <si>
    <t>Electricity, CHP and Heat plants - solid coal products</t>
  </si>
  <si>
    <t>CHP plants - solid coal products</t>
  </si>
  <si>
    <t>Electricity plants - solid coal products</t>
  </si>
  <si>
    <t>Heat plants - solid coal products</t>
  </si>
  <si>
    <t>Electricity, CHP and Heat plants - crude oil</t>
  </si>
  <si>
    <t>CHP plants - crude oil</t>
  </si>
  <si>
    <t>Electricity plants - crude oil</t>
  </si>
  <si>
    <t>Heat plants - crude oil</t>
  </si>
  <si>
    <t>Electricity, CHP and Heat plants - natural gas</t>
  </si>
  <si>
    <t>CHP plants - natural gas</t>
  </si>
  <si>
    <t>Electricity plants - natural gas</t>
  </si>
  <si>
    <t>Heat plants - natural gas</t>
  </si>
  <si>
    <t>Electricity, CHP and Heat plants - Solar CSP</t>
  </si>
  <si>
    <t>CHP plants - Solar CSP</t>
  </si>
  <si>
    <t>Electricity plants - Solar CSP</t>
  </si>
  <si>
    <t>Heat plants - Solar CSP</t>
  </si>
  <si>
    <t>Refinery feedstocks in receipts from other sources are produced by petrochemical plants</t>
  </si>
  <si>
    <t>Heat plants - Main activity - electric boilers</t>
  </si>
  <si>
    <t>Heat plants - electric boilers</t>
  </si>
  <si>
    <t>Electricity plants - Main activity - Pumped hydro</t>
  </si>
  <si>
    <t>Removing pumped hydro generation from total hydro</t>
  </si>
  <si>
    <t>Combustible plant</t>
  </si>
  <si>
    <t>Yes</t>
  </si>
  <si>
    <t>Electricity and heat from gas coal products</t>
  </si>
  <si>
    <t>Transformation rules</t>
  </si>
  <si>
    <t>EnergyCode</t>
  </si>
  <si>
    <t>ST</t>
  </si>
  <si>
    <t>CL</t>
  </si>
  <si>
    <t>AT</t>
  </si>
  <si>
    <t>CC</t>
  </si>
  <si>
    <t>OB</t>
  </si>
  <si>
    <t>LB</t>
  </si>
  <si>
    <t>SB</t>
  </si>
  <si>
    <t>LN</t>
  </si>
  <si>
    <t>OK</t>
  </si>
  <si>
    <t>GK</t>
  </si>
  <si>
    <t>BC</t>
  </si>
  <si>
    <t>CT</t>
  </si>
  <si>
    <t>OG</t>
  </si>
  <si>
    <t>BG</t>
  </si>
  <si>
    <t>BO</t>
  </si>
  <si>
    <t>PT</t>
  </si>
  <si>
    <t>BP</t>
  </si>
  <si>
    <t>CR</t>
  </si>
  <si>
    <t>FS</t>
  </si>
  <si>
    <t>AO</t>
  </si>
  <si>
    <t>OH</t>
  </si>
  <si>
    <t>RG</t>
  </si>
  <si>
    <t>EA</t>
  </si>
  <si>
    <t>NP</t>
  </si>
  <si>
    <t>AV</t>
  </si>
  <si>
    <t>MO</t>
  </si>
  <si>
    <t>GJ</t>
  </si>
  <si>
    <t>JF</t>
  </si>
  <si>
    <t>KR</t>
  </si>
  <si>
    <t>RF</t>
  </si>
  <si>
    <t>LU</t>
  </si>
  <si>
    <t>PW</t>
  </si>
  <si>
    <t>PK</t>
  </si>
  <si>
    <t>BT</t>
  </si>
  <si>
    <t>PP</t>
  </si>
  <si>
    <t>BS</t>
  </si>
  <si>
    <t>AW</t>
  </si>
  <si>
    <t>PU</t>
  </si>
  <si>
    <t>VW</t>
  </si>
  <si>
    <t>CH</t>
  </si>
  <si>
    <t>AL</t>
  </si>
  <si>
    <t>BJ</t>
  </si>
  <si>
    <t>OL</t>
  </si>
  <si>
    <t>BI</t>
  </si>
  <si>
    <t>IW</t>
  </si>
  <si>
    <t>EL</t>
  </si>
  <si>
    <t>EN</t>
  </si>
  <si>
    <t>EO</t>
  </si>
  <si>
    <t>ES</t>
  </si>
  <si>
    <t>ET</t>
  </si>
  <si>
    <t>EW</t>
  </si>
  <si>
    <t>HF</t>
  </si>
  <si>
    <t>NG</t>
  </si>
  <si>
    <t>BD</t>
  </si>
  <si>
    <t>BB</t>
  </si>
  <si>
    <t>GG</t>
  </si>
  <si>
    <t>OS</t>
  </si>
  <si>
    <t>ZJ</t>
  </si>
  <si>
    <t>ZD</t>
  </si>
  <si>
    <t>ZG</t>
  </si>
  <si>
    <t>FW</t>
  </si>
  <si>
    <t>GL</t>
  </si>
  <si>
    <t>DL</t>
  </si>
  <si>
    <t>EG</t>
  </si>
  <si>
    <t>EH</t>
  </si>
  <si>
    <t>LP</t>
  </si>
  <si>
    <t>WS</t>
  </si>
  <si>
    <t>crfomid</t>
  </si>
  <si>
    <t>ctoid</t>
  </si>
  <si>
    <t>01SBFO</t>
  </si>
  <si>
    <t>Electricity and heat from other solid biofuels</t>
  </si>
  <si>
    <t>creating other solid biofuels = total solid biofuels</t>
  </si>
  <si>
    <t>removing bagasse from other solid biofuels</t>
  </si>
  <si>
    <t>creating fuel-detail plant from consumption in generic combustible plant</t>
  </si>
  <si>
    <t>Moving refinery feedstocks consumed in oil refineries to crude oil consumption in oil refineries</t>
  </si>
  <si>
    <t>Energy plants - combustible fuels</t>
  </si>
  <si>
    <t>Transaction name</t>
  </si>
  <si>
    <t>Electricity and heat</t>
  </si>
  <si>
    <t>016CO</t>
  </si>
  <si>
    <t>EB</t>
  </si>
  <si>
    <t>EBG</t>
  </si>
  <si>
    <t>ECB</t>
  </si>
  <si>
    <t>ECO</t>
  </si>
  <si>
    <t>EFO</t>
  </si>
  <si>
    <t>ECG</t>
  </si>
  <si>
    <t>ED</t>
  </si>
  <si>
    <t>EHCO</t>
  </si>
  <si>
    <t>EISW</t>
  </si>
  <si>
    <t>EBL</t>
  </si>
  <si>
    <t>EMSW</t>
  </si>
  <si>
    <t>ENG</t>
  </si>
  <si>
    <t>EOP</t>
  </si>
  <si>
    <t>EBS</t>
  </si>
  <si>
    <t>EPT</t>
  </si>
  <si>
    <t>EPH</t>
  </si>
  <si>
    <t>ESH</t>
  </si>
  <si>
    <t>ECSP</t>
  </si>
  <si>
    <t>ECS</t>
  </si>
  <si>
    <t>EWD</t>
  </si>
  <si>
    <t>Energy plants - bagasse</t>
  </si>
  <si>
    <t>Energy plants - biogases</t>
  </si>
  <si>
    <t>Energy plants - brown coal</t>
  </si>
  <si>
    <t>Energy plants - chemical heat/sources</t>
  </si>
  <si>
    <t>Energy plants - crude oil</t>
  </si>
  <si>
    <t>Energy plants - fuel oil</t>
  </si>
  <si>
    <t>Energy plants - gas coal products</t>
  </si>
  <si>
    <t>Energy plants - gas oil/diesel oil</t>
  </si>
  <si>
    <t>Energy plants - Geothermal</t>
  </si>
  <si>
    <t>Energy plants - hard coal</t>
  </si>
  <si>
    <t>Energy plants - industrial solid waste</t>
  </si>
  <si>
    <t>Energy plants - liquid biofuels</t>
  </si>
  <si>
    <t>Energy plants - municipal solid waste</t>
  </si>
  <si>
    <t>Energy plants - natural gas</t>
  </si>
  <si>
    <t>Energy plants - Nuclear</t>
  </si>
  <si>
    <t>Energy plants - other oil products</t>
  </si>
  <si>
    <t>Energy plants - other solid biofuels</t>
  </si>
  <si>
    <t>Energy plants - other sources</t>
  </si>
  <si>
    <t>Energy plants - peat</t>
  </si>
  <si>
    <t>Energy plants - Pumped hydro</t>
  </si>
  <si>
    <t>Energy plants - shale</t>
  </si>
  <si>
    <t>Energy plants - Solar</t>
  </si>
  <si>
    <t>Energy plants - Solar CSP</t>
  </si>
  <si>
    <t>Energy plants - solid coal products</t>
  </si>
  <si>
    <t>Energy plants - wood</t>
  </si>
  <si>
    <t>CHPPLANT</t>
  </si>
  <si>
    <t>Oil Products (S)</t>
  </si>
  <si>
    <t>Natural Gas (S)</t>
  </si>
  <si>
    <t>Heat (S)</t>
  </si>
  <si>
    <t>Electricity (S)</t>
  </si>
  <si>
    <t>IC Combustible fuels - Renewable</t>
  </si>
  <si>
    <t>DNI UN Transaction</t>
  </si>
  <si>
    <t>Reflecting heat input from nuclear as nuclear production</t>
  </si>
  <si>
    <t>Creating heat input at specific geothermal plant</t>
  </si>
  <si>
    <t>0883B</t>
  </si>
  <si>
    <t>0883BG</t>
  </si>
  <si>
    <t>0883BL</t>
  </si>
  <si>
    <t>0883BS</t>
  </si>
  <si>
    <t>0883C</t>
  </si>
  <si>
    <t>0883CB</t>
  </si>
  <si>
    <t>0883CG</t>
  </si>
  <si>
    <t>0883CS</t>
  </si>
  <si>
    <t>0883D</t>
  </si>
  <si>
    <t>0883EB</t>
  </si>
  <si>
    <t>0883FO</t>
  </si>
  <si>
    <t>0883G</t>
  </si>
  <si>
    <t>0883H</t>
  </si>
  <si>
    <t>0883HCO</t>
  </si>
  <si>
    <t>0883HP</t>
  </si>
  <si>
    <t>0883ISW</t>
  </si>
  <si>
    <t>0883MSW</t>
  </si>
  <si>
    <t>0883N</t>
  </si>
  <si>
    <t>0883NG</t>
  </si>
  <si>
    <t>0883O</t>
  </si>
  <si>
    <t>0883OP</t>
  </si>
  <si>
    <t>0883PLANT</t>
  </si>
  <si>
    <t>0883PT</t>
  </si>
  <si>
    <t>0883SH</t>
  </si>
  <si>
    <t>0883WD</t>
  </si>
  <si>
    <t>0881B</t>
  </si>
  <si>
    <t>0881BG</t>
  </si>
  <si>
    <t>0881BL</t>
  </si>
  <si>
    <t>0881BS</t>
  </si>
  <si>
    <t>0881C</t>
  </si>
  <si>
    <t>0881CB</t>
  </si>
  <si>
    <t>0881CG</t>
  </si>
  <si>
    <t>0881CO</t>
  </si>
  <si>
    <t>0881CS</t>
  </si>
  <si>
    <t>0881D</t>
  </si>
  <si>
    <t>0881FO</t>
  </si>
  <si>
    <t>0881G</t>
  </si>
  <si>
    <t>0881H</t>
  </si>
  <si>
    <t>0881HCO</t>
  </si>
  <si>
    <t>0881HY</t>
  </si>
  <si>
    <t>0881ISW</t>
  </si>
  <si>
    <t>0881MSW</t>
  </si>
  <si>
    <t>0881N</t>
  </si>
  <si>
    <t>0881NG</t>
  </si>
  <si>
    <t>0881O</t>
  </si>
  <si>
    <t>0881OP</t>
  </si>
  <si>
    <t>0881PH</t>
  </si>
  <si>
    <t>0881PLANT</t>
  </si>
  <si>
    <t>0881PT</t>
  </si>
  <si>
    <t>0881SH</t>
  </si>
  <si>
    <t>0881SP</t>
  </si>
  <si>
    <t>0881T</t>
  </si>
  <si>
    <t>0881W</t>
  </si>
  <si>
    <t>0881WD</t>
  </si>
  <si>
    <t>0882B</t>
  </si>
  <si>
    <t>0882BG</t>
  </si>
  <si>
    <t>0882BL</t>
  </si>
  <si>
    <t>0882BS</t>
  </si>
  <si>
    <t>0882C</t>
  </si>
  <si>
    <t>0882CB</t>
  </si>
  <si>
    <t>0882CG</t>
  </si>
  <si>
    <t>0882CO</t>
  </si>
  <si>
    <t>0882CS</t>
  </si>
  <si>
    <t>0882D</t>
  </si>
  <si>
    <t>0882FO</t>
  </si>
  <si>
    <t>0882G</t>
  </si>
  <si>
    <t>0882H</t>
  </si>
  <si>
    <t>0882HCO</t>
  </si>
  <si>
    <t>0882ISW</t>
  </si>
  <si>
    <t>0882MSW</t>
  </si>
  <si>
    <t>0882N</t>
  </si>
  <si>
    <t>0882NG</t>
  </si>
  <si>
    <t>0882O</t>
  </si>
  <si>
    <t>0882OP</t>
  </si>
  <si>
    <t>0882PLANT</t>
  </si>
  <si>
    <t>0882PT</t>
  </si>
  <si>
    <t>0882SH</t>
  </si>
  <si>
    <t>0882ST</t>
  </si>
  <si>
    <t>0882WD</t>
  </si>
  <si>
    <t>Production -&gt; Briquetting plants</t>
  </si>
  <si>
    <t>Production -&gt; 0</t>
  </si>
  <si>
    <t>Production -&gt; Coke ovens</t>
  </si>
  <si>
    <t>Production -&gt; Gas works</t>
  </si>
  <si>
    <t>Production -&gt; Blast furnaces</t>
  </si>
  <si>
    <t>duplicates</t>
  </si>
  <si>
    <t>Receipts -&gt; Blending plants</t>
  </si>
  <si>
    <t>Receipts -&gt; 0</t>
  </si>
  <si>
    <t>Other transformation -&gt; 0</t>
  </si>
  <si>
    <t>Other transformation -&gt; NG blending plants</t>
  </si>
  <si>
    <t>Receipts -&gt; coal liquefaction</t>
  </si>
  <si>
    <t>Receipts -&gt; GTL plants</t>
  </si>
  <si>
    <t>Receipts -&gt; other transformation</t>
  </si>
  <si>
    <t>Oil refineries -&gt; 0</t>
  </si>
  <si>
    <t>Oil refineries -&gt; transfers</t>
  </si>
  <si>
    <t>Receipts -&gt; NG blending</t>
  </si>
  <si>
    <t>Changing sign</t>
  </si>
  <si>
    <t>Commodity-transaction</t>
  </si>
  <si>
    <t>Commodity name</t>
  </si>
  <si>
    <t>Receipts -&gt; coke ovens</t>
  </si>
  <si>
    <t>pumped hydro -&gt; own use</t>
  </si>
  <si>
    <t>Production -&gt; coke ovens</t>
  </si>
  <si>
    <t>Production -&gt; charcoal plants</t>
  </si>
  <si>
    <t>Receipts -&gt; charcoal plants</t>
  </si>
  <si>
    <t>Production -&gt; - solar thermal</t>
  </si>
  <si>
    <t>IC Solar CSP - Main activity producers</t>
  </si>
  <si>
    <t>IC Solar CSP - Autoproducers</t>
  </si>
  <si>
    <t>Removing solar thermal electricity from solar electricity production</t>
  </si>
  <si>
    <t>Rule</t>
  </si>
  <si>
    <t>016STH</t>
  </si>
  <si>
    <t>015STH</t>
  </si>
  <si>
    <t>0883ST</t>
  </si>
  <si>
    <t>0881ST</t>
  </si>
  <si>
    <t>016STC</t>
  </si>
  <si>
    <t>015STC</t>
  </si>
  <si>
    <t>015HH</t>
  </si>
  <si>
    <t>Heat plants - Main activity - chemical heat/sources</t>
  </si>
  <si>
    <t>Geothermal electricity production -&gt; heat production</t>
  </si>
  <si>
    <t>Geothermal heat production -&gt; heat production</t>
  </si>
  <si>
    <t>solar thermal elec -&gt; heat production</t>
  </si>
  <si>
    <t>solar thermal heat -&gt; heat production</t>
  </si>
  <si>
    <t>chemical heat use -&gt; heat production</t>
  </si>
  <si>
    <t>DG TFEC -&gt; Production</t>
  </si>
  <si>
    <t>DS TFEC -&gt; Production</t>
  </si>
  <si>
    <t>016NH</t>
  </si>
  <si>
    <t>Heat plants - Autoproducer - Nuclear</t>
  </si>
  <si>
    <t>Electricity -&gt; Nuclear heat</t>
  </si>
  <si>
    <t>Heat -&gt; Nuclear heat</t>
  </si>
  <si>
    <t>Nuclear electricity -&gt; Nuclear production</t>
  </si>
  <si>
    <t>Heat pump definition</t>
  </si>
  <si>
    <t>Electric boiler definition</t>
  </si>
  <si>
    <t>Nuclear electricity -&gt; 0</t>
  </si>
  <si>
    <t>Heat pump -&gt; 0</t>
  </si>
  <si>
    <t>Electric boiler -&gt; 0</t>
  </si>
  <si>
    <t>These transformations will be applied to the commodity balance data. Each rule creates new data points.</t>
  </si>
  <si>
    <t>Sign change rule for commodity-transaction pairs where we just flip the sign in the OBS_VALUE</t>
  </si>
  <si>
    <t>Production from plants -&gt; Gas blending plants</t>
  </si>
  <si>
    <t>Production from plants -&gt; 0</t>
  </si>
  <si>
    <t>Receipts -&gt; briquetting plants</t>
  </si>
  <si>
    <t>Receipts -&gt; blast furnaces</t>
  </si>
  <si>
    <t>Receipts -&gt; Blast furnaces</t>
  </si>
  <si>
    <t>Production -&gt; other transformation</t>
  </si>
  <si>
    <t>Receipts -&gt; oil refineries</t>
  </si>
  <si>
    <t>Geothermal electricity production -&gt; 0</t>
  </si>
  <si>
    <t>Geothermal heat plant -&gt; change sign</t>
  </si>
  <si>
    <t>Geothermal CHP plant -&gt; change sign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</si>
</sst>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1"/>
      <name val="Aptos"/>
      <family val="2"/>
    </font>
    <font>
      <sz val="11"/>
      <color theme="1"/>
      <name val="Aptos"/>
      <family val="2"/>
    </font>
    <font>
      <sz val="11"/>
      <color theme="1"/>
      <name val="Aptos"/>
      <family val="2"/>
    </font>
    <font>
      <sz val="11"/>
      <color theme="1"/>
      <name val="Aptos"/>
      <family val="2"/>
    </font>
    <font>
      <b/>
      <sz val="11"/>
      <color theme="1"/>
      <name val="Aptos"/>
      <family val="2"/>
    </font>
    <font>
      <sz val="8"/>
      <name val="Calibri"/>
      <family val="2"/>
      <scheme val="minor"/>
    </font>
    <font>
      <sz val="11"/>
      <color theme="0"/>
      <name val="Aptos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quotePrefix="1"/>
    <xf numFmtId="0" fontId="0" fillId="0" borderId="0" xfId="0" applyAlignment="1">
      <alignment horizontal="left"/>
    </xf>
    <xf numFmtId="0" fontId="5" fillId="0" borderId="0" xfId="0" applyFont="1"/>
    <xf numFmtId="0" fontId="4" fillId="0" borderId="0" xfId="0" applyFont="1"/>
    <xf numFmtId="0" fontId="4" fillId="0" borderId="0" xfId="0" applyFont="1" applyAlignment="1">
      <alignment horizontal="left"/>
    </xf>
    <xf numFmtId="0" fontId="4" fillId="0" borderId="0" xfId="0" quotePrefix="1" applyFont="1"/>
    <xf numFmtId="0" fontId="4" fillId="0" borderId="0" xfId="0" applyFont="1" applyAlignment="1">
      <alignment horizontal="left" indent="1"/>
    </xf>
    <xf numFmtId="49" fontId="4" fillId="0" borderId="0" xfId="0" applyNumberFormat="1" applyFont="1"/>
    <xf numFmtId="0" fontId="4" fillId="0" borderId="0" xfId="0" quotePrefix="1" applyFont="1" applyAlignment="1">
      <alignment horizontal="left"/>
    </xf>
    <xf numFmtId="2" fontId="4" fillId="0" borderId="0" xfId="0" quotePrefix="1" applyNumberFormat="1" applyFont="1"/>
    <xf numFmtId="2" fontId="4" fillId="0" borderId="0" xfId="0" applyNumberFormat="1" applyFont="1"/>
    <xf numFmtId="0" fontId="3" fillId="0" borderId="0" xfId="0" applyFont="1"/>
    <xf numFmtId="0" fontId="3" fillId="0" borderId="0" xfId="0" applyFont="1" applyAlignment="1">
      <alignment horizontal="left"/>
    </xf>
    <xf numFmtId="0" fontId="3" fillId="0" borderId="0" xfId="0" quotePrefix="1" applyFont="1" applyAlignment="1">
      <alignment horizontal="left"/>
    </xf>
    <xf numFmtId="0" fontId="2" fillId="0" borderId="0" xfId="0" applyFont="1" applyAlignment="1">
      <alignment horizontal="left"/>
    </xf>
    <xf numFmtId="0" fontId="2" fillId="0" borderId="0" xfId="0" applyFont="1"/>
    <xf numFmtId="2" fontId="2" fillId="0" borderId="0" xfId="0" applyNumberFormat="1" applyFont="1"/>
    <xf numFmtId="0" fontId="1" fillId="0" borderId="0" xfId="0" applyFont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left" indent="1"/>
    </xf>
    <xf numFmtId="0" fontId="1" fillId="0" borderId="0" xfId="0" quotePrefix="1" applyFont="1"/>
    <xf numFmtId="0" fontId="1" fillId="0" borderId="0" xfId="0" applyNumberFormat="1" applyFont="1"/>
    <xf numFmtId="0" fontId="4" fillId="2" borderId="0" xfId="0" applyFont="1" applyFill="1" applyAlignment="1">
      <alignment horizontal="left"/>
    </xf>
    <xf numFmtId="0" fontId="4" fillId="2" borderId="0" xfId="0" applyFont="1" applyFill="1"/>
    <xf numFmtId="0" fontId="4" fillId="2" borderId="0" xfId="0" quotePrefix="1" applyFont="1" applyFill="1" applyAlignment="1">
      <alignment horizontal="left"/>
    </xf>
    <xf numFmtId="0" fontId="1" fillId="2" borderId="0" xfId="0" applyNumberFormat="1" applyFont="1" applyFill="1"/>
    <xf numFmtId="0" fontId="4" fillId="2" borderId="1" xfId="0" applyFont="1" applyFill="1" applyBorder="1"/>
    <xf numFmtId="0" fontId="4" fillId="2" borderId="0" xfId="0" applyFont="1" applyFill="1" applyBorder="1"/>
    <xf numFmtId="0" fontId="1" fillId="2" borderId="0" xfId="0" applyNumberFormat="1" applyFont="1" applyFill="1" applyBorder="1"/>
    <xf numFmtId="0" fontId="1" fillId="2" borderId="1" xfId="0" applyNumberFormat="1" applyFont="1" applyFill="1" applyBorder="1"/>
    <xf numFmtId="2" fontId="1" fillId="0" borderId="0" xfId="0" applyNumberFormat="1" applyFont="1"/>
    <xf numFmtId="2" fontId="1" fillId="0" borderId="0" xfId="0" quotePrefix="1" applyNumberFormat="1" applyFont="1"/>
    <xf numFmtId="0" fontId="7" fillId="0" borderId="0" xfId="0" applyNumberFormat="1" applyFont="1"/>
    <xf numFmtId="0" fontId="2" fillId="2" borderId="0" xfId="0" applyFont="1" applyFill="1"/>
    <xf numFmtId="0" fontId="1" fillId="0" borderId="0" xfId="0" quotePrefix="1" applyFont="1" applyAlignment="1">
      <alignment horizontal="left"/>
    </xf>
  </cellXfs>
  <cellStyles count="1">
    <cellStyle name="Normal" xfId="0" builtinId="0"/>
  </cellStyles>
  <dxfs count="45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family val="2"/>
        <scheme val="none"/>
      </font>
      <numFmt numFmtId="0" formatCode="General"/>
      <fill>
        <patternFill patternType="solid">
          <fgColor indexed="64"/>
          <bgColor theme="0" tint="-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"/>
        <family val="2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family val="2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family val="2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family val="2"/>
        <scheme val="none"/>
      </font>
      <numFmt numFmtId="0" formatCode="General"/>
      <fill>
        <patternFill patternType="solid">
          <fgColor indexed="64"/>
          <bgColor theme="0" tint="-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family val="2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family val="2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family val="2"/>
        <scheme val="none"/>
      </font>
      <numFmt numFmtId="0" formatCode="General"/>
      <fill>
        <patternFill patternType="solid">
          <fgColor indexed="64"/>
          <bgColor theme="0" tint="-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family val="2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family val="2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family val="2"/>
        <scheme val="none"/>
      </font>
      <numFmt numFmtId="0" formatCode="General"/>
      <fill>
        <patternFill patternType="solid">
          <fgColor indexed="64"/>
          <bgColor theme="0" tint="-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family val="2"/>
        <scheme val="none"/>
      </font>
      <numFmt numFmtId="0" formatCode="General"/>
      <fill>
        <patternFill patternType="solid">
          <fgColor indexed="64"/>
          <bgColor theme="0" tint="-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family val="2"/>
        <scheme val="none"/>
      </font>
      <numFmt numFmtId="0" formatCode="General"/>
      <fill>
        <patternFill patternType="solid">
          <fgColor indexed="64"/>
          <bgColor theme="0" tint="-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family val="2"/>
        <scheme val="none"/>
      </font>
      <numFmt numFmtId="0" formatCode="General"/>
      <fill>
        <patternFill patternType="solid">
          <fgColor indexed="64"/>
          <bgColor theme="0" tint="-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family val="2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family val="2"/>
        <scheme val="none"/>
      </font>
      <numFmt numFmtId="0" formatCode="General"/>
      <fill>
        <patternFill patternType="solid">
          <fgColor indexed="64"/>
          <bgColor theme="0" tint="-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family val="2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family val="2"/>
        <scheme val="none"/>
      </font>
      <numFmt numFmtId="0" formatCode="General"/>
      <fill>
        <patternFill patternType="solid">
          <fgColor indexed="64"/>
          <bgColor theme="0" tint="-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family val="2"/>
        <scheme val="none"/>
      </font>
      <numFmt numFmtId="0" formatCode="General"/>
      <fill>
        <patternFill patternType="solid">
          <fgColor indexed="64"/>
          <bgColor theme="0" tint="-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family val="2"/>
        <scheme val="none"/>
      </font>
      <numFmt numFmtId="0" formatCode="General"/>
      <fill>
        <patternFill patternType="solid">
          <fgColor indexed="64"/>
          <bgColor theme="0" tint="-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Aptos"/>
        <family val="2"/>
        <scheme val="none"/>
      </font>
      <numFmt numFmtId="0" formatCode="General"/>
      <fill>
        <patternFill patternType="solid">
          <fgColor indexed="64"/>
          <bgColor theme="0" tint="-4.9989318521683403E-2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Aptos"/>
        <family val="2"/>
        <scheme val="none"/>
      </font>
      <numFmt numFmtId="0" formatCode="General"/>
      <fill>
        <patternFill patternType="solid">
          <fgColor indexed="64"/>
          <bgColor theme="0" tint="-4.9989318521683403E-2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Aptos"/>
        <family val="2"/>
        <scheme val="none"/>
      </font>
      <numFmt numFmtId="0" formatCode="General"/>
      <fill>
        <patternFill patternType="solid">
          <fgColor indexed="64"/>
          <bgColor theme="0" tint="-4.9989318521683403E-2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Aptos"/>
        <family val="2"/>
        <scheme val="none"/>
      </font>
      <numFmt numFmtId="0" formatCode="General"/>
      <fill>
        <patternFill patternType="solid">
          <fgColor indexed="64"/>
          <bgColor theme="0" tint="-4.9989318521683403E-2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Aptos"/>
        <family val="2"/>
        <scheme val="none"/>
      </font>
      <numFmt numFmtId="0" formatCode="General"/>
      <fill>
        <patternFill patternType="solid">
          <fgColor indexed="64"/>
          <bgColor theme="0" tint="-4.9989318521683403E-2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Aptos"/>
        <family val="2"/>
        <scheme val="none"/>
      </font>
      <numFmt numFmtId="0" formatCode="General"/>
      <fill>
        <patternFill patternType="solid">
          <fgColor indexed="64"/>
          <bgColor theme="0" tint="-4.9989318521683403E-2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Aptos"/>
        <family val="2"/>
        <scheme val="none"/>
      </font>
      <numFmt numFmtId="0" formatCode="General"/>
      <fill>
        <patternFill patternType="solid">
          <fgColor indexed="64"/>
          <bgColor theme="0" tint="-4.9989318521683403E-2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Aptos"/>
        <family val="2"/>
        <scheme val="none"/>
      </font>
      <numFmt numFmtId="0" formatCode="General"/>
      <fill>
        <patternFill patternType="solid">
          <fgColor indexed="64"/>
          <bgColor theme="0" tint="-4.9989318521683403E-2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Aptos"/>
        <family val="2"/>
        <scheme val="none"/>
      </font>
      <numFmt numFmtId="0" formatCode="General"/>
      <fill>
        <patternFill patternType="solid">
          <fgColor indexed="64"/>
          <bgColor theme="0" tint="-4.9989318521683403E-2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Aptos"/>
        <family val="2"/>
        <scheme val="none"/>
      </font>
      <numFmt numFmtId="0" formatCode="General"/>
      <fill>
        <patternFill patternType="solid">
          <fgColor indexed="64"/>
          <bgColor theme="0" tint="-4.9989318521683403E-2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Aptos"/>
        <family val="2"/>
        <scheme val="none"/>
      </font>
      <numFmt numFmtId="0" formatCode="General"/>
      <fill>
        <patternFill patternType="solid">
          <fgColor indexed="64"/>
          <bgColor theme="0" tint="-4.9989318521683403E-2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Aptos"/>
        <family val="2"/>
        <scheme val="none"/>
      </font>
      <numFmt numFmtId="0" formatCode="General"/>
      <fill>
        <patternFill patternType="solid">
          <fgColor indexed="64"/>
          <bgColor theme="0" tint="-4.9989318521683403E-2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Aptos"/>
        <family val="2"/>
        <scheme val="none"/>
      </font>
      <numFmt numFmtId="0" formatCode="General"/>
      <fill>
        <patternFill patternType="solid">
          <fgColor indexed="64"/>
          <bgColor theme="0" tint="-4.9989318521683403E-2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Aptos"/>
        <family val="2"/>
        <scheme val="none"/>
      </font>
      <numFmt numFmtId="0" formatCode="General"/>
      <fill>
        <patternFill patternType="solid">
          <fgColor indexed="64"/>
          <bgColor theme="0" tint="-4.9989318521683403E-2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Aptos"/>
        <family val="2"/>
        <scheme val="none"/>
      </font>
      <numFmt numFmtId="0" formatCode="General"/>
      <fill>
        <patternFill patternType="solid">
          <fgColor indexed="64"/>
          <bgColor theme="0" tint="-4.9989318521683403E-2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Aptos"/>
        <family val="2"/>
        <scheme val="none"/>
      </font>
      <numFmt numFmtId="0" formatCode="General"/>
      <fill>
        <patternFill patternType="solid">
          <fgColor indexed="64"/>
          <bgColor theme="0" tint="-4.9989318521683403E-2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Aptos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Aptos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Aptos"/>
        <family val="2"/>
        <scheme val="none"/>
      </font>
      <numFmt numFmtId="0" formatCode="General"/>
      <fill>
        <patternFill patternType="solid">
          <fgColor indexed="64"/>
          <bgColor theme="0" tint="-4.9989318521683403E-2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Aptos"/>
        <family val="2"/>
        <scheme val="none"/>
      </font>
      <numFmt numFmtId="0" formatCode="General"/>
      <fill>
        <patternFill patternType="solid">
          <fgColor indexed="64"/>
          <bgColor theme="0" tint="-4.9989318521683403E-2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Aptos"/>
        <family val="2"/>
        <scheme val="none"/>
      </font>
      <numFmt numFmtId="0" formatCode="General"/>
      <fill>
        <patternFill patternType="solid">
          <fgColor indexed="64"/>
          <bgColor theme="0" tint="-4.9989318521683403E-2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Aptos"/>
        <family val="2"/>
        <scheme val="none"/>
      </font>
      <numFmt numFmtId="0" formatCode="General"/>
      <fill>
        <patternFill patternType="solid">
          <fgColor indexed="64"/>
          <bgColor theme="0" tint="-4.9989318521683403E-2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Aptos"/>
        <family val="2"/>
        <scheme val="none"/>
      </font>
      <numFmt numFmtId="0" formatCode="General"/>
      <fill>
        <patternFill patternType="solid">
          <fgColor indexed="64"/>
          <bgColor theme="0" tint="-4.9989318521683403E-2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Aptos"/>
        <family val="2"/>
        <scheme val="none"/>
      </font>
      <numFmt numFmtId="0" formatCode="General"/>
      <fill>
        <patternFill patternType="solid">
          <fgColor indexed="64"/>
          <bgColor theme="0" tint="-4.9989318521683403E-2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Aptos"/>
        <family val="2"/>
        <scheme val="none"/>
      </font>
      <numFmt numFmtId="0" formatCode="General"/>
      <fill>
        <patternFill patternType="solid">
          <fgColor indexed="64"/>
          <bgColor theme="0" tint="-4.9989318521683403E-2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Aptos"/>
        <family val="2"/>
        <scheme val="none"/>
      </font>
      <numFmt numFmtId="0" formatCode="General"/>
      <fill>
        <patternFill patternType="solid">
          <fgColor indexed="64"/>
          <bgColor theme="0" tint="-4.9989318521683403E-2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Aptos"/>
        <family val="2"/>
        <scheme val="none"/>
      </font>
      <numFmt numFmtId="0" formatCode="General"/>
      <fill>
        <patternFill patternType="solid">
          <fgColor indexed="64"/>
          <bgColor theme="0" tint="-4.9989318521683403E-2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Aptos"/>
        <family val="2"/>
        <scheme val="none"/>
      </font>
      <numFmt numFmtId="0" formatCode="General"/>
      <fill>
        <patternFill patternType="solid">
          <fgColor indexed="64"/>
          <bgColor theme="0" tint="-4.9989318521683403E-2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family val="2"/>
        <scheme val="none"/>
      </font>
      <numFmt numFmtId="0" formatCode="General"/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Aptos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Aptos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Aptos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Aptos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Aptos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Aptos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Aptos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Aptos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Aptos"/>
        <family val="2"/>
        <scheme val="none"/>
      </font>
    </dxf>
    <dxf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Aptos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Aptos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Aptos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Aptos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Aptos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Aptos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Aptos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Aptos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Aptos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Aptos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Aptos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Aptos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Aptos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Aptos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Aptos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Aptos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Aptos"/>
        <family val="2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theme" Target="theme/theme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Gerardo Escamilla" id="{FCF6B623-6B0C-4405-A108-8579231CBDB5}" userId="S::GEscamilla@irena.org::899ae2ac-aa65-424b-84a3-d703cb23f4ce" providerId="AD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1687114-323A-42E7-BAD3-F23A8F8BE1FA}" name="Frequency" displayName="Frequency" ref="B3:C6" totalsRowShown="0" headerRowDxfId="454" dataDxfId="453">
  <autoFilter ref="B3:C6" xr:uid="{467D23B2-283B-4F46-8B33-381DCBD4DADB}"/>
  <tableColumns count="2">
    <tableColumn id="1" xr3:uid="{BDC2482D-5083-4D37-9AC7-7310294F0F20}" name="Frequency code" dataDxfId="452"/>
    <tableColumn id="2" xr3:uid="{007354BF-809F-4D97-BE11-BDC5468B8125}" name="Frequency" dataDxfId="451"/>
  </tableColumns>
  <tableStyleInfo name="TableStyleLight1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7F4C236-859C-4E89-9424-F05F159FD29F}" name="Scope" displayName="Scope" ref="E3:F6" totalsRowShown="0" headerRowDxfId="450" dataDxfId="449">
  <autoFilter ref="E3:F6" xr:uid="{964549C0-FF47-439E-A1D7-CA40AED56B7F}"/>
  <tableColumns count="2">
    <tableColumn id="1" xr3:uid="{1C55453C-F025-4383-BA18-BEBE8F970B58}" name="Scope Code" dataDxfId="448"/>
    <tableColumn id="2" xr3:uid="{383C1770-A2A3-4B4F-9539-C793C13265BE}" name="Scope" dataDxfId="447"/>
  </tableColumns>
  <tableStyleInfo name="TableStyleLight13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1CAFDCA-FBC1-47A6-806C-E079357F93F1}" name="Commodities" displayName="Commodities" ref="H3:U104" totalsRowShown="0" headerRowDxfId="446" dataDxfId="445">
  <autoFilter ref="H3:U104" xr:uid="{01F50B15-F92B-4464-B311-A54F9BC2B195}"/>
  <sortState xmlns:xlrd2="http://schemas.microsoft.com/office/spreadsheetml/2017/richdata2" ref="H4:U104">
    <sortCondition ref="K3:K104"/>
  </sortState>
  <tableColumns count="14">
    <tableColumn id="1" xr3:uid="{266BC7AD-1B83-41BE-9B5B-8E2499BF643C}" name="Commodity code" dataDxfId="444"/>
    <tableColumn id="2" xr3:uid="{950AFA26-F3C3-4DEE-8362-A2D82CA53A25}" name="Commodity" dataDxfId="443"/>
    <tableColumn id="3" xr3:uid="{A52C5000-C433-4AE4-BD36-BDA3E1F198C0}" name="Parent code" dataDxfId="442"/>
    <tableColumn id="6" xr3:uid="{91644DDB-E734-4BBF-9F5E-750853EBAF6D}" name="EnergyCode" dataDxfId="425"/>
    <tableColumn id="4" xr3:uid="{01F2812E-C5F6-4596-A040-038384661B5D}" name="L1N" dataDxfId="424">
      <calculatedColumnFormula>IFERROR(INDEX(Commodities[[Commodity code]:[Commodity]],MATCH(Commodities[[#This Row],[Parent code]],Commodities[Commodity code],0),2),Commodities[[#This Row],[Commodity]])</calculatedColumnFormula>
    </tableColumn>
    <tableColumn id="9" xr3:uid="{7C0BC927-76DC-4DD9-80AE-EB9FB56985F0}" name="L2N" dataDxfId="423">
      <calculatedColumnFormula>IFERROR(INDEX(Commodities[[Commodity code]:[Commodity]],MATCH(INDEX(Commodities[[Commodity]:[Parent code]],MATCH(Commodities[[#This Row],[L1N]],Commodities[Commodity],0),2),Commodities[Commodity code],0),2),Commodities[[#This Row],[L1N]])</calculatedColumnFormula>
    </tableColumn>
    <tableColumn id="10" xr3:uid="{25AA09CD-2369-4AD8-8F88-46E37A250DBA}" name="L3N" dataDxfId="422">
      <calculatedColumnFormula>IFERROR(INDEX(Commodities[[Commodity code]:[Commodity]],MATCH(INDEX(Commodities[[Commodity]:[Parent code]],MATCH(Commodities[[#This Row],[L2N]],Commodities[Commodity],0),2),Commodities[Commodity code],0),2),Commodities[[#This Row],[L2N]])</calculatedColumnFormula>
    </tableColumn>
    <tableColumn id="21" xr3:uid="{55C09777-597B-4A96-B401-D5DDC7FE0BEC}" name="L4N" dataDxfId="421">
      <calculatedColumnFormula>IFERROR(INDEX(Commodities[[Commodity code]:[Commodity]],MATCH(INDEX(Commodities[[Commodity]:[Parent code]],MATCH(Commodities[[#This Row],[L3N]],Commodities[Commodity],0),2),Commodities[Commodity code],0),2),Commodities[[#This Row],[L3N]])</calculatedColumnFormula>
    </tableColumn>
    <tableColumn id="15" xr3:uid="{F293FEAB-8D9B-42A3-A670-5E1B35225021}" name="Level 0" dataDxfId="420">
      <calculatedColumnFormula>IF(Commodities[[#This Row],[L4N]]=Commodities[[#This Row],[L3N]],Commodities[[#This Row],[L4N]],IF(Commodities[[#This Row],[L3N]]=Commodities[[#This Row],[L2N]],Commodities[[#This Row],[L3N]],IF(Commodities[[#This Row],[L2N]]=Commodities[[#This Row],[L1N]],Commodities[[#This Row],[L2N]],IF(Commodities[[#This Row],[L1N]]=Commodities[[#This Row],[Commodity]],Commodities[[#This Row],[L1N]],Commodities[[#This Row],[Commodity]]))))</calculatedColumnFormula>
    </tableColumn>
    <tableColumn id="16" xr3:uid="{4A139F5A-AD5E-420F-A806-62528DFE75CC}" name="Level 1" dataDxfId="419">
      <calculatedColumnFormula>IF(Commodities[[#This Row],[Level 0]]=Commodities[[#This Row],[Commodity]],Commodities[[#This Row],[Commodity]],IF(Commodities[[#This Row],[Level 0]]=Commodities[[#This Row],[L1N]],Commodities[[#This Row],[Commodity]],IF(Commodities[[#This Row],[Level 0]]=Commodities[[#This Row],[L2N]],Commodities[[#This Row],[L1N]],IF(Commodities[[#This Row],[Level 0]]=Commodities[[#This Row],[L3N]],Commodities[[#This Row],[L2N]],IF(Commodities[[#This Row],[Level 0]]=Commodities[[#This Row],[L4N]],Commodities[[#This Row],[L3N]],Commodities[[#This Row],[L4N]])))))</calculatedColumnFormula>
    </tableColumn>
    <tableColumn id="17" xr3:uid="{C318C8D9-DFFB-46CE-AFFB-82198C3A0A87}" name="Level 2" dataDxfId="418">
      <calculatedColumnFormula>IF(Commodities[[#This Row],[Level 1]]=Commodities[[#This Row],[Commodity]],Commodities[[#This Row],[Commodity]],IF(Commodities[[#This Row],[Level 1]]=Commodities[[#This Row],[L1N]],Commodities[[#This Row],[Commodity]],IF(Commodities[[#This Row],[Level 1]]=Commodities[[#This Row],[L2N]],Commodities[[#This Row],[L1N]],IF(Commodities[[#This Row],[Level 1]]=Commodities[[#This Row],[L3N]],Commodities[[#This Row],[L2N]],IF(Commodities[[#This Row],[Level 1]]=Commodities[[#This Row],[L4N]],Commodities[[#This Row],[L3N]],Commodities[[#This Row],[L4N]])))))</calculatedColumnFormula>
    </tableColumn>
    <tableColumn id="18" xr3:uid="{E945E9B7-55A8-460D-BFA5-8D8412629319}" name="Level 3" dataDxfId="417">
      <calculatedColumnFormula>IF(Commodities[[#This Row],[Level 2]]=Commodities[[#This Row],[Commodity]],Commodities[[#This Row],[Commodity]],IF(Commodities[[#This Row],[Level 2]]=Commodities[[#This Row],[L1N]],Commodities[[#This Row],[Commodity]],IF(Commodities[[#This Row],[Level 2]]=Commodities[[#This Row],[L2N]],Commodities[[#This Row],[L1N]],IF(Commodities[[#This Row],[Level 2]]=Commodities[[#This Row],[L3N]],Commodities[[#This Row],[L2N]],IF(Commodities[[#This Row],[Level 2]]=Commodities[[#This Row],[L4N]],Commodities[[#This Row],[L3N]],Commodities[[#This Row],[L4N]])))))</calculatedColumnFormula>
    </tableColumn>
    <tableColumn id="19" xr3:uid="{390B405C-D412-4BE2-9186-B7884A463B4E}" name="Level 4" dataDxfId="416">
      <calculatedColumnFormula>IF(Commodities[[#This Row],[Level 3]]=Commodities[[#This Row],[Commodity]],Commodities[[#This Row],[Commodity]],IF(Commodities[[#This Row],[Level 3]]=Commodities[[#This Row],[L1N]],Commodities[[#This Row],[Commodity]],IF(Commodities[[#This Row],[Level 3]]=Commodities[[#This Row],[L2N]],Commodities[[#This Row],[L1N]],IF(Commodities[[#This Row],[Level 3]]=Commodities[[#This Row],[L3N]],Commodities[[#This Row],[L2N]],IF(Commodities[[#This Row],[Level 3]]=Commodities[[#This Row],[L4N]],Commodities[[#This Row],[L3N]],Commodities[[#This Row],[L4N]])))))</calculatedColumnFormula>
    </tableColumn>
    <tableColumn id="20" xr3:uid="{2798AEA9-DA5D-4AD1-A397-7EFF69E79490}" name="Level 5" dataDxfId="415">
      <calculatedColumnFormula>IF(Commodities[[#This Row],[Level 4]]=Commodities[[#This Row],[Commodity]],Commodities[[#This Row],[Commodity]],IF(Commodities[[#This Row],[Level 4]]=Commodities[[#This Row],[L1N]],Commodities[[#This Row],[Commodity]],IF(Commodities[[#This Row],[Level 4]]=Commodities[[#This Row],[L2N]],Commodities[[#This Row],[L1N]],IF(Commodities[[#This Row],[Level 4]]=Commodities[[#This Row],[L3N]],Commodities[[#This Row],[L2N]],IF(Commodities[[#This Row],[Level 4]]=Commodities[[#This Row],[L4N]],Commodities[[#This Row],[L3N]],Commodities[[#This Row],[L4N]])))))</calculatedColumnFormula>
    </tableColumn>
  </tableColumns>
  <tableStyleInfo name="TableStyleLight13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2066BFB9-226B-4122-8338-86709F4152EC}" name="Transactions" displayName="Transactions" ref="Y3:AY552" totalsRowShown="0" headerRowDxfId="436" dataDxfId="435">
  <autoFilter ref="Y3:AY552" xr:uid="{439E2C4C-02E9-4FAA-A9EB-E184D3F990C1}"/>
  <sortState xmlns:xlrd2="http://schemas.microsoft.com/office/spreadsheetml/2017/richdata2" ref="Y4:AY550">
    <sortCondition ref="AR3:AR550"/>
  </sortState>
  <tableColumns count="27">
    <tableColumn id="1" xr3:uid="{116BE657-AE6B-4328-A39F-5EA55328BDD5}" name="Transaction code" dataDxfId="434"/>
    <tableColumn id="2" xr3:uid="{E3A84D86-86F6-4F48-8830-19A7E005F863}" name="Transaction name" dataDxfId="433"/>
    <tableColumn id="19" xr3:uid="{5154E239-DB85-4B6D-97CC-62CC66AABCB0}" name="Transaction description" dataDxfId="432"/>
    <tableColumn id="3" xr3:uid="{DE7499F5-D9A7-4E62-BE77-71B9D8B15C83}" name="Parent code" dataDxfId="414"/>
    <tableColumn id="4" xr3:uid="{FD35D076-A13A-436B-B655-B79F2BB0DFAB}" name="Parent" dataDxfId="412">
      <calculatedColumnFormula>IFERROR(VLOOKUP(Transactions[[#This Row],[Parent code]],Transactions[[Transaction code]:[Transaction name]],2,0),"")</calculatedColumnFormula>
    </tableColumn>
    <tableColumn id="18" xr3:uid="{94243E77-60F0-475A-8E21-9D0E8A609841}" name="Block" dataDxfId="413"/>
    <tableColumn id="26" xr3:uid="{A1CF55DE-63FA-4485-A8A1-9C16C4FA1149}" name="MERGE category" dataDxfId="431"/>
    <tableColumn id="20" xr3:uid="{0BFDC65E-04C6-47C2-89E5-CDF2F888F057}" name="NCV type" dataDxfId="430"/>
    <tableColumn id="16" xr3:uid="{D289F062-916D-4C79-9623-CE0AF33E760C}" name="Balance type" dataDxfId="429"/>
    <tableColumn id="21" xr3:uid="{39A50B34-86A4-4AE6-B339-197805B5E8D9}" name="Sign" dataDxfId="428"/>
    <tableColumn id="27" xr3:uid="{3CA783C7-8FD1-4699-AF0B-FB8885AEE126}" name="Combustible plant" dataDxfId="427"/>
    <tableColumn id="17" xr3:uid="{2EDE63CE-EE0F-4932-B1D2-427BC511B3CB}" name="DNI UN Transaction" dataDxfId="426"/>
    <tableColumn id="5" xr3:uid="{EBF5EBE4-BCD3-451B-91B6-678B204EC0AC}" name="L1N" dataDxfId="411">
      <calculatedColumnFormula array="1">IFERROR(INDEX(Transactions[[Transaction code]:[Transaction name]],_xlfn.XMATCH(Transactions[[#This Row],[Parent code]],Transactions[Transaction name],0),3),Transactions[[#This Row],[Transaction name]])</calculatedColumnFormula>
    </tableColumn>
    <tableColumn id="6" xr3:uid="{16458249-1F57-402F-A80C-90B740F77FA0}" name="L2N" dataDxfId="410">
      <calculatedColumnFormula array="1">IFERROR(INDEX(Transactions[[Transaction code]:[Transaction name]],_xlfn.XMATCH(INDEX(Transactions[[Transaction name]:[Parent code]],_xlfn.XMATCH(Transactions[[#This Row],[L1N]],Transactions[Transaction name],0),3),Transactions[Transaction code],0),2),Transactions[[#This Row],[L1N]])</calculatedColumnFormula>
    </tableColumn>
    <tableColumn id="7" xr3:uid="{70DF0FEB-6959-4CA6-BD19-418FFA857479}" name="L3N" dataDxfId="409">
      <calculatedColumnFormula array="1">IFERROR(INDEX(Transactions[[Transaction code]:[Transaction name]],_xlfn.XMATCH(INDEX(Transactions[[Transaction name]:[Parent code]],_xlfn.XMATCH(Transactions[[#This Row],[L2N]],Transactions[Transaction name],0),3),Transactions[Transaction code],0),2),Transactions[[#This Row],[L2N]])</calculatedColumnFormula>
    </tableColumn>
    <tableColumn id="8" xr3:uid="{A37F648D-74B4-44B0-B0B4-B50829538837}" name="L4N" dataDxfId="408">
      <calculatedColumnFormula array="1">IFERROR(INDEX(Transactions[[Transaction code]:[Transaction name]],_xlfn.XMATCH(INDEX(Transactions[[Transaction name]:[Parent code]],_xlfn.XMATCH(Transactions[[#This Row],[L3N]],Transactions[Transaction name],0),3),Transactions[Transaction code],0),2),Transactions[[#This Row],[L3N]])</calculatedColumnFormula>
    </tableColumn>
    <tableColumn id="9" xr3:uid="{4556828C-932C-4391-89FF-64EFF8B59ADD}" name="L5N" dataDxfId="407">
      <calculatedColumnFormula array="1">IFERROR(INDEX(Transactions[[Transaction code]:[Transaction name]],_xlfn.XMATCH(INDEX(Transactions[[Transaction name]:[Parent code]],_xlfn.XMATCH(Transactions[[#This Row],[L4N]],Transactions[Transaction name],0),3),Transactions[Transaction code],0),2),Transactions[[#This Row],[L4N]])</calculatedColumnFormula>
    </tableColumn>
    <tableColumn id="23" xr3:uid="{7C469FF8-13B4-4F9A-9A49-F36AA6C73A1B}" name="L6N" dataDxfId="406">
      <calculatedColumnFormula array="1">IFERROR(INDEX(Transactions[[Transaction code]:[Transaction name]],_xlfn.XMATCH(INDEX(Transactions[[Transaction name]:[Parent code]],_xlfn.XMATCH(Transactions[[#This Row],[L5N]],Transactions[Transaction name],0),3),Transactions[Transaction code],0),2),Transactions[[#This Row],[L5N]])</calculatedColumnFormula>
    </tableColumn>
    <tableColumn id="22" xr3:uid="{A6B121F5-BD14-443E-9CB9-620E3D981336}" name="L7N" dataDxfId="405">
      <calculatedColumnFormula array="1">IFERROR(INDEX(Transactions[[Transaction code]:[Transaction name]],_xlfn.XMATCH(INDEX(Transactions[[Transaction name]:[Parent code]],_xlfn.XMATCH(Transactions[[#This Row],[L6N]],Transactions[Transaction name],0),3),Transactions[Transaction code],0),2),Transactions[[#This Row],[L6N]])</calculatedColumnFormula>
    </tableColumn>
    <tableColumn id="10" xr3:uid="{47E9CD39-7CC8-42DD-AD1B-84B2F4EE29D1}" name="Level 0" dataDxfId="404">
      <calculatedColumnFormula>IF(Transactions[[#This Row],[L7N]]=Transactions[[#This Row],[L6N]],Transactions[[#This Row],[L7N]],IF(Transactions[[#This Row],[L6N]]=Transactions[[#This Row],[L5N]],Transactions[[#This Row],[L6N]],IF(Transactions[[#This Row],[L5N]]=Transactions[[#This Row],[L4N]],Transactions[[#This Row],[L5N]],IF(Transactions[[#This Row],[L4N]]=Transactions[[#This Row],[L3N]],Transactions[[#This Row],[L4N]],IF(Transactions[[#This Row],[L3N]]=Transactions[[#This Row],[L2N]],Transactions[[#This Row],[L3N]],IF(Transactions[[#This Row],[L2N]]=Transactions[[#This Row],[L1N]],Transactions[[#This Row],[L2N]],IF(Transactions[[#This Row],[L1N]]=Transactions[[#This Row],[Transaction name]],Transactions[[#This Row],[L1N]],Transactions[[#This Row],[Transaction name]])))))))</calculatedColumnFormula>
    </tableColumn>
    <tableColumn id="11" xr3:uid="{3C671252-190C-49A9-BA8B-D66BB29EAA75}" name="Level 1" dataDxfId="403">
      <calculatedColumnFormula>IF(Transactions[[#This Row],[Level 0]]=Transactions[[#This Row],[Transaction name]],Transactions[[#This Row],[Transaction name]],IF(Transactions[[#This Row],[Level 0]]=Transactions[[#This Row],[L1N]],Transactions[[#This Row],[Transaction name]],IF(Transactions[[#This Row],[Level 0]]=Transactions[[#This Row],[L2N]],Transactions[[#This Row],[L1N]],IF(Transactions[[#This Row],[Level 0]]=Transactions[[#This Row],[L3N]],Transactions[[#This Row],[L2N]],IF(Transactions[[#This Row],[Level 0]]=Transactions[[#This Row],[L4N]],Transactions[[#This Row],[L3N]],IF(Transactions[[#This Row],[Level 0]]=Transactions[[#This Row],[L5N]],Transactions[[#This Row],[L4N]],IF(Transactions[[#This Row],[Level 0]]=Transactions[[#This Row],[L6N]],Transactions[[#This Row],[L5N]],IF(Transactions[[#This Row],[Level 0]]=Transactions[[#This Row],[L7N]],Transactions[[#This Row],[L6N]],Transactions[[#This Row],[L7N]]))))))))</calculatedColumnFormula>
    </tableColumn>
    <tableColumn id="12" xr3:uid="{57D42137-45B8-4408-AD3C-AF3155CE8A81}" name="Level 2" dataDxfId="402">
      <calculatedColumnFormula>IF(Transactions[[#This Row],[Level 1]]=Transactions[[#This Row],[Transaction name]],Transactions[[#This Row],[Transaction name]],IF(Transactions[[#This Row],[Level 1]]=Transactions[[#This Row],[L1N]],Transactions[[#This Row],[Transaction name]],IF(Transactions[[#This Row],[Level 1]]=Transactions[[#This Row],[L2N]],Transactions[[#This Row],[L1N]],IF(Transactions[[#This Row],[Level 1]]=Transactions[[#This Row],[L3N]],Transactions[[#This Row],[L2N]],IF(Transactions[[#This Row],[Level 1]]=Transactions[[#This Row],[L4N]],Transactions[[#This Row],[L3N]],IF(Transactions[[#This Row],[Level 1]]=Transactions[[#This Row],[L5N]],Transactions[[#This Row],[L4N]],IF(Transactions[[#This Row],[Level 1]]=Transactions[[#This Row],[L6N]],Transactions[[#This Row],[L5N]],IF(Transactions[[#This Row],[Level 1]]=Transactions[[#This Row],[L7N]],Transactions[[#This Row],[L6N]],Transactions[[#This Row],[L7N]]))))))))</calculatedColumnFormula>
    </tableColumn>
    <tableColumn id="13" xr3:uid="{02E0A08E-EAAA-413B-AB01-29089988A486}" name="Level 3" dataDxfId="401">
      <calculatedColumnFormula>IF(Transactions[[#This Row],[Level 2]]=Transactions[[#This Row],[Transaction name]],Transactions[[#This Row],[Transaction name]],IF(Transactions[[#This Row],[Level 2]]=Transactions[[#This Row],[L1N]],Transactions[[#This Row],[Transaction name]],IF(Transactions[[#This Row],[Level 2]]=Transactions[[#This Row],[L2N]],Transactions[[#This Row],[L1N]],IF(Transactions[[#This Row],[Level 2]]=Transactions[[#This Row],[L3N]],Transactions[[#This Row],[L2N]],IF(Transactions[[#This Row],[Level 2]]=Transactions[[#This Row],[L4N]],Transactions[[#This Row],[L3N]],IF(Transactions[[#This Row],[Level 2]]=Transactions[[#This Row],[L5N]],Transactions[[#This Row],[L4N]],IF(Transactions[[#This Row],[Level 2]]=Transactions[[#This Row],[L6N]],Transactions[[#This Row],[L5N]],IF(Transactions[[#This Row],[Level 2]]=Transactions[[#This Row],[L7N]],Transactions[[#This Row],[L6N]],Transactions[[#This Row],[L7N]]))))))))</calculatedColumnFormula>
    </tableColumn>
    <tableColumn id="14" xr3:uid="{0D983F75-0207-45B1-A982-03EAAD4F7D07}" name="Level 4" dataDxfId="400">
      <calculatedColumnFormula>IF(Transactions[[#This Row],[Level 3]]=Transactions[[#This Row],[Transaction name]],Transactions[[#This Row],[Transaction name]],IF(Transactions[[#This Row],[Level 3]]=Transactions[[#This Row],[L1N]],Transactions[[#This Row],[Transaction name]],IF(Transactions[[#This Row],[Level 3]]=Transactions[[#This Row],[L2N]],Transactions[[#This Row],[L1N]],IF(Transactions[[#This Row],[Level 3]]=Transactions[[#This Row],[L3N]],Transactions[[#This Row],[L2N]],IF(Transactions[[#This Row],[Level 3]]=Transactions[[#This Row],[L4N]],Transactions[[#This Row],[L3N]],IF(Transactions[[#This Row],[Level 3]]=Transactions[[#This Row],[L5N]],Transactions[[#This Row],[L4N]],IF(Transactions[[#This Row],[Level 3]]=Transactions[[#This Row],[L6N]],Transactions[[#This Row],[L5N]],IF(Transactions[[#This Row],[Level 3]]=Transactions[[#This Row],[L7N]],Transactions[[#This Row],[L6N]],Transactions[[#This Row],[L7N]]))))))))</calculatedColumnFormula>
    </tableColumn>
    <tableColumn id="15" xr3:uid="{60FB5231-2FB5-4AB2-9715-27F40ACCFFFC}" name="Level 5" dataDxfId="399">
      <calculatedColumnFormula>IF(Transactions[[#This Row],[Level 4]]=Transactions[[#This Row],[Transaction name]],Transactions[[#This Row],[Transaction name]],IF(Transactions[[#This Row],[Level 4]]=Transactions[[#This Row],[L1N]],Transactions[[#This Row],[Transaction name]],IF(Transactions[[#This Row],[Level 4]]=Transactions[[#This Row],[L2N]],Transactions[[#This Row],[L1N]],IF(Transactions[[#This Row],[Level 4]]=Transactions[[#This Row],[L3N]],Transactions[[#This Row],[L2N]],IF(Transactions[[#This Row],[Level 4]]=Transactions[[#This Row],[L4N]],Transactions[[#This Row],[L3N]],IF(Transactions[[#This Row],[Level 4]]=Transactions[[#This Row],[L5N]],Transactions[[#This Row],[L4N]],IF(Transactions[[#This Row],[Level 4]]=Transactions[[#This Row],[L6N]],Transactions[[#This Row],[L5N]],IF(Transactions[[#This Row],[Level 4]]=Transactions[[#This Row],[L7N]],Transactions[[#This Row],[L6N]],Transactions[[#This Row],[L7N]]))))))))</calculatedColumnFormula>
    </tableColumn>
    <tableColumn id="24" xr3:uid="{39971BD7-F666-4314-9B2D-9535A19E97E5}" name="Level 6" dataDxfId="398">
      <calculatedColumnFormula>IF(Transactions[[#This Row],[Level 5]]=Transactions[[#This Row],[Transaction name]],Transactions[[#This Row],[Transaction name]],IF(Transactions[[#This Row],[Level 5]]=Transactions[[#This Row],[L1N]],Transactions[[#This Row],[Transaction name]],IF(Transactions[[#This Row],[Level 5]]=Transactions[[#This Row],[L2N]],Transactions[[#This Row],[L1N]],IF(Transactions[[#This Row],[Level 5]]=Transactions[[#This Row],[L3N]],Transactions[[#This Row],[L2N]],IF(Transactions[[#This Row],[Level 5]]=Transactions[[#This Row],[L4N]],Transactions[[#This Row],[L3N]],IF(Transactions[[#This Row],[Level 5]]=Transactions[[#This Row],[L5N]],Transactions[[#This Row],[L4N]],IF(Transactions[[#This Row],[Level 5]]=Transactions[[#This Row],[L6N]],Transactions[[#This Row],[L5N]],IF(Transactions[[#This Row],[Level 5]]=Transactions[[#This Row],[L7N]],Transactions[[#This Row],[L6N]],Transactions[[#This Row],[L7N]]))))))))</calculatedColumnFormula>
    </tableColumn>
    <tableColumn id="25" xr3:uid="{3A73E132-EC4F-44BA-A308-815C904FB9FA}" name="Level 7" dataDxfId="397">
      <calculatedColumnFormula>IF(Transactions[[#This Row],[Level 6]]=Transactions[[#This Row],[Transaction name]],Transactions[[#This Row],[Transaction name]],IF(Transactions[[#This Row],[Level 6]]=Transactions[[#This Row],[L1N]],Transactions[[#This Row],[Transaction name]],IF(Transactions[[#This Row],[Level 6]]=Transactions[[#This Row],[L2N]],Transactions[[#This Row],[L1N]],IF(Transactions[[#This Row],[Level 6]]=Transactions[[#This Row],[L3N]],Transactions[[#This Row],[L2N]],IF(Transactions[[#This Row],[Level 6]]=Transactions[[#This Row],[L4N]],Transactions[[#This Row],[L3N]],IF(Transactions[[#This Row],[Level 6]]=Transactions[[#This Row],[L5N]],Transactions[[#This Row],[L4N]],IF(Transactions[[#This Row],[Level 6]]=Transactions[[#This Row],[L6N]],Transactions[[#This Row],[L5N]],IF(Transactions[[#This Row],[Level 6]]=Transactions[[#This Row],[L7N]],Transactions[[#This Row],[L6N]],Transactions[[#This Row],[L7N]]))))))))</calculatedColumnFormula>
    </tableColumn>
  </tableColumns>
  <tableStyleInfo name="TableStyleLight13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60FF75BB-8A3E-412F-AEF5-0F01A1EF7104}" name="Units" displayName="Units" ref="BB3:BC9" totalsRowShown="0" headerRowDxfId="441" dataDxfId="440">
  <autoFilter ref="BB3:BC9" xr:uid="{AA415C21-2F4B-496F-84CD-E305D3071238}"/>
  <tableColumns count="2">
    <tableColumn id="1" xr3:uid="{475A614A-20AC-4E3D-B116-B8B54F798A9B}" name="Unit code" dataDxfId="439"/>
    <tableColumn id="2" xr3:uid="{65BEC1B1-F789-458A-9195-C56BFCB4CF61}" name="Units" dataDxfId="438"/>
  </tableColumns>
  <tableStyleInfo name="TableStyleLight13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9B93B980-E6DF-4A24-A3FE-BD59924706A1}" name="Transformation" displayName="Transformation" ref="BE3:BR463" totalsRowShown="0" headerRowDxfId="388" dataDxfId="387">
  <autoFilter ref="BE3:BR463" xr:uid="{9B93B980-E6DF-4A24-A3FE-BD59924706A1}"/>
  <sortState xmlns:xlrd2="http://schemas.microsoft.com/office/spreadsheetml/2017/richdata2" ref="BE299:BR458">
    <sortCondition ref="BK3:BK458"/>
  </sortState>
  <tableColumns count="14">
    <tableColumn id="1" xr3:uid="{4BD31166-BAC6-48D1-ADD5-2E2C4D71A968}" name="Commodity from" dataDxfId="386">
      <calculatedColumnFormula>_xlfn.XLOOKUP(Transformation[[#This Row],[cfrom]],Commodities[Commodity],Commodities[Commodity code])</calculatedColumnFormula>
    </tableColumn>
    <tableColumn id="2" xr3:uid="{1288E34B-C0F4-45D7-8AB2-47322D7D6F83}" name="Transaction from" dataDxfId="385">
      <calculatedColumnFormula>_xlfn.XLOOKUP(Transformation[[#This Row],[tfrom]],Transactions[Transaction name],Transactions[Transaction code])</calculatedColumnFormula>
    </tableColumn>
    <tableColumn id="3" xr3:uid="{24FF742B-E0C6-487C-B6F1-5A75812602EC}" name="Commodity to" dataDxfId="384">
      <calculatedColumnFormula>_xlfn.XLOOKUP(Transformation[[#This Row],[cto]],Commodities[Commodity],Commodities[Commodity code])</calculatedColumnFormula>
    </tableColumn>
    <tableColumn id="4" xr3:uid="{CF957D42-B92E-45CA-B006-85EE199B19E6}" name="Transaction to" dataDxfId="383">
      <calculatedColumnFormula>_xlfn.XLOOKUP(Transformation[[#This Row],[tto]],Transactions[Transaction name],Transactions[Transaction code])</calculatedColumnFormula>
    </tableColumn>
    <tableColumn id="10" xr3:uid="{AAA77FF0-11EF-4BD5-933F-2B7E6AADF867}" name="Multiplier" dataDxfId="382"/>
    <tableColumn id="6" xr3:uid="{29626F93-9088-4A4F-8B46-40D1470F090C}" name="cfrom" dataDxfId="381"/>
    <tableColumn id="5" xr3:uid="{39C14768-4A87-499F-BA29-9EB5F398C91D}" name="crfomid" dataDxfId="380">
      <calculatedColumnFormula>_xlfn.XLOOKUP(Transformation[[#This Row],[Commodity from]],Commodities[Commodity code],Commodities[EnergyCode])</calculatedColumnFormula>
    </tableColumn>
    <tableColumn id="7" xr3:uid="{930E9970-7AD8-445D-8830-EDC53C5434E0}" name="tfrom" dataDxfId="379"/>
    <tableColumn id="8" xr3:uid="{8B20D09D-FF42-4A05-B339-D4B278FEE44E}" name="cto" dataDxfId="378"/>
    <tableColumn id="12" xr3:uid="{7C8AC1E8-C388-4658-8EBD-8BC7CF47DD7B}" name="ctoid" dataDxfId="377">
      <calculatedColumnFormula>_xlfn.XLOOKUP(Transformation[[#This Row],[Commodity to]],Commodities[Commodity code],Commodities[EnergyCode])</calculatedColumnFormula>
    </tableColumn>
    <tableColumn id="9" xr3:uid="{5EF82516-4815-4131-947B-29DDCA429053}" name="tto" dataDxfId="376"/>
    <tableColumn id="11" xr3:uid="{36D630DE-1971-4C02-A625-94D8A6CEEF15}" name="note" dataDxfId="375"/>
    <tableColumn id="13" xr3:uid="{6AD97A11-8304-4850-BFC4-C23F95FAB463}" name="duplicates" dataDxfId="374">
      <calculatedColumnFormula>Transformation[[#This Row],[Commodity from]]&amp;Transformation[[#This Row],[Transaction from]]&amp;Transformation[[#This Row],[Commodity to]]&amp;Transformation[[#This Row],[Transaction to]]</calculatedColumnFormula>
    </tableColumn>
    <tableColumn id="14" xr3:uid="{BBD25A5F-8201-470A-A935-C86B0ED8DD9A}" name="Rule" dataDxfId="373">
      <calculatedColumnFormula>Transformation[[#This Row],[crfomid]]&amp;Transformation[[#This Row],[Transaction from]]&amp;"("&amp;Transformation[[#This Row],[Multiplier]]&amp;") -&gt; "&amp;Transformation[[#This Row],[ctoid]]&amp;Transformation[[#This Row],[Transaction to]]</calculatedColumnFormula>
    </tableColumn>
  </tableColumns>
  <tableStyleInfo name="TableStyleLight13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E6130C61-E10B-4F22-B2BC-DA3145BF7C52}" name="Signswitch" displayName="Signswitch" ref="BT3:BY100" totalsRowShown="0" headerRowDxfId="396" dataDxfId="395">
  <autoFilter ref="BT3:BY100" xr:uid="{E6130C61-E10B-4F22-B2BC-DA3145BF7C52}"/>
  <sortState xmlns:xlrd2="http://schemas.microsoft.com/office/spreadsheetml/2017/richdata2" ref="BT4:BY3">
    <sortCondition ref="BY3"/>
  </sortState>
  <tableColumns count="6">
    <tableColumn id="1" xr3:uid="{4071C2AA-315D-4E2E-AD9A-1FC0E851A493}" name="Commodity from" dataDxfId="394">
      <calculatedColumnFormula>_xlfn.XLOOKUP(Signswitch[[#This Row],[Commodity name]],Commodities[Commodity],Commodities[Commodity code])</calculatedColumnFormula>
    </tableColumn>
    <tableColumn id="2" xr3:uid="{E4A46FEC-7DA3-42D7-8003-1FAEA13F0873}" name="Transaction from" dataDxfId="393">
      <calculatedColumnFormula>_xlfn.XLOOKUP(Signswitch[[#This Row],[Transaction name]],Transactions[Transaction name],Transactions[Transaction code])</calculatedColumnFormula>
    </tableColumn>
    <tableColumn id="3" xr3:uid="{FEB1291F-B2E7-4B1E-8DCB-C7735FDC7175}" name="Commodity-transaction" dataDxfId="392">
      <calculatedColumnFormula>Signswitch[[#This Row],[Commodity from]]&amp;Signswitch[[#This Row],[Transaction from]]</calculatedColumnFormula>
    </tableColumn>
    <tableColumn id="6" xr3:uid="{EB049250-C09F-4347-B526-4B808CFFFAF4}" name="Commodity name" dataDxfId="391"/>
    <tableColumn id="5" xr3:uid="{C2C94D3E-4A5C-4496-BBD0-985E4C29CD4C}" name="crfomid" dataDxfId="390">
      <calculatedColumnFormula>_xlfn.XLOOKUP(Signswitch[[#This Row],[Commodity from]],Commodities[Commodity code],Commodities[EnergyCode])</calculatedColumnFormula>
    </tableColumn>
    <tableColumn id="7" xr3:uid="{F67CF9FE-E98A-47DC-8D9E-CE8DA048C627}" name="Transaction name" dataDxfId="389"/>
  </tableColumns>
  <tableStyleInfo name="TableStyleLight13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E307AD75-F449-4500-9F76-98C775EBE243}" name="TransactionCleanup" displayName="TransactionCleanup" ref="B2:D631" totalsRowShown="0">
  <autoFilter ref="B2:D631" xr:uid="{E307AD75-F449-4500-9F76-98C775EBE243}"/>
  <sortState xmlns:xlrd2="http://schemas.microsoft.com/office/spreadsheetml/2017/richdata2" ref="B3:D631">
    <sortCondition ref="D2:D631"/>
  </sortState>
  <tableColumns count="3">
    <tableColumn id="1" xr3:uid="{1CCB2373-1F1E-414B-8065-5D41C1418C00}" name="Transaction dirty"/>
    <tableColumn id="2" xr3:uid="{BFE28276-B7A9-44CE-A0D9-EA22BE325714}" name="Transaction code"/>
    <tableColumn id="3" xr3:uid="{EEF721DE-E0E5-4F4B-AFC8-C799C7743F44}" name="Transaction clean" dataDxfId="437">
      <calculatedColumnFormula>_xlfn.XLOOKUP(TransactionCleanup[[#This Row],[Transaction code]],Transactions[Transaction code],Transactions[Transaction name],,0,)</calculatedColumnFormula>
    </tableColumn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J3" dT="2023-03-20T23:00:15.90" personId="{FCF6B623-6B0C-4405-A108-8579231CBDB5}" id="{33C6B13A-DE48-4946-AF0F-4DBD241BB90F}">
    <text>Removing aggregate data points</text>
  </threadedComment>
</ThreadedComments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6.xml"/><Relationship Id="rId3" Type="http://schemas.openxmlformats.org/officeDocument/2006/relationships/table" Target="../tables/table1.xml"/><Relationship Id="rId7" Type="http://schemas.openxmlformats.org/officeDocument/2006/relationships/table" Target="../tables/table5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6" Type="http://schemas.openxmlformats.org/officeDocument/2006/relationships/table" Target="../tables/table4.xml"/><Relationship Id="rId11" Type="http://schemas.microsoft.com/office/2017/10/relationships/threadedComment" Target="../threadedComments/threadedComment1.xml"/><Relationship Id="rId5" Type="http://schemas.openxmlformats.org/officeDocument/2006/relationships/table" Target="../tables/table3.xml"/><Relationship Id="rId10" Type="http://schemas.openxmlformats.org/officeDocument/2006/relationships/comments" Target="../comments1.xml"/><Relationship Id="rId4" Type="http://schemas.openxmlformats.org/officeDocument/2006/relationships/table" Target="../tables/table2.xml"/><Relationship Id="rId9" Type="http://schemas.openxmlformats.org/officeDocument/2006/relationships/table" Target="../tables/table7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F94EEF-1994-4D81-B257-04584E7EDD3D}">
  <dimension ref="A1:BY552"/>
  <sheetViews>
    <sheetView showGridLines="0" tabSelected="1" topLeftCell="BE429" zoomScaleNormal="100" workbookViewId="0">
      <selection activeCell="BP463" sqref="BP463"/>
    </sheetView>
  </sheetViews>
  <sheetFormatPr defaultColWidth="9" defaultRowHeight="14.25" x14ac:dyDescent="0.45"/>
  <cols>
    <col min="1" max="1" width="9" style="4"/>
    <col min="2" max="2" width="15.73046875" style="4" customWidth="1"/>
    <col min="3" max="3" width="11.1328125" style="4" customWidth="1"/>
    <col min="4" max="7" width="9" style="4"/>
    <col min="8" max="8" width="11.1328125" style="4" customWidth="1"/>
    <col min="9" max="9" width="35.265625" style="4" customWidth="1"/>
    <col min="10" max="11" width="5.59765625" style="4" customWidth="1"/>
    <col min="12" max="12" width="19.3984375" style="4" customWidth="1"/>
    <col min="13" max="13" width="9" style="4"/>
    <col min="14" max="23" width="13" style="4" customWidth="1"/>
    <col min="24" max="24" width="9" style="4"/>
    <col min="25" max="25" width="12.86328125" style="4" customWidth="1"/>
    <col min="26" max="26" width="57.86328125" style="4" customWidth="1"/>
    <col min="27" max="27" width="41.6640625" style="4" customWidth="1"/>
    <col min="28" max="28" width="10.86328125" style="4" customWidth="1"/>
    <col min="29" max="29" width="38.86328125" style="4" customWidth="1"/>
    <col min="30" max="31" width="22.73046875" style="4" customWidth="1"/>
    <col min="32" max="32" width="11.73046875" style="4" customWidth="1"/>
    <col min="33" max="33" width="14.1328125" style="4" customWidth="1"/>
    <col min="34" max="35" width="8.3984375" style="4" customWidth="1"/>
    <col min="36" max="36" width="7" style="4" customWidth="1"/>
    <col min="37" max="43" width="9" style="4"/>
    <col min="44" max="44" width="21.59765625" style="4" customWidth="1"/>
    <col min="45" max="45" width="30.59765625" style="4" customWidth="1"/>
    <col min="46" max="53" width="9" style="4"/>
    <col min="54" max="54" width="10.59765625" style="4" customWidth="1"/>
    <col min="55" max="56" width="9" style="4"/>
    <col min="57" max="60" width="8.46484375" style="4" customWidth="1"/>
    <col min="61" max="61" width="6.59765625" style="4" customWidth="1"/>
    <col min="62" max="62" width="30.19921875" style="4" customWidth="1"/>
    <col min="63" max="63" width="5.1328125" style="4" customWidth="1"/>
    <col min="64" max="64" width="43.6640625" style="4" bestFit="1" customWidth="1"/>
    <col min="65" max="65" width="25" style="4" customWidth="1"/>
    <col min="66" max="66" width="5.796875" style="4" customWidth="1"/>
    <col min="67" max="67" width="37.46484375" style="4" customWidth="1"/>
    <col min="68" max="68" width="24.59765625" style="4" customWidth="1"/>
    <col min="69" max="69" width="9" style="4"/>
    <col min="70" max="70" width="24.46484375" style="4" bestFit="1" customWidth="1"/>
    <col min="71" max="74" width="9" style="4"/>
    <col min="75" max="75" width="37.796875" style="4" bestFit="1" customWidth="1"/>
    <col min="76" max="76" width="9" style="4"/>
    <col min="77" max="77" width="43.6640625" style="4" customWidth="1"/>
    <col min="78" max="16384" width="9" style="4"/>
  </cols>
  <sheetData>
    <row r="1" spans="1:77" x14ac:dyDescent="0.45">
      <c r="A1" s="3" t="s">
        <v>604</v>
      </c>
      <c r="H1" s="3" t="s">
        <v>963</v>
      </c>
      <c r="Y1" s="3" t="s">
        <v>964</v>
      </c>
      <c r="BE1" s="3" t="s">
        <v>1418</v>
      </c>
    </row>
    <row r="2" spans="1:77" x14ac:dyDescent="0.45">
      <c r="Y2" s="18"/>
      <c r="BE2" s="18" t="s">
        <v>1686</v>
      </c>
      <c r="BT2" s="18" t="s">
        <v>1687</v>
      </c>
    </row>
    <row r="3" spans="1:77" x14ac:dyDescent="0.45">
      <c r="B3" s="4" t="s">
        <v>603</v>
      </c>
      <c r="C3" s="4" t="s">
        <v>602</v>
      </c>
      <c r="E3" s="4" t="s">
        <v>606</v>
      </c>
      <c r="F3" s="4" t="s">
        <v>605</v>
      </c>
      <c r="H3" s="4" t="s">
        <v>601</v>
      </c>
      <c r="I3" s="4" t="s">
        <v>600</v>
      </c>
      <c r="J3" s="4" t="s">
        <v>598</v>
      </c>
      <c r="K3" s="12" t="s">
        <v>1419</v>
      </c>
      <c r="L3" s="4" t="s">
        <v>595</v>
      </c>
      <c r="M3" s="4" t="s">
        <v>594</v>
      </c>
      <c r="N3" s="4" t="s">
        <v>593</v>
      </c>
      <c r="O3" s="4" t="s">
        <v>592</v>
      </c>
      <c r="P3" s="4" t="s">
        <v>590</v>
      </c>
      <c r="Q3" s="4" t="s">
        <v>589</v>
      </c>
      <c r="R3" s="4" t="s">
        <v>588</v>
      </c>
      <c r="S3" s="4" t="s">
        <v>587</v>
      </c>
      <c r="T3" s="4" t="s">
        <v>586</v>
      </c>
      <c r="U3" s="4" t="s">
        <v>585</v>
      </c>
      <c r="Y3" s="4" t="s">
        <v>599</v>
      </c>
      <c r="Z3" s="18" t="s">
        <v>1496</v>
      </c>
      <c r="AA3" s="4" t="s">
        <v>639</v>
      </c>
      <c r="AB3" s="4" t="s">
        <v>598</v>
      </c>
      <c r="AC3" s="4" t="s">
        <v>597</v>
      </c>
      <c r="AD3" s="4" t="s">
        <v>629</v>
      </c>
      <c r="AE3" s="4" t="s">
        <v>908</v>
      </c>
      <c r="AF3" s="4" t="s">
        <v>641</v>
      </c>
      <c r="AG3" s="4" t="s">
        <v>596</v>
      </c>
      <c r="AH3" s="4" t="s">
        <v>697</v>
      </c>
      <c r="AI3" s="12" t="s">
        <v>1415</v>
      </c>
      <c r="AJ3" s="18" t="s">
        <v>1550</v>
      </c>
      <c r="AK3" s="4" t="s">
        <v>595</v>
      </c>
      <c r="AL3" s="4" t="s">
        <v>594</v>
      </c>
      <c r="AM3" s="4" t="s">
        <v>593</v>
      </c>
      <c r="AN3" s="4" t="s">
        <v>592</v>
      </c>
      <c r="AO3" s="4" t="s">
        <v>591</v>
      </c>
      <c r="AP3" s="4" t="s">
        <v>733</v>
      </c>
      <c r="AQ3" s="4" t="s">
        <v>734</v>
      </c>
      <c r="AR3" s="4" t="s">
        <v>590</v>
      </c>
      <c r="AS3" s="4" t="s">
        <v>589</v>
      </c>
      <c r="AT3" s="4" t="s">
        <v>588</v>
      </c>
      <c r="AU3" s="4" t="s">
        <v>587</v>
      </c>
      <c r="AV3" s="4" t="s">
        <v>586</v>
      </c>
      <c r="AW3" s="4" t="s">
        <v>585</v>
      </c>
      <c r="AX3" s="4" t="s">
        <v>735</v>
      </c>
      <c r="AY3" s="4" t="s">
        <v>736</v>
      </c>
      <c r="BB3" s="4" t="s">
        <v>584</v>
      </c>
      <c r="BC3" s="4" t="s">
        <v>583</v>
      </c>
      <c r="BE3" s="4" t="s">
        <v>965</v>
      </c>
      <c r="BF3" s="4" t="s">
        <v>966</v>
      </c>
      <c r="BG3" s="4" t="s">
        <v>967</v>
      </c>
      <c r="BH3" s="4" t="s">
        <v>968</v>
      </c>
      <c r="BI3" s="4" t="s">
        <v>973</v>
      </c>
      <c r="BJ3" s="4" t="s">
        <v>969</v>
      </c>
      <c r="BK3" s="12" t="s">
        <v>1487</v>
      </c>
      <c r="BL3" s="4" t="s">
        <v>970</v>
      </c>
      <c r="BM3" s="4" t="s">
        <v>971</v>
      </c>
      <c r="BN3" s="12" t="s">
        <v>1488</v>
      </c>
      <c r="BO3" s="4" t="s">
        <v>972</v>
      </c>
      <c r="BP3" s="4" t="s">
        <v>974</v>
      </c>
      <c r="BQ3" s="18" t="s">
        <v>1637</v>
      </c>
      <c r="BR3" s="18" t="s">
        <v>1660</v>
      </c>
      <c r="BT3" s="4" t="s">
        <v>965</v>
      </c>
      <c r="BU3" s="4" t="s">
        <v>966</v>
      </c>
      <c r="BV3" s="18" t="s">
        <v>1649</v>
      </c>
      <c r="BW3" s="18" t="s">
        <v>1650</v>
      </c>
      <c r="BX3" s="12" t="s">
        <v>1487</v>
      </c>
      <c r="BY3" s="18" t="s">
        <v>1496</v>
      </c>
    </row>
    <row r="4" spans="1:77" x14ac:dyDescent="0.45">
      <c r="B4" s="4" t="s">
        <v>582</v>
      </c>
      <c r="C4" s="4" t="s">
        <v>581</v>
      </c>
      <c r="E4" s="4" t="s">
        <v>580</v>
      </c>
      <c r="F4" s="4" t="s">
        <v>579</v>
      </c>
      <c r="H4" s="5" t="s">
        <v>316</v>
      </c>
      <c r="I4" s="4" t="s">
        <v>321</v>
      </c>
      <c r="J4" s="9" t="s">
        <v>300</v>
      </c>
      <c r="K4" s="9" t="s">
        <v>1460</v>
      </c>
      <c r="L4" s="23" t="str">
        <f>IFERROR(INDEX(Commodities[[Commodity code]:[Commodity]],MATCH(Commodities[[#This Row],[Parent code]],Commodities[Commodity code],0),2),Commodities[[#This Row],[Commodity]])</f>
        <v>Liquid biofuels</v>
      </c>
      <c r="M4" s="24" t="str">
        <f>IFERROR(INDEX(Commodities[[Commodity code]:[Commodity]],MATCH(INDEX(Commodities[[Commodity]:[Parent code]],MATCH(Commodities[[#This Row],[L1N]],Commodities[Commodity],0),2),Commodities[Commodity code],0),2),Commodities[[#This Row],[L1N]])</f>
        <v>Biofuels</v>
      </c>
      <c r="N4" s="24" t="str">
        <f>IFERROR(INDEX(Commodities[[Commodity code]:[Commodity]],MATCH(INDEX(Commodities[[Commodity]:[Parent code]],MATCH(Commodities[[#This Row],[L2N]],Commodities[Commodity],0),2),Commodities[Commodity code],0),2),Commodities[[#This Row],[L2N]])</f>
        <v>Biofuels</v>
      </c>
      <c r="O4" s="24" t="str">
        <f>IFERROR(INDEX(Commodities[[Commodity code]:[Commodity]],MATCH(INDEX(Commodities[[Commodity]:[Parent code]],MATCH(Commodities[[#This Row],[L3N]],Commodities[Commodity],0),2),Commodities[Commodity code],0),2),Commodities[[#This Row],[L3N]])</f>
        <v>Biofuels</v>
      </c>
      <c r="P4" s="24" t="str">
        <f>IF(Commodities[[#This Row],[L4N]]=Commodities[[#This Row],[L3N]],Commodities[[#This Row],[L4N]],IF(Commodities[[#This Row],[L3N]]=Commodities[[#This Row],[L2N]],Commodities[[#This Row],[L3N]],IF(Commodities[[#This Row],[L2N]]=Commodities[[#This Row],[L1N]],Commodities[[#This Row],[L2N]],IF(Commodities[[#This Row],[L1N]]=Commodities[[#This Row],[Commodity]],Commodities[[#This Row],[L1N]],Commodities[[#This Row],[Commodity]]))))</f>
        <v>Biofuels</v>
      </c>
      <c r="Q4" s="24" t="str">
        <f>IF(Commodities[[#This Row],[Level 0]]=Commodities[[#This Row],[Commodity]],Commodities[[#This Row],[Commodity]],IF(Commodities[[#This Row],[Level 0]]=Commodities[[#This Row],[L1N]],Commodities[[#This Row],[Commodity]],IF(Commodities[[#This Row],[Level 0]]=Commodities[[#This Row],[L2N]],Commodities[[#This Row],[L1N]],IF(Commodities[[#This Row],[Level 0]]=Commodities[[#This Row],[L3N]],Commodities[[#This Row],[L2N]],IF(Commodities[[#This Row],[Level 0]]=Commodities[[#This Row],[L4N]],Commodities[[#This Row],[L3N]],Commodities[[#This Row],[L4N]])))))</f>
        <v>Liquid biofuels</v>
      </c>
      <c r="R4" s="24" t="str">
        <f>IF(Commodities[[#This Row],[Level 1]]=Commodities[[#This Row],[Commodity]],Commodities[[#This Row],[Commodity]],IF(Commodities[[#This Row],[Level 1]]=Commodities[[#This Row],[L1N]],Commodities[[#This Row],[Commodity]],IF(Commodities[[#This Row],[Level 1]]=Commodities[[#This Row],[L2N]],Commodities[[#This Row],[L1N]],IF(Commodities[[#This Row],[Level 1]]=Commodities[[#This Row],[L3N]],Commodities[[#This Row],[L2N]],IF(Commodities[[#This Row],[Level 1]]=Commodities[[#This Row],[L4N]],Commodities[[#This Row],[L3N]],Commodities[[#This Row],[L4N]])))))</f>
        <v>Biogasoline</v>
      </c>
      <c r="S4" s="24" t="str">
        <f>IF(Commodities[[#This Row],[Level 2]]=Commodities[[#This Row],[Commodity]],Commodities[[#This Row],[Commodity]],IF(Commodities[[#This Row],[Level 2]]=Commodities[[#This Row],[L1N]],Commodities[[#This Row],[Commodity]],IF(Commodities[[#This Row],[Level 2]]=Commodities[[#This Row],[L2N]],Commodities[[#This Row],[L1N]],IF(Commodities[[#This Row],[Level 2]]=Commodities[[#This Row],[L3N]],Commodities[[#This Row],[L2N]],IF(Commodities[[#This Row],[Level 2]]=Commodities[[#This Row],[L4N]],Commodities[[#This Row],[L3N]],Commodities[[#This Row],[L4N]])))))</f>
        <v>Biogasoline</v>
      </c>
      <c r="T4" s="24" t="str">
        <f>IF(Commodities[[#This Row],[Level 3]]=Commodities[[#This Row],[Commodity]],Commodities[[#This Row],[Commodity]],IF(Commodities[[#This Row],[Level 3]]=Commodities[[#This Row],[L1N]],Commodities[[#This Row],[Commodity]],IF(Commodities[[#This Row],[Level 3]]=Commodities[[#This Row],[L2N]],Commodities[[#This Row],[L1N]],IF(Commodities[[#This Row],[Level 3]]=Commodities[[#This Row],[L3N]],Commodities[[#This Row],[L2N]],IF(Commodities[[#This Row],[Level 3]]=Commodities[[#This Row],[L4N]],Commodities[[#This Row],[L3N]],Commodities[[#This Row],[L4N]])))))</f>
        <v>Biogasoline</v>
      </c>
      <c r="U4" s="24" t="str">
        <f>IF(Commodities[[#This Row],[Level 4]]=Commodities[[#This Row],[Commodity]],Commodities[[#This Row],[Commodity]],IF(Commodities[[#This Row],[Level 4]]=Commodities[[#This Row],[L1N]],Commodities[[#This Row],[Commodity]],IF(Commodities[[#This Row],[Level 4]]=Commodities[[#This Row],[L2N]],Commodities[[#This Row],[L1N]],IF(Commodities[[#This Row],[Level 4]]=Commodities[[#This Row],[L3N]],Commodities[[#This Row],[L2N]],IF(Commodities[[#This Row],[Level 4]]=Commodities[[#This Row],[L4N]],Commodities[[#This Row],[L3N]],Commodities[[#This Row],[L4N]])))))</f>
        <v>Biogasoline</v>
      </c>
      <c r="Y4" s="4" t="s">
        <v>612</v>
      </c>
      <c r="Z4" s="4" t="s">
        <v>888</v>
      </c>
      <c r="AA4" s="4" t="s">
        <v>888</v>
      </c>
      <c r="AC4" s="24" t="str">
        <f>IFERROR(VLOOKUP(Transactions[[#This Row],[Parent code]],Transactions[[Transaction code]:[Transaction name]],2,0),"")</f>
        <v/>
      </c>
      <c r="AD4" s="4" t="s">
        <v>630</v>
      </c>
      <c r="AF4" s="4" t="s">
        <v>642</v>
      </c>
      <c r="AG4" s="4" t="s">
        <v>385</v>
      </c>
      <c r="AK4" s="24" t="str" cm="1">
        <f t="array" ref="AK4">IFERROR(INDEX(Transactions[[Transaction code]:[Transaction name]],_xlfn.XMATCH(Transactions[[#This Row],[Parent code]],Transactions[Transaction name],0),3),Transactions[[#This Row],[Transaction name]])</f>
        <v>Agriculture forestry and fishing (S)</v>
      </c>
      <c r="AL4" s="24" t="str" cm="1">
        <f t="array" ref="AL4">IFERROR(INDEX(Transactions[[Transaction code]:[Transaction name]],_xlfn.XMATCH(INDEX(Transactions[[Transaction name]:[Parent code]],_xlfn.XMATCH(Transactions[[#This Row],[L1N]],Transactions[Transaction name],0),3),Transactions[Transaction code],0),2),Transactions[[#This Row],[L1N]])</f>
        <v>Agriculture forestry and fishing (S)</v>
      </c>
      <c r="AM4" s="24" t="str" cm="1">
        <f t="array" ref="AM4">IFERROR(INDEX(Transactions[[Transaction code]:[Transaction name]],_xlfn.XMATCH(INDEX(Transactions[[Transaction name]:[Parent code]],_xlfn.XMATCH(Transactions[[#This Row],[L2N]],Transactions[Transaction name],0),3),Transactions[Transaction code],0),2),Transactions[[#This Row],[L2N]])</f>
        <v>Agriculture forestry and fishing (S)</v>
      </c>
      <c r="AN4" s="24" t="str" cm="1">
        <f t="array" ref="AN4">IFERROR(INDEX(Transactions[[Transaction code]:[Transaction name]],_xlfn.XMATCH(INDEX(Transactions[[Transaction name]:[Parent code]],_xlfn.XMATCH(Transactions[[#This Row],[L3N]],Transactions[Transaction name],0),3),Transactions[Transaction code],0),2),Transactions[[#This Row],[L3N]])</f>
        <v>Agriculture forestry and fishing (S)</v>
      </c>
      <c r="AO4" s="24" t="str" cm="1">
        <f t="array" ref="AO4">IFERROR(INDEX(Transactions[[Transaction code]:[Transaction name]],_xlfn.XMATCH(INDEX(Transactions[[Transaction name]:[Parent code]],_xlfn.XMATCH(Transactions[[#This Row],[L4N]],Transactions[Transaction name],0),3),Transactions[Transaction code],0),2),Transactions[[#This Row],[L4N]])</f>
        <v>Agriculture forestry and fishing (S)</v>
      </c>
      <c r="AP4" s="24" t="str" cm="1">
        <f t="array" ref="AP4">IFERROR(INDEX(Transactions[[Transaction code]:[Transaction name]],_xlfn.XMATCH(INDEX(Transactions[[Transaction name]:[Parent code]],_xlfn.XMATCH(Transactions[[#This Row],[L5N]],Transactions[Transaction name],0),3),Transactions[Transaction code],0),2),Transactions[[#This Row],[L5N]])</f>
        <v>Agriculture forestry and fishing (S)</v>
      </c>
      <c r="AQ4" s="24" t="str" cm="1">
        <f t="array" ref="AQ4">IFERROR(INDEX(Transactions[[Transaction code]:[Transaction name]],_xlfn.XMATCH(INDEX(Transactions[[Transaction name]:[Parent code]],_xlfn.XMATCH(Transactions[[#This Row],[L6N]],Transactions[Transaction name],0),3),Transactions[Transaction code],0),2),Transactions[[#This Row],[L6N]])</f>
        <v>Agriculture forestry and fishing (S)</v>
      </c>
      <c r="AR4" s="27" t="str">
        <f>IF(Transactions[[#This Row],[L7N]]=Transactions[[#This Row],[L6N]],Transactions[[#This Row],[L7N]],IF(Transactions[[#This Row],[L6N]]=Transactions[[#This Row],[L5N]],Transactions[[#This Row],[L6N]],IF(Transactions[[#This Row],[L5N]]=Transactions[[#This Row],[L4N]],Transactions[[#This Row],[L5N]],IF(Transactions[[#This Row],[L4N]]=Transactions[[#This Row],[L3N]],Transactions[[#This Row],[L4N]],IF(Transactions[[#This Row],[L3N]]=Transactions[[#This Row],[L2N]],Transactions[[#This Row],[L3N]],IF(Transactions[[#This Row],[L2N]]=Transactions[[#This Row],[L1N]],Transactions[[#This Row],[L2N]],IF(Transactions[[#This Row],[L1N]]=Transactions[[#This Row],[Transaction name]],Transactions[[#This Row],[L1N]],Transactions[[#This Row],[Transaction name]])))))))</f>
        <v>Agriculture forestry and fishing (S)</v>
      </c>
      <c r="AS4" s="24" t="str">
        <f>IF(Transactions[[#This Row],[Level 0]]=Transactions[[#This Row],[Transaction name]],Transactions[[#This Row],[Transaction name]],IF(Transactions[[#This Row],[Level 0]]=Transactions[[#This Row],[L1N]],Transactions[[#This Row],[Transaction name]],IF(Transactions[[#This Row],[Level 0]]=Transactions[[#This Row],[L2N]],Transactions[[#This Row],[L1N]],IF(Transactions[[#This Row],[Level 0]]=Transactions[[#This Row],[L3N]],Transactions[[#This Row],[L2N]],IF(Transactions[[#This Row],[Level 0]]=Transactions[[#This Row],[L4N]],Transactions[[#This Row],[L3N]],IF(Transactions[[#This Row],[Level 0]]=Transactions[[#This Row],[L5N]],Transactions[[#This Row],[L4N]],IF(Transactions[[#This Row],[Level 0]]=Transactions[[#This Row],[L6N]],Transactions[[#This Row],[L5N]],IF(Transactions[[#This Row],[Level 0]]=Transactions[[#This Row],[L7N]],Transactions[[#This Row],[L6N]],Transactions[[#This Row],[L7N]]))))))))</f>
        <v>Agriculture forestry and fishing (S)</v>
      </c>
      <c r="AT4" s="24" t="str">
        <f>IF(Transactions[[#This Row],[Level 1]]=Transactions[[#This Row],[Transaction name]],Transactions[[#This Row],[Transaction name]],IF(Transactions[[#This Row],[Level 1]]=Transactions[[#This Row],[L1N]],Transactions[[#This Row],[Transaction name]],IF(Transactions[[#This Row],[Level 1]]=Transactions[[#This Row],[L2N]],Transactions[[#This Row],[L1N]],IF(Transactions[[#This Row],[Level 1]]=Transactions[[#This Row],[L3N]],Transactions[[#This Row],[L2N]],IF(Transactions[[#This Row],[Level 1]]=Transactions[[#This Row],[L4N]],Transactions[[#This Row],[L3N]],IF(Transactions[[#This Row],[Level 1]]=Transactions[[#This Row],[L5N]],Transactions[[#This Row],[L4N]],IF(Transactions[[#This Row],[Level 1]]=Transactions[[#This Row],[L6N]],Transactions[[#This Row],[L5N]],IF(Transactions[[#This Row],[Level 1]]=Transactions[[#This Row],[L7N]],Transactions[[#This Row],[L6N]],Transactions[[#This Row],[L7N]]))))))))</f>
        <v>Agriculture forestry and fishing (S)</v>
      </c>
      <c r="AU4" s="24" t="str">
        <f>IF(Transactions[[#This Row],[Level 2]]=Transactions[[#This Row],[Transaction name]],Transactions[[#This Row],[Transaction name]],IF(Transactions[[#This Row],[Level 2]]=Transactions[[#This Row],[L1N]],Transactions[[#This Row],[Transaction name]],IF(Transactions[[#This Row],[Level 2]]=Transactions[[#This Row],[L2N]],Transactions[[#This Row],[L1N]],IF(Transactions[[#This Row],[Level 2]]=Transactions[[#This Row],[L3N]],Transactions[[#This Row],[L2N]],IF(Transactions[[#This Row],[Level 2]]=Transactions[[#This Row],[L4N]],Transactions[[#This Row],[L3N]],IF(Transactions[[#This Row],[Level 2]]=Transactions[[#This Row],[L5N]],Transactions[[#This Row],[L4N]],IF(Transactions[[#This Row],[Level 2]]=Transactions[[#This Row],[L6N]],Transactions[[#This Row],[L5N]],IF(Transactions[[#This Row],[Level 2]]=Transactions[[#This Row],[L7N]],Transactions[[#This Row],[L6N]],Transactions[[#This Row],[L7N]]))))))))</f>
        <v>Agriculture forestry and fishing (S)</v>
      </c>
      <c r="AV4" s="24" t="str">
        <f>IF(Transactions[[#This Row],[Level 3]]=Transactions[[#This Row],[Transaction name]],Transactions[[#This Row],[Transaction name]],IF(Transactions[[#This Row],[Level 3]]=Transactions[[#This Row],[L1N]],Transactions[[#This Row],[Transaction name]],IF(Transactions[[#This Row],[Level 3]]=Transactions[[#This Row],[L2N]],Transactions[[#This Row],[L1N]],IF(Transactions[[#This Row],[Level 3]]=Transactions[[#This Row],[L3N]],Transactions[[#This Row],[L2N]],IF(Transactions[[#This Row],[Level 3]]=Transactions[[#This Row],[L4N]],Transactions[[#This Row],[L3N]],IF(Transactions[[#This Row],[Level 3]]=Transactions[[#This Row],[L5N]],Transactions[[#This Row],[L4N]],IF(Transactions[[#This Row],[Level 3]]=Transactions[[#This Row],[L6N]],Transactions[[#This Row],[L5N]],IF(Transactions[[#This Row],[Level 3]]=Transactions[[#This Row],[L7N]],Transactions[[#This Row],[L6N]],Transactions[[#This Row],[L7N]]))))))))</f>
        <v>Agriculture forestry and fishing (S)</v>
      </c>
      <c r="AW4" s="24" t="str">
        <f>IF(Transactions[[#This Row],[Level 4]]=Transactions[[#This Row],[Transaction name]],Transactions[[#This Row],[Transaction name]],IF(Transactions[[#This Row],[Level 4]]=Transactions[[#This Row],[L1N]],Transactions[[#This Row],[Transaction name]],IF(Transactions[[#This Row],[Level 4]]=Transactions[[#This Row],[L2N]],Transactions[[#This Row],[L1N]],IF(Transactions[[#This Row],[Level 4]]=Transactions[[#This Row],[L3N]],Transactions[[#This Row],[L2N]],IF(Transactions[[#This Row],[Level 4]]=Transactions[[#This Row],[L4N]],Transactions[[#This Row],[L3N]],IF(Transactions[[#This Row],[Level 4]]=Transactions[[#This Row],[L5N]],Transactions[[#This Row],[L4N]],IF(Transactions[[#This Row],[Level 4]]=Transactions[[#This Row],[L6N]],Transactions[[#This Row],[L5N]],IF(Transactions[[#This Row],[Level 4]]=Transactions[[#This Row],[L7N]],Transactions[[#This Row],[L6N]],Transactions[[#This Row],[L7N]]))))))))</f>
        <v>Agriculture forestry and fishing (S)</v>
      </c>
      <c r="AX4" s="24" t="str">
        <f>IF(Transactions[[#This Row],[Level 5]]=Transactions[[#This Row],[Transaction name]],Transactions[[#This Row],[Transaction name]],IF(Transactions[[#This Row],[Level 5]]=Transactions[[#This Row],[L1N]],Transactions[[#This Row],[Transaction name]],IF(Transactions[[#This Row],[Level 5]]=Transactions[[#This Row],[L2N]],Transactions[[#This Row],[L1N]],IF(Transactions[[#This Row],[Level 5]]=Transactions[[#This Row],[L3N]],Transactions[[#This Row],[L2N]],IF(Transactions[[#This Row],[Level 5]]=Transactions[[#This Row],[L4N]],Transactions[[#This Row],[L3N]],IF(Transactions[[#This Row],[Level 5]]=Transactions[[#This Row],[L5N]],Transactions[[#This Row],[L4N]],IF(Transactions[[#This Row],[Level 5]]=Transactions[[#This Row],[L6N]],Transactions[[#This Row],[L5N]],IF(Transactions[[#This Row],[Level 5]]=Transactions[[#This Row],[L7N]],Transactions[[#This Row],[L6N]],Transactions[[#This Row],[L7N]]))))))))</f>
        <v>Agriculture forestry and fishing (S)</v>
      </c>
      <c r="AY4" s="24" t="str">
        <f>IF(Transactions[[#This Row],[Level 6]]=Transactions[[#This Row],[Transaction name]],Transactions[[#This Row],[Transaction name]],IF(Transactions[[#This Row],[Level 6]]=Transactions[[#This Row],[L1N]],Transactions[[#This Row],[Transaction name]],IF(Transactions[[#This Row],[Level 6]]=Transactions[[#This Row],[L2N]],Transactions[[#This Row],[L1N]],IF(Transactions[[#This Row],[Level 6]]=Transactions[[#This Row],[L3N]],Transactions[[#This Row],[L2N]],IF(Transactions[[#This Row],[Level 6]]=Transactions[[#This Row],[L4N]],Transactions[[#This Row],[L3N]],IF(Transactions[[#This Row],[Level 6]]=Transactions[[#This Row],[L5N]],Transactions[[#This Row],[L4N]],IF(Transactions[[#This Row],[Level 6]]=Transactions[[#This Row],[L6N]],Transactions[[#This Row],[L5N]],IF(Transactions[[#This Row],[Level 6]]=Transactions[[#This Row],[L7N]],Transactions[[#This Row],[L6N]],Transactions[[#This Row],[L7N]]))))))))</f>
        <v>Agriculture forestry and fishing (S)</v>
      </c>
      <c r="BB4" s="4" t="s">
        <v>575</v>
      </c>
      <c r="BC4" s="4" t="s">
        <v>553</v>
      </c>
      <c r="BE4" s="26" t="str">
        <f>_xlfn.XLOOKUP(Transformation[[#This Row],[cfrom]],Commodities[Commodity],Commodities[Commodity code])</f>
        <v>8000</v>
      </c>
      <c r="BF4" s="26" t="str">
        <f>_xlfn.XLOOKUP(Transformation[[#This Row],[tfrom]],Transactions[Transaction name],Transactions[Transaction code])</f>
        <v>016HC</v>
      </c>
      <c r="BG4" s="26" t="str">
        <f>_xlfn.XLOOKUP(Transformation[[#This Row],[cto]],Commodities[Commodity],Commodities[Commodity code])</f>
        <v>8000</v>
      </c>
      <c r="BH4" s="26" t="str">
        <f>_xlfn.XLOOKUP(Transformation[[#This Row],[tto]],Transactions[Transaction name],Transactions[Transaction code])</f>
        <v>01</v>
      </c>
      <c r="BI4" s="31">
        <v>1</v>
      </c>
      <c r="BJ4" s="22" t="s">
        <v>262</v>
      </c>
      <c r="BK4" s="26" t="str">
        <f>_xlfn.XLOOKUP(Transformation[[#This Row],[Commodity from]],Commodities[Commodity code],Commodities[EnergyCode])</f>
        <v>ST</v>
      </c>
      <c r="BL4" s="22" t="s">
        <v>655</v>
      </c>
      <c r="BM4" s="22" t="s">
        <v>262</v>
      </c>
      <c r="BN4" s="26" t="str">
        <f>_xlfn.XLOOKUP(Transformation[[#This Row],[Commodity to]],Commodities[Commodity code],Commodities[EnergyCode])</f>
        <v>ST</v>
      </c>
      <c r="BO4" s="22" t="s">
        <v>383</v>
      </c>
      <c r="BP4" s="22" t="s">
        <v>1673</v>
      </c>
      <c r="BQ4" s="33" t="str">
        <f>Transformation[[#This Row],[Commodity from]]&amp;Transformation[[#This Row],[Transaction from]]&amp;Transformation[[#This Row],[Commodity to]]&amp;Transformation[[#This Row],[Transaction to]]</f>
        <v>8000016HC800001</v>
      </c>
      <c r="BR4" s="26" t="str">
        <f>Transformation[[#This Row],[crfomid]]&amp;Transformation[[#This Row],[Transaction from]]&amp;"("&amp;Transformation[[#This Row],[Multiplier]]&amp;") -&gt; "&amp;Transformation[[#This Row],[ctoid]]&amp;Transformation[[#This Row],[Transaction to]]</f>
        <v>ST016HC(1) -&gt; ST01</v>
      </c>
      <c r="BT4" s="26" t="str">
        <f>_xlfn.XLOOKUP(Signswitch[[#This Row],[Commodity name]],Commodities[Commodity],Commodities[Commodity code])</f>
        <v>5232</v>
      </c>
      <c r="BU4" s="26" t="str">
        <f>_xlfn.XLOOKUP(Signswitch[[#This Row],[Transaction name]],Transactions[Transaction name],Transactions[Transaction code])</f>
        <v>03</v>
      </c>
      <c r="BV4" s="26" t="str">
        <f>Signswitch[[#This Row],[Commodity from]]&amp;Signswitch[[#This Row],[Transaction from]]</f>
        <v>523203</v>
      </c>
      <c r="BW4" s="22" t="s">
        <v>306</v>
      </c>
      <c r="BX4" s="26" t="str">
        <f>_xlfn.XLOOKUP(Signswitch[[#This Row],[Commodity from]],Commodities[Commodity code],Commodities[EnergyCode])</f>
        <v>ZJ</v>
      </c>
      <c r="BY4" s="22" t="s">
        <v>200</v>
      </c>
    </row>
    <row r="5" spans="1:77" x14ac:dyDescent="0.45">
      <c r="B5" s="4" t="s">
        <v>574</v>
      </c>
      <c r="C5" s="4" t="s">
        <v>573</v>
      </c>
      <c r="H5" s="5" t="s">
        <v>429</v>
      </c>
      <c r="I5" s="4" t="s">
        <v>428</v>
      </c>
      <c r="J5" s="9" t="s">
        <v>420</v>
      </c>
      <c r="K5" s="9" t="s">
        <v>1439</v>
      </c>
      <c r="L5" s="23" t="str">
        <f>IFERROR(INDEX(Commodities[[Commodity code]:[Commodity]],MATCH(Commodities[[#This Row],[Parent code]],Commodities[Commodity code],0),2),Commodities[[#This Row],[Commodity]])</f>
        <v>Oil</v>
      </c>
      <c r="M5" s="24" t="str">
        <f>IFERROR(INDEX(Commodities[[Commodity code]:[Commodity]],MATCH(INDEX(Commodities[[Commodity]:[Parent code]],MATCH(Commodities[[#This Row],[L1N]],Commodities[Commodity],0),2),Commodities[Commodity code],0),2),Commodities[[#This Row],[L1N]])</f>
        <v>Oil</v>
      </c>
      <c r="N5" s="24" t="str">
        <f>IFERROR(INDEX(Commodities[[Commodity code]:[Commodity]],MATCH(INDEX(Commodities[[Commodity]:[Parent code]],MATCH(Commodities[[#This Row],[L2N]],Commodities[Commodity],0),2),Commodities[Commodity code],0),2),Commodities[[#This Row],[L2N]])</f>
        <v>Oil</v>
      </c>
      <c r="O5" s="24" t="str">
        <f>IFERROR(INDEX(Commodities[[Commodity code]:[Commodity]],MATCH(INDEX(Commodities[[Commodity]:[Parent code]],MATCH(Commodities[[#This Row],[L3N]],Commodities[Commodity],0),2),Commodities[Commodity code],0),2),Commodities[[#This Row],[L3N]])</f>
        <v>Oil</v>
      </c>
      <c r="P5" s="24" t="str">
        <f>IF(Commodities[[#This Row],[L4N]]=Commodities[[#This Row],[L3N]],Commodities[[#This Row],[L4N]],IF(Commodities[[#This Row],[L3N]]=Commodities[[#This Row],[L2N]],Commodities[[#This Row],[L3N]],IF(Commodities[[#This Row],[L2N]]=Commodities[[#This Row],[L1N]],Commodities[[#This Row],[L2N]],IF(Commodities[[#This Row],[L1N]]=Commodities[[#This Row],[Commodity]],Commodities[[#This Row],[L1N]],Commodities[[#This Row],[Commodity]]))))</f>
        <v>Oil</v>
      </c>
      <c r="Q5" s="24" t="str">
        <f>IF(Commodities[[#This Row],[Level 0]]=Commodities[[#This Row],[Commodity]],Commodities[[#This Row],[Commodity]],IF(Commodities[[#This Row],[Level 0]]=Commodities[[#This Row],[L1N]],Commodities[[#This Row],[Commodity]],IF(Commodities[[#This Row],[Level 0]]=Commodities[[#This Row],[L2N]],Commodities[[#This Row],[L1N]],IF(Commodities[[#This Row],[Level 0]]=Commodities[[#This Row],[L3N]],Commodities[[#This Row],[L2N]],IF(Commodities[[#This Row],[Level 0]]=Commodities[[#This Row],[L4N]],Commodities[[#This Row],[L3N]],Commodities[[#This Row],[L4N]])))))</f>
        <v>Additives and oxygenates</v>
      </c>
      <c r="R5" s="24" t="str">
        <f>IF(Commodities[[#This Row],[Level 1]]=Commodities[[#This Row],[Commodity]],Commodities[[#This Row],[Commodity]],IF(Commodities[[#This Row],[Level 1]]=Commodities[[#This Row],[L1N]],Commodities[[#This Row],[Commodity]],IF(Commodities[[#This Row],[Level 1]]=Commodities[[#This Row],[L2N]],Commodities[[#This Row],[L1N]],IF(Commodities[[#This Row],[Level 1]]=Commodities[[#This Row],[L3N]],Commodities[[#This Row],[L2N]],IF(Commodities[[#This Row],[Level 1]]=Commodities[[#This Row],[L4N]],Commodities[[#This Row],[L3N]],Commodities[[#This Row],[L4N]])))))</f>
        <v>Additives and oxygenates</v>
      </c>
      <c r="S5" s="24" t="str">
        <f>IF(Commodities[[#This Row],[Level 2]]=Commodities[[#This Row],[Commodity]],Commodities[[#This Row],[Commodity]],IF(Commodities[[#This Row],[Level 2]]=Commodities[[#This Row],[L1N]],Commodities[[#This Row],[Commodity]],IF(Commodities[[#This Row],[Level 2]]=Commodities[[#This Row],[L2N]],Commodities[[#This Row],[L1N]],IF(Commodities[[#This Row],[Level 2]]=Commodities[[#This Row],[L3N]],Commodities[[#This Row],[L2N]],IF(Commodities[[#This Row],[Level 2]]=Commodities[[#This Row],[L4N]],Commodities[[#This Row],[L3N]],Commodities[[#This Row],[L4N]])))))</f>
        <v>Additives and oxygenates</v>
      </c>
      <c r="T5" s="24" t="str">
        <f>IF(Commodities[[#This Row],[Level 3]]=Commodities[[#This Row],[Commodity]],Commodities[[#This Row],[Commodity]],IF(Commodities[[#This Row],[Level 3]]=Commodities[[#This Row],[L1N]],Commodities[[#This Row],[Commodity]],IF(Commodities[[#This Row],[Level 3]]=Commodities[[#This Row],[L2N]],Commodities[[#This Row],[L1N]],IF(Commodities[[#This Row],[Level 3]]=Commodities[[#This Row],[L3N]],Commodities[[#This Row],[L2N]],IF(Commodities[[#This Row],[Level 3]]=Commodities[[#This Row],[L4N]],Commodities[[#This Row],[L3N]],Commodities[[#This Row],[L4N]])))))</f>
        <v>Additives and oxygenates</v>
      </c>
      <c r="U5" s="24" t="str">
        <f>IF(Commodities[[#This Row],[Level 4]]=Commodities[[#This Row],[Commodity]],Commodities[[#This Row],[Commodity]],IF(Commodities[[#This Row],[Level 4]]=Commodities[[#This Row],[L1N]],Commodities[[#This Row],[Commodity]],IF(Commodities[[#This Row],[Level 4]]=Commodities[[#This Row],[L2N]],Commodities[[#This Row],[L1N]],IF(Commodities[[#This Row],[Level 4]]=Commodities[[#This Row],[L3N]],Commodities[[#This Row],[L2N]],IF(Commodities[[#This Row],[Level 4]]=Commodities[[#This Row],[L4N]],Commodities[[#This Row],[L3N]],Commodities[[#This Row],[L4N]])))))</f>
        <v>Additives and oxygenates</v>
      </c>
      <c r="Y5" s="4" t="s">
        <v>616</v>
      </c>
      <c r="Z5" s="4" t="s">
        <v>835</v>
      </c>
      <c r="AA5" s="4" t="s">
        <v>835</v>
      </c>
      <c r="AC5" s="24" t="str">
        <f>IFERROR(VLOOKUP(Transactions[[#This Row],[Parent code]],Transactions[[Transaction code]:[Transaction name]],2,0),"")</f>
        <v/>
      </c>
      <c r="AD5" s="4" t="s">
        <v>189</v>
      </c>
      <c r="AF5" s="4" t="s">
        <v>642</v>
      </c>
      <c r="AG5" s="4" t="s">
        <v>385</v>
      </c>
      <c r="AK5" s="24" t="str" cm="1">
        <f t="array" ref="AK5">IFERROR(INDEX(Transactions[[Transaction code]:[Transaction name]],_xlfn.XMATCH(Transactions[[#This Row],[Parent code]],Transactions[Transaction name],0),3),Transactions[[#This Row],[Transaction name]])</f>
        <v>Blast furnaces (S)</v>
      </c>
      <c r="AL5" s="24" t="str" cm="1">
        <f t="array" ref="AL5">IFERROR(INDEX(Transactions[[Transaction code]:[Transaction name]],_xlfn.XMATCH(INDEX(Transactions[[Transaction name]:[Parent code]],_xlfn.XMATCH(Transactions[[#This Row],[L1N]],Transactions[Transaction name],0),3),Transactions[Transaction code],0),2),Transactions[[#This Row],[L1N]])</f>
        <v>Blast furnaces (S)</v>
      </c>
      <c r="AM5" s="24" t="str" cm="1">
        <f t="array" ref="AM5">IFERROR(INDEX(Transactions[[Transaction code]:[Transaction name]],_xlfn.XMATCH(INDEX(Transactions[[Transaction name]:[Parent code]],_xlfn.XMATCH(Transactions[[#This Row],[L2N]],Transactions[Transaction name],0),3),Transactions[Transaction code],0),2),Transactions[[#This Row],[L2N]])</f>
        <v>Blast furnaces (S)</v>
      </c>
      <c r="AN5" s="24" t="str" cm="1">
        <f t="array" ref="AN5">IFERROR(INDEX(Transactions[[Transaction code]:[Transaction name]],_xlfn.XMATCH(INDEX(Transactions[[Transaction name]:[Parent code]],_xlfn.XMATCH(Transactions[[#This Row],[L3N]],Transactions[Transaction name],0),3),Transactions[Transaction code],0),2),Transactions[[#This Row],[L3N]])</f>
        <v>Blast furnaces (S)</v>
      </c>
      <c r="AO5" s="24" t="str" cm="1">
        <f t="array" ref="AO5">IFERROR(INDEX(Transactions[[Transaction code]:[Transaction name]],_xlfn.XMATCH(INDEX(Transactions[[Transaction name]:[Parent code]],_xlfn.XMATCH(Transactions[[#This Row],[L4N]],Transactions[Transaction name],0),3),Transactions[Transaction code],0),2),Transactions[[#This Row],[L4N]])</f>
        <v>Blast furnaces (S)</v>
      </c>
      <c r="AP5" s="24" t="str" cm="1">
        <f t="array" ref="AP5">IFERROR(INDEX(Transactions[[Transaction code]:[Transaction name]],_xlfn.XMATCH(INDEX(Transactions[[Transaction name]:[Parent code]],_xlfn.XMATCH(Transactions[[#This Row],[L5N]],Transactions[Transaction name],0),3),Transactions[Transaction code],0),2),Transactions[[#This Row],[L5N]])</f>
        <v>Blast furnaces (S)</v>
      </c>
      <c r="AQ5" s="24" t="str" cm="1">
        <f t="array" ref="AQ5">IFERROR(INDEX(Transactions[[Transaction code]:[Transaction name]],_xlfn.XMATCH(INDEX(Transactions[[Transaction name]:[Parent code]],_xlfn.XMATCH(Transactions[[#This Row],[L6N]],Transactions[Transaction name],0),3),Transactions[Transaction code],0),2),Transactions[[#This Row],[L6N]])</f>
        <v>Blast furnaces (S)</v>
      </c>
      <c r="AR5" s="27" t="str">
        <f>IF(Transactions[[#This Row],[L7N]]=Transactions[[#This Row],[L6N]],Transactions[[#This Row],[L7N]],IF(Transactions[[#This Row],[L6N]]=Transactions[[#This Row],[L5N]],Transactions[[#This Row],[L6N]],IF(Transactions[[#This Row],[L5N]]=Transactions[[#This Row],[L4N]],Transactions[[#This Row],[L5N]],IF(Transactions[[#This Row],[L4N]]=Transactions[[#This Row],[L3N]],Transactions[[#This Row],[L4N]],IF(Transactions[[#This Row],[L3N]]=Transactions[[#This Row],[L2N]],Transactions[[#This Row],[L3N]],IF(Transactions[[#This Row],[L2N]]=Transactions[[#This Row],[L1N]],Transactions[[#This Row],[L2N]],IF(Transactions[[#This Row],[L1N]]=Transactions[[#This Row],[Transaction name]],Transactions[[#This Row],[L1N]],Transactions[[#This Row],[Transaction name]])))))))</f>
        <v>Blast furnaces (S)</v>
      </c>
      <c r="AS5" s="24" t="str">
        <f>IF(Transactions[[#This Row],[Level 0]]=Transactions[[#This Row],[Transaction name]],Transactions[[#This Row],[Transaction name]],IF(Transactions[[#This Row],[Level 0]]=Transactions[[#This Row],[L1N]],Transactions[[#This Row],[Transaction name]],IF(Transactions[[#This Row],[Level 0]]=Transactions[[#This Row],[L2N]],Transactions[[#This Row],[L1N]],IF(Transactions[[#This Row],[Level 0]]=Transactions[[#This Row],[L3N]],Transactions[[#This Row],[L2N]],IF(Transactions[[#This Row],[Level 0]]=Transactions[[#This Row],[L4N]],Transactions[[#This Row],[L3N]],IF(Transactions[[#This Row],[Level 0]]=Transactions[[#This Row],[L5N]],Transactions[[#This Row],[L4N]],IF(Transactions[[#This Row],[Level 0]]=Transactions[[#This Row],[L6N]],Transactions[[#This Row],[L5N]],IF(Transactions[[#This Row],[Level 0]]=Transactions[[#This Row],[L7N]],Transactions[[#This Row],[L6N]],Transactions[[#This Row],[L7N]]))))))))</f>
        <v>Blast furnaces (S)</v>
      </c>
      <c r="AT5" s="24" t="str">
        <f>IF(Transactions[[#This Row],[Level 1]]=Transactions[[#This Row],[Transaction name]],Transactions[[#This Row],[Transaction name]],IF(Transactions[[#This Row],[Level 1]]=Transactions[[#This Row],[L1N]],Transactions[[#This Row],[Transaction name]],IF(Transactions[[#This Row],[Level 1]]=Transactions[[#This Row],[L2N]],Transactions[[#This Row],[L1N]],IF(Transactions[[#This Row],[Level 1]]=Transactions[[#This Row],[L3N]],Transactions[[#This Row],[L2N]],IF(Transactions[[#This Row],[Level 1]]=Transactions[[#This Row],[L4N]],Transactions[[#This Row],[L3N]],IF(Transactions[[#This Row],[Level 1]]=Transactions[[#This Row],[L5N]],Transactions[[#This Row],[L4N]],IF(Transactions[[#This Row],[Level 1]]=Transactions[[#This Row],[L6N]],Transactions[[#This Row],[L5N]],IF(Transactions[[#This Row],[Level 1]]=Transactions[[#This Row],[L7N]],Transactions[[#This Row],[L6N]],Transactions[[#This Row],[L7N]]))))))))</f>
        <v>Blast furnaces (S)</v>
      </c>
      <c r="AU5" s="24" t="str">
        <f>IF(Transactions[[#This Row],[Level 2]]=Transactions[[#This Row],[Transaction name]],Transactions[[#This Row],[Transaction name]],IF(Transactions[[#This Row],[Level 2]]=Transactions[[#This Row],[L1N]],Transactions[[#This Row],[Transaction name]],IF(Transactions[[#This Row],[Level 2]]=Transactions[[#This Row],[L2N]],Transactions[[#This Row],[L1N]],IF(Transactions[[#This Row],[Level 2]]=Transactions[[#This Row],[L3N]],Transactions[[#This Row],[L2N]],IF(Transactions[[#This Row],[Level 2]]=Transactions[[#This Row],[L4N]],Transactions[[#This Row],[L3N]],IF(Transactions[[#This Row],[Level 2]]=Transactions[[#This Row],[L5N]],Transactions[[#This Row],[L4N]],IF(Transactions[[#This Row],[Level 2]]=Transactions[[#This Row],[L6N]],Transactions[[#This Row],[L5N]],IF(Transactions[[#This Row],[Level 2]]=Transactions[[#This Row],[L7N]],Transactions[[#This Row],[L6N]],Transactions[[#This Row],[L7N]]))))))))</f>
        <v>Blast furnaces (S)</v>
      </c>
      <c r="AV5" s="24" t="str">
        <f>IF(Transactions[[#This Row],[Level 3]]=Transactions[[#This Row],[Transaction name]],Transactions[[#This Row],[Transaction name]],IF(Transactions[[#This Row],[Level 3]]=Transactions[[#This Row],[L1N]],Transactions[[#This Row],[Transaction name]],IF(Transactions[[#This Row],[Level 3]]=Transactions[[#This Row],[L2N]],Transactions[[#This Row],[L1N]],IF(Transactions[[#This Row],[Level 3]]=Transactions[[#This Row],[L3N]],Transactions[[#This Row],[L2N]],IF(Transactions[[#This Row],[Level 3]]=Transactions[[#This Row],[L4N]],Transactions[[#This Row],[L3N]],IF(Transactions[[#This Row],[Level 3]]=Transactions[[#This Row],[L5N]],Transactions[[#This Row],[L4N]],IF(Transactions[[#This Row],[Level 3]]=Transactions[[#This Row],[L6N]],Transactions[[#This Row],[L5N]],IF(Transactions[[#This Row],[Level 3]]=Transactions[[#This Row],[L7N]],Transactions[[#This Row],[L6N]],Transactions[[#This Row],[L7N]]))))))))</f>
        <v>Blast furnaces (S)</v>
      </c>
      <c r="AW5" s="24" t="str">
        <f>IF(Transactions[[#This Row],[Level 4]]=Transactions[[#This Row],[Transaction name]],Transactions[[#This Row],[Transaction name]],IF(Transactions[[#This Row],[Level 4]]=Transactions[[#This Row],[L1N]],Transactions[[#This Row],[Transaction name]],IF(Transactions[[#This Row],[Level 4]]=Transactions[[#This Row],[L2N]],Transactions[[#This Row],[L1N]],IF(Transactions[[#This Row],[Level 4]]=Transactions[[#This Row],[L3N]],Transactions[[#This Row],[L2N]],IF(Transactions[[#This Row],[Level 4]]=Transactions[[#This Row],[L4N]],Transactions[[#This Row],[L3N]],IF(Transactions[[#This Row],[Level 4]]=Transactions[[#This Row],[L5N]],Transactions[[#This Row],[L4N]],IF(Transactions[[#This Row],[Level 4]]=Transactions[[#This Row],[L6N]],Transactions[[#This Row],[L5N]],IF(Transactions[[#This Row],[Level 4]]=Transactions[[#This Row],[L7N]],Transactions[[#This Row],[L6N]],Transactions[[#This Row],[L7N]]))))))))</f>
        <v>Blast furnaces (S)</v>
      </c>
      <c r="AX5" s="24" t="str">
        <f>IF(Transactions[[#This Row],[Level 5]]=Transactions[[#This Row],[Transaction name]],Transactions[[#This Row],[Transaction name]],IF(Transactions[[#This Row],[Level 5]]=Transactions[[#This Row],[L1N]],Transactions[[#This Row],[Transaction name]],IF(Transactions[[#This Row],[Level 5]]=Transactions[[#This Row],[L2N]],Transactions[[#This Row],[L1N]],IF(Transactions[[#This Row],[Level 5]]=Transactions[[#This Row],[L3N]],Transactions[[#This Row],[L2N]],IF(Transactions[[#This Row],[Level 5]]=Transactions[[#This Row],[L4N]],Transactions[[#This Row],[L3N]],IF(Transactions[[#This Row],[Level 5]]=Transactions[[#This Row],[L5N]],Transactions[[#This Row],[L4N]],IF(Transactions[[#This Row],[Level 5]]=Transactions[[#This Row],[L6N]],Transactions[[#This Row],[L5N]],IF(Transactions[[#This Row],[Level 5]]=Transactions[[#This Row],[L7N]],Transactions[[#This Row],[L6N]],Transactions[[#This Row],[L7N]]))))))))</f>
        <v>Blast furnaces (S)</v>
      </c>
      <c r="AY5" s="24" t="str">
        <f>IF(Transactions[[#This Row],[Level 6]]=Transactions[[#This Row],[Transaction name]],Transactions[[#This Row],[Transaction name]],IF(Transactions[[#This Row],[Level 6]]=Transactions[[#This Row],[L1N]],Transactions[[#This Row],[Transaction name]],IF(Transactions[[#This Row],[Level 6]]=Transactions[[#This Row],[L2N]],Transactions[[#This Row],[L1N]],IF(Transactions[[#This Row],[Level 6]]=Transactions[[#This Row],[L3N]],Transactions[[#This Row],[L2N]],IF(Transactions[[#This Row],[Level 6]]=Transactions[[#This Row],[L4N]],Transactions[[#This Row],[L3N]],IF(Transactions[[#This Row],[Level 6]]=Transactions[[#This Row],[L5N]],Transactions[[#This Row],[L4N]],IF(Transactions[[#This Row],[Level 6]]=Transactions[[#This Row],[L6N]],Transactions[[#This Row],[L5N]],IF(Transactions[[#This Row],[Level 6]]=Transactions[[#This Row],[L7N]],Transactions[[#This Row],[L6N]],Transactions[[#This Row],[L7N]]))))))))</f>
        <v>Blast furnaces (S)</v>
      </c>
      <c r="BB5" s="4" t="s">
        <v>569</v>
      </c>
      <c r="BC5" s="4" t="s">
        <v>568</v>
      </c>
      <c r="BE5" s="26" t="str">
        <f>_xlfn.XLOOKUP(Transformation[[#This Row],[cfrom]],Commodities[Commodity],Commodities[Commodity code])</f>
        <v>7000</v>
      </c>
      <c r="BF5" s="26" t="str">
        <f>_xlfn.XLOOKUP(Transformation[[#This Row],[tfrom]],Transactions[Transaction name],Transactions[Transaction code])</f>
        <v>016GC</v>
      </c>
      <c r="BG5" s="26" t="str">
        <f>_xlfn.XLOOKUP(Transformation[[#This Row],[cto]],Commodities[Commodity],Commodities[Commodity code])</f>
        <v>8000</v>
      </c>
      <c r="BH5" s="26" t="str">
        <f>_xlfn.XLOOKUP(Transformation[[#This Row],[tto]],Transactions[Transaction name],Transactions[Transaction code])</f>
        <v>016GC</v>
      </c>
      <c r="BI5" s="31">
        <v>-10</v>
      </c>
      <c r="BJ5" s="22" t="s">
        <v>544</v>
      </c>
      <c r="BK5" s="26" t="str">
        <f>_xlfn.XLOOKUP(Transformation[[#This Row],[Commodity from]],Commodities[Commodity code],Commodities[EnergyCode])</f>
        <v>EL</v>
      </c>
      <c r="BL5" s="22" t="s">
        <v>654</v>
      </c>
      <c r="BM5" s="22" t="s">
        <v>262</v>
      </c>
      <c r="BN5" s="26" t="str">
        <f>_xlfn.XLOOKUP(Transformation[[#This Row],[Commodity to]],Commodities[Commodity code],Commodities[EnergyCode])</f>
        <v>ST</v>
      </c>
      <c r="BO5" s="22" t="s">
        <v>654</v>
      </c>
      <c r="BP5" s="22" t="s">
        <v>1552</v>
      </c>
      <c r="BQ5" s="33" t="str">
        <f>Transformation[[#This Row],[Commodity from]]&amp;Transformation[[#This Row],[Transaction from]]&amp;Transformation[[#This Row],[Commodity to]]&amp;Transformation[[#This Row],[Transaction to]]</f>
        <v>7000016GC8000016GC</v>
      </c>
      <c r="BR5" s="26" t="str">
        <f>Transformation[[#This Row],[crfomid]]&amp;Transformation[[#This Row],[Transaction from]]&amp;"("&amp;Transformation[[#This Row],[Multiplier]]&amp;") -&gt; "&amp;Transformation[[#This Row],[ctoid]]&amp;Transformation[[#This Row],[Transaction to]]</f>
        <v>EL016GC(-10) -&gt; ST016GC</v>
      </c>
      <c r="BT5" s="26" t="str">
        <f>_xlfn.XLOOKUP(Signswitch[[#This Row],[Commodity name]],Commodities[Commodity],Commodities[Commodity code])</f>
        <v>5222</v>
      </c>
      <c r="BU5" s="26" t="str">
        <f>_xlfn.XLOOKUP(Signswitch[[#This Row],[Transaction name]],Transactions[Transaction name],Transactions[Transaction code])</f>
        <v>03</v>
      </c>
      <c r="BV5" s="26" t="str">
        <f>Signswitch[[#This Row],[Commodity from]]&amp;Signswitch[[#This Row],[Transaction from]]</f>
        <v>522203</v>
      </c>
      <c r="BW5" s="22" t="s">
        <v>962</v>
      </c>
      <c r="BX5" s="26" t="str">
        <f>_xlfn.XLOOKUP(Signswitch[[#This Row],[Commodity from]],Commodities[Commodity code],Commodities[EnergyCode])</f>
        <v>ZD</v>
      </c>
      <c r="BY5" s="22" t="s">
        <v>200</v>
      </c>
    </row>
    <row r="6" spans="1:77" x14ac:dyDescent="0.45">
      <c r="B6" s="4" t="s">
        <v>567</v>
      </c>
      <c r="C6" s="4" t="s">
        <v>566</v>
      </c>
      <c r="H6" s="5" t="s">
        <v>530</v>
      </c>
      <c r="I6" s="4" t="s">
        <v>529</v>
      </c>
      <c r="J6" s="5" t="s">
        <v>525</v>
      </c>
      <c r="K6" s="5" t="s">
        <v>1422</v>
      </c>
      <c r="L6" s="23" t="str">
        <f>IFERROR(INDEX(Commodities[[Commodity code]:[Commodity]],MATCH(Commodities[[#This Row],[Parent code]],Commodities[Commodity code],0),2),Commodities[[#This Row],[Commodity]])</f>
        <v>Hard coal</v>
      </c>
      <c r="M6" s="24" t="str">
        <f>IFERROR(INDEX(Commodities[[Commodity code]:[Commodity]],MATCH(INDEX(Commodities[[Commodity]:[Parent code]],MATCH(Commodities[[#This Row],[L1N]],Commodities[Commodity],0),2),Commodities[Commodity code],0),2),Commodities[[#This Row],[L1N]])</f>
        <v>Coal</v>
      </c>
      <c r="N6" s="24" t="str">
        <f>IFERROR(INDEX(Commodities[[Commodity code]:[Commodity]],MATCH(INDEX(Commodities[[Commodity]:[Parent code]],MATCH(Commodities[[#This Row],[L2N]],Commodities[Commodity],0),2),Commodities[Commodity code],0),2),Commodities[[#This Row],[L2N]])</f>
        <v>Coal</v>
      </c>
      <c r="O6" s="24" t="str">
        <f>IFERROR(INDEX(Commodities[[Commodity code]:[Commodity]],MATCH(INDEX(Commodities[[Commodity]:[Parent code]],MATCH(Commodities[[#This Row],[L3N]],Commodities[Commodity],0),2),Commodities[Commodity code],0),2),Commodities[[#This Row],[L3N]])</f>
        <v>Coal</v>
      </c>
      <c r="P6" s="24" t="str">
        <f>IF(Commodities[[#This Row],[L4N]]=Commodities[[#This Row],[L3N]],Commodities[[#This Row],[L4N]],IF(Commodities[[#This Row],[L3N]]=Commodities[[#This Row],[L2N]],Commodities[[#This Row],[L3N]],IF(Commodities[[#This Row],[L2N]]=Commodities[[#This Row],[L1N]],Commodities[[#This Row],[L2N]],IF(Commodities[[#This Row],[L1N]]=Commodities[[#This Row],[Commodity]],Commodities[[#This Row],[L1N]],Commodities[[#This Row],[Commodity]]))))</f>
        <v>Coal</v>
      </c>
      <c r="Q6" s="24" t="str">
        <f>IF(Commodities[[#This Row],[Level 0]]=Commodities[[#This Row],[Commodity]],Commodities[[#This Row],[Commodity]],IF(Commodities[[#This Row],[Level 0]]=Commodities[[#This Row],[L1N]],Commodities[[#This Row],[Commodity]],IF(Commodities[[#This Row],[Level 0]]=Commodities[[#This Row],[L2N]],Commodities[[#This Row],[L1N]],IF(Commodities[[#This Row],[Level 0]]=Commodities[[#This Row],[L3N]],Commodities[[#This Row],[L2N]],IF(Commodities[[#This Row],[Level 0]]=Commodities[[#This Row],[L4N]],Commodities[[#This Row],[L3N]],Commodities[[#This Row],[L4N]])))))</f>
        <v>Hard coal</v>
      </c>
      <c r="R6" s="24" t="str">
        <f>IF(Commodities[[#This Row],[Level 1]]=Commodities[[#This Row],[Commodity]],Commodities[[#This Row],[Commodity]],IF(Commodities[[#This Row],[Level 1]]=Commodities[[#This Row],[L1N]],Commodities[[#This Row],[Commodity]],IF(Commodities[[#This Row],[Level 1]]=Commodities[[#This Row],[L2N]],Commodities[[#This Row],[L1N]],IF(Commodities[[#This Row],[Level 1]]=Commodities[[#This Row],[L3N]],Commodities[[#This Row],[L2N]],IF(Commodities[[#This Row],[Level 1]]=Commodities[[#This Row],[L4N]],Commodities[[#This Row],[L3N]],Commodities[[#This Row],[L4N]])))))</f>
        <v>Anthracite</v>
      </c>
      <c r="S6" s="24" t="str">
        <f>IF(Commodities[[#This Row],[Level 2]]=Commodities[[#This Row],[Commodity]],Commodities[[#This Row],[Commodity]],IF(Commodities[[#This Row],[Level 2]]=Commodities[[#This Row],[L1N]],Commodities[[#This Row],[Commodity]],IF(Commodities[[#This Row],[Level 2]]=Commodities[[#This Row],[L2N]],Commodities[[#This Row],[L1N]],IF(Commodities[[#This Row],[Level 2]]=Commodities[[#This Row],[L3N]],Commodities[[#This Row],[L2N]],IF(Commodities[[#This Row],[Level 2]]=Commodities[[#This Row],[L4N]],Commodities[[#This Row],[L3N]],Commodities[[#This Row],[L4N]])))))</f>
        <v>Anthracite</v>
      </c>
      <c r="T6" s="24" t="str">
        <f>IF(Commodities[[#This Row],[Level 3]]=Commodities[[#This Row],[Commodity]],Commodities[[#This Row],[Commodity]],IF(Commodities[[#This Row],[Level 3]]=Commodities[[#This Row],[L1N]],Commodities[[#This Row],[Commodity]],IF(Commodities[[#This Row],[Level 3]]=Commodities[[#This Row],[L2N]],Commodities[[#This Row],[L1N]],IF(Commodities[[#This Row],[Level 3]]=Commodities[[#This Row],[L3N]],Commodities[[#This Row],[L2N]],IF(Commodities[[#This Row],[Level 3]]=Commodities[[#This Row],[L4N]],Commodities[[#This Row],[L3N]],Commodities[[#This Row],[L4N]])))))</f>
        <v>Anthracite</v>
      </c>
      <c r="U6" s="24" t="str">
        <f>IF(Commodities[[#This Row],[Level 4]]=Commodities[[#This Row],[Commodity]],Commodities[[#This Row],[Commodity]],IF(Commodities[[#This Row],[Level 4]]=Commodities[[#This Row],[L1N]],Commodities[[#This Row],[Commodity]],IF(Commodities[[#This Row],[Level 4]]=Commodities[[#This Row],[L2N]],Commodities[[#This Row],[L1N]],IF(Commodities[[#This Row],[Level 4]]=Commodities[[#This Row],[L3N]],Commodities[[#This Row],[L2N]],IF(Commodities[[#This Row],[Level 4]]=Commodities[[#This Row],[L4N]],Commodities[[#This Row],[L3N]],Commodities[[#This Row],[L4N]])))))</f>
        <v>Anthracite</v>
      </c>
      <c r="Y6" s="4" t="s">
        <v>613</v>
      </c>
      <c r="Z6" s="4" t="s">
        <v>836</v>
      </c>
      <c r="AA6" s="4" t="s">
        <v>836</v>
      </c>
      <c r="AC6" s="24" t="str">
        <f>IFERROR(VLOOKUP(Transactions[[#This Row],[Parent code]],Transactions[[Transaction code]:[Transaction name]],2,0),"")</f>
        <v/>
      </c>
      <c r="AD6" s="4" t="s">
        <v>189</v>
      </c>
      <c r="AF6" s="4" t="s">
        <v>642</v>
      </c>
      <c r="AG6" s="4" t="s">
        <v>385</v>
      </c>
      <c r="AK6" s="24" t="str" cm="1">
        <f t="array" ref="AK6">IFERROR(INDEX(Transactions[[Transaction code]:[Transaction name]],_xlfn.XMATCH(Transactions[[#This Row],[Parent code]],Transactions[Transaction name],0),3),Transactions[[#This Row],[Transaction name]])</f>
        <v>Briquetting plants (S)</v>
      </c>
      <c r="AL6" s="24" t="str" cm="1">
        <f t="array" ref="AL6">IFERROR(INDEX(Transactions[[Transaction code]:[Transaction name]],_xlfn.XMATCH(INDEX(Transactions[[Transaction name]:[Parent code]],_xlfn.XMATCH(Transactions[[#This Row],[L1N]],Transactions[Transaction name],0),3),Transactions[Transaction code],0),2),Transactions[[#This Row],[L1N]])</f>
        <v>Briquetting plants (S)</v>
      </c>
      <c r="AM6" s="24" t="str" cm="1">
        <f t="array" ref="AM6">IFERROR(INDEX(Transactions[[Transaction code]:[Transaction name]],_xlfn.XMATCH(INDEX(Transactions[[Transaction name]:[Parent code]],_xlfn.XMATCH(Transactions[[#This Row],[L2N]],Transactions[Transaction name],0),3),Transactions[Transaction code],0),2),Transactions[[#This Row],[L2N]])</f>
        <v>Briquetting plants (S)</v>
      </c>
      <c r="AN6" s="24" t="str" cm="1">
        <f t="array" ref="AN6">IFERROR(INDEX(Transactions[[Transaction code]:[Transaction name]],_xlfn.XMATCH(INDEX(Transactions[[Transaction name]:[Parent code]],_xlfn.XMATCH(Transactions[[#This Row],[L3N]],Transactions[Transaction name],0),3),Transactions[Transaction code],0),2),Transactions[[#This Row],[L3N]])</f>
        <v>Briquetting plants (S)</v>
      </c>
      <c r="AO6" s="24" t="str" cm="1">
        <f t="array" ref="AO6">IFERROR(INDEX(Transactions[[Transaction code]:[Transaction name]],_xlfn.XMATCH(INDEX(Transactions[[Transaction name]:[Parent code]],_xlfn.XMATCH(Transactions[[#This Row],[L4N]],Transactions[Transaction name],0),3),Transactions[Transaction code],0),2),Transactions[[#This Row],[L4N]])</f>
        <v>Briquetting plants (S)</v>
      </c>
      <c r="AP6" s="24" t="str" cm="1">
        <f t="array" ref="AP6">IFERROR(INDEX(Transactions[[Transaction code]:[Transaction name]],_xlfn.XMATCH(INDEX(Transactions[[Transaction name]:[Parent code]],_xlfn.XMATCH(Transactions[[#This Row],[L5N]],Transactions[Transaction name],0),3),Transactions[Transaction code],0),2),Transactions[[#This Row],[L5N]])</f>
        <v>Briquetting plants (S)</v>
      </c>
      <c r="AQ6" s="24" t="str" cm="1">
        <f t="array" ref="AQ6">IFERROR(INDEX(Transactions[[Transaction code]:[Transaction name]],_xlfn.XMATCH(INDEX(Transactions[[Transaction name]:[Parent code]],_xlfn.XMATCH(Transactions[[#This Row],[L6N]],Transactions[Transaction name],0),3),Transactions[Transaction code],0),2),Transactions[[#This Row],[L6N]])</f>
        <v>Briquetting plants (S)</v>
      </c>
      <c r="AR6" s="27" t="str">
        <f>IF(Transactions[[#This Row],[L7N]]=Transactions[[#This Row],[L6N]],Transactions[[#This Row],[L7N]],IF(Transactions[[#This Row],[L6N]]=Transactions[[#This Row],[L5N]],Transactions[[#This Row],[L6N]],IF(Transactions[[#This Row],[L5N]]=Transactions[[#This Row],[L4N]],Transactions[[#This Row],[L5N]],IF(Transactions[[#This Row],[L4N]]=Transactions[[#This Row],[L3N]],Transactions[[#This Row],[L4N]],IF(Transactions[[#This Row],[L3N]]=Transactions[[#This Row],[L2N]],Transactions[[#This Row],[L3N]],IF(Transactions[[#This Row],[L2N]]=Transactions[[#This Row],[L1N]],Transactions[[#This Row],[L2N]],IF(Transactions[[#This Row],[L1N]]=Transactions[[#This Row],[Transaction name]],Transactions[[#This Row],[L1N]],Transactions[[#This Row],[Transaction name]])))))))</f>
        <v>Briquetting plants (S)</v>
      </c>
      <c r="AS6" s="24" t="str">
        <f>IF(Transactions[[#This Row],[Level 0]]=Transactions[[#This Row],[Transaction name]],Transactions[[#This Row],[Transaction name]],IF(Transactions[[#This Row],[Level 0]]=Transactions[[#This Row],[L1N]],Transactions[[#This Row],[Transaction name]],IF(Transactions[[#This Row],[Level 0]]=Transactions[[#This Row],[L2N]],Transactions[[#This Row],[L1N]],IF(Transactions[[#This Row],[Level 0]]=Transactions[[#This Row],[L3N]],Transactions[[#This Row],[L2N]],IF(Transactions[[#This Row],[Level 0]]=Transactions[[#This Row],[L4N]],Transactions[[#This Row],[L3N]],IF(Transactions[[#This Row],[Level 0]]=Transactions[[#This Row],[L5N]],Transactions[[#This Row],[L4N]],IF(Transactions[[#This Row],[Level 0]]=Transactions[[#This Row],[L6N]],Transactions[[#This Row],[L5N]],IF(Transactions[[#This Row],[Level 0]]=Transactions[[#This Row],[L7N]],Transactions[[#This Row],[L6N]],Transactions[[#This Row],[L7N]]))))))))</f>
        <v>Briquetting plants (S)</v>
      </c>
      <c r="AT6" s="24" t="str">
        <f>IF(Transactions[[#This Row],[Level 1]]=Transactions[[#This Row],[Transaction name]],Transactions[[#This Row],[Transaction name]],IF(Transactions[[#This Row],[Level 1]]=Transactions[[#This Row],[L1N]],Transactions[[#This Row],[Transaction name]],IF(Transactions[[#This Row],[Level 1]]=Transactions[[#This Row],[L2N]],Transactions[[#This Row],[L1N]],IF(Transactions[[#This Row],[Level 1]]=Transactions[[#This Row],[L3N]],Transactions[[#This Row],[L2N]],IF(Transactions[[#This Row],[Level 1]]=Transactions[[#This Row],[L4N]],Transactions[[#This Row],[L3N]],IF(Transactions[[#This Row],[Level 1]]=Transactions[[#This Row],[L5N]],Transactions[[#This Row],[L4N]],IF(Transactions[[#This Row],[Level 1]]=Transactions[[#This Row],[L6N]],Transactions[[#This Row],[L5N]],IF(Transactions[[#This Row],[Level 1]]=Transactions[[#This Row],[L7N]],Transactions[[#This Row],[L6N]],Transactions[[#This Row],[L7N]]))))))))</f>
        <v>Briquetting plants (S)</v>
      </c>
      <c r="AU6" s="24" t="str">
        <f>IF(Transactions[[#This Row],[Level 2]]=Transactions[[#This Row],[Transaction name]],Transactions[[#This Row],[Transaction name]],IF(Transactions[[#This Row],[Level 2]]=Transactions[[#This Row],[L1N]],Transactions[[#This Row],[Transaction name]],IF(Transactions[[#This Row],[Level 2]]=Transactions[[#This Row],[L2N]],Transactions[[#This Row],[L1N]],IF(Transactions[[#This Row],[Level 2]]=Transactions[[#This Row],[L3N]],Transactions[[#This Row],[L2N]],IF(Transactions[[#This Row],[Level 2]]=Transactions[[#This Row],[L4N]],Transactions[[#This Row],[L3N]],IF(Transactions[[#This Row],[Level 2]]=Transactions[[#This Row],[L5N]],Transactions[[#This Row],[L4N]],IF(Transactions[[#This Row],[Level 2]]=Transactions[[#This Row],[L6N]],Transactions[[#This Row],[L5N]],IF(Transactions[[#This Row],[Level 2]]=Transactions[[#This Row],[L7N]],Transactions[[#This Row],[L6N]],Transactions[[#This Row],[L7N]]))))))))</f>
        <v>Briquetting plants (S)</v>
      </c>
      <c r="AV6" s="24" t="str">
        <f>IF(Transactions[[#This Row],[Level 3]]=Transactions[[#This Row],[Transaction name]],Transactions[[#This Row],[Transaction name]],IF(Transactions[[#This Row],[Level 3]]=Transactions[[#This Row],[L1N]],Transactions[[#This Row],[Transaction name]],IF(Transactions[[#This Row],[Level 3]]=Transactions[[#This Row],[L2N]],Transactions[[#This Row],[L1N]],IF(Transactions[[#This Row],[Level 3]]=Transactions[[#This Row],[L3N]],Transactions[[#This Row],[L2N]],IF(Transactions[[#This Row],[Level 3]]=Transactions[[#This Row],[L4N]],Transactions[[#This Row],[L3N]],IF(Transactions[[#This Row],[Level 3]]=Transactions[[#This Row],[L5N]],Transactions[[#This Row],[L4N]],IF(Transactions[[#This Row],[Level 3]]=Transactions[[#This Row],[L6N]],Transactions[[#This Row],[L5N]],IF(Transactions[[#This Row],[Level 3]]=Transactions[[#This Row],[L7N]],Transactions[[#This Row],[L6N]],Transactions[[#This Row],[L7N]]))))))))</f>
        <v>Briquetting plants (S)</v>
      </c>
      <c r="AW6" s="24" t="str">
        <f>IF(Transactions[[#This Row],[Level 4]]=Transactions[[#This Row],[Transaction name]],Transactions[[#This Row],[Transaction name]],IF(Transactions[[#This Row],[Level 4]]=Transactions[[#This Row],[L1N]],Transactions[[#This Row],[Transaction name]],IF(Transactions[[#This Row],[Level 4]]=Transactions[[#This Row],[L2N]],Transactions[[#This Row],[L1N]],IF(Transactions[[#This Row],[Level 4]]=Transactions[[#This Row],[L3N]],Transactions[[#This Row],[L2N]],IF(Transactions[[#This Row],[Level 4]]=Transactions[[#This Row],[L4N]],Transactions[[#This Row],[L3N]],IF(Transactions[[#This Row],[Level 4]]=Transactions[[#This Row],[L5N]],Transactions[[#This Row],[L4N]],IF(Transactions[[#This Row],[Level 4]]=Transactions[[#This Row],[L6N]],Transactions[[#This Row],[L5N]],IF(Transactions[[#This Row],[Level 4]]=Transactions[[#This Row],[L7N]],Transactions[[#This Row],[L6N]],Transactions[[#This Row],[L7N]]))))))))</f>
        <v>Briquetting plants (S)</v>
      </c>
      <c r="AX6" s="24" t="str">
        <f>IF(Transactions[[#This Row],[Level 5]]=Transactions[[#This Row],[Transaction name]],Transactions[[#This Row],[Transaction name]],IF(Transactions[[#This Row],[Level 5]]=Transactions[[#This Row],[L1N]],Transactions[[#This Row],[Transaction name]],IF(Transactions[[#This Row],[Level 5]]=Transactions[[#This Row],[L2N]],Transactions[[#This Row],[L1N]],IF(Transactions[[#This Row],[Level 5]]=Transactions[[#This Row],[L3N]],Transactions[[#This Row],[L2N]],IF(Transactions[[#This Row],[Level 5]]=Transactions[[#This Row],[L4N]],Transactions[[#This Row],[L3N]],IF(Transactions[[#This Row],[Level 5]]=Transactions[[#This Row],[L5N]],Transactions[[#This Row],[L4N]],IF(Transactions[[#This Row],[Level 5]]=Transactions[[#This Row],[L6N]],Transactions[[#This Row],[L5N]],IF(Transactions[[#This Row],[Level 5]]=Transactions[[#This Row],[L7N]],Transactions[[#This Row],[L6N]],Transactions[[#This Row],[L7N]]))))))))</f>
        <v>Briquetting plants (S)</v>
      </c>
      <c r="AY6" s="24" t="str">
        <f>IF(Transactions[[#This Row],[Level 6]]=Transactions[[#This Row],[Transaction name]],Transactions[[#This Row],[Transaction name]],IF(Transactions[[#This Row],[Level 6]]=Transactions[[#This Row],[L1N]],Transactions[[#This Row],[Transaction name]],IF(Transactions[[#This Row],[Level 6]]=Transactions[[#This Row],[L2N]],Transactions[[#This Row],[L1N]],IF(Transactions[[#This Row],[Level 6]]=Transactions[[#This Row],[L3N]],Transactions[[#This Row],[L2N]],IF(Transactions[[#This Row],[Level 6]]=Transactions[[#This Row],[L4N]],Transactions[[#This Row],[L3N]],IF(Transactions[[#This Row],[Level 6]]=Transactions[[#This Row],[L5N]],Transactions[[#This Row],[L4N]],IF(Transactions[[#This Row],[Level 6]]=Transactions[[#This Row],[L6N]],Transactions[[#This Row],[L5N]],IF(Transactions[[#This Row],[Level 6]]=Transactions[[#This Row],[L7N]],Transactions[[#This Row],[L6N]],Transactions[[#This Row],[L7N]]))))))))</f>
        <v>Briquetting plants (S)</v>
      </c>
      <c r="BB6" s="4" t="s">
        <v>562</v>
      </c>
      <c r="BC6" s="4" t="s">
        <v>561</v>
      </c>
      <c r="BE6" s="26" t="str">
        <f>_xlfn.XLOOKUP(Transformation[[#This Row],[cfrom]],Commodities[Commodity],Commodities[Commodity code])</f>
        <v>8000</v>
      </c>
      <c r="BF6" s="26" t="str">
        <f>_xlfn.XLOOKUP(Transformation[[#This Row],[tfrom]],Transactions[Transaction name],Transactions[Transaction code])</f>
        <v>016GC</v>
      </c>
      <c r="BG6" s="26" t="str">
        <f>_xlfn.XLOOKUP(Transformation[[#This Row],[cto]],Commodities[Commodity],Commodities[Commodity code])</f>
        <v>8000</v>
      </c>
      <c r="BH6" s="26" t="str">
        <f>_xlfn.XLOOKUP(Transformation[[#This Row],[tto]],Transactions[Transaction name],Transactions[Transaction code])</f>
        <v>01</v>
      </c>
      <c r="BI6" s="31">
        <v>2</v>
      </c>
      <c r="BJ6" s="22" t="s">
        <v>262</v>
      </c>
      <c r="BK6" s="26" t="str">
        <f>_xlfn.XLOOKUP(Transformation[[#This Row],[Commodity from]],Commodities[Commodity code],Commodities[EnergyCode])</f>
        <v>ST</v>
      </c>
      <c r="BL6" s="22" t="s">
        <v>654</v>
      </c>
      <c r="BM6" s="22" t="s">
        <v>262</v>
      </c>
      <c r="BN6" s="26" t="str">
        <f>_xlfn.XLOOKUP(Transformation[[#This Row],[Commodity to]],Commodities[Commodity code],Commodities[EnergyCode])</f>
        <v>ST</v>
      </c>
      <c r="BO6" s="22" t="s">
        <v>383</v>
      </c>
      <c r="BP6" s="22" t="s">
        <v>1670</v>
      </c>
      <c r="BQ6" s="33" t="str">
        <f>Transformation[[#This Row],[Commodity from]]&amp;Transformation[[#This Row],[Transaction from]]&amp;Transformation[[#This Row],[Commodity to]]&amp;Transformation[[#This Row],[Transaction to]]</f>
        <v>8000016GC800001</v>
      </c>
      <c r="BR6" s="26" t="str">
        <f>Transformation[[#This Row],[crfomid]]&amp;Transformation[[#This Row],[Transaction from]]&amp;"("&amp;Transformation[[#This Row],[Multiplier]]&amp;") -&gt; "&amp;Transformation[[#This Row],[ctoid]]&amp;Transformation[[#This Row],[Transaction to]]</f>
        <v>ST016GC(2) -&gt; ST01</v>
      </c>
      <c r="BT6" s="26" t="str">
        <f>_xlfn.XLOOKUP(Signswitch[[#This Row],[Commodity name]],Commodities[Commodity],Commodities[Commodity code])</f>
        <v>5212</v>
      </c>
      <c r="BU6" s="26" t="str">
        <f>_xlfn.XLOOKUP(Signswitch[[#This Row],[Transaction name]],Transactions[Transaction name],Transactions[Transaction code])</f>
        <v>03</v>
      </c>
      <c r="BV6" s="26" t="str">
        <f>Signswitch[[#This Row],[Commodity from]]&amp;Signswitch[[#This Row],[Transaction from]]</f>
        <v>521203</v>
      </c>
      <c r="BW6" s="22" t="s">
        <v>317</v>
      </c>
      <c r="BX6" s="26" t="str">
        <f>_xlfn.XLOOKUP(Signswitch[[#This Row],[Commodity from]],Commodities[Commodity code],Commodities[EnergyCode])</f>
        <v>ZG</v>
      </c>
      <c r="BY6" s="22" t="s">
        <v>200</v>
      </c>
    </row>
    <row r="7" spans="1:77" x14ac:dyDescent="0.45">
      <c r="H7" s="5" t="s">
        <v>399</v>
      </c>
      <c r="I7" s="4" t="s">
        <v>398</v>
      </c>
      <c r="J7" s="9" t="s">
        <v>389</v>
      </c>
      <c r="K7" s="9" t="s">
        <v>1444</v>
      </c>
      <c r="L7" s="23" t="str">
        <f>IFERROR(INDEX(Commodities[[Commodity code]:[Commodity]],MATCH(Commodities[[#This Row],[Parent code]],Commodities[Commodity code],0),2),Commodities[[#This Row],[Commodity]])</f>
        <v>Gasolines</v>
      </c>
      <c r="M7" s="24" t="str">
        <f>IFERROR(INDEX(Commodities[[Commodity code]:[Commodity]],MATCH(INDEX(Commodities[[Commodity]:[Parent code]],MATCH(Commodities[[#This Row],[L1N]],Commodities[Commodity],0),2),Commodities[Commodity code],0),2),Commodities[[#This Row],[L1N]])</f>
        <v>Oil products</v>
      </c>
      <c r="N7" s="24" t="str">
        <f>IFERROR(INDEX(Commodities[[Commodity code]:[Commodity]],MATCH(INDEX(Commodities[[Commodity]:[Parent code]],MATCH(Commodities[[#This Row],[L2N]],Commodities[Commodity],0),2),Commodities[Commodity code],0),2),Commodities[[#This Row],[L2N]])</f>
        <v>Oil</v>
      </c>
      <c r="O7" s="24" t="str">
        <f>IFERROR(INDEX(Commodities[[Commodity code]:[Commodity]],MATCH(INDEX(Commodities[[Commodity]:[Parent code]],MATCH(Commodities[[#This Row],[L3N]],Commodities[Commodity],0),2),Commodities[Commodity code],0),2),Commodities[[#This Row],[L3N]])</f>
        <v>Oil</v>
      </c>
      <c r="P7" s="24" t="str">
        <f>IF(Commodities[[#This Row],[L4N]]=Commodities[[#This Row],[L3N]],Commodities[[#This Row],[L4N]],IF(Commodities[[#This Row],[L3N]]=Commodities[[#This Row],[L2N]],Commodities[[#This Row],[L3N]],IF(Commodities[[#This Row],[L2N]]=Commodities[[#This Row],[L1N]],Commodities[[#This Row],[L2N]],IF(Commodities[[#This Row],[L1N]]=Commodities[[#This Row],[Commodity]],Commodities[[#This Row],[L1N]],Commodities[[#This Row],[Commodity]]))))</f>
        <v>Oil</v>
      </c>
      <c r="Q7" s="24" t="str">
        <f>IF(Commodities[[#This Row],[Level 0]]=Commodities[[#This Row],[Commodity]],Commodities[[#This Row],[Commodity]],IF(Commodities[[#This Row],[Level 0]]=Commodities[[#This Row],[L1N]],Commodities[[#This Row],[Commodity]],IF(Commodities[[#This Row],[Level 0]]=Commodities[[#This Row],[L2N]],Commodities[[#This Row],[L1N]],IF(Commodities[[#This Row],[Level 0]]=Commodities[[#This Row],[L3N]],Commodities[[#This Row],[L2N]],IF(Commodities[[#This Row],[Level 0]]=Commodities[[#This Row],[L4N]],Commodities[[#This Row],[L3N]],Commodities[[#This Row],[L4N]])))))</f>
        <v>Oil products</v>
      </c>
      <c r="R7" s="24" t="str">
        <f>IF(Commodities[[#This Row],[Level 1]]=Commodities[[#This Row],[Commodity]],Commodities[[#This Row],[Commodity]],IF(Commodities[[#This Row],[Level 1]]=Commodities[[#This Row],[L1N]],Commodities[[#This Row],[Commodity]],IF(Commodities[[#This Row],[Level 1]]=Commodities[[#This Row],[L2N]],Commodities[[#This Row],[L1N]],IF(Commodities[[#This Row],[Level 1]]=Commodities[[#This Row],[L3N]],Commodities[[#This Row],[L2N]],IF(Commodities[[#This Row],[Level 1]]=Commodities[[#This Row],[L4N]],Commodities[[#This Row],[L3N]],Commodities[[#This Row],[L4N]])))))</f>
        <v>Gasolines</v>
      </c>
      <c r="S7" s="24" t="str">
        <f>IF(Commodities[[#This Row],[Level 2]]=Commodities[[#This Row],[Commodity]],Commodities[[#This Row],[Commodity]],IF(Commodities[[#This Row],[Level 2]]=Commodities[[#This Row],[L1N]],Commodities[[#This Row],[Commodity]],IF(Commodities[[#This Row],[Level 2]]=Commodities[[#This Row],[L2N]],Commodities[[#This Row],[L1N]],IF(Commodities[[#This Row],[Level 2]]=Commodities[[#This Row],[L3N]],Commodities[[#This Row],[L2N]],IF(Commodities[[#This Row],[Level 2]]=Commodities[[#This Row],[L4N]],Commodities[[#This Row],[L3N]],Commodities[[#This Row],[L4N]])))))</f>
        <v>Aviation gasoline</v>
      </c>
      <c r="T7" s="24" t="str">
        <f>IF(Commodities[[#This Row],[Level 3]]=Commodities[[#This Row],[Commodity]],Commodities[[#This Row],[Commodity]],IF(Commodities[[#This Row],[Level 3]]=Commodities[[#This Row],[L1N]],Commodities[[#This Row],[Commodity]],IF(Commodities[[#This Row],[Level 3]]=Commodities[[#This Row],[L2N]],Commodities[[#This Row],[L1N]],IF(Commodities[[#This Row],[Level 3]]=Commodities[[#This Row],[L3N]],Commodities[[#This Row],[L2N]],IF(Commodities[[#This Row],[Level 3]]=Commodities[[#This Row],[L4N]],Commodities[[#This Row],[L3N]],Commodities[[#This Row],[L4N]])))))</f>
        <v>Aviation gasoline</v>
      </c>
      <c r="U7" s="24" t="str">
        <f>IF(Commodities[[#This Row],[Level 4]]=Commodities[[#This Row],[Commodity]],Commodities[[#This Row],[Commodity]],IF(Commodities[[#This Row],[Level 4]]=Commodities[[#This Row],[L1N]],Commodities[[#This Row],[Commodity]],IF(Commodities[[#This Row],[Level 4]]=Commodities[[#This Row],[L2N]],Commodities[[#This Row],[L1N]],IF(Commodities[[#This Row],[Level 4]]=Commodities[[#This Row],[L3N]],Commodities[[#This Row],[L2N]],IF(Commodities[[#This Row],[Level 4]]=Commodities[[#This Row],[L4N]],Commodities[[#This Row],[L3N]],Commodities[[#This Row],[L4N]])))))</f>
        <v>Aviation gasoline</v>
      </c>
      <c r="Y7" s="5" t="s">
        <v>174</v>
      </c>
      <c r="Z7" s="4" t="s">
        <v>692</v>
      </c>
      <c r="AA7" s="4" t="s">
        <v>692</v>
      </c>
      <c r="AB7" s="19" t="s">
        <v>1544</v>
      </c>
      <c r="AC7" s="24" t="str">
        <f>IFERROR(VLOOKUP(Transactions[[#This Row],[Parent code]],Transactions[[Transaction code]:[Transaction name]],2,0),"")</f>
        <v/>
      </c>
      <c r="AD7" s="4" t="s">
        <v>189</v>
      </c>
      <c r="AE7" s="4" t="s">
        <v>922</v>
      </c>
      <c r="AF7" s="4" t="s">
        <v>642</v>
      </c>
      <c r="AG7" s="4" t="s">
        <v>1</v>
      </c>
      <c r="AH7" s="4" t="s">
        <v>695</v>
      </c>
      <c r="AJ7" s="4" t="s">
        <v>0</v>
      </c>
      <c r="AK7" s="24" t="str" cm="1">
        <f t="array" ref="AK7">IFERROR(INDEX(Transactions[[Transaction code]:[Transaction name]],_xlfn.XMATCH(Transactions[[#This Row],[Parent code]],Transactions[Transaction name],0),3),Transactions[[#This Row],[Transaction name]])</f>
        <v>CHP plants - Autoproducers</v>
      </c>
      <c r="AL7" s="24" t="str" cm="1">
        <f t="array" ref="AL7">IFERROR(INDEX(Transactions[[Transaction code]:[Transaction name]],_xlfn.XMATCH(INDEX(Transactions[[Transaction name]:[Parent code]],_xlfn.XMATCH(Transactions[[#This Row],[L1N]],Transactions[Transaction name],0),3),Transactions[Transaction code],0),2),Transactions[[#This Row],[L1N]])</f>
        <v>CHP plants - Autoproducers</v>
      </c>
      <c r="AM7" s="24" t="str" cm="1">
        <f t="array" ref="AM7">IFERROR(INDEX(Transactions[[Transaction code]:[Transaction name]],_xlfn.XMATCH(INDEX(Transactions[[Transaction name]:[Parent code]],_xlfn.XMATCH(Transactions[[#This Row],[L2N]],Transactions[Transaction name],0),3),Transactions[Transaction code],0),2),Transactions[[#This Row],[L2N]])</f>
        <v>CHP plants - Autoproducers</v>
      </c>
      <c r="AN7" s="24" t="str" cm="1">
        <f t="array" ref="AN7">IFERROR(INDEX(Transactions[[Transaction code]:[Transaction name]],_xlfn.XMATCH(INDEX(Transactions[[Transaction name]:[Parent code]],_xlfn.XMATCH(Transactions[[#This Row],[L3N]],Transactions[Transaction name],0),3),Transactions[Transaction code],0),2),Transactions[[#This Row],[L3N]])</f>
        <v>CHP plants - Autoproducers</v>
      </c>
      <c r="AO7" s="24" t="str" cm="1">
        <f t="array" ref="AO7">IFERROR(INDEX(Transactions[[Transaction code]:[Transaction name]],_xlfn.XMATCH(INDEX(Transactions[[Transaction name]:[Parent code]],_xlfn.XMATCH(Transactions[[#This Row],[L4N]],Transactions[Transaction name],0),3),Transactions[Transaction code],0),2),Transactions[[#This Row],[L4N]])</f>
        <v>CHP plants - Autoproducers</v>
      </c>
      <c r="AP7" s="24" t="str" cm="1">
        <f t="array" ref="AP7">IFERROR(INDEX(Transactions[[Transaction code]:[Transaction name]],_xlfn.XMATCH(INDEX(Transactions[[Transaction name]:[Parent code]],_xlfn.XMATCH(Transactions[[#This Row],[L5N]],Transactions[Transaction name],0),3),Transactions[Transaction code],0),2),Transactions[[#This Row],[L5N]])</f>
        <v>CHP plants - Autoproducers</v>
      </c>
      <c r="AQ7" s="24" t="str" cm="1">
        <f t="array" ref="AQ7">IFERROR(INDEX(Transactions[[Transaction code]:[Transaction name]],_xlfn.XMATCH(INDEX(Transactions[[Transaction name]:[Parent code]],_xlfn.XMATCH(Transactions[[#This Row],[L6N]],Transactions[Transaction name],0),3),Transactions[Transaction code],0),2),Transactions[[#This Row],[L6N]])</f>
        <v>CHP plants - Autoproducers</v>
      </c>
      <c r="AR7" s="28" t="str">
        <f>IF(Transactions[[#This Row],[L7N]]=Transactions[[#This Row],[L6N]],Transactions[[#This Row],[L7N]],IF(Transactions[[#This Row],[L6N]]=Transactions[[#This Row],[L5N]],Transactions[[#This Row],[L6N]],IF(Transactions[[#This Row],[L5N]]=Transactions[[#This Row],[L4N]],Transactions[[#This Row],[L5N]],IF(Transactions[[#This Row],[L4N]]=Transactions[[#This Row],[L3N]],Transactions[[#This Row],[L4N]],IF(Transactions[[#This Row],[L3N]]=Transactions[[#This Row],[L2N]],Transactions[[#This Row],[L3N]],IF(Transactions[[#This Row],[L2N]]=Transactions[[#This Row],[L1N]],Transactions[[#This Row],[L2N]],IF(Transactions[[#This Row],[L1N]]=Transactions[[#This Row],[Transaction name]],Transactions[[#This Row],[L1N]],Transactions[[#This Row],[Transaction name]])))))))</f>
        <v>CHP plants - Autoproducers</v>
      </c>
      <c r="AS7" s="24" t="str">
        <f>IF(Transactions[[#This Row],[Level 0]]=Transactions[[#This Row],[Transaction name]],Transactions[[#This Row],[Transaction name]],IF(Transactions[[#This Row],[Level 0]]=Transactions[[#This Row],[L1N]],Transactions[[#This Row],[Transaction name]],IF(Transactions[[#This Row],[Level 0]]=Transactions[[#This Row],[L2N]],Transactions[[#This Row],[L1N]],IF(Transactions[[#This Row],[Level 0]]=Transactions[[#This Row],[L3N]],Transactions[[#This Row],[L2N]],IF(Transactions[[#This Row],[Level 0]]=Transactions[[#This Row],[L4N]],Transactions[[#This Row],[L3N]],IF(Transactions[[#This Row],[Level 0]]=Transactions[[#This Row],[L5N]],Transactions[[#This Row],[L4N]],IF(Transactions[[#This Row],[Level 0]]=Transactions[[#This Row],[L6N]],Transactions[[#This Row],[L5N]],IF(Transactions[[#This Row],[Level 0]]=Transactions[[#This Row],[L7N]],Transactions[[#This Row],[L6N]],Transactions[[#This Row],[L7N]]))))))))</f>
        <v>CHP plants - Autoproducers</v>
      </c>
      <c r="AT7" s="24" t="str">
        <f>IF(Transactions[[#This Row],[Level 1]]=Transactions[[#This Row],[Transaction name]],Transactions[[#This Row],[Transaction name]],IF(Transactions[[#This Row],[Level 1]]=Transactions[[#This Row],[L1N]],Transactions[[#This Row],[Transaction name]],IF(Transactions[[#This Row],[Level 1]]=Transactions[[#This Row],[L2N]],Transactions[[#This Row],[L1N]],IF(Transactions[[#This Row],[Level 1]]=Transactions[[#This Row],[L3N]],Transactions[[#This Row],[L2N]],IF(Transactions[[#This Row],[Level 1]]=Transactions[[#This Row],[L4N]],Transactions[[#This Row],[L3N]],IF(Transactions[[#This Row],[Level 1]]=Transactions[[#This Row],[L5N]],Transactions[[#This Row],[L4N]],IF(Transactions[[#This Row],[Level 1]]=Transactions[[#This Row],[L6N]],Transactions[[#This Row],[L5N]],IF(Transactions[[#This Row],[Level 1]]=Transactions[[#This Row],[L7N]],Transactions[[#This Row],[L6N]],Transactions[[#This Row],[L7N]]))))))))</f>
        <v>CHP plants - Autoproducers</v>
      </c>
      <c r="AU7" s="24" t="str">
        <f>IF(Transactions[[#This Row],[Level 2]]=Transactions[[#This Row],[Transaction name]],Transactions[[#This Row],[Transaction name]],IF(Transactions[[#This Row],[Level 2]]=Transactions[[#This Row],[L1N]],Transactions[[#This Row],[Transaction name]],IF(Transactions[[#This Row],[Level 2]]=Transactions[[#This Row],[L2N]],Transactions[[#This Row],[L1N]],IF(Transactions[[#This Row],[Level 2]]=Transactions[[#This Row],[L3N]],Transactions[[#This Row],[L2N]],IF(Transactions[[#This Row],[Level 2]]=Transactions[[#This Row],[L4N]],Transactions[[#This Row],[L3N]],IF(Transactions[[#This Row],[Level 2]]=Transactions[[#This Row],[L5N]],Transactions[[#This Row],[L4N]],IF(Transactions[[#This Row],[Level 2]]=Transactions[[#This Row],[L6N]],Transactions[[#This Row],[L5N]],IF(Transactions[[#This Row],[Level 2]]=Transactions[[#This Row],[L7N]],Transactions[[#This Row],[L6N]],Transactions[[#This Row],[L7N]]))))))))</f>
        <v>CHP plants - Autoproducers</v>
      </c>
      <c r="AV7" s="24" t="str">
        <f>IF(Transactions[[#This Row],[Level 3]]=Transactions[[#This Row],[Transaction name]],Transactions[[#This Row],[Transaction name]],IF(Transactions[[#This Row],[Level 3]]=Transactions[[#This Row],[L1N]],Transactions[[#This Row],[Transaction name]],IF(Transactions[[#This Row],[Level 3]]=Transactions[[#This Row],[L2N]],Transactions[[#This Row],[L1N]],IF(Transactions[[#This Row],[Level 3]]=Transactions[[#This Row],[L3N]],Transactions[[#This Row],[L2N]],IF(Transactions[[#This Row],[Level 3]]=Transactions[[#This Row],[L4N]],Transactions[[#This Row],[L3N]],IF(Transactions[[#This Row],[Level 3]]=Transactions[[#This Row],[L5N]],Transactions[[#This Row],[L4N]],IF(Transactions[[#This Row],[Level 3]]=Transactions[[#This Row],[L6N]],Transactions[[#This Row],[L5N]],IF(Transactions[[#This Row],[Level 3]]=Transactions[[#This Row],[L7N]],Transactions[[#This Row],[L6N]],Transactions[[#This Row],[L7N]]))))))))</f>
        <v>CHP plants - Autoproducers</v>
      </c>
      <c r="AW7" s="24" t="str">
        <f>IF(Transactions[[#This Row],[Level 4]]=Transactions[[#This Row],[Transaction name]],Transactions[[#This Row],[Transaction name]],IF(Transactions[[#This Row],[Level 4]]=Transactions[[#This Row],[L1N]],Transactions[[#This Row],[Transaction name]],IF(Transactions[[#This Row],[Level 4]]=Transactions[[#This Row],[L2N]],Transactions[[#This Row],[L1N]],IF(Transactions[[#This Row],[Level 4]]=Transactions[[#This Row],[L3N]],Transactions[[#This Row],[L2N]],IF(Transactions[[#This Row],[Level 4]]=Transactions[[#This Row],[L4N]],Transactions[[#This Row],[L3N]],IF(Transactions[[#This Row],[Level 4]]=Transactions[[#This Row],[L5N]],Transactions[[#This Row],[L4N]],IF(Transactions[[#This Row],[Level 4]]=Transactions[[#This Row],[L6N]],Transactions[[#This Row],[L5N]],IF(Transactions[[#This Row],[Level 4]]=Transactions[[#This Row],[L7N]],Transactions[[#This Row],[L6N]],Transactions[[#This Row],[L7N]]))))))))</f>
        <v>CHP plants - Autoproducers</v>
      </c>
      <c r="AX7" s="24" t="str">
        <f>IF(Transactions[[#This Row],[Level 5]]=Transactions[[#This Row],[Transaction name]],Transactions[[#This Row],[Transaction name]],IF(Transactions[[#This Row],[Level 5]]=Transactions[[#This Row],[L1N]],Transactions[[#This Row],[Transaction name]],IF(Transactions[[#This Row],[Level 5]]=Transactions[[#This Row],[L2N]],Transactions[[#This Row],[L1N]],IF(Transactions[[#This Row],[Level 5]]=Transactions[[#This Row],[L3N]],Transactions[[#This Row],[L2N]],IF(Transactions[[#This Row],[Level 5]]=Transactions[[#This Row],[L4N]],Transactions[[#This Row],[L3N]],IF(Transactions[[#This Row],[Level 5]]=Transactions[[#This Row],[L5N]],Transactions[[#This Row],[L4N]],IF(Transactions[[#This Row],[Level 5]]=Transactions[[#This Row],[L6N]],Transactions[[#This Row],[L5N]],IF(Transactions[[#This Row],[Level 5]]=Transactions[[#This Row],[L7N]],Transactions[[#This Row],[L6N]],Transactions[[#This Row],[L7N]]))))))))</f>
        <v>CHP plants - Autoproducers</v>
      </c>
      <c r="AY7" s="24" t="str">
        <f>IF(Transactions[[#This Row],[Level 6]]=Transactions[[#This Row],[Transaction name]],Transactions[[#This Row],[Transaction name]],IF(Transactions[[#This Row],[Level 6]]=Transactions[[#This Row],[L1N]],Transactions[[#This Row],[Transaction name]],IF(Transactions[[#This Row],[Level 6]]=Transactions[[#This Row],[L2N]],Transactions[[#This Row],[L1N]],IF(Transactions[[#This Row],[Level 6]]=Transactions[[#This Row],[L3N]],Transactions[[#This Row],[L2N]],IF(Transactions[[#This Row],[Level 6]]=Transactions[[#This Row],[L4N]],Transactions[[#This Row],[L3N]],IF(Transactions[[#This Row],[Level 6]]=Transactions[[#This Row],[L5N]],Transactions[[#This Row],[L4N]],IF(Transactions[[#This Row],[Level 6]]=Transactions[[#This Row],[L6N]],Transactions[[#This Row],[L5N]],IF(Transactions[[#This Row],[Level 6]]=Transactions[[#This Row],[L7N]],Transactions[[#This Row],[L6N]],Transactions[[#This Row],[L7N]]))))))))</f>
        <v>CHP plants - Autoproducers</v>
      </c>
      <c r="BB7" s="4" t="s">
        <v>558</v>
      </c>
      <c r="BC7" s="4" t="s">
        <v>557</v>
      </c>
      <c r="BE7" s="26" t="str">
        <f>_xlfn.XLOOKUP(Transformation[[#This Row],[cfrom]],Commodities[Commodity],Commodities[Commodity code])</f>
        <v>7000</v>
      </c>
      <c r="BF7" s="26" t="str">
        <f>_xlfn.XLOOKUP(Transformation[[#This Row],[tfrom]],Transactions[Transaction name],Transactions[Transaction code])</f>
        <v>016NC</v>
      </c>
      <c r="BG7" s="26" t="str">
        <f>_xlfn.XLOOKUP(Transformation[[#This Row],[cto]],Commodities[Commodity],Commodities[Commodity code])</f>
        <v>9101</v>
      </c>
      <c r="BH7" s="26" t="str">
        <f>_xlfn.XLOOKUP(Transformation[[#This Row],[tto]],Transactions[Transaction name],Transactions[Transaction code])</f>
        <v>016NC</v>
      </c>
      <c r="BI7" s="31">
        <v>-3</v>
      </c>
      <c r="BJ7" s="22" t="s">
        <v>544</v>
      </c>
      <c r="BK7" s="26" t="str">
        <f>_xlfn.XLOOKUP(Transformation[[#This Row],[Commodity from]],Commodities[Commodity code],Commodities[EnergyCode])</f>
        <v>EL</v>
      </c>
      <c r="BL7" s="22" t="s">
        <v>656</v>
      </c>
      <c r="BM7" s="22" t="s">
        <v>256</v>
      </c>
      <c r="BN7" s="26" t="str">
        <f>_xlfn.XLOOKUP(Transformation[[#This Row],[Commodity to]],Commodities[Commodity code],Commodities[EnergyCode])</f>
        <v>EN</v>
      </c>
      <c r="BO7" s="22" t="s">
        <v>656</v>
      </c>
      <c r="BP7" s="22" t="s">
        <v>1678</v>
      </c>
      <c r="BQ7" s="33" t="str">
        <f>Transformation[[#This Row],[Commodity from]]&amp;Transformation[[#This Row],[Transaction from]]&amp;Transformation[[#This Row],[Commodity to]]&amp;Transformation[[#This Row],[Transaction to]]</f>
        <v>7000016NC9101016NC</v>
      </c>
      <c r="BR7" s="26" t="str">
        <f>Transformation[[#This Row],[crfomid]]&amp;Transformation[[#This Row],[Transaction from]]&amp;"("&amp;Transformation[[#This Row],[Multiplier]]&amp;") -&gt; "&amp;Transformation[[#This Row],[ctoid]]&amp;Transformation[[#This Row],[Transaction to]]</f>
        <v>EL016NC(-3) -&gt; EN016NC</v>
      </c>
      <c r="BT7" s="26" t="str">
        <f>_xlfn.XLOOKUP(Signswitch[[#This Row],[Commodity name]],Commodities[Commodity],Commodities[Commodity code])</f>
        <v>5232</v>
      </c>
      <c r="BU7" s="26" t="str">
        <f>_xlfn.XLOOKUP(Signswitch[[#This Row],[Transaction name]],Transactions[Transaction name],Transactions[Transaction code])</f>
        <v>04</v>
      </c>
      <c r="BV7" s="26" t="str">
        <f>Signswitch[[#This Row],[Commodity from]]&amp;Signswitch[[#This Row],[Transaction from]]</f>
        <v>523204</v>
      </c>
      <c r="BW7" s="22" t="s">
        <v>306</v>
      </c>
      <c r="BX7" s="26" t="str">
        <f>_xlfn.XLOOKUP(Signswitch[[#This Row],[Commodity from]],Commodities[Commodity code],Commodities[EnergyCode])</f>
        <v>ZJ</v>
      </c>
      <c r="BY7" s="22" t="s">
        <v>198</v>
      </c>
    </row>
    <row r="8" spans="1:77" x14ac:dyDescent="0.45">
      <c r="H8" s="5" t="s">
        <v>334</v>
      </c>
      <c r="I8" s="4" t="s">
        <v>333</v>
      </c>
      <c r="J8" s="9" t="s">
        <v>325</v>
      </c>
      <c r="K8" s="9" t="s">
        <v>1456</v>
      </c>
      <c r="L8" s="23" t="str">
        <f>IFERROR(INDEX(Commodities[[Commodity code]:[Commodity]],MATCH(Commodities[[#This Row],[Parent code]],Commodities[Commodity code],0),2),Commodities[[#This Row],[Commodity]])</f>
        <v>Solid biofuels</v>
      </c>
      <c r="M8" s="24" t="str">
        <f>IFERROR(INDEX(Commodities[[Commodity code]:[Commodity]],MATCH(INDEX(Commodities[[Commodity]:[Parent code]],MATCH(Commodities[[#This Row],[L1N]],Commodities[Commodity],0),2),Commodities[Commodity code],0),2),Commodities[[#This Row],[L1N]])</f>
        <v>Biofuels</v>
      </c>
      <c r="N8" s="24" t="str">
        <f>IFERROR(INDEX(Commodities[[Commodity code]:[Commodity]],MATCH(INDEX(Commodities[[Commodity]:[Parent code]],MATCH(Commodities[[#This Row],[L2N]],Commodities[Commodity],0),2),Commodities[Commodity code],0),2),Commodities[[#This Row],[L2N]])</f>
        <v>Biofuels</v>
      </c>
      <c r="O8" s="24" t="str">
        <f>IFERROR(INDEX(Commodities[[Commodity code]:[Commodity]],MATCH(INDEX(Commodities[[Commodity]:[Parent code]],MATCH(Commodities[[#This Row],[L3N]],Commodities[Commodity],0),2),Commodities[Commodity code],0),2),Commodities[[#This Row],[L3N]])</f>
        <v>Biofuels</v>
      </c>
      <c r="P8" s="24" t="str">
        <f>IF(Commodities[[#This Row],[L4N]]=Commodities[[#This Row],[L3N]],Commodities[[#This Row],[L4N]],IF(Commodities[[#This Row],[L3N]]=Commodities[[#This Row],[L2N]],Commodities[[#This Row],[L3N]],IF(Commodities[[#This Row],[L2N]]=Commodities[[#This Row],[L1N]],Commodities[[#This Row],[L2N]],IF(Commodities[[#This Row],[L1N]]=Commodities[[#This Row],[Commodity]],Commodities[[#This Row],[L1N]],Commodities[[#This Row],[Commodity]]))))</f>
        <v>Biofuels</v>
      </c>
      <c r="Q8" s="24" t="str">
        <f>IF(Commodities[[#This Row],[Level 0]]=Commodities[[#This Row],[Commodity]],Commodities[[#This Row],[Commodity]],IF(Commodities[[#This Row],[Level 0]]=Commodities[[#This Row],[L1N]],Commodities[[#This Row],[Commodity]],IF(Commodities[[#This Row],[Level 0]]=Commodities[[#This Row],[L2N]],Commodities[[#This Row],[L1N]],IF(Commodities[[#This Row],[Level 0]]=Commodities[[#This Row],[L3N]],Commodities[[#This Row],[L2N]],IF(Commodities[[#This Row],[Level 0]]=Commodities[[#This Row],[L4N]],Commodities[[#This Row],[L3N]],Commodities[[#This Row],[L4N]])))))</f>
        <v>Solid biofuels</v>
      </c>
      <c r="R8" s="24" t="str">
        <f>IF(Commodities[[#This Row],[Level 1]]=Commodities[[#This Row],[Commodity]],Commodities[[#This Row],[Commodity]],IF(Commodities[[#This Row],[Level 1]]=Commodities[[#This Row],[L1N]],Commodities[[#This Row],[Commodity]],IF(Commodities[[#This Row],[Level 1]]=Commodities[[#This Row],[L2N]],Commodities[[#This Row],[L1N]],IF(Commodities[[#This Row],[Level 1]]=Commodities[[#This Row],[L3N]],Commodities[[#This Row],[L2N]],IF(Commodities[[#This Row],[Level 1]]=Commodities[[#This Row],[L4N]],Commodities[[#This Row],[L3N]],Commodities[[#This Row],[L4N]])))))</f>
        <v>Animal waste</v>
      </c>
      <c r="S8" s="24" t="str">
        <f>IF(Commodities[[#This Row],[Level 2]]=Commodities[[#This Row],[Commodity]],Commodities[[#This Row],[Commodity]],IF(Commodities[[#This Row],[Level 2]]=Commodities[[#This Row],[L1N]],Commodities[[#This Row],[Commodity]],IF(Commodities[[#This Row],[Level 2]]=Commodities[[#This Row],[L2N]],Commodities[[#This Row],[L1N]],IF(Commodities[[#This Row],[Level 2]]=Commodities[[#This Row],[L3N]],Commodities[[#This Row],[L2N]],IF(Commodities[[#This Row],[Level 2]]=Commodities[[#This Row],[L4N]],Commodities[[#This Row],[L3N]],Commodities[[#This Row],[L4N]])))))</f>
        <v>Animal waste</v>
      </c>
      <c r="T8" s="24" t="str">
        <f>IF(Commodities[[#This Row],[Level 3]]=Commodities[[#This Row],[Commodity]],Commodities[[#This Row],[Commodity]],IF(Commodities[[#This Row],[Level 3]]=Commodities[[#This Row],[L1N]],Commodities[[#This Row],[Commodity]],IF(Commodities[[#This Row],[Level 3]]=Commodities[[#This Row],[L2N]],Commodities[[#This Row],[L1N]],IF(Commodities[[#This Row],[Level 3]]=Commodities[[#This Row],[L3N]],Commodities[[#This Row],[L2N]],IF(Commodities[[#This Row],[Level 3]]=Commodities[[#This Row],[L4N]],Commodities[[#This Row],[L3N]],Commodities[[#This Row],[L4N]])))))</f>
        <v>Animal waste</v>
      </c>
      <c r="U8" s="24" t="str">
        <f>IF(Commodities[[#This Row],[Level 4]]=Commodities[[#This Row],[Commodity]],Commodities[[#This Row],[Commodity]],IF(Commodities[[#This Row],[Level 4]]=Commodities[[#This Row],[L1N]],Commodities[[#This Row],[Commodity]],IF(Commodities[[#This Row],[Level 4]]=Commodities[[#This Row],[L2N]],Commodities[[#This Row],[L1N]],IF(Commodities[[#This Row],[Level 4]]=Commodities[[#This Row],[L3N]],Commodities[[#This Row],[L2N]],IF(Commodities[[#This Row],[Level 4]]=Commodities[[#This Row],[L4N]],Commodities[[#This Row],[L3N]],Commodities[[#This Row],[L4N]])))))</f>
        <v>Animal waste</v>
      </c>
      <c r="Y8" s="5" t="s">
        <v>175</v>
      </c>
      <c r="Z8" s="4" t="s">
        <v>691</v>
      </c>
      <c r="AA8" s="4" t="s">
        <v>691</v>
      </c>
      <c r="AB8" s="19" t="s">
        <v>1544</v>
      </c>
      <c r="AC8" s="24" t="str">
        <f>IFERROR(VLOOKUP(Transactions[[#This Row],[Parent code]],Transactions[[Transaction code]:[Transaction name]],2,0),"")</f>
        <v/>
      </c>
      <c r="AD8" s="4" t="s">
        <v>189</v>
      </c>
      <c r="AE8" s="4" t="s">
        <v>922</v>
      </c>
      <c r="AF8" s="4" t="s">
        <v>642</v>
      </c>
      <c r="AG8" s="4" t="s">
        <v>1</v>
      </c>
      <c r="AH8" s="4" t="s">
        <v>695</v>
      </c>
      <c r="AJ8" s="4" t="s">
        <v>0</v>
      </c>
      <c r="AK8" s="24" t="str" cm="1">
        <f t="array" ref="AK8">IFERROR(INDEX(Transactions[[Transaction code]:[Transaction name]],_xlfn.XMATCH(Transactions[[#This Row],[Parent code]],Transactions[Transaction name],0),3),Transactions[[#This Row],[Transaction name]])</f>
        <v>CHP plants - Main activity</v>
      </c>
      <c r="AL8" s="24" t="str" cm="1">
        <f t="array" ref="AL8">IFERROR(INDEX(Transactions[[Transaction code]:[Transaction name]],_xlfn.XMATCH(INDEX(Transactions[[Transaction name]:[Parent code]],_xlfn.XMATCH(Transactions[[#This Row],[L1N]],Transactions[Transaction name],0),3),Transactions[Transaction code],0),2),Transactions[[#This Row],[L1N]])</f>
        <v>CHP plants - Main activity</v>
      </c>
      <c r="AM8" s="24" t="str" cm="1">
        <f t="array" ref="AM8">IFERROR(INDEX(Transactions[[Transaction code]:[Transaction name]],_xlfn.XMATCH(INDEX(Transactions[[Transaction name]:[Parent code]],_xlfn.XMATCH(Transactions[[#This Row],[L2N]],Transactions[Transaction name],0),3),Transactions[Transaction code],0),2),Transactions[[#This Row],[L2N]])</f>
        <v>CHP plants - Main activity</v>
      </c>
      <c r="AN8" s="24" t="str" cm="1">
        <f t="array" ref="AN8">IFERROR(INDEX(Transactions[[Transaction code]:[Transaction name]],_xlfn.XMATCH(INDEX(Transactions[[Transaction name]:[Parent code]],_xlfn.XMATCH(Transactions[[#This Row],[L3N]],Transactions[Transaction name],0),3),Transactions[Transaction code],0),2),Transactions[[#This Row],[L3N]])</f>
        <v>CHP plants - Main activity</v>
      </c>
      <c r="AO8" s="24" t="str" cm="1">
        <f t="array" ref="AO8">IFERROR(INDEX(Transactions[[Transaction code]:[Transaction name]],_xlfn.XMATCH(INDEX(Transactions[[Transaction name]:[Parent code]],_xlfn.XMATCH(Transactions[[#This Row],[L4N]],Transactions[Transaction name],0),3),Transactions[Transaction code],0),2),Transactions[[#This Row],[L4N]])</f>
        <v>CHP plants - Main activity</v>
      </c>
      <c r="AP8" s="24" t="str" cm="1">
        <f t="array" ref="AP8">IFERROR(INDEX(Transactions[[Transaction code]:[Transaction name]],_xlfn.XMATCH(INDEX(Transactions[[Transaction name]:[Parent code]],_xlfn.XMATCH(Transactions[[#This Row],[L5N]],Transactions[Transaction name],0),3),Transactions[Transaction code],0),2),Transactions[[#This Row],[L5N]])</f>
        <v>CHP plants - Main activity</v>
      </c>
      <c r="AQ8" s="24" t="str" cm="1">
        <f t="array" ref="AQ8">IFERROR(INDEX(Transactions[[Transaction code]:[Transaction name]],_xlfn.XMATCH(INDEX(Transactions[[Transaction name]:[Parent code]],_xlfn.XMATCH(Transactions[[#This Row],[L6N]],Transactions[Transaction name],0),3),Transactions[Transaction code],0),2),Transactions[[#This Row],[L6N]])</f>
        <v>CHP plants - Main activity</v>
      </c>
      <c r="AR8" s="28" t="str">
        <f>IF(Transactions[[#This Row],[L7N]]=Transactions[[#This Row],[L6N]],Transactions[[#This Row],[L7N]],IF(Transactions[[#This Row],[L6N]]=Transactions[[#This Row],[L5N]],Transactions[[#This Row],[L6N]],IF(Transactions[[#This Row],[L5N]]=Transactions[[#This Row],[L4N]],Transactions[[#This Row],[L5N]],IF(Transactions[[#This Row],[L4N]]=Transactions[[#This Row],[L3N]],Transactions[[#This Row],[L4N]],IF(Transactions[[#This Row],[L3N]]=Transactions[[#This Row],[L2N]],Transactions[[#This Row],[L3N]],IF(Transactions[[#This Row],[L2N]]=Transactions[[#This Row],[L1N]],Transactions[[#This Row],[L2N]],IF(Transactions[[#This Row],[L1N]]=Transactions[[#This Row],[Transaction name]],Transactions[[#This Row],[L1N]],Transactions[[#This Row],[Transaction name]])))))))</f>
        <v>CHP plants - Main activity</v>
      </c>
      <c r="AS8" s="24" t="str">
        <f>IF(Transactions[[#This Row],[Level 0]]=Transactions[[#This Row],[Transaction name]],Transactions[[#This Row],[Transaction name]],IF(Transactions[[#This Row],[Level 0]]=Transactions[[#This Row],[L1N]],Transactions[[#This Row],[Transaction name]],IF(Transactions[[#This Row],[Level 0]]=Transactions[[#This Row],[L2N]],Transactions[[#This Row],[L1N]],IF(Transactions[[#This Row],[Level 0]]=Transactions[[#This Row],[L3N]],Transactions[[#This Row],[L2N]],IF(Transactions[[#This Row],[Level 0]]=Transactions[[#This Row],[L4N]],Transactions[[#This Row],[L3N]],IF(Transactions[[#This Row],[Level 0]]=Transactions[[#This Row],[L5N]],Transactions[[#This Row],[L4N]],IF(Transactions[[#This Row],[Level 0]]=Transactions[[#This Row],[L6N]],Transactions[[#This Row],[L5N]],IF(Transactions[[#This Row],[Level 0]]=Transactions[[#This Row],[L7N]],Transactions[[#This Row],[L6N]],Transactions[[#This Row],[L7N]]))))))))</f>
        <v>CHP plants - Main activity</v>
      </c>
      <c r="AT8" s="24" t="str">
        <f>IF(Transactions[[#This Row],[Level 1]]=Transactions[[#This Row],[Transaction name]],Transactions[[#This Row],[Transaction name]],IF(Transactions[[#This Row],[Level 1]]=Transactions[[#This Row],[L1N]],Transactions[[#This Row],[Transaction name]],IF(Transactions[[#This Row],[Level 1]]=Transactions[[#This Row],[L2N]],Transactions[[#This Row],[L1N]],IF(Transactions[[#This Row],[Level 1]]=Transactions[[#This Row],[L3N]],Transactions[[#This Row],[L2N]],IF(Transactions[[#This Row],[Level 1]]=Transactions[[#This Row],[L4N]],Transactions[[#This Row],[L3N]],IF(Transactions[[#This Row],[Level 1]]=Transactions[[#This Row],[L5N]],Transactions[[#This Row],[L4N]],IF(Transactions[[#This Row],[Level 1]]=Transactions[[#This Row],[L6N]],Transactions[[#This Row],[L5N]],IF(Transactions[[#This Row],[Level 1]]=Transactions[[#This Row],[L7N]],Transactions[[#This Row],[L6N]],Transactions[[#This Row],[L7N]]))))))))</f>
        <v>CHP plants - Main activity</v>
      </c>
      <c r="AU8" s="24" t="str">
        <f>IF(Transactions[[#This Row],[Level 2]]=Transactions[[#This Row],[Transaction name]],Transactions[[#This Row],[Transaction name]],IF(Transactions[[#This Row],[Level 2]]=Transactions[[#This Row],[L1N]],Transactions[[#This Row],[Transaction name]],IF(Transactions[[#This Row],[Level 2]]=Transactions[[#This Row],[L2N]],Transactions[[#This Row],[L1N]],IF(Transactions[[#This Row],[Level 2]]=Transactions[[#This Row],[L3N]],Transactions[[#This Row],[L2N]],IF(Transactions[[#This Row],[Level 2]]=Transactions[[#This Row],[L4N]],Transactions[[#This Row],[L3N]],IF(Transactions[[#This Row],[Level 2]]=Transactions[[#This Row],[L5N]],Transactions[[#This Row],[L4N]],IF(Transactions[[#This Row],[Level 2]]=Transactions[[#This Row],[L6N]],Transactions[[#This Row],[L5N]],IF(Transactions[[#This Row],[Level 2]]=Transactions[[#This Row],[L7N]],Transactions[[#This Row],[L6N]],Transactions[[#This Row],[L7N]]))))))))</f>
        <v>CHP plants - Main activity</v>
      </c>
      <c r="AV8" s="24" t="str">
        <f>IF(Transactions[[#This Row],[Level 3]]=Transactions[[#This Row],[Transaction name]],Transactions[[#This Row],[Transaction name]],IF(Transactions[[#This Row],[Level 3]]=Transactions[[#This Row],[L1N]],Transactions[[#This Row],[Transaction name]],IF(Transactions[[#This Row],[Level 3]]=Transactions[[#This Row],[L2N]],Transactions[[#This Row],[L1N]],IF(Transactions[[#This Row],[Level 3]]=Transactions[[#This Row],[L3N]],Transactions[[#This Row],[L2N]],IF(Transactions[[#This Row],[Level 3]]=Transactions[[#This Row],[L4N]],Transactions[[#This Row],[L3N]],IF(Transactions[[#This Row],[Level 3]]=Transactions[[#This Row],[L5N]],Transactions[[#This Row],[L4N]],IF(Transactions[[#This Row],[Level 3]]=Transactions[[#This Row],[L6N]],Transactions[[#This Row],[L5N]],IF(Transactions[[#This Row],[Level 3]]=Transactions[[#This Row],[L7N]],Transactions[[#This Row],[L6N]],Transactions[[#This Row],[L7N]]))))))))</f>
        <v>CHP plants - Main activity</v>
      </c>
      <c r="AW8" s="24" t="str">
        <f>IF(Transactions[[#This Row],[Level 4]]=Transactions[[#This Row],[Transaction name]],Transactions[[#This Row],[Transaction name]],IF(Transactions[[#This Row],[Level 4]]=Transactions[[#This Row],[L1N]],Transactions[[#This Row],[Transaction name]],IF(Transactions[[#This Row],[Level 4]]=Transactions[[#This Row],[L2N]],Transactions[[#This Row],[L1N]],IF(Transactions[[#This Row],[Level 4]]=Transactions[[#This Row],[L3N]],Transactions[[#This Row],[L2N]],IF(Transactions[[#This Row],[Level 4]]=Transactions[[#This Row],[L4N]],Transactions[[#This Row],[L3N]],IF(Transactions[[#This Row],[Level 4]]=Transactions[[#This Row],[L5N]],Transactions[[#This Row],[L4N]],IF(Transactions[[#This Row],[Level 4]]=Transactions[[#This Row],[L6N]],Transactions[[#This Row],[L5N]],IF(Transactions[[#This Row],[Level 4]]=Transactions[[#This Row],[L7N]],Transactions[[#This Row],[L6N]],Transactions[[#This Row],[L7N]]))))))))</f>
        <v>CHP plants - Main activity</v>
      </c>
      <c r="AX8" s="24" t="str">
        <f>IF(Transactions[[#This Row],[Level 5]]=Transactions[[#This Row],[Transaction name]],Transactions[[#This Row],[Transaction name]],IF(Transactions[[#This Row],[Level 5]]=Transactions[[#This Row],[L1N]],Transactions[[#This Row],[Transaction name]],IF(Transactions[[#This Row],[Level 5]]=Transactions[[#This Row],[L2N]],Transactions[[#This Row],[L1N]],IF(Transactions[[#This Row],[Level 5]]=Transactions[[#This Row],[L3N]],Transactions[[#This Row],[L2N]],IF(Transactions[[#This Row],[Level 5]]=Transactions[[#This Row],[L4N]],Transactions[[#This Row],[L3N]],IF(Transactions[[#This Row],[Level 5]]=Transactions[[#This Row],[L5N]],Transactions[[#This Row],[L4N]],IF(Transactions[[#This Row],[Level 5]]=Transactions[[#This Row],[L6N]],Transactions[[#This Row],[L5N]],IF(Transactions[[#This Row],[Level 5]]=Transactions[[#This Row],[L7N]],Transactions[[#This Row],[L6N]],Transactions[[#This Row],[L7N]]))))))))</f>
        <v>CHP plants - Main activity</v>
      </c>
      <c r="AY8" s="24" t="str">
        <f>IF(Transactions[[#This Row],[Level 6]]=Transactions[[#This Row],[Transaction name]],Transactions[[#This Row],[Transaction name]],IF(Transactions[[#This Row],[Level 6]]=Transactions[[#This Row],[L1N]],Transactions[[#This Row],[Transaction name]],IF(Transactions[[#This Row],[Level 6]]=Transactions[[#This Row],[L2N]],Transactions[[#This Row],[L1N]],IF(Transactions[[#This Row],[Level 6]]=Transactions[[#This Row],[L3N]],Transactions[[#This Row],[L2N]],IF(Transactions[[#This Row],[Level 6]]=Transactions[[#This Row],[L4N]],Transactions[[#This Row],[L3N]],IF(Transactions[[#This Row],[Level 6]]=Transactions[[#This Row],[L5N]],Transactions[[#This Row],[L4N]],IF(Transactions[[#This Row],[Level 6]]=Transactions[[#This Row],[L6N]],Transactions[[#This Row],[L5N]],IF(Transactions[[#This Row],[Level 6]]=Transactions[[#This Row],[L7N]],Transactions[[#This Row],[L6N]],Transactions[[#This Row],[L7N]]))))))))</f>
        <v>CHP plants - Main activity</v>
      </c>
      <c r="BB8" s="4" t="s">
        <v>554</v>
      </c>
      <c r="BC8" s="4" t="s">
        <v>553</v>
      </c>
      <c r="BE8" s="26" t="str">
        <f>_xlfn.XLOOKUP(Transformation[[#This Row],[cfrom]],Commodities[Commodity],Commodities[Commodity code])</f>
        <v>8000</v>
      </c>
      <c r="BF8" s="26" t="str">
        <f>_xlfn.XLOOKUP(Transformation[[#This Row],[tfrom]],Transactions[Transaction name],Transactions[Transaction code])</f>
        <v>016NC</v>
      </c>
      <c r="BG8" s="26" t="str">
        <f>_xlfn.XLOOKUP(Transformation[[#This Row],[cto]],Commodities[Commodity],Commodities[Commodity code])</f>
        <v>9101</v>
      </c>
      <c r="BH8" s="26" t="str">
        <f>_xlfn.XLOOKUP(Transformation[[#This Row],[tto]],Transactions[Transaction name],Transactions[Transaction code])</f>
        <v>016NC</v>
      </c>
      <c r="BI8" s="31">
        <v>-1</v>
      </c>
      <c r="BJ8" s="22" t="s">
        <v>262</v>
      </c>
      <c r="BK8" s="26" t="str">
        <f>_xlfn.XLOOKUP(Transformation[[#This Row],[Commodity from]],Commodities[Commodity code],Commodities[EnergyCode])</f>
        <v>ST</v>
      </c>
      <c r="BL8" s="22" t="s">
        <v>656</v>
      </c>
      <c r="BM8" s="22" t="s">
        <v>256</v>
      </c>
      <c r="BN8" s="26" t="str">
        <f>_xlfn.XLOOKUP(Transformation[[#This Row],[Commodity to]],Commodities[Commodity code],Commodities[EnergyCode])</f>
        <v>EN</v>
      </c>
      <c r="BO8" s="22" t="s">
        <v>656</v>
      </c>
      <c r="BP8" s="22" t="s">
        <v>1679</v>
      </c>
      <c r="BQ8" s="33" t="str">
        <f>Transformation[[#This Row],[Commodity from]]&amp;Transformation[[#This Row],[Transaction from]]&amp;Transformation[[#This Row],[Commodity to]]&amp;Transformation[[#This Row],[Transaction to]]</f>
        <v>8000016NC9101016NC</v>
      </c>
      <c r="BR8" s="26" t="str">
        <f>Transformation[[#This Row],[crfomid]]&amp;Transformation[[#This Row],[Transaction from]]&amp;"("&amp;Transformation[[#This Row],[Multiplier]]&amp;") -&gt; "&amp;Transformation[[#This Row],[ctoid]]&amp;Transformation[[#This Row],[Transaction to]]</f>
        <v>ST016NC(-1) -&gt; EN016NC</v>
      </c>
      <c r="BT8" s="26" t="str">
        <f>_xlfn.XLOOKUP(Signswitch[[#This Row],[Commodity name]],Commodities[Commodity],Commodities[Commodity code])</f>
        <v>5222</v>
      </c>
      <c r="BU8" s="26" t="str">
        <f>_xlfn.XLOOKUP(Signswitch[[#This Row],[Transaction name]],Transactions[Transaction name],Transactions[Transaction code])</f>
        <v>04</v>
      </c>
      <c r="BV8" s="26" t="str">
        <f>Signswitch[[#This Row],[Commodity from]]&amp;Signswitch[[#This Row],[Transaction from]]</f>
        <v>522204</v>
      </c>
      <c r="BW8" s="22" t="s">
        <v>962</v>
      </c>
      <c r="BX8" s="26" t="str">
        <f>_xlfn.XLOOKUP(Signswitch[[#This Row],[Commodity from]],Commodities[Commodity code],Commodities[EnergyCode])</f>
        <v>ZD</v>
      </c>
      <c r="BY8" s="22" t="s">
        <v>198</v>
      </c>
    </row>
    <row r="9" spans="1:77" x14ac:dyDescent="0.45">
      <c r="H9" s="5" t="s">
        <v>492</v>
      </c>
      <c r="I9" s="4" t="s">
        <v>491</v>
      </c>
      <c r="J9" s="9" t="s">
        <v>466</v>
      </c>
      <c r="K9" s="14" t="s">
        <v>1474</v>
      </c>
      <c r="L9" s="23" t="str">
        <f>IFERROR(INDEX(Commodities[[Commodity code]:[Commodity]],MATCH(Commodities[[#This Row],[Parent code]],Commodities[Commodity code],0),2),Commodities[[#This Row],[Commodity]])</f>
        <v>Coal products</v>
      </c>
      <c r="M9" s="24" t="str">
        <f>IFERROR(INDEX(Commodities[[Commodity code]:[Commodity]],MATCH(INDEX(Commodities[[Commodity]:[Parent code]],MATCH(Commodities[[#This Row],[L1N]],Commodities[Commodity],0),2),Commodities[Commodity code],0),2),Commodities[[#This Row],[L1N]])</f>
        <v>Coal</v>
      </c>
      <c r="N9" s="24" t="str">
        <f>IFERROR(INDEX(Commodities[[Commodity code]:[Commodity]],MATCH(INDEX(Commodities[[Commodity]:[Parent code]],MATCH(Commodities[[#This Row],[L2N]],Commodities[Commodity],0),2),Commodities[Commodity code],0),2),Commodities[[#This Row],[L2N]])</f>
        <v>Coal</v>
      </c>
      <c r="O9" s="24" t="str">
        <f>IFERROR(INDEX(Commodities[[Commodity code]:[Commodity]],MATCH(INDEX(Commodities[[Commodity]:[Parent code]],MATCH(Commodities[[#This Row],[L3N]],Commodities[Commodity],0),2),Commodities[Commodity code],0),2),Commodities[[#This Row],[L3N]])</f>
        <v>Coal</v>
      </c>
      <c r="P9" s="24" t="str">
        <f>IF(Commodities[[#This Row],[L4N]]=Commodities[[#This Row],[L3N]],Commodities[[#This Row],[L4N]],IF(Commodities[[#This Row],[L3N]]=Commodities[[#This Row],[L2N]],Commodities[[#This Row],[L3N]],IF(Commodities[[#This Row],[L2N]]=Commodities[[#This Row],[L1N]],Commodities[[#This Row],[L2N]],IF(Commodities[[#This Row],[L1N]]=Commodities[[#This Row],[Commodity]],Commodities[[#This Row],[L1N]],Commodities[[#This Row],[Commodity]]))))</f>
        <v>Coal</v>
      </c>
      <c r="Q9" s="24" t="str">
        <f>IF(Commodities[[#This Row],[Level 0]]=Commodities[[#This Row],[Commodity]],Commodities[[#This Row],[Commodity]],IF(Commodities[[#This Row],[Level 0]]=Commodities[[#This Row],[L1N]],Commodities[[#This Row],[Commodity]],IF(Commodities[[#This Row],[Level 0]]=Commodities[[#This Row],[L2N]],Commodities[[#This Row],[L1N]],IF(Commodities[[#This Row],[Level 0]]=Commodities[[#This Row],[L3N]],Commodities[[#This Row],[L2N]],IF(Commodities[[#This Row],[Level 0]]=Commodities[[#This Row],[L4N]],Commodities[[#This Row],[L3N]],Commodities[[#This Row],[L4N]])))))</f>
        <v>Coal products</v>
      </c>
      <c r="R9" s="24" t="str">
        <f>IF(Commodities[[#This Row],[Level 1]]=Commodities[[#This Row],[Commodity]],Commodities[[#This Row],[Commodity]],IF(Commodities[[#This Row],[Level 1]]=Commodities[[#This Row],[L1N]],Commodities[[#This Row],[Commodity]],IF(Commodities[[#This Row],[Level 1]]=Commodities[[#This Row],[L2N]],Commodities[[#This Row],[L1N]],IF(Commodities[[#This Row],[Level 1]]=Commodities[[#This Row],[L3N]],Commodities[[#This Row],[L2N]],IF(Commodities[[#This Row],[Level 1]]=Commodities[[#This Row],[L4N]],Commodities[[#This Row],[L3N]],Commodities[[#This Row],[L4N]])))))</f>
        <v>Brown coal briquettes (BKB)</v>
      </c>
      <c r="S9" s="24" t="str">
        <f>IF(Commodities[[#This Row],[Level 2]]=Commodities[[#This Row],[Commodity]],Commodities[[#This Row],[Commodity]],IF(Commodities[[#This Row],[Level 2]]=Commodities[[#This Row],[L1N]],Commodities[[#This Row],[Commodity]],IF(Commodities[[#This Row],[Level 2]]=Commodities[[#This Row],[L2N]],Commodities[[#This Row],[L1N]],IF(Commodities[[#This Row],[Level 2]]=Commodities[[#This Row],[L3N]],Commodities[[#This Row],[L2N]],IF(Commodities[[#This Row],[Level 2]]=Commodities[[#This Row],[L4N]],Commodities[[#This Row],[L3N]],Commodities[[#This Row],[L4N]])))))</f>
        <v>Brown coal briquettes (BKB)</v>
      </c>
      <c r="T9" s="24" t="str">
        <f>IF(Commodities[[#This Row],[Level 3]]=Commodities[[#This Row],[Commodity]],Commodities[[#This Row],[Commodity]],IF(Commodities[[#This Row],[Level 3]]=Commodities[[#This Row],[L1N]],Commodities[[#This Row],[Commodity]],IF(Commodities[[#This Row],[Level 3]]=Commodities[[#This Row],[L2N]],Commodities[[#This Row],[L1N]],IF(Commodities[[#This Row],[Level 3]]=Commodities[[#This Row],[L3N]],Commodities[[#This Row],[L2N]],IF(Commodities[[#This Row],[Level 3]]=Commodities[[#This Row],[L4N]],Commodities[[#This Row],[L3N]],Commodities[[#This Row],[L4N]])))))</f>
        <v>Brown coal briquettes (BKB)</v>
      </c>
      <c r="U9" s="24" t="str">
        <f>IF(Commodities[[#This Row],[Level 4]]=Commodities[[#This Row],[Commodity]],Commodities[[#This Row],[Commodity]],IF(Commodities[[#This Row],[Level 4]]=Commodities[[#This Row],[L1N]],Commodities[[#This Row],[Commodity]],IF(Commodities[[#This Row],[Level 4]]=Commodities[[#This Row],[L2N]],Commodities[[#This Row],[L1N]],IF(Commodities[[#This Row],[Level 4]]=Commodities[[#This Row],[L3N]],Commodities[[#This Row],[L2N]],IF(Commodities[[#This Row],[Level 4]]=Commodities[[#This Row],[L4N]],Commodities[[#This Row],[L3N]],Commodities[[#This Row],[L4N]])))))</f>
        <v>Brown coal briquettes (BKB)</v>
      </c>
      <c r="Y9" s="4" t="s">
        <v>614</v>
      </c>
      <c r="Z9" s="4" t="s">
        <v>838</v>
      </c>
      <c r="AA9" s="4" t="s">
        <v>838</v>
      </c>
      <c r="AC9" s="24" t="str">
        <f>IFERROR(VLOOKUP(Transactions[[#This Row],[Parent code]],Transactions[[Transaction code]:[Transaction name]],2,0),"")</f>
        <v/>
      </c>
      <c r="AD9" s="4" t="s">
        <v>189</v>
      </c>
      <c r="AF9" s="4" t="s">
        <v>642</v>
      </c>
      <c r="AG9" s="4" t="s">
        <v>385</v>
      </c>
      <c r="AK9" s="24" t="str" cm="1">
        <f t="array" ref="AK9">IFERROR(INDEX(Transactions[[Transaction code]:[Transaction name]],_xlfn.XMATCH(Transactions[[#This Row],[Parent code]],Transactions[Transaction name],0),3),Transactions[[#This Row],[Transaction name]])</f>
        <v>CHP plants (S)</v>
      </c>
      <c r="AL9" s="24" t="str" cm="1">
        <f t="array" ref="AL9">IFERROR(INDEX(Transactions[[Transaction code]:[Transaction name]],_xlfn.XMATCH(INDEX(Transactions[[Transaction name]:[Parent code]],_xlfn.XMATCH(Transactions[[#This Row],[L1N]],Transactions[Transaction name],0),3),Transactions[Transaction code],0),2),Transactions[[#This Row],[L1N]])</f>
        <v>CHP plants (S)</v>
      </c>
      <c r="AM9" s="24" t="str" cm="1">
        <f t="array" ref="AM9">IFERROR(INDEX(Transactions[[Transaction code]:[Transaction name]],_xlfn.XMATCH(INDEX(Transactions[[Transaction name]:[Parent code]],_xlfn.XMATCH(Transactions[[#This Row],[L2N]],Transactions[Transaction name],0),3),Transactions[Transaction code],0),2),Transactions[[#This Row],[L2N]])</f>
        <v>CHP plants (S)</v>
      </c>
      <c r="AN9" s="24" t="str" cm="1">
        <f t="array" ref="AN9">IFERROR(INDEX(Transactions[[Transaction code]:[Transaction name]],_xlfn.XMATCH(INDEX(Transactions[[Transaction name]:[Parent code]],_xlfn.XMATCH(Transactions[[#This Row],[L3N]],Transactions[Transaction name],0),3),Transactions[Transaction code],0),2),Transactions[[#This Row],[L3N]])</f>
        <v>CHP plants (S)</v>
      </c>
      <c r="AO9" s="24" t="str" cm="1">
        <f t="array" ref="AO9">IFERROR(INDEX(Transactions[[Transaction code]:[Transaction name]],_xlfn.XMATCH(INDEX(Transactions[[Transaction name]:[Parent code]],_xlfn.XMATCH(Transactions[[#This Row],[L4N]],Transactions[Transaction name],0),3),Transactions[Transaction code],0),2),Transactions[[#This Row],[L4N]])</f>
        <v>CHP plants (S)</v>
      </c>
      <c r="AP9" s="24" t="str" cm="1">
        <f t="array" ref="AP9">IFERROR(INDEX(Transactions[[Transaction code]:[Transaction name]],_xlfn.XMATCH(INDEX(Transactions[[Transaction name]:[Parent code]],_xlfn.XMATCH(Transactions[[#This Row],[L5N]],Transactions[Transaction name],0),3),Transactions[Transaction code],0),2),Transactions[[#This Row],[L5N]])</f>
        <v>CHP plants (S)</v>
      </c>
      <c r="AQ9" s="24" t="str" cm="1">
        <f t="array" ref="AQ9">IFERROR(INDEX(Transactions[[Transaction code]:[Transaction name]],_xlfn.XMATCH(INDEX(Transactions[[Transaction name]:[Parent code]],_xlfn.XMATCH(Transactions[[#This Row],[L6N]],Transactions[Transaction name],0),3),Transactions[Transaction code],0),2),Transactions[[#This Row],[L6N]])</f>
        <v>CHP plants (S)</v>
      </c>
      <c r="AR9" s="27" t="str">
        <f>IF(Transactions[[#This Row],[L7N]]=Transactions[[#This Row],[L6N]],Transactions[[#This Row],[L7N]],IF(Transactions[[#This Row],[L6N]]=Transactions[[#This Row],[L5N]],Transactions[[#This Row],[L6N]],IF(Transactions[[#This Row],[L5N]]=Transactions[[#This Row],[L4N]],Transactions[[#This Row],[L5N]],IF(Transactions[[#This Row],[L4N]]=Transactions[[#This Row],[L3N]],Transactions[[#This Row],[L4N]],IF(Transactions[[#This Row],[L3N]]=Transactions[[#This Row],[L2N]],Transactions[[#This Row],[L3N]],IF(Transactions[[#This Row],[L2N]]=Transactions[[#This Row],[L1N]],Transactions[[#This Row],[L2N]],IF(Transactions[[#This Row],[L1N]]=Transactions[[#This Row],[Transaction name]],Transactions[[#This Row],[L1N]],Transactions[[#This Row],[Transaction name]])))))))</f>
        <v>CHP plants (S)</v>
      </c>
      <c r="AS9" s="24" t="str">
        <f>IF(Transactions[[#This Row],[Level 0]]=Transactions[[#This Row],[Transaction name]],Transactions[[#This Row],[Transaction name]],IF(Transactions[[#This Row],[Level 0]]=Transactions[[#This Row],[L1N]],Transactions[[#This Row],[Transaction name]],IF(Transactions[[#This Row],[Level 0]]=Transactions[[#This Row],[L2N]],Transactions[[#This Row],[L1N]],IF(Transactions[[#This Row],[Level 0]]=Transactions[[#This Row],[L3N]],Transactions[[#This Row],[L2N]],IF(Transactions[[#This Row],[Level 0]]=Transactions[[#This Row],[L4N]],Transactions[[#This Row],[L3N]],IF(Transactions[[#This Row],[Level 0]]=Transactions[[#This Row],[L5N]],Transactions[[#This Row],[L4N]],IF(Transactions[[#This Row],[Level 0]]=Transactions[[#This Row],[L6N]],Transactions[[#This Row],[L5N]],IF(Transactions[[#This Row],[Level 0]]=Transactions[[#This Row],[L7N]],Transactions[[#This Row],[L6N]],Transactions[[#This Row],[L7N]]))))))))</f>
        <v>CHP plants (S)</v>
      </c>
      <c r="AT9" s="24" t="str">
        <f>IF(Transactions[[#This Row],[Level 1]]=Transactions[[#This Row],[Transaction name]],Transactions[[#This Row],[Transaction name]],IF(Transactions[[#This Row],[Level 1]]=Transactions[[#This Row],[L1N]],Transactions[[#This Row],[Transaction name]],IF(Transactions[[#This Row],[Level 1]]=Transactions[[#This Row],[L2N]],Transactions[[#This Row],[L1N]],IF(Transactions[[#This Row],[Level 1]]=Transactions[[#This Row],[L3N]],Transactions[[#This Row],[L2N]],IF(Transactions[[#This Row],[Level 1]]=Transactions[[#This Row],[L4N]],Transactions[[#This Row],[L3N]],IF(Transactions[[#This Row],[Level 1]]=Transactions[[#This Row],[L5N]],Transactions[[#This Row],[L4N]],IF(Transactions[[#This Row],[Level 1]]=Transactions[[#This Row],[L6N]],Transactions[[#This Row],[L5N]],IF(Transactions[[#This Row],[Level 1]]=Transactions[[#This Row],[L7N]],Transactions[[#This Row],[L6N]],Transactions[[#This Row],[L7N]]))))))))</f>
        <v>CHP plants (S)</v>
      </c>
      <c r="AU9" s="24" t="str">
        <f>IF(Transactions[[#This Row],[Level 2]]=Transactions[[#This Row],[Transaction name]],Transactions[[#This Row],[Transaction name]],IF(Transactions[[#This Row],[Level 2]]=Transactions[[#This Row],[L1N]],Transactions[[#This Row],[Transaction name]],IF(Transactions[[#This Row],[Level 2]]=Transactions[[#This Row],[L2N]],Transactions[[#This Row],[L1N]],IF(Transactions[[#This Row],[Level 2]]=Transactions[[#This Row],[L3N]],Transactions[[#This Row],[L2N]],IF(Transactions[[#This Row],[Level 2]]=Transactions[[#This Row],[L4N]],Transactions[[#This Row],[L3N]],IF(Transactions[[#This Row],[Level 2]]=Transactions[[#This Row],[L5N]],Transactions[[#This Row],[L4N]],IF(Transactions[[#This Row],[Level 2]]=Transactions[[#This Row],[L6N]],Transactions[[#This Row],[L5N]],IF(Transactions[[#This Row],[Level 2]]=Transactions[[#This Row],[L7N]],Transactions[[#This Row],[L6N]],Transactions[[#This Row],[L7N]]))))))))</f>
        <v>CHP plants (S)</v>
      </c>
      <c r="AV9" s="24" t="str">
        <f>IF(Transactions[[#This Row],[Level 3]]=Transactions[[#This Row],[Transaction name]],Transactions[[#This Row],[Transaction name]],IF(Transactions[[#This Row],[Level 3]]=Transactions[[#This Row],[L1N]],Transactions[[#This Row],[Transaction name]],IF(Transactions[[#This Row],[Level 3]]=Transactions[[#This Row],[L2N]],Transactions[[#This Row],[L1N]],IF(Transactions[[#This Row],[Level 3]]=Transactions[[#This Row],[L3N]],Transactions[[#This Row],[L2N]],IF(Transactions[[#This Row],[Level 3]]=Transactions[[#This Row],[L4N]],Transactions[[#This Row],[L3N]],IF(Transactions[[#This Row],[Level 3]]=Transactions[[#This Row],[L5N]],Transactions[[#This Row],[L4N]],IF(Transactions[[#This Row],[Level 3]]=Transactions[[#This Row],[L6N]],Transactions[[#This Row],[L5N]],IF(Transactions[[#This Row],[Level 3]]=Transactions[[#This Row],[L7N]],Transactions[[#This Row],[L6N]],Transactions[[#This Row],[L7N]]))))))))</f>
        <v>CHP plants (S)</v>
      </c>
      <c r="AW9" s="24" t="str">
        <f>IF(Transactions[[#This Row],[Level 4]]=Transactions[[#This Row],[Transaction name]],Transactions[[#This Row],[Transaction name]],IF(Transactions[[#This Row],[Level 4]]=Transactions[[#This Row],[L1N]],Transactions[[#This Row],[Transaction name]],IF(Transactions[[#This Row],[Level 4]]=Transactions[[#This Row],[L2N]],Transactions[[#This Row],[L1N]],IF(Transactions[[#This Row],[Level 4]]=Transactions[[#This Row],[L3N]],Transactions[[#This Row],[L2N]],IF(Transactions[[#This Row],[Level 4]]=Transactions[[#This Row],[L4N]],Transactions[[#This Row],[L3N]],IF(Transactions[[#This Row],[Level 4]]=Transactions[[#This Row],[L5N]],Transactions[[#This Row],[L4N]],IF(Transactions[[#This Row],[Level 4]]=Transactions[[#This Row],[L6N]],Transactions[[#This Row],[L5N]],IF(Transactions[[#This Row],[Level 4]]=Transactions[[#This Row],[L7N]],Transactions[[#This Row],[L6N]],Transactions[[#This Row],[L7N]]))))))))</f>
        <v>CHP plants (S)</v>
      </c>
      <c r="AX9" s="24" t="str">
        <f>IF(Transactions[[#This Row],[Level 5]]=Transactions[[#This Row],[Transaction name]],Transactions[[#This Row],[Transaction name]],IF(Transactions[[#This Row],[Level 5]]=Transactions[[#This Row],[L1N]],Transactions[[#This Row],[Transaction name]],IF(Transactions[[#This Row],[Level 5]]=Transactions[[#This Row],[L2N]],Transactions[[#This Row],[L1N]],IF(Transactions[[#This Row],[Level 5]]=Transactions[[#This Row],[L3N]],Transactions[[#This Row],[L2N]],IF(Transactions[[#This Row],[Level 5]]=Transactions[[#This Row],[L4N]],Transactions[[#This Row],[L3N]],IF(Transactions[[#This Row],[Level 5]]=Transactions[[#This Row],[L5N]],Transactions[[#This Row],[L4N]],IF(Transactions[[#This Row],[Level 5]]=Transactions[[#This Row],[L6N]],Transactions[[#This Row],[L5N]],IF(Transactions[[#This Row],[Level 5]]=Transactions[[#This Row],[L7N]],Transactions[[#This Row],[L6N]],Transactions[[#This Row],[L7N]]))))))))</f>
        <v>CHP plants (S)</v>
      </c>
      <c r="AY9" s="24" t="str">
        <f>IF(Transactions[[#This Row],[Level 6]]=Transactions[[#This Row],[Transaction name]],Transactions[[#This Row],[Transaction name]],IF(Transactions[[#This Row],[Level 6]]=Transactions[[#This Row],[L1N]],Transactions[[#This Row],[Transaction name]],IF(Transactions[[#This Row],[Level 6]]=Transactions[[#This Row],[L2N]],Transactions[[#This Row],[L1N]],IF(Transactions[[#This Row],[Level 6]]=Transactions[[#This Row],[L3N]],Transactions[[#This Row],[L2N]],IF(Transactions[[#This Row],[Level 6]]=Transactions[[#This Row],[L4N]],Transactions[[#This Row],[L3N]],IF(Transactions[[#This Row],[Level 6]]=Transactions[[#This Row],[L5N]],Transactions[[#This Row],[L4N]],IF(Transactions[[#This Row],[Level 6]]=Transactions[[#This Row],[L6N]],Transactions[[#This Row],[L5N]],IF(Transactions[[#This Row],[Level 6]]=Transactions[[#This Row],[L7N]],Transactions[[#This Row],[L6N]],Transactions[[#This Row],[L7N]]))))))))</f>
        <v>CHP plants (S)</v>
      </c>
      <c r="BB9" s="4" t="s">
        <v>549</v>
      </c>
      <c r="BC9" s="4" t="s">
        <v>548</v>
      </c>
      <c r="BE9" s="26" t="str">
        <f>_xlfn.XLOOKUP(Transformation[[#This Row],[cfrom]],Commodities[Commodity],Commodities[Commodity code])</f>
        <v>8000</v>
      </c>
      <c r="BF9" s="26" t="str">
        <f>_xlfn.XLOOKUP(Transformation[[#This Row],[tfrom]],Transactions[Transaction name],Transactions[Transaction code])</f>
        <v>016NC</v>
      </c>
      <c r="BG9" s="26" t="str">
        <f>_xlfn.XLOOKUP(Transformation[[#This Row],[cto]],Commodities[Commodity],Commodities[Commodity code])</f>
        <v>9101</v>
      </c>
      <c r="BH9" s="26" t="str">
        <f>_xlfn.XLOOKUP(Transformation[[#This Row],[tto]],Transactions[Transaction name],Transactions[Transaction code])</f>
        <v>01</v>
      </c>
      <c r="BI9" s="11">
        <v>1</v>
      </c>
      <c r="BJ9" s="4" t="s">
        <v>262</v>
      </c>
      <c r="BK9" s="24" t="str">
        <f>_xlfn.XLOOKUP(Transformation[[#This Row],[Commodity from]],Commodities[Commodity code],Commodities[EnergyCode])</f>
        <v>ST</v>
      </c>
      <c r="BL9" s="4" t="s">
        <v>656</v>
      </c>
      <c r="BM9" s="4" t="s">
        <v>256</v>
      </c>
      <c r="BN9" s="24" t="str">
        <f>_xlfn.XLOOKUP(Transformation[[#This Row],[Commodity to]],Commodities[Commodity code],Commodities[EnergyCode])</f>
        <v>EN</v>
      </c>
      <c r="BO9" s="4" t="s">
        <v>383</v>
      </c>
      <c r="BP9" s="18" t="s">
        <v>1551</v>
      </c>
      <c r="BQ9" s="33" t="str">
        <f>Transformation[[#This Row],[Commodity from]]&amp;Transformation[[#This Row],[Transaction from]]&amp;Transformation[[#This Row],[Commodity to]]&amp;Transformation[[#This Row],[Transaction to]]</f>
        <v>8000016NC910101</v>
      </c>
      <c r="BR9" s="26" t="str">
        <f>Transformation[[#This Row],[crfomid]]&amp;Transformation[[#This Row],[Transaction from]]&amp;"("&amp;Transformation[[#This Row],[Multiplier]]&amp;") -&gt; "&amp;Transformation[[#This Row],[ctoid]]&amp;Transformation[[#This Row],[Transaction to]]</f>
        <v>ST016NC(1) -&gt; EN01</v>
      </c>
      <c r="BT9" s="26" t="str">
        <f>_xlfn.XLOOKUP(Signswitch[[#This Row],[Commodity name]],Commodities[Commodity],Commodities[Commodity code])</f>
        <v>5212</v>
      </c>
      <c r="BU9" s="26" t="str">
        <f>_xlfn.XLOOKUP(Signswitch[[#This Row],[Transaction name]],Transactions[Transaction name],Transactions[Transaction code])</f>
        <v>04</v>
      </c>
      <c r="BV9" s="26" t="str">
        <f>Signswitch[[#This Row],[Commodity from]]&amp;Signswitch[[#This Row],[Transaction from]]</f>
        <v>521204</v>
      </c>
      <c r="BW9" s="22" t="s">
        <v>317</v>
      </c>
      <c r="BX9" s="26" t="str">
        <f>_xlfn.XLOOKUP(Signswitch[[#This Row],[Commodity from]],Commodities[Commodity code],Commodities[EnergyCode])</f>
        <v>ZG</v>
      </c>
      <c r="BY9" s="22" t="s">
        <v>198</v>
      </c>
    </row>
    <row r="10" spans="1:77" x14ac:dyDescent="0.45">
      <c r="H10" s="5" t="s">
        <v>494</v>
      </c>
      <c r="I10" s="4" t="s">
        <v>493</v>
      </c>
      <c r="J10" s="9" t="s">
        <v>466</v>
      </c>
      <c r="K10" s="9" t="s">
        <v>1430</v>
      </c>
      <c r="L10" s="23" t="str">
        <f>IFERROR(INDEX(Commodities[[Commodity code]:[Commodity]],MATCH(Commodities[[#This Row],[Parent code]],Commodities[Commodity code],0),2),Commodities[[#This Row],[Commodity]])</f>
        <v>Coal products</v>
      </c>
      <c r="M10" s="24" t="str">
        <f>IFERROR(INDEX(Commodities[[Commodity code]:[Commodity]],MATCH(INDEX(Commodities[[Commodity]:[Parent code]],MATCH(Commodities[[#This Row],[L1N]],Commodities[Commodity],0),2),Commodities[Commodity code],0),2),Commodities[[#This Row],[L1N]])</f>
        <v>Coal</v>
      </c>
      <c r="N10" s="24" t="str">
        <f>IFERROR(INDEX(Commodities[[Commodity code]:[Commodity]],MATCH(INDEX(Commodities[[Commodity]:[Parent code]],MATCH(Commodities[[#This Row],[L2N]],Commodities[Commodity],0),2),Commodities[Commodity code],0),2),Commodities[[#This Row],[L2N]])</f>
        <v>Coal</v>
      </c>
      <c r="O10" s="24" t="str">
        <f>IFERROR(INDEX(Commodities[[Commodity code]:[Commodity]],MATCH(INDEX(Commodities[[Commodity]:[Parent code]],MATCH(Commodities[[#This Row],[L3N]],Commodities[Commodity],0),2),Commodities[Commodity code],0),2),Commodities[[#This Row],[L3N]])</f>
        <v>Coal</v>
      </c>
      <c r="P10" s="24" t="str">
        <f>IF(Commodities[[#This Row],[L4N]]=Commodities[[#This Row],[L3N]],Commodities[[#This Row],[L4N]],IF(Commodities[[#This Row],[L3N]]=Commodities[[#This Row],[L2N]],Commodities[[#This Row],[L3N]],IF(Commodities[[#This Row],[L2N]]=Commodities[[#This Row],[L1N]],Commodities[[#This Row],[L2N]],IF(Commodities[[#This Row],[L1N]]=Commodities[[#This Row],[Commodity]],Commodities[[#This Row],[L1N]],Commodities[[#This Row],[Commodity]]))))</f>
        <v>Coal</v>
      </c>
      <c r="Q10" s="24" t="str">
        <f>IF(Commodities[[#This Row],[Level 0]]=Commodities[[#This Row],[Commodity]],Commodities[[#This Row],[Commodity]],IF(Commodities[[#This Row],[Level 0]]=Commodities[[#This Row],[L1N]],Commodities[[#This Row],[Commodity]],IF(Commodities[[#This Row],[Level 0]]=Commodities[[#This Row],[L2N]],Commodities[[#This Row],[L1N]],IF(Commodities[[#This Row],[Level 0]]=Commodities[[#This Row],[L3N]],Commodities[[#This Row],[L2N]],IF(Commodities[[#This Row],[Level 0]]=Commodities[[#This Row],[L4N]],Commodities[[#This Row],[L3N]],Commodities[[#This Row],[L4N]])))))</f>
        <v>Coal products</v>
      </c>
      <c r="R10" s="24" t="str">
        <f>IF(Commodities[[#This Row],[Level 1]]=Commodities[[#This Row],[Commodity]],Commodities[[#This Row],[Commodity]],IF(Commodities[[#This Row],[Level 1]]=Commodities[[#This Row],[L1N]],Commodities[[#This Row],[Commodity]],IF(Commodities[[#This Row],[Level 1]]=Commodities[[#This Row],[L2N]],Commodities[[#This Row],[L1N]],IF(Commodities[[#This Row],[Level 1]]=Commodities[[#This Row],[L3N]],Commodities[[#This Row],[L2N]],IF(Commodities[[#This Row],[Level 1]]=Commodities[[#This Row],[L4N]],Commodities[[#This Row],[L3N]],Commodities[[#This Row],[L4N]])))))</f>
        <v>Patent fuel</v>
      </c>
      <c r="S10" s="24" t="str">
        <f>IF(Commodities[[#This Row],[Level 2]]=Commodities[[#This Row],[Commodity]],Commodities[[#This Row],[Commodity]],IF(Commodities[[#This Row],[Level 2]]=Commodities[[#This Row],[L1N]],Commodities[[#This Row],[Commodity]],IF(Commodities[[#This Row],[Level 2]]=Commodities[[#This Row],[L2N]],Commodities[[#This Row],[L1N]],IF(Commodities[[#This Row],[Level 2]]=Commodities[[#This Row],[L3N]],Commodities[[#This Row],[L2N]],IF(Commodities[[#This Row],[Level 2]]=Commodities[[#This Row],[L4N]],Commodities[[#This Row],[L3N]],Commodities[[#This Row],[L4N]])))))</f>
        <v>Patent fuel</v>
      </c>
      <c r="T10" s="24" t="str">
        <f>IF(Commodities[[#This Row],[Level 3]]=Commodities[[#This Row],[Commodity]],Commodities[[#This Row],[Commodity]],IF(Commodities[[#This Row],[Level 3]]=Commodities[[#This Row],[L1N]],Commodities[[#This Row],[Commodity]],IF(Commodities[[#This Row],[Level 3]]=Commodities[[#This Row],[L2N]],Commodities[[#This Row],[L1N]],IF(Commodities[[#This Row],[Level 3]]=Commodities[[#This Row],[L3N]],Commodities[[#This Row],[L2N]],IF(Commodities[[#This Row],[Level 3]]=Commodities[[#This Row],[L4N]],Commodities[[#This Row],[L3N]],Commodities[[#This Row],[L4N]])))))</f>
        <v>Patent fuel</v>
      </c>
      <c r="U10" s="24" t="str">
        <f>IF(Commodities[[#This Row],[Level 4]]=Commodities[[#This Row],[Commodity]],Commodities[[#This Row],[Commodity]],IF(Commodities[[#This Row],[Level 4]]=Commodities[[#This Row],[L1N]],Commodities[[#This Row],[Commodity]],IF(Commodities[[#This Row],[Level 4]]=Commodities[[#This Row],[L2N]],Commodities[[#This Row],[L1N]],IF(Commodities[[#This Row],[Level 4]]=Commodities[[#This Row],[L3N]],Commodities[[#This Row],[L2N]],IF(Commodities[[#This Row],[Level 4]]=Commodities[[#This Row],[L4N]],Commodities[[#This Row],[L3N]],Commodities[[#This Row],[L4N]])))))</f>
        <v>Patent fuel</v>
      </c>
      <c r="Y10" s="5" t="s">
        <v>16</v>
      </c>
      <c r="Z10" s="4" t="s">
        <v>15</v>
      </c>
      <c r="AA10" s="4" t="s">
        <v>15</v>
      </c>
      <c r="AB10" s="5"/>
      <c r="AC10" s="24" t="str">
        <f>IFERROR(VLOOKUP(Transactions[[#This Row],[Parent code]],Transactions[[Transaction code]:[Transaction name]],2,0),"")</f>
        <v/>
      </c>
      <c r="AD10" s="4" t="s">
        <v>960</v>
      </c>
      <c r="AE10" s="4" t="s">
        <v>960</v>
      </c>
      <c r="AF10" s="4" t="s">
        <v>642</v>
      </c>
      <c r="AG10" s="4" t="s">
        <v>1</v>
      </c>
      <c r="AH10" s="4" t="s">
        <v>696</v>
      </c>
      <c r="AK10" s="24" t="str" cm="1">
        <f t="array" ref="AK10">IFERROR(INDEX(Transactions[[Transaction code]:[Transaction name]],_xlfn.XMATCH(Transactions[[#This Row],[Parent code]],Transactions[Transaction name],0),3),Transactions[[#This Row],[Transaction name]])</f>
        <v>Closing stock level held on national territory</v>
      </c>
      <c r="AL10" s="24" t="str" cm="1">
        <f t="array" ref="AL10">IFERROR(INDEX(Transactions[[Transaction code]:[Transaction name]],_xlfn.XMATCH(INDEX(Transactions[[Transaction name]:[Parent code]],_xlfn.XMATCH(Transactions[[#This Row],[L1N]],Transactions[Transaction name],0),3),Transactions[Transaction code],0),2),Transactions[[#This Row],[L1N]])</f>
        <v>Closing stock level held on national territory</v>
      </c>
      <c r="AM10" s="24" t="str" cm="1">
        <f t="array" ref="AM10">IFERROR(INDEX(Transactions[[Transaction code]:[Transaction name]],_xlfn.XMATCH(INDEX(Transactions[[Transaction name]:[Parent code]],_xlfn.XMATCH(Transactions[[#This Row],[L2N]],Transactions[Transaction name],0),3),Transactions[Transaction code],0),2),Transactions[[#This Row],[L2N]])</f>
        <v>Closing stock level held on national territory</v>
      </c>
      <c r="AN10" s="24" t="str" cm="1">
        <f t="array" ref="AN10">IFERROR(INDEX(Transactions[[Transaction code]:[Transaction name]],_xlfn.XMATCH(INDEX(Transactions[[Transaction name]:[Parent code]],_xlfn.XMATCH(Transactions[[#This Row],[L3N]],Transactions[Transaction name],0),3),Transactions[Transaction code],0),2),Transactions[[#This Row],[L3N]])</f>
        <v>Closing stock level held on national territory</v>
      </c>
      <c r="AO10" s="24" t="str" cm="1">
        <f t="array" ref="AO10">IFERROR(INDEX(Transactions[[Transaction code]:[Transaction name]],_xlfn.XMATCH(INDEX(Transactions[[Transaction name]:[Parent code]],_xlfn.XMATCH(Transactions[[#This Row],[L4N]],Transactions[Transaction name],0),3),Transactions[Transaction code],0),2),Transactions[[#This Row],[L4N]])</f>
        <v>Closing stock level held on national territory</v>
      </c>
      <c r="AP10" s="24" t="str" cm="1">
        <f t="array" ref="AP10">IFERROR(INDEX(Transactions[[Transaction code]:[Transaction name]],_xlfn.XMATCH(INDEX(Transactions[[Transaction name]:[Parent code]],_xlfn.XMATCH(Transactions[[#This Row],[L5N]],Transactions[Transaction name],0),3),Transactions[Transaction code],0),2),Transactions[[#This Row],[L5N]])</f>
        <v>Closing stock level held on national territory</v>
      </c>
      <c r="AQ10" s="24" t="str" cm="1">
        <f t="array" ref="AQ10">IFERROR(INDEX(Transactions[[Transaction code]:[Transaction name]],_xlfn.XMATCH(INDEX(Transactions[[Transaction name]:[Parent code]],_xlfn.XMATCH(Transactions[[#This Row],[L6N]],Transactions[Transaction name],0),3),Transactions[Transaction code],0),2),Transactions[[#This Row],[L6N]])</f>
        <v>Closing stock level held on national territory</v>
      </c>
      <c r="AR10" s="28" t="str">
        <f>IF(Transactions[[#This Row],[L7N]]=Transactions[[#This Row],[L6N]],Transactions[[#This Row],[L7N]],IF(Transactions[[#This Row],[L6N]]=Transactions[[#This Row],[L5N]],Transactions[[#This Row],[L6N]],IF(Transactions[[#This Row],[L5N]]=Transactions[[#This Row],[L4N]],Transactions[[#This Row],[L5N]],IF(Transactions[[#This Row],[L4N]]=Transactions[[#This Row],[L3N]],Transactions[[#This Row],[L4N]],IF(Transactions[[#This Row],[L3N]]=Transactions[[#This Row],[L2N]],Transactions[[#This Row],[L3N]],IF(Transactions[[#This Row],[L2N]]=Transactions[[#This Row],[L1N]],Transactions[[#This Row],[L2N]],IF(Transactions[[#This Row],[L1N]]=Transactions[[#This Row],[Transaction name]],Transactions[[#This Row],[L1N]],Transactions[[#This Row],[Transaction name]])))))))</f>
        <v>Closing stock level held on national territory</v>
      </c>
      <c r="AS10" s="24" t="str">
        <f>IF(Transactions[[#This Row],[Level 0]]=Transactions[[#This Row],[Transaction name]],Transactions[[#This Row],[Transaction name]],IF(Transactions[[#This Row],[Level 0]]=Transactions[[#This Row],[L1N]],Transactions[[#This Row],[Transaction name]],IF(Transactions[[#This Row],[Level 0]]=Transactions[[#This Row],[L2N]],Transactions[[#This Row],[L1N]],IF(Transactions[[#This Row],[Level 0]]=Transactions[[#This Row],[L3N]],Transactions[[#This Row],[L2N]],IF(Transactions[[#This Row],[Level 0]]=Transactions[[#This Row],[L4N]],Transactions[[#This Row],[L3N]],IF(Transactions[[#This Row],[Level 0]]=Transactions[[#This Row],[L5N]],Transactions[[#This Row],[L4N]],IF(Transactions[[#This Row],[Level 0]]=Transactions[[#This Row],[L6N]],Transactions[[#This Row],[L5N]],IF(Transactions[[#This Row],[Level 0]]=Transactions[[#This Row],[L7N]],Transactions[[#This Row],[L6N]],Transactions[[#This Row],[L7N]]))))))))</f>
        <v>Closing stock level held on national territory</v>
      </c>
      <c r="AT10" s="24" t="str">
        <f>IF(Transactions[[#This Row],[Level 1]]=Transactions[[#This Row],[Transaction name]],Transactions[[#This Row],[Transaction name]],IF(Transactions[[#This Row],[Level 1]]=Transactions[[#This Row],[L1N]],Transactions[[#This Row],[Transaction name]],IF(Transactions[[#This Row],[Level 1]]=Transactions[[#This Row],[L2N]],Transactions[[#This Row],[L1N]],IF(Transactions[[#This Row],[Level 1]]=Transactions[[#This Row],[L3N]],Transactions[[#This Row],[L2N]],IF(Transactions[[#This Row],[Level 1]]=Transactions[[#This Row],[L4N]],Transactions[[#This Row],[L3N]],IF(Transactions[[#This Row],[Level 1]]=Transactions[[#This Row],[L5N]],Transactions[[#This Row],[L4N]],IF(Transactions[[#This Row],[Level 1]]=Transactions[[#This Row],[L6N]],Transactions[[#This Row],[L5N]],IF(Transactions[[#This Row],[Level 1]]=Transactions[[#This Row],[L7N]],Transactions[[#This Row],[L6N]],Transactions[[#This Row],[L7N]]))))))))</f>
        <v>Closing stock level held on national territory</v>
      </c>
      <c r="AU10" s="24" t="str">
        <f>IF(Transactions[[#This Row],[Level 2]]=Transactions[[#This Row],[Transaction name]],Transactions[[#This Row],[Transaction name]],IF(Transactions[[#This Row],[Level 2]]=Transactions[[#This Row],[L1N]],Transactions[[#This Row],[Transaction name]],IF(Transactions[[#This Row],[Level 2]]=Transactions[[#This Row],[L2N]],Transactions[[#This Row],[L1N]],IF(Transactions[[#This Row],[Level 2]]=Transactions[[#This Row],[L3N]],Transactions[[#This Row],[L2N]],IF(Transactions[[#This Row],[Level 2]]=Transactions[[#This Row],[L4N]],Transactions[[#This Row],[L3N]],IF(Transactions[[#This Row],[Level 2]]=Transactions[[#This Row],[L5N]],Transactions[[#This Row],[L4N]],IF(Transactions[[#This Row],[Level 2]]=Transactions[[#This Row],[L6N]],Transactions[[#This Row],[L5N]],IF(Transactions[[#This Row],[Level 2]]=Transactions[[#This Row],[L7N]],Transactions[[#This Row],[L6N]],Transactions[[#This Row],[L7N]]))))))))</f>
        <v>Closing stock level held on national territory</v>
      </c>
      <c r="AV10" s="24" t="str">
        <f>IF(Transactions[[#This Row],[Level 3]]=Transactions[[#This Row],[Transaction name]],Transactions[[#This Row],[Transaction name]],IF(Transactions[[#This Row],[Level 3]]=Transactions[[#This Row],[L1N]],Transactions[[#This Row],[Transaction name]],IF(Transactions[[#This Row],[Level 3]]=Transactions[[#This Row],[L2N]],Transactions[[#This Row],[L1N]],IF(Transactions[[#This Row],[Level 3]]=Transactions[[#This Row],[L3N]],Transactions[[#This Row],[L2N]],IF(Transactions[[#This Row],[Level 3]]=Transactions[[#This Row],[L4N]],Transactions[[#This Row],[L3N]],IF(Transactions[[#This Row],[Level 3]]=Transactions[[#This Row],[L5N]],Transactions[[#This Row],[L4N]],IF(Transactions[[#This Row],[Level 3]]=Transactions[[#This Row],[L6N]],Transactions[[#This Row],[L5N]],IF(Transactions[[#This Row],[Level 3]]=Transactions[[#This Row],[L7N]],Transactions[[#This Row],[L6N]],Transactions[[#This Row],[L7N]]))))))))</f>
        <v>Closing stock level held on national territory</v>
      </c>
      <c r="AW10" s="24" t="str">
        <f>IF(Transactions[[#This Row],[Level 4]]=Transactions[[#This Row],[Transaction name]],Transactions[[#This Row],[Transaction name]],IF(Transactions[[#This Row],[Level 4]]=Transactions[[#This Row],[L1N]],Transactions[[#This Row],[Transaction name]],IF(Transactions[[#This Row],[Level 4]]=Transactions[[#This Row],[L2N]],Transactions[[#This Row],[L1N]],IF(Transactions[[#This Row],[Level 4]]=Transactions[[#This Row],[L3N]],Transactions[[#This Row],[L2N]],IF(Transactions[[#This Row],[Level 4]]=Transactions[[#This Row],[L4N]],Transactions[[#This Row],[L3N]],IF(Transactions[[#This Row],[Level 4]]=Transactions[[#This Row],[L5N]],Transactions[[#This Row],[L4N]],IF(Transactions[[#This Row],[Level 4]]=Transactions[[#This Row],[L6N]],Transactions[[#This Row],[L5N]],IF(Transactions[[#This Row],[Level 4]]=Transactions[[#This Row],[L7N]],Transactions[[#This Row],[L6N]],Transactions[[#This Row],[L7N]]))))))))</f>
        <v>Closing stock level held on national territory</v>
      </c>
      <c r="AX10" s="24" t="str">
        <f>IF(Transactions[[#This Row],[Level 5]]=Transactions[[#This Row],[Transaction name]],Transactions[[#This Row],[Transaction name]],IF(Transactions[[#This Row],[Level 5]]=Transactions[[#This Row],[L1N]],Transactions[[#This Row],[Transaction name]],IF(Transactions[[#This Row],[Level 5]]=Transactions[[#This Row],[L2N]],Transactions[[#This Row],[L1N]],IF(Transactions[[#This Row],[Level 5]]=Transactions[[#This Row],[L3N]],Transactions[[#This Row],[L2N]],IF(Transactions[[#This Row],[Level 5]]=Transactions[[#This Row],[L4N]],Transactions[[#This Row],[L3N]],IF(Transactions[[#This Row],[Level 5]]=Transactions[[#This Row],[L5N]],Transactions[[#This Row],[L4N]],IF(Transactions[[#This Row],[Level 5]]=Transactions[[#This Row],[L6N]],Transactions[[#This Row],[L5N]],IF(Transactions[[#This Row],[Level 5]]=Transactions[[#This Row],[L7N]],Transactions[[#This Row],[L6N]],Transactions[[#This Row],[L7N]]))))))))</f>
        <v>Closing stock level held on national territory</v>
      </c>
      <c r="AY10" s="24" t="str">
        <f>IF(Transactions[[#This Row],[Level 6]]=Transactions[[#This Row],[Transaction name]],Transactions[[#This Row],[Transaction name]],IF(Transactions[[#This Row],[Level 6]]=Transactions[[#This Row],[L1N]],Transactions[[#This Row],[Transaction name]],IF(Transactions[[#This Row],[Level 6]]=Transactions[[#This Row],[L2N]],Transactions[[#This Row],[L1N]],IF(Transactions[[#This Row],[Level 6]]=Transactions[[#This Row],[L3N]],Transactions[[#This Row],[L2N]],IF(Transactions[[#This Row],[Level 6]]=Transactions[[#This Row],[L4N]],Transactions[[#This Row],[L3N]],IF(Transactions[[#This Row],[Level 6]]=Transactions[[#This Row],[L5N]],Transactions[[#This Row],[L4N]],IF(Transactions[[#This Row],[Level 6]]=Transactions[[#This Row],[L6N]],Transactions[[#This Row],[L5N]],IF(Transactions[[#This Row],[Level 6]]=Transactions[[#This Row],[L7N]],Transactions[[#This Row],[L6N]],Transactions[[#This Row],[L7N]]))))))))</f>
        <v>Closing stock level held on national territory</v>
      </c>
      <c r="BE10" s="26" t="str">
        <f>_xlfn.XLOOKUP(Transformation[[#This Row],[cfrom]],Commodities[Commodity],Commodities[Commodity code])</f>
        <v>7000</v>
      </c>
      <c r="BF10" s="26" t="str">
        <f>_xlfn.XLOOKUP(Transformation[[#This Row],[tfrom]],Transactions[Transaction name],Transactions[Transaction code])</f>
        <v>016STC</v>
      </c>
      <c r="BG10" s="26" t="str">
        <f>_xlfn.XLOOKUP(Transformation[[#This Row],[cto]],Commodities[Commodity],Commodities[Commodity code])</f>
        <v>8000</v>
      </c>
      <c r="BH10" s="26" t="str">
        <f>_xlfn.XLOOKUP(Transformation[[#This Row],[tto]],Transactions[Transaction name],Transactions[Transaction code])</f>
        <v>016STC</v>
      </c>
      <c r="BI10" s="11">
        <v>-3</v>
      </c>
      <c r="BJ10" s="4" t="s">
        <v>544</v>
      </c>
      <c r="BK10" s="24" t="str">
        <f>_xlfn.XLOOKUP(Transformation[[#This Row],[Commodity from]],Commodities[Commodity code],Commodities[EnergyCode])</f>
        <v>EL</v>
      </c>
      <c r="BL10" s="4" t="s">
        <v>1302</v>
      </c>
      <c r="BM10" s="22" t="s">
        <v>262</v>
      </c>
      <c r="BN10" s="24" t="str">
        <f>_xlfn.XLOOKUP(Transformation[[#This Row],[Commodity to]],Commodities[Commodity code],Commodities[EnergyCode])</f>
        <v>ST</v>
      </c>
      <c r="BO10" s="4" t="s">
        <v>1302</v>
      </c>
      <c r="BP10" s="16" t="s">
        <v>1493</v>
      </c>
      <c r="BQ10" s="33" t="str">
        <f>Transformation[[#This Row],[Commodity from]]&amp;Transformation[[#This Row],[Transaction from]]&amp;Transformation[[#This Row],[Commodity to]]&amp;Transformation[[#This Row],[Transaction to]]</f>
        <v>7000016STC8000016STC</v>
      </c>
      <c r="BR10" s="26" t="str">
        <f>Transformation[[#This Row],[crfomid]]&amp;Transformation[[#This Row],[Transaction from]]&amp;"("&amp;Transformation[[#This Row],[Multiplier]]&amp;") -&gt; "&amp;Transformation[[#This Row],[ctoid]]&amp;Transformation[[#This Row],[Transaction to]]</f>
        <v>EL016STC(-3) -&gt; ST016STC</v>
      </c>
      <c r="BT10" s="26" t="str">
        <f>_xlfn.XLOOKUP(Signswitch[[#This Row],[Commodity name]],Commodities[Commodity],Commodities[Commodity code])</f>
        <v>5232</v>
      </c>
      <c r="BU10" s="26" t="str">
        <f>_xlfn.XLOOKUP(Signswitch[[#This Row],[Transaction name]],Transactions[Transaction name],Transactions[Transaction code])</f>
        <v>052</v>
      </c>
      <c r="BV10" s="26" t="str">
        <f>Signswitch[[#This Row],[Commodity from]]&amp;Signswitch[[#This Row],[Transaction from]]</f>
        <v>5232052</v>
      </c>
      <c r="BW10" s="22" t="s">
        <v>306</v>
      </c>
      <c r="BX10" s="26" t="str">
        <f>_xlfn.XLOOKUP(Signswitch[[#This Row],[Commodity from]],Commodities[Commodity code],Commodities[EnergyCode])</f>
        <v>ZJ</v>
      </c>
      <c r="BY10" s="22" t="s">
        <v>194</v>
      </c>
    </row>
    <row r="11" spans="1:77" x14ac:dyDescent="0.45">
      <c r="H11" s="5" t="s">
        <v>312</v>
      </c>
      <c r="I11" s="4" t="s">
        <v>315</v>
      </c>
      <c r="J11" s="9" t="s">
        <v>300</v>
      </c>
      <c r="K11" s="14" t="s">
        <v>1473</v>
      </c>
      <c r="L11" s="23" t="str">
        <f>IFERROR(INDEX(Commodities[[Commodity code]:[Commodity]],MATCH(Commodities[[#This Row],[Parent code]],Commodities[Commodity code],0),2),Commodities[[#This Row],[Commodity]])</f>
        <v>Liquid biofuels</v>
      </c>
      <c r="M11" s="24" t="str">
        <f>IFERROR(INDEX(Commodities[[Commodity code]:[Commodity]],MATCH(INDEX(Commodities[[Commodity]:[Parent code]],MATCH(Commodities[[#This Row],[L1N]],Commodities[Commodity],0),2),Commodities[Commodity code],0),2),Commodities[[#This Row],[L1N]])</f>
        <v>Biofuels</v>
      </c>
      <c r="N11" s="24" t="str">
        <f>IFERROR(INDEX(Commodities[[Commodity code]:[Commodity]],MATCH(INDEX(Commodities[[Commodity]:[Parent code]],MATCH(Commodities[[#This Row],[L2N]],Commodities[Commodity],0),2),Commodities[Commodity code],0),2),Commodities[[#This Row],[L2N]])</f>
        <v>Biofuels</v>
      </c>
      <c r="O11" s="24" t="str">
        <f>IFERROR(INDEX(Commodities[[Commodity code]:[Commodity]],MATCH(INDEX(Commodities[[Commodity]:[Parent code]],MATCH(Commodities[[#This Row],[L3N]],Commodities[Commodity],0),2),Commodities[Commodity code],0),2),Commodities[[#This Row],[L3N]])</f>
        <v>Biofuels</v>
      </c>
      <c r="P11" s="24" t="str">
        <f>IF(Commodities[[#This Row],[L4N]]=Commodities[[#This Row],[L3N]],Commodities[[#This Row],[L4N]],IF(Commodities[[#This Row],[L3N]]=Commodities[[#This Row],[L2N]],Commodities[[#This Row],[L3N]],IF(Commodities[[#This Row],[L2N]]=Commodities[[#This Row],[L1N]],Commodities[[#This Row],[L2N]],IF(Commodities[[#This Row],[L1N]]=Commodities[[#This Row],[Commodity]],Commodities[[#This Row],[L1N]],Commodities[[#This Row],[Commodity]]))))</f>
        <v>Biofuels</v>
      </c>
      <c r="Q11" s="24" t="str">
        <f>IF(Commodities[[#This Row],[Level 0]]=Commodities[[#This Row],[Commodity]],Commodities[[#This Row],[Commodity]],IF(Commodities[[#This Row],[Level 0]]=Commodities[[#This Row],[L1N]],Commodities[[#This Row],[Commodity]],IF(Commodities[[#This Row],[Level 0]]=Commodities[[#This Row],[L2N]],Commodities[[#This Row],[L1N]],IF(Commodities[[#This Row],[Level 0]]=Commodities[[#This Row],[L3N]],Commodities[[#This Row],[L2N]],IF(Commodities[[#This Row],[Level 0]]=Commodities[[#This Row],[L4N]],Commodities[[#This Row],[L3N]],Commodities[[#This Row],[L4N]])))))</f>
        <v>Liquid biofuels</v>
      </c>
      <c r="R11" s="24" t="str">
        <f>IF(Commodities[[#This Row],[Level 1]]=Commodities[[#This Row],[Commodity]],Commodities[[#This Row],[Commodity]],IF(Commodities[[#This Row],[Level 1]]=Commodities[[#This Row],[L1N]],Commodities[[#This Row],[Commodity]],IF(Commodities[[#This Row],[Level 1]]=Commodities[[#This Row],[L2N]],Commodities[[#This Row],[L1N]],IF(Commodities[[#This Row],[Level 1]]=Commodities[[#This Row],[L3N]],Commodities[[#This Row],[L2N]],IF(Commodities[[#This Row],[Level 1]]=Commodities[[#This Row],[L4N]],Commodities[[#This Row],[L3N]],Commodities[[#This Row],[L4N]])))))</f>
        <v>Biodiesels</v>
      </c>
      <c r="S11" s="24" t="str">
        <f>IF(Commodities[[#This Row],[Level 2]]=Commodities[[#This Row],[Commodity]],Commodities[[#This Row],[Commodity]],IF(Commodities[[#This Row],[Level 2]]=Commodities[[#This Row],[L1N]],Commodities[[#This Row],[Commodity]],IF(Commodities[[#This Row],[Level 2]]=Commodities[[#This Row],[L2N]],Commodities[[#This Row],[L1N]],IF(Commodities[[#This Row],[Level 2]]=Commodities[[#This Row],[L3N]],Commodities[[#This Row],[L2N]],IF(Commodities[[#This Row],[Level 2]]=Commodities[[#This Row],[L4N]],Commodities[[#This Row],[L3N]],Commodities[[#This Row],[L4N]])))))</f>
        <v>Biodiesels</v>
      </c>
      <c r="T11" s="24" t="str">
        <f>IF(Commodities[[#This Row],[Level 3]]=Commodities[[#This Row],[Commodity]],Commodities[[#This Row],[Commodity]],IF(Commodities[[#This Row],[Level 3]]=Commodities[[#This Row],[L1N]],Commodities[[#This Row],[Commodity]],IF(Commodities[[#This Row],[Level 3]]=Commodities[[#This Row],[L2N]],Commodities[[#This Row],[L1N]],IF(Commodities[[#This Row],[Level 3]]=Commodities[[#This Row],[L3N]],Commodities[[#This Row],[L2N]],IF(Commodities[[#This Row],[Level 3]]=Commodities[[#This Row],[L4N]],Commodities[[#This Row],[L3N]],Commodities[[#This Row],[L4N]])))))</f>
        <v>Biodiesels</v>
      </c>
      <c r="U11" s="24" t="str">
        <f>IF(Commodities[[#This Row],[Level 4]]=Commodities[[#This Row],[Commodity]],Commodities[[#This Row],[Commodity]],IF(Commodities[[#This Row],[Level 4]]=Commodities[[#This Row],[L1N]],Commodities[[#This Row],[Commodity]],IF(Commodities[[#This Row],[Level 4]]=Commodities[[#This Row],[L2N]],Commodities[[#This Row],[L1N]],IF(Commodities[[#This Row],[Level 4]]=Commodities[[#This Row],[L3N]],Commodities[[#This Row],[L2N]],IF(Commodities[[#This Row],[Level 4]]=Commodities[[#This Row],[L4N]],Commodities[[#This Row],[L3N]],Commodities[[#This Row],[L4N]])))))</f>
        <v>Biodiesels</v>
      </c>
      <c r="Y11" s="4" t="s">
        <v>615</v>
      </c>
      <c r="Z11" s="4" t="s">
        <v>839</v>
      </c>
      <c r="AA11" s="4" t="s">
        <v>839</v>
      </c>
      <c r="AC11" s="24" t="str">
        <f>IFERROR(VLOOKUP(Transactions[[#This Row],[Parent code]],Transactions[[Transaction code]:[Transaction name]],2,0),"")</f>
        <v/>
      </c>
      <c r="AD11" s="4" t="s">
        <v>189</v>
      </c>
      <c r="AF11" s="4" t="s">
        <v>642</v>
      </c>
      <c r="AG11" s="4" t="s">
        <v>385</v>
      </c>
      <c r="AK11" s="24" t="str" cm="1">
        <f t="array" ref="AK11">IFERROR(INDEX(Transactions[[Transaction code]:[Transaction name]],_xlfn.XMATCH(Transactions[[#This Row],[Parent code]],Transactions[Transaction name],0),3),Transactions[[#This Row],[Transaction name]])</f>
        <v>Coke ovens (S)</v>
      </c>
      <c r="AL11" s="24" t="str" cm="1">
        <f t="array" ref="AL11">IFERROR(INDEX(Transactions[[Transaction code]:[Transaction name]],_xlfn.XMATCH(INDEX(Transactions[[Transaction name]:[Parent code]],_xlfn.XMATCH(Transactions[[#This Row],[L1N]],Transactions[Transaction name],0),3),Transactions[Transaction code],0),2),Transactions[[#This Row],[L1N]])</f>
        <v>Coke ovens (S)</v>
      </c>
      <c r="AM11" s="24" t="str" cm="1">
        <f t="array" ref="AM11">IFERROR(INDEX(Transactions[[Transaction code]:[Transaction name]],_xlfn.XMATCH(INDEX(Transactions[[Transaction name]:[Parent code]],_xlfn.XMATCH(Transactions[[#This Row],[L2N]],Transactions[Transaction name],0),3),Transactions[Transaction code],0),2),Transactions[[#This Row],[L2N]])</f>
        <v>Coke ovens (S)</v>
      </c>
      <c r="AN11" s="24" t="str" cm="1">
        <f t="array" ref="AN11">IFERROR(INDEX(Transactions[[Transaction code]:[Transaction name]],_xlfn.XMATCH(INDEX(Transactions[[Transaction name]:[Parent code]],_xlfn.XMATCH(Transactions[[#This Row],[L3N]],Transactions[Transaction name],0),3),Transactions[Transaction code],0),2),Transactions[[#This Row],[L3N]])</f>
        <v>Coke ovens (S)</v>
      </c>
      <c r="AO11" s="24" t="str" cm="1">
        <f t="array" ref="AO11">IFERROR(INDEX(Transactions[[Transaction code]:[Transaction name]],_xlfn.XMATCH(INDEX(Transactions[[Transaction name]:[Parent code]],_xlfn.XMATCH(Transactions[[#This Row],[L4N]],Transactions[Transaction name],0),3),Transactions[Transaction code],0),2),Transactions[[#This Row],[L4N]])</f>
        <v>Coke ovens (S)</v>
      </c>
      <c r="AP11" s="24" t="str" cm="1">
        <f t="array" ref="AP11">IFERROR(INDEX(Transactions[[Transaction code]:[Transaction name]],_xlfn.XMATCH(INDEX(Transactions[[Transaction name]:[Parent code]],_xlfn.XMATCH(Transactions[[#This Row],[L5N]],Transactions[Transaction name],0),3),Transactions[Transaction code],0),2),Transactions[[#This Row],[L5N]])</f>
        <v>Coke ovens (S)</v>
      </c>
      <c r="AQ11" s="24" t="str" cm="1">
        <f t="array" ref="AQ11">IFERROR(INDEX(Transactions[[Transaction code]:[Transaction name]],_xlfn.XMATCH(INDEX(Transactions[[Transaction name]:[Parent code]],_xlfn.XMATCH(Transactions[[#This Row],[L6N]],Transactions[Transaction name],0),3),Transactions[Transaction code],0),2),Transactions[[#This Row],[L6N]])</f>
        <v>Coke ovens (S)</v>
      </c>
      <c r="AR11" s="28" t="str">
        <f>IF(Transactions[[#This Row],[L7N]]=Transactions[[#This Row],[L6N]],Transactions[[#This Row],[L7N]],IF(Transactions[[#This Row],[L6N]]=Transactions[[#This Row],[L5N]],Transactions[[#This Row],[L6N]],IF(Transactions[[#This Row],[L5N]]=Transactions[[#This Row],[L4N]],Transactions[[#This Row],[L5N]],IF(Transactions[[#This Row],[L4N]]=Transactions[[#This Row],[L3N]],Transactions[[#This Row],[L4N]],IF(Transactions[[#This Row],[L3N]]=Transactions[[#This Row],[L2N]],Transactions[[#This Row],[L3N]],IF(Transactions[[#This Row],[L2N]]=Transactions[[#This Row],[L1N]],Transactions[[#This Row],[L2N]],IF(Transactions[[#This Row],[L1N]]=Transactions[[#This Row],[Transaction name]],Transactions[[#This Row],[L1N]],Transactions[[#This Row],[Transaction name]])))))))</f>
        <v>Coke ovens (S)</v>
      </c>
      <c r="AS11" s="24" t="str">
        <f>IF(Transactions[[#This Row],[Level 0]]=Transactions[[#This Row],[Transaction name]],Transactions[[#This Row],[Transaction name]],IF(Transactions[[#This Row],[Level 0]]=Transactions[[#This Row],[L1N]],Transactions[[#This Row],[Transaction name]],IF(Transactions[[#This Row],[Level 0]]=Transactions[[#This Row],[L2N]],Transactions[[#This Row],[L1N]],IF(Transactions[[#This Row],[Level 0]]=Transactions[[#This Row],[L3N]],Transactions[[#This Row],[L2N]],IF(Transactions[[#This Row],[Level 0]]=Transactions[[#This Row],[L4N]],Transactions[[#This Row],[L3N]],IF(Transactions[[#This Row],[Level 0]]=Transactions[[#This Row],[L5N]],Transactions[[#This Row],[L4N]],IF(Transactions[[#This Row],[Level 0]]=Transactions[[#This Row],[L6N]],Transactions[[#This Row],[L5N]],IF(Transactions[[#This Row],[Level 0]]=Transactions[[#This Row],[L7N]],Transactions[[#This Row],[L6N]],Transactions[[#This Row],[L7N]]))))))))</f>
        <v>Coke ovens (S)</v>
      </c>
      <c r="AT11" s="24" t="str">
        <f>IF(Transactions[[#This Row],[Level 1]]=Transactions[[#This Row],[Transaction name]],Transactions[[#This Row],[Transaction name]],IF(Transactions[[#This Row],[Level 1]]=Transactions[[#This Row],[L1N]],Transactions[[#This Row],[Transaction name]],IF(Transactions[[#This Row],[Level 1]]=Transactions[[#This Row],[L2N]],Transactions[[#This Row],[L1N]],IF(Transactions[[#This Row],[Level 1]]=Transactions[[#This Row],[L3N]],Transactions[[#This Row],[L2N]],IF(Transactions[[#This Row],[Level 1]]=Transactions[[#This Row],[L4N]],Transactions[[#This Row],[L3N]],IF(Transactions[[#This Row],[Level 1]]=Transactions[[#This Row],[L5N]],Transactions[[#This Row],[L4N]],IF(Transactions[[#This Row],[Level 1]]=Transactions[[#This Row],[L6N]],Transactions[[#This Row],[L5N]],IF(Transactions[[#This Row],[Level 1]]=Transactions[[#This Row],[L7N]],Transactions[[#This Row],[L6N]],Transactions[[#This Row],[L7N]]))))))))</f>
        <v>Coke ovens (S)</v>
      </c>
      <c r="AU11" s="24" t="str">
        <f>IF(Transactions[[#This Row],[Level 2]]=Transactions[[#This Row],[Transaction name]],Transactions[[#This Row],[Transaction name]],IF(Transactions[[#This Row],[Level 2]]=Transactions[[#This Row],[L1N]],Transactions[[#This Row],[Transaction name]],IF(Transactions[[#This Row],[Level 2]]=Transactions[[#This Row],[L2N]],Transactions[[#This Row],[L1N]],IF(Transactions[[#This Row],[Level 2]]=Transactions[[#This Row],[L3N]],Transactions[[#This Row],[L2N]],IF(Transactions[[#This Row],[Level 2]]=Transactions[[#This Row],[L4N]],Transactions[[#This Row],[L3N]],IF(Transactions[[#This Row],[Level 2]]=Transactions[[#This Row],[L5N]],Transactions[[#This Row],[L4N]],IF(Transactions[[#This Row],[Level 2]]=Transactions[[#This Row],[L6N]],Transactions[[#This Row],[L5N]],IF(Transactions[[#This Row],[Level 2]]=Transactions[[#This Row],[L7N]],Transactions[[#This Row],[L6N]],Transactions[[#This Row],[L7N]]))))))))</f>
        <v>Coke ovens (S)</v>
      </c>
      <c r="AV11" s="24" t="str">
        <f>IF(Transactions[[#This Row],[Level 3]]=Transactions[[#This Row],[Transaction name]],Transactions[[#This Row],[Transaction name]],IF(Transactions[[#This Row],[Level 3]]=Transactions[[#This Row],[L1N]],Transactions[[#This Row],[Transaction name]],IF(Transactions[[#This Row],[Level 3]]=Transactions[[#This Row],[L2N]],Transactions[[#This Row],[L1N]],IF(Transactions[[#This Row],[Level 3]]=Transactions[[#This Row],[L3N]],Transactions[[#This Row],[L2N]],IF(Transactions[[#This Row],[Level 3]]=Transactions[[#This Row],[L4N]],Transactions[[#This Row],[L3N]],IF(Transactions[[#This Row],[Level 3]]=Transactions[[#This Row],[L5N]],Transactions[[#This Row],[L4N]],IF(Transactions[[#This Row],[Level 3]]=Transactions[[#This Row],[L6N]],Transactions[[#This Row],[L5N]],IF(Transactions[[#This Row],[Level 3]]=Transactions[[#This Row],[L7N]],Transactions[[#This Row],[L6N]],Transactions[[#This Row],[L7N]]))))))))</f>
        <v>Coke ovens (S)</v>
      </c>
      <c r="AW11" s="24" t="str">
        <f>IF(Transactions[[#This Row],[Level 4]]=Transactions[[#This Row],[Transaction name]],Transactions[[#This Row],[Transaction name]],IF(Transactions[[#This Row],[Level 4]]=Transactions[[#This Row],[L1N]],Transactions[[#This Row],[Transaction name]],IF(Transactions[[#This Row],[Level 4]]=Transactions[[#This Row],[L2N]],Transactions[[#This Row],[L1N]],IF(Transactions[[#This Row],[Level 4]]=Transactions[[#This Row],[L3N]],Transactions[[#This Row],[L2N]],IF(Transactions[[#This Row],[Level 4]]=Transactions[[#This Row],[L4N]],Transactions[[#This Row],[L3N]],IF(Transactions[[#This Row],[Level 4]]=Transactions[[#This Row],[L5N]],Transactions[[#This Row],[L4N]],IF(Transactions[[#This Row],[Level 4]]=Transactions[[#This Row],[L6N]],Transactions[[#This Row],[L5N]],IF(Transactions[[#This Row],[Level 4]]=Transactions[[#This Row],[L7N]],Transactions[[#This Row],[L6N]],Transactions[[#This Row],[L7N]]))))))))</f>
        <v>Coke ovens (S)</v>
      </c>
      <c r="AX11" s="24" t="str">
        <f>IF(Transactions[[#This Row],[Level 5]]=Transactions[[#This Row],[Transaction name]],Transactions[[#This Row],[Transaction name]],IF(Transactions[[#This Row],[Level 5]]=Transactions[[#This Row],[L1N]],Transactions[[#This Row],[Transaction name]],IF(Transactions[[#This Row],[Level 5]]=Transactions[[#This Row],[L2N]],Transactions[[#This Row],[L1N]],IF(Transactions[[#This Row],[Level 5]]=Transactions[[#This Row],[L3N]],Transactions[[#This Row],[L2N]],IF(Transactions[[#This Row],[Level 5]]=Transactions[[#This Row],[L4N]],Transactions[[#This Row],[L3N]],IF(Transactions[[#This Row],[Level 5]]=Transactions[[#This Row],[L5N]],Transactions[[#This Row],[L4N]],IF(Transactions[[#This Row],[Level 5]]=Transactions[[#This Row],[L6N]],Transactions[[#This Row],[L5N]],IF(Transactions[[#This Row],[Level 5]]=Transactions[[#This Row],[L7N]],Transactions[[#This Row],[L6N]],Transactions[[#This Row],[L7N]]))))))))</f>
        <v>Coke ovens (S)</v>
      </c>
      <c r="AY11" s="24" t="str">
        <f>IF(Transactions[[#This Row],[Level 6]]=Transactions[[#This Row],[Transaction name]],Transactions[[#This Row],[Transaction name]],IF(Transactions[[#This Row],[Level 6]]=Transactions[[#This Row],[L1N]],Transactions[[#This Row],[Transaction name]],IF(Transactions[[#This Row],[Level 6]]=Transactions[[#This Row],[L2N]],Transactions[[#This Row],[L1N]],IF(Transactions[[#This Row],[Level 6]]=Transactions[[#This Row],[L3N]],Transactions[[#This Row],[L2N]],IF(Transactions[[#This Row],[Level 6]]=Transactions[[#This Row],[L4N]],Transactions[[#This Row],[L3N]],IF(Transactions[[#This Row],[Level 6]]=Transactions[[#This Row],[L5N]],Transactions[[#This Row],[L4N]],IF(Transactions[[#This Row],[Level 6]]=Transactions[[#This Row],[L6N]],Transactions[[#This Row],[L5N]],IF(Transactions[[#This Row],[Level 6]]=Transactions[[#This Row],[L7N]],Transactions[[#This Row],[L6N]],Transactions[[#This Row],[L7N]]))))))))</f>
        <v>Coke ovens (S)</v>
      </c>
      <c r="BE11" s="26" t="str">
        <f>_xlfn.XLOOKUP(Transformation[[#This Row],[cfrom]],Commodities[Commodity],Commodities[Commodity code])</f>
        <v>7000</v>
      </c>
      <c r="BF11" s="26" t="str">
        <f>_xlfn.XLOOKUP(Transformation[[#This Row],[tfrom]],Transactions[Transaction name],Transactions[Transaction code])</f>
        <v>016STC</v>
      </c>
      <c r="BG11" s="26" t="str">
        <f>_xlfn.XLOOKUP(Transformation[[#This Row],[cto]],Commodities[Commodity],Commodities[Commodity code])</f>
        <v>8000</v>
      </c>
      <c r="BH11" s="26" t="str">
        <f>_xlfn.XLOOKUP(Transformation[[#This Row],[tto]],Transactions[Transaction name],Transactions[Transaction code])</f>
        <v>01</v>
      </c>
      <c r="BI11" s="31">
        <v>3</v>
      </c>
      <c r="BJ11" s="22" t="s">
        <v>544</v>
      </c>
      <c r="BK11" s="26" t="str">
        <f>_xlfn.XLOOKUP(Transformation[[#This Row],[Commodity from]],Commodities[Commodity code],Commodities[EnergyCode])</f>
        <v>EL</v>
      </c>
      <c r="BL11" s="22" t="s">
        <v>1302</v>
      </c>
      <c r="BM11" s="22" t="s">
        <v>262</v>
      </c>
      <c r="BN11" s="26" t="str">
        <f>_xlfn.XLOOKUP(Transformation[[#This Row],[Commodity to]],Commodities[Commodity code],Commodities[EnergyCode])</f>
        <v>ST</v>
      </c>
      <c r="BO11" s="22" t="s">
        <v>383</v>
      </c>
      <c r="BP11" s="22" t="s">
        <v>1671</v>
      </c>
      <c r="BQ11" s="33" t="str">
        <f>Transformation[[#This Row],[Commodity from]]&amp;Transformation[[#This Row],[Transaction from]]&amp;Transformation[[#This Row],[Commodity to]]&amp;Transformation[[#This Row],[Transaction to]]</f>
        <v>7000016STC800001</v>
      </c>
      <c r="BR11" s="26" t="str">
        <f>Transformation[[#This Row],[crfomid]]&amp;Transformation[[#This Row],[Transaction from]]&amp;"("&amp;Transformation[[#This Row],[Multiplier]]&amp;") -&gt; "&amp;Transformation[[#This Row],[ctoid]]&amp;Transformation[[#This Row],[Transaction to]]</f>
        <v>EL016STC(3) -&gt; ST01</v>
      </c>
      <c r="BT11" s="26" t="str">
        <f>_xlfn.XLOOKUP(Signswitch[[#This Row],[Commodity name]],Commodities[Commodity],Commodities[Commodity code])</f>
        <v>5222</v>
      </c>
      <c r="BU11" s="26" t="str">
        <f>_xlfn.XLOOKUP(Signswitch[[#This Row],[Transaction name]],Transactions[Transaction name],Transactions[Transaction code])</f>
        <v>052</v>
      </c>
      <c r="BV11" s="26" t="str">
        <f>Signswitch[[#This Row],[Commodity from]]&amp;Signswitch[[#This Row],[Transaction from]]</f>
        <v>5222052</v>
      </c>
      <c r="BW11" s="22" t="s">
        <v>962</v>
      </c>
      <c r="BX11" s="26" t="str">
        <f>_xlfn.XLOOKUP(Signswitch[[#This Row],[Commodity from]],Commodities[Commodity code],Commodities[EnergyCode])</f>
        <v>ZD</v>
      </c>
      <c r="BY11" s="22" t="s">
        <v>194</v>
      </c>
    </row>
    <row r="12" spans="1:77" x14ac:dyDescent="0.45">
      <c r="H12" s="5" t="s">
        <v>477</v>
      </c>
      <c r="I12" s="4" t="s">
        <v>476</v>
      </c>
      <c r="J12" s="9" t="s">
        <v>471</v>
      </c>
      <c r="K12" s="9" t="s">
        <v>1433</v>
      </c>
      <c r="L12" s="23" t="str">
        <f>IFERROR(INDEX(Commodities[[Commodity code]:[Commodity]],MATCH(Commodities[[#This Row],[Parent code]],Commodities[Commodity code],0),2),Commodities[[#This Row],[Commodity]])</f>
        <v>Recovered gases</v>
      </c>
      <c r="M12" s="24" t="str">
        <f>IFERROR(INDEX(Commodities[[Commodity code]:[Commodity]],MATCH(INDEX(Commodities[[Commodity]:[Parent code]],MATCH(Commodities[[#This Row],[L1N]],Commodities[Commodity],0),2),Commodities[Commodity code],0),2),Commodities[[#This Row],[L1N]])</f>
        <v>Coal products</v>
      </c>
      <c r="N12" s="24" t="str">
        <f>IFERROR(INDEX(Commodities[[Commodity code]:[Commodity]],MATCH(INDEX(Commodities[[Commodity]:[Parent code]],MATCH(Commodities[[#This Row],[L2N]],Commodities[Commodity],0),2),Commodities[Commodity code],0),2),Commodities[[#This Row],[L2N]])</f>
        <v>Coal</v>
      </c>
      <c r="O12" s="24" t="str">
        <f>IFERROR(INDEX(Commodities[[Commodity code]:[Commodity]],MATCH(INDEX(Commodities[[Commodity]:[Parent code]],MATCH(Commodities[[#This Row],[L3N]],Commodities[Commodity],0),2),Commodities[Commodity code],0),2),Commodities[[#This Row],[L3N]])</f>
        <v>Coal</v>
      </c>
      <c r="P12" s="24" t="str">
        <f>IF(Commodities[[#This Row],[L4N]]=Commodities[[#This Row],[L3N]],Commodities[[#This Row],[L4N]],IF(Commodities[[#This Row],[L3N]]=Commodities[[#This Row],[L2N]],Commodities[[#This Row],[L3N]],IF(Commodities[[#This Row],[L2N]]=Commodities[[#This Row],[L1N]],Commodities[[#This Row],[L2N]],IF(Commodities[[#This Row],[L1N]]=Commodities[[#This Row],[Commodity]],Commodities[[#This Row],[L1N]],Commodities[[#This Row],[Commodity]]))))</f>
        <v>Coal</v>
      </c>
      <c r="Q12" s="24" t="str">
        <f>IF(Commodities[[#This Row],[Level 0]]=Commodities[[#This Row],[Commodity]],Commodities[[#This Row],[Commodity]],IF(Commodities[[#This Row],[Level 0]]=Commodities[[#This Row],[L1N]],Commodities[[#This Row],[Commodity]],IF(Commodities[[#This Row],[Level 0]]=Commodities[[#This Row],[L2N]],Commodities[[#This Row],[L1N]],IF(Commodities[[#This Row],[Level 0]]=Commodities[[#This Row],[L3N]],Commodities[[#This Row],[L2N]],IF(Commodities[[#This Row],[Level 0]]=Commodities[[#This Row],[L4N]],Commodities[[#This Row],[L3N]],Commodities[[#This Row],[L4N]])))))</f>
        <v>Coal products</v>
      </c>
      <c r="R12" s="24" t="str">
        <f>IF(Commodities[[#This Row],[Level 1]]=Commodities[[#This Row],[Commodity]],Commodities[[#This Row],[Commodity]],IF(Commodities[[#This Row],[Level 1]]=Commodities[[#This Row],[L1N]],Commodities[[#This Row],[Commodity]],IF(Commodities[[#This Row],[Level 1]]=Commodities[[#This Row],[L2N]],Commodities[[#This Row],[L1N]],IF(Commodities[[#This Row],[Level 1]]=Commodities[[#This Row],[L3N]],Commodities[[#This Row],[L2N]],IF(Commodities[[#This Row],[Level 1]]=Commodities[[#This Row],[L4N]],Commodities[[#This Row],[L3N]],Commodities[[#This Row],[L4N]])))))</f>
        <v>Recovered gases</v>
      </c>
      <c r="S12" s="24" t="str">
        <f>IF(Commodities[[#This Row],[Level 2]]=Commodities[[#This Row],[Commodity]],Commodities[[#This Row],[Commodity]],IF(Commodities[[#This Row],[Level 2]]=Commodities[[#This Row],[L1N]],Commodities[[#This Row],[Commodity]],IF(Commodities[[#This Row],[Level 2]]=Commodities[[#This Row],[L2N]],Commodities[[#This Row],[L1N]],IF(Commodities[[#This Row],[Level 2]]=Commodities[[#This Row],[L3N]],Commodities[[#This Row],[L2N]],IF(Commodities[[#This Row],[Level 2]]=Commodities[[#This Row],[L4N]],Commodities[[#This Row],[L3N]],Commodities[[#This Row],[L4N]])))))</f>
        <v>Blast furnace gas</v>
      </c>
      <c r="T12" s="24" t="str">
        <f>IF(Commodities[[#This Row],[Level 3]]=Commodities[[#This Row],[Commodity]],Commodities[[#This Row],[Commodity]],IF(Commodities[[#This Row],[Level 3]]=Commodities[[#This Row],[L1N]],Commodities[[#This Row],[Commodity]],IF(Commodities[[#This Row],[Level 3]]=Commodities[[#This Row],[L2N]],Commodities[[#This Row],[L1N]],IF(Commodities[[#This Row],[Level 3]]=Commodities[[#This Row],[L3N]],Commodities[[#This Row],[L2N]],IF(Commodities[[#This Row],[Level 3]]=Commodities[[#This Row],[L4N]],Commodities[[#This Row],[L3N]],Commodities[[#This Row],[L4N]])))))</f>
        <v>Blast furnace gas</v>
      </c>
      <c r="U12" s="24" t="str">
        <f>IF(Commodities[[#This Row],[Level 4]]=Commodities[[#This Row],[Commodity]],Commodities[[#This Row],[Commodity]],IF(Commodities[[#This Row],[Level 4]]=Commodities[[#This Row],[L1N]],Commodities[[#This Row],[Commodity]],IF(Commodities[[#This Row],[Level 4]]=Commodities[[#This Row],[L2N]],Commodities[[#This Row],[L1N]],IF(Commodities[[#This Row],[Level 4]]=Commodities[[#This Row],[L3N]],Commodities[[#This Row],[L2N]],IF(Commodities[[#This Row],[Level 4]]=Commodities[[#This Row],[L4N]],Commodities[[#This Row],[L3N]],Commodities[[#This Row],[L4N]])))))</f>
        <v>Blast furnace gas</v>
      </c>
      <c r="Y12" s="4" t="s">
        <v>617</v>
      </c>
      <c r="Z12" s="4" t="s">
        <v>844</v>
      </c>
      <c r="AA12" s="4" t="s">
        <v>844</v>
      </c>
      <c r="AC12" s="24" t="str">
        <f>IFERROR(VLOOKUP(Transactions[[#This Row],[Parent code]],Transactions[[Transaction code]:[Transaction name]],2,0),"")</f>
        <v/>
      </c>
      <c r="AD12" s="4" t="s">
        <v>189</v>
      </c>
      <c r="AF12" s="4" t="s">
        <v>642</v>
      </c>
      <c r="AG12" s="4" t="s">
        <v>385</v>
      </c>
      <c r="AK12" s="24" t="str" cm="1">
        <f t="array" ref="AK12">IFERROR(INDEX(Transactions[[Transaction code]:[Transaction name]],_xlfn.XMATCH(Transactions[[#This Row],[Parent code]],Transactions[Transaction name],0),3),Transactions[[#This Row],[Transaction name]])</f>
        <v>Electricity  CHP &amp; Heat Plants (S)</v>
      </c>
      <c r="AL12" s="24" t="str" cm="1">
        <f t="array" ref="AL12">IFERROR(INDEX(Transactions[[Transaction code]:[Transaction name]],_xlfn.XMATCH(INDEX(Transactions[[Transaction name]:[Parent code]],_xlfn.XMATCH(Transactions[[#This Row],[L1N]],Transactions[Transaction name],0),3),Transactions[Transaction code],0),2),Transactions[[#This Row],[L1N]])</f>
        <v>Electricity  CHP &amp; Heat Plants (S)</v>
      </c>
      <c r="AM12" s="24" t="str" cm="1">
        <f t="array" ref="AM12">IFERROR(INDEX(Transactions[[Transaction code]:[Transaction name]],_xlfn.XMATCH(INDEX(Transactions[[Transaction name]:[Parent code]],_xlfn.XMATCH(Transactions[[#This Row],[L2N]],Transactions[Transaction name],0),3),Transactions[Transaction code],0),2),Transactions[[#This Row],[L2N]])</f>
        <v>Electricity  CHP &amp; Heat Plants (S)</v>
      </c>
      <c r="AN12" s="24" t="str" cm="1">
        <f t="array" ref="AN12">IFERROR(INDEX(Transactions[[Transaction code]:[Transaction name]],_xlfn.XMATCH(INDEX(Transactions[[Transaction name]:[Parent code]],_xlfn.XMATCH(Transactions[[#This Row],[L3N]],Transactions[Transaction name],0),3),Transactions[Transaction code],0),2),Transactions[[#This Row],[L3N]])</f>
        <v>Electricity  CHP &amp; Heat Plants (S)</v>
      </c>
      <c r="AO12" s="24" t="str" cm="1">
        <f t="array" ref="AO12">IFERROR(INDEX(Transactions[[Transaction code]:[Transaction name]],_xlfn.XMATCH(INDEX(Transactions[[Transaction name]:[Parent code]],_xlfn.XMATCH(Transactions[[#This Row],[L4N]],Transactions[Transaction name],0),3),Transactions[Transaction code],0),2),Transactions[[#This Row],[L4N]])</f>
        <v>Electricity  CHP &amp; Heat Plants (S)</v>
      </c>
      <c r="AP12" s="24" t="str" cm="1">
        <f t="array" ref="AP12">IFERROR(INDEX(Transactions[[Transaction code]:[Transaction name]],_xlfn.XMATCH(INDEX(Transactions[[Transaction name]:[Parent code]],_xlfn.XMATCH(Transactions[[#This Row],[L5N]],Transactions[Transaction name],0),3),Transactions[Transaction code],0),2),Transactions[[#This Row],[L5N]])</f>
        <v>Electricity  CHP &amp; Heat Plants (S)</v>
      </c>
      <c r="AQ12" s="24" t="str" cm="1">
        <f t="array" ref="AQ12">IFERROR(INDEX(Transactions[[Transaction code]:[Transaction name]],_xlfn.XMATCH(INDEX(Transactions[[Transaction name]:[Parent code]],_xlfn.XMATCH(Transactions[[#This Row],[L6N]],Transactions[Transaction name],0),3),Transactions[Transaction code],0),2),Transactions[[#This Row],[L6N]])</f>
        <v>Electricity  CHP &amp; Heat Plants (S)</v>
      </c>
      <c r="AR12" s="28" t="str">
        <f>IF(Transactions[[#This Row],[L7N]]=Transactions[[#This Row],[L6N]],Transactions[[#This Row],[L7N]],IF(Transactions[[#This Row],[L6N]]=Transactions[[#This Row],[L5N]],Transactions[[#This Row],[L6N]],IF(Transactions[[#This Row],[L5N]]=Transactions[[#This Row],[L4N]],Transactions[[#This Row],[L5N]],IF(Transactions[[#This Row],[L4N]]=Transactions[[#This Row],[L3N]],Transactions[[#This Row],[L4N]],IF(Transactions[[#This Row],[L3N]]=Transactions[[#This Row],[L2N]],Transactions[[#This Row],[L3N]],IF(Transactions[[#This Row],[L2N]]=Transactions[[#This Row],[L1N]],Transactions[[#This Row],[L2N]],IF(Transactions[[#This Row],[L1N]]=Transactions[[#This Row],[Transaction name]],Transactions[[#This Row],[L1N]],Transactions[[#This Row],[Transaction name]])))))))</f>
        <v>Electricity  CHP &amp; Heat Plants (S)</v>
      </c>
      <c r="AS12" s="24" t="str">
        <f>IF(Transactions[[#This Row],[Level 0]]=Transactions[[#This Row],[Transaction name]],Transactions[[#This Row],[Transaction name]],IF(Transactions[[#This Row],[Level 0]]=Transactions[[#This Row],[L1N]],Transactions[[#This Row],[Transaction name]],IF(Transactions[[#This Row],[Level 0]]=Transactions[[#This Row],[L2N]],Transactions[[#This Row],[L1N]],IF(Transactions[[#This Row],[Level 0]]=Transactions[[#This Row],[L3N]],Transactions[[#This Row],[L2N]],IF(Transactions[[#This Row],[Level 0]]=Transactions[[#This Row],[L4N]],Transactions[[#This Row],[L3N]],IF(Transactions[[#This Row],[Level 0]]=Transactions[[#This Row],[L5N]],Transactions[[#This Row],[L4N]],IF(Transactions[[#This Row],[Level 0]]=Transactions[[#This Row],[L6N]],Transactions[[#This Row],[L5N]],IF(Transactions[[#This Row],[Level 0]]=Transactions[[#This Row],[L7N]],Transactions[[#This Row],[L6N]],Transactions[[#This Row],[L7N]]))))))))</f>
        <v>Electricity  CHP &amp; Heat Plants (S)</v>
      </c>
      <c r="AT12" s="24" t="str">
        <f>IF(Transactions[[#This Row],[Level 1]]=Transactions[[#This Row],[Transaction name]],Transactions[[#This Row],[Transaction name]],IF(Transactions[[#This Row],[Level 1]]=Transactions[[#This Row],[L1N]],Transactions[[#This Row],[Transaction name]],IF(Transactions[[#This Row],[Level 1]]=Transactions[[#This Row],[L2N]],Transactions[[#This Row],[L1N]],IF(Transactions[[#This Row],[Level 1]]=Transactions[[#This Row],[L3N]],Transactions[[#This Row],[L2N]],IF(Transactions[[#This Row],[Level 1]]=Transactions[[#This Row],[L4N]],Transactions[[#This Row],[L3N]],IF(Transactions[[#This Row],[Level 1]]=Transactions[[#This Row],[L5N]],Transactions[[#This Row],[L4N]],IF(Transactions[[#This Row],[Level 1]]=Transactions[[#This Row],[L6N]],Transactions[[#This Row],[L5N]],IF(Transactions[[#This Row],[Level 1]]=Transactions[[#This Row],[L7N]],Transactions[[#This Row],[L6N]],Transactions[[#This Row],[L7N]]))))))))</f>
        <v>Electricity  CHP &amp; Heat Plants (S)</v>
      </c>
      <c r="AU12" s="24" t="str">
        <f>IF(Transactions[[#This Row],[Level 2]]=Transactions[[#This Row],[Transaction name]],Transactions[[#This Row],[Transaction name]],IF(Transactions[[#This Row],[Level 2]]=Transactions[[#This Row],[L1N]],Transactions[[#This Row],[Transaction name]],IF(Transactions[[#This Row],[Level 2]]=Transactions[[#This Row],[L2N]],Transactions[[#This Row],[L1N]],IF(Transactions[[#This Row],[Level 2]]=Transactions[[#This Row],[L3N]],Transactions[[#This Row],[L2N]],IF(Transactions[[#This Row],[Level 2]]=Transactions[[#This Row],[L4N]],Transactions[[#This Row],[L3N]],IF(Transactions[[#This Row],[Level 2]]=Transactions[[#This Row],[L5N]],Transactions[[#This Row],[L4N]],IF(Transactions[[#This Row],[Level 2]]=Transactions[[#This Row],[L6N]],Transactions[[#This Row],[L5N]],IF(Transactions[[#This Row],[Level 2]]=Transactions[[#This Row],[L7N]],Transactions[[#This Row],[L6N]],Transactions[[#This Row],[L7N]]))))))))</f>
        <v>Electricity  CHP &amp; Heat Plants (S)</v>
      </c>
      <c r="AV12" s="24" t="str">
        <f>IF(Transactions[[#This Row],[Level 3]]=Transactions[[#This Row],[Transaction name]],Transactions[[#This Row],[Transaction name]],IF(Transactions[[#This Row],[Level 3]]=Transactions[[#This Row],[L1N]],Transactions[[#This Row],[Transaction name]],IF(Transactions[[#This Row],[Level 3]]=Transactions[[#This Row],[L2N]],Transactions[[#This Row],[L1N]],IF(Transactions[[#This Row],[Level 3]]=Transactions[[#This Row],[L3N]],Transactions[[#This Row],[L2N]],IF(Transactions[[#This Row],[Level 3]]=Transactions[[#This Row],[L4N]],Transactions[[#This Row],[L3N]],IF(Transactions[[#This Row],[Level 3]]=Transactions[[#This Row],[L5N]],Transactions[[#This Row],[L4N]],IF(Transactions[[#This Row],[Level 3]]=Transactions[[#This Row],[L6N]],Transactions[[#This Row],[L5N]],IF(Transactions[[#This Row],[Level 3]]=Transactions[[#This Row],[L7N]],Transactions[[#This Row],[L6N]],Transactions[[#This Row],[L7N]]))))))))</f>
        <v>Electricity  CHP &amp; Heat Plants (S)</v>
      </c>
      <c r="AW12" s="24" t="str">
        <f>IF(Transactions[[#This Row],[Level 4]]=Transactions[[#This Row],[Transaction name]],Transactions[[#This Row],[Transaction name]],IF(Transactions[[#This Row],[Level 4]]=Transactions[[#This Row],[L1N]],Transactions[[#This Row],[Transaction name]],IF(Transactions[[#This Row],[Level 4]]=Transactions[[#This Row],[L2N]],Transactions[[#This Row],[L1N]],IF(Transactions[[#This Row],[Level 4]]=Transactions[[#This Row],[L3N]],Transactions[[#This Row],[L2N]],IF(Transactions[[#This Row],[Level 4]]=Transactions[[#This Row],[L4N]],Transactions[[#This Row],[L3N]],IF(Transactions[[#This Row],[Level 4]]=Transactions[[#This Row],[L5N]],Transactions[[#This Row],[L4N]],IF(Transactions[[#This Row],[Level 4]]=Transactions[[#This Row],[L6N]],Transactions[[#This Row],[L5N]],IF(Transactions[[#This Row],[Level 4]]=Transactions[[#This Row],[L7N]],Transactions[[#This Row],[L6N]],Transactions[[#This Row],[L7N]]))))))))</f>
        <v>Electricity  CHP &amp; Heat Plants (S)</v>
      </c>
      <c r="AX12" s="24" t="str">
        <f>IF(Transactions[[#This Row],[Level 5]]=Transactions[[#This Row],[Transaction name]],Transactions[[#This Row],[Transaction name]],IF(Transactions[[#This Row],[Level 5]]=Transactions[[#This Row],[L1N]],Transactions[[#This Row],[Transaction name]],IF(Transactions[[#This Row],[Level 5]]=Transactions[[#This Row],[L2N]],Transactions[[#This Row],[L1N]],IF(Transactions[[#This Row],[Level 5]]=Transactions[[#This Row],[L3N]],Transactions[[#This Row],[L2N]],IF(Transactions[[#This Row],[Level 5]]=Transactions[[#This Row],[L4N]],Transactions[[#This Row],[L3N]],IF(Transactions[[#This Row],[Level 5]]=Transactions[[#This Row],[L5N]],Transactions[[#This Row],[L4N]],IF(Transactions[[#This Row],[Level 5]]=Transactions[[#This Row],[L6N]],Transactions[[#This Row],[L5N]],IF(Transactions[[#This Row],[Level 5]]=Transactions[[#This Row],[L7N]],Transactions[[#This Row],[L6N]],Transactions[[#This Row],[L7N]]))))))))</f>
        <v>Electricity  CHP &amp; Heat Plants (S)</v>
      </c>
      <c r="AY12" s="24" t="str">
        <f>IF(Transactions[[#This Row],[Level 6]]=Transactions[[#This Row],[Transaction name]],Transactions[[#This Row],[Transaction name]],IF(Transactions[[#This Row],[Level 6]]=Transactions[[#This Row],[L1N]],Transactions[[#This Row],[Transaction name]],IF(Transactions[[#This Row],[Level 6]]=Transactions[[#This Row],[L2N]],Transactions[[#This Row],[L1N]],IF(Transactions[[#This Row],[Level 6]]=Transactions[[#This Row],[L3N]],Transactions[[#This Row],[L2N]],IF(Transactions[[#This Row],[Level 6]]=Transactions[[#This Row],[L4N]],Transactions[[#This Row],[L3N]],IF(Transactions[[#This Row],[Level 6]]=Transactions[[#This Row],[L5N]],Transactions[[#This Row],[L4N]],IF(Transactions[[#This Row],[Level 6]]=Transactions[[#This Row],[L6N]],Transactions[[#This Row],[L5N]],IF(Transactions[[#This Row],[Level 6]]=Transactions[[#This Row],[L7N]],Transactions[[#This Row],[L6N]],Transactions[[#This Row],[L7N]]))))))))</f>
        <v>Electricity  CHP &amp; Heat Plants (S)</v>
      </c>
      <c r="BE12" s="26" t="str">
        <f>_xlfn.XLOOKUP(Transformation[[#This Row],[cfrom]],Commodities[Commodity],Commodities[Commodity code])</f>
        <v>5130</v>
      </c>
      <c r="BF12" s="26" t="str">
        <f>_xlfn.XLOOKUP(Transformation[[#This Row],[tfrom]],Transactions[Transaction name],Transactions[Transaction code])</f>
        <v>08822</v>
      </c>
      <c r="BG12" s="26" t="str">
        <f>_xlfn.XLOOKUP(Transformation[[#This Row],[cto]],Commodities[Commodity],Commodities[Commodity code])</f>
        <v>5130</v>
      </c>
      <c r="BH12" s="26" t="str">
        <f>_xlfn.XLOOKUP(Transformation[[#This Row],[tto]],Transactions[Transaction name],Transactions[Transaction code])</f>
        <v>016BSC</v>
      </c>
      <c r="BI12" s="11">
        <v>1</v>
      </c>
      <c r="BJ12" s="4" t="s">
        <v>333</v>
      </c>
      <c r="BK12" s="24" t="str">
        <f>_xlfn.XLOOKUP(Transformation[[#This Row],[Commodity from]],Commodities[Commodity code],Commodities[EnergyCode])</f>
        <v>AW</v>
      </c>
      <c r="BL12" s="4" t="s">
        <v>692</v>
      </c>
      <c r="BM12" s="4" t="s">
        <v>333</v>
      </c>
      <c r="BN12" s="24" t="str">
        <f>_xlfn.XLOOKUP(Transformation[[#This Row],[Commodity to]],Commodities[Commodity code],Commodities[EnergyCode])</f>
        <v>AW</v>
      </c>
      <c r="BO12" s="4" t="s">
        <v>1126</v>
      </c>
      <c r="BP12" s="16" t="s">
        <v>1493</v>
      </c>
      <c r="BQ12" s="33" t="str">
        <f>Transformation[[#This Row],[Commodity from]]&amp;Transformation[[#This Row],[Transaction from]]&amp;Transformation[[#This Row],[Commodity to]]&amp;Transformation[[#This Row],[Transaction to]]</f>
        <v>5130088225130016BSC</v>
      </c>
      <c r="BR12" s="26" t="str">
        <f>Transformation[[#This Row],[crfomid]]&amp;Transformation[[#This Row],[Transaction from]]&amp;"("&amp;Transformation[[#This Row],[Multiplier]]&amp;") -&gt; "&amp;Transformation[[#This Row],[ctoid]]&amp;Transformation[[#This Row],[Transaction to]]</f>
        <v>AW08822(1) -&gt; AW016BSC</v>
      </c>
      <c r="BT12" s="26" t="str">
        <f>_xlfn.XLOOKUP(Signswitch[[#This Row],[Commodity name]],Commodities[Commodity],Commodities[Commodity code])</f>
        <v>5212</v>
      </c>
      <c r="BU12" s="26" t="str">
        <f>_xlfn.XLOOKUP(Signswitch[[#This Row],[Transaction name]],Transactions[Transaction name],Transactions[Transaction code])</f>
        <v>052</v>
      </c>
      <c r="BV12" s="26" t="str">
        <f>Signswitch[[#This Row],[Commodity from]]&amp;Signswitch[[#This Row],[Transaction from]]</f>
        <v>5212052</v>
      </c>
      <c r="BW12" s="22" t="s">
        <v>317</v>
      </c>
      <c r="BX12" s="26" t="str">
        <f>_xlfn.XLOOKUP(Signswitch[[#This Row],[Commodity from]],Commodities[Commodity code],Commodities[EnergyCode])</f>
        <v>ZG</v>
      </c>
      <c r="BY12" s="22" t="s">
        <v>194</v>
      </c>
    </row>
    <row r="13" spans="1:77" x14ac:dyDescent="0.45">
      <c r="H13" s="5" t="s">
        <v>299</v>
      </c>
      <c r="I13" s="4" t="s">
        <v>298</v>
      </c>
      <c r="J13" s="9" t="s">
        <v>297</v>
      </c>
      <c r="K13" s="9" t="s">
        <v>1463</v>
      </c>
      <c r="L13" s="23" t="str">
        <f>IFERROR(INDEX(Commodities[[Commodity code]:[Commodity]],MATCH(Commodities[[#This Row],[Parent code]],Commodities[Commodity code],0),2),Commodities[[#This Row],[Commodity]])</f>
        <v>Biofuels</v>
      </c>
      <c r="M13" s="24" t="str">
        <f>IFERROR(INDEX(Commodities[[Commodity code]:[Commodity]],MATCH(INDEX(Commodities[[Commodity]:[Parent code]],MATCH(Commodities[[#This Row],[L1N]],Commodities[Commodity],0),2),Commodities[Commodity code],0),2),Commodities[[#This Row],[L1N]])</f>
        <v>Biofuels</v>
      </c>
      <c r="N13" s="24" t="str">
        <f>IFERROR(INDEX(Commodities[[Commodity code]:[Commodity]],MATCH(INDEX(Commodities[[Commodity]:[Parent code]],MATCH(Commodities[[#This Row],[L2N]],Commodities[Commodity],0),2),Commodities[Commodity code],0),2),Commodities[[#This Row],[L2N]])</f>
        <v>Biofuels</v>
      </c>
      <c r="O13" s="24" t="str">
        <f>IFERROR(INDEX(Commodities[[Commodity code]:[Commodity]],MATCH(INDEX(Commodities[[Commodity]:[Parent code]],MATCH(Commodities[[#This Row],[L3N]],Commodities[Commodity],0),2),Commodities[Commodity code],0),2),Commodities[[#This Row],[L3N]])</f>
        <v>Biofuels</v>
      </c>
      <c r="P13" s="24" t="str">
        <f>IF(Commodities[[#This Row],[L4N]]=Commodities[[#This Row],[L3N]],Commodities[[#This Row],[L4N]],IF(Commodities[[#This Row],[L3N]]=Commodities[[#This Row],[L2N]],Commodities[[#This Row],[L3N]],IF(Commodities[[#This Row],[L2N]]=Commodities[[#This Row],[L1N]],Commodities[[#This Row],[L2N]],IF(Commodities[[#This Row],[L1N]]=Commodities[[#This Row],[Commodity]],Commodities[[#This Row],[L1N]],Commodities[[#This Row],[Commodity]]))))</f>
        <v>Biofuels</v>
      </c>
      <c r="Q13" s="24" t="str">
        <f>IF(Commodities[[#This Row],[Level 0]]=Commodities[[#This Row],[Commodity]],Commodities[[#This Row],[Commodity]],IF(Commodities[[#This Row],[Level 0]]=Commodities[[#This Row],[L1N]],Commodities[[#This Row],[Commodity]],IF(Commodities[[#This Row],[Level 0]]=Commodities[[#This Row],[L2N]],Commodities[[#This Row],[L1N]],IF(Commodities[[#This Row],[Level 0]]=Commodities[[#This Row],[L3N]],Commodities[[#This Row],[L2N]],IF(Commodities[[#This Row],[Level 0]]=Commodities[[#This Row],[L4N]],Commodities[[#This Row],[L3N]],Commodities[[#This Row],[L4N]])))))</f>
        <v>Biogases</v>
      </c>
      <c r="R13" s="24" t="str">
        <f>IF(Commodities[[#This Row],[Level 1]]=Commodities[[#This Row],[Commodity]],Commodities[[#This Row],[Commodity]],IF(Commodities[[#This Row],[Level 1]]=Commodities[[#This Row],[L1N]],Commodities[[#This Row],[Commodity]],IF(Commodities[[#This Row],[Level 1]]=Commodities[[#This Row],[L2N]],Commodities[[#This Row],[L1N]],IF(Commodities[[#This Row],[Level 1]]=Commodities[[#This Row],[L3N]],Commodities[[#This Row],[L2N]],IF(Commodities[[#This Row],[Level 1]]=Commodities[[#This Row],[L4N]],Commodities[[#This Row],[L3N]],Commodities[[#This Row],[L4N]])))))</f>
        <v>Biogases</v>
      </c>
      <c r="S13" s="24" t="str">
        <f>IF(Commodities[[#This Row],[Level 2]]=Commodities[[#This Row],[Commodity]],Commodities[[#This Row],[Commodity]],IF(Commodities[[#This Row],[Level 2]]=Commodities[[#This Row],[L1N]],Commodities[[#This Row],[Commodity]],IF(Commodities[[#This Row],[Level 2]]=Commodities[[#This Row],[L2N]],Commodities[[#This Row],[L1N]],IF(Commodities[[#This Row],[Level 2]]=Commodities[[#This Row],[L3N]],Commodities[[#This Row],[L2N]],IF(Commodities[[#This Row],[Level 2]]=Commodities[[#This Row],[L4N]],Commodities[[#This Row],[L3N]],Commodities[[#This Row],[L4N]])))))</f>
        <v>Biogases</v>
      </c>
      <c r="T13" s="24" t="str">
        <f>IF(Commodities[[#This Row],[Level 3]]=Commodities[[#This Row],[Commodity]],Commodities[[#This Row],[Commodity]],IF(Commodities[[#This Row],[Level 3]]=Commodities[[#This Row],[L1N]],Commodities[[#This Row],[Commodity]],IF(Commodities[[#This Row],[Level 3]]=Commodities[[#This Row],[L2N]],Commodities[[#This Row],[L1N]],IF(Commodities[[#This Row],[Level 3]]=Commodities[[#This Row],[L3N]],Commodities[[#This Row],[L2N]],IF(Commodities[[#This Row],[Level 3]]=Commodities[[#This Row],[L4N]],Commodities[[#This Row],[L3N]],Commodities[[#This Row],[L4N]])))))</f>
        <v>Biogases</v>
      </c>
      <c r="U13" s="24" t="str">
        <f>IF(Commodities[[#This Row],[Level 4]]=Commodities[[#This Row],[Commodity]],Commodities[[#This Row],[Commodity]],IF(Commodities[[#This Row],[Level 4]]=Commodities[[#This Row],[L1N]],Commodities[[#This Row],[Commodity]],IF(Commodities[[#This Row],[Level 4]]=Commodities[[#This Row],[L2N]],Commodities[[#This Row],[L1N]],IF(Commodities[[#This Row],[Level 4]]=Commodities[[#This Row],[L3N]],Commodities[[#This Row],[L2N]],IF(Commodities[[#This Row],[Level 4]]=Commodities[[#This Row],[L4N]],Commodities[[#This Row],[L3N]],Commodities[[#This Row],[L4N]])))))</f>
        <v>Biogases</v>
      </c>
      <c r="Y13" s="4" t="s">
        <v>618</v>
      </c>
      <c r="Z13" s="4" t="s">
        <v>845</v>
      </c>
      <c r="AA13" s="4" t="s">
        <v>845</v>
      </c>
      <c r="AC13" s="24" t="str">
        <f>IFERROR(VLOOKUP(Transactions[[#This Row],[Parent code]],Transactions[[Transaction code]:[Transaction name]],2,0),"")</f>
        <v/>
      </c>
      <c r="AD13" s="4" t="s">
        <v>189</v>
      </c>
      <c r="AF13" s="4" t="s">
        <v>642</v>
      </c>
      <c r="AG13" s="4" t="s">
        <v>385</v>
      </c>
      <c r="AK13" s="24" t="str" cm="1">
        <f t="array" ref="AK13">IFERROR(INDEX(Transactions[[Transaction code]:[Transaction name]],_xlfn.XMATCH(Transactions[[#This Row],[Parent code]],Transactions[Transaction name],0),3),Transactions[[#This Row],[Transaction name]])</f>
        <v>Electricity Plants (S)</v>
      </c>
      <c r="AL13" s="24" t="str" cm="1">
        <f t="array" ref="AL13">IFERROR(INDEX(Transactions[[Transaction code]:[Transaction name]],_xlfn.XMATCH(INDEX(Transactions[[Transaction name]:[Parent code]],_xlfn.XMATCH(Transactions[[#This Row],[L1N]],Transactions[Transaction name],0),3),Transactions[Transaction code],0),2),Transactions[[#This Row],[L1N]])</f>
        <v>Electricity Plants (S)</v>
      </c>
      <c r="AM13" s="24" t="str" cm="1">
        <f t="array" ref="AM13">IFERROR(INDEX(Transactions[[Transaction code]:[Transaction name]],_xlfn.XMATCH(INDEX(Transactions[[Transaction name]:[Parent code]],_xlfn.XMATCH(Transactions[[#This Row],[L2N]],Transactions[Transaction name],0),3),Transactions[Transaction code],0),2),Transactions[[#This Row],[L2N]])</f>
        <v>Electricity Plants (S)</v>
      </c>
      <c r="AN13" s="24" t="str" cm="1">
        <f t="array" ref="AN13">IFERROR(INDEX(Transactions[[Transaction code]:[Transaction name]],_xlfn.XMATCH(INDEX(Transactions[[Transaction name]:[Parent code]],_xlfn.XMATCH(Transactions[[#This Row],[L3N]],Transactions[Transaction name],0),3),Transactions[Transaction code],0),2),Transactions[[#This Row],[L3N]])</f>
        <v>Electricity Plants (S)</v>
      </c>
      <c r="AO13" s="24" t="str" cm="1">
        <f t="array" ref="AO13">IFERROR(INDEX(Transactions[[Transaction code]:[Transaction name]],_xlfn.XMATCH(INDEX(Transactions[[Transaction name]:[Parent code]],_xlfn.XMATCH(Transactions[[#This Row],[L4N]],Transactions[Transaction name],0),3),Transactions[Transaction code],0),2),Transactions[[#This Row],[L4N]])</f>
        <v>Electricity Plants (S)</v>
      </c>
      <c r="AP13" s="24" t="str" cm="1">
        <f t="array" ref="AP13">IFERROR(INDEX(Transactions[[Transaction code]:[Transaction name]],_xlfn.XMATCH(INDEX(Transactions[[Transaction name]:[Parent code]],_xlfn.XMATCH(Transactions[[#This Row],[L5N]],Transactions[Transaction name],0),3),Transactions[Transaction code],0),2),Transactions[[#This Row],[L5N]])</f>
        <v>Electricity Plants (S)</v>
      </c>
      <c r="AQ13" s="24" t="str" cm="1">
        <f t="array" ref="AQ13">IFERROR(INDEX(Transactions[[Transaction code]:[Transaction name]],_xlfn.XMATCH(INDEX(Transactions[[Transaction name]:[Parent code]],_xlfn.XMATCH(Transactions[[#This Row],[L6N]],Transactions[Transaction name],0),3),Transactions[Transaction code],0),2),Transactions[[#This Row],[L6N]])</f>
        <v>Electricity Plants (S)</v>
      </c>
      <c r="AR13" s="27" t="str">
        <f>IF(Transactions[[#This Row],[L7N]]=Transactions[[#This Row],[L6N]],Transactions[[#This Row],[L7N]],IF(Transactions[[#This Row],[L6N]]=Transactions[[#This Row],[L5N]],Transactions[[#This Row],[L6N]],IF(Transactions[[#This Row],[L5N]]=Transactions[[#This Row],[L4N]],Transactions[[#This Row],[L5N]],IF(Transactions[[#This Row],[L4N]]=Transactions[[#This Row],[L3N]],Transactions[[#This Row],[L4N]],IF(Transactions[[#This Row],[L3N]]=Transactions[[#This Row],[L2N]],Transactions[[#This Row],[L3N]],IF(Transactions[[#This Row],[L2N]]=Transactions[[#This Row],[L1N]],Transactions[[#This Row],[L2N]],IF(Transactions[[#This Row],[L1N]]=Transactions[[#This Row],[Transaction name]],Transactions[[#This Row],[L1N]],Transactions[[#This Row],[Transaction name]])))))))</f>
        <v>Electricity Plants (S)</v>
      </c>
      <c r="AS13" s="24" t="str">
        <f>IF(Transactions[[#This Row],[Level 0]]=Transactions[[#This Row],[Transaction name]],Transactions[[#This Row],[Transaction name]],IF(Transactions[[#This Row],[Level 0]]=Transactions[[#This Row],[L1N]],Transactions[[#This Row],[Transaction name]],IF(Transactions[[#This Row],[Level 0]]=Transactions[[#This Row],[L2N]],Transactions[[#This Row],[L1N]],IF(Transactions[[#This Row],[Level 0]]=Transactions[[#This Row],[L3N]],Transactions[[#This Row],[L2N]],IF(Transactions[[#This Row],[Level 0]]=Transactions[[#This Row],[L4N]],Transactions[[#This Row],[L3N]],IF(Transactions[[#This Row],[Level 0]]=Transactions[[#This Row],[L5N]],Transactions[[#This Row],[L4N]],IF(Transactions[[#This Row],[Level 0]]=Transactions[[#This Row],[L6N]],Transactions[[#This Row],[L5N]],IF(Transactions[[#This Row],[Level 0]]=Transactions[[#This Row],[L7N]],Transactions[[#This Row],[L6N]],Transactions[[#This Row],[L7N]]))))))))</f>
        <v>Electricity Plants (S)</v>
      </c>
      <c r="AT13" s="24" t="str">
        <f>IF(Transactions[[#This Row],[Level 1]]=Transactions[[#This Row],[Transaction name]],Transactions[[#This Row],[Transaction name]],IF(Transactions[[#This Row],[Level 1]]=Transactions[[#This Row],[L1N]],Transactions[[#This Row],[Transaction name]],IF(Transactions[[#This Row],[Level 1]]=Transactions[[#This Row],[L2N]],Transactions[[#This Row],[L1N]],IF(Transactions[[#This Row],[Level 1]]=Transactions[[#This Row],[L3N]],Transactions[[#This Row],[L2N]],IF(Transactions[[#This Row],[Level 1]]=Transactions[[#This Row],[L4N]],Transactions[[#This Row],[L3N]],IF(Transactions[[#This Row],[Level 1]]=Transactions[[#This Row],[L5N]],Transactions[[#This Row],[L4N]],IF(Transactions[[#This Row],[Level 1]]=Transactions[[#This Row],[L6N]],Transactions[[#This Row],[L5N]],IF(Transactions[[#This Row],[Level 1]]=Transactions[[#This Row],[L7N]],Transactions[[#This Row],[L6N]],Transactions[[#This Row],[L7N]]))))))))</f>
        <v>Electricity Plants (S)</v>
      </c>
      <c r="AU13" s="24" t="str">
        <f>IF(Transactions[[#This Row],[Level 2]]=Transactions[[#This Row],[Transaction name]],Transactions[[#This Row],[Transaction name]],IF(Transactions[[#This Row],[Level 2]]=Transactions[[#This Row],[L1N]],Transactions[[#This Row],[Transaction name]],IF(Transactions[[#This Row],[Level 2]]=Transactions[[#This Row],[L2N]],Transactions[[#This Row],[L1N]],IF(Transactions[[#This Row],[Level 2]]=Transactions[[#This Row],[L3N]],Transactions[[#This Row],[L2N]],IF(Transactions[[#This Row],[Level 2]]=Transactions[[#This Row],[L4N]],Transactions[[#This Row],[L3N]],IF(Transactions[[#This Row],[Level 2]]=Transactions[[#This Row],[L5N]],Transactions[[#This Row],[L4N]],IF(Transactions[[#This Row],[Level 2]]=Transactions[[#This Row],[L6N]],Transactions[[#This Row],[L5N]],IF(Transactions[[#This Row],[Level 2]]=Transactions[[#This Row],[L7N]],Transactions[[#This Row],[L6N]],Transactions[[#This Row],[L7N]]))))))))</f>
        <v>Electricity Plants (S)</v>
      </c>
      <c r="AV13" s="24" t="str">
        <f>IF(Transactions[[#This Row],[Level 3]]=Transactions[[#This Row],[Transaction name]],Transactions[[#This Row],[Transaction name]],IF(Transactions[[#This Row],[Level 3]]=Transactions[[#This Row],[L1N]],Transactions[[#This Row],[Transaction name]],IF(Transactions[[#This Row],[Level 3]]=Transactions[[#This Row],[L2N]],Transactions[[#This Row],[L1N]],IF(Transactions[[#This Row],[Level 3]]=Transactions[[#This Row],[L3N]],Transactions[[#This Row],[L2N]],IF(Transactions[[#This Row],[Level 3]]=Transactions[[#This Row],[L4N]],Transactions[[#This Row],[L3N]],IF(Transactions[[#This Row],[Level 3]]=Transactions[[#This Row],[L5N]],Transactions[[#This Row],[L4N]],IF(Transactions[[#This Row],[Level 3]]=Transactions[[#This Row],[L6N]],Transactions[[#This Row],[L5N]],IF(Transactions[[#This Row],[Level 3]]=Transactions[[#This Row],[L7N]],Transactions[[#This Row],[L6N]],Transactions[[#This Row],[L7N]]))))))))</f>
        <v>Electricity Plants (S)</v>
      </c>
      <c r="AW13" s="24" t="str">
        <f>IF(Transactions[[#This Row],[Level 4]]=Transactions[[#This Row],[Transaction name]],Transactions[[#This Row],[Transaction name]],IF(Transactions[[#This Row],[Level 4]]=Transactions[[#This Row],[L1N]],Transactions[[#This Row],[Transaction name]],IF(Transactions[[#This Row],[Level 4]]=Transactions[[#This Row],[L2N]],Transactions[[#This Row],[L1N]],IF(Transactions[[#This Row],[Level 4]]=Transactions[[#This Row],[L3N]],Transactions[[#This Row],[L2N]],IF(Transactions[[#This Row],[Level 4]]=Transactions[[#This Row],[L4N]],Transactions[[#This Row],[L3N]],IF(Transactions[[#This Row],[Level 4]]=Transactions[[#This Row],[L5N]],Transactions[[#This Row],[L4N]],IF(Transactions[[#This Row],[Level 4]]=Transactions[[#This Row],[L6N]],Transactions[[#This Row],[L5N]],IF(Transactions[[#This Row],[Level 4]]=Transactions[[#This Row],[L7N]],Transactions[[#This Row],[L6N]],Transactions[[#This Row],[L7N]]))))))))</f>
        <v>Electricity Plants (S)</v>
      </c>
      <c r="AX13" s="24" t="str">
        <f>IF(Transactions[[#This Row],[Level 5]]=Transactions[[#This Row],[Transaction name]],Transactions[[#This Row],[Transaction name]],IF(Transactions[[#This Row],[Level 5]]=Transactions[[#This Row],[L1N]],Transactions[[#This Row],[Transaction name]],IF(Transactions[[#This Row],[Level 5]]=Transactions[[#This Row],[L2N]],Transactions[[#This Row],[L1N]],IF(Transactions[[#This Row],[Level 5]]=Transactions[[#This Row],[L3N]],Transactions[[#This Row],[L2N]],IF(Transactions[[#This Row],[Level 5]]=Transactions[[#This Row],[L4N]],Transactions[[#This Row],[L3N]],IF(Transactions[[#This Row],[Level 5]]=Transactions[[#This Row],[L5N]],Transactions[[#This Row],[L4N]],IF(Transactions[[#This Row],[Level 5]]=Transactions[[#This Row],[L6N]],Transactions[[#This Row],[L5N]],IF(Transactions[[#This Row],[Level 5]]=Transactions[[#This Row],[L7N]],Transactions[[#This Row],[L6N]],Transactions[[#This Row],[L7N]]))))))))</f>
        <v>Electricity Plants (S)</v>
      </c>
      <c r="AY13" s="24" t="str">
        <f>IF(Transactions[[#This Row],[Level 6]]=Transactions[[#This Row],[Transaction name]],Transactions[[#This Row],[Transaction name]],IF(Transactions[[#This Row],[Level 6]]=Transactions[[#This Row],[L1N]],Transactions[[#This Row],[Transaction name]],IF(Transactions[[#This Row],[Level 6]]=Transactions[[#This Row],[L2N]],Transactions[[#This Row],[L1N]],IF(Transactions[[#This Row],[Level 6]]=Transactions[[#This Row],[L3N]],Transactions[[#This Row],[L2N]],IF(Transactions[[#This Row],[Level 6]]=Transactions[[#This Row],[L4N]],Transactions[[#This Row],[L3N]],IF(Transactions[[#This Row],[Level 6]]=Transactions[[#This Row],[L5N]],Transactions[[#This Row],[L4N]],IF(Transactions[[#This Row],[Level 6]]=Transactions[[#This Row],[L6N]],Transactions[[#This Row],[L5N]],IF(Transactions[[#This Row],[Level 6]]=Transactions[[#This Row],[L7N]],Transactions[[#This Row],[L6N]],Transactions[[#This Row],[L7N]]))))))))</f>
        <v>Electricity Plants (S)</v>
      </c>
      <c r="BE13" s="26" t="str">
        <f>_xlfn.XLOOKUP(Transformation[[#This Row],[cfrom]],Commodities[Commodity],Commodities[Commodity code])</f>
        <v>0330</v>
      </c>
      <c r="BF13" s="26" t="str">
        <f>_xlfn.XLOOKUP(Transformation[[#This Row],[tfrom]],Transactions[Transaction name],Transactions[Transaction code])</f>
        <v>08822</v>
      </c>
      <c r="BG13" s="26" t="str">
        <f>_xlfn.XLOOKUP(Transformation[[#This Row],[cto]],Commodities[Commodity],Commodities[Commodity code])</f>
        <v>0330</v>
      </c>
      <c r="BH13" s="26" t="str">
        <f>_xlfn.XLOOKUP(Transformation[[#This Row],[tto]],Transactions[Transaction name],Transactions[Transaction code])</f>
        <v>016CSC</v>
      </c>
      <c r="BI13" s="11">
        <v>1</v>
      </c>
      <c r="BJ13" s="4" t="s">
        <v>491</v>
      </c>
      <c r="BK13" s="24" t="str">
        <f>_xlfn.XLOOKUP(Transformation[[#This Row],[Commodity from]],Commodities[Commodity code],Commodities[EnergyCode])</f>
        <v>BB</v>
      </c>
      <c r="BL13" s="4" t="s">
        <v>692</v>
      </c>
      <c r="BM13" s="4" t="s">
        <v>491</v>
      </c>
      <c r="BN13" s="24" t="str">
        <f>_xlfn.XLOOKUP(Transformation[[#This Row],[Commodity to]],Commodities[Commodity code],Commodities[EnergyCode])</f>
        <v>BB</v>
      </c>
      <c r="BO13" s="4" t="s">
        <v>1213</v>
      </c>
      <c r="BP13" s="16" t="s">
        <v>1493</v>
      </c>
      <c r="BQ13" s="33" t="str">
        <f>Transformation[[#This Row],[Commodity from]]&amp;Transformation[[#This Row],[Transaction from]]&amp;Transformation[[#This Row],[Commodity to]]&amp;Transformation[[#This Row],[Transaction to]]</f>
        <v>0330088220330016CSC</v>
      </c>
      <c r="BR13" s="26" t="str">
        <f>Transformation[[#This Row],[crfomid]]&amp;Transformation[[#This Row],[Transaction from]]&amp;"("&amp;Transformation[[#This Row],[Multiplier]]&amp;") -&gt; "&amp;Transformation[[#This Row],[ctoid]]&amp;Transformation[[#This Row],[Transaction to]]</f>
        <v>BB08822(1) -&gt; BB016CSC</v>
      </c>
      <c r="BT13" s="26" t="str">
        <f>_xlfn.XLOOKUP(Signswitch[[#This Row],[Commodity name]],Commodities[Commodity],Commodities[Commodity code])</f>
        <v>5232</v>
      </c>
      <c r="BU13" s="26" t="str">
        <f>_xlfn.XLOOKUP(Signswitch[[#This Row],[Transaction name]],Transactions[Transaction name],Transactions[Transaction code])</f>
        <v>051</v>
      </c>
      <c r="BV13" s="26" t="str">
        <f>Signswitch[[#This Row],[Commodity from]]&amp;Signswitch[[#This Row],[Transaction from]]</f>
        <v>5232051</v>
      </c>
      <c r="BW13" s="22" t="s">
        <v>306</v>
      </c>
      <c r="BX13" s="26" t="str">
        <f>_xlfn.XLOOKUP(Signswitch[[#This Row],[Commodity from]],Commodities[Commodity code],Commodities[EnergyCode])</f>
        <v>ZJ</v>
      </c>
      <c r="BY13" s="22" t="s">
        <v>196</v>
      </c>
    </row>
    <row r="14" spans="1:77" x14ac:dyDescent="0.45">
      <c r="H14" s="5" t="s">
        <v>305</v>
      </c>
      <c r="I14" s="4" t="s">
        <v>310</v>
      </c>
      <c r="J14" s="9" t="s">
        <v>300</v>
      </c>
      <c r="K14" s="9" t="s">
        <v>1461</v>
      </c>
      <c r="L14" s="23" t="str">
        <f>IFERROR(INDEX(Commodities[[Commodity code]:[Commodity]],MATCH(Commodities[[#This Row],[Parent code]],Commodities[Commodity code],0),2),Commodities[[#This Row],[Commodity]])</f>
        <v>Liquid biofuels</v>
      </c>
      <c r="M14" s="24" t="str">
        <f>IFERROR(INDEX(Commodities[[Commodity code]:[Commodity]],MATCH(INDEX(Commodities[[Commodity]:[Parent code]],MATCH(Commodities[[#This Row],[L1N]],Commodities[Commodity],0),2),Commodities[Commodity code],0),2),Commodities[[#This Row],[L1N]])</f>
        <v>Biofuels</v>
      </c>
      <c r="N14" s="24" t="str">
        <f>IFERROR(INDEX(Commodities[[Commodity code]:[Commodity]],MATCH(INDEX(Commodities[[Commodity]:[Parent code]],MATCH(Commodities[[#This Row],[L2N]],Commodities[Commodity],0),2),Commodities[Commodity code],0),2),Commodities[[#This Row],[L2N]])</f>
        <v>Biofuels</v>
      </c>
      <c r="O14" s="24" t="str">
        <f>IFERROR(INDEX(Commodities[[Commodity code]:[Commodity]],MATCH(INDEX(Commodities[[Commodity]:[Parent code]],MATCH(Commodities[[#This Row],[L3N]],Commodities[Commodity],0),2),Commodities[Commodity code],0),2),Commodities[[#This Row],[L3N]])</f>
        <v>Biofuels</v>
      </c>
      <c r="P14" s="24" t="str">
        <f>IF(Commodities[[#This Row],[L4N]]=Commodities[[#This Row],[L3N]],Commodities[[#This Row],[L4N]],IF(Commodities[[#This Row],[L3N]]=Commodities[[#This Row],[L2N]],Commodities[[#This Row],[L3N]],IF(Commodities[[#This Row],[L2N]]=Commodities[[#This Row],[L1N]],Commodities[[#This Row],[L2N]],IF(Commodities[[#This Row],[L1N]]=Commodities[[#This Row],[Commodity]],Commodities[[#This Row],[L1N]],Commodities[[#This Row],[Commodity]]))))</f>
        <v>Biofuels</v>
      </c>
      <c r="Q14" s="24" t="str">
        <f>IF(Commodities[[#This Row],[Level 0]]=Commodities[[#This Row],[Commodity]],Commodities[[#This Row],[Commodity]],IF(Commodities[[#This Row],[Level 0]]=Commodities[[#This Row],[L1N]],Commodities[[#This Row],[Commodity]],IF(Commodities[[#This Row],[Level 0]]=Commodities[[#This Row],[L2N]],Commodities[[#This Row],[L1N]],IF(Commodities[[#This Row],[Level 0]]=Commodities[[#This Row],[L3N]],Commodities[[#This Row],[L2N]],IF(Commodities[[#This Row],[Level 0]]=Commodities[[#This Row],[L4N]],Commodities[[#This Row],[L3N]],Commodities[[#This Row],[L4N]])))))</f>
        <v>Liquid biofuels</v>
      </c>
      <c r="R14" s="24" t="str">
        <f>IF(Commodities[[#This Row],[Level 1]]=Commodities[[#This Row],[Commodity]],Commodities[[#This Row],[Commodity]],IF(Commodities[[#This Row],[Level 1]]=Commodities[[#This Row],[L1N]],Commodities[[#This Row],[Commodity]],IF(Commodities[[#This Row],[Level 1]]=Commodities[[#This Row],[L2N]],Commodities[[#This Row],[L1N]],IF(Commodities[[#This Row],[Level 1]]=Commodities[[#This Row],[L3N]],Commodities[[#This Row],[L2N]],IF(Commodities[[#This Row],[Level 1]]=Commodities[[#This Row],[L4N]],Commodities[[#This Row],[L3N]],Commodities[[#This Row],[L4N]])))))</f>
        <v>Bio jet kerosene</v>
      </c>
      <c r="S14" s="24" t="str">
        <f>IF(Commodities[[#This Row],[Level 2]]=Commodities[[#This Row],[Commodity]],Commodities[[#This Row],[Commodity]],IF(Commodities[[#This Row],[Level 2]]=Commodities[[#This Row],[L1N]],Commodities[[#This Row],[Commodity]],IF(Commodities[[#This Row],[Level 2]]=Commodities[[#This Row],[L2N]],Commodities[[#This Row],[L1N]],IF(Commodities[[#This Row],[Level 2]]=Commodities[[#This Row],[L3N]],Commodities[[#This Row],[L2N]],IF(Commodities[[#This Row],[Level 2]]=Commodities[[#This Row],[L4N]],Commodities[[#This Row],[L3N]],Commodities[[#This Row],[L4N]])))))</f>
        <v>Bio jet kerosene</v>
      </c>
      <c r="T14" s="24" t="str">
        <f>IF(Commodities[[#This Row],[Level 3]]=Commodities[[#This Row],[Commodity]],Commodities[[#This Row],[Commodity]],IF(Commodities[[#This Row],[Level 3]]=Commodities[[#This Row],[L1N]],Commodities[[#This Row],[Commodity]],IF(Commodities[[#This Row],[Level 3]]=Commodities[[#This Row],[L2N]],Commodities[[#This Row],[L1N]],IF(Commodities[[#This Row],[Level 3]]=Commodities[[#This Row],[L3N]],Commodities[[#This Row],[L2N]],IF(Commodities[[#This Row],[Level 3]]=Commodities[[#This Row],[L4N]],Commodities[[#This Row],[L3N]],Commodities[[#This Row],[L4N]])))))</f>
        <v>Bio jet kerosene</v>
      </c>
      <c r="U14" s="24" t="str">
        <f>IF(Commodities[[#This Row],[Level 4]]=Commodities[[#This Row],[Commodity]],Commodities[[#This Row],[Commodity]],IF(Commodities[[#This Row],[Level 4]]=Commodities[[#This Row],[L1N]],Commodities[[#This Row],[Commodity]],IF(Commodities[[#This Row],[Level 4]]=Commodities[[#This Row],[L2N]],Commodities[[#This Row],[L1N]],IF(Commodities[[#This Row],[Level 4]]=Commodities[[#This Row],[L3N]],Commodities[[#This Row],[L2N]],IF(Commodities[[#This Row],[Level 4]]=Commodities[[#This Row],[L4N]],Commodities[[#This Row],[L3N]],Commodities[[#This Row],[L4N]])))))</f>
        <v>Bio jet kerosene</v>
      </c>
      <c r="Y14" s="5" t="s">
        <v>160</v>
      </c>
      <c r="Z14" s="4" t="s">
        <v>705</v>
      </c>
      <c r="AA14" s="4" t="s">
        <v>705</v>
      </c>
      <c r="AB14" s="6" t="s">
        <v>144</v>
      </c>
      <c r="AC14" s="24" t="str">
        <f>IFERROR(VLOOKUP(Transactions[[#This Row],[Parent code]],Transactions[[Transaction code]:[Transaction name]],2,0),"")</f>
        <v>Energy industries own use</v>
      </c>
      <c r="AD14" s="4" t="s">
        <v>163</v>
      </c>
      <c r="AE14" s="4" t="s">
        <v>937</v>
      </c>
      <c r="AF14" s="4" t="s">
        <v>642</v>
      </c>
      <c r="AG14" s="4" t="s">
        <v>1</v>
      </c>
      <c r="AH14" s="4" t="s">
        <v>695</v>
      </c>
      <c r="AK14" s="24" t="str" cm="1">
        <f t="array" ref="AK14">IFERROR(INDEX(Transactions[[Transaction code]:[Transaction name]],_xlfn.XMATCH(Transactions[[#This Row],[Parent code]],Transactions[Transaction name],0),3),Transactions[[#This Row],[Transaction name]])</f>
        <v>Biogas production plants (own use)</v>
      </c>
      <c r="AL14" s="24" t="str" cm="1">
        <f t="array" ref="AL14">IFERROR(INDEX(Transactions[[Transaction code]:[Transaction name]],_xlfn.XMATCH(INDEX(Transactions[[Transaction name]:[Parent code]],_xlfn.XMATCH(Transactions[[#This Row],[L1N]],Transactions[Transaction name],0),3),Transactions[Transaction code],0),2),Transactions[[#This Row],[L1N]])</f>
        <v>Energy industries own use</v>
      </c>
      <c r="AM14" s="24" t="str" cm="1">
        <f t="array" ref="AM14">IFERROR(INDEX(Transactions[[Transaction code]:[Transaction name]],_xlfn.XMATCH(INDEX(Transactions[[Transaction name]:[Parent code]],_xlfn.XMATCH(Transactions[[#This Row],[L2N]],Transactions[Transaction name],0),3),Transactions[Transaction code],0),2),Transactions[[#This Row],[L2N]])</f>
        <v>Energy industries own use</v>
      </c>
      <c r="AN14" s="24" t="str" cm="1">
        <f t="array" ref="AN14">IFERROR(INDEX(Transactions[[Transaction code]:[Transaction name]],_xlfn.XMATCH(INDEX(Transactions[[Transaction name]:[Parent code]],_xlfn.XMATCH(Transactions[[#This Row],[L3N]],Transactions[Transaction name],0),3),Transactions[Transaction code],0),2),Transactions[[#This Row],[L3N]])</f>
        <v>Energy industries own use</v>
      </c>
      <c r="AO14" s="24" t="str" cm="1">
        <f t="array" ref="AO14">IFERROR(INDEX(Transactions[[Transaction code]:[Transaction name]],_xlfn.XMATCH(INDEX(Transactions[[Transaction name]:[Parent code]],_xlfn.XMATCH(Transactions[[#This Row],[L4N]],Transactions[Transaction name],0),3),Transactions[Transaction code],0),2),Transactions[[#This Row],[L4N]])</f>
        <v>Energy industries own use</v>
      </c>
      <c r="AP14" s="24" t="str" cm="1">
        <f t="array" ref="AP14">IFERROR(INDEX(Transactions[[Transaction code]:[Transaction name]],_xlfn.XMATCH(INDEX(Transactions[[Transaction name]:[Parent code]],_xlfn.XMATCH(Transactions[[#This Row],[L5N]],Transactions[Transaction name],0),3),Transactions[Transaction code],0),2),Transactions[[#This Row],[L5N]])</f>
        <v>Energy industries own use</v>
      </c>
      <c r="AQ14" s="24" t="str" cm="1">
        <f t="array" ref="AQ14">IFERROR(INDEX(Transactions[[Transaction code]:[Transaction name]],_xlfn.XMATCH(INDEX(Transactions[[Transaction name]:[Parent code]],_xlfn.XMATCH(Transactions[[#This Row],[L6N]],Transactions[Transaction name],0),3),Transactions[Transaction code],0),2),Transactions[[#This Row],[L6N]])</f>
        <v>Energy industries own use</v>
      </c>
      <c r="AR14" s="27" t="str">
        <f>IF(Transactions[[#This Row],[L7N]]=Transactions[[#This Row],[L6N]],Transactions[[#This Row],[L7N]],IF(Transactions[[#This Row],[L6N]]=Transactions[[#This Row],[L5N]],Transactions[[#This Row],[L6N]],IF(Transactions[[#This Row],[L5N]]=Transactions[[#This Row],[L4N]],Transactions[[#This Row],[L5N]],IF(Transactions[[#This Row],[L4N]]=Transactions[[#This Row],[L3N]],Transactions[[#This Row],[L4N]],IF(Transactions[[#This Row],[L3N]]=Transactions[[#This Row],[L2N]],Transactions[[#This Row],[L3N]],IF(Transactions[[#This Row],[L2N]]=Transactions[[#This Row],[L1N]],Transactions[[#This Row],[L2N]],IF(Transactions[[#This Row],[L1N]]=Transactions[[#This Row],[Transaction name]],Transactions[[#This Row],[L1N]],Transactions[[#This Row],[Transaction name]])))))))</f>
        <v>Energy industries own use</v>
      </c>
      <c r="AS14" s="24" t="str">
        <f>IF(Transactions[[#This Row],[Level 0]]=Transactions[[#This Row],[Transaction name]],Transactions[[#This Row],[Transaction name]],IF(Transactions[[#This Row],[Level 0]]=Transactions[[#This Row],[L1N]],Transactions[[#This Row],[Transaction name]],IF(Transactions[[#This Row],[Level 0]]=Transactions[[#This Row],[L2N]],Transactions[[#This Row],[L1N]],IF(Transactions[[#This Row],[Level 0]]=Transactions[[#This Row],[L3N]],Transactions[[#This Row],[L2N]],IF(Transactions[[#This Row],[Level 0]]=Transactions[[#This Row],[L4N]],Transactions[[#This Row],[L3N]],IF(Transactions[[#This Row],[Level 0]]=Transactions[[#This Row],[L5N]],Transactions[[#This Row],[L4N]],IF(Transactions[[#This Row],[Level 0]]=Transactions[[#This Row],[L6N]],Transactions[[#This Row],[L5N]],IF(Transactions[[#This Row],[Level 0]]=Transactions[[#This Row],[L7N]],Transactions[[#This Row],[L6N]],Transactions[[#This Row],[L7N]]))))))))</f>
        <v>Biogas production plants (own use)</v>
      </c>
      <c r="AT14" s="24" t="str">
        <f>IF(Transactions[[#This Row],[Level 1]]=Transactions[[#This Row],[Transaction name]],Transactions[[#This Row],[Transaction name]],IF(Transactions[[#This Row],[Level 1]]=Transactions[[#This Row],[L1N]],Transactions[[#This Row],[Transaction name]],IF(Transactions[[#This Row],[Level 1]]=Transactions[[#This Row],[L2N]],Transactions[[#This Row],[L1N]],IF(Transactions[[#This Row],[Level 1]]=Transactions[[#This Row],[L3N]],Transactions[[#This Row],[L2N]],IF(Transactions[[#This Row],[Level 1]]=Transactions[[#This Row],[L4N]],Transactions[[#This Row],[L3N]],IF(Transactions[[#This Row],[Level 1]]=Transactions[[#This Row],[L5N]],Transactions[[#This Row],[L4N]],IF(Transactions[[#This Row],[Level 1]]=Transactions[[#This Row],[L6N]],Transactions[[#This Row],[L5N]],IF(Transactions[[#This Row],[Level 1]]=Transactions[[#This Row],[L7N]],Transactions[[#This Row],[L6N]],Transactions[[#This Row],[L7N]]))))))))</f>
        <v>Biogas production plants (own use)</v>
      </c>
      <c r="AU14" s="24" t="str">
        <f>IF(Transactions[[#This Row],[Level 2]]=Transactions[[#This Row],[Transaction name]],Transactions[[#This Row],[Transaction name]],IF(Transactions[[#This Row],[Level 2]]=Transactions[[#This Row],[L1N]],Transactions[[#This Row],[Transaction name]],IF(Transactions[[#This Row],[Level 2]]=Transactions[[#This Row],[L2N]],Transactions[[#This Row],[L1N]],IF(Transactions[[#This Row],[Level 2]]=Transactions[[#This Row],[L3N]],Transactions[[#This Row],[L2N]],IF(Transactions[[#This Row],[Level 2]]=Transactions[[#This Row],[L4N]],Transactions[[#This Row],[L3N]],IF(Transactions[[#This Row],[Level 2]]=Transactions[[#This Row],[L5N]],Transactions[[#This Row],[L4N]],IF(Transactions[[#This Row],[Level 2]]=Transactions[[#This Row],[L6N]],Transactions[[#This Row],[L5N]],IF(Transactions[[#This Row],[Level 2]]=Transactions[[#This Row],[L7N]],Transactions[[#This Row],[L6N]],Transactions[[#This Row],[L7N]]))))))))</f>
        <v>Biogas production plants (own use)</v>
      </c>
      <c r="AV14" s="24" t="str">
        <f>IF(Transactions[[#This Row],[Level 3]]=Transactions[[#This Row],[Transaction name]],Transactions[[#This Row],[Transaction name]],IF(Transactions[[#This Row],[Level 3]]=Transactions[[#This Row],[L1N]],Transactions[[#This Row],[Transaction name]],IF(Transactions[[#This Row],[Level 3]]=Transactions[[#This Row],[L2N]],Transactions[[#This Row],[L1N]],IF(Transactions[[#This Row],[Level 3]]=Transactions[[#This Row],[L3N]],Transactions[[#This Row],[L2N]],IF(Transactions[[#This Row],[Level 3]]=Transactions[[#This Row],[L4N]],Transactions[[#This Row],[L3N]],IF(Transactions[[#This Row],[Level 3]]=Transactions[[#This Row],[L5N]],Transactions[[#This Row],[L4N]],IF(Transactions[[#This Row],[Level 3]]=Transactions[[#This Row],[L6N]],Transactions[[#This Row],[L5N]],IF(Transactions[[#This Row],[Level 3]]=Transactions[[#This Row],[L7N]],Transactions[[#This Row],[L6N]],Transactions[[#This Row],[L7N]]))))))))</f>
        <v>Biogas production plants (own use)</v>
      </c>
      <c r="AW14" s="24" t="str">
        <f>IF(Transactions[[#This Row],[Level 4]]=Transactions[[#This Row],[Transaction name]],Transactions[[#This Row],[Transaction name]],IF(Transactions[[#This Row],[Level 4]]=Transactions[[#This Row],[L1N]],Transactions[[#This Row],[Transaction name]],IF(Transactions[[#This Row],[Level 4]]=Transactions[[#This Row],[L2N]],Transactions[[#This Row],[L1N]],IF(Transactions[[#This Row],[Level 4]]=Transactions[[#This Row],[L3N]],Transactions[[#This Row],[L2N]],IF(Transactions[[#This Row],[Level 4]]=Transactions[[#This Row],[L4N]],Transactions[[#This Row],[L3N]],IF(Transactions[[#This Row],[Level 4]]=Transactions[[#This Row],[L5N]],Transactions[[#This Row],[L4N]],IF(Transactions[[#This Row],[Level 4]]=Transactions[[#This Row],[L6N]],Transactions[[#This Row],[L5N]],IF(Transactions[[#This Row],[Level 4]]=Transactions[[#This Row],[L7N]],Transactions[[#This Row],[L6N]],Transactions[[#This Row],[L7N]]))))))))</f>
        <v>Biogas production plants (own use)</v>
      </c>
      <c r="AX14" s="24" t="str">
        <f>IF(Transactions[[#This Row],[Level 5]]=Transactions[[#This Row],[Transaction name]],Transactions[[#This Row],[Transaction name]],IF(Transactions[[#This Row],[Level 5]]=Transactions[[#This Row],[L1N]],Transactions[[#This Row],[Transaction name]],IF(Transactions[[#This Row],[Level 5]]=Transactions[[#This Row],[L2N]],Transactions[[#This Row],[L1N]],IF(Transactions[[#This Row],[Level 5]]=Transactions[[#This Row],[L3N]],Transactions[[#This Row],[L2N]],IF(Transactions[[#This Row],[Level 5]]=Transactions[[#This Row],[L4N]],Transactions[[#This Row],[L3N]],IF(Transactions[[#This Row],[Level 5]]=Transactions[[#This Row],[L5N]],Transactions[[#This Row],[L4N]],IF(Transactions[[#This Row],[Level 5]]=Transactions[[#This Row],[L6N]],Transactions[[#This Row],[L5N]],IF(Transactions[[#This Row],[Level 5]]=Transactions[[#This Row],[L7N]],Transactions[[#This Row],[L6N]],Transactions[[#This Row],[L7N]]))))))))</f>
        <v>Biogas production plants (own use)</v>
      </c>
      <c r="AY14" s="24" t="str">
        <f>IF(Transactions[[#This Row],[Level 6]]=Transactions[[#This Row],[Transaction name]],Transactions[[#This Row],[Transaction name]],IF(Transactions[[#This Row],[Level 6]]=Transactions[[#This Row],[L1N]],Transactions[[#This Row],[Transaction name]],IF(Transactions[[#This Row],[Level 6]]=Transactions[[#This Row],[L2N]],Transactions[[#This Row],[L1N]],IF(Transactions[[#This Row],[Level 6]]=Transactions[[#This Row],[L3N]],Transactions[[#This Row],[L2N]],IF(Transactions[[#This Row],[Level 6]]=Transactions[[#This Row],[L4N]],Transactions[[#This Row],[L3N]],IF(Transactions[[#This Row],[Level 6]]=Transactions[[#This Row],[L5N]],Transactions[[#This Row],[L4N]],IF(Transactions[[#This Row],[Level 6]]=Transactions[[#This Row],[L6N]],Transactions[[#This Row],[L5N]],IF(Transactions[[#This Row],[Level 6]]=Transactions[[#This Row],[L7N]],Transactions[[#This Row],[L6N]],Transactions[[#This Row],[L7N]]))))))))</f>
        <v>Biogas production plants (own use)</v>
      </c>
      <c r="BE14" s="26" t="str">
        <f>_xlfn.XLOOKUP(Transformation[[#This Row],[cfrom]],Commodities[Commodity],Commodities[Commodity code])</f>
        <v>0320</v>
      </c>
      <c r="BF14" s="26" t="str">
        <f>_xlfn.XLOOKUP(Transformation[[#This Row],[tfrom]],Transactions[Transaction name],Transactions[Transaction code])</f>
        <v>08822</v>
      </c>
      <c r="BG14" s="26" t="str">
        <f>_xlfn.XLOOKUP(Transformation[[#This Row],[cto]],Commodities[Commodity],Commodities[Commodity code])</f>
        <v>0320</v>
      </c>
      <c r="BH14" s="26" t="str">
        <f>_xlfn.XLOOKUP(Transformation[[#This Row],[tto]],Transactions[Transaction name],Transactions[Transaction code])</f>
        <v>016CSC</v>
      </c>
      <c r="BI14" s="31">
        <v>1</v>
      </c>
      <c r="BJ14" s="22" t="s">
        <v>493</v>
      </c>
      <c r="BK14" s="26" t="str">
        <f>_xlfn.XLOOKUP(Transformation[[#This Row],[Commodity from]],Commodities[Commodity code],Commodities[EnergyCode])</f>
        <v>BC</v>
      </c>
      <c r="BL14" s="22" t="s">
        <v>692</v>
      </c>
      <c r="BM14" s="22" t="s">
        <v>493</v>
      </c>
      <c r="BN14" s="26" t="str">
        <f>_xlfn.XLOOKUP(Transformation[[#This Row],[Commodity to]],Commodities[Commodity code],Commodities[EnergyCode])</f>
        <v>BC</v>
      </c>
      <c r="BO14" s="4" t="s">
        <v>1213</v>
      </c>
      <c r="BP14" s="22" t="s">
        <v>1493</v>
      </c>
      <c r="BQ14" s="33" t="str">
        <f>Transformation[[#This Row],[Commodity from]]&amp;Transformation[[#This Row],[Transaction from]]&amp;Transformation[[#This Row],[Commodity to]]&amp;Transformation[[#This Row],[Transaction to]]</f>
        <v>0320088220320016CSC</v>
      </c>
      <c r="BR14" s="26" t="str">
        <f>Transformation[[#This Row],[crfomid]]&amp;Transformation[[#This Row],[Transaction from]]&amp;"("&amp;Transformation[[#This Row],[Multiplier]]&amp;") -&gt; "&amp;Transformation[[#This Row],[ctoid]]&amp;Transformation[[#This Row],[Transaction to]]</f>
        <v>BC08822(1) -&gt; BC016CSC</v>
      </c>
      <c r="BT14" s="26" t="str">
        <f>_xlfn.XLOOKUP(Signswitch[[#This Row],[Commodity name]],Commodities[Commodity],Commodities[Commodity code])</f>
        <v>5222</v>
      </c>
      <c r="BU14" s="26" t="str">
        <f>_xlfn.XLOOKUP(Signswitch[[#This Row],[Transaction name]],Transactions[Transaction name],Transactions[Transaction code])</f>
        <v>051</v>
      </c>
      <c r="BV14" s="26" t="str">
        <f>Signswitch[[#This Row],[Commodity from]]&amp;Signswitch[[#This Row],[Transaction from]]</f>
        <v>5222051</v>
      </c>
      <c r="BW14" s="22" t="s">
        <v>962</v>
      </c>
      <c r="BX14" s="26" t="str">
        <f>_xlfn.XLOOKUP(Signswitch[[#This Row],[Commodity from]],Commodities[Commodity code],Commodities[EnergyCode])</f>
        <v>ZD</v>
      </c>
      <c r="BY14" s="22" t="s">
        <v>196</v>
      </c>
    </row>
    <row r="15" spans="1:77" x14ac:dyDescent="0.45">
      <c r="H15" s="5" t="s">
        <v>473</v>
      </c>
      <c r="I15" s="4" t="s">
        <v>472</v>
      </c>
      <c r="J15" s="9" t="s">
        <v>471</v>
      </c>
      <c r="K15" s="9" t="s">
        <v>1434</v>
      </c>
      <c r="L15" s="23" t="str">
        <f>IFERROR(INDEX(Commodities[[Commodity code]:[Commodity]],MATCH(Commodities[[#This Row],[Parent code]],Commodities[Commodity code],0),2),Commodities[[#This Row],[Commodity]])</f>
        <v>Recovered gases</v>
      </c>
      <c r="M15" s="24" t="str">
        <f>IFERROR(INDEX(Commodities[[Commodity code]:[Commodity]],MATCH(INDEX(Commodities[[Commodity]:[Parent code]],MATCH(Commodities[[#This Row],[L1N]],Commodities[Commodity],0),2),Commodities[Commodity code],0),2),Commodities[[#This Row],[L1N]])</f>
        <v>Coal products</v>
      </c>
      <c r="N15" s="24" t="str">
        <f>IFERROR(INDEX(Commodities[[Commodity code]:[Commodity]],MATCH(INDEX(Commodities[[Commodity]:[Parent code]],MATCH(Commodities[[#This Row],[L2N]],Commodities[Commodity],0),2),Commodities[Commodity code],0),2),Commodities[[#This Row],[L2N]])</f>
        <v>Coal</v>
      </c>
      <c r="O15" s="24" t="str">
        <f>IFERROR(INDEX(Commodities[[Commodity code]:[Commodity]],MATCH(INDEX(Commodities[[Commodity]:[Parent code]],MATCH(Commodities[[#This Row],[L3N]],Commodities[Commodity],0),2),Commodities[Commodity code],0),2),Commodities[[#This Row],[L3N]])</f>
        <v>Coal</v>
      </c>
      <c r="P15" s="24" t="str">
        <f>IF(Commodities[[#This Row],[L4N]]=Commodities[[#This Row],[L3N]],Commodities[[#This Row],[L4N]],IF(Commodities[[#This Row],[L3N]]=Commodities[[#This Row],[L2N]],Commodities[[#This Row],[L3N]],IF(Commodities[[#This Row],[L2N]]=Commodities[[#This Row],[L1N]],Commodities[[#This Row],[L2N]],IF(Commodities[[#This Row],[L1N]]=Commodities[[#This Row],[Commodity]],Commodities[[#This Row],[L1N]],Commodities[[#This Row],[Commodity]]))))</f>
        <v>Coal</v>
      </c>
      <c r="Q15" s="24" t="str">
        <f>IF(Commodities[[#This Row],[Level 0]]=Commodities[[#This Row],[Commodity]],Commodities[[#This Row],[Commodity]],IF(Commodities[[#This Row],[Level 0]]=Commodities[[#This Row],[L1N]],Commodities[[#This Row],[Commodity]],IF(Commodities[[#This Row],[Level 0]]=Commodities[[#This Row],[L2N]],Commodities[[#This Row],[L1N]],IF(Commodities[[#This Row],[Level 0]]=Commodities[[#This Row],[L3N]],Commodities[[#This Row],[L2N]],IF(Commodities[[#This Row],[Level 0]]=Commodities[[#This Row],[L4N]],Commodities[[#This Row],[L3N]],Commodities[[#This Row],[L4N]])))))</f>
        <v>Coal products</v>
      </c>
      <c r="R15" s="24" t="str">
        <f>IF(Commodities[[#This Row],[Level 1]]=Commodities[[#This Row],[Commodity]],Commodities[[#This Row],[Commodity]],IF(Commodities[[#This Row],[Level 1]]=Commodities[[#This Row],[L1N]],Commodities[[#This Row],[Commodity]],IF(Commodities[[#This Row],[Level 1]]=Commodities[[#This Row],[L2N]],Commodities[[#This Row],[L1N]],IF(Commodities[[#This Row],[Level 1]]=Commodities[[#This Row],[L3N]],Commodities[[#This Row],[L2N]],IF(Commodities[[#This Row],[Level 1]]=Commodities[[#This Row],[L4N]],Commodities[[#This Row],[L3N]],Commodities[[#This Row],[L4N]])))))</f>
        <v>Recovered gases</v>
      </c>
      <c r="S15" s="24" t="str">
        <f>IF(Commodities[[#This Row],[Level 2]]=Commodities[[#This Row],[Commodity]],Commodities[[#This Row],[Commodity]],IF(Commodities[[#This Row],[Level 2]]=Commodities[[#This Row],[L1N]],Commodities[[#This Row],[Commodity]],IF(Commodities[[#This Row],[Level 2]]=Commodities[[#This Row],[L2N]],Commodities[[#This Row],[L1N]],IF(Commodities[[#This Row],[Level 2]]=Commodities[[#This Row],[L3N]],Commodities[[#This Row],[L2N]],IF(Commodities[[#This Row],[Level 2]]=Commodities[[#This Row],[L4N]],Commodities[[#This Row],[L3N]],Commodities[[#This Row],[L4N]])))))</f>
        <v>Other recovered gases</v>
      </c>
      <c r="T15" s="24" t="str">
        <f>IF(Commodities[[#This Row],[Level 3]]=Commodities[[#This Row],[Commodity]],Commodities[[#This Row],[Commodity]],IF(Commodities[[#This Row],[Level 3]]=Commodities[[#This Row],[L1N]],Commodities[[#This Row],[Commodity]],IF(Commodities[[#This Row],[Level 3]]=Commodities[[#This Row],[L2N]],Commodities[[#This Row],[L1N]],IF(Commodities[[#This Row],[Level 3]]=Commodities[[#This Row],[L3N]],Commodities[[#This Row],[L2N]],IF(Commodities[[#This Row],[Level 3]]=Commodities[[#This Row],[L4N]],Commodities[[#This Row],[L3N]],Commodities[[#This Row],[L4N]])))))</f>
        <v>Other recovered gases</v>
      </c>
      <c r="U15" s="24" t="str">
        <f>IF(Commodities[[#This Row],[Level 4]]=Commodities[[#This Row],[Commodity]],Commodities[[#This Row],[Commodity]],IF(Commodities[[#This Row],[Level 4]]=Commodities[[#This Row],[L1N]],Commodities[[#This Row],[Commodity]],IF(Commodities[[#This Row],[Level 4]]=Commodities[[#This Row],[L2N]],Commodities[[#This Row],[L1N]],IF(Commodities[[#This Row],[Level 4]]=Commodities[[#This Row],[L3N]],Commodities[[#This Row],[L2N]],IF(Commodities[[#This Row],[Level 4]]=Commodities[[#This Row],[L4N]],Commodities[[#This Row],[L3N]],Commodities[[#This Row],[L4N]])))))</f>
        <v>Other recovered gases</v>
      </c>
      <c r="Y15" s="5" t="s">
        <v>155</v>
      </c>
      <c r="Z15" s="4" t="s">
        <v>710</v>
      </c>
      <c r="AA15" s="4" t="s">
        <v>710</v>
      </c>
      <c r="AB15" s="6" t="s">
        <v>144</v>
      </c>
      <c r="AC15" s="24" t="str">
        <f>IFERROR(VLOOKUP(Transactions[[#This Row],[Parent code]],Transactions[[Transaction code]:[Transaction name]],2,0),"")</f>
        <v>Energy industries own use</v>
      </c>
      <c r="AD15" s="4" t="s">
        <v>163</v>
      </c>
      <c r="AE15" s="4" t="s">
        <v>942</v>
      </c>
      <c r="AF15" s="4" t="s">
        <v>642</v>
      </c>
      <c r="AG15" s="4" t="s">
        <v>1</v>
      </c>
      <c r="AH15" s="4" t="s">
        <v>695</v>
      </c>
      <c r="AK15" s="24" t="str" cm="1">
        <f t="array" ref="AK15">IFERROR(INDEX(Transactions[[Transaction code]:[Transaction name]],_xlfn.XMATCH(Transactions[[#This Row],[Parent code]],Transactions[Transaction name],0),3),Transactions[[#This Row],[Transaction name]])</f>
        <v>Blast furnaces (own use)</v>
      </c>
      <c r="AL15" s="24" t="str" cm="1">
        <f t="array" ref="AL15">IFERROR(INDEX(Transactions[[Transaction code]:[Transaction name]],_xlfn.XMATCH(INDEX(Transactions[[Transaction name]:[Parent code]],_xlfn.XMATCH(Transactions[[#This Row],[L1N]],Transactions[Transaction name],0),3),Transactions[Transaction code],0),2),Transactions[[#This Row],[L1N]])</f>
        <v>Energy industries own use</v>
      </c>
      <c r="AM15" s="24" t="str" cm="1">
        <f t="array" ref="AM15">IFERROR(INDEX(Transactions[[Transaction code]:[Transaction name]],_xlfn.XMATCH(INDEX(Transactions[[Transaction name]:[Parent code]],_xlfn.XMATCH(Transactions[[#This Row],[L2N]],Transactions[Transaction name],0),3),Transactions[Transaction code],0),2),Transactions[[#This Row],[L2N]])</f>
        <v>Energy industries own use</v>
      </c>
      <c r="AN15" s="24" t="str" cm="1">
        <f t="array" ref="AN15">IFERROR(INDEX(Transactions[[Transaction code]:[Transaction name]],_xlfn.XMATCH(INDEX(Transactions[[Transaction name]:[Parent code]],_xlfn.XMATCH(Transactions[[#This Row],[L3N]],Transactions[Transaction name],0),3),Transactions[Transaction code],0),2),Transactions[[#This Row],[L3N]])</f>
        <v>Energy industries own use</v>
      </c>
      <c r="AO15" s="24" t="str" cm="1">
        <f t="array" ref="AO15">IFERROR(INDEX(Transactions[[Transaction code]:[Transaction name]],_xlfn.XMATCH(INDEX(Transactions[[Transaction name]:[Parent code]],_xlfn.XMATCH(Transactions[[#This Row],[L4N]],Transactions[Transaction name],0),3),Transactions[Transaction code],0),2),Transactions[[#This Row],[L4N]])</f>
        <v>Energy industries own use</v>
      </c>
      <c r="AP15" s="24" t="str" cm="1">
        <f t="array" ref="AP15">IFERROR(INDEX(Transactions[[Transaction code]:[Transaction name]],_xlfn.XMATCH(INDEX(Transactions[[Transaction name]:[Parent code]],_xlfn.XMATCH(Transactions[[#This Row],[L5N]],Transactions[Transaction name],0),3),Transactions[Transaction code],0),2),Transactions[[#This Row],[L5N]])</f>
        <v>Energy industries own use</v>
      </c>
      <c r="AQ15" s="24" t="str" cm="1">
        <f t="array" ref="AQ15">IFERROR(INDEX(Transactions[[Transaction code]:[Transaction name]],_xlfn.XMATCH(INDEX(Transactions[[Transaction name]:[Parent code]],_xlfn.XMATCH(Transactions[[#This Row],[L6N]],Transactions[Transaction name],0),3),Transactions[Transaction code],0),2),Transactions[[#This Row],[L6N]])</f>
        <v>Energy industries own use</v>
      </c>
      <c r="AR15" s="27" t="str">
        <f>IF(Transactions[[#This Row],[L7N]]=Transactions[[#This Row],[L6N]],Transactions[[#This Row],[L7N]],IF(Transactions[[#This Row],[L6N]]=Transactions[[#This Row],[L5N]],Transactions[[#This Row],[L6N]],IF(Transactions[[#This Row],[L5N]]=Transactions[[#This Row],[L4N]],Transactions[[#This Row],[L5N]],IF(Transactions[[#This Row],[L4N]]=Transactions[[#This Row],[L3N]],Transactions[[#This Row],[L4N]],IF(Transactions[[#This Row],[L3N]]=Transactions[[#This Row],[L2N]],Transactions[[#This Row],[L3N]],IF(Transactions[[#This Row],[L2N]]=Transactions[[#This Row],[L1N]],Transactions[[#This Row],[L2N]],IF(Transactions[[#This Row],[L1N]]=Transactions[[#This Row],[Transaction name]],Transactions[[#This Row],[L1N]],Transactions[[#This Row],[Transaction name]])))))))</f>
        <v>Energy industries own use</v>
      </c>
      <c r="AS15" s="24" t="str">
        <f>IF(Transactions[[#This Row],[Level 0]]=Transactions[[#This Row],[Transaction name]],Transactions[[#This Row],[Transaction name]],IF(Transactions[[#This Row],[Level 0]]=Transactions[[#This Row],[L1N]],Transactions[[#This Row],[Transaction name]],IF(Transactions[[#This Row],[Level 0]]=Transactions[[#This Row],[L2N]],Transactions[[#This Row],[L1N]],IF(Transactions[[#This Row],[Level 0]]=Transactions[[#This Row],[L3N]],Transactions[[#This Row],[L2N]],IF(Transactions[[#This Row],[Level 0]]=Transactions[[#This Row],[L4N]],Transactions[[#This Row],[L3N]],IF(Transactions[[#This Row],[Level 0]]=Transactions[[#This Row],[L5N]],Transactions[[#This Row],[L4N]],IF(Transactions[[#This Row],[Level 0]]=Transactions[[#This Row],[L6N]],Transactions[[#This Row],[L5N]],IF(Transactions[[#This Row],[Level 0]]=Transactions[[#This Row],[L7N]],Transactions[[#This Row],[L6N]],Transactions[[#This Row],[L7N]]))))))))</f>
        <v>Blast furnaces (own use)</v>
      </c>
      <c r="AT15" s="24" t="str">
        <f>IF(Transactions[[#This Row],[Level 1]]=Transactions[[#This Row],[Transaction name]],Transactions[[#This Row],[Transaction name]],IF(Transactions[[#This Row],[Level 1]]=Transactions[[#This Row],[L1N]],Transactions[[#This Row],[Transaction name]],IF(Transactions[[#This Row],[Level 1]]=Transactions[[#This Row],[L2N]],Transactions[[#This Row],[L1N]],IF(Transactions[[#This Row],[Level 1]]=Transactions[[#This Row],[L3N]],Transactions[[#This Row],[L2N]],IF(Transactions[[#This Row],[Level 1]]=Transactions[[#This Row],[L4N]],Transactions[[#This Row],[L3N]],IF(Transactions[[#This Row],[Level 1]]=Transactions[[#This Row],[L5N]],Transactions[[#This Row],[L4N]],IF(Transactions[[#This Row],[Level 1]]=Transactions[[#This Row],[L6N]],Transactions[[#This Row],[L5N]],IF(Transactions[[#This Row],[Level 1]]=Transactions[[#This Row],[L7N]],Transactions[[#This Row],[L6N]],Transactions[[#This Row],[L7N]]))))))))</f>
        <v>Blast furnaces (own use)</v>
      </c>
      <c r="AU15" s="24" t="str">
        <f>IF(Transactions[[#This Row],[Level 2]]=Transactions[[#This Row],[Transaction name]],Transactions[[#This Row],[Transaction name]],IF(Transactions[[#This Row],[Level 2]]=Transactions[[#This Row],[L1N]],Transactions[[#This Row],[Transaction name]],IF(Transactions[[#This Row],[Level 2]]=Transactions[[#This Row],[L2N]],Transactions[[#This Row],[L1N]],IF(Transactions[[#This Row],[Level 2]]=Transactions[[#This Row],[L3N]],Transactions[[#This Row],[L2N]],IF(Transactions[[#This Row],[Level 2]]=Transactions[[#This Row],[L4N]],Transactions[[#This Row],[L3N]],IF(Transactions[[#This Row],[Level 2]]=Transactions[[#This Row],[L5N]],Transactions[[#This Row],[L4N]],IF(Transactions[[#This Row],[Level 2]]=Transactions[[#This Row],[L6N]],Transactions[[#This Row],[L5N]],IF(Transactions[[#This Row],[Level 2]]=Transactions[[#This Row],[L7N]],Transactions[[#This Row],[L6N]],Transactions[[#This Row],[L7N]]))))))))</f>
        <v>Blast furnaces (own use)</v>
      </c>
      <c r="AV15" s="24" t="str">
        <f>IF(Transactions[[#This Row],[Level 3]]=Transactions[[#This Row],[Transaction name]],Transactions[[#This Row],[Transaction name]],IF(Transactions[[#This Row],[Level 3]]=Transactions[[#This Row],[L1N]],Transactions[[#This Row],[Transaction name]],IF(Transactions[[#This Row],[Level 3]]=Transactions[[#This Row],[L2N]],Transactions[[#This Row],[L1N]],IF(Transactions[[#This Row],[Level 3]]=Transactions[[#This Row],[L3N]],Transactions[[#This Row],[L2N]],IF(Transactions[[#This Row],[Level 3]]=Transactions[[#This Row],[L4N]],Transactions[[#This Row],[L3N]],IF(Transactions[[#This Row],[Level 3]]=Transactions[[#This Row],[L5N]],Transactions[[#This Row],[L4N]],IF(Transactions[[#This Row],[Level 3]]=Transactions[[#This Row],[L6N]],Transactions[[#This Row],[L5N]],IF(Transactions[[#This Row],[Level 3]]=Transactions[[#This Row],[L7N]],Transactions[[#This Row],[L6N]],Transactions[[#This Row],[L7N]]))))))))</f>
        <v>Blast furnaces (own use)</v>
      </c>
      <c r="AW15" s="24" t="str">
        <f>IF(Transactions[[#This Row],[Level 4]]=Transactions[[#This Row],[Transaction name]],Transactions[[#This Row],[Transaction name]],IF(Transactions[[#This Row],[Level 4]]=Transactions[[#This Row],[L1N]],Transactions[[#This Row],[Transaction name]],IF(Transactions[[#This Row],[Level 4]]=Transactions[[#This Row],[L2N]],Transactions[[#This Row],[L1N]],IF(Transactions[[#This Row],[Level 4]]=Transactions[[#This Row],[L3N]],Transactions[[#This Row],[L2N]],IF(Transactions[[#This Row],[Level 4]]=Transactions[[#This Row],[L4N]],Transactions[[#This Row],[L3N]],IF(Transactions[[#This Row],[Level 4]]=Transactions[[#This Row],[L5N]],Transactions[[#This Row],[L4N]],IF(Transactions[[#This Row],[Level 4]]=Transactions[[#This Row],[L6N]],Transactions[[#This Row],[L5N]],IF(Transactions[[#This Row],[Level 4]]=Transactions[[#This Row],[L7N]],Transactions[[#This Row],[L6N]],Transactions[[#This Row],[L7N]]))))))))</f>
        <v>Blast furnaces (own use)</v>
      </c>
      <c r="AX15" s="24" t="str">
        <f>IF(Transactions[[#This Row],[Level 5]]=Transactions[[#This Row],[Transaction name]],Transactions[[#This Row],[Transaction name]],IF(Transactions[[#This Row],[Level 5]]=Transactions[[#This Row],[L1N]],Transactions[[#This Row],[Transaction name]],IF(Transactions[[#This Row],[Level 5]]=Transactions[[#This Row],[L2N]],Transactions[[#This Row],[L1N]],IF(Transactions[[#This Row],[Level 5]]=Transactions[[#This Row],[L3N]],Transactions[[#This Row],[L2N]],IF(Transactions[[#This Row],[Level 5]]=Transactions[[#This Row],[L4N]],Transactions[[#This Row],[L3N]],IF(Transactions[[#This Row],[Level 5]]=Transactions[[#This Row],[L5N]],Transactions[[#This Row],[L4N]],IF(Transactions[[#This Row],[Level 5]]=Transactions[[#This Row],[L6N]],Transactions[[#This Row],[L5N]],IF(Transactions[[#This Row],[Level 5]]=Transactions[[#This Row],[L7N]],Transactions[[#This Row],[L6N]],Transactions[[#This Row],[L7N]]))))))))</f>
        <v>Blast furnaces (own use)</v>
      </c>
      <c r="AY15" s="24" t="str">
        <f>IF(Transactions[[#This Row],[Level 6]]=Transactions[[#This Row],[Transaction name]],Transactions[[#This Row],[Transaction name]],IF(Transactions[[#This Row],[Level 6]]=Transactions[[#This Row],[L1N]],Transactions[[#This Row],[Transaction name]],IF(Transactions[[#This Row],[Level 6]]=Transactions[[#This Row],[L2N]],Transactions[[#This Row],[L1N]],IF(Transactions[[#This Row],[Level 6]]=Transactions[[#This Row],[L3N]],Transactions[[#This Row],[L2N]],IF(Transactions[[#This Row],[Level 6]]=Transactions[[#This Row],[L4N]],Transactions[[#This Row],[L3N]],IF(Transactions[[#This Row],[Level 6]]=Transactions[[#This Row],[L5N]],Transactions[[#This Row],[L4N]],IF(Transactions[[#This Row],[Level 6]]=Transactions[[#This Row],[L6N]],Transactions[[#This Row],[L5N]],IF(Transactions[[#This Row],[Level 6]]=Transactions[[#This Row],[L7N]],Transactions[[#This Row],[L6N]],Transactions[[#This Row],[L7N]]))))))))</f>
        <v>Blast furnaces (own use)</v>
      </c>
      <c r="BE15" s="26" t="str">
        <f>_xlfn.XLOOKUP(Transformation[[#This Row],[cfrom]],Commodities[Commodity],Commodities[Commodity code])</f>
        <v>5220</v>
      </c>
      <c r="BF15" s="26" t="str">
        <f>_xlfn.XLOOKUP(Transformation[[#This Row],[tfrom]],Transactions[Transaction name],Transactions[Transaction code])</f>
        <v>08822</v>
      </c>
      <c r="BG15" s="26" t="str">
        <f>_xlfn.XLOOKUP(Transformation[[#This Row],[cto]],Commodities[Commodity],Commodities[Commodity code])</f>
        <v>5220</v>
      </c>
      <c r="BH15" s="26" t="str">
        <f>_xlfn.XLOOKUP(Transformation[[#This Row],[tto]],Transactions[Transaction name],Transactions[Transaction code])</f>
        <v>016BLC</v>
      </c>
      <c r="BI15" s="11">
        <v>1</v>
      </c>
      <c r="BJ15" s="4" t="s">
        <v>315</v>
      </c>
      <c r="BK15" s="24" t="str">
        <f>_xlfn.XLOOKUP(Transformation[[#This Row],[Commodity from]],Commodities[Commodity code],Commodities[EnergyCode])</f>
        <v>BD</v>
      </c>
      <c r="BL15" s="4" t="s">
        <v>692</v>
      </c>
      <c r="BM15" s="4" t="s">
        <v>315</v>
      </c>
      <c r="BN15" s="24" t="str">
        <f>_xlfn.XLOOKUP(Transformation[[#This Row],[Commodity to]],Commodities[Commodity code],Commodities[EnergyCode])</f>
        <v>BD</v>
      </c>
      <c r="BO15" s="4" t="s">
        <v>1078</v>
      </c>
      <c r="BP15" s="16" t="s">
        <v>1493</v>
      </c>
      <c r="BQ15" s="33" t="str">
        <f>Transformation[[#This Row],[Commodity from]]&amp;Transformation[[#This Row],[Transaction from]]&amp;Transformation[[#This Row],[Commodity to]]&amp;Transformation[[#This Row],[Transaction to]]</f>
        <v>5220088225220016BLC</v>
      </c>
      <c r="BR15" s="26" t="str">
        <f>Transformation[[#This Row],[crfomid]]&amp;Transformation[[#This Row],[Transaction from]]&amp;"("&amp;Transformation[[#This Row],[Multiplier]]&amp;") -&gt; "&amp;Transformation[[#This Row],[ctoid]]&amp;Transformation[[#This Row],[Transaction to]]</f>
        <v>BD08822(1) -&gt; BD016BLC</v>
      </c>
      <c r="BT15" s="26" t="str">
        <f>_xlfn.XLOOKUP(Signswitch[[#This Row],[Commodity name]],Commodities[Commodity],Commodities[Commodity code])</f>
        <v>5212</v>
      </c>
      <c r="BU15" s="26" t="str">
        <f>_xlfn.XLOOKUP(Signswitch[[#This Row],[Transaction name]],Transactions[Transaction name],Transactions[Transaction code])</f>
        <v>051</v>
      </c>
      <c r="BV15" s="26" t="str">
        <f>Signswitch[[#This Row],[Commodity from]]&amp;Signswitch[[#This Row],[Transaction from]]</f>
        <v>5212051</v>
      </c>
      <c r="BW15" s="22" t="s">
        <v>317</v>
      </c>
      <c r="BX15" s="26" t="str">
        <f>_xlfn.XLOOKUP(Signswitch[[#This Row],[Commodity from]],Commodities[Commodity code],Commodities[EnergyCode])</f>
        <v>ZG</v>
      </c>
      <c r="BY15" s="22" t="s">
        <v>196</v>
      </c>
    </row>
    <row r="16" spans="1:77" x14ac:dyDescent="0.45">
      <c r="H16" s="5" t="s">
        <v>456</v>
      </c>
      <c r="I16" s="4" t="s">
        <v>455</v>
      </c>
      <c r="J16" s="9" t="s">
        <v>454</v>
      </c>
      <c r="K16" s="9" t="s">
        <v>1436</v>
      </c>
      <c r="L16" s="23" t="str">
        <f>IFERROR(INDEX(Commodities[[Commodity code]:[Commodity]],MATCH(Commodities[[#This Row],[Parent code]],Commodities[Commodity code],0),2),Commodities[[#This Row],[Commodity]])</f>
        <v>Peat and peat products</v>
      </c>
      <c r="M16" s="24" t="str">
        <f>IFERROR(INDEX(Commodities[[Commodity code]:[Commodity]],MATCH(INDEX(Commodities[[Commodity]:[Parent code]],MATCH(Commodities[[#This Row],[L1N]],Commodities[Commodity],0),2),Commodities[Commodity code],0),2),Commodities[[#This Row],[L1N]])</f>
        <v>Peat and peat products</v>
      </c>
      <c r="N16" s="24" t="str">
        <f>IFERROR(INDEX(Commodities[[Commodity code]:[Commodity]],MATCH(INDEX(Commodities[[Commodity]:[Parent code]],MATCH(Commodities[[#This Row],[L2N]],Commodities[Commodity],0),2),Commodities[Commodity code],0),2),Commodities[[#This Row],[L2N]])</f>
        <v>Peat and peat products</v>
      </c>
      <c r="O16" s="24" t="str">
        <f>IFERROR(INDEX(Commodities[[Commodity code]:[Commodity]],MATCH(INDEX(Commodities[[Commodity]:[Parent code]],MATCH(Commodities[[#This Row],[L3N]],Commodities[Commodity],0),2),Commodities[Commodity code],0),2),Commodities[[#This Row],[L3N]])</f>
        <v>Peat and peat products</v>
      </c>
      <c r="P16" s="24" t="str">
        <f>IF(Commodities[[#This Row],[L4N]]=Commodities[[#This Row],[L3N]],Commodities[[#This Row],[L4N]],IF(Commodities[[#This Row],[L3N]]=Commodities[[#This Row],[L2N]],Commodities[[#This Row],[L3N]],IF(Commodities[[#This Row],[L2N]]=Commodities[[#This Row],[L1N]],Commodities[[#This Row],[L2N]],IF(Commodities[[#This Row],[L1N]]=Commodities[[#This Row],[Commodity]],Commodities[[#This Row],[L1N]],Commodities[[#This Row],[Commodity]]))))</f>
        <v>Peat and peat products</v>
      </c>
      <c r="Q16" s="24" t="str">
        <f>IF(Commodities[[#This Row],[Level 0]]=Commodities[[#This Row],[Commodity]],Commodities[[#This Row],[Commodity]],IF(Commodities[[#This Row],[Level 0]]=Commodities[[#This Row],[L1N]],Commodities[[#This Row],[Commodity]],IF(Commodities[[#This Row],[Level 0]]=Commodities[[#This Row],[L2N]],Commodities[[#This Row],[L1N]],IF(Commodities[[#This Row],[Level 0]]=Commodities[[#This Row],[L3N]],Commodities[[#This Row],[L2N]],IF(Commodities[[#This Row],[Level 0]]=Commodities[[#This Row],[L4N]],Commodities[[#This Row],[L3N]],Commodities[[#This Row],[L4N]])))))</f>
        <v>Peat products</v>
      </c>
      <c r="R16" s="24" t="str">
        <f>IF(Commodities[[#This Row],[Level 1]]=Commodities[[#This Row],[Commodity]],Commodities[[#This Row],[Commodity]],IF(Commodities[[#This Row],[Level 1]]=Commodities[[#This Row],[L1N]],Commodities[[#This Row],[Commodity]],IF(Commodities[[#This Row],[Level 1]]=Commodities[[#This Row],[L2N]],Commodities[[#This Row],[L1N]],IF(Commodities[[#This Row],[Level 1]]=Commodities[[#This Row],[L3N]],Commodities[[#This Row],[L2N]],IF(Commodities[[#This Row],[Level 1]]=Commodities[[#This Row],[L4N]],Commodities[[#This Row],[L3N]],Commodities[[#This Row],[L4N]])))))</f>
        <v>Peat products</v>
      </c>
      <c r="S16" s="24" t="str">
        <f>IF(Commodities[[#This Row],[Level 2]]=Commodities[[#This Row],[Commodity]],Commodities[[#This Row],[Commodity]],IF(Commodities[[#This Row],[Level 2]]=Commodities[[#This Row],[L1N]],Commodities[[#This Row],[Commodity]],IF(Commodities[[#This Row],[Level 2]]=Commodities[[#This Row],[L2N]],Commodities[[#This Row],[L1N]],IF(Commodities[[#This Row],[Level 2]]=Commodities[[#This Row],[L3N]],Commodities[[#This Row],[L2N]],IF(Commodities[[#This Row],[Level 2]]=Commodities[[#This Row],[L4N]],Commodities[[#This Row],[L3N]],Commodities[[#This Row],[L4N]])))))</f>
        <v>Peat products</v>
      </c>
      <c r="T16" s="24" t="str">
        <f>IF(Commodities[[#This Row],[Level 3]]=Commodities[[#This Row],[Commodity]],Commodities[[#This Row],[Commodity]],IF(Commodities[[#This Row],[Level 3]]=Commodities[[#This Row],[L1N]],Commodities[[#This Row],[Commodity]],IF(Commodities[[#This Row],[Level 3]]=Commodities[[#This Row],[L2N]],Commodities[[#This Row],[L1N]],IF(Commodities[[#This Row],[Level 3]]=Commodities[[#This Row],[L3N]],Commodities[[#This Row],[L2N]],IF(Commodities[[#This Row],[Level 3]]=Commodities[[#This Row],[L4N]],Commodities[[#This Row],[L3N]],Commodities[[#This Row],[L4N]])))))</f>
        <v>Peat products</v>
      </c>
      <c r="U16" s="24" t="str">
        <f>IF(Commodities[[#This Row],[Level 4]]=Commodities[[#This Row],[Commodity]],Commodities[[#This Row],[Commodity]],IF(Commodities[[#This Row],[Level 4]]=Commodities[[#This Row],[L1N]],Commodities[[#This Row],[Commodity]],IF(Commodities[[#This Row],[Level 4]]=Commodities[[#This Row],[L2N]],Commodities[[#This Row],[L1N]],IF(Commodities[[#This Row],[Level 4]]=Commodities[[#This Row],[L3N]],Commodities[[#This Row],[L2N]],IF(Commodities[[#This Row],[Level 4]]=Commodities[[#This Row],[L4N]],Commodities[[#This Row],[L3N]],Commodities[[#This Row],[L4N]])))))</f>
        <v>Peat products</v>
      </c>
      <c r="Y16" s="5" t="s">
        <v>156</v>
      </c>
      <c r="Z16" s="4" t="s">
        <v>709</v>
      </c>
      <c r="AA16" s="4" t="s">
        <v>709</v>
      </c>
      <c r="AB16" s="6" t="s">
        <v>144</v>
      </c>
      <c r="AC16" s="24" t="str">
        <f>IFERROR(VLOOKUP(Transactions[[#This Row],[Parent code]],Transactions[[Transaction code]:[Transaction name]],2,0),"")</f>
        <v>Energy industries own use</v>
      </c>
      <c r="AD16" s="4" t="s">
        <v>163</v>
      </c>
      <c r="AE16" s="4" t="s">
        <v>941</v>
      </c>
      <c r="AF16" s="4" t="s">
        <v>642</v>
      </c>
      <c r="AG16" s="4" t="s">
        <v>1</v>
      </c>
      <c r="AH16" s="4" t="s">
        <v>695</v>
      </c>
      <c r="AK16" s="24" t="str" cm="1">
        <f t="array" ref="AK16">IFERROR(INDEX(Transactions[[Transaction code]:[Transaction name]],_xlfn.XMATCH(Transactions[[#This Row],[Parent code]],Transactions[Transaction name],0),3),Transactions[[#This Row],[Transaction name]])</f>
        <v>Briquetting plants (own use)</v>
      </c>
      <c r="AL16" s="24" t="str" cm="1">
        <f t="array" ref="AL16">IFERROR(INDEX(Transactions[[Transaction code]:[Transaction name]],_xlfn.XMATCH(INDEX(Transactions[[Transaction name]:[Parent code]],_xlfn.XMATCH(Transactions[[#This Row],[L1N]],Transactions[Transaction name],0),3),Transactions[Transaction code],0),2),Transactions[[#This Row],[L1N]])</f>
        <v>Energy industries own use</v>
      </c>
      <c r="AM16" s="24" t="str" cm="1">
        <f t="array" ref="AM16">IFERROR(INDEX(Transactions[[Transaction code]:[Transaction name]],_xlfn.XMATCH(INDEX(Transactions[[Transaction name]:[Parent code]],_xlfn.XMATCH(Transactions[[#This Row],[L2N]],Transactions[Transaction name],0),3),Transactions[Transaction code],0),2),Transactions[[#This Row],[L2N]])</f>
        <v>Energy industries own use</v>
      </c>
      <c r="AN16" s="24" t="str" cm="1">
        <f t="array" ref="AN16">IFERROR(INDEX(Transactions[[Transaction code]:[Transaction name]],_xlfn.XMATCH(INDEX(Transactions[[Transaction name]:[Parent code]],_xlfn.XMATCH(Transactions[[#This Row],[L3N]],Transactions[Transaction name],0),3),Transactions[Transaction code],0),2),Transactions[[#This Row],[L3N]])</f>
        <v>Energy industries own use</v>
      </c>
      <c r="AO16" s="24" t="str" cm="1">
        <f t="array" ref="AO16">IFERROR(INDEX(Transactions[[Transaction code]:[Transaction name]],_xlfn.XMATCH(INDEX(Transactions[[Transaction name]:[Parent code]],_xlfn.XMATCH(Transactions[[#This Row],[L4N]],Transactions[Transaction name],0),3),Transactions[Transaction code],0),2),Transactions[[#This Row],[L4N]])</f>
        <v>Energy industries own use</v>
      </c>
      <c r="AP16" s="24" t="str" cm="1">
        <f t="array" ref="AP16">IFERROR(INDEX(Transactions[[Transaction code]:[Transaction name]],_xlfn.XMATCH(INDEX(Transactions[[Transaction name]:[Parent code]],_xlfn.XMATCH(Transactions[[#This Row],[L5N]],Transactions[Transaction name],0),3),Transactions[Transaction code],0),2),Transactions[[#This Row],[L5N]])</f>
        <v>Energy industries own use</v>
      </c>
      <c r="AQ16" s="24" t="str" cm="1">
        <f t="array" ref="AQ16">IFERROR(INDEX(Transactions[[Transaction code]:[Transaction name]],_xlfn.XMATCH(INDEX(Transactions[[Transaction name]:[Parent code]],_xlfn.XMATCH(Transactions[[#This Row],[L6N]],Transactions[Transaction name],0),3),Transactions[Transaction code],0),2),Transactions[[#This Row],[L6N]])</f>
        <v>Energy industries own use</v>
      </c>
      <c r="AR16" s="27" t="str">
        <f>IF(Transactions[[#This Row],[L7N]]=Transactions[[#This Row],[L6N]],Transactions[[#This Row],[L7N]],IF(Transactions[[#This Row],[L6N]]=Transactions[[#This Row],[L5N]],Transactions[[#This Row],[L6N]],IF(Transactions[[#This Row],[L5N]]=Transactions[[#This Row],[L4N]],Transactions[[#This Row],[L5N]],IF(Transactions[[#This Row],[L4N]]=Transactions[[#This Row],[L3N]],Transactions[[#This Row],[L4N]],IF(Transactions[[#This Row],[L3N]]=Transactions[[#This Row],[L2N]],Transactions[[#This Row],[L3N]],IF(Transactions[[#This Row],[L2N]]=Transactions[[#This Row],[L1N]],Transactions[[#This Row],[L2N]],IF(Transactions[[#This Row],[L1N]]=Transactions[[#This Row],[Transaction name]],Transactions[[#This Row],[L1N]],Transactions[[#This Row],[Transaction name]])))))))</f>
        <v>Energy industries own use</v>
      </c>
      <c r="AS16" s="24" t="str">
        <f>IF(Transactions[[#This Row],[Level 0]]=Transactions[[#This Row],[Transaction name]],Transactions[[#This Row],[Transaction name]],IF(Transactions[[#This Row],[Level 0]]=Transactions[[#This Row],[L1N]],Transactions[[#This Row],[Transaction name]],IF(Transactions[[#This Row],[Level 0]]=Transactions[[#This Row],[L2N]],Transactions[[#This Row],[L1N]],IF(Transactions[[#This Row],[Level 0]]=Transactions[[#This Row],[L3N]],Transactions[[#This Row],[L2N]],IF(Transactions[[#This Row],[Level 0]]=Transactions[[#This Row],[L4N]],Transactions[[#This Row],[L3N]],IF(Transactions[[#This Row],[Level 0]]=Transactions[[#This Row],[L5N]],Transactions[[#This Row],[L4N]],IF(Transactions[[#This Row],[Level 0]]=Transactions[[#This Row],[L6N]],Transactions[[#This Row],[L5N]],IF(Transactions[[#This Row],[Level 0]]=Transactions[[#This Row],[L7N]],Transactions[[#This Row],[L6N]],Transactions[[#This Row],[L7N]]))))))))</f>
        <v>Briquetting plants (own use)</v>
      </c>
      <c r="AT16" s="24" t="str">
        <f>IF(Transactions[[#This Row],[Level 1]]=Transactions[[#This Row],[Transaction name]],Transactions[[#This Row],[Transaction name]],IF(Transactions[[#This Row],[Level 1]]=Transactions[[#This Row],[L1N]],Transactions[[#This Row],[Transaction name]],IF(Transactions[[#This Row],[Level 1]]=Transactions[[#This Row],[L2N]],Transactions[[#This Row],[L1N]],IF(Transactions[[#This Row],[Level 1]]=Transactions[[#This Row],[L3N]],Transactions[[#This Row],[L2N]],IF(Transactions[[#This Row],[Level 1]]=Transactions[[#This Row],[L4N]],Transactions[[#This Row],[L3N]],IF(Transactions[[#This Row],[Level 1]]=Transactions[[#This Row],[L5N]],Transactions[[#This Row],[L4N]],IF(Transactions[[#This Row],[Level 1]]=Transactions[[#This Row],[L6N]],Transactions[[#This Row],[L5N]],IF(Transactions[[#This Row],[Level 1]]=Transactions[[#This Row],[L7N]],Transactions[[#This Row],[L6N]],Transactions[[#This Row],[L7N]]))))))))</f>
        <v>Briquetting plants (own use)</v>
      </c>
      <c r="AU16" s="24" t="str">
        <f>IF(Transactions[[#This Row],[Level 2]]=Transactions[[#This Row],[Transaction name]],Transactions[[#This Row],[Transaction name]],IF(Transactions[[#This Row],[Level 2]]=Transactions[[#This Row],[L1N]],Transactions[[#This Row],[Transaction name]],IF(Transactions[[#This Row],[Level 2]]=Transactions[[#This Row],[L2N]],Transactions[[#This Row],[L1N]],IF(Transactions[[#This Row],[Level 2]]=Transactions[[#This Row],[L3N]],Transactions[[#This Row],[L2N]],IF(Transactions[[#This Row],[Level 2]]=Transactions[[#This Row],[L4N]],Transactions[[#This Row],[L3N]],IF(Transactions[[#This Row],[Level 2]]=Transactions[[#This Row],[L5N]],Transactions[[#This Row],[L4N]],IF(Transactions[[#This Row],[Level 2]]=Transactions[[#This Row],[L6N]],Transactions[[#This Row],[L5N]],IF(Transactions[[#This Row],[Level 2]]=Transactions[[#This Row],[L7N]],Transactions[[#This Row],[L6N]],Transactions[[#This Row],[L7N]]))))))))</f>
        <v>Briquetting plants (own use)</v>
      </c>
      <c r="AV16" s="24" t="str">
        <f>IF(Transactions[[#This Row],[Level 3]]=Transactions[[#This Row],[Transaction name]],Transactions[[#This Row],[Transaction name]],IF(Transactions[[#This Row],[Level 3]]=Transactions[[#This Row],[L1N]],Transactions[[#This Row],[Transaction name]],IF(Transactions[[#This Row],[Level 3]]=Transactions[[#This Row],[L2N]],Transactions[[#This Row],[L1N]],IF(Transactions[[#This Row],[Level 3]]=Transactions[[#This Row],[L3N]],Transactions[[#This Row],[L2N]],IF(Transactions[[#This Row],[Level 3]]=Transactions[[#This Row],[L4N]],Transactions[[#This Row],[L3N]],IF(Transactions[[#This Row],[Level 3]]=Transactions[[#This Row],[L5N]],Transactions[[#This Row],[L4N]],IF(Transactions[[#This Row],[Level 3]]=Transactions[[#This Row],[L6N]],Transactions[[#This Row],[L5N]],IF(Transactions[[#This Row],[Level 3]]=Transactions[[#This Row],[L7N]],Transactions[[#This Row],[L6N]],Transactions[[#This Row],[L7N]]))))))))</f>
        <v>Briquetting plants (own use)</v>
      </c>
      <c r="AW16" s="24" t="str">
        <f>IF(Transactions[[#This Row],[Level 4]]=Transactions[[#This Row],[Transaction name]],Transactions[[#This Row],[Transaction name]],IF(Transactions[[#This Row],[Level 4]]=Transactions[[#This Row],[L1N]],Transactions[[#This Row],[Transaction name]],IF(Transactions[[#This Row],[Level 4]]=Transactions[[#This Row],[L2N]],Transactions[[#This Row],[L1N]],IF(Transactions[[#This Row],[Level 4]]=Transactions[[#This Row],[L3N]],Transactions[[#This Row],[L2N]],IF(Transactions[[#This Row],[Level 4]]=Transactions[[#This Row],[L4N]],Transactions[[#This Row],[L3N]],IF(Transactions[[#This Row],[Level 4]]=Transactions[[#This Row],[L5N]],Transactions[[#This Row],[L4N]],IF(Transactions[[#This Row],[Level 4]]=Transactions[[#This Row],[L6N]],Transactions[[#This Row],[L5N]],IF(Transactions[[#This Row],[Level 4]]=Transactions[[#This Row],[L7N]],Transactions[[#This Row],[L6N]],Transactions[[#This Row],[L7N]]))))))))</f>
        <v>Briquetting plants (own use)</v>
      </c>
      <c r="AX16" s="24" t="str">
        <f>IF(Transactions[[#This Row],[Level 5]]=Transactions[[#This Row],[Transaction name]],Transactions[[#This Row],[Transaction name]],IF(Transactions[[#This Row],[Level 5]]=Transactions[[#This Row],[L1N]],Transactions[[#This Row],[Transaction name]],IF(Transactions[[#This Row],[Level 5]]=Transactions[[#This Row],[L2N]],Transactions[[#This Row],[L1N]],IF(Transactions[[#This Row],[Level 5]]=Transactions[[#This Row],[L3N]],Transactions[[#This Row],[L2N]],IF(Transactions[[#This Row],[Level 5]]=Transactions[[#This Row],[L4N]],Transactions[[#This Row],[L3N]],IF(Transactions[[#This Row],[Level 5]]=Transactions[[#This Row],[L5N]],Transactions[[#This Row],[L4N]],IF(Transactions[[#This Row],[Level 5]]=Transactions[[#This Row],[L6N]],Transactions[[#This Row],[L5N]],IF(Transactions[[#This Row],[Level 5]]=Transactions[[#This Row],[L7N]],Transactions[[#This Row],[L6N]],Transactions[[#This Row],[L7N]]))))))))</f>
        <v>Briquetting plants (own use)</v>
      </c>
      <c r="AY16" s="24" t="str">
        <f>IF(Transactions[[#This Row],[Level 6]]=Transactions[[#This Row],[Transaction name]],Transactions[[#This Row],[Transaction name]],IF(Transactions[[#This Row],[Level 6]]=Transactions[[#This Row],[L1N]],Transactions[[#This Row],[Transaction name]],IF(Transactions[[#This Row],[Level 6]]=Transactions[[#This Row],[L2N]],Transactions[[#This Row],[L1N]],IF(Transactions[[#This Row],[Level 6]]=Transactions[[#This Row],[L3N]],Transactions[[#This Row],[L2N]],IF(Transactions[[#This Row],[Level 6]]=Transactions[[#This Row],[L4N]],Transactions[[#This Row],[L3N]],IF(Transactions[[#This Row],[Level 6]]=Transactions[[#This Row],[L5N]],Transactions[[#This Row],[L4N]],IF(Transactions[[#This Row],[Level 6]]=Transactions[[#This Row],[L6N]],Transactions[[#This Row],[L5N]],IF(Transactions[[#This Row],[Level 6]]=Transactions[[#This Row],[L7N]],Transactions[[#This Row],[L6N]],Transactions[[#This Row],[L7N]]))))))))</f>
        <v>Briquetting plants (own use)</v>
      </c>
      <c r="BE16" s="26" t="str">
        <f>_xlfn.XLOOKUP(Transformation[[#This Row],[cfrom]],Commodities[Commodity],Commodities[Commodity code])</f>
        <v>0371</v>
      </c>
      <c r="BF16" s="26" t="str">
        <f>_xlfn.XLOOKUP(Transformation[[#This Row],[tfrom]],Transactions[Transaction name],Transactions[Transaction code])</f>
        <v>08822</v>
      </c>
      <c r="BG16" s="26" t="str">
        <f>_xlfn.XLOOKUP(Transformation[[#This Row],[cto]],Commodities[Commodity],Commodities[Commodity code])</f>
        <v>0371</v>
      </c>
      <c r="BH16" s="26" t="str">
        <f>_xlfn.XLOOKUP(Transformation[[#This Row],[tto]],Transactions[Transaction name],Transactions[Transaction code])</f>
        <v>016CGC</v>
      </c>
      <c r="BI16" s="11">
        <v>1</v>
      </c>
      <c r="BJ16" s="4" t="s">
        <v>476</v>
      </c>
      <c r="BK16" s="24" t="str">
        <f>_xlfn.XLOOKUP(Transformation[[#This Row],[Commodity from]],Commodities[Commodity code],Commodities[EnergyCode])</f>
        <v>BG</v>
      </c>
      <c r="BL16" s="4" t="s">
        <v>692</v>
      </c>
      <c r="BM16" s="4" t="s">
        <v>476</v>
      </c>
      <c r="BN16" s="24" t="str">
        <f>_xlfn.XLOOKUP(Transformation[[#This Row],[Commodity to]],Commodities[Commodity code],Commodities[EnergyCode])</f>
        <v>BG</v>
      </c>
      <c r="BO16" s="4" t="s">
        <v>1221</v>
      </c>
      <c r="BP16" s="16" t="s">
        <v>1493</v>
      </c>
      <c r="BQ16" s="33" t="str">
        <f>Transformation[[#This Row],[Commodity from]]&amp;Transformation[[#This Row],[Transaction from]]&amp;Transformation[[#This Row],[Commodity to]]&amp;Transformation[[#This Row],[Transaction to]]</f>
        <v>0371088220371016CGC</v>
      </c>
      <c r="BR16" s="26" t="str">
        <f>Transformation[[#This Row],[crfomid]]&amp;Transformation[[#This Row],[Transaction from]]&amp;"("&amp;Transformation[[#This Row],[Multiplier]]&amp;") -&gt; "&amp;Transformation[[#This Row],[ctoid]]&amp;Transformation[[#This Row],[Transaction to]]</f>
        <v>BG08822(1) -&gt; BG016CGC</v>
      </c>
      <c r="BT16" s="26" t="str">
        <f>_xlfn.XLOOKUP(Signswitch[[#This Row],[Commodity name]],Commodities[Commodity],Commodities[Commodity code])</f>
        <v>5232</v>
      </c>
      <c r="BU16" s="26" t="str">
        <f>_xlfn.XLOOKUP(Signswitch[[#This Row],[Transaction name]],Transactions[Transaction name],Transactions[Transaction code])</f>
        <v>06</v>
      </c>
      <c r="BV16" s="26" t="str">
        <f>Signswitch[[#This Row],[Commodity from]]&amp;Signswitch[[#This Row],[Transaction from]]</f>
        <v>523206</v>
      </c>
      <c r="BW16" s="22" t="s">
        <v>306</v>
      </c>
      <c r="BX16" s="26" t="str">
        <f>_xlfn.XLOOKUP(Signswitch[[#This Row],[Commodity from]],Commodities[Commodity code],Commodities[EnergyCode])</f>
        <v>ZJ</v>
      </c>
      <c r="BY16" s="22" t="s">
        <v>192</v>
      </c>
    </row>
    <row r="17" spans="8:77" x14ac:dyDescent="0.45">
      <c r="H17" s="5" t="s">
        <v>338</v>
      </c>
      <c r="I17" s="4" t="s">
        <v>337</v>
      </c>
      <c r="J17" s="9" t="s">
        <v>325</v>
      </c>
      <c r="K17" s="9" t="s">
        <v>1455</v>
      </c>
      <c r="L17" s="23" t="str">
        <f>IFERROR(INDEX(Commodities[[Commodity code]:[Commodity]],MATCH(Commodities[[#This Row],[Parent code]],Commodities[Commodity code],0),2),Commodities[[#This Row],[Commodity]])</f>
        <v>Solid biofuels</v>
      </c>
      <c r="M17" s="24" t="str">
        <f>IFERROR(INDEX(Commodities[[Commodity code]:[Commodity]],MATCH(INDEX(Commodities[[Commodity]:[Parent code]],MATCH(Commodities[[#This Row],[L1N]],Commodities[Commodity],0),2),Commodities[Commodity code],0),2),Commodities[[#This Row],[L1N]])</f>
        <v>Biofuels</v>
      </c>
      <c r="N17" s="24" t="str">
        <f>IFERROR(INDEX(Commodities[[Commodity code]:[Commodity]],MATCH(INDEX(Commodities[[Commodity]:[Parent code]],MATCH(Commodities[[#This Row],[L2N]],Commodities[Commodity],0),2),Commodities[Commodity code],0),2),Commodities[[#This Row],[L2N]])</f>
        <v>Biofuels</v>
      </c>
      <c r="O17" s="24" t="str">
        <f>IFERROR(INDEX(Commodities[[Commodity code]:[Commodity]],MATCH(INDEX(Commodities[[Commodity]:[Parent code]],MATCH(Commodities[[#This Row],[L3N]],Commodities[Commodity],0),2),Commodities[Commodity code],0),2),Commodities[[#This Row],[L3N]])</f>
        <v>Biofuels</v>
      </c>
      <c r="P17" s="24" t="str">
        <f>IF(Commodities[[#This Row],[L4N]]=Commodities[[#This Row],[L3N]],Commodities[[#This Row],[L4N]],IF(Commodities[[#This Row],[L3N]]=Commodities[[#This Row],[L2N]],Commodities[[#This Row],[L3N]],IF(Commodities[[#This Row],[L2N]]=Commodities[[#This Row],[L1N]],Commodities[[#This Row],[L2N]],IF(Commodities[[#This Row],[L1N]]=Commodities[[#This Row],[Commodity]],Commodities[[#This Row],[L1N]],Commodities[[#This Row],[Commodity]]))))</f>
        <v>Biofuels</v>
      </c>
      <c r="Q17" s="24" t="str">
        <f>IF(Commodities[[#This Row],[Level 0]]=Commodities[[#This Row],[Commodity]],Commodities[[#This Row],[Commodity]],IF(Commodities[[#This Row],[Level 0]]=Commodities[[#This Row],[L1N]],Commodities[[#This Row],[Commodity]],IF(Commodities[[#This Row],[Level 0]]=Commodities[[#This Row],[L2N]],Commodities[[#This Row],[L1N]],IF(Commodities[[#This Row],[Level 0]]=Commodities[[#This Row],[L3N]],Commodities[[#This Row],[L2N]],IF(Commodities[[#This Row],[Level 0]]=Commodities[[#This Row],[L4N]],Commodities[[#This Row],[L3N]],Commodities[[#This Row],[L4N]])))))</f>
        <v>Solid biofuels</v>
      </c>
      <c r="R17" s="24" t="str">
        <f>IF(Commodities[[#This Row],[Level 1]]=Commodities[[#This Row],[Commodity]],Commodities[[#This Row],[Commodity]],IF(Commodities[[#This Row],[Level 1]]=Commodities[[#This Row],[L1N]],Commodities[[#This Row],[Commodity]],IF(Commodities[[#This Row],[Level 1]]=Commodities[[#This Row],[L2N]],Commodities[[#This Row],[L1N]],IF(Commodities[[#This Row],[Level 1]]=Commodities[[#This Row],[L3N]],Commodities[[#This Row],[L2N]],IF(Commodities[[#This Row],[Level 1]]=Commodities[[#This Row],[L4N]],Commodities[[#This Row],[L3N]],Commodities[[#This Row],[L4N]])))))</f>
        <v>Bagasse</v>
      </c>
      <c r="S17" s="24" t="str">
        <f>IF(Commodities[[#This Row],[Level 2]]=Commodities[[#This Row],[Commodity]],Commodities[[#This Row],[Commodity]],IF(Commodities[[#This Row],[Level 2]]=Commodities[[#This Row],[L1N]],Commodities[[#This Row],[Commodity]],IF(Commodities[[#This Row],[Level 2]]=Commodities[[#This Row],[L2N]],Commodities[[#This Row],[L1N]],IF(Commodities[[#This Row],[Level 2]]=Commodities[[#This Row],[L3N]],Commodities[[#This Row],[L2N]],IF(Commodities[[#This Row],[Level 2]]=Commodities[[#This Row],[L4N]],Commodities[[#This Row],[L3N]],Commodities[[#This Row],[L4N]])))))</f>
        <v>Bagasse</v>
      </c>
      <c r="T17" s="24" t="str">
        <f>IF(Commodities[[#This Row],[Level 3]]=Commodities[[#This Row],[Commodity]],Commodities[[#This Row],[Commodity]],IF(Commodities[[#This Row],[Level 3]]=Commodities[[#This Row],[L1N]],Commodities[[#This Row],[Commodity]],IF(Commodities[[#This Row],[Level 3]]=Commodities[[#This Row],[L2N]],Commodities[[#This Row],[L1N]],IF(Commodities[[#This Row],[Level 3]]=Commodities[[#This Row],[L3N]],Commodities[[#This Row],[L2N]],IF(Commodities[[#This Row],[Level 3]]=Commodities[[#This Row],[L4N]],Commodities[[#This Row],[L3N]],Commodities[[#This Row],[L4N]])))))</f>
        <v>Bagasse</v>
      </c>
      <c r="U17" s="24" t="str">
        <f>IF(Commodities[[#This Row],[Level 4]]=Commodities[[#This Row],[Commodity]],Commodities[[#This Row],[Commodity]],IF(Commodities[[#This Row],[Level 4]]=Commodities[[#This Row],[L1N]],Commodities[[#This Row],[Commodity]],IF(Commodities[[#This Row],[Level 4]]=Commodities[[#This Row],[L2N]],Commodities[[#This Row],[L1N]],IF(Commodities[[#This Row],[Level 4]]=Commodities[[#This Row],[L3N]],Commodities[[#This Row],[L2N]],IF(Commodities[[#This Row],[Level 4]]=Commodities[[#This Row],[L4N]],Commodities[[#This Row],[L3N]],Commodities[[#This Row],[L4N]])))))</f>
        <v>Bagasse</v>
      </c>
      <c r="Y17" s="5" t="s">
        <v>146</v>
      </c>
      <c r="Z17" s="4" t="s">
        <v>717</v>
      </c>
      <c r="AA17" s="4" t="s">
        <v>717</v>
      </c>
      <c r="AB17" s="6" t="s">
        <v>144</v>
      </c>
      <c r="AC17" s="24" t="str">
        <f>IFERROR(VLOOKUP(Transactions[[#This Row],[Parent code]],Transactions[[Transaction code]:[Transaction name]],2,0),"")</f>
        <v>Energy industries own use</v>
      </c>
      <c r="AD17" s="4" t="s">
        <v>163</v>
      </c>
      <c r="AE17" s="4" t="s">
        <v>948</v>
      </c>
      <c r="AF17" s="4" t="s">
        <v>642</v>
      </c>
      <c r="AG17" s="4" t="s">
        <v>1</v>
      </c>
      <c r="AH17" s="4" t="s">
        <v>695</v>
      </c>
      <c r="AK17" s="24" t="str" cm="1">
        <f t="array" ref="AK17">IFERROR(INDEX(Transactions[[Transaction code]:[Transaction name]],_xlfn.XMATCH(Transactions[[#This Row],[Parent code]],Transactions[Transaction name],0),3),Transactions[[#This Row],[Transaction name]])</f>
        <v>Charcoal plants (own use)</v>
      </c>
      <c r="AL17" s="24" t="str" cm="1">
        <f t="array" ref="AL17">IFERROR(INDEX(Transactions[[Transaction code]:[Transaction name]],_xlfn.XMATCH(INDEX(Transactions[[Transaction name]:[Parent code]],_xlfn.XMATCH(Transactions[[#This Row],[L1N]],Transactions[Transaction name],0),3),Transactions[Transaction code],0),2),Transactions[[#This Row],[L1N]])</f>
        <v>Energy industries own use</v>
      </c>
      <c r="AM17" s="24" t="str" cm="1">
        <f t="array" ref="AM17">IFERROR(INDEX(Transactions[[Transaction code]:[Transaction name]],_xlfn.XMATCH(INDEX(Transactions[[Transaction name]:[Parent code]],_xlfn.XMATCH(Transactions[[#This Row],[L2N]],Transactions[Transaction name],0),3),Transactions[Transaction code],0),2),Transactions[[#This Row],[L2N]])</f>
        <v>Energy industries own use</v>
      </c>
      <c r="AN17" s="24" t="str" cm="1">
        <f t="array" ref="AN17">IFERROR(INDEX(Transactions[[Transaction code]:[Transaction name]],_xlfn.XMATCH(INDEX(Transactions[[Transaction name]:[Parent code]],_xlfn.XMATCH(Transactions[[#This Row],[L3N]],Transactions[Transaction name],0),3),Transactions[Transaction code],0),2),Transactions[[#This Row],[L3N]])</f>
        <v>Energy industries own use</v>
      </c>
      <c r="AO17" s="24" t="str" cm="1">
        <f t="array" ref="AO17">IFERROR(INDEX(Transactions[[Transaction code]:[Transaction name]],_xlfn.XMATCH(INDEX(Transactions[[Transaction name]:[Parent code]],_xlfn.XMATCH(Transactions[[#This Row],[L4N]],Transactions[Transaction name],0),3),Transactions[Transaction code],0),2),Transactions[[#This Row],[L4N]])</f>
        <v>Energy industries own use</v>
      </c>
      <c r="AP17" s="24" t="str" cm="1">
        <f t="array" ref="AP17">IFERROR(INDEX(Transactions[[Transaction code]:[Transaction name]],_xlfn.XMATCH(INDEX(Transactions[[Transaction name]:[Parent code]],_xlfn.XMATCH(Transactions[[#This Row],[L5N]],Transactions[Transaction name],0),3),Transactions[Transaction code],0),2),Transactions[[#This Row],[L5N]])</f>
        <v>Energy industries own use</v>
      </c>
      <c r="AQ17" s="24" t="str" cm="1">
        <f t="array" ref="AQ17">IFERROR(INDEX(Transactions[[Transaction code]:[Transaction name]],_xlfn.XMATCH(INDEX(Transactions[[Transaction name]:[Parent code]],_xlfn.XMATCH(Transactions[[#This Row],[L6N]],Transactions[Transaction name],0),3),Transactions[Transaction code],0),2),Transactions[[#This Row],[L6N]])</f>
        <v>Energy industries own use</v>
      </c>
      <c r="AR17" s="27" t="str">
        <f>IF(Transactions[[#This Row],[L7N]]=Transactions[[#This Row],[L6N]],Transactions[[#This Row],[L7N]],IF(Transactions[[#This Row],[L6N]]=Transactions[[#This Row],[L5N]],Transactions[[#This Row],[L6N]],IF(Transactions[[#This Row],[L5N]]=Transactions[[#This Row],[L4N]],Transactions[[#This Row],[L5N]],IF(Transactions[[#This Row],[L4N]]=Transactions[[#This Row],[L3N]],Transactions[[#This Row],[L4N]],IF(Transactions[[#This Row],[L3N]]=Transactions[[#This Row],[L2N]],Transactions[[#This Row],[L3N]],IF(Transactions[[#This Row],[L2N]]=Transactions[[#This Row],[L1N]],Transactions[[#This Row],[L2N]],IF(Transactions[[#This Row],[L1N]]=Transactions[[#This Row],[Transaction name]],Transactions[[#This Row],[L1N]],Transactions[[#This Row],[Transaction name]])))))))</f>
        <v>Energy industries own use</v>
      </c>
      <c r="AS17" s="24" t="str">
        <f>IF(Transactions[[#This Row],[Level 0]]=Transactions[[#This Row],[Transaction name]],Transactions[[#This Row],[Transaction name]],IF(Transactions[[#This Row],[Level 0]]=Transactions[[#This Row],[L1N]],Transactions[[#This Row],[Transaction name]],IF(Transactions[[#This Row],[Level 0]]=Transactions[[#This Row],[L2N]],Transactions[[#This Row],[L1N]],IF(Transactions[[#This Row],[Level 0]]=Transactions[[#This Row],[L3N]],Transactions[[#This Row],[L2N]],IF(Transactions[[#This Row],[Level 0]]=Transactions[[#This Row],[L4N]],Transactions[[#This Row],[L3N]],IF(Transactions[[#This Row],[Level 0]]=Transactions[[#This Row],[L5N]],Transactions[[#This Row],[L4N]],IF(Transactions[[#This Row],[Level 0]]=Transactions[[#This Row],[L6N]],Transactions[[#This Row],[L5N]],IF(Transactions[[#This Row],[Level 0]]=Transactions[[#This Row],[L7N]],Transactions[[#This Row],[L6N]],Transactions[[#This Row],[L7N]]))))))))</f>
        <v>Charcoal plants (own use)</v>
      </c>
      <c r="AT17" s="24" t="str">
        <f>IF(Transactions[[#This Row],[Level 1]]=Transactions[[#This Row],[Transaction name]],Transactions[[#This Row],[Transaction name]],IF(Transactions[[#This Row],[Level 1]]=Transactions[[#This Row],[L1N]],Transactions[[#This Row],[Transaction name]],IF(Transactions[[#This Row],[Level 1]]=Transactions[[#This Row],[L2N]],Transactions[[#This Row],[L1N]],IF(Transactions[[#This Row],[Level 1]]=Transactions[[#This Row],[L3N]],Transactions[[#This Row],[L2N]],IF(Transactions[[#This Row],[Level 1]]=Transactions[[#This Row],[L4N]],Transactions[[#This Row],[L3N]],IF(Transactions[[#This Row],[Level 1]]=Transactions[[#This Row],[L5N]],Transactions[[#This Row],[L4N]],IF(Transactions[[#This Row],[Level 1]]=Transactions[[#This Row],[L6N]],Transactions[[#This Row],[L5N]],IF(Transactions[[#This Row],[Level 1]]=Transactions[[#This Row],[L7N]],Transactions[[#This Row],[L6N]],Transactions[[#This Row],[L7N]]))))))))</f>
        <v>Charcoal plants (own use)</v>
      </c>
      <c r="AU17" s="24" t="str">
        <f>IF(Transactions[[#This Row],[Level 2]]=Transactions[[#This Row],[Transaction name]],Transactions[[#This Row],[Transaction name]],IF(Transactions[[#This Row],[Level 2]]=Transactions[[#This Row],[L1N]],Transactions[[#This Row],[Transaction name]],IF(Transactions[[#This Row],[Level 2]]=Transactions[[#This Row],[L2N]],Transactions[[#This Row],[L1N]],IF(Transactions[[#This Row],[Level 2]]=Transactions[[#This Row],[L3N]],Transactions[[#This Row],[L2N]],IF(Transactions[[#This Row],[Level 2]]=Transactions[[#This Row],[L4N]],Transactions[[#This Row],[L3N]],IF(Transactions[[#This Row],[Level 2]]=Transactions[[#This Row],[L5N]],Transactions[[#This Row],[L4N]],IF(Transactions[[#This Row],[Level 2]]=Transactions[[#This Row],[L6N]],Transactions[[#This Row],[L5N]],IF(Transactions[[#This Row],[Level 2]]=Transactions[[#This Row],[L7N]],Transactions[[#This Row],[L6N]],Transactions[[#This Row],[L7N]]))))))))</f>
        <v>Charcoal plants (own use)</v>
      </c>
      <c r="AV17" s="24" t="str">
        <f>IF(Transactions[[#This Row],[Level 3]]=Transactions[[#This Row],[Transaction name]],Transactions[[#This Row],[Transaction name]],IF(Transactions[[#This Row],[Level 3]]=Transactions[[#This Row],[L1N]],Transactions[[#This Row],[Transaction name]],IF(Transactions[[#This Row],[Level 3]]=Transactions[[#This Row],[L2N]],Transactions[[#This Row],[L1N]],IF(Transactions[[#This Row],[Level 3]]=Transactions[[#This Row],[L3N]],Transactions[[#This Row],[L2N]],IF(Transactions[[#This Row],[Level 3]]=Transactions[[#This Row],[L4N]],Transactions[[#This Row],[L3N]],IF(Transactions[[#This Row],[Level 3]]=Transactions[[#This Row],[L5N]],Transactions[[#This Row],[L4N]],IF(Transactions[[#This Row],[Level 3]]=Transactions[[#This Row],[L6N]],Transactions[[#This Row],[L5N]],IF(Transactions[[#This Row],[Level 3]]=Transactions[[#This Row],[L7N]],Transactions[[#This Row],[L6N]],Transactions[[#This Row],[L7N]]))))))))</f>
        <v>Charcoal plants (own use)</v>
      </c>
      <c r="AW17" s="24" t="str">
        <f>IF(Transactions[[#This Row],[Level 4]]=Transactions[[#This Row],[Transaction name]],Transactions[[#This Row],[Transaction name]],IF(Transactions[[#This Row],[Level 4]]=Transactions[[#This Row],[L1N]],Transactions[[#This Row],[Transaction name]],IF(Transactions[[#This Row],[Level 4]]=Transactions[[#This Row],[L2N]],Transactions[[#This Row],[L1N]],IF(Transactions[[#This Row],[Level 4]]=Transactions[[#This Row],[L3N]],Transactions[[#This Row],[L2N]],IF(Transactions[[#This Row],[Level 4]]=Transactions[[#This Row],[L4N]],Transactions[[#This Row],[L3N]],IF(Transactions[[#This Row],[Level 4]]=Transactions[[#This Row],[L5N]],Transactions[[#This Row],[L4N]],IF(Transactions[[#This Row],[Level 4]]=Transactions[[#This Row],[L6N]],Transactions[[#This Row],[L5N]],IF(Transactions[[#This Row],[Level 4]]=Transactions[[#This Row],[L7N]],Transactions[[#This Row],[L6N]],Transactions[[#This Row],[L7N]]))))))))</f>
        <v>Charcoal plants (own use)</v>
      </c>
      <c r="AX17" s="24" t="str">
        <f>IF(Transactions[[#This Row],[Level 5]]=Transactions[[#This Row],[Transaction name]],Transactions[[#This Row],[Transaction name]],IF(Transactions[[#This Row],[Level 5]]=Transactions[[#This Row],[L1N]],Transactions[[#This Row],[Transaction name]],IF(Transactions[[#This Row],[Level 5]]=Transactions[[#This Row],[L2N]],Transactions[[#This Row],[L1N]],IF(Transactions[[#This Row],[Level 5]]=Transactions[[#This Row],[L3N]],Transactions[[#This Row],[L2N]],IF(Transactions[[#This Row],[Level 5]]=Transactions[[#This Row],[L4N]],Transactions[[#This Row],[L3N]],IF(Transactions[[#This Row],[Level 5]]=Transactions[[#This Row],[L5N]],Transactions[[#This Row],[L4N]],IF(Transactions[[#This Row],[Level 5]]=Transactions[[#This Row],[L6N]],Transactions[[#This Row],[L5N]],IF(Transactions[[#This Row],[Level 5]]=Transactions[[#This Row],[L7N]],Transactions[[#This Row],[L6N]],Transactions[[#This Row],[L7N]]))))))))</f>
        <v>Charcoal plants (own use)</v>
      </c>
      <c r="AY17" s="24" t="str">
        <f>IF(Transactions[[#This Row],[Level 6]]=Transactions[[#This Row],[Transaction name]],Transactions[[#This Row],[Transaction name]],IF(Transactions[[#This Row],[Level 6]]=Transactions[[#This Row],[L1N]],Transactions[[#This Row],[Transaction name]],IF(Transactions[[#This Row],[Level 6]]=Transactions[[#This Row],[L2N]],Transactions[[#This Row],[L1N]],IF(Transactions[[#This Row],[Level 6]]=Transactions[[#This Row],[L3N]],Transactions[[#This Row],[L2N]],IF(Transactions[[#This Row],[Level 6]]=Transactions[[#This Row],[L4N]],Transactions[[#This Row],[L3N]],IF(Transactions[[#This Row],[Level 6]]=Transactions[[#This Row],[L5N]],Transactions[[#This Row],[L4N]],IF(Transactions[[#This Row],[Level 6]]=Transactions[[#This Row],[L6N]],Transactions[[#This Row],[L5N]],IF(Transactions[[#This Row],[Level 6]]=Transactions[[#This Row],[L7N]],Transactions[[#This Row],[L6N]],Transactions[[#This Row],[L7N]]))))))))</f>
        <v>Charcoal plants (own use)</v>
      </c>
      <c r="BE17" s="26" t="str">
        <f>_xlfn.XLOOKUP(Transformation[[#This Row],[cfrom]],Commodities[Commodity],Commodities[Commodity code])</f>
        <v>5300</v>
      </c>
      <c r="BF17" s="26" t="str">
        <f>_xlfn.XLOOKUP(Transformation[[#This Row],[tfrom]],Transactions[Transaction name],Transactions[Transaction code])</f>
        <v>08822</v>
      </c>
      <c r="BG17" s="26" t="str">
        <f>_xlfn.XLOOKUP(Transformation[[#This Row],[cto]],Commodities[Commodity],Commodities[Commodity code])</f>
        <v>5300</v>
      </c>
      <c r="BH17" s="26" t="str">
        <f>_xlfn.XLOOKUP(Transformation[[#This Row],[tto]],Transactions[Transaction name],Transactions[Transaction code])</f>
        <v>016BGC</v>
      </c>
      <c r="BI17" s="11">
        <v>1</v>
      </c>
      <c r="BJ17" s="4" t="s">
        <v>298</v>
      </c>
      <c r="BK17" s="24" t="str">
        <f>_xlfn.XLOOKUP(Transformation[[#This Row],[Commodity from]],Commodities[Commodity code],Commodities[EnergyCode])</f>
        <v>BI</v>
      </c>
      <c r="BL17" s="4" t="s">
        <v>692</v>
      </c>
      <c r="BM17" s="4" t="s">
        <v>298</v>
      </c>
      <c r="BN17" s="24" t="str">
        <f>_xlfn.XLOOKUP(Transformation[[#This Row],[Commodity to]],Commodities[Commodity code],Commodities[EnergyCode])</f>
        <v>BI</v>
      </c>
      <c r="BO17" s="4" t="s">
        <v>1070</v>
      </c>
      <c r="BP17" s="16" t="s">
        <v>1493</v>
      </c>
      <c r="BQ17" s="33" t="str">
        <f>Transformation[[#This Row],[Commodity from]]&amp;Transformation[[#This Row],[Transaction from]]&amp;Transformation[[#This Row],[Commodity to]]&amp;Transformation[[#This Row],[Transaction to]]</f>
        <v>5300088225300016BGC</v>
      </c>
      <c r="BR17" s="26" t="str">
        <f>Transformation[[#This Row],[crfomid]]&amp;Transformation[[#This Row],[Transaction from]]&amp;"("&amp;Transformation[[#This Row],[Multiplier]]&amp;") -&gt; "&amp;Transformation[[#This Row],[ctoid]]&amp;Transformation[[#This Row],[Transaction to]]</f>
        <v>BI08822(1) -&gt; BI016BGC</v>
      </c>
      <c r="BT17" s="26" t="str">
        <f>_xlfn.XLOOKUP(Signswitch[[#This Row],[Commodity name]],Commodities[Commodity],Commodities[Commodity code])</f>
        <v>5222</v>
      </c>
      <c r="BU17" s="26" t="str">
        <f>_xlfn.XLOOKUP(Signswitch[[#This Row],[Transaction name]],Transactions[Transaction name],Transactions[Transaction code])</f>
        <v>06</v>
      </c>
      <c r="BV17" s="26" t="str">
        <f>Signswitch[[#This Row],[Commodity from]]&amp;Signswitch[[#This Row],[Transaction from]]</f>
        <v>522206</v>
      </c>
      <c r="BW17" s="22" t="s">
        <v>962</v>
      </c>
      <c r="BX17" s="26" t="str">
        <f>_xlfn.XLOOKUP(Signswitch[[#This Row],[Commodity from]],Commodities[Commodity code],Commodities[EnergyCode])</f>
        <v>ZD</v>
      </c>
      <c r="BY17" s="22" t="s">
        <v>192</v>
      </c>
    </row>
    <row r="18" spans="8:77" x14ac:dyDescent="0.45">
      <c r="H18" s="5" t="s">
        <v>352</v>
      </c>
      <c r="I18" s="4" t="s">
        <v>351</v>
      </c>
      <c r="J18" s="9" t="s">
        <v>347</v>
      </c>
      <c r="K18" s="9" t="s">
        <v>1453</v>
      </c>
      <c r="L18" s="23" t="str">
        <f>IFERROR(INDEX(Commodities[[Commodity code]:[Commodity]],MATCH(Commodities[[#This Row],[Parent code]],Commodities[Commodity code],0),2),Commodities[[#This Row],[Commodity]])</f>
        <v>Other oil products</v>
      </c>
      <c r="M18" s="24" t="str">
        <f>IFERROR(INDEX(Commodities[[Commodity code]:[Commodity]],MATCH(INDEX(Commodities[[Commodity]:[Parent code]],MATCH(Commodities[[#This Row],[L1N]],Commodities[Commodity],0),2),Commodities[Commodity code],0),2),Commodities[[#This Row],[L1N]])</f>
        <v>Oil products</v>
      </c>
      <c r="N18" s="24" t="str">
        <f>IFERROR(INDEX(Commodities[[Commodity code]:[Commodity]],MATCH(INDEX(Commodities[[Commodity]:[Parent code]],MATCH(Commodities[[#This Row],[L2N]],Commodities[Commodity],0),2),Commodities[Commodity code],0),2),Commodities[[#This Row],[L2N]])</f>
        <v>Oil</v>
      </c>
      <c r="O18" s="24" t="str">
        <f>IFERROR(INDEX(Commodities[[Commodity code]:[Commodity]],MATCH(INDEX(Commodities[[Commodity]:[Parent code]],MATCH(Commodities[[#This Row],[L3N]],Commodities[Commodity],0),2),Commodities[Commodity code],0),2),Commodities[[#This Row],[L3N]])</f>
        <v>Oil</v>
      </c>
      <c r="P18" s="24" t="str">
        <f>IF(Commodities[[#This Row],[L4N]]=Commodities[[#This Row],[L3N]],Commodities[[#This Row],[L4N]],IF(Commodities[[#This Row],[L3N]]=Commodities[[#This Row],[L2N]],Commodities[[#This Row],[L3N]],IF(Commodities[[#This Row],[L2N]]=Commodities[[#This Row],[L1N]],Commodities[[#This Row],[L2N]],IF(Commodities[[#This Row],[L1N]]=Commodities[[#This Row],[Commodity]],Commodities[[#This Row],[L1N]],Commodities[[#This Row],[Commodity]]))))</f>
        <v>Oil</v>
      </c>
      <c r="Q18" s="24" t="str">
        <f>IF(Commodities[[#This Row],[Level 0]]=Commodities[[#This Row],[Commodity]],Commodities[[#This Row],[Commodity]],IF(Commodities[[#This Row],[Level 0]]=Commodities[[#This Row],[L1N]],Commodities[[#This Row],[Commodity]],IF(Commodities[[#This Row],[Level 0]]=Commodities[[#This Row],[L2N]],Commodities[[#This Row],[L1N]],IF(Commodities[[#This Row],[Level 0]]=Commodities[[#This Row],[L3N]],Commodities[[#This Row],[L2N]],IF(Commodities[[#This Row],[Level 0]]=Commodities[[#This Row],[L4N]],Commodities[[#This Row],[L3N]],Commodities[[#This Row],[L4N]])))))</f>
        <v>Oil products</v>
      </c>
      <c r="R18" s="24" t="str">
        <f>IF(Commodities[[#This Row],[Level 1]]=Commodities[[#This Row],[Commodity]],Commodities[[#This Row],[Commodity]],IF(Commodities[[#This Row],[Level 1]]=Commodities[[#This Row],[L1N]],Commodities[[#This Row],[Commodity]],IF(Commodities[[#This Row],[Level 1]]=Commodities[[#This Row],[L2N]],Commodities[[#This Row],[L1N]],IF(Commodities[[#This Row],[Level 1]]=Commodities[[#This Row],[L3N]],Commodities[[#This Row],[L2N]],IF(Commodities[[#This Row],[Level 1]]=Commodities[[#This Row],[L4N]],Commodities[[#This Row],[L3N]],Commodities[[#This Row],[L4N]])))))</f>
        <v>Other oil products</v>
      </c>
      <c r="S18" s="24" t="str">
        <f>IF(Commodities[[#This Row],[Level 2]]=Commodities[[#This Row],[Commodity]],Commodities[[#This Row],[Commodity]],IF(Commodities[[#This Row],[Level 2]]=Commodities[[#This Row],[L1N]],Commodities[[#This Row],[Commodity]],IF(Commodities[[#This Row],[Level 2]]=Commodities[[#This Row],[L2N]],Commodities[[#This Row],[L1N]],IF(Commodities[[#This Row],[Level 2]]=Commodities[[#This Row],[L3N]],Commodities[[#This Row],[L2N]],IF(Commodities[[#This Row],[Level 2]]=Commodities[[#This Row],[L4N]],Commodities[[#This Row],[L3N]],Commodities[[#This Row],[L4N]])))))</f>
        <v>Bitumen</v>
      </c>
      <c r="T18" s="24" t="str">
        <f>IF(Commodities[[#This Row],[Level 3]]=Commodities[[#This Row],[Commodity]],Commodities[[#This Row],[Commodity]],IF(Commodities[[#This Row],[Level 3]]=Commodities[[#This Row],[L1N]],Commodities[[#This Row],[Commodity]],IF(Commodities[[#This Row],[Level 3]]=Commodities[[#This Row],[L2N]],Commodities[[#This Row],[L1N]],IF(Commodities[[#This Row],[Level 3]]=Commodities[[#This Row],[L3N]],Commodities[[#This Row],[L2N]],IF(Commodities[[#This Row],[Level 3]]=Commodities[[#This Row],[L4N]],Commodities[[#This Row],[L3N]],Commodities[[#This Row],[L4N]])))))</f>
        <v>Bitumen</v>
      </c>
      <c r="U18" s="24" t="str">
        <f>IF(Commodities[[#This Row],[Level 4]]=Commodities[[#This Row],[Commodity]],Commodities[[#This Row],[Commodity]],IF(Commodities[[#This Row],[Level 4]]=Commodities[[#This Row],[L1N]],Commodities[[#This Row],[Commodity]],IF(Commodities[[#This Row],[Level 4]]=Commodities[[#This Row],[L2N]],Commodities[[#This Row],[L1N]],IF(Commodities[[#This Row],[Level 4]]=Commodities[[#This Row],[L3N]],Commodities[[#This Row],[L2N]],IF(Commodities[[#This Row],[Level 4]]=Commodities[[#This Row],[L4N]],Commodities[[#This Row],[L3N]],Commodities[[#This Row],[L4N]])))))</f>
        <v>Bitumen</v>
      </c>
      <c r="Y18" s="5" t="s">
        <v>149</v>
      </c>
      <c r="Z18" s="4" t="s">
        <v>715</v>
      </c>
      <c r="AA18" s="4" t="s">
        <v>715</v>
      </c>
      <c r="AB18" s="6" t="s">
        <v>144</v>
      </c>
      <c r="AC18" s="24" t="str">
        <f>IFERROR(VLOOKUP(Transactions[[#This Row],[Parent code]],Transactions[[Transaction code]:[Transaction name]],2,0),"")</f>
        <v>Energy industries own use</v>
      </c>
      <c r="AD18" s="4" t="s">
        <v>163</v>
      </c>
      <c r="AE18" s="4" t="s">
        <v>945</v>
      </c>
      <c r="AF18" s="4" t="s">
        <v>642</v>
      </c>
      <c r="AG18" s="4" t="s">
        <v>1</v>
      </c>
      <c r="AH18" s="4" t="s">
        <v>695</v>
      </c>
      <c r="AK18" s="24" t="str" cm="1">
        <f t="array" ref="AK18">IFERROR(INDEX(Transactions[[Transaction code]:[Transaction name]],_xlfn.XMATCH(Transactions[[#This Row],[Parent code]],Transactions[Transaction name],0),3),Transactions[[#This Row],[Transaction name]])</f>
        <v>Coal liquefaction plants (own use)</v>
      </c>
      <c r="AL18" s="24" t="str" cm="1">
        <f t="array" ref="AL18">IFERROR(INDEX(Transactions[[Transaction code]:[Transaction name]],_xlfn.XMATCH(INDEX(Transactions[[Transaction name]:[Parent code]],_xlfn.XMATCH(Transactions[[#This Row],[L1N]],Transactions[Transaction name],0),3),Transactions[Transaction code],0),2),Transactions[[#This Row],[L1N]])</f>
        <v>Energy industries own use</v>
      </c>
      <c r="AM18" s="24" t="str" cm="1">
        <f t="array" ref="AM18">IFERROR(INDEX(Transactions[[Transaction code]:[Transaction name]],_xlfn.XMATCH(INDEX(Transactions[[Transaction name]:[Parent code]],_xlfn.XMATCH(Transactions[[#This Row],[L2N]],Transactions[Transaction name],0),3),Transactions[Transaction code],0),2),Transactions[[#This Row],[L2N]])</f>
        <v>Energy industries own use</v>
      </c>
      <c r="AN18" s="24" t="str" cm="1">
        <f t="array" ref="AN18">IFERROR(INDEX(Transactions[[Transaction code]:[Transaction name]],_xlfn.XMATCH(INDEX(Transactions[[Transaction name]:[Parent code]],_xlfn.XMATCH(Transactions[[#This Row],[L3N]],Transactions[Transaction name],0),3),Transactions[Transaction code],0),2),Transactions[[#This Row],[L3N]])</f>
        <v>Energy industries own use</v>
      </c>
      <c r="AO18" s="24" t="str" cm="1">
        <f t="array" ref="AO18">IFERROR(INDEX(Transactions[[Transaction code]:[Transaction name]],_xlfn.XMATCH(INDEX(Transactions[[Transaction name]:[Parent code]],_xlfn.XMATCH(Transactions[[#This Row],[L4N]],Transactions[Transaction name],0),3),Transactions[Transaction code],0),2),Transactions[[#This Row],[L4N]])</f>
        <v>Energy industries own use</v>
      </c>
      <c r="AP18" s="24" t="str" cm="1">
        <f t="array" ref="AP18">IFERROR(INDEX(Transactions[[Transaction code]:[Transaction name]],_xlfn.XMATCH(INDEX(Transactions[[Transaction name]:[Parent code]],_xlfn.XMATCH(Transactions[[#This Row],[L5N]],Transactions[Transaction name],0),3),Transactions[Transaction code],0),2),Transactions[[#This Row],[L5N]])</f>
        <v>Energy industries own use</v>
      </c>
      <c r="AQ18" s="24" t="str" cm="1">
        <f t="array" ref="AQ18">IFERROR(INDEX(Transactions[[Transaction code]:[Transaction name]],_xlfn.XMATCH(INDEX(Transactions[[Transaction name]:[Parent code]],_xlfn.XMATCH(Transactions[[#This Row],[L6N]],Transactions[Transaction name],0),3),Transactions[Transaction code],0),2),Transactions[[#This Row],[L6N]])</f>
        <v>Energy industries own use</v>
      </c>
      <c r="AR18" s="27" t="str">
        <f>IF(Transactions[[#This Row],[L7N]]=Transactions[[#This Row],[L6N]],Transactions[[#This Row],[L7N]],IF(Transactions[[#This Row],[L6N]]=Transactions[[#This Row],[L5N]],Transactions[[#This Row],[L6N]],IF(Transactions[[#This Row],[L5N]]=Transactions[[#This Row],[L4N]],Transactions[[#This Row],[L5N]],IF(Transactions[[#This Row],[L4N]]=Transactions[[#This Row],[L3N]],Transactions[[#This Row],[L4N]],IF(Transactions[[#This Row],[L3N]]=Transactions[[#This Row],[L2N]],Transactions[[#This Row],[L3N]],IF(Transactions[[#This Row],[L2N]]=Transactions[[#This Row],[L1N]],Transactions[[#This Row],[L2N]],IF(Transactions[[#This Row],[L1N]]=Transactions[[#This Row],[Transaction name]],Transactions[[#This Row],[L1N]],Transactions[[#This Row],[Transaction name]])))))))</f>
        <v>Energy industries own use</v>
      </c>
      <c r="AS18" s="24" t="str">
        <f>IF(Transactions[[#This Row],[Level 0]]=Transactions[[#This Row],[Transaction name]],Transactions[[#This Row],[Transaction name]],IF(Transactions[[#This Row],[Level 0]]=Transactions[[#This Row],[L1N]],Transactions[[#This Row],[Transaction name]],IF(Transactions[[#This Row],[Level 0]]=Transactions[[#This Row],[L2N]],Transactions[[#This Row],[L1N]],IF(Transactions[[#This Row],[Level 0]]=Transactions[[#This Row],[L3N]],Transactions[[#This Row],[L2N]],IF(Transactions[[#This Row],[Level 0]]=Transactions[[#This Row],[L4N]],Transactions[[#This Row],[L3N]],IF(Transactions[[#This Row],[Level 0]]=Transactions[[#This Row],[L5N]],Transactions[[#This Row],[L4N]],IF(Transactions[[#This Row],[Level 0]]=Transactions[[#This Row],[L6N]],Transactions[[#This Row],[L5N]],IF(Transactions[[#This Row],[Level 0]]=Transactions[[#This Row],[L7N]],Transactions[[#This Row],[L6N]],Transactions[[#This Row],[L7N]]))))))))</f>
        <v>Coal liquefaction plants (own use)</v>
      </c>
      <c r="AT18" s="24" t="str">
        <f>IF(Transactions[[#This Row],[Level 1]]=Transactions[[#This Row],[Transaction name]],Transactions[[#This Row],[Transaction name]],IF(Transactions[[#This Row],[Level 1]]=Transactions[[#This Row],[L1N]],Transactions[[#This Row],[Transaction name]],IF(Transactions[[#This Row],[Level 1]]=Transactions[[#This Row],[L2N]],Transactions[[#This Row],[L1N]],IF(Transactions[[#This Row],[Level 1]]=Transactions[[#This Row],[L3N]],Transactions[[#This Row],[L2N]],IF(Transactions[[#This Row],[Level 1]]=Transactions[[#This Row],[L4N]],Transactions[[#This Row],[L3N]],IF(Transactions[[#This Row],[Level 1]]=Transactions[[#This Row],[L5N]],Transactions[[#This Row],[L4N]],IF(Transactions[[#This Row],[Level 1]]=Transactions[[#This Row],[L6N]],Transactions[[#This Row],[L5N]],IF(Transactions[[#This Row],[Level 1]]=Transactions[[#This Row],[L7N]],Transactions[[#This Row],[L6N]],Transactions[[#This Row],[L7N]]))))))))</f>
        <v>Coal liquefaction plants (own use)</v>
      </c>
      <c r="AU18" s="24" t="str">
        <f>IF(Transactions[[#This Row],[Level 2]]=Transactions[[#This Row],[Transaction name]],Transactions[[#This Row],[Transaction name]],IF(Transactions[[#This Row],[Level 2]]=Transactions[[#This Row],[L1N]],Transactions[[#This Row],[Transaction name]],IF(Transactions[[#This Row],[Level 2]]=Transactions[[#This Row],[L2N]],Transactions[[#This Row],[L1N]],IF(Transactions[[#This Row],[Level 2]]=Transactions[[#This Row],[L3N]],Transactions[[#This Row],[L2N]],IF(Transactions[[#This Row],[Level 2]]=Transactions[[#This Row],[L4N]],Transactions[[#This Row],[L3N]],IF(Transactions[[#This Row],[Level 2]]=Transactions[[#This Row],[L5N]],Transactions[[#This Row],[L4N]],IF(Transactions[[#This Row],[Level 2]]=Transactions[[#This Row],[L6N]],Transactions[[#This Row],[L5N]],IF(Transactions[[#This Row],[Level 2]]=Transactions[[#This Row],[L7N]],Transactions[[#This Row],[L6N]],Transactions[[#This Row],[L7N]]))))))))</f>
        <v>Coal liquefaction plants (own use)</v>
      </c>
      <c r="AV18" s="24" t="str">
        <f>IF(Transactions[[#This Row],[Level 3]]=Transactions[[#This Row],[Transaction name]],Transactions[[#This Row],[Transaction name]],IF(Transactions[[#This Row],[Level 3]]=Transactions[[#This Row],[L1N]],Transactions[[#This Row],[Transaction name]],IF(Transactions[[#This Row],[Level 3]]=Transactions[[#This Row],[L2N]],Transactions[[#This Row],[L1N]],IF(Transactions[[#This Row],[Level 3]]=Transactions[[#This Row],[L3N]],Transactions[[#This Row],[L2N]],IF(Transactions[[#This Row],[Level 3]]=Transactions[[#This Row],[L4N]],Transactions[[#This Row],[L3N]],IF(Transactions[[#This Row],[Level 3]]=Transactions[[#This Row],[L5N]],Transactions[[#This Row],[L4N]],IF(Transactions[[#This Row],[Level 3]]=Transactions[[#This Row],[L6N]],Transactions[[#This Row],[L5N]],IF(Transactions[[#This Row],[Level 3]]=Transactions[[#This Row],[L7N]],Transactions[[#This Row],[L6N]],Transactions[[#This Row],[L7N]]))))))))</f>
        <v>Coal liquefaction plants (own use)</v>
      </c>
      <c r="AW18" s="24" t="str">
        <f>IF(Transactions[[#This Row],[Level 4]]=Transactions[[#This Row],[Transaction name]],Transactions[[#This Row],[Transaction name]],IF(Transactions[[#This Row],[Level 4]]=Transactions[[#This Row],[L1N]],Transactions[[#This Row],[Transaction name]],IF(Transactions[[#This Row],[Level 4]]=Transactions[[#This Row],[L2N]],Transactions[[#This Row],[L1N]],IF(Transactions[[#This Row],[Level 4]]=Transactions[[#This Row],[L3N]],Transactions[[#This Row],[L2N]],IF(Transactions[[#This Row],[Level 4]]=Transactions[[#This Row],[L4N]],Transactions[[#This Row],[L3N]],IF(Transactions[[#This Row],[Level 4]]=Transactions[[#This Row],[L5N]],Transactions[[#This Row],[L4N]],IF(Transactions[[#This Row],[Level 4]]=Transactions[[#This Row],[L6N]],Transactions[[#This Row],[L5N]],IF(Transactions[[#This Row],[Level 4]]=Transactions[[#This Row],[L7N]],Transactions[[#This Row],[L6N]],Transactions[[#This Row],[L7N]]))))))))</f>
        <v>Coal liquefaction plants (own use)</v>
      </c>
      <c r="AX18" s="24" t="str">
        <f>IF(Transactions[[#This Row],[Level 5]]=Transactions[[#This Row],[Transaction name]],Transactions[[#This Row],[Transaction name]],IF(Transactions[[#This Row],[Level 5]]=Transactions[[#This Row],[L1N]],Transactions[[#This Row],[Transaction name]],IF(Transactions[[#This Row],[Level 5]]=Transactions[[#This Row],[L2N]],Transactions[[#This Row],[L1N]],IF(Transactions[[#This Row],[Level 5]]=Transactions[[#This Row],[L3N]],Transactions[[#This Row],[L2N]],IF(Transactions[[#This Row],[Level 5]]=Transactions[[#This Row],[L4N]],Transactions[[#This Row],[L3N]],IF(Transactions[[#This Row],[Level 5]]=Transactions[[#This Row],[L5N]],Transactions[[#This Row],[L4N]],IF(Transactions[[#This Row],[Level 5]]=Transactions[[#This Row],[L6N]],Transactions[[#This Row],[L5N]],IF(Transactions[[#This Row],[Level 5]]=Transactions[[#This Row],[L7N]],Transactions[[#This Row],[L6N]],Transactions[[#This Row],[L7N]]))))))))</f>
        <v>Coal liquefaction plants (own use)</v>
      </c>
      <c r="AY18" s="24" t="str">
        <f>IF(Transactions[[#This Row],[Level 6]]=Transactions[[#This Row],[Transaction name]],Transactions[[#This Row],[Transaction name]],IF(Transactions[[#This Row],[Level 6]]=Transactions[[#This Row],[L1N]],Transactions[[#This Row],[Transaction name]],IF(Transactions[[#This Row],[Level 6]]=Transactions[[#This Row],[L2N]],Transactions[[#This Row],[L1N]],IF(Transactions[[#This Row],[Level 6]]=Transactions[[#This Row],[L3N]],Transactions[[#This Row],[L2N]],IF(Transactions[[#This Row],[Level 6]]=Transactions[[#This Row],[L4N]],Transactions[[#This Row],[L3N]],IF(Transactions[[#This Row],[Level 6]]=Transactions[[#This Row],[L5N]],Transactions[[#This Row],[L4N]],IF(Transactions[[#This Row],[Level 6]]=Transactions[[#This Row],[L6N]],Transactions[[#This Row],[L5N]],IF(Transactions[[#This Row],[Level 6]]=Transactions[[#This Row],[L7N]],Transactions[[#This Row],[L6N]],Transactions[[#This Row],[L7N]]))))))))</f>
        <v>Coal liquefaction plants (own use)</v>
      </c>
      <c r="BE18" s="26" t="str">
        <f>_xlfn.XLOOKUP(Transformation[[#This Row],[cfrom]],Commodities[Commodity],Commodities[Commodity code])</f>
        <v>0379</v>
      </c>
      <c r="BF18" s="26" t="str">
        <f>_xlfn.XLOOKUP(Transformation[[#This Row],[tfrom]],Transactions[Transaction name],Transactions[Transaction code])</f>
        <v>08822</v>
      </c>
      <c r="BG18" s="26" t="str">
        <f>_xlfn.XLOOKUP(Transformation[[#This Row],[cto]],Commodities[Commodity],Commodities[Commodity code])</f>
        <v>0379</v>
      </c>
      <c r="BH18" s="26" t="str">
        <f>_xlfn.XLOOKUP(Transformation[[#This Row],[tto]],Transactions[Transaction name],Transactions[Transaction code])</f>
        <v>016CGC</v>
      </c>
      <c r="BI18" s="11">
        <v>1</v>
      </c>
      <c r="BJ18" s="4" t="s">
        <v>472</v>
      </c>
      <c r="BK18" s="24" t="str">
        <f>_xlfn.XLOOKUP(Transformation[[#This Row],[Commodity from]],Commodities[Commodity code],Commodities[EnergyCode])</f>
        <v>BO</v>
      </c>
      <c r="BL18" s="4" t="s">
        <v>692</v>
      </c>
      <c r="BM18" s="4" t="s">
        <v>472</v>
      </c>
      <c r="BN18" s="24" t="str">
        <f>_xlfn.XLOOKUP(Transformation[[#This Row],[Commodity to]],Commodities[Commodity code],Commodities[EnergyCode])</f>
        <v>BO</v>
      </c>
      <c r="BO18" s="4" t="s">
        <v>1221</v>
      </c>
      <c r="BP18" s="16" t="s">
        <v>1493</v>
      </c>
      <c r="BQ18" s="33" t="str">
        <f>Transformation[[#This Row],[Commodity from]]&amp;Transformation[[#This Row],[Transaction from]]&amp;Transformation[[#This Row],[Commodity to]]&amp;Transformation[[#This Row],[Transaction to]]</f>
        <v>0379088220379016CGC</v>
      </c>
      <c r="BR18" s="26" t="str">
        <f>Transformation[[#This Row],[crfomid]]&amp;Transformation[[#This Row],[Transaction from]]&amp;"("&amp;Transformation[[#This Row],[Multiplier]]&amp;") -&gt; "&amp;Transformation[[#This Row],[ctoid]]&amp;Transformation[[#This Row],[Transaction to]]</f>
        <v>BO08822(1) -&gt; BO016CGC</v>
      </c>
      <c r="BT18" s="26" t="str">
        <f>_xlfn.XLOOKUP(Signswitch[[#This Row],[Commodity name]],Commodities[Commodity],Commodities[Commodity code])</f>
        <v>5212</v>
      </c>
      <c r="BU18" s="26" t="str">
        <f>_xlfn.XLOOKUP(Signswitch[[#This Row],[Transaction name]],Transactions[Transaction name],Transactions[Transaction code])</f>
        <v>06</v>
      </c>
      <c r="BV18" s="26" t="str">
        <f>Signswitch[[#This Row],[Commodity from]]&amp;Signswitch[[#This Row],[Transaction from]]</f>
        <v>521206</v>
      </c>
      <c r="BW18" s="22" t="s">
        <v>317</v>
      </c>
      <c r="BX18" s="26" t="str">
        <f>_xlfn.XLOOKUP(Signswitch[[#This Row],[Commodity from]],Commodities[Commodity code],Commodities[EnergyCode])</f>
        <v>ZG</v>
      </c>
      <c r="BY18" s="22" t="s">
        <v>192</v>
      </c>
    </row>
    <row r="19" spans="8:77" x14ac:dyDescent="0.45">
      <c r="H19" s="5" t="s">
        <v>523</v>
      </c>
      <c r="I19" s="4" t="s">
        <v>522</v>
      </c>
      <c r="J19" s="9" t="s">
        <v>518</v>
      </c>
      <c r="K19" s="35" t="s">
        <v>1423</v>
      </c>
      <c r="L19" s="25" t="str">
        <f>IFERROR(INDEX(Commodities[[Commodity code]:[Commodity]],MATCH(Commodities[[#This Row],[Parent code]],Commodities[Commodity code],0),2),Commodities[[#This Row],[Commodity]])</f>
        <v>Bituminous coal</v>
      </c>
      <c r="M19" s="24" t="str">
        <f>IFERROR(INDEX(Commodities[[Commodity code]:[Commodity]],MATCH(INDEX(Commodities[[Commodity]:[Parent code]],MATCH(Commodities[[#This Row],[L1N]],Commodities[Commodity],0),2),Commodities[Commodity code],0),2),Commodities[[#This Row],[L1N]])</f>
        <v>Hard coal</v>
      </c>
      <c r="N19" s="24" t="str">
        <f>IFERROR(INDEX(Commodities[[Commodity code]:[Commodity]],MATCH(INDEX(Commodities[[Commodity]:[Parent code]],MATCH(Commodities[[#This Row],[L2N]],Commodities[Commodity],0),2),Commodities[Commodity code],0),2),Commodities[[#This Row],[L2N]])</f>
        <v>Coal</v>
      </c>
      <c r="O19" s="24" t="str">
        <f>IFERROR(INDEX(Commodities[[Commodity code]:[Commodity]],MATCH(INDEX(Commodities[[Commodity]:[Parent code]],MATCH(Commodities[[#This Row],[L3N]],Commodities[Commodity],0),2),Commodities[Commodity code],0),2),Commodities[[#This Row],[L3N]])</f>
        <v>Coal</v>
      </c>
      <c r="P19" s="24" t="str">
        <f>IF(Commodities[[#This Row],[L4N]]=Commodities[[#This Row],[L3N]],Commodities[[#This Row],[L4N]],IF(Commodities[[#This Row],[L3N]]=Commodities[[#This Row],[L2N]],Commodities[[#This Row],[L3N]],IF(Commodities[[#This Row],[L2N]]=Commodities[[#This Row],[L1N]],Commodities[[#This Row],[L2N]],IF(Commodities[[#This Row],[L1N]]=Commodities[[#This Row],[Commodity]],Commodities[[#This Row],[L1N]],Commodities[[#This Row],[Commodity]]))))</f>
        <v>Coal</v>
      </c>
      <c r="Q19" s="24" t="str">
        <f>IF(Commodities[[#This Row],[Level 0]]=Commodities[[#This Row],[Commodity]],Commodities[[#This Row],[Commodity]],IF(Commodities[[#This Row],[Level 0]]=Commodities[[#This Row],[L1N]],Commodities[[#This Row],[Commodity]],IF(Commodities[[#This Row],[Level 0]]=Commodities[[#This Row],[L2N]],Commodities[[#This Row],[L1N]],IF(Commodities[[#This Row],[Level 0]]=Commodities[[#This Row],[L3N]],Commodities[[#This Row],[L2N]],IF(Commodities[[#This Row],[Level 0]]=Commodities[[#This Row],[L4N]],Commodities[[#This Row],[L3N]],Commodities[[#This Row],[L4N]])))))</f>
        <v>Hard coal</v>
      </c>
      <c r="R19" s="24" t="str">
        <f>IF(Commodities[[#This Row],[Level 1]]=Commodities[[#This Row],[Commodity]],Commodities[[#This Row],[Commodity]],IF(Commodities[[#This Row],[Level 1]]=Commodities[[#This Row],[L1N]],Commodities[[#This Row],[Commodity]],IF(Commodities[[#This Row],[Level 1]]=Commodities[[#This Row],[L2N]],Commodities[[#This Row],[L1N]],IF(Commodities[[#This Row],[Level 1]]=Commodities[[#This Row],[L3N]],Commodities[[#This Row],[L2N]],IF(Commodities[[#This Row],[Level 1]]=Commodities[[#This Row],[L4N]],Commodities[[#This Row],[L3N]],Commodities[[#This Row],[L4N]])))))</f>
        <v>Bituminous coal</v>
      </c>
      <c r="S19" s="24" t="str">
        <f>IF(Commodities[[#This Row],[Level 2]]=Commodities[[#This Row],[Commodity]],Commodities[[#This Row],[Commodity]],IF(Commodities[[#This Row],[Level 2]]=Commodities[[#This Row],[L1N]],Commodities[[#This Row],[Commodity]],IF(Commodities[[#This Row],[Level 2]]=Commodities[[#This Row],[L2N]],Commodities[[#This Row],[L1N]],IF(Commodities[[#This Row],[Level 2]]=Commodities[[#This Row],[L3N]],Commodities[[#This Row],[L2N]],IF(Commodities[[#This Row],[Level 2]]=Commodities[[#This Row],[L4N]],Commodities[[#This Row],[L3N]],Commodities[[#This Row],[L4N]])))))</f>
        <v>Coking coal</v>
      </c>
      <c r="T19" s="24" t="str">
        <f>IF(Commodities[[#This Row],[Level 3]]=Commodities[[#This Row],[Commodity]],Commodities[[#This Row],[Commodity]],IF(Commodities[[#This Row],[Level 3]]=Commodities[[#This Row],[L1N]],Commodities[[#This Row],[Commodity]],IF(Commodities[[#This Row],[Level 3]]=Commodities[[#This Row],[L2N]],Commodities[[#This Row],[L1N]],IF(Commodities[[#This Row],[Level 3]]=Commodities[[#This Row],[L3N]],Commodities[[#This Row],[L2N]],IF(Commodities[[#This Row],[Level 3]]=Commodities[[#This Row],[L4N]],Commodities[[#This Row],[L3N]],Commodities[[#This Row],[L4N]])))))</f>
        <v>Coking coal</v>
      </c>
      <c r="U19" s="24" t="str">
        <f>IF(Commodities[[#This Row],[Level 4]]=Commodities[[#This Row],[Commodity]],Commodities[[#This Row],[Commodity]],IF(Commodities[[#This Row],[Level 4]]=Commodities[[#This Row],[L1N]],Commodities[[#This Row],[Commodity]],IF(Commodities[[#This Row],[Level 4]]=Commodities[[#This Row],[L2N]],Commodities[[#This Row],[L1N]],IF(Commodities[[#This Row],[Level 4]]=Commodities[[#This Row],[L3N]],Commodities[[#This Row],[L2N]],IF(Commodities[[#This Row],[Level 4]]=Commodities[[#This Row],[L4N]],Commodities[[#This Row],[L3N]],Commodities[[#This Row],[L4N]])))))</f>
        <v>Coking coal</v>
      </c>
      <c r="Y19" s="5" t="s">
        <v>162</v>
      </c>
      <c r="Z19" s="4" t="s">
        <v>703</v>
      </c>
      <c r="AA19" s="4" t="s">
        <v>703</v>
      </c>
      <c r="AB19" s="6" t="s">
        <v>144</v>
      </c>
      <c r="AC19" s="24" t="str">
        <f>IFERROR(VLOOKUP(Transactions[[#This Row],[Parent code]],Transactions[[Transaction code]:[Transaction name]],2,0),"")</f>
        <v>Energy industries own use</v>
      </c>
      <c r="AD19" s="4" t="s">
        <v>163</v>
      </c>
      <c r="AE19" s="4" t="s">
        <v>931</v>
      </c>
      <c r="AF19" s="4" t="s">
        <v>642</v>
      </c>
      <c r="AG19" s="4" t="s">
        <v>1</v>
      </c>
      <c r="AH19" s="4" t="s">
        <v>695</v>
      </c>
      <c r="AK19" s="24" t="str" cm="1">
        <f t="array" ref="AK19">IFERROR(INDEX(Transactions[[Transaction code]:[Transaction name]],_xlfn.XMATCH(Transactions[[#This Row],[Parent code]],Transactions[Transaction name],0),3),Transactions[[#This Row],[Transaction name]])</f>
        <v>Coal mines (own use)</v>
      </c>
      <c r="AL19" s="24" t="str" cm="1">
        <f t="array" ref="AL19">IFERROR(INDEX(Transactions[[Transaction code]:[Transaction name]],_xlfn.XMATCH(INDEX(Transactions[[Transaction name]:[Parent code]],_xlfn.XMATCH(Transactions[[#This Row],[L1N]],Transactions[Transaction name],0),3),Transactions[Transaction code],0),2),Transactions[[#This Row],[L1N]])</f>
        <v>Energy industries own use</v>
      </c>
      <c r="AM19" s="24" t="str" cm="1">
        <f t="array" ref="AM19">IFERROR(INDEX(Transactions[[Transaction code]:[Transaction name]],_xlfn.XMATCH(INDEX(Transactions[[Transaction name]:[Parent code]],_xlfn.XMATCH(Transactions[[#This Row],[L2N]],Transactions[Transaction name],0),3),Transactions[Transaction code],0),2),Transactions[[#This Row],[L2N]])</f>
        <v>Energy industries own use</v>
      </c>
      <c r="AN19" s="24" t="str" cm="1">
        <f t="array" ref="AN19">IFERROR(INDEX(Transactions[[Transaction code]:[Transaction name]],_xlfn.XMATCH(INDEX(Transactions[[Transaction name]:[Parent code]],_xlfn.XMATCH(Transactions[[#This Row],[L3N]],Transactions[Transaction name],0),3),Transactions[Transaction code],0),2),Transactions[[#This Row],[L3N]])</f>
        <v>Energy industries own use</v>
      </c>
      <c r="AO19" s="24" t="str" cm="1">
        <f t="array" ref="AO19">IFERROR(INDEX(Transactions[[Transaction code]:[Transaction name]],_xlfn.XMATCH(INDEX(Transactions[[Transaction name]:[Parent code]],_xlfn.XMATCH(Transactions[[#This Row],[L4N]],Transactions[Transaction name],0),3),Transactions[Transaction code],0),2),Transactions[[#This Row],[L4N]])</f>
        <v>Energy industries own use</v>
      </c>
      <c r="AP19" s="24" t="str" cm="1">
        <f t="array" ref="AP19">IFERROR(INDEX(Transactions[[Transaction code]:[Transaction name]],_xlfn.XMATCH(INDEX(Transactions[[Transaction name]:[Parent code]],_xlfn.XMATCH(Transactions[[#This Row],[L5N]],Transactions[Transaction name],0),3),Transactions[Transaction code],0),2),Transactions[[#This Row],[L5N]])</f>
        <v>Energy industries own use</v>
      </c>
      <c r="AQ19" s="24" t="str" cm="1">
        <f t="array" ref="AQ19">IFERROR(INDEX(Transactions[[Transaction code]:[Transaction name]],_xlfn.XMATCH(INDEX(Transactions[[Transaction name]:[Parent code]],_xlfn.XMATCH(Transactions[[#This Row],[L6N]],Transactions[Transaction name],0),3),Transactions[Transaction code],0),2),Transactions[[#This Row],[L6N]])</f>
        <v>Energy industries own use</v>
      </c>
      <c r="AR19" s="27" t="str">
        <f>IF(Transactions[[#This Row],[L7N]]=Transactions[[#This Row],[L6N]],Transactions[[#This Row],[L7N]],IF(Transactions[[#This Row],[L6N]]=Transactions[[#This Row],[L5N]],Transactions[[#This Row],[L6N]],IF(Transactions[[#This Row],[L5N]]=Transactions[[#This Row],[L4N]],Transactions[[#This Row],[L5N]],IF(Transactions[[#This Row],[L4N]]=Transactions[[#This Row],[L3N]],Transactions[[#This Row],[L4N]],IF(Transactions[[#This Row],[L3N]]=Transactions[[#This Row],[L2N]],Transactions[[#This Row],[L3N]],IF(Transactions[[#This Row],[L2N]]=Transactions[[#This Row],[L1N]],Transactions[[#This Row],[L2N]],IF(Transactions[[#This Row],[L1N]]=Transactions[[#This Row],[Transaction name]],Transactions[[#This Row],[L1N]],Transactions[[#This Row],[Transaction name]])))))))</f>
        <v>Energy industries own use</v>
      </c>
      <c r="AS19" s="24" t="str">
        <f>IF(Transactions[[#This Row],[Level 0]]=Transactions[[#This Row],[Transaction name]],Transactions[[#This Row],[Transaction name]],IF(Transactions[[#This Row],[Level 0]]=Transactions[[#This Row],[L1N]],Transactions[[#This Row],[Transaction name]],IF(Transactions[[#This Row],[Level 0]]=Transactions[[#This Row],[L2N]],Transactions[[#This Row],[L1N]],IF(Transactions[[#This Row],[Level 0]]=Transactions[[#This Row],[L3N]],Transactions[[#This Row],[L2N]],IF(Transactions[[#This Row],[Level 0]]=Transactions[[#This Row],[L4N]],Transactions[[#This Row],[L3N]],IF(Transactions[[#This Row],[Level 0]]=Transactions[[#This Row],[L5N]],Transactions[[#This Row],[L4N]],IF(Transactions[[#This Row],[Level 0]]=Transactions[[#This Row],[L6N]],Transactions[[#This Row],[L5N]],IF(Transactions[[#This Row],[Level 0]]=Transactions[[#This Row],[L7N]],Transactions[[#This Row],[L6N]],Transactions[[#This Row],[L7N]]))))))))</f>
        <v>Coal mines (own use)</v>
      </c>
      <c r="AT19" s="24" t="str">
        <f>IF(Transactions[[#This Row],[Level 1]]=Transactions[[#This Row],[Transaction name]],Transactions[[#This Row],[Transaction name]],IF(Transactions[[#This Row],[Level 1]]=Transactions[[#This Row],[L1N]],Transactions[[#This Row],[Transaction name]],IF(Transactions[[#This Row],[Level 1]]=Transactions[[#This Row],[L2N]],Transactions[[#This Row],[L1N]],IF(Transactions[[#This Row],[Level 1]]=Transactions[[#This Row],[L3N]],Transactions[[#This Row],[L2N]],IF(Transactions[[#This Row],[Level 1]]=Transactions[[#This Row],[L4N]],Transactions[[#This Row],[L3N]],IF(Transactions[[#This Row],[Level 1]]=Transactions[[#This Row],[L5N]],Transactions[[#This Row],[L4N]],IF(Transactions[[#This Row],[Level 1]]=Transactions[[#This Row],[L6N]],Transactions[[#This Row],[L5N]],IF(Transactions[[#This Row],[Level 1]]=Transactions[[#This Row],[L7N]],Transactions[[#This Row],[L6N]],Transactions[[#This Row],[L7N]]))))))))</f>
        <v>Coal mines (own use)</v>
      </c>
      <c r="AU19" s="24" t="str">
        <f>IF(Transactions[[#This Row],[Level 2]]=Transactions[[#This Row],[Transaction name]],Transactions[[#This Row],[Transaction name]],IF(Transactions[[#This Row],[Level 2]]=Transactions[[#This Row],[L1N]],Transactions[[#This Row],[Transaction name]],IF(Transactions[[#This Row],[Level 2]]=Transactions[[#This Row],[L2N]],Transactions[[#This Row],[L1N]],IF(Transactions[[#This Row],[Level 2]]=Transactions[[#This Row],[L3N]],Transactions[[#This Row],[L2N]],IF(Transactions[[#This Row],[Level 2]]=Transactions[[#This Row],[L4N]],Transactions[[#This Row],[L3N]],IF(Transactions[[#This Row],[Level 2]]=Transactions[[#This Row],[L5N]],Transactions[[#This Row],[L4N]],IF(Transactions[[#This Row],[Level 2]]=Transactions[[#This Row],[L6N]],Transactions[[#This Row],[L5N]],IF(Transactions[[#This Row],[Level 2]]=Transactions[[#This Row],[L7N]],Transactions[[#This Row],[L6N]],Transactions[[#This Row],[L7N]]))))))))</f>
        <v>Coal mines (own use)</v>
      </c>
      <c r="AV19" s="24" t="str">
        <f>IF(Transactions[[#This Row],[Level 3]]=Transactions[[#This Row],[Transaction name]],Transactions[[#This Row],[Transaction name]],IF(Transactions[[#This Row],[Level 3]]=Transactions[[#This Row],[L1N]],Transactions[[#This Row],[Transaction name]],IF(Transactions[[#This Row],[Level 3]]=Transactions[[#This Row],[L2N]],Transactions[[#This Row],[L1N]],IF(Transactions[[#This Row],[Level 3]]=Transactions[[#This Row],[L3N]],Transactions[[#This Row],[L2N]],IF(Transactions[[#This Row],[Level 3]]=Transactions[[#This Row],[L4N]],Transactions[[#This Row],[L3N]],IF(Transactions[[#This Row],[Level 3]]=Transactions[[#This Row],[L5N]],Transactions[[#This Row],[L4N]],IF(Transactions[[#This Row],[Level 3]]=Transactions[[#This Row],[L6N]],Transactions[[#This Row],[L5N]],IF(Transactions[[#This Row],[Level 3]]=Transactions[[#This Row],[L7N]],Transactions[[#This Row],[L6N]],Transactions[[#This Row],[L7N]]))))))))</f>
        <v>Coal mines (own use)</v>
      </c>
      <c r="AW19" s="24" t="str">
        <f>IF(Transactions[[#This Row],[Level 4]]=Transactions[[#This Row],[Transaction name]],Transactions[[#This Row],[Transaction name]],IF(Transactions[[#This Row],[Level 4]]=Transactions[[#This Row],[L1N]],Transactions[[#This Row],[Transaction name]],IF(Transactions[[#This Row],[Level 4]]=Transactions[[#This Row],[L2N]],Transactions[[#This Row],[L1N]],IF(Transactions[[#This Row],[Level 4]]=Transactions[[#This Row],[L3N]],Transactions[[#This Row],[L2N]],IF(Transactions[[#This Row],[Level 4]]=Transactions[[#This Row],[L4N]],Transactions[[#This Row],[L3N]],IF(Transactions[[#This Row],[Level 4]]=Transactions[[#This Row],[L5N]],Transactions[[#This Row],[L4N]],IF(Transactions[[#This Row],[Level 4]]=Transactions[[#This Row],[L6N]],Transactions[[#This Row],[L5N]],IF(Transactions[[#This Row],[Level 4]]=Transactions[[#This Row],[L7N]],Transactions[[#This Row],[L6N]],Transactions[[#This Row],[L7N]]))))))))</f>
        <v>Coal mines (own use)</v>
      </c>
      <c r="AX19" s="24" t="str">
        <f>IF(Transactions[[#This Row],[Level 5]]=Transactions[[#This Row],[Transaction name]],Transactions[[#This Row],[Transaction name]],IF(Transactions[[#This Row],[Level 5]]=Transactions[[#This Row],[L1N]],Transactions[[#This Row],[Transaction name]],IF(Transactions[[#This Row],[Level 5]]=Transactions[[#This Row],[L2N]],Transactions[[#This Row],[L1N]],IF(Transactions[[#This Row],[Level 5]]=Transactions[[#This Row],[L3N]],Transactions[[#This Row],[L2N]],IF(Transactions[[#This Row],[Level 5]]=Transactions[[#This Row],[L4N]],Transactions[[#This Row],[L3N]],IF(Transactions[[#This Row],[Level 5]]=Transactions[[#This Row],[L5N]],Transactions[[#This Row],[L4N]],IF(Transactions[[#This Row],[Level 5]]=Transactions[[#This Row],[L6N]],Transactions[[#This Row],[L5N]],IF(Transactions[[#This Row],[Level 5]]=Transactions[[#This Row],[L7N]],Transactions[[#This Row],[L6N]],Transactions[[#This Row],[L7N]]))))))))</f>
        <v>Coal mines (own use)</v>
      </c>
      <c r="AY19" s="24" t="str">
        <f>IF(Transactions[[#This Row],[Level 6]]=Transactions[[#This Row],[Transaction name]],Transactions[[#This Row],[Transaction name]],IF(Transactions[[#This Row],[Level 6]]=Transactions[[#This Row],[L1N]],Transactions[[#This Row],[Transaction name]],IF(Transactions[[#This Row],[Level 6]]=Transactions[[#This Row],[L2N]],Transactions[[#This Row],[L1N]],IF(Transactions[[#This Row],[Level 6]]=Transactions[[#This Row],[L3N]],Transactions[[#This Row],[L2N]],IF(Transactions[[#This Row],[Level 6]]=Transactions[[#This Row],[L4N]],Transactions[[#This Row],[L3N]],IF(Transactions[[#This Row],[Level 6]]=Transactions[[#This Row],[L5N]],Transactions[[#This Row],[L4N]],IF(Transactions[[#This Row],[Level 6]]=Transactions[[#This Row],[L6N]],Transactions[[#This Row],[L5N]],IF(Transactions[[#This Row],[Level 6]]=Transactions[[#This Row],[L7N]],Transactions[[#This Row],[L6N]],Transactions[[#This Row],[L7N]]))))))))</f>
        <v>Coal mines (own use)</v>
      </c>
      <c r="BE19" s="26" t="str">
        <f>_xlfn.XLOOKUP(Transformation[[#This Row],[cfrom]],Commodities[Commodity],Commodities[Commodity code])</f>
        <v>1200</v>
      </c>
      <c r="BF19" s="26" t="str">
        <f>_xlfn.XLOOKUP(Transformation[[#This Row],[tfrom]],Transactions[Transaction name],Transactions[Transaction code])</f>
        <v>08822</v>
      </c>
      <c r="BG19" s="26" t="str">
        <f>_xlfn.XLOOKUP(Transformation[[#This Row],[cto]],Commodities[Commodity],Commodities[Commodity code])</f>
        <v>1200</v>
      </c>
      <c r="BH19" s="26" t="str">
        <f>_xlfn.XLOOKUP(Transformation[[#This Row],[tto]],Transactions[Transaction name],Transactions[Transaction code])</f>
        <v>016PTC</v>
      </c>
      <c r="BI19" s="11">
        <v>1</v>
      </c>
      <c r="BJ19" s="4" t="s">
        <v>455</v>
      </c>
      <c r="BK19" s="24" t="str">
        <f>_xlfn.XLOOKUP(Transformation[[#This Row],[Commodity from]],Commodities[Commodity code],Commodities[EnergyCode])</f>
        <v>BP</v>
      </c>
      <c r="BL19" s="4" t="s">
        <v>692</v>
      </c>
      <c r="BM19" s="4" t="s">
        <v>455</v>
      </c>
      <c r="BN19" s="24" t="str">
        <f>_xlfn.XLOOKUP(Transformation[[#This Row],[Commodity to]],Commodities[Commodity code],Commodities[EnergyCode])</f>
        <v>BP</v>
      </c>
      <c r="BO19" s="4" t="s">
        <v>1205</v>
      </c>
      <c r="BP19" s="16" t="s">
        <v>1493</v>
      </c>
      <c r="BQ19" s="33" t="str">
        <f>Transformation[[#This Row],[Commodity from]]&amp;Transformation[[#This Row],[Transaction from]]&amp;Transformation[[#This Row],[Commodity to]]&amp;Transformation[[#This Row],[Transaction to]]</f>
        <v>1200088221200016PTC</v>
      </c>
      <c r="BR19" s="26" t="str">
        <f>Transformation[[#This Row],[crfomid]]&amp;Transformation[[#This Row],[Transaction from]]&amp;"("&amp;Transformation[[#This Row],[Multiplier]]&amp;") -&gt; "&amp;Transformation[[#This Row],[ctoid]]&amp;Transformation[[#This Row],[Transaction to]]</f>
        <v>BP08822(1) -&gt; BP016PTC</v>
      </c>
      <c r="BT19" s="26" t="str">
        <f>_xlfn.XLOOKUP(Signswitch[[#This Row],[Commodity name]],Commodities[Commodity],Commodities[Commodity code])</f>
        <v>4400</v>
      </c>
      <c r="BU19" s="26" t="str">
        <f>_xlfn.XLOOKUP(Signswitch[[#This Row],[Transaction name]],Transactions[Transaction name],Transactions[Transaction code])</f>
        <v>07</v>
      </c>
      <c r="BV19" s="26" t="str">
        <f>Signswitch[[#This Row],[Commodity from]]&amp;Signswitch[[#This Row],[Transaction from]]</f>
        <v>440007</v>
      </c>
      <c r="BW19" s="22" t="s">
        <v>428</v>
      </c>
      <c r="BX19" s="26" t="str">
        <f>_xlfn.XLOOKUP(Signswitch[[#This Row],[Commodity from]],Commodities[Commodity code],Commodities[EnergyCode])</f>
        <v>AO</v>
      </c>
      <c r="BY19" s="22" t="s">
        <v>190</v>
      </c>
    </row>
    <row r="20" spans="8:77" x14ac:dyDescent="0.45">
      <c r="H20" s="5" t="s">
        <v>327</v>
      </c>
      <c r="I20" s="4" t="s">
        <v>326</v>
      </c>
      <c r="J20" s="9" t="s">
        <v>325</v>
      </c>
      <c r="K20" s="9" t="s">
        <v>1459</v>
      </c>
      <c r="L20" s="23" t="str">
        <f>IFERROR(INDEX(Commodities[[Commodity code]:[Commodity]],MATCH(Commodities[[#This Row],[Parent code]],Commodities[Commodity code],0),2),Commodities[[#This Row],[Commodity]])</f>
        <v>Solid biofuels</v>
      </c>
      <c r="M20" s="24" t="str">
        <f>IFERROR(INDEX(Commodities[[Commodity code]:[Commodity]],MATCH(INDEX(Commodities[[Commodity]:[Parent code]],MATCH(Commodities[[#This Row],[L1N]],Commodities[Commodity],0),2),Commodities[Commodity code],0),2),Commodities[[#This Row],[L1N]])</f>
        <v>Biofuels</v>
      </c>
      <c r="N20" s="24" t="str">
        <f>IFERROR(INDEX(Commodities[[Commodity code]:[Commodity]],MATCH(INDEX(Commodities[[Commodity]:[Parent code]],MATCH(Commodities[[#This Row],[L2N]],Commodities[Commodity],0),2),Commodities[Commodity code],0),2),Commodities[[#This Row],[L2N]])</f>
        <v>Biofuels</v>
      </c>
      <c r="O20" s="24" t="str">
        <f>IFERROR(INDEX(Commodities[[Commodity code]:[Commodity]],MATCH(INDEX(Commodities[[Commodity]:[Parent code]],MATCH(Commodities[[#This Row],[L3N]],Commodities[Commodity],0),2),Commodities[Commodity code],0),2),Commodities[[#This Row],[L3N]])</f>
        <v>Biofuels</v>
      </c>
      <c r="P20" s="24" t="str">
        <f>IF(Commodities[[#This Row],[L4N]]=Commodities[[#This Row],[L3N]],Commodities[[#This Row],[L4N]],IF(Commodities[[#This Row],[L3N]]=Commodities[[#This Row],[L2N]],Commodities[[#This Row],[L3N]],IF(Commodities[[#This Row],[L2N]]=Commodities[[#This Row],[L1N]],Commodities[[#This Row],[L2N]],IF(Commodities[[#This Row],[L1N]]=Commodities[[#This Row],[Commodity]],Commodities[[#This Row],[L1N]],Commodities[[#This Row],[Commodity]]))))</f>
        <v>Biofuels</v>
      </c>
      <c r="Q20" s="24" t="str">
        <f>IF(Commodities[[#This Row],[Level 0]]=Commodities[[#This Row],[Commodity]],Commodities[[#This Row],[Commodity]],IF(Commodities[[#This Row],[Level 0]]=Commodities[[#This Row],[L1N]],Commodities[[#This Row],[Commodity]],IF(Commodities[[#This Row],[Level 0]]=Commodities[[#This Row],[L2N]],Commodities[[#This Row],[L1N]],IF(Commodities[[#This Row],[Level 0]]=Commodities[[#This Row],[L3N]],Commodities[[#This Row],[L2N]],IF(Commodities[[#This Row],[Level 0]]=Commodities[[#This Row],[L4N]],Commodities[[#This Row],[L3N]],Commodities[[#This Row],[L4N]])))))</f>
        <v>Solid biofuels</v>
      </c>
      <c r="R20" s="24" t="str">
        <f>IF(Commodities[[#This Row],[Level 1]]=Commodities[[#This Row],[Commodity]],Commodities[[#This Row],[Commodity]],IF(Commodities[[#This Row],[Level 1]]=Commodities[[#This Row],[L1N]],Commodities[[#This Row],[Commodity]],IF(Commodities[[#This Row],[Level 1]]=Commodities[[#This Row],[L2N]],Commodities[[#This Row],[L1N]],IF(Commodities[[#This Row],[Level 1]]=Commodities[[#This Row],[L3N]],Commodities[[#This Row],[L2N]],IF(Commodities[[#This Row],[Level 1]]=Commodities[[#This Row],[L4N]],Commodities[[#This Row],[L3N]],Commodities[[#This Row],[L4N]])))))</f>
        <v>Charcoal</v>
      </c>
      <c r="S20" s="24" t="str">
        <f>IF(Commodities[[#This Row],[Level 2]]=Commodities[[#This Row],[Commodity]],Commodities[[#This Row],[Commodity]],IF(Commodities[[#This Row],[Level 2]]=Commodities[[#This Row],[L1N]],Commodities[[#This Row],[Commodity]],IF(Commodities[[#This Row],[Level 2]]=Commodities[[#This Row],[L2N]],Commodities[[#This Row],[L1N]],IF(Commodities[[#This Row],[Level 2]]=Commodities[[#This Row],[L3N]],Commodities[[#This Row],[L2N]],IF(Commodities[[#This Row],[Level 2]]=Commodities[[#This Row],[L4N]],Commodities[[#This Row],[L3N]],Commodities[[#This Row],[L4N]])))))</f>
        <v>Charcoal</v>
      </c>
      <c r="T20" s="24" t="str">
        <f>IF(Commodities[[#This Row],[Level 3]]=Commodities[[#This Row],[Commodity]],Commodities[[#This Row],[Commodity]],IF(Commodities[[#This Row],[Level 3]]=Commodities[[#This Row],[L1N]],Commodities[[#This Row],[Commodity]],IF(Commodities[[#This Row],[Level 3]]=Commodities[[#This Row],[L2N]],Commodities[[#This Row],[L1N]],IF(Commodities[[#This Row],[Level 3]]=Commodities[[#This Row],[L3N]],Commodities[[#This Row],[L2N]],IF(Commodities[[#This Row],[Level 3]]=Commodities[[#This Row],[L4N]],Commodities[[#This Row],[L3N]],Commodities[[#This Row],[L4N]])))))</f>
        <v>Charcoal</v>
      </c>
      <c r="U20" s="24" t="str">
        <f>IF(Commodities[[#This Row],[Level 4]]=Commodities[[#This Row],[Commodity]],Commodities[[#This Row],[Commodity]],IF(Commodities[[#This Row],[Level 4]]=Commodities[[#This Row],[L1N]],Commodities[[#This Row],[Commodity]],IF(Commodities[[#This Row],[Level 4]]=Commodities[[#This Row],[L2N]],Commodities[[#This Row],[L1N]],IF(Commodities[[#This Row],[Level 4]]=Commodities[[#This Row],[L3N]],Commodities[[#This Row],[L2N]],IF(Commodities[[#This Row],[Level 4]]=Commodities[[#This Row],[L4N]],Commodities[[#This Row],[L3N]],Commodities[[#This Row],[L4N]])))))</f>
        <v>Charcoal</v>
      </c>
      <c r="Y20" s="5" t="s">
        <v>158</v>
      </c>
      <c r="Z20" s="4" t="s">
        <v>707</v>
      </c>
      <c r="AA20" s="4" t="s">
        <v>707</v>
      </c>
      <c r="AB20" s="6" t="s">
        <v>144</v>
      </c>
      <c r="AC20" s="24" t="str">
        <f>IFERROR(VLOOKUP(Transactions[[#This Row],[Parent code]],Transactions[[Transaction code]:[Transaction name]],2,0),"")</f>
        <v>Energy industries own use</v>
      </c>
      <c r="AD20" s="4" t="s">
        <v>163</v>
      </c>
      <c r="AE20" s="4" t="s">
        <v>939</v>
      </c>
      <c r="AF20" s="4" t="s">
        <v>642</v>
      </c>
      <c r="AG20" s="4" t="s">
        <v>1</v>
      </c>
      <c r="AH20" s="4" t="s">
        <v>695</v>
      </c>
      <c r="AK20" s="24" t="str" cm="1">
        <f t="array" ref="AK20">IFERROR(INDEX(Transactions[[Transaction code]:[Transaction name]],_xlfn.XMATCH(Transactions[[#This Row],[Parent code]],Transactions[Transaction name],0),3),Transactions[[#This Row],[Transaction name]])</f>
        <v>Coke ovens (own use)</v>
      </c>
      <c r="AL20" s="24" t="str" cm="1">
        <f t="array" ref="AL20">IFERROR(INDEX(Transactions[[Transaction code]:[Transaction name]],_xlfn.XMATCH(INDEX(Transactions[[Transaction name]:[Parent code]],_xlfn.XMATCH(Transactions[[#This Row],[L1N]],Transactions[Transaction name],0),3),Transactions[Transaction code],0),2),Transactions[[#This Row],[L1N]])</f>
        <v>Energy industries own use</v>
      </c>
      <c r="AM20" s="24" t="str" cm="1">
        <f t="array" ref="AM20">IFERROR(INDEX(Transactions[[Transaction code]:[Transaction name]],_xlfn.XMATCH(INDEX(Transactions[[Transaction name]:[Parent code]],_xlfn.XMATCH(Transactions[[#This Row],[L2N]],Transactions[Transaction name],0),3),Transactions[Transaction code],0),2),Transactions[[#This Row],[L2N]])</f>
        <v>Energy industries own use</v>
      </c>
      <c r="AN20" s="24" t="str" cm="1">
        <f t="array" ref="AN20">IFERROR(INDEX(Transactions[[Transaction code]:[Transaction name]],_xlfn.XMATCH(INDEX(Transactions[[Transaction name]:[Parent code]],_xlfn.XMATCH(Transactions[[#This Row],[L3N]],Transactions[Transaction name],0),3),Transactions[Transaction code],0),2),Transactions[[#This Row],[L3N]])</f>
        <v>Energy industries own use</v>
      </c>
      <c r="AO20" s="24" t="str" cm="1">
        <f t="array" ref="AO20">IFERROR(INDEX(Transactions[[Transaction code]:[Transaction name]],_xlfn.XMATCH(INDEX(Transactions[[Transaction name]:[Parent code]],_xlfn.XMATCH(Transactions[[#This Row],[L4N]],Transactions[Transaction name],0),3),Transactions[Transaction code],0),2),Transactions[[#This Row],[L4N]])</f>
        <v>Energy industries own use</v>
      </c>
      <c r="AP20" s="24" t="str" cm="1">
        <f t="array" ref="AP20">IFERROR(INDEX(Transactions[[Transaction code]:[Transaction name]],_xlfn.XMATCH(INDEX(Transactions[[Transaction name]:[Parent code]],_xlfn.XMATCH(Transactions[[#This Row],[L5N]],Transactions[Transaction name],0),3),Transactions[Transaction code],0),2),Transactions[[#This Row],[L5N]])</f>
        <v>Energy industries own use</v>
      </c>
      <c r="AQ20" s="24" t="str" cm="1">
        <f t="array" ref="AQ20">IFERROR(INDEX(Transactions[[Transaction code]:[Transaction name]],_xlfn.XMATCH(INDEX(Transactions[[Transaction name]:[Parent code]],_xlfn.XMATCH(Transactions[[#This Row],[L6N]],Transactions[Transaction name],0),3),Transactions[Transaction code],0),2),Transactions[[#This Row],[L6N]])</f>
        <v>Energy industries own use</v>
      </c>
      <c r="AR20" s="27" t="str">
        <f>IF(Transactions[[#This Row],[L7N]]=Transactions[[#This Row],[L6N]],Transactions[[#This Row],[L7N]],IF(Transactions[[#This Row],[L6N]]=Transactions[[#This Row],[L5N]],Transactions[[#This Row],[L6N]],IF(Transactions[[#This Row],[L5N]]=Transactions[[#This Row],[L4N]],Transactions[[#This Row],[L5N]],IF(Transactions[[#This Row],[L4N]]=Transactions[[#This Row],[L3N]],Transactions[[#This Row],[L4N]],IF(Transactions[[#This Row],[L3N]]=Transactions[[#This Row],[L2N]],Transactions[[#This Row],[L3N]],IF(Transactions[[#This Row],[L2N]]=Transactions[[#This Row],[L1N]],Transactions[[#This Row],[L2N]],IF(Transactions[[#This Row],[L1N]]=Transactions[[#This Row],[Transaction name]],Transactions[[#This Row],[L1N]],Transactions[[#This Row],[Transaction name]])))))))</f>
        <v>Energy industries own use</v>
      </c>
      <c r="AS20" s="24" t="str">
        <f>IF(Transactions[[#This Row],[Level 0]]=Transactions[[#This Row],[Transaction name]],Transactions[[#This Row],[Transaction name]],IF(Transactions[[#This Row],[Level 0]]=Transactions[[#This Row],[L1N]],Transactions[[#This Row],[Transaction name]],IF(Transactions[[#This Row],[Level 0]]=Transactions[[#This Row],[L2N]],Transactions[[#This Row],[L1N]],IF(Transactions[[#This Row],[Level 0]]=Transactions[[#This Row],[L3N]],Transactions[[#This Row],[L2N]],IF(Transactions[[#This Row],[Level 0]]=Transactions[[#This Row],[L4N]],Transactions[[#This Row],[L3N]],IF(Transactions[[#This Row],[Level 0]]=Transactions[[#This Row],[L5N]],Transactions[[#This Row],[L4N]],IF(Transactions[[#This Row],[Level 0]]=Transactions[[#This Row],[L6N]],Transactions[[#This Row],[L5N]],IF(Transactions[[#This Row],[Level 0]]=Transactions[[#This Row],[L7N]],Transactions[[#This Row],[L6N]],Transactions[[#This Row],[L7N]]))))))))</f>
        <v>Coke ovens (own use)</v>
      </c>
      <c r="AT20" s="24" t="str">
        <f>IF(Transactions[[#This Row],[Level 1]]=Transactions[[#This Row],[Transaction name]],Transactions[[#This Row],[Transaction name]],IF(Transactions[[#This Row],[Level 1]]=Transactions[[#This Row],[L1N]],Transactions[[#This Row],[Transaction name]],IF(Transactions[[#This Row],[Level 1]]=Transactions[[#This Row],[L2N]],Transactions[[#This Row],[L1N]],IF(Transactions[[#This Row],[Level 1]]=Transactions[[#This Row],[L3N]],Transactions[[#This Row],[L2N]],IF(Transactions[[#This Row],[Level 1]]=Transactions[[#This Row],[L4N]],Transactions[[#This Row],[L3N]],IF(Transactions[[#This Row],[Level 1]]=Transactions[[#This Row],[L5N]],Transactions[[#This Row],[L4N]],IF(Transactions[[#This Row],[Level 1]]=Transactions[[#This Row],[L6N]],Transactions[[#This Row],[L5N]],IF(Transactions[[#This Row],[Level 1]]=Transactions[[#This Row],[L7N]],Transactions[[#This Row],[L6N]],Transactions[[#This Row],[L7N]]))))))))</f>
        <v>Coke ovens (own use)</v>
      </c>
      <c r="AU20" s="24" t="str">
        <f>IF(Transactions[[#This Row],[Level 2]]=Transactions[[#This Row],[Transaction name]],Transactions[[#This Row],[Transaction name]],IF(Transactions[[#This Row],[Level 2]]=Transactions[[#This Row],[L1N]],Transactions[[#This Row],[Transaction name]],IF(Transactions[[#This Row],[Level 2]]=Transactions[[#This Row],[L2N]],Transactions[[#This Row],[L1N]],IF(Transactions[[#This Row],[Level 2]]=Transactions[[#This Row],[L3N]],Transactions[[#This Row],[L2N]],IF(Transactions[[#This Row],[Level 2]]=Transactions[[#This Row],[L4N]],Transactions[[#This Row],[L3N]],IF(Transactions[[#This Row],[Level 2]]=Transactions[[#This Row],[L5N]],Transactions[[#This Row],[L4N]],IF(Transactions[[#This Row],[Level 2]]=Transactions[[#This Row],[L6N]],Transactions[[#This Row],[L5N]],IF(Transactions[[#This Row],[Level 2]]=Transactions[[#This Row],[L7N]],Transactions[[#This Row],[L6N]],Transactions[[#This Row],[L7N]]))))))))</f>
        <v>Coke ovens (own use)</v>
      </c>
      <c r="AV20" s="24" t="str">
        <f>IF(Transactions[[#This Row],[Level 3]]=Transactions[[#This Row],[Transaction name]],Transactions[[#This Row],[Transaction name]],IF(Transactions[[#This Row],[Level 3]]=Transactions[[#This Row],[L1N]],Transactions[[#This Row],[Transaction name]],IF(Transactions[[#This Row],[Level 3]]=Transactions[[#This Row],[L2N]],Transactions[[#This Row],[L1N]],IF(Transactions[[#This Row],[Level 3]]=Transactions[[#This Row],[L3N]],Transactions[[#This Row],[L2N]],IF(Transactions[[#This Row],[Level 3]]=Transactions[[#This Row],[L4N]],Transactions[[#This Row],[L3N]],IF(Transactions[[#This Row],[Level 3]]=Transactions[[#This Row],[L5N]],Transactions[[#This Row],[L4N]],IF(Transactions[[#This Row],[Level 3]]=Transactions[[#This Row],[L6N]],Transactions[[#This Row],[L5N]],IF(Transactions[[#This Row],[Level 3]]=Transactions[[#This Row],[L7N]],Transactions[[#This Row],[L6N]],Transactions[[#This Row],[L7N]]))))))))</f>
        <v>Coke ovens (own use)</v>
      </c>
      <c r="AW20" s="24" t="str">
        <f>IF(Transactions[[#This Row],[Level 4]]=Transactions[[#This Row],[Transaction name]],Transactions[[#This Row],[Transaction name]],IF(Transactions[[#This Row],[Level 4]]=Transactions[[#This Row],[L1N]],Transactions[[#This Row],[Transaction name]],IF(Transactions[[#This Row],[Level 4]]=Transactions[[#This Row],[L2N]],Transactions[[#This Row],[L1N]],IF(Transactions[[#This Row],[Level 4]]=Transactions[[#This Row],[L3N]],Transactions[[#This Row],[L2N]],IF(Transactions[[#This Row],[Level 4]]=Transactions[[#This Row],[L4N]],Transactions[[#This Row],[L3N]],IF(Transactions[[#This Row],[Level 4]]=Transactions[[#This Row],[L5N]],Transactions[[#This Row],[L4N]],IF(Transactions[[#This Row],[Level 4]]=Transactions[[#This Row],[L6N]],Transactions[[#This Row],[L5N]],IF(Transactions[[#This Row],[Level 4]]=Transactions[[#This Row],[L7N]],Transactions[[#This Row],[L6N]],Transactions[[#This Row],[L7N]]))))))))</f>
        <v>Coke ovens (own use)</v>
      </c>
      <c r="AX20" s="24" t="str">
        <f>IF(Transactions[[#This Row],[Level 5]]=Transactions[[#This Row],[Transaction name]],Transactions[[#This Row],[Transaction name]],IF(Transactions[[#This Row],[Level 5]]=Transactions[[#This Row],[L1N]],Transactions[[#This Row],[Transaction name]],IF(Transactions[[#This Row],[Level 5]]=Transactions[[#This Row],[L2N]],Transactions[[#This Row],[L1N]],IF(Transactions[[#This Row],[Level 5]]=Transactions[[#This Row],[L3N]],Transactions[[#This Row],[L2N]],IF(Transactions[[#This Row],[Level 5]]=Transactions[[#This Row],[L4N]],Transactions[[#This Row],[L3N]],IF(Transactions[[#This Row],[Level 5]]=Transactions[[#This Row],[L5N]],Transactions[[#This Row],[L4N]],IF(Transactions[[#This Row],[Level 5]]=Transactions[[#This Row],[L6N]],Transactions[[#This Row],[L5N]],IF(Transactions[[#This Row],[Level 5]]=Transactions[[#This Row],[L7N]],Transactions[[#This Row],[L6N]],Transactions[[#This Row],[L7N]]))))))))</f>
        <v>Coke ovens (own use)</v>
      </c>
      <c r="AY20" s="24" t="str">
        <f>IF(Transactions[[#This Row],[Level 6]]=Transactions[[#This Row],[Transaction name]],Transactions[[#This Row],[Transaction name]],IF(Transactions[[#This Row],[Level 6]]=Transactions[[#This Row],[L1N]],Transactions[[#This Row],[Transaction name]],IF(Transactions[[#This Row],[Level 6]]=Transactions[[#This Row],[L2N]],Transactions[[#This Row],[L1N]],IF(Transactions[[#This Row],[Level 6]]=Transactions[[#This Row],[L3N]],Transactions[[#This Row],[L2N]],IF(Transactions[[#This Row],[Level 6]]=Transactions[[#This Row],[L4N]],Transactions[[#This Row],[L3N]],IF(Transactions[[#This Row],[Level 6]]=Transactions[[#This Row],[L5N]],Transactions[[#This Row],[L4N]],IF(Transactions[[#This Row],[Level 6]]=Transactions[[#This Row],[L6N]],Transactions[[#This Row],[L5N]],IF(Transactions[[#This Row],[Level 6]]=Transactions[[#This Row],[L7N]],Transactions[[#This Row],[L6N]],Transactions[[#This Row],[L7N]]))))))))</f>
        <v>Coke ovens (own use)</v>
      </c>
      <c r="BE20" s="26" t="str">
        <f>_xlfn.XLOOKUP(Transformation[[#This Row],[cfrom]],Commodities[Commodity],Commodities[Commodity code])</f>
        <v>5120</v>
      </c>
      <c r="BF20" s="26" t="str">
        <f>_xlfn.XLOOKUP(Transformation[[#This Row],[tfrom]],Transactions[Transaction name],Transactions[Transaction code])</f>
        <v>08822</v>
      </c>
      <c r="BG20" s="26" t="str">
        <f>_xlfn.XLOOKUP(Transformation[[#This Row],[cto]],Commodities[Commodity],Commodities[Commodity code])</f>
        <v>5120</v>
      </c>
      <c r="BH20" s="26" t="str">
        <f>_xlfn.XLOOKUP(Transformation[[#This Row],[tto]],Transactions[Transaction name],Transactions[Transaction code])</f>
        <v>016BC</v>
      </c>
      <c r="BI20" s="11">
        <v>1</v>
      </c>
      <c r="BJ20" s="4" t="s">
        <v>337</v>
      </c>
      <c r="BK20" s="24" t="str">
        <f>_xlfn.XLOOKUP(Transformation[[#This Row],[Commodity from]],Commodities[Commodity code],Commodities[EnergyCode])</f>
        <v>BS</v>
      </c>
      <c r="BL20" s="4" t="s">
        <v>692</v>
      </c>
      <c r="BM20" s="4" t="s">
        <v>337</v>
      </c>
      <c r="BN20" s="24" t="str">
        <f>_xlfn.XLOOKUP(Transformation[[#This Row],[Commodity to]],Commodities[Commodity code],Commodities[EnergyCode])</f>
        <v>BS</v>
      </c>
      <c r="BO20" s="4" t="s">
        <v>1062</v>
      </c>
      <c r="BP20" s="16" t="s">
        <v>1493</v>
      </c>
      <c r="BQ20" s="33" t="str">
        <f>Transformation[[#This Row],[Commodity from]]&amp;Transformation[[#This Row],[Transaction from]]&amp;Transformation[[#This Row],[Commodity to]]&amp;Transformation[[#This Row],[Transaction to]]</f>
        <v>5120088225120016BC</v>
      </c>
      <c r="BR20" s="26" t="str">
        <f>Transformation[[#This Row],[crfomid]]&amp;Transformation[[#This Row],[Transaction from]]&amp;"("&amp;Transformation[[#This Row],[Multiplier]]&amp;") -&gt; "&amp;Transformation[[#This Row],[ctoid]]&amp;Transformation[[#This Row],[Transaction to]]</f>
        <v>BS08822(1) -&gt; BS016BC</v>
      </c>
      <c r="BT20" s="26" t="str">
        <f>_xlfn.XLOOKUP(Signswitch[[#This Row],[Commodity name]],Commodities[Commodity],Commodities[Commodity code])</f>
        <v>5232</v>
      </c>
      <c r="BU20" s="26" t="str">
        <f>_xlfn.XLOOKUP(Signswitch[[#This Row],[Transaction name]],Transactions[Transaction name],Transactions[Transaction code])</f>
        <v>101</v>
      </c>
      <c r="BV20" s="26" t="str">
        <f>Signswitch[[#This Row],[Commodity from]]&amp;Signswitch[[#This Row],[Transaction from]]</f>
        <v>5232101</v>
      </c>
      <c r="BW20" s="22" t="s">
        <v>306</v>
      </c>
      <c r="BX20" s="26" t="str">
        <f>_xlfn.XLOOKUP(Signswitch[[#This Row],[Commodity from]],Commodities[Commodity code],Commodities[EnergyCode])</f>
        <v>ZJ</v>
      </c>
      <c r="BY20" s="22" t="s">
        <v>142</v>
      </c>
    </row>
    <row r="21" spans="8:77" x14ac:dyDescent="0.45">
      <c r="H21" s="5" t="s">
        <v>525</v>
      </c>
      <c r="I21" s="4" t="s">
        <v>532</v>
      </c>
      <c r="J21" s="9" t="s">
        <v>506</v>
      </c>
      <c r="K21" s="9" t="s">
        <v>1421</v>
      </c>
      <c r="L21" s="25" t="str">
        <f>IFERROR(INDEX(Commodities[[Commodity code]:[Commodity]],MATCH(Commodities[[#This Row],[Parent code]],Commodities[Commodity code],0),2),Commodities[[#This Row],[Commodity]])</f>
        <v>Coal</v>
      </c>
      <c r="M21" s="24" t="str">
        <f>IFERROR(INDEX(Commodities[[Commodity code]:[Commodity]],MATCH(INDEX(Commodities[[Commodity]:[Parent code]],MATCH(Commodities[[#This Row],[L1N]],Commodities[Commodity],0),2),Commodities[Commodity code],0),2),Commodities[[#This Row],[L1N]])</f>
        <v>Coal</v>
      </c>
      <c r="N21" s="24" t="str">
        <f>IFERROR(INDEX(Commodities[[Commodity code]:[Commodity]],MATCH(INDEX(Commodities[[Commodity]:[Parent code]],MATCH(Commodities[[#This Row],[L2N]],Commodities[Commodity],0),2),Commodities[Commodity code],0),2),Commodities[[#This Row],[L2N]])</f>
        <v>Coal</v>
      </c>
      <c r="O21" s="24" t="str">
        <f>IFERROR(INDEX(Commodities[[Commodity code]:[Commodity]],MATCH(INDEX(Commodities[[Commodity]:[Parent code]],MATCH(Commodities[[#This Row],[L3N]],Commodities[Commodity],0),2),Commodities[Commodity code],0),2),Commodities[[#This Row],[L3N]])</f>
        <v>Coal</v>
      </c>
      <c r="P21" s="24" t="str">
        <f>IF(Commodities[[#This Row],[L4N]]=Commodities[[#This Row],[L3N]],Commodities[[#This Row],[L4N]],IF(Commodities[[#This Row],[L3N]]=Commodities[[#This Row],[L2N]],Commodities[[#This Row],[L3N]],IF(Commodities[[#This Row],[L2N]]=Commodities[[#This Row],[L1N]],Commodities[[#This Row],[L2N]],IF(Commodities[[#This Row],[L1N]]=Commodities[[#This Row],[Commodity]],Commodities[[#This Row],[L1N]],Commodities[[#This Row],[Commodity]]))))</f>
        <v>Coal</v>
      </c>
      <c r="Q21" s="24" t="str">
        <f>IF(Commodities[[#This Row],[Level 0]]=Commodities[[#This Row],[Commodity]],Commodities[[#This Row],[Commodity]],IF(Commodities[[#This Row],[Level 0]]=Commodities[[#This Row],[L1N]],Commodities[[#This Row],[Commodity]],IF(Commodities[[#This Row],[Level 0]]=Commodities[[#This Row],[L2N]],Commodities[[#This Row],[L1N]],IF(Commodities[[#This Row],[Level 0]]=Commodities[[#This Row],[L3N]],Commodities[[#This Row],[L2N]],IF(Commodities[[#This Row],[Level 0]]=Commodities[[#This Row],[L4N]],Commodities[[#This Row],[L3N]],Commodities[[#This Row],[L4N]])))))</f>
        <v>Hard coal</v>
      </c>
      <c r="R21" s="24" t="str">
        <f>IF(Commodities[[#This Row],[Level 1]]=Commodities[[#This Row],[Commodity]],Commodities[[#This Row],[Commodity]],IF(Commodities[[#This Row],[Level 1]]=Commodities[[#This Row],[L1N]],Commodities[[#This Row],[Commodity]],IF(Commodities[[#This Row],[Level 1]]=Commodities[[#This Row],[L2N]],Commodities[[#This Row],[L1N]],IF(Commodities[[#This Row],[Level 1]]=Commodities[[#This Row],[L3N]],Commodities[[#This Row],[L2N]],IF(Commodities[[#This Row],[Level 1]]=Commodities[[#This Row],[L4N]],Commodities[[#This Row],[L3N]],Commodities[[#This Row],[L4N]])))))</f>
        <v>Hard coal</v>
      </c>
      <c r="S21" s="24" t="str">
        <f>IF(Commodities[[#This Row],[Level 2]]=Commodities[[#This Row],[Commodity]],Commodities[[#This Row],[Commodity]],IF(Commodities[[#This Row],[Level 2]]=Commodities[[#This Row],[L1N]],Commodities[[#This Row],[Commodity]],IF(Commodities[[#This Row],[Level 2]]=Commodities[[#This Row],[L2N]],Commodities[[#This Row],[L1N]],IF(Commodities[[#This Row],[Level 2]]=Commodities[[#This Row],[L3N]],Commodities[[#This Row],[L2N]],IF(Commodities[[#This Row],[Level 2]]=Commodities[[#This Row],[L4N]],Commodities[[#This Row],[L3N]],Commodities[[#This Row],[L4N]])))))</f>
        <v>Hard coal</v>
      </c>
      <c r="T21" s="24" t="str">
        <f>IF(Commodities[[#This Row],[Level 3]]=Commodities[[#This Row],[Commodity]],Commodities[[#This Row],[Commodity]],IF(Commodities[[#This Row],[Level 3]]=Commodities[[#This Row],[L1N]],Commodities[[#This Row],[Commodity]],IF(Commodities[[#This Row],[Level 3]]=Commodities[[#This Row],[L2N]],Commodities[[#This Row],[L1N]],IF(Commodities[[#This Row],[Level 3]]=Commodities[[#This Row],[L3N]],Commodities[[#This Row],[L2N]],IF(Commodities[[#This Row],[Level 3]]=Commodities[[#This Row],[L4N]],Commodities[[#This Row],[L3N]],Commodities[[#This Row],[L4N]])))))</f>
        <v>Hard coal</v>
      </c>
      <c r="U21" s="24" t="str">
        <f>IF(Commodities[[#This Row],[Level 4]]=Commodities[[#This Row],[Commodity]],Commodities[[#This Row],[Commodity]],IF(Commodities[[#This Row],[Level 4]]=Commodities[[#This Row],[L1N]],Commodities[[#This Row],[Commodity]],IF(Commodities[[#This Row],[Level 4]]=Commodities[[#This Row],[L2N]],Commodities[[#This Row],[L1N]],IF(Commodities[[#This Row],[Level 4]]=Commodities[[#This Row],[L3N]],Commodities[[#This Row],[L2N]],IF(Commodities[[#This Row],[Level 4]]=Commodities[[#This Row],[L4N]],Commodities[[#This Row],[L3N]],Commodities[[#This Row],[L4N]])))))</f>
        <v>Hard coal</v>
      </c>
      <c r="Y21" s="5" t="s">
        <v>152</v>
      </c>
      <c r="Z21" s="4" t="s">
        <v>714</v>
      </c>
      <c r="AA21" s="4" t="s">
        <v>714</v>
      </c>
      <c r="AB21" s="6" t="s">
        <v>144</v>
      </c>
      <c r="AC21" s="24" t="str">
        <f>IFERROR(VLOOKUP(Transactions[[#This Row],[Parent code]],Transactions[[Transaction code]:[Transaction name]],2,0),"")</f>
        <v>Energy industries own use</v>
      </c>
      <c r="AD21" s="4" t="s">
        <v>163</v>
      </c>
      <c r="AE21" s="4" t="s">
        <v>959</v>
      </c>
      <c r="AF21" s="4" t="s">
        <v>642</v>
      </c>
      <c r="AG21" s="4" t="s">
        <v>1</v>
      </c>
      <c r="AH21" s="4" t="s">
        <v>695</v>
      </c>
      <c r="AK21" s="24" t="str" cm="1">
        <f t="array" ref="AK21">IFERROR(INDEX(Transactions[[Transaction code]:[Transaction name]],_xlfn.XMATCH(Transactions[[#This Row],[Parent code]],Transactions[Transaction name],0),3),Transactions[[#This Row],[Transaction name]])</f>
        <v>Electricity, CHP and Heat plants (own use)</v>
      </c>
      <c r="AL21" s="24" t="str" cm="1">
        <f t="array" ref="AL21">IFERROR(INDEX(Transactions[[Transaction code]:[Transaction name]],_xlfn.XMATCH(INDEX(Transactions[[Transaction name]:[Parent code]],_xlfn.XMATCH(Transactions[[#This Row],[L1N]],Transactions[Transaction name],0),3),Transactions[Transaction code],0),2),Transactions[[#This Row],[L1N]])</f>
        <v>Energy industries own use</v>
      </c>
      <c r="AM21" s="24" t="str" cm="1">
        <f t="array" ref="AM21">IFERROR(INDEX(Transactions[[Transaction code]:[Transaction name]],_xlfn.XMATCH(INDEX(Transactions[[Transaction name]:[Parent code]],_xlfn.XMATCH(Transactions[[#This Row],[L2N]],Transactions[Transaction name],0),3),Transactions[Transaction code],0),2),Transactions[[#This Row],[L2N]])</f>
        <v>Energy industries own use</v>
      </c>
      <c r="AN21" s="24" t="str" cm="1">
        <f t="array" ref="AN21">IFERROR(INDEX(Transactions[[Transaction code]:[Transaction name]],_xlfn.XMATCH(INDEX(Transactions[[Transaction name]:[Parent code]],_xlfn.XMATCH(Transactions[[#This Row],[L3N]],Transactions[Transaction name],0),3),Transactions[Transaction code],0),2),Transactions[[#This Row],[L3N]])</f>
        <v>Energy industries own use</v>
      </c>
      <c r="AO21" s="24" t="str" cm="1">
        <f t="array" ref="AO21">IFERROR(INDEX(Transactions[[Transaction code]:[Transaction name]],_xlfn.XMATCH(INDEX(Transactions[[Transaction name]:[Parent code]],_xlfn.XMATCH(Transactions[[#This Row],[L4N]],Transactions[Transaction name],0),3),Transactions[Transaction code],0),2),Transactions[[#This Row],[L4N]])</f>
        <v>Energy industries own use</v>
      </c>
      <c r="AP21" s="24" t="str" cm="1">
        <f t="array" ref="AP21">IFERROR(INDEX(Transactions[[Transaction code]:[Transaction name]],_xlfn.XMATCH(INDEX(Transactions[[Transaction name]:[Parent code]],_xlfn.XMATCH(Transactions[[#This Row],[L5N]],Transactions[Transaction name],0),3),Transactions[Transaction code],0),2),Transactions[[#This Row],[L5N]])</f>
        <v>Energy industries own use</v>
      </c>
      <c r="AQ21" s="24" t="str" cm="1">
        <f t="array" ref="AQ21">IFERROR(INDEX(Transactions[[Transaction code]:[Transaction name]],_xlfn.XMATCH(INDEX(Transactions[[Transaction name]:[Parent code]],_xlfn.XMATCH(Transactions[[#This Row],[L6N]],Transactions[Transaction name],0),3),Transactions[Transaction code],0),2),Transactions[[#This Row],[L6N]])</f>
        <v>Energy industries own use</v>
      </c>
      <c r="AR21" s="27" t="str">
        <f>IF(Transactions[[#This Row],[L7N]]=Transactions[[#This Row],[L6N]],Transactions[[#This Row],[L7N]],IF(Transactions[[#This Row],[L6N]]=Transactions[[#This Row],[L5N]],Transactions[[#This Row],[L6N]],IF(Transactions[[#This Row],[L5N]]=Transactions[[#This Row],[L4N]],Transactions[[#This Row],[L5N]],IF(Transactions[[#This Row],[L4N]]=Transactions[[#This Row],[L3N]],Transactions[[#This Row],[L4N]],IF(Transactions[[#This Row],[L3N]]=Transactions[[#This Row],[L2N]],Transactions[[#This Row],[L3N]],IF(Transactions[[#This Row],[L2N]]=Transactions[[#This Row],[L1N]],Transactions[[#This Row],[L2N]],IF(Transactions[[#This Row],[L1N]]=Transactions[[#This Row],[Transaction name]],Transactions[[#This Row],[L1N]],Transactions[[#This Row],[Transaction name]])))))))</f>
        <v>Energy industries own use</v>
      </c>
      <c r="AS21" s="24" t="str">
        <f>IF(Transactions[[#This Row],[Level 0]]=Transactions[[#This Row],[Transaction name]],Transactions[[#This Row],[Transaction name]],IF(Transactions[[#This Row],[Level 0]]=Transactions[[#This Row],[L1N]],Transactions[[#This Row],[Transaction name]],IF(Transactions[[#This Row],[Level 0]]=Transactions[[#This Row],[L2N]],Transactions[[#This Row],[L1N]],IF(Transactions[[#This Row],[Level 0]]=Transactions[[#This Row],[L3N]],Transactions[[#This Row],[L2N]],IF(Transactions[[#This Row],[Level 0]]=Transactions[[#This Row],[L4N]],Transactions[[#This Row],[L3N]],IF(Transactions[[#This Row],[Level 0]]=Transactions[[#This Row],[L5N]],Transactions[[#This Row],[L4N]],IF(Transactions[[#This Row],[Level 0]]=Transactions[[#This Row],[L6N]],Transactions[[#This Row],[L5N]],IF(Transactions[[#This Row],[Level 0]]=Transactions[[#This Row],[L7N]],Transactions[[#This Row],[L6N]],Transactions[[#This Row],[L7N]]))))))))</f>
        <v>Electricity, CHP and Heat plants (own use)</v>
      </c>
      <c r="AT21" s="24" t="str">
        <f>IF(Transactions[[#This Row],[Level 1]]=Transactions[[#This Row],[Transaction name]],Transactions[[#This Row],[Transaction name]],IF(Transactions[[#This Row],[Level 1]]=Transactions[[#This Row],[L1N]],Transactions[[#This Row],[Transaction name]],IF(Transactions[[#This Row],[Level 1]]=Transactions[[#This Row],[L2N]],Transactions[[#This Row],[L1N]],IF(Transactions[[#This Row],[Level 1]]=Transactions[[#This Row],[L3N]],Transactions[[#This Row],[L2N]],IF(Transactions[[#This Row],[Level 1]]=Transactions[[#This Row],[L4N]],Transactions[[#This Row],[L3N]],IF(Transactions[[#This Row],[Level 1]]=Transactions[[#This Row],[L5N]],Transactions[[#This Row],[L4N]],IF(Transactions[[#This Row],[Level 1]]=Transactions[[#This Row],[L6N]],Transactions[[#This Row],[L5N]],IF(Transactions[[#This Row],[Level 1]]=Transactions[[#This Row],[L7N]],Transactions[[#This Row],[L6N]],Transactions[[#This Row],[L7N]]))))))))</f>
        <v>Electricity, CHP and Heat plants (own use)</v>
      </c>
      <c r="AU21" s="24" t="str">
        <f>IF(Transactions[[#This Row],[Level 2]]=Transactions[[#This Row],[Transaction name]],Transactions[[#This Row],[Transaction name]],IF(Transactions[[#This Row],[Level 2]]=Transactions[[#This Row],[L1N]],Transactions[[#This Row],[Transaction name]],IF(Transactions[[#This Row],[Level 2]]=Transactions[[#This Row],[L2N]],Transactions[[#This Row],[L1N]],IF(Transactions[[#This Row],[Level 2]]=Transactions[[#This Row],[L3N]],Transactions[[#This Row],[L2N]],IF(Transactions[[#This Row],[Level 2]]=Transactions[[#This Row],[L4N]],Transactions[[#This Row],[L3N]],IF(Transactions[[#This Row],[Level 2]]=Transactions[[#This Row],[L5N]],Transactions[[#This Row],[L4N]],IF(Transactions[[#This Row],[Level 2]]=Transactions[[#This Row],[L6N]],Transactions[[#This Row],[L5N]],IF(Transactions[[#This Row],[Level 2]]=Transactions[[#This Row],[L7N]],Transactions[[#This Row],[L6N]],Transactions[[#This Row],[L7N]]))))))))</f>
        <v>Electricity, CHP and Heat plants (own use)</v>
      </c>
      <c r="AV21" s="24" t="str">
        <f>IF(Transactions[[#This Row],[Level 3]]=Transactions[[#This Row],[Transaction name]],Transactions[[#This Row],[Transaction name]],IF(Transactions[[#This Row],[Level 3]]=Transactions[[#This Row],[L1N]],Transactions[[#This Row],[Transaction name]],IF(Transactions[[#This Row],[Level 3]]=Transactions[[#This Row],[L2N]],Transactions[[#This Row],[L1N]],IF(Transactions[[#This Row],[Level 3]]=Transactions[[#This Row],[L3N]],Transactions[[#This Row],[L2N]],IF(Transactions[[#This Row],[Level 3]]=Transactions[[#This Row],[L4N]],Transactions[[#This Row],[L3N]],IF(Transactions[[#This Row],[Level 3]]=Transactions[[#This Row],[L5N]],Transactions[[#This Row],[L4N]],IF(Transactions[[#This Row],[Level 3]]=Transactions[[#This Row],[L6N]],Transactions[[#This Row],[L5N]],IF(Transactions[[#This Row],[Level 3]]=Transactions[[#This Row],[L7N]],Transactions[[#This Row],[L6N]],Transactions[[#This Row],[L7N]]))))))))</f>
        <v>Electricity, CHP and Heat plants (own use)</v>
      </c>
      <c r="AW21" s="24" t="str">
        <f>IF(Transactions[[#This Row],[Level 4]]=Transactions[[#This Row],[Transaction name]],Transactions[[#This Row],[Transaction name]],IF(Transactions[[#This Row],[Level 4]]=Transactions[[#This Row],[L1N]],Transactions[[#This Row],[Transaction name]],IF(Transactions[[#This Row],[Level 4]]=Transactions[[#This Row],[L2N]],Transactions[[#This Row],[L1N]],IF(Transactions[[#This Row],[Level 4]]=Transactions[[#This Row],[L3N]],Transactions[[#This Row],[L2N]],IF(Transactions[[#This Row],[Level 4]]=Transactions[[#This Row],[L4N]],Transactions[[#This Row],[L3N]],IF(Transactions[[#This Row],[Level 4]]=Transactions[[#This Row],[L5N]],Transactions[[#This Row],[L4N]],IF(Transactions[[#This Row],[Level 4]]=Transactions[[#This Row],[L6N]],Transactions[[#This Row],[L5N]],IF(Transactions[[#This Row],[Level 4]]=Transactions[[#This Row],[L7N]],Transactions[[#This Row],[L6N]],Transactions[[#This Row],[L7N]]))))))))</f>
        <v>Electricity, CHP and Heat plants (own use)</v>
      </c>
      <c r="AX21" s="24" t="str">
        <f>IF(Transactions[[#This Row],[Level 5]]=Transactions[[#This Row],[Transaction name]],Transactions[[#This Row],[Transaction name]],IF(Transactions[[#This Row],[Level 5]]=Transactions[[#This Row],[L1N]],Transactions[[#This Row],[Transaction name]],IF(Transactions[[#This Row],[Level 5]]=Transactions[[#This Row],[L2N]],Transactions[[#This Row],[L1N]],IF(Transactions[[#This Row],[Level 5]]=Transactions[[#This Row],[L3N]],Transactions[[#This Row],[L2N]],IF(Transactions[[#This Row],[Level 5]]=Transactions[[#This Row],[L4N]],Transactions[[#This Row],[L3N]],IF(Transactions[[#This Row],[Level 5]]=Transactions[[#This Row],[L5N]],Transactions[[#This Row],[L4N]],IF(Transactions[[#This Row],[Level 5]]=Transactions[[#This Row],[L6N]],Transactions[[#This Row],[L5N]],IF(Transactions[[#This Row],[Level 5]]=Transactions[[#This Row],[L7N]],Transactions[[#This Row],[L6N]],Transactions[[#This Row],[L7N]]))))))))</f>
        <v>Electricity, CHP and Heat plants (own use)</v>
      </c>
      <c r="AY21" s="24" t="str">
        <f>IF(Transactions[[#This Row],[Level 6]]=Transactions[[#This Row],[Transaction name]],Transactions[[#This Row],[Transaction name]],IF(Transactions[[#This Row],[Level 6]]=Transactions[[#This Row],[L1N]],Transactions[[#This Row],[Transaction name]],IF(Transactions[[#This Row],[Level 6]]=Transactions[[#This Row],[L2N]],Transactions[[#This Row],[L1N]],IF(Transactions[[#This Row],[Level 6]]=Transactions[[#This Row],[L3N]],Transactions[[#This Row],[L2N]],IF(Transactions[[#This Row],[Level 6]]=Transactions[[#This Row],[L4N]],Transactions[[#This Row],[L3N]],IF(Transactions[[#This Row],[Level 6]]=Transactions[[#This Row],[L5N]],Transactions[[#This Row],[L4N]],IF(Transactions[[#This Row],[Level 6]]=Transactions[[#This Row],[L6N]],Transactions[[#This Row],[L5N]],IF(Transactions[[#This Row],[Level 6]]=Transactions[[#This Row],[L7N]],Transactions[[#This Row],[L6N]],Transactions[[#This Row],[L7N]]))))))))</f>
        <v>Electricity, CHP and Heat plants (own use)</v>
      </c>
      <c r="BE21" s="26" t="str">
        <f>_xlfn.XLOOKUP(Transformation[[#This Row],[cfrom]],Commodities[Commodity],Commodities[Commodity code])</f>
        <v>4695</v>
      </c>
      <c r="BF21" s="26" t="str">
        <f>_xlfn.XLOOKUP(Transformation[[#This Row],[tfrom]],Transactions[Transaction name],Transactions[Transaction code])</f>
        <v>08822</v>
      </c>
      <c r="BG21" s="26" t="str">
        <f>_xlfn.XLOOKUP(Transformation[[#This Row],[cto]],Commodities[Commodity],Commodities[Commodity code])</f>
        <v>4695</v>
      </c>
      <c r="BH21" s="26" t="str">
        <f>_xlfn.XLOOKUP(Transformation[[#This Row],[tto]],Transactions[Transaction name],Transactions[Transaction code])</f>
        <v>016OPC</v>
      </c>
      <c r="BI21" s="11">
        <v>1</v>
      </c>
      <c r="BJ21" s="4" t="s">
        <v>351</v>
      </c>
      <c r="BK21" s="24" t="str">
        <f>_xlfn.XLOOKUP(Transformation[[#This Row],[Commodity from]],Commodities[Commodity code],Commodities[EnergyCode])</f>
        <v>BT</v>
      </c>
      <c r="BL21" s="4" t="s">
        <v>692</v>
      </c>
      <c r="BM21" s="4" t="s">
        <v>351</v>
      </c>
      <c r="BN21" s="24" t="str">
        <f>_xlfn.XLOOKUP(Transformation[[#This Row],[Commodity to]],Commodities[Commodity code],Commodities[EnergyCode])</f>
        <v>BT</v>
      </c>
      <c r="BO21" s="4" t="s">
        <v>1054</v>
      </c>
      <c r="BP21" s="16" t="s">
        <v>1493</v>
      </c>
      <c r="BQ21" s="33" t="str">
        <f>Transformation[[#This Row],[Commodity from]]&amp;Transformation[[#This Row],[Transaction from]]&amp;Transformation[[#This Row],[Commodity to]]&amp;Transformation[[#This Row],[Transaction to]]</f>
        <v>4695088224695016OPC</v>
      </c>
      <c r="BR21" s="26" t="str">
        <f>Transformation[[#This Row],[crfomid]]&amp;Transformation[[#This Row],[Transaction from]]&amp;"("&amp;Transformation[[#This Row],[Multiplier]]&amp;") -&gt; "&amp;Transformation[[#This Row],[ctoid]]&amp;Transformation[[#This Row],[Transaction to]]</f>
        <v>BT08822(1) -&gt; BT016OPC</v>
      </c>
      <c r="BT21" s="26" t="str">
        <f>_xlfn.XLOOKUP(Signswitch[[#This Row],[Commodity name]],Commodities[Commodity],Commodities[Commodity code])</f>
        <v>5222</v>
      </c>
      <c r="BU21" s="26" t="str">
        <f>_xlfn.XLOOKUP(Signswitch[[#This Row],[Transaction name]],Transactions[Transaction name],Transactions[Transaction code])</f>
        <v>101</v>
      </c>
      <c r="BV21" s="26" t="str">
        <f>Signswitch[[#This Row],[Commodity from]]&amp;Signswitch[[#This Row],[Transaction from]]</f>
        <v>5222101</v>
      </c>
      <c r="BW21" s="22" t="s">
        <v>962</v>
      </c>
      <c r="BX21" s="26" t="str">
        <f>_xlfn.XLOOKUP(Signswitch[[#This Row],[Commodity from]],Commodities[Commodity code],Commodities[EnergyCode])</f>
        <v>ZD</v>
      </c>
      <c r="BY21" s="22" t="s">
        <v>142</v>
      </c>
    </row>
    <row r="22" spans="8:77" x14ac:dyDescent="0.45">
      <c r="H22" s="5" t="s">
        <v>468</v>
      </c>
      <c r="I22" s="4" t="s">
        <v>467</v>
      </c>
      <c r="J22" s="9" t="s">
        <v>466</v>
      </c>
      <c r="K22" s="9" t="s">
        <v>14</v>
      </c>
      <c r="L22" s="23" t="str">
        <f>IFERROR(INDEX(Commodities[[Commodity code]:[Commodity]],MATCH(Commodities[[#This Row],[Parent code]],Commodities[Commodity code],0),2),Commodities[[#This Row],[Commodity]])</f>
        <v>Coal products</v>
      </c>
      <c r="M22" s="24" t="str">
        <f>IFERROR(INDEX(Commodities[[Commodity code]:[Commodity]],MATCH(INDEX(Commodities[[Commodity]:[Parent code]],MATCH(Commodities[[#This Row],[L1N]],Commodities[Commodity],0),2),Commodities[Commodity code],0),2),Commodities[[#This Row],[L1N]])</f>
        <v>Coal</v>
      </c>
      <c r="N22" s="24" t="str">
        <f>IFERROR(INDEX(Commodities[[Commodity code]:[Commodity]],MATCH(INDEX(Commodities[[Commodity]:[Parent code]],MATCH(Commodities[[#This Row],[L2N]],Commodities[Commodity],0),2),Commodities[Commodity code],0),2),Commodities[[#This Row],[L2N]])</f>
        <v>Coal</v>
      </c>
      <c r="O22" s="24" t="str">
        <f>IFERROR(INDEX(Commodities[[Commodity code]:[Commodity]],MATCH(INDEX(Commodities[[Commodity]:[Parent code]],MATCH(Commodities[[#This Row],[L3N]],Commodities[Commodity],0),2),Commodities[Commodity code],0),2),Commodities[[#This Row],[L3N]])</f>
        <v>Coal</v>
      </c>
      <c r="P22" s="24" t="str">
        <f>IF(Commodities[[#This Row],[L4N]]=Commodities[[#This Row],[L3N]],Commodities[[#This Row],[L4N]],IF(Commodities[[#This Row],[L3N]]=Commodities[[#This Row],[L2N]],Commodities[[#This Row],[L3N]],IF(Commodities[[#This Row],[L2N]]=Commodities[[#This Row],[L1N]],Commodities[[#This Row],[L2N]],IF(Commodities[[#This Row],[L1N]]=Commodities[[#This Row],[Commodity]],Commodities[[#This Row],[L1N]],Commodities[[#This Row],[Commodity]]))))</f>
        <v>Coal</v>
      </c>
      <c r="Q22" s="24" t="str">
        <f>IF(Commodities[[#This Row],[Level 0]]=Commodities[[#This Row],[Commodity]],Commodities[[#This Row],[Commodity]],IF(Commodities[[#This Row],[Level 0]]=Commodities[[#This Row],[L1N]],Commodities[[#This Row],[Commodity]],IF(Commodities[[#This Row],[Level 0]]=Commodities[[#This Row],[L2N]],Commodities[[#This Row],[L1N]],IF(Commodities[[#This Row],[Level 0]]=Commodities[[#This Row],[L3N]],Commodities[[#This Row],[L2N]],IF(Commodities[[#This Row],[Level 0]]=Commodities[[#This Row],[L4N]],Commodities[[#This Row],[L3N]],Commodities[[#This Row],[L4N]])))))</f>
        <v>Coal products</v>
      </c>
      <c r="R22" s="24" t="str">
        <f>IF(Commodities[[#This Row],[Level 1]]=Commodities[[#This Row],[Commodity]],Commodities[[#This Row],[Commodity]],IF(Commodities[[#This Row],[Level 1]]=Commodities[[#This Row],[L1N]],Commodities[[#This Row],[Commodity]],IF(Commodities[[#This Row],[Level 1]]=Commodities[[#This Row],[L2N]],Commodities[[#This Row],[L1N]],IF(Commodities[[#This Row],[Level 1]]=Commodities[[#This Row],[L3N]],Commodities[[#This Row],[L2N]],IF(Commodities[[#This Row],[Level 1]]=Commodities[[#This Row],[L4N]],Commodities[[#This Row],[L3N]],Commodities[[#This Row],[L4N]])))))</f>
        <v>Other coal products</v>
      </c>
      <c r="S22" s="24" t="str">
        <f>IF(Commodities[[#This Row],[Level 2]]=Commodities[[#This Row],[Commodity]],Commodities[[#This Row],[Commodity]],IF(Commodities[[#This Row],[Level 2]]=Commodities[[#This Row],[L1N]],Commodities[[#This Row],[Commodity]],IF(Commodities[[#This Row],[Level 2]]=Commodities[[#This Row],[L2N]],Commodities[[#This Row],[L1N]],IF(Commodities[[#This Row],[Level 2]]=Commodities[[#This Row],[L3N]],Commodities[[#This Row],[L2N]],IF(Commodities[[#This Row],[Level 2]]=Commodities[[#This Row],[L4N]],Commodities[[#This Row],[L3N]],Commodities[[#This Row],[L4N]])))))</f>
        <v>Other coal products</v>
      </c>
      <c r="T22" s="24" t="str">
        <f>IF(Commodities[[#This Row],[Level 3]]=Commodities[[#This Row],[Commodity]],Commodities[[#This Row],[Commodity]],IF(Commodities[[#This Row],[Level 3]]=Commodities[[#This Row],[L1N]],Commodities[[#This Row],[Commodity]],IF(Commodities[[#This Row],[Level 3]]=Commodities[[#This Row],[L2N]],Commodities[[#This Row],[L1N]],IF(Commodities[[#This Row],[Level 3]]=Commodities[[#This Row],[L3N]],Commodities[[#This Row],[L2N]],IF(Commodities[[#This Row],[Level 3]]=Commodities[[#This Row],[L4N]],Commodities[[#This Row],[L3N]],Commodities[[#This Row],[L4N]])))))</f>
        <v>Other coal products</v>
      </c>
      <c r="U22" s="24" t="str">
        <f>IF(Commodities[[#This Row],[Level 4]]=Commodities[[#This Row],[Commodity]],Commodities[[#This Row],[Commodity]],IF(Commodities[[#This Row],[Level 4]]=Commodities[[#This Row],[L1N]],Commodities[[#This Row],[Commodity]],IF(Commodities[[#This Row],[Level 4]]=Commodities[[#This Row],[L2N]],Commodities[[#This Row],[L1N]],IF(Commodities[[#This Row],[Level 4]]=Commodities[[#This Row],[L3N]],Commodities[[#This Row],[L2N]],IF(Commodities[[#This Row],[Level 4]]=Commodities[[#This Row],[L4N]],Commodities[[#This Row],[L3N]],Commodities[[#This Row],[L4N]])))))</f>
        <v>Other coal products</v>
      </c>
      <c r="Y22" s="5" t="s">
        <v>144</v>
      </c>
      <c r="Z22" s="4" t="s">
        <v>163</v>
      </c>
      <c r="AA22" s="4" t="s">
        <v>163</v>
      </c>
      <c r="AC22" s="24" t="str">
        <f>IFERROR(VLOOKUP(Transactions[[#This Row],[Parent code]],Transactions[[Transaction code]:[Transaction name]],2,0),"")</f>
        <v/>
      </c>
      <c r="AD22" s="4" t="s">
        <v>163</v>
      </c>
      <c r="AF22" s="4" t="s">
        <v>642</v>
      </c>
      <c r="AG22" s="4" t="s">
        <v>1</v>
      </c>
      <c r="AH22" s="4" t="s">
        <v>695</v>
      </c>
      <c r="AJ22" s="4" t="s">
        <v>0</v>
      </c>
      <c r="AK22" s="24" t="str" cm="1">
        <f t="array" ref="AK22">IFERROR(INDEX(Transactions[[Transaction code]:[Transaction name]],_xlfn.XMATCH(Transactions[[#This Row],[Parent code]],Transactions[Transaction name],0),3),Transactions[[#This Row],[Transaction name]])</f>
        <v>Energy industries own use</v>
      </c>
      <c r="AL22" s="24" t="str" cm="1">
        <f t="array" ref="AL22">IFERROR(INDEX(Transactions[[Transaction code]:[Transaction name]],_xlfn.XMATCH(INDEX(Transactions[[Transaction name]:[Parent code]],_xlfn.XMATCH(Transactions[[#This Row],[L1N]],Transactions[Transaction name],0),3),Transactions[Transaction code],0),2),Transactions[[#This Row],[L1N]])</f>
        <v>Energy industries own use</v>
      </c>
      <c r="AM22" s="24" t="str" cm="1">
        <f t="array" ref="AM22">IFERROR(INDEX(Transactions[[Transaction code]:[Transaction name]],_xlfn.XMATCH(INDEX(Transactions[[Transaction name]:[Parent code]],_xlfn.XMATCH(Transactions[[#This Row],[L2N]],Transactions[Transaction name],0),3),Transactions[Transaction code],0),2),Transactions[[#This Row],[L2N]])</f>
        <v>Energy industries own use</v>
      </c>
      <c r="AN22" s="24" t="str" cm="1">
        <f t="array" ref="AN22">IFERROR(INDEX(Transactions[[Transaction code]:[Transaction name]],_xlfn.XMATCH(INDEX(Transactions[[Transaction name]:[Parent code]],_xlfn.XMATCH(Transactions[[#This Row],[L3N]],Transactions[Transaction name],0),3),Transactions[Transaction code],0),2),Transactions[[#This Row],[L3N]])</f>
        <v>Energy industries own use</v>
      </c>
      <c r="AO22" s="24" t="str" cm="1">
        <f t="array" ref="AO22">IFERROR(INDEX(Transactions[[Transaction code]:[Transaction name]],_xlfn.XMATCH(INDEX(Transactions[[Transaction name]:[Parent code]],_xlfn.XMATCH(Transactions[[#This Row],[L4N]],Transactions[Transaction name],0),3),Transactions[Transaction code],0),2),Transactions[[#This Row],[L4N]])</f>
        <v>Energy industries own use</v>
      </c>
      <c r="AP22" s="24" t="str" cm="1">
        <f t="array" ref="AP22">IFERROR(INDEX(Transactions[[Transaction code]:[Transaction name]],_xlfn.XMATCH(INDEX(Transactions[[Transaction name]:[Parent code]],_xlfn.XMATCH(Transactions[[#This Row],[L5N]],Transactions[Transaction name],0),3),Transactions[Transaction code],0),2),Transactions[[#This Row],[L5N]])</f>
        <v>Energy industries own use</v>
      </c>
      <c r="AQ22" s="24" t="str" cm="1">
        <f t="array" ref="AQ22">IFERROR(INDEX(Transactions[[Transaction code]:[Transaction name]],_xlfn.XMATCH(INDEX(Transactions[[Transaction name]:[Parent code]],_xlfn.XMATCH(Transactions[[#This Row],[L6N]],Transactions[Transaction name],0),3),Transactions[Transaction code],0),2),Transactions[[#This Row],[L6N]])</f>
        <v>Energy industries own use</v>
      </c>
      <c r="AR22" s="27" t="str">
        <f>IF(Transactions[[#This Row],[L7N]]=Transactions[[#This Row],[L6N]],Transactions[[#This Row],[L7N]],IF(Transactions[[#This Row],[L6N]]=Transactions[[#This Row],[L5N]],Transactions[[#This Row],[L6N]],IF(Transactions[[#This Row],[L5N]]=Transactions[[#This Row],[L4N]],Transactions[[#This Row],[L5N]],IF(Transactions[[#This Row],[L4N]]=Transactions[[#This Row],[L3N]],Transactions[[#This Row],[L4N]],IF(Transactions[[#This Row],[L3N]]=Transactions[[#This Row],[L2N]],Transactions[[#This Row],[L3N]],IF(Transactions[[#This Row],[L2N]]=Transactions[[#This Row],[L1N]],Transactions[[#This Row],[L2N]],IF(Transactions[[#This Row],[L1N]]=Transactions[[#This Row],[Transaction name]],Transactions[[#This Row],[L1N]],Transactions[[#This Row],[Transaction name]])))))))</f>
        <v>Energy industries own use</v>
      </c>
      <c r="AS22" s="24" t="str">
        <f>IF(Transactions[[#This Row],[Level 0]]=Transactions[[#This Row],[Transaction name]],Transactions[[#This Row],[Transaction name]],IF(Transactions[[#This Row],[Level 0]]=Transactions[[#This Row],[L1N]],Transactions[[#This Row],[Transaction name]],IF(Transactions[[#This Row],[Level 0]]=Transactions[[#This Row],[L2N]],Transactions[[#This Row],[L1N]],IF(Transactions[[#This Row],[Level 0]]=Transactions[[#This Row],[L3N]],Transactions[[#This Row],[L2N]],IF(Transactions[[#This Row],[Level 0]]=Transactions[[#This Row],[L4N]],Transactions[[#This Row],[L3N]],IF(Transactions[[#This Row],[Level 0]]=Transactions[[#This Row],[L5N]],Transactions[[#This Row],[L4N]],IF(Transactions[[#This Row],[Level 0]]=Transactions[[#This Row],[L6N]],Transactions[[#This Row],[L5N]],IF(Transactions[[#This Row],[Level 0]]=Transactions[[#This Row],[L7N]],Transactions[[#This Row],[L6N]],Transactions[[#This Row],[L7N]]))))))))</f>
        <v>Energy industries own use</v>
      </c>
      <c r="AT22" s="24" t="str">
        <f>IF(Transactions[[#This Row],[Level 1]]=Transactions[[#This Row],[Transaction name]],Transactions[[#This Row],[Transaction name]],IF(Transactions[[#This Row],[Level 1]]=Transactions[[#This Row],[L1N]],Transactions[[#This Row],[Transaction name]],IF(Transactions[[#This Row],[Level 1]]=Transactions[[#This Row],[L2N]],Transactions[[#This Row],[L1N]],IF(Transactions[[#This Row],[Level 1]]=Transactions[[#This Row],[L3N]],Transactions[[#This Row],[L2N]],IF(Transactions[[#This Row],[Level 1]]=Transactions[[#This Row],[L4N]],Transactions[[#This Row],[L3N]],IF(Transactions[[#This Row],[Level 1]]=Transactions[[#This Row],[L5N]],Transactions[[#This Row],[L4N]],IF(Transactions[[#This Row],[Level 1]]=Transactions[[#This Row],[L6N]],Transactions[[#This Row],[L5N]],IF(Transactions[[#This Row],[Level 1]]=Transactions[[#This Row],[L7N]],Transactions[[#This Row],[L6N]],Transactions[[#This Row],[L7N]]))))))))</f>
        <v>Energy industries own use</v>
      </c>
      <c r="AU22" s="24" t="str">
        <f>IF(Transactions[[#This Row],[Level 2]]=Transactions[[#This Row],[Transaction name]],Transactions[[#This Row],[Transaction name]],IF(Transactions[[#This Row],[Level 2]]=Transactions[[#This Row],[L1N]],Transactions[[#This Row],[Transaction name]],IF(Transactions[[#This Row],[Level 2]]=Transactions[[#This Row],[L2N]],Transactions[[#This Row],[L1N]],IF(Transactions[[#This Row],[Level 2]]=Transactions[[#This Row],[L3N]],Transactions[[#This Row],[L2N]],IF(Transactions[[#This Row],[Level 2]]=Transactions[[#This Row],[L4N]],Transactions[[#This Row],[L3N]],IF(Transactions[[#This Row],[Level 2]]=Transactions[[#This Row],[L5N]],Transactions[[#This Row],[L4N]],IF(Transactions[[#This Row],[Level 2]]=Transactions[[#This Row],[L6N]],Transactions[[#This Row],[L5N]],IF(Transactions[[#This Row],[Level 2]]=Transactions[[#This Row],[L7N]],Transactions[[#This Row],[L6N]],Transactions[[#This Row],[L7N]]))))))))</f>
        <v>Energy industries own use</v>
      </c>
      <c r="AV22" s="24" t="str">
        <f>IF(Transactions[[#This Row],[Level 3]]=Transactions[[#This Row],[Transaction name]],Transactions[[#This Row],[Transaction name]],IF(Transactions[[#This Row],[Level 3]]=Transactions[[#This Row],[L1N]],Transactions[[#This Row],[Transaction name]],IF(Transactions[[#This Row],[Level 3]]=Transactions[[#This Row],[L2N]],Transactions[[#This Row],[L1N]],IF(Transactions[[#This Row],[Level 3]]=Transactions[[#This Row],[L3N]],Transactions[[#This Row],[L2N]],IF(Transactions[[#This Row],[Level 3]]=Transactions[[#This Row],[L4N]],Transactions[[#This Row],[L3N]],IF(Transactions[[#This Row],[Level 3]]=Transactions[[#This Row],[L5N]],Transactions[[#This Row],[L4N]],IF(Transactions[[#This Row],[Level 3]]=Transactions[[#This Row],[L6N]],Transactions[[#This Row],[L5N]],IF(Transactions[[#This Row],[Level 3]]=Transactions[[#This Row],[L7N]],Transactions[[#This Row],[L6N]],Transactions[[#This Row],[L7N]]))))))))</f>
        <v>Energy industries own use</v>
      </c>
      <c r="AW22" s="24" t="str">
        <f>IF(Transactions[[#This Row],[Level 4]]=Transactions[[#This Row],[Transaction name]],Transactions[[#This Row],[Transaction name]],IF(Transactions[[#This Row],[Level 4]]=Transactions[[#This Row],[L1N]],Transactions[[#This Row],[Transaction name]],IF(Transactions[[#This Row],[Level 4]]=Transactions[[#This Row],[L2N]],Transactions[[#This Row],[L1N]],IF(Transactions[[#This Row],[Level 4]]=Transactions[[#This Row],[L3N]],Transactions[[#This Row],[L2N]],IF(Transactions[[#This Row],[Level 4]]=Transactions[[#This Row],[L4N]],Transactions[[#This Row],[L3N]],IF(Transactions[[#This Row],[Level 4]]=Transactions[[#This Row],[L5N]],Transactions[[#This Row],[L4N]],IF(Transactions[[#This Row],[Level 4]]=Transactions[[#This Row],[L6N]],Transactions[[#This Row],[L5N]],IF(Transactions[[#This Row],[Level 4]]=Transactions[[#This Row],[L7N]],Transactions[[#This Row],[L6N]],Transactions[[#This Row],[L7N]]))))))))</f>
        <v>Energy industries own use</v>
      </c>
      <c r="AX22" s="24" t="str">
        <f>IF(Transactions[[#This Row],[Level 5]]=Transactions[[#This Row],[Transaction name]],Transactions[[#This Row],[Transaction name]],IF(Transactions[[#This Row],[Level 5]]=Transactions[[#This Row],[L1N]],Transactions[[#This Row],[Transaction name]],IF(Transactions[[#This Row],[Level 5]]=Transactions[[#This Row],[L2N]],Transactions[[#This Row],[L1N]],IF(Transactions[[#This Row],[Level 5]]=Transactions[[#This Row],[L3N]],Transactions[[#This Row],[L2N]],IF(Transactions[[#This Row],[Level 5]]=Transactions[[#This Row],[L4N]],Transactions[[#This Row],[L3N]],IF(Transactions[[#This Row],[Level 5]]=Transactions[[#This Row],[L5N]],Transactions[[#This Row],[L4N]],IF(Transactions[[#This Row],[Level 5]]=Transactions[[#This Row],[L6N]],Transactions[[#This Row],[L5N]],IF(Transactions[[#This Row],[Level 5]]=Transactions[[#This Row],[L7N]],Transactions[[#This Row],[L6N]],Transactions[[#This Row],[L7N]]))))))))</f>
        <v>Energy industries own use</v>
      </c>
      <c r="AY22" s="24" t="str">
        <f>IF(Transactions[[#This Row],[Level 6]]=Transactions[[#This Row],[Transaction name]],Transactions[[#This Row],[Transaction name]],IF(Transactions[[#This Row],[Level 6]]=Transactions[[#This Row],[L1N]],Transactions[[#This Row],[Transaction name]],IF(Transactions[[#This Row],[Level 6]]=Transactions[[#This Row],[L2N]],Transactions[[#This Row],[L1N]],IF(Transactions[[#This Row],[Level 6]]=Transactions[[#This Row],[L3N]],Transactions[[#This Row],[L2N]],IF(Transactions[[#This Row],[Level 6]]=Transactions[[#This Row],[L4N]],Transactions[[#This Row],[L3N]],IF(Transactions[[#This Row],[Level 6]]=Transactions[[#This Row],[L5N]],Transactions[[#This Row],[L4N]],IF(Transactions[[#This Row],[Level 6]]=Transactions[[#This Row],[L6N]],Transactions[[#This Row],[L5N]],IF(Transactions[[#This Row],[Level 6]]=Transactions[[#This Row],[L7N]],Transactions[[#This Row],[L6N]],Transactions[[#This Row],[L7N]]))))))))</f>
        <v>Energy industries own use</v>
      </c>
      <c r="BE22" s="26" t="str">
        <f>_xlfn.XLOOKUP(Transformation[[#This Row],[cfrom]],Commodities[Commodity],Commodities[Commodity code])</f>
        <v>0100</v>
      </c>
      <c r="BF22" s="26" t="str">
        <f>_xlfn.XLOOKUP(Transformation[[#This Row],[tfrom]],Transactions[Transaction name],Transactions[Transaction code])</f>
        <v>08822</v>
      </c>
      <c r="BG22" s="26" t="str">
        <f>_xlfn.XLOOKUP(Transformation[[#This Row],[cto]],Commodities[Commodity],Commodities[Commodity code])</f>
        <v>0100</v>
      </c>
      <c r="BH22" s="26" t="str">
        <f>_xlfn.XLOOKUP(Transformation[[#This Row],[tto]],Transactions[Transaction name],Transactions[Transaction code])</f>
        <v>016HCOC</v>
      </c>
      <c r="BI22" s="11">
        <v>1</v>
      </c>
      <c r="BJ22" s="4" t="s">
        <v>532</v>
      </c>
      <c r="BK22" s="24" t="str">
        <f>_xlfn.XLOOKUP(Transformation[[#This Row],[Commodity from]],Commodities[Commodity code],Commodities[EnergyCode])</f>
        <v>CL</v>
      </c>
      <c r="BL22" s="4" t="s">
        <v>692</v>
      </c>
      <c r="BM22" s="4" t="s">
        <v>532</v>
      </c>
      <c r="BN22" s="24" t="str">
        <f>_xlfn.XLOOKUP(Transformation[[#This Row],[Commodity to]],Commodities[Commodity code],Commodities[EnergyCode])</f>
        <v>CL</v>
      </c>
      <c r="BO22" s="4" t="s">
        <v>1189</v>
      </c>
      <c r="BP22" s="16" t="s">
        <v>1493</v>
      </c>
      <c r="BQ22" s="33" t="str">
        <f>Transformation[[#This Row],[Commodity from]]&amp;Transformation[[#This Row],[Transaction from]]&amp;Transformation[[#This Row],[Commodity to]]&amp;Transformation[[#This Row],[Transaction to]]</f>
        <v>0100088220100016HCOC</v>
      </c>
      <c r="BR22" s="26" t="str">
        <f>Transformation[[#This Row],[crfomid]]&amp;Transformation[[#This Row],[Transaction from]]&amp;"("&amp;Transformation[[#This Row],[Multiplier]]&amp;") -&gt; "&amp;Transformation[[#This Row],[ctoid]]&amp;Transformation[[#This Row],[Transaction to]]</f>
        <v>CL08822(1) -&gt; CL016HCOC</v>
      </c>
      <c r="BT22" s="26" t="str">
        <f>_xlfn.XLOOKUP(Signswitch[[#This Row],[Commodity name]],Commodities[Commodity],Commodities[Commodity code])</f>
        <v>5212</v>
      </c>
      <c r="BU22" s="26" t="str">
        <f>_xlfn.XLOOKUP(Signswitch[[#This Row],[Transaction name]],Transactions[Transaction name],Transactions[Transaction code])</f>
        <v>101</v>
      </c>
      <c r="BV22" s="26" t="str">
        <f>Signswitch[[#This Row],[Commodity from]]&amp;Signswitch[[#This Row],[Transaction from]]</f>
        <v>5212101</v>
      </c>
      <c r="BW22" s="22" t="s">
        <v>317</v>
      </c>
      <c r="BX22" s="26" t="str">
        <f>_xlfn.XLOOKUP(Signswitch[[#This Row],[Commodity from]],Commodities[Commodity code],Commodities[EnergyCode])</f>
        <v>ZG</v>
      </c>
      <c r="BY22" s="22" t="s">
        <v>142</v>
      </c>
    </row>
    <row r="23" spans="8:77" x14ac:dyDescent="0.45">
      <c r="H23" s="5" t="s">
        <v>440</v>
      </c>
      <c r="I23" s="4" t="s">
        <v>439</v>
      </c>
      <c r="J23" s="9" t="s">
        <v>420</v>
      </c>
      <c r="K23" s="9" t="s">
        <v>1437</v>
      </c>
      <c r="L23" s="23" t="str">
        <f>IFERROR(INDEX(Commodities[[Commodity code]:[Commodity]],MATCH(Commodities[[#This Row],[Parent code]],Commodities[Commodity code],0),2),Commodities[[#This Row],[Commodity]])</f>
        <v>Oil</v>
      </c>
      <c r="M23" s="24" t="str">
        <f>IFERROR(INDEX(Commodities[[Commodity code]:[Commodity]],MATCH(INDEX(Commodities[[Commodity]:[Parent code]],MATCH(Commodities[[#This Row],[L1N]],Commodities[Commodity],0),2),Commodities[Commodity code],0),2),Commodities[[#This Row],[L1N]])</f>
        <v>Oil</v>
      </c>
      <c r="N23" s="24" t="str">
        <f>IFERROR(INDEX(Commodities[[Commodity code]:[Commodity]],MATCH(INDEX(Commodities[[Commodity]:[Parent code]],MATCH(Commodities[[#This Row],[L2N]],Commodities[Commodity],0),2),Commodities[Commodity code],0),2),Commodities[[#This Row],[L2N]])</f>
        <v>Oil</v>
      </c>
      <c r="O23" s="24" t="str">
        <f>IFERROR(INDEX(Commodities[[Commodity code]:[Commodity]],MATCH(INDEX(Commodities[[Commodity]:[Parent code]],MATCH(Commodities[[#This Row],[L3N]],Commodities[Commodity],0),2),Commodities[Commodity code],0),2),Commodities[[#This Row],[L3N]])</f>
        <v>Oil</v>
      </c>
      <c r="P23" s="24" t="str">
        <f>IF(Commodities[[#This Row],[L4N]]=Commodities[[#This Row],[L3N]],Commodities[[#This Row],[L4N]],IF(Commodities[[#This Row],[L3N]]=Commodities[[#This Row],[L2N]],Commodities[[#This Row],[L3N]],IF(Commodities[[#This Row],[L2N]]=Commodities[[#This Row],[L1N]],Commodities[[#This Row],[L2N]],IF(Commodities[[#This Row],[L1N]]=Commodities[[#This Row],[Commodity]],Commodities[[#This Row],[L1N]],Commodities[[#This Row],[Commodity]]))))</f>
        <v>Oil</v>
      </c>
      <c r="Q23" s="24" t="str">
        <f>IF(Commodities[[#This Row],[Level 0]]=Commodities[[#This Row],[Commodity]],Commodities[[#This Row],[Commodity]],IF(Commodities[[#This Row],[Level 0]]=Commodities[[#This Row],[L1N]],Commodities[[#This Row],[Commodity]],IF(Commodities[[#This Row],[Level 0]]=Commodities[[#This Row],[L2N]],Commodities[[#This Row],[L1N]],IF(Commodities[[#This Row],[Level 0]]=Commodities[[#This Row],[L3N]],Commodities[[#This Row],[L2N]],IF(Commodities[[#This Row],[Level 0]]=Commodities[[#This Row],[L4N]],Commodities[[#This Row],[L3N]],Commodities[[#This Row],[L4N]])))))</f>
        <v>Conventional crude oil</v>
      </c>
      <c r="R23" s="24" t="str">
        <f>IF(Commodities[[#This Row],[Level 1]]=Commodities[[#This Row],[Commodity]],Commodities[[#This Row],[Commodity]],IF(Commodities[[#This Row],[Level 1]]=Commodities[[#This Row],[L1N]],Commodities[[#This Row],[Commodity]],IF(Commodities[[#This Row],[Level 1]]=Commodities[[#This Row],[L2N]],Commodities[[#This Row],[L1N]],IF(Commodities[[#This Row],[Level 1]]=Commodities[[#This Row],[L3N]],Commodities[[#This Row],[L2N]],IF(Commodities[[#This Row],[Level 1]]=Commodities[[#This Row],[L4N]],Commodities[[#This Row],[L3N]],Commodities[[#This Row],[L4N]])))))</f>
        <v>Conventional crude oil</v>
      </c>
      <c r="S23" s="24" t="str">
        <f>IF(Commodities[[#This Row],[Level 2]]=Commodities[[#This Row],[Commodity]],Commodities[[#This Row],[Commodity]],IF(Commodities[[#This Row],[Level 2]]=Commodities[[#This Row],[L1N]],Commodities[[#This Row],[Commodity]],IF(Commodities[[#This Row],[Level 2]]=Commodities[[#This Row],[L2N]],Commodities[[#This Row],[L1N]],IF(Commodities[[#This Row],[Level 2]]=Commodities[[#This Row],[L3N]],Commodities[[#This Row],[L2N]],IF(Commodities[[#This Row],[Level 2]]=Commodities[[#This Row],[L4N]],Commodities[[#This Row],[L3N]],Commodities[[#This Row],[L4N]])))))</f>
        <v>Conventional crude oil</v>
      </c>
      <c r="T23" s="24" t="str">
        <f>IF(Commodities[[#This Row],[Level 3]]=Commodities[[#This Row],[Commodity]],Commodities[[#This Row],[Commodity]],IF(Commodities[[#This Row],[Level 3]]=Commodities[[#This Row],[L1N]],Commodities[[#This Row],[Commodity]],IF(Commodities[[#This Row],[Level 3]]=Commodities[[#This Row],[L2N]],Commodities[[#This Row],[L1N]],IF(Commodities[[#This Row],[Level 3]]=Commodities[[#This Row],[L3N]],Commodities[[#This Row],[L2N]],IF(Commodities[[#This Row],[Level 3]]=Commodities[[#This Row],[L4N]],Commodities[[#This Row],[L3N]],Commodities[[#This Row],[L4N]])))))</f>
        <v>Conventional crude oil</v>
      </c>
      <c r="U23" s="24" t="str">
        <f>IF(Commodities[[#This Row],[Level 4]]=Commodities[[#This Row],[Commodity]],Commodities[[#This Row],[Commodity]],IF(Commodities[[#This Row],[Level 4]]=Commodities[[#This Row],[L1N]],Commodities[[#This Row],[Commodity]],IF(Commodities[[#This Row],[Level 4]]=Commodities[[#This Row],[L2N]],Commodities[[#This Row],[L1N]],IF(Commodities[[#This Row],[Level 4]]=Commodities[[#This Row],[L3N]],Commodities[[#This Row],[L2N]],IF(Commodities[[#This Row],[Level 4]]=Commodities[[#This Row],[L4N]],Commodities[[#This Row],[L3N]],Commodities[[#This Row],[L4N]])))))</f>
        <v>Conventional crude oil</v>
      </c>
      <c r="Y23" s="5" t="s">
        <v>157</v>
      </c>
      <c r="Z23" s="4" t="s">
        <v>708</v>
      </c>
      <c r="AA23" s="4" t="s">
        <v>708</v>
      </c>
      <c r="AB23" s="6" t="s">
        <v>144</v>
      </c>
      <c r="AC23" s="24" t="str">
        <f>IFERROR(VLOOKUP(Transactions[[#This Row],[Parent code]],Transactions[[Transaction code]:[Transaction name]],2,0),"")</f>
        <v>Energy industries own use</v>
      </c>
      <c r="AD23" s="4" t="s">
        <v>163</v>
      </c>
      <c r="AE23" s="4" t="s">
        <v>940</v>
      </c>
      <c r="AF23" s="4" t="s">
        <v>642</v>
      </c>
      <c r="AG23" s="4" t="s">
        <v>1</v>
      </c>
      <c r="AH23" s="4" t="s">
        <v>695</v>
      </c>
      <c r="AK23" s="24" t="str" cm="1">
        <f t="array" ref="AK23">IFERROR(INDEX(Transactions[[Transaction code]:[Transaction name]],_xlfn.XMATCH(Transactions[[#This Row],[Parent code]],Transactions[Transaction name],0),3),Transactions[[#This Row],[Transaction name]])</f>
        <v>Gas works (own use)</v>
      </c>
      <c r="AL23" s="24" t="str" cm="1">
        <f t="array" ref="AL23">IFERROR(INDEX(Transactions[[Transaction code]:[Transaction name]],_xlfn.XMATCH(INDEX(Transactions[[Transaction name]:[Parent code]],_xlfn.XMATCH(Transactions[[#This Row],[L1N]],Transactions[Transaction name],0),3),Transactions[Transaction code],0),2),Transactions[[#This Row],[L1N]])</f>
        <v>Energy industries own use</v>
      </c>
      <c r="AM23" s="24" t="str" cm="1">
        <f t="array" ref="AM23">IFERROR(INDEX(Transactions[[Transaction code]:[Transaction name]],_xlfn.XMATCH(INDEX(Transactions[[Transaction name]:[Parent code]],_xlfn.XMATCH(Transactions[[#This Row],[L2N]],Transactions[Transaction name],0),3),Transactions[Transaction code],0),2),Transactions[[#This Row],[L2N]])</f>
        <v>Energy industries own use</v>
      </c>
      <c r="AN23" s="24" t="str" cm="1">
        <f t="array" ref="AN23">IFERROR(INDEX(Transactions[[Transaction code]:[Transaction name]],_xlfn.XMATCH(INDEX(Transactions[[Transaction name]:[Parent code]],_xlfn.XMATCH(Transactions[[#This Row],[L3N]],Transactions[Transaction name],0),3),Transactions[Transaction code],0),2),Transactions[[#This Row],[L3N]])</f>
        <v>Energy industries own use</v>
      </c>
      <c r="AO23" s="24" t="str" cm="1">
        <f t="array" ref="AO23">IFERROR(INDEX(Transactions[[Transaction code]:[Transaction name]],_xlfn.XMATCH(INDEX(Transactions[[Transaction name]:[Parent code]],_xlfn.XMATCH(Transactions[[#This Row],[L4N]],Transactions[Transaction name],0),3),Transactions[Transaction code],0),2),Transactions[[#This Row],[L4N]])</f>
        <v>Energy industries own use</v>
      </c>
      <c r="AP23" s="24" t="str" cm="1">
        <f t="array" ref="AP23">IFERROR(INDEX(Transactions[[Transaction code]:[Transaction name]],_xlfn.XMATCH(INDEX(Transactions[[Transaction name]:[Parent code]],_xlfn.XMATCH(Transactions[[#This Row],[L5N]],Transactions[Transaction name],0),3),Transactions[Transaction code],0),2),Transactions[[#This Row],[L5N]])</f>
        <v>Energy industries own use</v>
      </c>
      <c r="AQ23" s="24" t="str" cm="1">
        <f t="array" ref="AQ23">IFERROR(INDEX(Transactions[[Transaction code]:[Transaction name]],_xlfn.XMATCH(INDEX(Transactions[[Transaction name]:[Parent code]],_xlfn.XMATCH(Transactions[[#This Row],[L6N]],Transactions[Transaction name],0),3),Transactions[Transaction code],0),2),Transactions[[#This Row],[L6N]])</f>
        <v>Energy industries own use</v>
      </c>
      <c r="AR23" s="27" t="str">
        <f>IF(Transactions[[#This Row],[L7N]]=Transactions[[#This Row],[L6N]],Transactions[[#This Row],[L7N]],IF(Transactions[[#This Row],[L6N]]=Transactions[[#This Row],[L5N]],Transactions[[#This Row],[L6N]],IF(Transactions[[#This Row],[L5N]]=Transactions[[#This Row],[L4N]],Transactions[[#This Row],[L5N]],IF(Transactions[[#This Row],[L4N]]=Transactions[[#This Row],[L3N]],Transactions[[#This Row],[L4N]],IF(Transactions[[#This Row],[L3N]]=Transactions[[#This Row],[L2N]],Transactions[[#This Row],[L3N]],IF(Transactions[[#This Row],[L2N]]=Transactions[[#This Row],[L1N]],Transactions[[#This Row],[L2N]],IF(Transactions[[#This Row],[L1N]]=Transactions[[#This Row],[Transaction name]],Transactions[[#This Row],[L1N]],Transactions[[#This Row],[Transaction name]])))))))</f>
        <v>Energy industries own use</v>
      </c>
      <c r="AS23" s="24" t="str">
        <f>IF(Transactions[[#This Row],[Level 0]]=Transactions[[#This Row],[Transaction name]],Transactions[[#This Row],[Transaction name]],IF(Transactions[[#This Row],[Level 0]]=Transactions[[#This Row],[L1N]],Transactions[[#This Row],[Transaction name]],IF(Transactions[[#This Row],[Level 0]]=Transactions[[#This Row],[L2N]],Transactions[[#This Row],[L1N]],IF(Transactions[[#This Row],[Level 0]]=Transactions[[#This Row],[L3N]],Transactions[[#This Row],[L2N]],IF(Transactions[[#This Row],[Level 0]]=Transactions[[#This Row],[L4N]],Transactions[[#This Row],[L3N]],IF(Transactions[[#This Row],[Level 0]]=Transactions[[#This Row],[L5N]],Transactions[[#This Row],[L4N]],IF(Transactions[[#This Row],[Level 0]]=Transactions[[#This Row],[L6N]],Transactions[[#This Row],[L5N]],IF(Transactions[[#This Row],[Level 0]]=Transactions[[#This Row],[L7N]],Transactions[[#This Row],[L6N]],Transactions[[#This Row],[L7N]]))))))))</f>
        <v>Gas works (own use)</v>
      </c>
      <c r="AT23" s="24" t="str">
        <f>IF(Transactions[[#This Row],[Level 1]]=Transactions[[#This Row],[Transaction name]],Transactions[[#This Row],[Transaction name]],IF(Transactions[[#This Row],[Level 1]]=Transactions[[#This Row],[L1N]],Transactions[[#This Row],[Transaction name]],IF(Transactions[[#This Row],[Level 1]]=Transactions[[#This Row],[L2N]],Transactions[[#This Row],[L1N]],IF(Transactions[[#This Row],[Level 1]]=Transactions[[#This Row],[L3N]],Transactions[[#This Row],[L2N]],IF(Transactions[[#This Row],[Level 1]]=Transactions[[#This Row],[L4N]],Transactions[[#This Row],[L3N]],IF(Transactions[[#This Row],[Level 1]]=Transactions[[#This Row],[L5N]],Transactions[[#This Row],[L4N]],IF(Transactions[[#This Row],[Level 1]]=Transactions[[#This Row],[L6N]],Transactions[[#This Row],[L5N]],IF(Transactions[[#This Row],[Level 1]]=Transactions[[#This Row],[L7N]],Transactions[[#This Row],[L6N]],Transactions[[#This Row],[L7N]]))))))))</f>
        <v>Gas works (own use)</v>
      </c>
      <c r="AU23" s="24" t="str">
        <f>IF(Transactions[[#This Row],[Level 2]]=Transactions[[#This Row],[Transaction name]],Transactions[[#This Row],[Transaction name]],IF(Transactions[[#This Row],[Level 2]]=Transactions[[#This Row],[L1N]],Transactions[[#This Row],[Transaction name]],IF(Transactions[[#This Row],[Level 2]]=Transactions[[#This Row],[L2N]],Transactions[[#This Row],[L1N]],IF(Transactions[[#This Row],[Level 2]]=Transactions[[#This Row],[L3N]],Transactions[[#This Row],[L2N]],IF(Transactions[[#This Row],[Level 2]]=Transactions[[#This Row],[L4N]],Transactions[[#This Row],[L3N]],IF(Transactions[[#This Row],[Level 2]]=Transactions[[#This Row],[L5N]],Transactions[[#This Row],[L4N]],IF(Transactions[[#This Row],[Level 2]]=Transactions[[#This Row],[L6N]],Transactions[[#This Row],[L5N]],IF(Transactions[[#This Row],[Level 2]]=Transactions[[#This Row],[L7N]],Transactions[[#This Row],[L6N]],Transactions[[#This Row],[L7N]]))))))))</f>
        <v>Gas works (own use)</v>
      </c>
      <c r="AV23" s="24" t="str">
        <f>IF(Transactions[[#This Row],[Level 3]]=Transactions[[#This Row],[Transaction name]],Transactions[[#This Row],[Transaction name]],IF(Transactions[[#This Row],[Level 3]]=Transactions[[#This Row],[L1N]],Transactions[[#This Row],[Transaction name]],IF(Transactions[[#This Row],[Level 3]]=Transactions[[#This Row],[L2N]],Transactions[[#This Row],[L1N]],IF(Transactions[[#This Row],[Level 3]]=Transactions[[#This Row],[L3N]],Transactions[[#This Row],[L2N]],IF(Transactions[[#This Row],[Level 3]]=Transactions[[#This Row],[L4N]],Transactions[[#This Row],[L3N]],IF(Transactions[[#This Row],[Level 3]]=Transactions[[#This Row],[L5N]],Transactions[[#This Row],[L4N]],IF(Transactions[[#This Row],[Level 3]]=Transactions[[#This Row],[L6N]],Transactions[[#This Row],[L5N]],IF(Transactions[[#This Row],[Level 3]]=Transactions[[#This Row],[L7N]],Transactions[[#This Row],[L6N]],Transactions[[#This Row],[L7N]]))))))))</f>
        <v>Gas works (own use)</v>
      </c>
      <c r="AW23" s="24" t="str">
        <f>IF(Transactions[[#This Row],[Level 4]]=Transactions[[#This Row],[Transaction name]],Transactions[[#This Row],[Transaction name]],IF(Transactions[[#This Row],[Level 4]]=Transactions[[#This Row],[L1N]],Transactions[[#This Row],[Transaction name]],IF(Transactions[[#This Row],[Level 4]]=Transactions[[#This Row],[L2N]],Transactions[[#This Row],[L1N]],IF(Transactions[[#This Row],[Level 4]]=Transactions[[#This Row],[L3N]],Transactions[[#This Row],[L2N]],IF(Transactions[[#This Row],[Level 4]]=Transactions[[#This Row],[L4N]],Transactions[[#This Row],[L3N]],IF(Transactions[[#This Row],[Level 4]]=Transactions[[#This Row],[L5N]],Transactions[[#This Row],[L4N]],IF(Transactions[[#This Row],[Level 4]]=Transactions[[#This Row],[L6N]],Transactions[[#This Row],[L5N]],IF(Transactions[[#This Row],[Level 4]]=Transactions[[#This Row],[L7N]],Transactions[[#This Row],[L6N]],Transactions[[#This Row],[L7N]]))))))))</f>
        <v>Gas works (own use)</v>
      </c>
      <c r="AX23" s="24" t="str">
        <f>IF(Transactions[[#This Row],[Level 5]]=Transactions[[#This Row],[Transaction name]],Transactions[[#This Row],[Transaction name]],IF(Transactions[[#This Row],[Level 5]]=Transactions[[#This Row],[L1N]],Transactions[[#This Row],[Transaction name]],IF(Transactions[[#This Row],[Level 5]]=Transactions[[#This Row],[L2N]],Transactions[[#This Row],[L1N]],IF(Transactions[[#This Row],[Level 5]]=Transactions[[#This Row],[L3N]],Transactions[[#This Row],[L2N]],IF(Transactions[[#This Row],[Level 5]]=Transactions[[#This Row],[L4N]],Transactions[[#This Row],[L3N]],IF(Transactions[[#This Row],[Level 5]]=Transactions[[#This Row],[L5N]],Transactions[[#This Row],[L4N]],IF(Transactions[[#This Row],[Level 5]]=Transactions[[#This Row],[L6N]],Transactions[[#This Row],[L5N]],IF(Transactions[[#This Row],[Level 5]]=Transactions[[#This Row],[L7N]],Transactions[[#This Row],[L6N]],Transactions[[#This Row],[L7N]]))))))))</f>
        <v>Gas works (own use)</v>
      </c>
      <c r="AY23" s="24" t="str">
        <f>IF(Transactions[[#This Row],[Level 6]]=Transactions[[#This Row],[Transaction name]],Transactions[[#This Row],[Transaction name]],IF(Transactions[[#This Row],[Level 6]]=Transactions[[#This Row],[L1N]],Transactions[[#This Row],[Transaction name]],IF(Transactions[[#This Row],[Level 6]]=Transactions[[#This Row],[L2N]],Transactions[[#This Row],[L1N]],IF(Transactions[[#This Row],[Level 6]]=Transactions[[#This Row],[L3N]],Transactions[[#This Row],[L2N]],IF(Transactions[[#This Row],[Level 6]]=Transactions[[#This Row],[L4N]],Transactions[[#This Row],[L3N]],IF(Transactions[[#This Row],[Level 6]]=Transactions[[#This Row],[L5N]],Transactions[[#This Row],[L4N]],IF(Transactions[[#This Row],[Level 6]]=Transactions[[#This Row],[L6N]],Transactions[[#This Row],[L5N]],IF(Transactions[[#This Row],[Level 6]]=Transactions[[#This Row],[L7N]],Transactions[[#This Row],[L6N]],Transactions[[#This Row],[L7N]]))))))))</f>
        <v>Gas works (own use)</v>
      </c>
      <c r="BE23" s="26" t="str">
        <f>_xlfn.XLOOKUP(Transformation[[#This Row],[cfrom]],Commodities[Commodity],Commodities[Commodity code])</f>
        <v>4100</v>
      </c>
      <c r="BF23" s="26" t="str">
        <f>_xlfn.XLOOKUP(Transformation[[#This Row],[tfrom]],Transactions[Transaction name],Transactions[Transaction code])</f>
        <v>08822</v>
      </c>
      <c r="BG23" s="26" t="str">
        <f>_xlfn.XLOOKUP(Transformation[[#This Row],[cto]],Commodities[Commodity],Commodities[Commodity code])</f>
        <v>4100</v>
      </c>
      <c r="BH23" s="26" t="str">
        <f>_xlfn.XLOOKUP(Transformation[[#This Row],[tto]],Transactions[Transaction name],Transactions[Transaction code])</f>
        <v>016COC</v>
      </c>
      <c r="BI23" s="11">
        <v>1</v>
      </c>
      <c r="BJ23" s="4" t="s">
        <v>439</v>
      </c>
      <c r="BK23" s="24" t="str">
        <f>_xlfn.XLOOKUP(Transformation[[#This Row],[Commodity from]],Commodities[Commodity code],Commodities[EnergyCode])</f>
        <v>CR</v>
      </c>
      <c r="BL23" s="4" t="s">
        <v>692</v>
      </c>
      <c r="BM23" s="4" t="s">
        <v>439</v>
      </c>
      <c r="BN23" s="24" t="str">
        <f>_xlfn.XLOOKUP(Transformation[[#This Row],[Commodity to]],Commodities[Commodity code],Commodities[EnergyCode])</f>
        <v>CR</v>
      </c>
      <c r="BO23" s="4" t="s">
        <v>1229</v>
      </c>
      <c r="BP23" s="16" t="s">
        <v>1493</v>
      </c>
      <c r="BQ23" s="33" t="str">
        <f>Transformation[[#This Row],[Commodity from]]&amp;Transformation[[#This Row],[Transaction from]]&amp;Transformation[[#This Row],[Commodity to]]&amp;Transformation[[#This Row],[Transaction to]]</f>
        <v>4100088224100016COC</v>
      </c>
      <c r="BR23" s="26" t="str">
        <f>Transformation[[#This Row],[crfomid]]&amp;Transformation[[#This Row],[Transaction from]]&amp;"("&amp;Transformation[[#This Row],[Multiplier]]&amp;") -&gt; "&amp;Transformation[[#This Row],[ctoid]]&amp;Transformation[[#This Row],[Transaction to]]</f>
        <v>CR08822(1) -&gt; CR016COC</v>
      </c>
      <c r="BT23" s="26" t="str">
        <f>_xlfn.XLOOKUP(Signswitch[[#This Row],[Commodity name]],Commodities[Commodity],Commodities[Commodity code])</f>
        <v>5232</v>
      </c>
      <c r="BU23" s="26" t="str">
        <f>_xlfn.XLOOKUP(Signswitch[[#This Row],[Transaction name]],Transactions[Transaction name],Transactions[Transaction code])</f>
        <v>1211</v>
      </c>
      <c r="BV23" s="26" t="str">
        <f>Signswitch[[#This Row],[Commodity from]]&amp;Signswitch[[#This Row],[Transaction from]]</f>
        <v>52321211</v>
      </c>
      <c r="BW23" s="22" t="s">
        <v>306</v>
      </c>
      <c r="BX23" s="26" t="str">
        <f>_xlfn.XLOOKUP(Signswitch[[#This Row],[Commodity from]],Commodities[Commodity code],Commodities[EnergyCode])</f>
        <v>ZJ</v>
      </c>
      <c r="BY23" s="22" t="s">
        <v>485</v>
      </c>
    </row>
    <row r="24" spans="8:77" x14ac:dyDescent="0.45">
      <c r="H24" s="5" t="s">
        <v>490</v>
      </c>
      <c r="I24" s="4" t="s">
        <v>489</v>
      </c>
      <c r="J24" s="9" t="s">
        <v>466</v>
      </c>
      <c r="K24" s="9" t="s">
        <v>1431</v>
      </c>
      <c r="L24" s="23" t="str">
        <f>IFERROR(INDEX(Commodities[[Commodity code]:[Commodity]],MATCH(Commodities[[#This Row],[Parent code]],Commodities[Commodity code],0),2),Commodities[[#This Row],[Commodity]])</f>
        <v>Coal products</v>
      </c>
      <c r="M24" s="24" t="str">
        <f>IFERROR(INDEX(Commodities[[Commodity code]:[Commodity]],MATCH(INDEX(Commodities[[Commodity]:[Parent code]],MATCH(Commodities[[#This Row],[L1N]],Commodities[Commodity],0),2),Commodities[Commodity code],0),2),Commodities[[#This Row],[L1N]])</f>
        <v>Coal</v>
      </c>
      <c r="N24" s="24" t="str">
        <f>IFERROR(INDEX(Commodities[[Commodity code]:[Commodity]],MATCH(INDEX(Commodities[[Commodity]:[Parent code]],MATCH(Commodities[[#This Row],[L2N]],Commodities[Commodity],0),2),Commodities[Commodity code],0),2),Commodities[[#This Row],[L2N]])</f>
        <v>Coal</v>
      </c>
      <c r="O24" s="24" t="str">
        <f>IFERROR(INDEX(Commodities[[Commodity code]:[Commodity]],MATCH(INDEX(Commodities[[Commodity]:[Parent code]],MATCH(Commodities[[#This Row],[L3N]],Commodities[Commodity],0),2),Commodities[Commodity code],0),2),Commodities[[#This Row],[L3N]])</f>
        <v>Coal</v>
      </c>
      <c r="P24" s="24" t="str">
        <f>IF(Commodities[[#This Row],[L4N]]=Commodities[[#This Row],[L3N]],Commodities[[#This Row],[L4N]],IF(Commodities[[#This Row],[L3N]]=Commodities[[#This Row],[L2N]],Commodities[[#This Row],[L3N]],IF(Commodities[[#This Row],[L2N]]=Commodities[[#This Row],[L1N]],Commodities[[#This Row],[L2N]],IF(Commodities[[#This Row],[L1N]]=Commodities[[#This Row],[Commodity]],Commodities[[#This Row],[L1N]],Commodities[[#This Row],[Commodity]]))))</f>
        <v>Coal</v>
      </c>
      <c r="Q24" s="24" t="str">
        <f>IF(Commodities[[#This Row],[Level 0]]=Commodities[[#This Row],[Commodity]],Commodities[[#This Row],[Commodity]],IF(Commodities[[#This Row],[Level 0]]=Commodities[[#This Row],[L1N]],Commodities[[#This Row],[Commodity]],IF(Commodities[[#This Row],[Level 0]]=Commodities[[#This Row],[L2N]],Commodities[[#This Row],[L1N]],IF(Commodities[[#This Row],[Level 0]]=Commodities[[#This Row],[L3N]],Commodities[[#This Row],[L2N]],IF(Commodities[[#This Row],[Level 0]]=Commodities[[#This Row],[L4N]],Commodities[[#This Row],[L3N]],Commodities[[#This Row],[L4N]])))))</f>
        <v>Coal products</v>
      </c>
      <c r="R24" s="24" t="str">
        <f>IF(Commodities[[#This Row],[Level 1]]=Commodities[[#This Row],[Commodity]],Commodities[[#This Row],[Commodity]],IF(Commodities[[#This Row],[Level 1]]=Commodities[[#This Row],[L1N]],Commodities[[#This Row],[Commodity]],IF(Commodities[[#This Row],[Level 1]]=Commodities[[#This Row],[L2N]],Commodities[[#This Row],[L1N]],IF(Commodities[[#This Row],[Level 1]]=Commodities[[#This Row],[L3N]],Commodities[[#This Row],[L2N]],IF(Commodities[[#This Row],[Level 1]]=Commodities[[#This Row],[L4N]],Commodities[[#This Row],[L3N]],Commodities[[#This Row],[L4N]])))))</f>
        <v>Coal tar</v>
      </c>
      <c r="S24" s="24" t="str">
        <f>IF(Commodities[[#This Row],[Level 2]]=Commodities[[#This Row],[Commodity]],Commodities[[#This Row],[Commodity]],IF(Commodities[[#This Row],[Level 2]]=Commodities[[#This Row],[L1N]],Commodities[[#This Row],[Commodity]],IF(Commodities[[#This Row],[Level 2]]=Commodities[[#This Row],[L2N]],Commodities[[#This Row],[L1N]],IF(Commodities[[#This Row],[Level 2]]=Commodities[[#This Row],[L3N]],Commodities[[#This Row],[L2N]],IF(Commodities[[#This Row],[Level 2]]=Commodities[[#This Row],[L4N]],Commodities[[#This Row],[L3N]],Commodities[[#This Row],[L4N]])))))</f>
        <v>Coal tar</v>
      </c>
      <c r="T24" s="24" t="str">
        <f>IF(Commodities[[#This Row],[Level 3]]=Commodities[[#This Row],[Commodity]],Commodities[[#This Row],[Commodity]],IF(Commodities[[#This Row],[Level 3]]=Commodities[[#This Row],[L1N]],Commodities[[#This Row],[Commodity]],IF(Commodities[[#This Row],[Level 3]]=Commodities[[#This Row],[L2N]],Commodities[[#This Row],[L1N]],IF(Commodities[[#This Row],[Level 3]]=Commodities[[#This Row],[L3N]],Commodities[[#This Row],[L2N]],IF(Commodities[[#This Row],[Level 3]]=Commodities[[#This Row],[L4N]],Commodities[[#This Row],[L3N]],Commodities[[#This Row],[L4N]])))))</f>
        <v>Coal tar</v>
      </c>
      <c r="U24" s="24" t="str">
        <f>IF(Commodities[[#This Row],[Level 4]]=Commodities[[#This Row],[Commodity]],Commodities[[#This Row],[Commodity]],IF(Commodities[[#This Row],[Level 4]]=Commodities[[#This Row],[L1N]],Commodities[[#This Row],[Commodity]],IF(Commodities[[#This Row],[Level 4]]=Commodities[[#This Row],[L2N]],Commodities[[#This Row],[L1N]],IF(Commodities[[#This Row],[Level 4]]=Commodities[[#This Row],[L3N]],Commodities[[#This Row],[L2N]],IF(Commodities[[#This Row],[Level 4]]=Commodities[[#This Row],[L4N]],Commodities[[#This Row],[L3N]],Commodities[[#This Row],[L4N]])))))</f>
        <v>Coal tar</v>
      </c>
      <c r="Y24" s="5" t="s">
        <v>147</v>
      </c>
      <c r="Z24" s="4" t="s">
        <v>711</v>
      </c>
      <c r="AA24" s="4" t="s">
        <v>711</v>
      </c>
      <c r="AB24" s="6" t="s">
        <v>144</v>
      </c>
      <c r="AC24" s="24" t="str">
        <f>IFERROR(VLOOKUP(Transactions[[#This Row],[Parent code]],Transactions[[Transaction code]:[Transaction name]],2,0),"")</f>
        <v>Energy industries own use</v>
      </c>
      <c r="AD24" s="4" t="s">
        <v>163</v>
      </c>
      <c r="AE24" s="4" t="s">
        <v>947</v>
      </c>
      <c r="AF24" s="4" t="s">
        <v>642</v>
      </c>
      <c r="AG24" s="4" t="s">
        <v>1</v>
      </c>
      <c r="AH24" s="4" t="s">
        <v>695</v>
      </c>
      <c r="AK24" s="24" t="str" cm="1">
        <f t="array" ref="AK24">IFERROR(INDEX(Transactions[[Transaction code]:[Transaction name]],_xlfn.XMATCH(Transactions[[#This Row],[Parent code]],Transactions[Transaction name],0),3),Transactions[[#This Row],[Transaction name]])</f>
        <v>Gas-to-liquid (GTL) plants (own use)</v>
      </c>
      <c r="AL24" s="24" t="str" cm="1">
        <f t="array" ref="AL24">IFERROR(INDEX(Transactions[[Transaction code]:[Transaction name]],_xlfn.XMATCH(INDEX(Transactions[[Transaction name]:[Parent code]],_xlfn.XMATCH(Transactions[[#This Row],[L1N]],Transactions[Transaction name],0),3),Transactions[Transaction code],0),2),Transactions[[#This Row],[L1N]])</f>
        <v>Energy industries own use</v>
      </c>
      <c r="AM24" s="24" t="str" cm="1">
        <f t="array" ref="AM24">IFERROR(INDEX(Transactions[[Transaction code]:[Transaction name]],_xlfn.XMATCH(INDEX(Transactions[[Transaction name]:[Parent code]],_xlfn.XMATCH(Transactions[[#This Row],[L2N]],Transactions[Transaction name],0),3),Transactions[Transaction code],0),2),Transactions[[#This Row],[L2N]])</f>
        <v>Energy industries own use</v>
      </c>
      <c r="AN24" s="24" t="str" cm="1">
        <f t="array" ref="AN24">IFERROR(INDEX(Transactions[[Transaction code]:[Transaction name]],_xlfn.XMATCH(INDEX(Transactions[[Transaction name]:[Parent code]],_xlfn.XMATCH(Transactions[[#This Row],[L3N]],Transactions[Transaction name],0),3),Transactions[Transaction code],0),2),Transactions[[#This Row],[L3N]])</f>
        <v>Energy industries own use</v>
      </c>
      <c r="AO24" s="24" t="str" cm="1">
        <f t="array" ref="AO24">IFERROR(INDEX(Transactions[[Transaction code]:[Transaction name]],_xlfn.XMATCH(INDEX(Transactions[[Transaction name]:[Parent code]],_xlfn.XMATCH(Transactions[[#This Row],[L4N]],Transactions[Transaction name],0),3),Transactions[Transaction code],0),2),Transactions[[#This Row],[L4N]])</f>
        <v>Energy industries own use</v>
      </c>
      <c r="AP24" s="24" t="str" cm="1">
        <f t="array" ref="AP24">IFERROR(INDEX(Transactions[[Transaction code]:[Transaction name]],_xlfn.XMATCH(INDEX(Transactions[[Transaction name]:[Parent code]],_xlfn.XMATCH(Transactions[[#This Row],[L5N]],Transactions[Transaction name],0),3),Transactions[Transaction code],0),2),Transactions[[#This Row],[L5N]])</f>
        <v>Energy industries own use</v>
      </c>
      <c r="AQ24" s="24" t="str" cm="1">
        <f t="array" ref="AQ24">IFERROR(INDEX(Transactions[[Transaction code]:[Transaction name]],_xlfn.XMATCH(INDEX(Transactions[[Transaction name]:[Parent code]],_xlfn.XMATCH(Transactions[[#This Row],[L6N]],Transactions[Transaction name],0),3),Transactions[Transaction code],0),2),Transactions[[#This Row],[L6N]])</f>
        <v>Energy industries own use</v>
      </c>
      <c r="AR24" s="27" t="str">
        <f>IF(Transactions[[#This Row],[L7N]]=Transactions[[#This Row],[L6N]],Transactions[[#This Row],[L7N]],IF(Transactions[[#This Row],[L6N]]=Transactions[[#This Row],[L5N]],Transactions[[#This Row],[L6N]],IF(Transactions[[#This Row],[L5N]]=Transactions[[#This Row],[L4N]],Transactions[[#This Row],[L5N]],IF(Transactions[[#This Row],[L4N]]=Transactions[[#This Row],[L3N]],Transactions[[#This Row],[L4N]],IF(Transactions[[#This Row],[L3N]]=Transactions[[#This Row],[L2N]],Transactions[[#This Row],[L3N]],IF(Transactions[[#This Row],[L2N]]=Transactions[[#This Row],[L1N]],Transactions[[#This Row],[L2N]],IF(Transactions[[#This Row],[L1N]]=Transactions[[#This Row],[Transaction name]],Transactions[[#This Row],[L1N]],Transactions[[#This Row],[Transaction name]])))))))</f>
        <v>Energy industries own use</v>
      </c>
      <c r="AS24" s="24" t="str">
        <f>IF(Transactions[[#This Row],[Level 0]]=Transactions[[#This Row],[Transaction name]],Transactions[[#This Row],[Transaction name]],IF(Transactions[[#This Row],[Level 0]]=Transactions[[#This Row],[L1N]],Transactions[[#This Row],[Transaction name]],IF(Transactions[[#This Row],[Level 0]]=Transactions[[#This Row],[L2N]],Transactions[[#This Row],[L1N]],IF(Transactions[[#This Row],[Level 0]]=Transactions[[#This Row],[L3N]],Transactions[[#This Row],[L2N]],IF(Transactions[[#This Row],[Level 0]]=Transactions[[#This Row],[L4N]],Transactions[[#This Row],[L3N]],IF(Transactions[[#This Row],[Level 0]]=Transactions[[#This Row],[L5N]],Transactions[[#This Row],[L4N]],IF(Transactions[[#This Row],[Level 0]]=Transactions[[#This Row],[L6N]],Transactions[[#This Row],[L5N]],IF(Transactions[[#This Row],[Level 0]]=Transactions[[#This Row],[L7N]],Transactions[[#This Row],[L6N]],Transactions[[#This Row],[L7N]]))))))))</f>
        <v>Gas-to-liquid (GTL) plants (own use)</v>
      </c>
      <c r="AT24" s="24" t="str">
        <f>IF(Transactions[[#This Row],[Level 1]]=Transactions[[#This Row],[Transaction name]],Transactions[[#This Row],[Transaction name]],IF(Transactions[[#This Row],[Level 1]]=Transactions[[#This Row],[L1N]],Transactions[[#This Row],[Transaction name]],IF(Transactions[[#This Row],[Level 1]]=Transactions[[#This Row],[L2N]],Transactions[[#This Row],[L1N]],IF(Transactions[[#This Row],[Level 1]]=Transactions[[#This Row],[L3N]],Transactions[[#This Row],[L2N]],IF(Transactions[[#This Row],[Level 1]]=Transactions[[#This Row],[L4N]],Transactions[[#This Row],[L3N]],IF(Transactions[[#This Row],[Level 1]]=Transactions[[#This Row],[L5N]],Transactions[[#This Row],[L4N]],IF(Transactions[[#This Row],[Level 1]]=Transactions[[#This Row],[L6N]],Transactions[[#This Row],[L5N]],IF(Transactions[[#This Row],[Level 1]]=Transactions[[#This Row],[L7N]],Transactions[[#This Row],[L6N]],Transactions[[#This Row],[L7N]]))))))))</f>
        <v>Gas-to-liquid (GTL) plants (own use)</v>
      </c>
      <c r="AU24" s="24" t="str">
        <f>IF(Transactions[[#This Row],[Level 2]]=Transactions[[#This Row],[Transaction name]],Transactions[[#This Row],[Transaction name]],IF(Transactions[[#This Row],[Level 2]]=Transactions[[#This Row],[L1N]],Transactions[[#This Row],[Transaction name]],IF(Transactions[[#This Row],[Level 2]]=Transactions[[#This Row],[L2N]],Transactions[[#This Row],[L1N]],IF(Transactions[[#This Row],[Level 2]]=Transactions[[#This Row],[L3N]],Transactions[[#This Row],[L2N]],IF(Transactions[[#This Row],[Level 2]]=Transactions[[#This Row],[L4N]],Transactions[[#This Row],[L3N]],IF(Transactions[[#This Row],[Level 2]]=Transactions[[#This Row],[L5N]],Transactions[[#This Row],[L4N]],IF(Transactions[[#This Row],[Level 2]]=Transactions[[#This Row],[L6N]],Transactions[[#This Row],[L5N]],IF(Transactions[[#This Row],[Level 2]]=Transactions[[#This Row],[L7N]],Transactions[[#This Row],[L6N]],Transactions[[#This Row],[L7N]]))))))))</f>
        <v>Gas-to-liquid (GTL) plants (own use)</v>
      </c>
      <c r="AV24" s="24" t="str">
        <f>IF(Transactions[[#This Row],[Level 3]]=Transactions[[#This Row],[Transaction name]],Transactions[[#This Row],[Transaction name]],IF(Transactions[[#This Row],[Level 3]]=Transactions[[#This Row],[L1N]],Transactions[[#This Row],[Transaction name]],IF(Transactions[[#This Row],[Level 3]]=Transactions[[#This Row],[L2N]],Transactions[[#This Row],[L1N]],IF(Transactions[[#This Row],[Level 3]]=Transactions[[#This Row],[L3N]],Transactions[[#This Row],[L2N]],IF(Transactions[[#This Row],[Level 3]]=Transactions[[#This Row],[L4N]],Transactions[[#This Row],[L3N]],IF(Transactions[[#This Row],[Level 3]]=Transactions[[#This Row],[L5N]],Transactions[[#This Row],[L4N]],IF(Transactions[[#This Row],[Level 3]]=Transactions[[#This Row],[L6N]],Transactions[[#This Row],[L5N]],IF(Transactions[[#This Row],[Level 3]]=Transactions[[#This Row],[L7N]],Transactions[[#This Row],[L6N]],Transactions[[#This Row],[L7N]]))))))))</f>
        <v>Gas-to-liquid (GTL) plants (own use)</v>
      </c>
      <c r="AW24" s="24" t="str">
        <f>IF(Transactions[[#This Row],[Level 4]]=Transactions[[#This Row],[Transaction name]],Transactions[[#This Row],[Transaction name]],IF(Transactions[[#This Row],[Level 4]]=Transactions[[#This Row],[L1N]],Transactions[[#This Row],[Transaction name]],IF(Transactions[[#This Row],[Level 4]]=Transactions[[#This Row],[L2N]],Transactions[[#This Row],[L1N]],IF(Transactions[[#This Row],[Level 4]]=Transactions[[#This Row],[L3N]],Transactions[[#This Row],[L2N]],IF(Transactions[[#This Row],[Level 4]]=Transactions[[#This Row],[L4N]],Transactions[[#This Row],[L3N]],IF(Transactions[[#This Row],[Level 4]]=Transactions[[#This Row],[L5N]],Transactions[[#This Row],[L4N]],IF(Transactions[[#This Row],[Level 4]]=Transactions[[#This Row],[L6N]],Transactions[[#This Row],[L5N]],IF(Transactions[[#This Row],[Level 4]]=Transactions[[#This Row],[L7N]],Transactions[[#This Row],[L6N]],Transactions[[#This Row],[L7N]]))))))))</f>
        <v>Gas-to-liquid (GTL) plants (own use)</v>
      </c>
      <c r="AX24" s="24" t="str">
        <f>IF(Transactions[[#This Row],[Level 5]]=Transactions[[#This Row],[Transaction name]],Transactions[[#This Row],[Transaction name]],IF(Transactions[[#This Row],[Level 5]]=Transactions[[#This Row],[L1N]],Transactions[[#This Row],[Transaction name]],IF(Transactions[[#This Row],[Level 5]]=Transactions[[#This Row],[L2N]],Transactions[[#This Row],[L1N]],IF(Transactions[[#This Row],[Level 5]]=Transactions[[#This Row],[L3N]],Transactions[[#This Row],[L2N]],IF(Transactions[[#This Row],[Level 5]]=Transactions[[#This Row],[L4N]],Transactions[[#This Row],[L3N]],IF(Transactions[[#This Row],[Level 5]]=Transactions[[#This Row],[L5N]],Transactions[[#This Row],[L4N]],IF(Transactions[[#This Row],[Level 5]]=Transactions[[#This Row],[L6N]],Transactions[[#This Row],[L5N]],IF(Transactions[[#This Row],[Level 5]]=Transactions[[#This Row],[L7N]],Transactions[[#This Row],[L6N]],Transactions[[#This Row],[L7N]]))))))))</f>
        <v>Gas-to-liquid (GTL) plants (own use)</v>
      </c>
      <c r="AY24" s="24" t="str">
        <f>IF(Transactions[[#This Row],[Level 6]]=Transactions[[#This Row],[Transaction name]],Transactions[[#This Row],[Transaction name]],IF(Transactions[[#This Row],[Level 6]]=Transactions[[#This Row],[L1N]],Transactions[[#This Row],[Transaction name]],IF(Transactions[[#This Row],[Level 6]]=Transactions[[#This Row],[L2N]],Transactions[[#This Row],[L1N]],IF(Transactions[[#This Row],[Level 6]]=Transactions[[#This Row],[L3N]],Transactions[[#This Row],[L2N]],IF(Transactions[[#This Row],[Level 6]]=Transactions[[#This Row],[L4N]],Transactions[[#This Row],[L3N]],IF(Transactions[[#This Row],[Level 6]]=Transactions[[#This Row],[L5N]],Transactions[[#This Row],[L4N]],IF(Transactions[[#This Row],[Level 6]]=Transactions[[#This Row],[L6N]],Transactions[[#This Row],[L5N]],IF(Transactions[[#This Row],[Level 6]]=Transactions[[#This Row],[L7N]],Transactions[[#This Row],[L6N]],Transactions[[#This Row],[L7N]]))))))))</f>
        <v>Gas-to-liquid (GTL) plants (own use)</v>
      </c>
      <c r="BE24" s="26" t="str">
        <f>_xlfn.XLOOKUP(Transformation[[#This Row],[cfrom]],Commodities[Commodity],Commodities[Commodity code])</f>
        <v>0340</v>
      </c>
      <c r="BF24" s="26" t="str">
        <f>_xlfn.XLOOKUP(Transformation[[#This Row],[tfrom]],Transactions[Transaction name],Transactions[Transaction code])</f>
        <v>08822</v>
      </c>
      <c r="BG24" s="26" t="str">
        <f>_xlfn.XLOOKUP(Transformation[[#This Row],[cto]],Commodities[Commodity],Commodities[Commodity code])</f>
        <v>0340</v>
      </c>
      <c r="BH24" s="26" t="str">
        <f>_xlfn.XLOOKUP(Transformation[[#This Row],[tto]],Transactions[Transaction name],Transactions[Transaction code])</f>
        <v>016CSC</v>
      </c>
      <c r="BI24" s="11">
        <v>1</v>
      </c>
      <c r="BJ24" s="4" t="s">
        <v>489</v>
      </c>
      <c r="BK24" s="24" t="str">
        <f>_xlfn.XLOOKUP(Transformation[[#This Row],[Commodity from]],Commodities[Commodity code],Commodities[EnergyCode])</f>
        <v>CT</v>
      </c>
      <c r="BL24" s="4" t="s">
        <v>692</v>
      </c>
      <c r="BM24" s="4" t="s">
        <v>489</v>
      </c>
      <c r="BN24" s="24" t="str">
        <f>_xlfn.XLOOKUP(Transformation[[#This Row],[Commodity to]],Commodities[Commodity code],Commodities[EnergyCode])</f>
        <v>CT</v>
      </c>
      <c r="BO24" s="4" t="s">
        <v>1213</v>
      </c>
      <c r="BP24" s="16" t="s">
        <v>1493</v>
      </c>
      <c r="BQ24" s="33" t="str">
        <f>Transformation[[#This Row],[Commodity from]]&amp;Transformation[[#This Row],[Transaction from]]&amp;Transformation[[#This Row],[Commodity to]]&amp;Transformation[[#This Row],[Transaction to]]</f>
        <v>0340088220340016CSC</v>
      </c>
      <c r="BR24" s="26" t="str">
        <f>Transformation[[#This Row],[crfomid]]&amp;Transformation[[#This Row],[Transaction from]]&amp;"("&amp;Transformation[[#This Row],[Multiplier]]&amp;") -&gt; "&amp;Transformation[[#This Row],[ctoid]]&amp;Transformation[[#This Row],[Transaction to]]</f>
        <v>CT08822(1) -&gt; CT016CSC</v>
      </c>
      <c r="BT24" s="26" t="str">
        <f>_xlfn.XLOOKUP(Signswitch[[#This Row],[Commodity name]],Commodities[Commodity],Commodities[Commodity code])</f>
        <v>5222</v>
      </c>
      <c r="BU24" s="26" t="str">
        <f>_xlfn.XLOOKUP(Signswitch[[#This Row],[Transaction name]],Transactions[Transaction name],Transactions[Transaction code])</f>
        <v>1211</v>
      </c>
      <c r="BV24" s="26" t="str">
        <f>Signswitch[[#This Row],[Commodity from]]&amp;Signswitch[[#This Row],[Transaction from]]</f>
        <v>52221211</v>
      </c>
      <c r="BW24" s="22" t="s">
        <v>962</v>
      </c>
      <c r="BX24" s="26" t="str">
        <f>_xlfn.XLOOKUP(Signswitch[[#This Row],[Commodity from]],Commodities[Commodity code],Commodities[EnergyCode])</f>
        <v>ZD</v>
      </c>
      <c r="BY24" s="22" t="s">
        <v>485</v>
      </c>
    </row>
    <row r="25" spans="8:77" x14ac:dyDescent="0.45">
      <c r="H25" s="5" t="s">
        <v>253</v>
      </c>
      <c r="I25" s="4" t="s">
        <v>252</v>
      </c>
      <c r="J25" s="9"/>
      <c r="K25" s="9" t="s">
        <v>253</v>
      </c>
      <c r="L25" s="23" t="str">
        <f>IFERROR(INDEX(Commodities[[Commodity code]:[Commodity]],MATCH(Commodities[[#This Row],[Parent code]],Commodities[Commodity code],0),2),Commodities[[#This Row],[Commodity]])</f>
        <v>Direct use of geothermal heat</v>
      </c>
      <c r="M25" s="24" t="str">
        <f>IFERROR(INDEX(Commodities[[Commodity code]:[Commodity]],MATCH(INDEX(Commodities[[Commodity]:[Parent code]],MATCH(Commodities[[#This Row],[L1N]],Commodities[Commodity],0),2),Commodities[Commodity code],0),2),Commodities[[#This Row],[L1N]])</f>
        <v>Direct use of geothermal heat</v>
      </c>
      <c r="N25" s="24" t="str">
        <f>IFERROR(INDEX(Commodities[[Commodity code]:[Commodity]],MATCH(INDEX(Commodities[[Commodity]:[Parent code]],MATCH(Commodities[[#This Row],[L2N]],Commodities[Commodity],0),2),Commodities[Commodity code],0),2),Commodities[[#This Row],[L2N]])</f>
        <v>Direct use of geothermal heat</v>
      </c>
      <c r="O25" s="24" t="str">
        <f>IFERROR(INDEX(Commodities[[Commodity code]:[Commodity]],MATCH(INDEX(Commodities[[Commodity]:[Parent code]],MATCH(Commodities[[#This Row],[L3N]],Commodities[Commodity],0),2),Commodities[Commodity code],0),2),Commodities[[#This Row],[L3N]])</f>
        <v>Direct use of geothermal heat</v>
      </c>
      <c r="P25" s="24" t="str">
        <f>IF(Commodities[[#This Row],[L4N]]=Commodities[[#This Row],[L3N]],Commodities[[#This Row],[L4N]],IF(Commodities[[#This Row],[L3N]]=Commodities[[#This Row],[L2N]],Commodities[[#This Row],[L3N]],IF(Commodities[[#This Row],[L2N]]=Commodities[[#This Row],[L1N]],Commodities[[#This Row],[L2N]],IF(Commodities[[#This Row],[L1N]]=Commodities[[#This Row],[Commodity]],Commodities[[#This Row],[L1N]],Commodities[[#This Row],[Commodity]]))))</f>
        <v>Direct use of geothermal heat</v>
      </c>
      <c r="Q25" s="24" t="str">
        <f>IF(Commodities[[#This Row],[Level 0]]=Commodities[[#This Row],[Commodity]],Commodities[[#This Row],[Commodity]],IF(Commodities[[#This Row],[Level 0]]=Commodities[[#This Row],[L1N]],Commodities[[#This Row],[Commodity]],IF(Commodities[[#This Row],[Level 0]]=Commodities[[#This Row],[L2N]],Commodities[[#This Row],[L1N]],IF(Commodities[[#This Row],[Level 0]]=Commodities[[#This Row],[L3N]],Commodities[[#This Row],[L2N]],IF(Commodities[[#This Row],[Level 0]]=Commodities[[#This Row],[L4N]],Commodities[[#This Row],[L3N]],Commodities[[#This Row],[L4N]])))))</f>
        <v>Direct use of geothermal heat</v>
      </c>
      <c r="R25" s="24" t="str">
        <f>IF(Commodities[[#This Row],[Level 1]]=Commodities[[#This Row],[Commodity]],Commodities[[#This Row],[Commodity]],IF(Commodities[[#This Row],[Level 1]]=Commodities[[#This Row],[L1N]],Commodities[[#This Row],[Commodity]],IF(Commodities[[#This Row],[Level 1]]=Commodities[[#This Row],[L2N]],Commodities[[#This Row],[L1N]],IF(Commodities[[#This Row],[Level 1]]=Commodities[[#This Row],[L3N]],Commodities[[#This Row],[L2N]],IF(Commodities[[#This Row],[Level 1]]=Commodities[[#This Row],[L4N]],Commodities[[#This Row],[L3N]],Commodities[[#This Row],[L4N]])))))</f>
        <v>Direct use of geothermal heat</v>
      </c>
      <c r="S25" s="24" t="str">
        <f>IF(Commodities[[#This Row],[Level 2]]=Commodities[[#This Row],[Commodity]],Commodities[[#This Row],[Commodity]],IF(Commodities[[#This Row],[Level 2]]=Commodities[[#This Row],[L1N]],Commodities[[#This Row],[Commodity]],IF(Commodities[[#This Row],[Level 2]]=Commodities[[#This Row],[L2N]],Commodities[[#This Row],[L1N]],IF(Commodities[[#This Row],[Level 2]]=Commodities[[#This Row],[L3N]],Commodities[[#This Row],[L2N]],IF(Commodities[[#This Row],[Level 2]]=Commodities[[#This Row],[L4N]],Commodities[[#This Row],[L3N]],Commodities[[#This Row],[L4N]])))))</f>
        <v>Direct use of geothermal heat</v>
      </c>
      <c r="T25" s="24" t="str">
        <f>IF(Commodities[[#This Row],[Level 3]]=Commodities[[#This Row],[Commodity]],Commodities[[#This Row],[Commodity]],IF(Commodities[[#This Row],[Level 3]]=Commodities[[#This Row],[L1N]],Commodities[[#This Row],[Commodity]],IF(Commodities[[#This Row],[Level 3]]=Commodities[[#This Row],[L2N]],Commodities[[#This Row],[L1N]],IF(Commodities[[#This Row],[Level 3]]=Commodities[[#This Row],[L3N]],Commodities[[#This Row],[L2N]],IF(Commodities[[#This Row],[Level 3]]=Commodities[[#This Row],[L4N]],Commodities[[#This Row],[L3N]],Commodities[[#This Row],[L4N]])))))</f>
        <v>Direct use of geothermal heat</v>
      </c>
      <c r="U25" s="24" t="str">
        <f>IF(Commodities[[#This Row],[Level 4]]=Commodities[[#This Row],[Commodity]],Commodities[[#This Row],[Commodity]],IF(Commodities[[#This Row],[Level 4]]=Commodities[[#This Row],[L1N]],Commodities[[#This Row],[Commodity]],IF(Commodities[[#This Row],[Level 4]]=Commodities[[#This Row],[L2N]],Commodities[[#This Row],[L1N]],IF(Commodities[[#This Row],[Level 4]]=Commodities[[#This Row],[L3N]],Commodities[[#This Row],[L2N]],IF(Commodities[[#This Row],[Level 4]]=Commodities[[#This Row],[L4N]],Commodities[[#This Row],[L3N]],Commodities[[#This Row],[L4N]])))))</f>
        <v>Direct use of geothermal heat</v>
      </c>
      <c r="Y25" s="5" t="s">
        <v>145</v>
      </c>
      <c r="Z25" s="4" t="s">
        <v>718</v>
      </c>
      <c r="AA25" s="4" t="s">
        <v>718</v>
      </c>
      <c r="AB25" s="6" t="s">
        <v>144</v>
      </c>
      <c r="AC25" s="24" t="str">
        <f>IFERROR(VLOOKUP(Transactions[[#This Row],[Parent code]],Transactions[[Transaction code]:[Transaction name]],2,0),"")</f>
        <v>Energy industries own use</v>
      </c>
      <c r="AD25" s="4" t="s">
        <v>163</v>
      </c>
      <c r="AE25" s="4" t="s">
        <v>949</v>
      </c>
      <c r="AF25" s="4" t="s">
        <v>642</v>
      </c>
      <c r="AG25" s="4" t="s">
        <v>1</v>
      </c>
      <c r="AH25" s="4" t="s">
        <v>695</v>
      </c>
      <c r="AK25" s="24" t="str" cm="1">
        <f t="array" ref="AK25">IFERROR(INDEX(Transactions[[Transaction code]:[Transaction name]],_xlfn.XMATCH(Transactions[[#This Row],[Parent code]],Transactions[Transaction name],0),3),Transactions[[#This Row],[Transaction name]])</f>
        <v>LNG/regasification plants (own use)</v>
      </c>
      <c r="AL25" s="24" t="str" cm="1">
        <f t="array" ref="AL25">IFERROR(INDEX(Transactions[[Transaction code]:[Transaction name]],_xlfn.XMATCH(INDEX(Transactions[[Transaction name]:[Parent code]],_xlfn.XMATCH(Transactions[[#This Row],[L1N]],Transactions[Transaction name],0),3),Transactions[Transaction code],0),2),Transactions[[#This Row],[L1N]])</f>
        <v>Energy industries own use</v>
      </c>
      <c r="AM25" s="24" t="str" cm="1">
        <f t="array" ref="AM25">IFERROR(INDEX(Transactions[[Transaction code]:[Transaction name]],_xlfn.XMATCH(INDEX(Transactions[[Transaction name]:[Parent code]],_xlfn.XMATCH(Transactions[[#This Row],[L2N]],Transactions[Transaction name],0),3),Transactions[Transaction code],0),2),Transactions[[#This Row],[L2N]])</f>
        <v>Energy industries own use</v>
      </c>
      <c r="AN25" s="24" t="str" cm="1">
        <f t="array" ref="AN25">IFERROR(INDEX(Transactions[[Transaction code]:[Transaction name]],_xlfn.XMATCH(INDEX(Transactions[[Transaction name]:[Parent code]],_xlfn.XMATCH(Transactions[[#This Row],[L3N]],Transactions[Transaction name],0),3),Transactions[Transaction code],0),2),Transactions[[#This Row],[L3N]])</f>
        <v>Energy industries own use</v>
      </c>
      <c r="AO25" s="24" t="str" cm="1">
        <f t="array" ref="AO25">IFERROR(INDEX(Transactions[[Transaction code]:[Transaction name]],_xlfn.XMATCH(INDEX(Transactions[[Transaction name]:[Parent code]],_xlfn.XMATCH(Transactions[[#This Row],[L4N]],Transactions[Transaction name],0),3),Transactions[Transaction code],0),2),Transactions[[#This Row],[L4N]])</f>
        <v>Energy industries own use</v>
      </c>
      <c r="AP25" s="24" t="str" cm="1">
        <f t="array" ref="AP25">IFERROR(INDEX(Transactions[[Transaction code]:[Transaction name]],_xlfn.XMATCH(INDEX(Transactions[[Transaction name]:[Parent code]],_xlfn.XMATCH(Transactions[[#This Row],[L5N]],Transactions[Transaction name],0),3),Transactions[Transaction code],0),2),Transactions[[#This Row],[L5N]])</f>
        <v>Energy industries own use</v>
      </c>
      <c r="AQ25" s="24" t="str" cm="1">
        <f t="array" ref="AQ25">IFERROR(INDEX(Transactions[[Transaction code]:[Transaction name]],_xlfn.XMATCH(INDEX(Transactions[[Transaction name]:[Parent code]],_xlfn.XMATCH(Transactions[[#This Row],[L6N]],Transactions[Transaction name],0),3),Transactions[Transaction code],0),2),Transactions[[#This Row],[L6N]])</f>
        <v>Energy industries own use</v>
      </c>
      <c r="AR25" s="27" t="str">
        <f>IF(Transactions[[#This Row],[L7N]]=Transactions[[#This Row],[L6N]],Transactions[[#This Row],[L7N]],IF(Transactions[[#This Row],[L6N]]=Transactions[[#This Row],[L5N]],Transactions[[#This Row],[L6N]],IF(Transactions[[#This Row],[L5N]]=Transactions[[#This Row],[L4N]],Transactions[[#This Row],[L5N]],IF(Transactions[[#This Row],[L4N]]=Transactions[[#This Row],[L3N]],Transactions[[#This Row],[L4N]],IF(Transactions[[#This Row],[L3N]]=Transactions[[#This Row],[L2N]],Transactions[[#This Row],[L3N]],IF(Transactions[[#This Row],[L2N]]=Transactions[[#This Row],[L1N]],Transactions[[#This Row],[L2N]],IF(Transactions[[#This Row],[L1N]]=Transactions[[#This Row],[Transaction name]],Transactions[[#This Row],[L1N]],Transactions[[#This Row],[Transaction name]])))))))</f>
        <v>Energy industries own use</v>
      </c>
      <c r="AS25" s="24" t="str">
        <f>IF(Transactions[[#This Row],[Level 0]]=Transactions[[#This Row],[Transaction name]],Transactions[[#This Row],[Transaction name]],IF(Transactions[[#This Row],[Level 0]]=Transactions[[#This Row],[L1N]],Transactions[[#This Row],[Transaction name]],IF(Transactions[[#This Row],[Level 0]]=Transactions[[#This Row],[L2N]],Transactions[[#This Row],[L1N]],IF(Transactions[[#This Row],[Level 0]]=Transactions[[#This Row],[L3N]],Transactions[[#This Row],[L2N]],IF(Transactions[[#This Row],[Level 0]]=Transactions[[#This Row],[L4N]],Transactions[[#This Row],[L3N]],IF(Transactions[[#This Row],[Level 0]]=Transactions[[#This Row],[L5N]],Transactions[[#This Row],[L4N]],IF(Transactions[[#This Row],[Level 0]]=Transactions[[#This Row],[L6N]],Transactions[[#This Row],[L5N]],IF(Transactions[[#This Row],[Level 0]]=Transactions[[#This Row],[L7N]],Transactions[[#This Row],[L6N]],Transactions[[#This Row],[L7N]]))))))))</f>
        <v>LNG/regasification plants (own use)</v>
      </c>
      <c r="AT25" s="24" t="str">
        <f>IF(Transactions[[#This Row],[Level 1]]=Transactions[[#This Row],[Transaction name]],Transactions[[#This Row],[Transaction name]],IF(Transactions[[#This Row],[Level 1]]=Transactions[[#This Row],[L1N]],Transactions[[#This Row],[Transaction name]],IF(Transactions[[#This Row],[Level 1]]=Transactions[[#This Row],[L2N]],Transactions[[#This Row],[L1N]],IF(Transactions[[#This Row],[Level 1]]=Transactions[[#This Row],[L3N]],Transactions[[#This Row],[L2N]],IF(Transactions[[#This Row],[Level 1]]=Transactions[[#This Row],[L4N]],Transactions[[#This Row],[L3N]],IF(Transactions[[#This Row],[Level 1]]=Transactions[[#This Row],[L5N]],Transactions[[#This Row],[L4N]],IF(Transactions[[#This Row],[Level 1]]=Transactions[[#This Row],[L6N]],Transactions[[#This Row],[L5N]],IF(Transactions[[#This Row],[Level 1]]=Transactions[[#This Row],[L7N]],Transactions[[#This Row],[L6N]],Transactions[[#This Row],[L7N]]))))))))</f>
        <v>LNG/regasification plants (own use)</v>
      </c>
      <c r="AU25" s="24" t="str">
        <f>IF(Transactions[[#This Row],[Level 2]]=Transactions[[#This Row],[Transaction name]],Transactions[[#This Row],[Transaction name]],IF(Transactions[[#This Row],[Level 2]]=Transactions[[#This Row],[L1N]],Transactions[[#This Row],[Transaction name]],IF(Transactions[[#This Row],[Level 2]]=Transactions[[#This Row],[L2N]],Transactions[[#This Row],[L1N]],IF(Transactions[[#This Row],[Level 2]]=Transactions[[#This Row],[L3N]],Transactions[[#This Row],[L2N]],IF(Transactions[[#This Row],[Level 2]]=Transactions[[#This Row],[L4N]],Transactions[[#This Row],[L3N]],IF(Transactions[[#This Row],[Level 2]]=Transactions[[#This Row],[L5N]],Transactions[[#This Row],[L4N]],IF(Transactions[[#This Row],[Level 2]]=Transactions[[#This Row],[L6N]],Transactions[[#This Row],[L5N]],IF(Transactions[[#This Row],[Level 2]]=Transactions[[#This Row],[L7N]],Transactions[[#This Row],[L6N]],Transactions[[#This Row],[L7N]]))))))))</f>
        <v>LNG/regasification plants (own use)</v>
      </c>
      <c r="AV25" s="24" t="str">
        <f>IF(Transactions[[#This Row],[Level 3]]=Transactions[[#This Row],[Transaction name]],Transactions[[#This Row],[Transaction name]],IF(Transactions[[#This Row],[Level 3]]=Transactions[[#This Row],[L1N]],Transactions[[#This Row],[Transaction name]],IF(Transactions[[#This Row],[Level 3]]=Transactions[[#This Row],[L2N]],Transactions[[#This Row],[L1N]],IF(Transactions[[#This Row],[Level 3]]=Transactions[[#This Row],[L3N]],Transactions[[#This Row],[L2N]],IF(Transactions[[#This Row],[Level 3]]=Transactions[[#This Row],[L4N]],Transactions[[#This Row],[L3N]],IF(Transactions[[#This Row],[Level 3]]=Transactions[[#This Row],[L5N]],Transactions[[#This Row],[L4N]],IF(Transactions[[#This Row],[Level 3]]=Transactions[[#This Row],[L6N]],Transactions[[#This Row],[L5N]],IF(Transactions[[#This Row],[Level 3]]=Transactions[[#This Row],[L7N]],Transactions[[#This Row],[L6N]],Transactions[[#This Row],[L7N]]))))))))</f>
        <v>LNG/regasification plants (own use)</v>
      </c>
      <c r="AW25" s="24" t="str">
        <f>IF(Transactions[[#This Row],[Level 4]]=Transactions[[#This Row],[Transaction name]],Transactions[[#This Row],[Transaction name]],IF(Transactions[[#This Row],[Level 4]]=Transactions[[#This Row],[L1N]],Transactions[[#This Row],[Transaction name]],IF(Transactions[[#This Row],[Level 4]]=Transactions[[#This Row],[L2N]],Transactions[[#This Row],[L1N]],IF(Transactions[[#This Row],[Level 4]]=Transactions[[#This Row],[L3N]],Transactions[[#This Row],[L2N]],IF(Transactions[[#This Row],[Level 4]]=Transactions[[#This Row],[L4N]],Transactions[[#This Row],[L3N]],IF(Transactions[[#This Row],[Level 4]]=Transactions[[#This Row],[L5N]],Transactions[[#This Row],[L4N]],IF(Transactions[[#This Row],[Level 4]]=Transactions[[#This Row],[L6N]],Transactions[[#This Row],[L5N]],IF(Transactions[[#This Row],[Level 4]]=Transactions[[#This Row],[L7N]],Transactions[[#This Row],[L6N]],Transactions[[#This Row],[L7N]]))))))))</f>
        <v>LNG/regasification plants (own use)</v>
      </c>
      <c r="AX25" s="24" t="str">
        <f>IF(Transactions[[#This Row],[Level 5]]=Transactions[[#This Row],[Transaction name]],Transactions[[#This Row],[Transaction name]],IF(Transactions[[#This Row],[Level 5]]=Transactions[[#This Row],[L1N]],Transactions[[#This Row],[Transaction name]],IF(Transactions[[#This Row],[Level 5]]=Transactions[[#This Row],[L2N]],Transactions[[#This Row],[L1N]],IF(Transactions[[#This Row],[Level 5]]=Transactions[[#This Row],[L3N]],Transactions[[#This Row],[L2N]],IF(Transactions[[#This Row],[Level 5]]=Transactions[[#This Row],[L4N]],Transactions[[#This Row],[L3N]],IF(Transactions[[#This Row],[Level 5]]=Transactions[[#This Row],[L5N]],Transactions[[#This Row],[L4N]],IF(Transactions[[#This Row],[Level 5]]=Transactions[[#This Row],[L6N]],Transactions[[#This Row],[L5N]],IF(Transactions[[#This Row],[Level 5]]=Transactions[[#This Row],[L7N]],Transactions[[#This Row],[L6N]],Transactions[[#This Row],[L7N]]))))))))</f>
        <v>LNG/regasification plants (own use)</v>
      </c>
      <c r="AY25" s="24" t="str">
        <f>IF(Transactions[[#This Row],[Level 6]]=Transactions[[#This Row],[Transaction name]],Transactions[[#This Row],[Transaction name]],IF(Transactions[[#This Row],[Level 6]]=Transactions[[#This Row],[L1N]],Transactions[[#This Row],[Transaction name]],IF(Transactions[[#This Row],[Level 6]]=Transactions[[#This Row],[L2N]],Transactions[[#This Row],[L1N]],IF(Transactions[[#This Row],[Level 6]]=Transactions[[#This Row],[L3N]],Transactions[[#This Row],[L2N]],IF(Transactions[[#This Row],[Level 6]]=Transactions[[#This Row],[L4N]],Transactions[[#This Row],[L3N]],IF(Transactions[[#This Row],[Level 6]]=Transactions[[#This Row],[L5N]],Transactions[[#This Row],[L4N]],IF(Transactions[[#This Row],[Level 6]]=Transactions[[#This Row],[L6N]],Transactions[[#This Row],[L5N]],IF(Transactions[[#This Row],[Level 6]]=Transactions[[#This Row],[L7N]],Transactions[[#This Row],[L6N]],Transactions[[#This Row],[L7N]]))))))))</f>
        <v>LNG/regasification plants (own use)</v>
      </c>
      <c r="BE25" s="26" t="str">
        <f>_xlfn.XLOOKUP(Transformation[[#This Row],[cfrom]],Commodities[Commodity],Commodities[Commodity code])</f>
        <v>4670</v>
      </c>
      <c r="BF25" s="26" t="str">
        <f>_xlfn.XLOOKUP(Transformation[[#This Row],[tfrom]],Transactions[Transaction name],Transactions[Transaction code])</f>
        <v>08822</v>
      </c>
      <c r="BG25" s="26" t="str">
        <f>_xlfn.XLOOKUP(Transformation[[#This Row],[cto]],Commodities[Commodity],Commodities[Commodity code])</f>
        <v>4670</v>
      </c>
      <c r="BH25" s="26" t="str">
        <f>_xlfn.XLOOKUP(Transformation[[#This Row],[tto]],Transactions[Transaction name],Transactions[Transaction code])</f>
        <v>016DC</v>
      </c>
      <c r="BI25" s="11">
        <v>1</v>
      </c>
      <c r="BJ25" s="4" t="s">
        <v>372</v>
      </c>
      <c r="BK25" s="24" t="str">
        <f>_xlfn.XLOOKUP(Transformation[[#This Row],[Commodity from]],Commodities[Commodity code],Commodities[EnergyCode])</f>
        <v>DL</v>
      </c>
      <c r="BL25" s="4" t="s">
        <v>692</v>
      </c>
      <c r="BM25" s="4" t="s">
        <v>372</v>
      </c>
      <c r="BN25" s="24" t="str">
        <f>_xlfn.XLOOKUP(Transformation[[#This Row],[Commodity to]],Commodities[Commodity code],Commodities[EnergyCode])</f>
        <v>DL</v>
      </c>
      <c r="BO25" s="4" t="s">
        <v>1038</v>
      </c>
      <c r="BP25" s="16" t="s">
        <v>1493</v>
      </c>
      <c r="BQ25" s="33" t="str">
        <f>Transformation[[#This Row],[Commodity from]]&amp;Transformation[[#This Row],[Transaction from]]&amp;Transformation[[#This Row],[Commodity to]]&amp;Transformation[[#This Row],[Transaction to]]</f>
        <v>4670088224670016DC</v>
      </c>
      <c r="BR25" s="26" t="str">
        <f>Transformation[[#This Row],[crfomid]]&amp;Transformation[[#This Row],[Transaction from]]&amp;"("&amp;Transformation[[#This Row],[Multiplier]]&amp;") -&gt; "&amp;Transformation[[#This Row],[ctoid]]&amp;Transformation[[#This Row],[Transaction to]]</f>
        <v>DL08822(1) -&gt; DL016DC</v>
      </c>
      <c r="BT25" s="26" t="str">
        <f>_xlfn.XLOOKUP(Signswitch[[#This Row],[Commodity name]],Commodities[Commodity],Commodities[Commodity code])</f>
        <v>5212</v>
      </c>
      <c r="BU25" s="26" t="str">
        <f>_xlfn.XLOOKUP(Signswitch[[#This Row],[Transaction name]],Transactions[Transaction name],Transactions[Transaction code])</f>
        <v>1211</v>
      </c>
      <c r="BV25" s="26" t="str">
        <f>Signswitch[[#This Row],[Commodity from]]&amp;Signswitch[[#This Row],[Transaction from]]</f>
        <v>52121211</v>
      </c>
      <c r="BW25" s="22" t="s">
        <v>317</v>
      </c>
      <c r="BX25" s="26" t="str">
        <f>_xlfn.XLOOKUP(Signswitch[[#This Row],[Commodity from]],Commodities[Commodity code],Commodities[EnergyCode])</f>
        <v>ZG</v>
      </c>
      <c r="BY25" s="22" t="s">
        <v>485</v>
      </c>
    </row>
    <row r="26" spans="8:77" x14ac:dyDescent="0.45">
      <c r="H26" s="5" t="s">
        <v>373</v>
      </c>
      <c r="I26" s="4" t="s">
        <v>372</v>
      </c>
      <c r="J26" s="9" t="s">
        <v>366</v>
      </c>
      <c r="K26" s="14" t="s">
        <v>1482</v>
      </c>
      <c r="L26" s="23" t="str">
        <f>IFERROR(INDEX(Commodities[[Commodity code]:[Commodity]],MATCH(Commodities[[#This Row],[Parent code]],Commodities[Commodity code],0),2),Commodities[[#This Row],[Commodity]])</f>
        <v>Oil products</v>
      </c>
      <c r="M26" s="24" t="str">
        <f>IFERROR(INDEX(Commodities[[Commodity code]:[Commodity]],MATCH(INDEX(Commodities[[Commodity]:[Parent code]],MATCH(Commodities[[#This Row],[L1N]],Commodities[Commodity],0),2),Commodities[Commodity code],0),2),Commodities[[#This Row],[L1N]])</f>
        <v>Oil</v>
      </c>
      <c r="N26" s="24" t="str">
        <f>IFERROR(INDEX(Commodities[[Commodity code]:[Commodity]],MATCH(INDEX(Commodities[[Commodity]:[Parent code]],MATCH(Commodities[[#This Row],[L2N]],Commodities[Commodity],0),2),Commodities[Commodity code],0),2),Commodities[[#This Row],[L2N]])</f>
        <v>Oil</v>
      </c>
      <c r="O26" s="24" t="str">
        <f>IFERROR(INDEX(Commodities[[Commodity code]:[Commodity]],MATCH(INDEX(Commodities[[Commodity]:[Parent code]],MATCH(Commodities[[#This Row],[L3N]],Commodities[Commodity],0),2),Commodities[Commodity code],0),2),Commodities[[#This Row],[L3N]])</f>
        <v>Oil</v>
      </c>
      <c r="P26" s="24" t="str">
        <f>IF(Commodities[[#This Row],[L4N]]=Commodities[[#This Row],[L3N]],Commodities[[#This Row],[L4N]],IF(Commodities[[#This Row],[L3N]]=Commodities[[#This Row],[L2N]],Commodities[[#This Row],[L3N]],IF(Commodities[[#This Row],[L2N]]=Commodities[[#This Row],[L1N]],Commodities[[#This Row],[L2N]],IF(Commodities[[#This Row],[L1N]]=Commodities[[#This Row],[Commodity]],Commodities[[#This Row],[L1N]],Commodities[[#This Row],[Commodity]]))))</f>
        <v>Oil</v>
      </c>
      <c r="Q26" s="24" t="str">
        <f>IF(Commodities[[#This Row],[Level 0]]=Commodities[[#This Row],[Commodity]],Commodities[[#This Row],[Commodity]],IF(Commodities[[#This Row],[Level 0]]=Commodities[[#This Row],[L1N]],Commodities[[#This Row],[Commodity]],IF(Commodities[[#This Row],[Level 0]]=Commodities[[#This Row],[L2N]],Commodities[[#This Row],[L1N]],IF(Commodities[[#This Row],[Level 0]]=Commodities[[#This Row],[L3N]],Commodities[[#This Row],[L2N]],IF(Commodities[[#This Row],[Level 0]]=Commodities[[#This Row],[L4N]],Commodities[[#This Row],[L3N]],Commodities[[#This Row],[L4N]])))))</f>
        <v>Oil products</v>
      </c>
      <c r="R26" s="24" t="str">
        <f>IF(Commodities[[#This Row],[Level 1]]=Commodities[[#This Row],[Commodity]],Commodities[[#This Row],[Commodity]],IF(Commodities[[#This Row],[Level 1]]=Commodities[[#This Row],[L1N]],Commodities[[#This Row],[Commodity]],IF(Commodities[[#This Row],[Level 1]]=Commodities[[#This Row],[L2N]],Commodities[[#This Row],[L1N]],IF(Commodities[[#This Row],[Level 1]]=Commodities[[#This Row],[L3N]],Commodities[[#This Row],[L2N]],IF(Commodities[[#This Row],[Level 1]]=Commodities[[#This Row],[L4N]],Commodities[[#This Row],[L3N]],Commodities[[#This Row],[L4N]])))))</f>
        <v>Gas oil/diesel oil and heavy gas oil</v>
      </c>
      <c r="S26" s="24" t="str">
        <f>IF(Commodities[[#This Row],[Level 2]]=Commodities[[#This Row],[Commodity]],Commodities[[#This Row],[Commodity]],IF(Commodities[[#This Row],[Level 2]]=Commodities[[#This Row],[L1N]],Commodities[[#This Row],[Commodity]],IF(Commodities[[#This Row],[Level 2]]=Commodities[[#This Row],[L2N]],Commodities[[#This Row],[L1N]],IF(Commodities[[#This Row],[Level 2]]=Commodities[[#This Row],[L3N]],Commodities[[#This Row],[L2N]],IF(Commodities[[#This Row],[Level 2]]=Commodities[[#This Row],[L4N]],Commodities[[#This Row],[L3N]],Commodities[[#This Row],[L4N]])))))</f>
        <v>Gas oil/diesel oil and heavy gas oil</v>
      </c>
      <c r="T26" s="24" t="str">
        <f>IF(Commodities[[#This Row],[Level 3]]=Commodities[[#This Row],[Commodity]],Commodities[[#This Row],[Commodity]],IF(Commodities[[#This Row],[Level 3]]=Commodities[[#This Row],[L1N]],Commodities[[#This Row],[Commodity]],IF(Commodities[[#This Row],[Level 3]]=Commodities[[#This Row],[L2N]],Commodities[[#This Row],[L1N]],IF(Commodities[[#This Row],[Level 3]]=Commodities[[#This Row],[L3N]],Commodities[[#This Row],[L2N]],IF(Commodities[[#This Row],[Level 3]]=Commodities[[#This Row],[L4N]],Commodities[[#This Row],[L3N]],Commodities[[#This Row],[L4N]])))))</f>
        <v>Gas oil/diesel oil and heavy gas oil</v>
      </c>
      <c r="U26" s="24" t="str">
        <f>IF(Commodities[[#This Row],[Level 4]]=Commodities[[#This Row],[Commodity]],Commodities[[#This Row],[Commodity]],IF(Commodities[[#This Row],[Level 4]]=Commodities[[#This Row],[L1N]],Commodities[[#This Row],[Commodity]],IF(Commodities[[#This Row],[Level 4]]=Commodities[[#This Row],[L2N]],Commodities[[#This Row],[L1N]],IF(Commodities[[#This Row],[Level 4]]=Commodities[[#This Row],[L3N]],Commodities[[#This Row],[L2N]],IF(Commodities[[#This Row],[Level 4]]=Commodities[[#This Row],[L4N]],Commodities[[#This Row],[L3N]],Commodities[[#This Row],[L4N]])))))</f>
        <v>Gas oil/diesel oil and heavy gas oil</v>
      </c>
      <c r="Y26" s="5" t="s">
        <v>148</v>
      </c>
      <c r="Z26" s="4" t="s">
        <v>716</v>
      </c>
      <c r="AA26" s="4" t="s">
        <v>716</v>
      </c>
      <c r="AB26" s="6" t="s">
        <v>144</v>
      </c>
      <c r="AC26" s="24" t="str">
        <f>IFERROR(VLOOKUP(Transactions[[#This Row],[Parent code]],Transactions[[Transaction code]:[Transaction name]],2,0),"")</f>
        <v>Energy industries own use</v>
      </c>
      <c r="AD26" s="4" t="s">
        <v>163</v>
      </c>
      <c r="AE26" s="4" t="s">
        <v>946</v>
      </c>
      <c r="AF26" s="4" t="s">
        <v>642</v>
      </c>
      <c r="AG26" s="4" t="s">
        <v>1</v>
      </c>
      <c r="AH26" s="4" t="s">
        <v>695</v>
      </c>
      <c r="AK26" s="24" t="str" cm="1">
        <f t="array" ref="AK26">IFERROR(INDEX(Transactions[[Transaction code]:[Transaction name]],_xlfn.XMATCH(Transactions[[#This Row],[Parent code]],Transactions[Transaction name],0),3),Transactions[[#This Row],[Transaction name]])</f>
        <v>Natural gas separation plants (own use)</v>
      </c>
      <c r="AL26" s="24" t="str" cm="1">
        <f t="array" ref="AL26">IFERROR(INDEX(Transactions[[Transaction code]:[Transaction name]],_xlfn.XMATCH(INDEX(Transactions[[Transaction name]:[Parent code]],_xlfn.XMATCH(Transactions[[#This Row],[L1N]],Transactions[Transaction name],0),3),Transactions[Transaction code],0),2),Transactions[[#This Row],[L1N]])</f>
        <v>Energy industries own use</v>
      </c>
      <c r="AM26" s="24" t="str" cm="1">
        <f t="array" ref="AM26">IFERROR(INDEX(Transactions[[Transaction code]:[Transaction name]],_xlfn.XMATCH(INDEX(Transactions[[Transaction name]:[Parent code]],_xlfn.XMATCH(Transactions[[#This Row],[L2N]],Transactions[Transaction name],0),3),Transactions[Transaction code],0),2),Transactions[[#This Row],[L2N]])</f>
        <v>Energy industries own use</v>
      </c>
      <c r="AN26" s="24" t="str" cm="1">
        <f t="array" ref="AN26">IFERROR(INDEX(Transactions[[Transaction code]:[Transaction name]],_xlfn.XMATCH(INDEX(Transactions[[Transaction name]:[Parent code]],_xlfn.XMATCH(Transactions[[#This Row],[L3N]],Transactions[Transaction name],0),3),Transactions[Transaction code],0),2),Transactions[[#This Row],[L3N]])</f>
        <v>Energy industries own use</v>
      </c>
      <c r="AO26" s="24" t="str" cm="1">
        <f t="array" ref="AO26">IFERROR(INDEX(Transactions[[Transaction code]:[Transaction name]],_xlfn.XMATCH(INDEX(Transactions[[Transaction name]:[Parent code]],_xlfn.XMATCH(Transactions[[#This Row],[L4N]],Transactions[Transaction name],0),3),Transactions[Transaction code],0),2),Transactions[[#This Row],[L4N]])</f>
        <v>Energy industries own use</v>
      </c>
      <c r="AP26" s="24" t="str" cm="1">
        <f t="array" ref="AP26">IFERROR(INDEX(Transactions[[Transaction code]:[Transaction name]],_xlfn.XMATCH(INDEX(Transactions[[Transaction name]:[Parent code]],_xlfn.XMATCH(Transactions[[#This Row],[L5N]],Transactions[Transaction name],0),3),Transactions[Transaction code],0),2),Transactions[[#This Row],[L5N]])</f>
        <v>Energy industries own use</v>
      </c>
      <c r="AQ26" s="24" t="str" cm="1">
        <f t="array" ref="AQ26">IFERROR(INDEX(Transactions[[Transaction code]:[Transaction name]],_xlfn.XMATCH(INDEX(Transactions[[Transaction name]:[Parent code]],_xlfn.XMATCH(Transactions[[#This Row],[L6N]],Transactions[Transaction name],0),3),Transactions[Transaction code],0),2),Transactions[[#This Row],[L6N]])</f>
        <v>Energy industries own use</v>
      </c>
      <c r="AR26" s="27" t="str">
        <f>IF(Transactions[[#This Row],[L7N]]=Transactions[[#This Row],[L6N]],Transactions[[#This Row],[L7N]],IF(Transactions[[#This Row],[L6N]]=Transactions[[#This Row],[L5N]],Transactions[[#This Row],[L6N]],IF(Transactions[[#This Row],[L5N]]=Transactions[[#This Row],[L4N]],Transactions[[#This Row],[L5N]],IF(Transactions[[#This Row],[L4N]]=Transactions[[#This Row],[L3N]],Transactions[[#This Row],[L4N]],IF(Transactions[[#This Row],[L3N]]=Transactions[[#This Row],[L2N]],Transactions[[#This Row],[L3N]],IF(Transactions[[#This Row],[L2N]]=Transactions[[#This Row],[L1N]],Transactions[[#This Row],[L2N]],IF(Transactions[[#This Row],[L1N]]=Transactions[[#This Row],[Transaction name]],Transactions[[#This Row],[L1N]],Transactions[[#This Row],[Transaction name]])))))))</f>
        <v>Energy industries own use</v>
      </c>
      <c r="AS26" s="24" t="str">
        <f>IF(Transactions[[#This Row],[Level 0]]=Transactions[[#This Row],[Transaction name]],Transactions[[#This Row],[Transaction name]],IF(Transactions[[#This Row],[Level 0]]=Transactions[[#This Row],[L1N]],Transactions[[#This Row],[Transaction name]],IF(Transactions[[#This Row],[Level 0]]=Transactions[[#This Row],[L2N]],Transactions[[#This Row],[L1N]],IF(Transactions[[#This Row],[Level 0]]=Transactions[[#This Row],[L3N]],Transactions[[#This Row],[L2N]],IF(Transactions[[#This Row],[Level 0]]=Transactions[[#This Row],[L4N]],Transactions[[#This Row],[L3N]],IF(Transactions[[#This Row],[Level 0]]=Transactions[[#This Row],[L5N]],Transactions[[#This Row],[L4N]],IF(Transactions[[#This Row],[Level 0]]=Transactions[[#This Row],[L6N]],Transactions[[#This Row],[L5N]],IF(Transactions[[#This Row],[Level 0]]=Transactions[[#This Row],[L7N]],Transactions[[#This Row],[L6N]],Transactions[[#This Row],[L7N]]))))))))</f>
        <v>Natural gas separation plants (own use)</v>
      </c>
      <c r="AT26" s="24" t="str">
        <f>IF(Transactions[[#This Row],[Level 1]]=Transactions[[#This Row],[Transaction name]],Transactions[[#This Row],[Transaction name]],IF(Transactions[[#This Row],[Level 1]]=Transactions[[#This Row],[L1N]],Transactions[[#This Row],[Transaction name]],IF(Transactions[[#This Row],[Level 1]]=Transactions[[#This Row],[L2N]],Transactions[[#This Row],[L1N]],IF(Transactions[[#This Row],[Level 1]]=Transactions[[#This Row],[L3N]],Transactions[[#This Row],[L2N]],IF(Transactions[[#This Row],[Level 1]]=Transactions[[#This Row],[L4N]],Transactions[[#This Row],[L3N]],IF(Transactions[[#This Row],[Level 1]]=Transactions[[#This Row],[L5N]],Transactions[[#This Row],[L4N]],IF(Transactions[[#This Row],[Level 1]]=Transactions[[#This Row],[L6N]],Transactions[[#This Row],[L5N]],IF(Transactions[[#This Row],[Level 1]]=Transactions[[#This Row],[L7N]],Transactions[[#This Row],[L6N]],Transactions[[#This Row],[L7N]]))))))))</f>
        <v>Natural gas separation plants (own use)</v>
      </c>
      <c r="AU26" s="24" t="str">
        <f>IF(Transactions[[#This Row],[Level 2]]=Transactions[[#This Row],[Transaction name]],Transactions[[#This Row],[Transaction name]],IF(Transactions[[#This Row],[Level 2]]=Transactions[[#This Row],[L1N]],Transactions[[#This Row],[Transaction name]],IF(Transactions[[#This Row],[Level 2]]=Transactions[[#This Row],[L2N]],Transactions[[#This Row],[L1N]],IF(Transactions[[#This Row],[Level 2]]=Transactions[[#This Row],[L3N]],Transactions[[#This Row],[L2N]],IF(Transactions[[#This Row],[Level 2]]=Transactions[[#This Row],[L4N]],Transactions[[#This Row],[L3N]],IF(Transactions[[#This Row],[Level 2]]=Transactions[[#This Row],[L5N]],Transactions[[#This Row],[L4N]],IF(Transactions[[#This Row],[Level 2]]=Transactions[[#This Row],[L6N]],Transactions[[#This Row],[L5N]],IF(Transactions[[#This Row],[Level 2]]=Transactions[[#This Row],[L7N]],Transactions[[#This Row],[L6N]],Transactions[[#This Row],[L7N]]))))))))</f>
        <v>Natural gas separation plants (own use)</v>
      </c>
      <c r="AV26" s="24" t="str">
        <f>IF(Transactions[[#This Row],[Level 3]]=Transactions[[#This Row],[Transaction name]],Transactions[[#This Row],[Transaction name]],IF(Transactions[[#This Row],[Level 3]]=Transactions[[#This Row],[L1N]],Transactions[[#This Row],[Transaction name]],IF(Transactions[[#This Row],[Level 3]]=Transactions[[#This Row],[L2N]],Transactions[[#This Row],[L1N]],IF(Transactions[[#This Row],[Level 3]]=Transactions[[#This Row],[L3N]],Transactions[[#This Row],[L2N]],IF(Transactions[[#This Row],[Level 3]]=Transactions[[#This Row],[L4N]],Transactions[[#This Row],[L3N]],IF(Transactions[[#This Row],[Level 3]]=Transactions[[#This Row],[L5N]],Transactions[[#This Row],[L4N]],IF(Transactions[[#This Row],[Level 3]]=Transactions[[#This Row],[L6N]],Transactions[[#This Row],[L5N]],IF(Transactions[[#This Row],[Level 3]]=Transactions[[#This Row],[L7N]],Transactions[[#This Row],[L6N]],Transactions[[#This Row],[L7N]]))))))))</f>
        <v>Natural gas separation plants (own use)</v>
      </c>
      <c r="AW26" s="24" t="str">
        <f>IF(Transactions[[#This Row],[Level 4]]=Transactions[[#This Row],[Transaction name]],Transactions[[#This Row],[Transaction name]],IF(Transactions[[#This Row],[Level 4]]=Transactions[[#This Row],[L1N]],Transactions[[#This Row],[Transaction name]],IF(Transactions[[#This Row],[Level 4]]=Transactions[[#This Row],[L2N]],Transactions[[#This Row],[L1N]],IF(Transactions[[#This Row],[Level 4]]=Transactions[[#This Row],[L3N]],Transactions[[#This Row],[L2N]],IF(Transactions[[#This Row],[Level 4]]=Transactions[[#This Row],[L4N]],Transactions[[#This Row],[L3N]],IF(Transactions[[#This Row],[Level 4]]=Transactions[[#This Row],[L5N]],Transactions[[#This Row],[L4N]],IF(Transactions[[#This Row],[Level 4]]=Transactions[[#This Row],[L6N]],Transactions[[#This Row],[L5N]],IF(Transactions[[#This Row],[Level 4]]=Transactions[[#This Row],[L7N]],Transactions[[#This Row],[L6N]],Transactions[[#This Row],[L7N]]))))))))</f>
        <v>Natural gas separation plants (own use)</v>
      </c>
      <c r="AX26" s="24" t="str">
        <f>IF(Transactions[[#This Row],[Level 5]]=Transactions[[#This Row],[Transaction name]],Transactions[[#This Row],[Transaction name]],IF(Transactions[[#This Row],[Level 5]]=Transactions[[#This Row],[L1N]],Transactions[[#This Row],[Transaction name]],IF(Transactions[[#This Row],[Level 5]]=Transactions[[#This Row],[L2N]],Transactions[[#This Row],[L1N]],IF(Transactions[[#This Row],[Level 5]]=Transactions[[#This Row],[L3N]],Transactions[[#This Row],[L2N]],IF(Transactions[[#This Row],[Level 5]]=Transactions[[#This Row],[L4N]],Transactions[[#This Row],[L3N]],IF(Transactions[[#This Row],[Level 5]]=Transactions[[#This Row],[L5N]],Transactions[[#This Row],[L4N]],IF(Transactions[[#This Row],[Level 5]]=Transactions[[#This Row],[L6N]],Transactions[[#This Row],[L5N]],IF(Transactions[[#This Row],[Level 5]]=Transactions[[#This Row],[L7N]],Transactions[[#This Row],[L6N]],Transactions[[#This Row],[L7N]]))))))))</f>
        <v>Natural gas separation plants (own use)</v>
      </c>
      <c r="AY26" s="24" t="str">
        <f>IF(Transactions[[#This Row],[Level 6]]=Transactions[[#This Row],[Transaction name]],Transactions[[#This Row],[Transaction name]],IF(Transactions[[#This Row],[Level 6]]=Transactions[[#This Row],[L1N]],Transactions[[#This Row],[Transaction name]],IF(Transactions[[#This Row],[Level 6]]=Transactions[[#This Row],[L2N]],Transactions[[#This Row],[L1N]],IF(Transactions[[#This Row],[Level 6]]=Transactions[[#This Row],[L3N]],Transactions[[#This Row],[L2N]],IF(Transactions[[#This Row],[Level 6]]=Transactions[[#This Row],[L4N]],Transactions[[#This Row],[L3N]],IF(Transactions[[#This Row],[Level 6]]=Transactions[[#This Row],[L5N]],Transactions[[#This Row],[L4N]],IF(Transactions[[#This Row],[Level 6]]=Transactions[[#This Row],[L6N]],Transactions[[#This Row],[L5N]],IF(Transactions[[#This Row],[Level 6]]=Transactions[[#This Row],[L7N]],Transactions[[#This Row],[L6N]],Transactions[[#This Row],[L7N]]))))))))</f>
        <v>Natural gas separation plants (own use)</v>
      </c>
      <c r="BE26" s="26" t="str">
        <f>_xlfn.XLOOKUP(Transformation[[#This Row],[cfrom]],Commodities[Commodity],Commodities[Commodity code])</f>
        <v>5110</v>
      </c>
      <c r="BF26" s="26" t="str">
        <f>_xlfn.XLOOKUP(Transformation[[#This Row],[tfrom]],Transactions[Transaction name],Transactions[Transaction code])</f>
        <v>08822</v>
      </c>
      <c r="BG26" s="26" t="str">
        <f>_xlfn.XLOOKUP(Transformation[[#This Row],[cto]],Commodities[Commodity],Commodities[Commodity code])</f>
        <v>5110</v>
      </c>
      <c r="BH26" s="26" t="str">
        <f>_xlfn.XLOOKUP(Transformation[[#This Row],[tto]],Transactions[Transaction name],Transactions[Transaction code])</f>
        <v>016WDC</v>
      </c>
      <c r="BI26" s="11">
        <v>1</v>
      </c>
      <c r="BJ26" s="4" t="s">
        <v>340</v>
      </c>
      <c r="BK26" s="24" t="str">
        <f>_xlfn.XLOOKUP(Transformation[[#This Row],[Commodity from]],Commodities[Commodity code],Commodities[EnergyCode])</f>
        <v>FW</v>
      </c>
      <c r="BL26" s="4" t="s">
        <v>692</v>
      </c>
      <c r="BM26" s="4" t="s">
        <v>340</v>
      </c>
      <c r="BN26" s="24" t="str">
        <f>_xlfn.XLOOKUP(Transformation[[#This Row],[Commodity to]],Commodities[Commodity code],Commodities[EnergyCode])</f>
        <v>FW</v>
      </c>
      <c r="BO26" s="4" t="s">
        <v>1118</v>
      </c>
      <c r="BP26" s="16" t="s">
        <v>1493</v>
      </c>
      <c r="BQ26" s="33" t="str">
        <f>Transformation[[#This Row],[Commodity from]]&amp;Transformation[[#This Row],[Transaction from]]&amp;Transformation[[#This Row],[Commodity to]]&amp;Transformation[[#This Row],[Transaction to]]</f>
        <v>5110088225110016WDC</v>
      </c>
      <c r="BR26" s="26" t="str">
        <f>Transformation[[#This Row],[crfomid]]&amp;Transformation[[#This Row],[Transaction from]]&amp;"("&amp;Transformation[[#This Row],[Multiplier]]&amp;") -&gt; "&amp;Transformation[[#This Row],[ctoid]]&amp;Transformation[[#This Row],[Transaction to]]</f>
        <v>FW08822(1) -&gt; FW016WDC</v>
      </c>
      <c r="BT26" s="26" t="str">
        <f>_xlfn.XLOOKUP(Signswitch[[#This Row],[Commodity name]],Commodities[Commodity],Commodities[Commodity code])</f>
        <v>5232</v>
      </c>
      <c r="BU26" s="26" t="str">
        <f>_xlfn.XLOOKUP(Signswitch[[#This Row],[Transaction name]],Transactions[Transaction name],Transactions[Transaction code])</f>
        <v>1213</v>
      </c>
      <c r="BV26" s="26" t="str">
        <f>Signswitch[[#This Row],[Commodity from]]&amp;Signswitch[[#This Row],[Transaction from]]</f>
        <v>52321213</v>
      </c>
      <c r="BW26" s="22" t="s">
        <v>306</v>
      </c>
      <c r="BX26" s="26" t="str">
        <f>_xlfn.XLOOKUP(Signswitch[[#This Row],[Commodity from]],Commodities[Commodity code],Commodities[EnergyCode])</f>
        <v>ZJ</v>
      </c>
      <c r="BY26" s="22" t="s">
        <v>481</v>
      </c>
    </row>
    <row r="27" spans="8:77" x14ac:dyDescent="0.45">
      <c r="H27" s="5" t="s">
        <v>249</v>
      </c>
      <c r="I27" s="4" t="s">
        <v>248</v>
      </c>
      <c r="J27" s="9"/>
      <c r="K27" s="9" t="s">
        <v>249</v>
      </c>
      <c r="L27" s="23" t="str">
        <f>IFERROR(INDEX(Commodities[[Commodity code]:[Commodity]],MATCH(Commodities[[#This Row],[Parent code]],Commodities[Commodity code],0),2),Commodities[[#This Row],[Commodity]])</f>
        <v>Direct use of solar thermal heat</v>
      </c>
      <c r="M27" s="24" t="str">
        <f>IFERROR(INDEX(Commodities[[Commodity code]:[Commodity]],MATCH(INDEX(Commodities[[Commodity]:[Parent code]],MATCH(Commodities[[#This Row],[L1N]],Commodities[Commodity],0),2),Commodities[Commodity code],0),2),Commodities[[#This Row],[L1N]])</f>
        <v>Direct use of solar thermal heat</v>
      </c>
      <c r="N27" s="24" t="str">
        <f>IFERROR(INDEX(Commodities[[Commodity code]:[Commodity]],MATCH(INDEX(Commodities[[Commodity]:[Parent code]],MATCH(Commodities[[#This Row],[L2N]],Commodities[Commodity],0),2),Commodities[Commodity code],0),2),Commodities[[#This Row],[L2N]])</f>
        <v>Direct use of solar thermal heat</v>
      </c>
      <c r="O27" s="24" t="str">
        <f>IFERROR(INDEX(Commodities[[Commodity code]:[Commodity]],MATCH(INDEX(Commodities[[Commodity]:[Parent code]],MATCH(Commodities[[#This Row],[L3N]],Commodities[Commodity],0),2),Commodities[Commodity code],0),2),Commodities[[#This Row],[L3N]])</f>
        <v>Direct use of solar thermal heat</v>
      </c>
      <c r="P27" s="24" t="str">
        <f>IF(Commodities[[#This Row],[L4N]]=Commodities[[#This Row],[L3N]],Commodities[[#This Row],[L4N]],IF(Commodities[[#This Row],[L3N]]=Commodities[[#This Row],[L2N]],Commodities[[#This Row],[L3N]],IF(Commodities[[#This Row],[L2N]]=Commodities[[#This Row],[L1N]],Commodities[[#This Row],[L2N]],IF(Commodities[[#This Row],[L1N]]=Commodities[[#This Row],[Commodity]],Commodities[[#This Row],[L1N]],Commodities[[#This Row],[Commodity]]))))</f>
        <v>Direct use of solar thermal heat</v>
      </c>
      <c r="Q27" s="24" t="str">
        <f>IF(Commodities[[#This Row],[Level 0]]=Commodities[[#This Row],[Commodity]],Commodities[[#This Row],[Commodity]],IF(Commodities[[#This Row],[Level 0]]=Commodities[[#This Row],[L1N]],Commodities[[#This Row],[Commodity]],IF(Commodities[[#This Row],[Level 0]]=Commodities[[#This Row],[L2N]],Commodities[[#This Row],[L1N]],IF(Commodities[[#This Row],[Level 0]]=Commodities[[#This Row],[L3N]],Commodities[[#This Row],[L2N]],IF(Commodities[[#This Row],[Level 0]]=Commodities[[#This Row],[L4N]],Commodities[[#This Row],[L3N]],Commodities[[#This Row],[L4N]])))))</f>
        <v>Direct use of solar thermal heat</v>
      </c>
      <c r="R27" s="24" t="str">
        <f>IF(Commodities[[#This Row],[Level 1]]=Commodities[[#This Row],[Commodity]],Commodities[[#This Row],[Commodity]],IF(Commodities[[#This Row],[Level 1]]=Commodities[[#This Row],[L1N]],Commodities[[#This Row],[Commodity]],IF(Commodities[[#This Row],[Level 1]]=Commodities[[#This Row],[L2N]],Commodities[[#This Row],[L1N]],IF(Commodities[[#This Row],[Level 1]]=Commodities[[#This Row],[L3N]],Commodities[[#This Row],[L2N]],IF(Commodities[[#This Row],[Level 1]]=Commodities[[#This Row],[L4N]],Commodities[[#This Row],[L3N]],Commodities[[#This Row],[L4N]])))))</f>
        <v>Direct use of solar thermal heat</v>
      </c>
      <c r="S27" s="24" t="str">
        <f>IF(Commodities[[#This Row],[Level 2]]=Commodities[[#This Row],[Commodity]],Commodities[[#This Row],[Commodity]],IF(Commodities[[#This Row],[Level 2]]=Commodities[[#This Row],[L1N]],Commodities[[#This Row],[Commodity]],IF(Commodities[[#This Row],[Level 2]]=Commodities[[#This Row],[L2N]],Commodities[[#This Row],[L1N]],IF(Commodities[[#This Row],[Level 2]]=Commodities[[#This Row],[L3N]],Commodities[[#This Row],[L2N]],IF(Commodities[[#This Row],[Level 2]]=Commodities[[#This Row],[L4N]],Commodities[[#This Row],[L3N]],Commodities[[#This Row],[L4N]])))))</f>
        <v>Direct use of solar thermal heat</v>
      </c>
      <c r="T27" s="24" t="str">
        <f>IF(Commodities[[#This Row],[Level 3]]=Commodities[[#This Row],[Commodity]],Commodities[[#This Row],[Commodity]],IF(Commodities[[#This Row],[Level 3]]=Commodities[[#This Row],[L1N]],Commodities[[#This Row],[Commodity]],IF(Commodities[[#This Row],[Level 3]]=Commodities[[#This Row],[L2N]],Commodities[[#This Row],[L1N]],IF(Commodities[[#This Row],[Level 3]]=Commodities[[#This Row],[L3N]],Commodities[[#This Row],[L2N]],IF(Commodities[[#This Row],[Level 3]]=Commodities[[#This Row],[L4N]],Commodities[[#This Row],[L3N]],Commodities[[#This Row],[L4N]])))))</f>
        <v>Direct use of solar thermal heat</v>
      </c>
      <c r="U27" s="24" t="str">
        <f>IF(Commodities[[#This Row],[Level 4]]=Commodities[[#This Row],[Commodity]],Commodities[[#This Row],[Commodity]],IF(Commodities[[#This Row],[Level 4]]=Commodities[[#This Row],[L1N]],Commodities[[#This Row],[Commodity]],IF(Commodities[[#This Row],[Level 4]]=Commodities[[#This Row],[L2N]],Commodities[[#This Row],[L1N]],IF(Commodities[[#This Row],[Level 4]]=Commodities[[#This Row],[L3N]],Commodities[[#This Row],[L2N]],IF(Commodities[[#This Row],[Level 4]]=Commodities[[#This Row],[L4N]],Commodities[[#This Row],[L3N]],Commodities[[#This Row],[L4N]])))))</f>
        <v>Direct use of solar thermal heat</v>
      </c>
      <c r="Y27" s="5" t="s">
        <v>159</v>
      </c>
      <c r="Z27" s="4" t="s">
        <v>706</v>
      </c>
      <c r="AA27" s="4" t="s">
        <v>706</v>
      </c>
      <c r="AB27" s="6" t="s">
        <v>144</v>
      </c>
      <c r="AC27" s="24" t="str">
        <f>IFERROR(VLOOKUP(Transactions[[#This Row],[Parent code]],Transactions[[Transaction code]:[Transaction name]],2,0),"")</f>
        <v>Energy industries own use</v>
      </c>
      <c r="AD27" s="4" t="s">
        <v>163</v>
      </c>
      <c r="AE27" s="4" t="s">
        <v>938</v>
      </c>
      <c r="AF27" s="4" t="s">
        <v>642</v>
      </c>
      <c r="AG27" s="4" t="s">
        <v>1</v>
      </c>
      <c r="AH27" s="4" t="s">
        <v>695</v>
      </c>
      <c r="AK27" s="24" t="str" cm="1">
        <f t="array" ref="AK27">IFERROR(INDEX(Transactions[[Transaction code]:[Transaction name]],_xlfn.XMATCH(Transactions[[#This Row],[Parent code]],Transactions[Transaction name],0),3),Transactions[[#This Row],[Transaction name]])</f>
        <v>Nuclear fuel extraction and processing (own use)</v>
      </c>
      <c r="AL27" s="24" t="str" cm="1">
        <f t="array" ref="AL27">IFERROR(INDEX(Transactions[[Transaction code]:[Transaction name]],_xlfn.XMATCH(INDEX(Transactions[[Transaction name]:[Parent code]],_xlfn.XMATCH(Transactions[[#This Row],[L1N]],Transactions[Transaction name],0),3),Transactions[Transaction code],0),2),Transactions[[#This Row],[L1N]])</f>
        <v>Energy industries own use</v>
      </c>
      <c r="AM27" s="24" t="str" cm="1">
        <f t="array" ref="AM27">IFERROR(INDEX(Transactions[[Transaction code]:[Transaction name]],_xlfn.XMATCH(INDEX(Transactions[[Transaction name]:[Parent code]],_xlfn.XMATCH(Transactions[[#This Row],[L2N]],Transactions[Transaction name],0),3),Transactions[Transaction code],0),2),Transactions[[#This Row],[L2N]])</f>
        <v>Energy industries own use</v>
      </c>
      <c r="AN27" s="24" t="str" cm="1">
        <f t="array" ref="AN27">IFERROR(INDEX(Transactions[[Transaction code]:[Transaction name]],_xlfn.XMATCH(INDEX(Transactions[[Transaction name]:[Parent code]],_xlfn.XMATCH(Transactions[[#This Row],[L3N]],Transactions[Transaction name],0),3),Transactions[Transaction code],0),2),Transactions[[#This Row],[L3N]])</f>
        <v>Energy industries own use</v>
      </c>
      <c r="AO27" s="24" t="str" cm="1">
        <f t="array" ref="AO27">IFERROR(INDEX(Transactions[[Transaction code]:[Transaction name]],_xlfn.XMATCH(INDEX(Transactions[[Transaction name]:[Parent code]],_xlfn.XMATCH(Transactions[[#This Row],[L4N]],Transactions[Transaction name],0),3),Transactions[Transaction code],0),2),Transactions[[#This Row],[L4N]])</f>
        <v>Energy industries own use</v>
      </c>
      <c r="AP27" s="24" t="str" cm="1">
        <f t="array" ref="AP27">IFERROR(INDEX(Transactions[[Transaction code]:[Transaction name]],_xlfn.XMATCH(INDEX(Transactions[[Transaction name]:[Parent code]],_xlfn.XMATCH(Transactions[[#This Row],[L5N]],Transactions[Transaction name],0),3),Transactions[Transaction code],0),2),Transactions[[#This Row],[L5N]])</f>
        <v>Energy industries own use</v>
      </c>
      <c r="AQ27" s="24" t="str" cm="1">
        <f t="array" ref="AQ27">IFERROR(INDEX(Transactions[[Transaction code]:[Transaction name]],_xlfn.XMATCH(INDEX(Transactions[[Transaction name]:[Parent code]],_xlfn.XMATCH(Transactions[[#This Row],[L6N]],Transactions[Transaction name],0),3),Transactions[Transaction code],0),2),Transactions[[#This Row],[L6N]])</f>
        <v>Energy industries own use</v>
      </c>
      <c r="AR27" s="27" t="str">
        <f>IF(Transactions[[#This Row],[L7N]]=Transactions[[#This Row],[L6N]],Transactions[[#This Row],[L7N]],IF(Transactions[[#This Row],[L6N]]=Transactions[[#This Row],[L5N]],Transactions[[#This Row],[L6N]],IF(Transactions[[#This Row],[L5N]]=Transactions[[#This Row],[L4N]],Transactions[[#This Row],[L5N]],IF(Transactions[[#This Row],[L4N]]=Transactions[[#This Row],[L3N]],Transactions[[#This Row],[L4N]],IF(Transactions[[#This Row],[L3N]]=Transactions[[#This Row],[L2N]],Transactions[[#This Row],[L3N]],IF(Transactions[[#This Row],[L2N]]=Transactions[[#This Row],[L1N]],Transactions[[#This Row],[L2N]],IF(Transactions[[#This Row],[L1N]]=Transactions[[#This Row],[Transaction name]],Transactions[[#This Row],[L1N]],Transactions[[#This Row],[Transaction name]])))))))</f>
        <v>Energy industries own use</v>
      </c>
      <c r="AS27" s="24" t="str">
        <f>IF(Transactions[[#This Row],[Level 0]]=Transactions[[#This Row],[Transaction name]],Transactions[[#This Row],[Transaction name]],IF(Transactions[[#This Row],[Level 0]]=Transactions[[#This Row],[L1N]],Transactions[[#This Row],[Transaction name]],IF(Transactions[[#This Row],[Level 0]]=Transactions[[#This Row],[L2N]],Transactions[[#This Row],[L1N]],IF(Transactions[[#This Row],[Level 0]]=Transactions[[#This Row],[L3N]],Transactions[[#This Row],[L2N]],IF(Transactions[[#This Row],[Level 0]]=Transactions[[#This Row],[L4N]],Transactions[[#This Row],[L3N]],IF(Transactions[[#This Row],[Level 0]]=Transactions[[#This Row],[L5N]],Transactions[[#This Row],[L4N]],IF(Transactions[[#This Row],[Level 0]]=Transactions[[#This Row],[L6N]],Transactions[[#This Row],[L5N]],IF(Transactions[[#This Row],[Level 0]]=Transactions[[#This Row],[L7N]],Transactions[[#This Row],[L6N]],Transactions[[#This Row],[L7N]]))))))))</f>
        <v>Nuclear fuel extraction and processing (own use)</v>
      </c>
      <c r="AT27" s="24" t="str">
        <f>IF(Transactions[[#This Row],[Level 1]]=Transactions[[#This Row],[Transaction name]],Transactions[[#This Row],[Transaction name]],IF(Transactions[[#This Row],[Level 1]]=Transactions[[#This Row],[L1N]],Transactions[[#This Row],[Transaction name]],IF(Transactions[[#This Row],[Level 1]]=Transactions[[#This Row],[L2N]],Transactions[[#This Row],[L1N]],IF(Transactions[[#This Row],[Level 1]]=Transactions[[#This Row],[L3N]],Transactions[[#This Row],[L2N]],IF(Transactions[[#This Row],[Level 1]]=Transactions[[#This Row],[L4N]],Transactions[[#This Row],[L3N]],IF(Transactions[[#This Row],[Level 1]]=Transactions[[#This Row],[L5N]],Transactions[[#This Row],[L4N]],IF(Transactions[[#This Row],[Level 1]]=Transactions[[#This Row],[L6N]],Transactions[[#This Row],[L5N]],IF(Transactions[[#This Row],[Level 1]]=Transactions[[#This Row],[L7N]],Transactions[[#This Row],[L6N]],Transactions[[#This Row],[L7N]]))))))))</f>
        <v>Nuclear fuel extraction and processing (own use)</v>
      </c>
      <c r="AU27" s="24" t="str">
        <f>IF(Transactions[[#This Row],[Level 2]]=Transactions[[#This Row],[Transaction name]],Transactions[[#This Row],[Transaction name]],IF(Transactions[[#This Row],[Level 2]]=Transactions[[#This Row],[L1N]],Transactions[[#This Row],[Transaction name]],IF(Transactions[[#This Row],[Level 2]]=Transactions[[#This Row],[L2N]],Transactions[[#This Row],[L1N]],IF(Transactions[[#This Row],[Level 2]]=Transactions[[#This Row],[L3N]],Transactions[[#This Row],[L2N]],IF(Transactions[[#This Row],[Level 2]]=Transactions[[#This Row],[L4N]],Transactions[[#This Row],[L3N]],IF(Transactions[[#This Row],[Level 2]]=Transactions[[#This Row],[L5N]],Transactions[[#This Row],[L4N]],IF(Transactions[[#This Row],[Level 2]]=Transactions[[#This Row],[L6N]],Transactions[[#This Row],[L5N]],IF(Transactions[[#This Row],[Level 2]]=Transactions[[#This Row],[L7N]],Transactions[[#This Row],[L6N]],Transactions[[#This Row],[L7N]]))))))))</f>
        <v>Nuclear fuel extraction and processing (own use)</v>
      </c>
      <c r="AV27" s="24" t="str">
        <f>IF(Transactions[[#This Row],[Level 3]]=Transactions[[#This Row],[Transaction name]],Transactions[[#This Row],[Transaction name]],IF(Transactions[[#This Row],[Level 3]]=Transactions[[#This Row],[L1N]],Transactions[[#This Row],[Transaction name]],IF(Transactions[[#This Row],[Level 3]]=Transactions[[#This Row],[L2N]],Transactions[[#This Row],[L1N]],IF(Transactions[[#This Row],[Level 3]]=Transactions[[#This Row],[L3N]],Transactions[[#This Row],[L2N]],IF(Transactions[[#This Row],[Level 3]]=Transactions[[#This Row],[L4N]],Transactions[[#This Row],[L3N]],IF(Transactions[[#This Row],[Level 3]]=Transactions[[#This Row],[L5N]],Transactions[[#This Row],[L4N]],IF(Transactions[[#This Row],[Level 3]]=Transactions[[#This Row],[L6N]],Transactions[[#This Row],[L5N]],IF(Transactions[[#This Row],[Level 3]]=Transactions[[#This Row],[L7N]],Transactions[[#This Row],[L6N]],Transactions[[#This Row],[L7N]]))))))))</f>
        <v>Nuclear fuel extraction and processing (own use)</v>
      </c>
      <c r="AW27" s="24" t="str">
        <f>IF(Transactions[[#This Row],[Level 4]]=Transactions[[#This Row],[Transaction name]],Transactions[[#This Row],[Transaction name]],IF(Transactions[[#This Row],[Level 4]]=Transactions[[#This Row],[L1N]],Transactions[[#This Row],[Transaction name]],IF(Transactions[[#This Row],[Level 4]]=Transactions[[#This Row],[L2N]],Transactions[[#This Row],[L1N]],IF(Transactions[[#This Row],[Level 4]]=Transactions[[#This Row],[L3N]],Transactions[[#This Row],[L2N]],IF(Transactions[[#This Row],[Level 4]]=Transactions[[#This Row],[L4N]],Transactions[[#This Row],[L3N]],IF(Transactions[[#This Row],[Level 4]]=Transactions[[#This Row],[L5N]],Transactions[[#This Row],[L4N]],IF(Transactions[[#This Row],[Level 4]]=Transactions[[#This Row],[L6N]],Transactions[[#This Row],[L5N]],IF(Transactions[[#This Row],[Level 4]]=Transactions[[#This Row],[L7N]],Transactions[[#This Row],[L6N]],Transactions[[#This Row],[L7N]]))))))))</f>
        <v>Nuclear fuel extraction and processing (own use)</v>
      </c>
      <c r="AX27" s="24" t="str">
        <f>IF(Transactions[[#This Row],[Level 5]]=Transactions[[#This Row],[Transaction name]],Transactions[[#This Row],[Transaction name]],IF(Transactions[[#This Row],[Level 5]]=Transactions[[#This Row],[L1N]],Transactions[[#This Row],[Transaction name]],IF(Transactions[[#This Row],[Level 5]]=Transactions[[#This Row],[L2N]],Transactions[[#This Row],[L1N]],IF(Transactions[[#This Row],[Level 5]]=Transactions[[#This Row],[L3N]],Transactions[[#This Row],[L2N]],IF(Transactions[[#This Row],[Level 5]]=Transactions[[#This Row],[L4N]],Transactions[[#This Row],[L3N]],IF(Transactions[[#This Row],[Level 5]]=Transactions[[#This Row],[L5N]],Transactions[[#This Row],[L4N]],IF(Transactions[[#This Row],[Level 5]]=Transactions[[#This Row],[L6N]],Transactions[[#This Row],[L5N]],IF(Transactions[[#This Row],[Level 5]]=Transactions[[#This Row],[L7N]],Transactions[[#This Row],[L6N]],Transactions[[#This Row],[L7N]]))))))))</f>
        <v>Nuclear fuel extraction and processing (own use)</v>
      </c>
      <c r="AY27" s="24" t="str">
        <f>IF(Transactions[[#This Row],[Level 6]]=Transactions[[#This Row],[Transaction name]],Transactions[[#This Row],[Transaction name]],IF(Transactions[[#This Row],[Level 6]]=Transactions[[#This Row],[L1N]],Transactions[[#This Row],[Transaction name]],IF(Transactions[[#This Row],[Level 6]]=Transactions[[#This Row],[L2N]],Transactions[[#This Row],[L1N]],IF(Transactions[[#This Row],[Level 6]]=Transactions[[#This Row],[L3N]],Transactions[[#This Row],[L2N]],IF(Transactions[[#This Row],[Level 6]]=Transactions[[#This Row],[L4N]],Transactions[[#This Row],[L3N]],IF(Transactions[[#This Row],[Level 6]]=Transactions[[#This Row],[L5N]],Transactions[[#This Row],[L4N]],IF(Transactions[[#This Row],[Level 6]]=Transactions[[#This Row],[L6N]],Transactions[[#This Row],[L5N]],IF(Transactions[[#This Row],[Level 6]]=Transactions[[#This Row],[L7N]],Transactions[[#This Row],[L6N]],Transactions[[#This Row],[L7N]]))))))))</f>
        <v>Nuclear fuel extraction and processing (own use)</v>
      </c>
      <c r="BE27" s="26" t="str">
        <f>_xlfn.XLOOKUP(Transformation[[#This Row],[cfrom]],Commodities[Commodity],Commodities[Commodity code])</f>
        <v>0360</v>
      </c>
      <c r="BF27" s="26" t="str">
        <f>_xlfn.XLOOKUP(Transformation[[#This Row],[tfrom]],Transactions[Transaction name],Transactions[Transaction code])</f>
        <v>08822</v>
      </c>
      <c r="BG27" s="26" t="str">
        <f>_xlfn.XLOOKUP(Transformation[[#This Row],[cto]],Commodities[Commodity],Commodities[Commodity code])</f>
        <v>0360</v>
      </c>
      <c r="BH27" s="26" t="str">
        <f>_xlfn.XLOOKUP(Transformation[[#This Row],[tto]],Transactions[Transaction name],Transactions[Transaction code])</f>
        <v>016CGC</v>
      </c>
      <c r="BI27" s="11">
        <v>1</v>
      </c>
      <c r="BJ27" s="4" t="s">
        <v>483</v>
      </c>
      <c r="BK27" s="24" t="str">
        <f>_xlfn.XLOOKUP(Transformation[[#This Row],[Commodity from]],Commodities[Commodity code],Commodities[EnergyCode])</f>
        <v>GG</v>
      </c>
      <c r="BL27" s="4" t="s">
        <v>692</v>
      </c>
      <c r="BM27" s="4" t="s">
        <v>483</v>
      </c>
      <c r="BN27" s="24" t="str">
        <f>_xlfn.XLOOKUP(Transformation[[#This Row],[Commodity to]],Commodities[Commodity code],Commodities[EnergyCode])</f>
        <v>GG</v>
      </c>
      <c r="BO27" s="4" t="s">
        <v>1221</v>
      </c>
      <c r="BP27" s="16" t="s">
        <v>1493</v>
      </c>
      <c r="BQ27" s="33" t="str">
        <f>Transformation[[#This Row],[Commodity from]]&amp;Transformation[[#This Row],[Transaction from]]&amp;Transformation[[#This Row],[Commodity to]]&amp;Transformation[[#This Row],[Transaction to]]</f>
        <v>0360088220360016CGC</v>
      </c>
      <c r="BR27" s="26" t="str">
        <f>Transformation[[#This Row],[crfomid]]&amp;Transformation[[#This Row],[Transaction from]]&amp;"("&amp;Transformation[[#This Row],[Multiplier]]&amp;") -&gt; "&amp;Transformation[[#This Row],[ctoid]]&amp;Transformation[[#This Row],[Transaction to]]</f>
        <v>GG08822(1) -&gt; GG016CGC</v>
      </c>
      <c r="BT27" s="26" t="str">
        <f>_xlfn.XLOOKUP(Signswitch[[#This Row],[Commodity name]],Commodities[Commodity],Commodities[Commodity code])</f>
        <v>5222</v>
      </c>
      <c r="BU27" s="26" t="str">
        <f>_xlfn.XLOOKUP(Signswitch[[#This Row],[Transaction name]],Transactions[Transaction name],Transactions[Transaction code])</f>
        <v>1213</v>
      </c>
      <c r="BV27" s="26" t="str">
        <f>Signswitch[[#This Row],[Commodity from]]&amp;Signswitch[[#This Row],[Transaction from]]</f>
        <v>52221213</v>
      </c>
      <c r="BW27" s="22" t="s">
        <v>962</v>
      </c>
      <c r="BX27" s="26" t="str">
        <f>_xlfn.XLOOKUP(Signswitch[[#This Row],[Commodity from]],Commodities[Commodity code],Commodities[EnergyCode])</f>
        <v>ZD</v>
      </c>
      <c r="BY27" s="22" t="s">
        <v>481</v>
      </c>
    </row>
    <row r="28" spans="8:77" x14ac:dyDescent="0.45">
      <c r="H28" s="5" t="s">
        <v>413</v>
      </c>
      <c r="I28" s="4" t="s">
        <v>412</v>
      </c>
      <c r="J28" s="9" t="s">
        <v>366</v>
      </c>
      <c r="K28" s="9" t="s">
        <v>1442</v>
      </c>
      <c r="L28" s="23" t="str">
        <f>IFERROR(INDEX(Commodities[[Commodity code]:[Commodity]],MATCH(Commodities[[#This Row],[Parent code]],Commodities[Commodity code],0),2),Commodities[[#This Row],[Commodity]])</f>
        <v>Oil products</v>
      </c>
      <c r="M28" s="24" t="str">
        <f>IFERROR(INDEX(Commodities[[Commodity code]:[Commodity]],MATCH(INDEX(Commodities[[Commodity]:[Parent code]],MATCH(Commodities[[#This Row],[L1N]],Commodities[Commodity],0),2),Commodities[Commodity code],0),2),Commodities[[#This Row],[L1N]])</f>
        <v>Oil</v>
      </c>
      <c r="N28" s="24" t="str">
        <f>IFERROR(INDEX(Commodities[[Commodity code]:[Commodity]],MATCH(INDEX(Commodities[[Commodity]:[Parent code]],MATCH(Commodities[[#This Row],[L2N]],Commodities[Commodity],0),2),Commodities[Commodity code],0),2),Commodities[[#This Row],[L2N]])</f>
        <v>Oil</v>
      </c>
      <c r="O28" s="24" t="str">
        <f>IFERROR(INDEX(Commodities[[Commodity code]:[Commodity]],MATCH(INDEX(Commodities[[Commodity]:[Parent code]],MATCH(Commodities[[#This Row],[L3N]],Commodities[Commodity],0),2),Commodities[Commodity code],0),2),Commodities[[#This Row],[L3N]])</f>
        <v>Oil</v>
      </c>
      <c r="P28" s="24" t="str">
        <f>IF(Commodities[[#This Row],[L4N]]=Commodities[[#This Row],[L3N]],Commodities[[#This Row],[L4N]],IF(Commodities[[#This Row],[L3N]]=Commodities[[#This Row],[L2N]],Commodities[[#This Row],[L3N]],IF(Commodities[[#This Row],[L2N]]=Commodities[[#This Row],[L1N]],Commodities[[#This Row],[L2N]],IF(Commodities[[#This Row],[L1N]]=Commodities[[#This Row],[Commodity]],Commodities[[#This Row],[L1N]],Commodities[[#This Row],[Commodity]]))))</f>
        <v>Oil</v>
      </c>
      <c r="Q28" s="24" t="str">
        <f>IF(Commodities[[#This Row],[Level 0]]=Commodities[[#This Row],[Commodity]],Commodities[[#This Row],[Commodity]],IF(Commodities[[#This Row],[Level 0]]=Commodities[[#This Row],[L1N]],Commodities[[#This Row],[Commodity]],IF(Commodities[[#This Row],[Level 0]]=Commodities[[#This Row],[L2N]],Commodities[[#This Row],[L1N]],IF(Commodities[[#This Row],[Level 0]]=Commodities[[#This Row],[L3N]],Commodities[[#This Row],[L2N]],IF(Commodities[[#This Row],[Level 0]]=Commodities[[#This Row],[L4N]],Commodities[[#This Row],[L3N]],Commodities[[#This Row],[L4N]])))))</f>
        <v>Oil products</v>
      </c>
      <c r="R28" s="24" t="str">
        <f>IF(Commodities[[#This Row],[Level 1]]=Commodities[[#This Row],[Commodity]],Commodities[[#This Row],[Commodity]],IF(Commodities[[#This Row],[Level 1]]=Commodities[[#This Row],[L1N]],Commodities[[#This Row],[Commodity]],IF(Commodities[[#This Row],[Level 1]]=Commodities[[#This Row],[L2N]],Commodities[[#This Row],[L1N]],IF(Commodities[[#This Row],[Level 1]]=Commodities[[#This Row],[L3N]],Commodities[[#This Row],[L2N]],IF(Commodities[[#This Row],[Level 1]]=Commodities[[#This Row],[L4N]],Commodities[[#This Row],[L3N]],Commodities[[#This Row],[L4N]])))))</f>
        <v>Ethane</v>
      </c>
      <c r="S28" s="24" t="str">
        <f>IF(Commodities[[#This Row],[Level 2]]=Commodities[[#This Row],[Commodity]],Commodities[[#This Row],[Commodity]],IF(Commodities[[#This Row],[Level 2]]=Commodities[[#This Row],[L1N]],Commodities[[#This Row],[Commodity]],IF(Commodities[[#This Row],[Level 2]]=Commodities[[#This Row],[L2N]],Commodities[[#This Row],[L1N]],IF(Commodities[[#This Row],[Level 2]]=Commodities[[#This Row],[L3N]],Commodities[[#This Row],[L2N]],IF(Commodities[[#This Row],[Level 2]]=Commodities[[#This Row],[L4N]],Commodities[[#This Row],[L3N]],Commodities[[#This Row],[L4N]])))))</f>
        <v>Ethane</v>
      </c>
      <c r="T28" s="24" t="str">
        <f>IF(Commodities[[#This Row],[Level 3]]=Commodities[[#This Row],[Commodity]],Commodities[[#This Row],[Commodity]],IF(Commodities[[#This Row],[Level 3]]=Commodities[[#This Row],[L1N]],Commodities[[#This Row],[Commodity]],IF(Commodities[[#This Row],[Level 3]]=Commodities[[#This Row],[L2N]],Commodities[[#This Row],[L1N]],IF(Commodities[[#This Row],[Level 3]]=Commodities[[#This Row],[L3N]],Commodities[[#This Row],[L2N]],IF(Commodities[[#This Row],[Level 3]]=Commodities[[#This Row],[L4N]],Commodities[[#This Row],[L3N]],Commodities[[#This Row],[L4N]])))))</f>
        <v>Ethane</v>
      </c>
      <c r="U28" s="24" t="str">
        <f>IF(Commodities[[#This Row],[Level 4]]=Commodities[[#This Row],[Commodity]],Commodities[[#This Row],[Commodity]],IF(Commodities[[#This Row],[Level 4]]=Commodities[[#This Row],[L1N]],Commodities[[#This Row],[Commodity]],IF(Commodities[[#This Row],[Level 4]]=Commodities[[#This Row],[L2N]],Commodities[[#This Row],[L1N]],IF(Commodities[[#This Row],[Level 4]]=Commodities[[#This Row],[L3N]],Commodities[[#This Row],[L2N]],IF(Commodities[[#This Row],[Level 4]]=Commodities[[#This Row],[L4N]],Commodities[[#This Row],[L3N]],Commodities[[#This Row],[L4N]])))))</f>
        <v>Ethane</v>
      </c>
      <c r="Y28" s="5" t="s">
        <v>161</v>
      </c>
      <c r="Z28" s="4" t="s">
        <v>704</v>
      </c>
      <c r="AA28" s="4" t="s">
        <v>704</v>
      </c>
      <c r="AB28" s="6" t="s">
        <v>144</v>
      </c>
      <c r="AC28" s="24" t="str">
        <f>IFERROR(VLOOKUP(Transactions[[#This Row],[Parent code]],Transactions[[Transaction code]:[Transaction name]],2,0),"")</f>
        <v>Energy industries own use</v>
      </c>
      <c r="AD28" s="4" t="s">
        <v>163</v>
      </c>
      <c r="AE28" s="4" t="s">
        <v>936</v>
      </c>
      <c r="AF28" s="4" t="s">
        <v>642</v>
      </c>
      <c r="AG28" s="4" t="s">
        <v>1</v>
      </c>
      <c r="AH28" s="4" t="s">
        <v>695</v>
      </c>
      <c r="AK28" s="24" t="str" cm="1">
        <f t="array" ref="AK28">IFERROR(INDEX(Transactions[[Transaction code]:[Transaction name]],_xlfn.XMATCH(Transactions[[#This Row],[Parent code]],Transactions[Transaction name],0),3),Transactions[[#This Row],[Transaction name]])</f>
        <v>Oil and gas extraction (own use)</v>
      </c>
      <c r="AL28" s="24" t="str" cm="1">
        <f t="array" ref="AL28">IFERROR(INDEX(Transactions[[Transaction code]:[Transaction name]],_xlfn.XMATCH(INDEX(Transactions[[Transaction name]:[Parent code]],_xlfn.XMATCH(Transactions[[#This Row],[L1N]],Transactions[Transaction name],0),3),Transactions[Transaction code],0),2),Transactions[[#This Row],[L1N]])</f>
        <v>Energy industries own use</v>
      </c>
      <c r="AM28" s="24" t="str" cm="1">
        <f t="array" ref="AM28">IFERROR(INDEX(Transactions[[Transaction code]:[Transaction name]],_xlfn.XMATCH(INDEX(Transactions[[Transaction name]:[Parent code]],_xlfn.XMATCH(Transactions[[#This Row],[L2N]],Transactions[Transaction name],0),3),Transactions[Transaction code],0),2),Transactions[[#This Row],[L2N]])</f>
        <v>Energy industries own use</v>
      </c>
      <c r="AN28" s="24" t="str" cm="1">
        <f t="array" ref="AN28">IFERROR(INDEX(Transactions[[Transaction code]:[Transaction name]],_xlfn.XMATCH(INDEX(Transactions[[Transaction name]:[Parent code]],_xlfn.XMATCH(Transactions[[#This Row],[L3N]],Transactions[Transaction name],0),3),Transactions[Transaction code],0),2),Transactions[[#This Row],[L3N]])</f>
        <v>Energy industries own use</v>
      </c>
      <c r="AO28" s="24" t="str" cm="1">
        <f t="array" ref="AO28">IFERROR(INDEX(Transactions[[Transaction code]:[Transaction name]],_xlfn.XMATCH(INDEX(Transactions[[Transaction name]:[Parent code]],_xlfn.XMATCH(Transactions[[#This Row],[L4N]],Transactions[Transaction name],0),3),Transactions[Transaction code],0),2),Transactions[[#This Row],[L4N]])</f>
        <v>Energy industries own use</v>
      </c>
      <c r="AP28" s="24" t="str" cm="1">
        <f t="array" ref="AP28">IFERROR(INDEX(Transactions[[Transaction code]:[Transaction name]],_xlfn.XMATCH(INDEX(Transactions[[Transaction name]:[Parent code]],_xlfn.XMATCH(Transactions[[#This Row],[L5N]],Transactions[Transaction name],0),3),Transactions[Transaction code],0),2),Transactions[[#This Row],[L5N]])</f>
        <v>Energy industries own use</v>
      </c>
      <c r="AQ28" s="24" t="str" cm="1">
        <f t="array" ref="AQ28">IFERROR(INDEX(Transactions[[Transaction code]:[Transaction name]],_xlfn.XMATCH(INDEX(Transactions[[Transaction name]:[Parent code]],_xlfn.XMATCH(Transactions[[#This Row],[L6N]],Transactions[Transaction name],0),3),Transactions[Transaction code],0),2),Transactions[[#This Row],[L6N]])</f>
        <v>Energy industries own use</v>
      </c>
      <c r="AR28" s="27" t="str">
        <f>IF(Transactions[[#This Row],[L7N]]=Transactions[[#This Row],[L6N]],Transactions[[#This Row],[L7N]],IF(Transactions[[#This Row],[L6N]]=Transactions[[#This Row],[L5N]],Transactions[[#This Row],[L6N]],IF(Transactions[[#This Row],[L5N]]=Transactions[[#This Row],[L4N]],Transactions[[#This Row],[L5N]],IF(Transactions[[#This Row],[L4N]]=Transactions[[#This Row],[L3N]],Transactions[[#This Row],[L4N]],IF(Transactions[[#This Row],[L3N]]=Transactions[[#This Row],[L2N]],Transactions[[#This Row],[L3N]],IF(Transactions[[#This Row],[L2N]]=Transactions[[#This Row],[L1N]],Transactions[[#This Row],[L2N]],IF(Transactions[[#This Row],[L1N]]=Transactions[[#This Row],[Transaction name]],Transactions[[#This Row],[L1N]],Transactions[[#This Row],[Transaction name]])))))))</f>
        <v>Energy industries own use</v>
      </c>
      <c r="AS28" s="24" t="str">
        <f>IF(Transactions[[#This Row],[Level 0]]=Transactions[[#This Row],[Transaction name]],Transactions[[#This Row],[Transaction name]],IF(Transactions[[#This Row],[Level 0]]=Transactions[[#This Row],[L1N]],Transactions[[#This Row],[Transaction name]],IF(Transactions[[#This Row],[Level 0]]=Transactions[[#This Row],[L2N]],Transactions[[#This Row],[L1N]],IF(Transactions[[#This Row],[Level 0]]=Transactions[[#This Row],[L3N]],Transactions[[#This Row],[L2N]],IF(Transactions[[#This Row],[Level 0]]=Transactions[[#This Row],[L4N]],Transactions[[#This Row],[L3N]],IF(Transactions[[#This Row],[Level 0]]=Transactions[[#This Row],[L5N]],Transactions[[#This Row],[L4N]],IF(Transactions[[#This Row],[Level 0]]=Transactions[[#This Row],[L6N]],Transactions[[#This Row],[L5N]],IF(Transactions[[#This Row],[Level 0]]=Transactions[[#This Row],[L7N]],Transactions[[#This Row],[L6N]],Transactions[[#This Row],[L7N]]))))))))</f>
        <v>Oil and gas extraction (own use)</v>
      </c>
      <c r="AT28" s="24" t="str">
        <f>IF(Transactions[[#This Row],[Level 1]]=Transactions[[#This Row],[Transaction name]],Transactions[[#This Row],[Transaction name]],IF(Transactions[[#This Row],[Level 1]]=Transactions[[#This Row],[L1N]],Transactions[[#This Row],[Transaction name]],IF(Transactions[[#This Row],[Level 1]]=Transactions[[#This Row],[L2N]],Transactions[[#This Row],[L1N]],IF(Transactions[[#This Row],[Level 1]]=Transactions[[#This Row],[L3N]],Transactions[[#This Row],[L2N]],IF(Transactions[[#This Row],[Level 1]]=Transactions[[#This Row],[L4N]],Transactions[[#This Row],[L3N]],IF(Transactions[[#This Row],[Level 1]]=Transactions[[#This Row],[L5N]],Transactions[[#This Row],[L4N]],IF(Transactions[[#This Row],[Level 1]]=Transactions[[#This Row],[L6N]],Transactions[[#This Row],[L5N]],IF(Transactions[[#This Row],[Level 1]]=Transactions[[#This Row],[L7N]],Transactions[[#This Row],[L6N]],Transactions[[#This Row],[L7N]]))))))))</f>
        <v>Oil and gas extraction (own use)</v>
      </c>
      <c r="AU28" s="24" t="str">
        <f>IF(Transactions[[#This Row],[Level 2]]=Transactions[[#This Row],[Transaction name]],Transactions[[#This Row],[Transaction name]],IF(Transactions[[#This Row],[Level 2]]=Transactions[[#This Row],[L1N]],Transactions[[#This Row],[Transaction name]],IF(Transactions[[#This Row],[Level 2]]=Transactions[[#This Row],[L2N]],Transactions[[#This Row],[L1N]],IF(Transactions[[#This Row],[Level 2]]=Transactions[[#This Row],[L3N]],Transactions[[#This Row],[L2N]],IF(Transactions[[#This Row],[Level 2]]=Transactions[[#This Row],[L4N]],Transactions[[#This Row],[L3N]],IF(Transactions[[#This Row],[Level 2]]=Transactions[[#This Row],[L5N]],Transactions[[#This Row],[L4N]],IF(Transactions[[#This Row],[Level 2]]=Transactions[[#This Row],[L6N]],Transactions[[#This Row],[L5N]],IF(Transactions[[#This Row],[Level 2]]=Transactions[[#This Row],[L7N]],Transactions[[#This Row],[L6N]],Transactions[[#This Row],[L7N]]))))))))</f>
        <v>Oil and gas extraction (own use)</v>
      </c>
      <c r="AV28" s="24" t="str">
        <f>IF(Transactions[[#This Row],[Level 3]]=Transactions[[#This Row],[Transaction name]],Transactions[[#This Row],[Transaction name]],IF(Transactions[[#This Row],[Level 3]]=Transactions[[#This Row],[L1N]],Transactions[[#This Row],[Transaction name]],IF(Transactions[[#This Row],[Level 3]]=Transactions[[#This Row],[L2N]],Transactions[[#This Row],[L1N]],IF(Transactions[[#This Row],[Level 3]]=Transactions[[#This Row],[L3N]],Transactions[[#This Row],[L2N]],IF(Transactions[[#This Row],[Level 3]]=Transactions[[#This Row],[L4N]],Transactions[[#This Row],[L3N]],IF(Transactions[[#This Row],[Level 3]]=Transactions[[#This Row],[L5N]],Transactions[[#This Row],[L4N]],IF(Transactions[[#This Row],[Level 3]]=Transactions[[#This Row],[L6N]],Transactions[[#This Row],[L5N]],IF(Transactions[[#This Row],[Level 3]]=Transactions[[#This Row],[L7N]],Transactions[[#This Row],[L6N]],Transactions[[#This Row],[L7N]]))))))))</f>
        <v>Oil and gas extraction (own use)</v>
      </c>
      <c r="AW28" s="24" t="str">
        <f>IF(Transactions[[#This Row],[Level 4]]=Transactions[[#This Row],[Transaction name]],Transactions[[#This Row],[Transaction name]],IF(Transactions[[#This Row],[Level 4]]=Transactions[[#This Row],[L1N]],Transactions[[#This Row],[Transaction name]],IF(Transactions[[#This Row],[Level 4]]=Transactions[[#This Row],[L2N]],Transactions[[#This Row],[L1N]],IF(Transactions[[#This Row],[Level 4]]=Transactions[[#This Row],[L3N]],Transactions[[#This Row],[L2N]],IF(Transactions[[#This Row],[Level 4]]=Transactions[[#This Row],[L4N]],Transactions[[#This Row],[L3N]],IF(Transactions[[#This Row],[Level 4]]=Transactions[[#This Row],[L5N]],Transactions[[#This Row],[L4N]],IF(Transactions[[#This Row],[Level 4]]=Transactions[[#This Row],[L6N]],Transactions[[#This Row],[L5N]],IF(Transactions[[#This Row],[Level 4]]=Transactions[[#This Row],[L7N]],Transactions[[#This Row],[L6N]],Transactions[[#This Row],[L7N]]))))))))</f>
        <v>Oil and gas extraction (own use)</v>
      </c>
      <c r="AX28" s="24" t="str">
        <f>IF(Transactions[[#This Row],[Level 5]]=Transactions[[#This Row],[Transaction name]],Transactions[[#This Row],[Transaction name]],IF(Transactions[[#This Row],[Level 5]]=Transactions[[#This Row],[L1N]],Transactions[[#This Row],[Transaction name]],IF(Transactions[[#This Row],[Level 5]]=Transactions[[#This Row],[L2N]],Transactions[[#This Row],[L1N]],IF(Transactions[[#This Row],[Level 5]]=Transactions[[#This Row],[L3N]],Transactions[[#This Row],[L2N]],IF(Transactions[[#This Row],[Level 5]]=Transactions[[#This Row],[L4N]],Transactions[[#This Row],[L3N]],IF(Transactions[[#This Row],[Level 5]]=Transactions[[#This Row],[L5N]],Transactions[[#This Row],[L4N]],IF(Transactions[[#This Row],[Level 5]]=Transactions[[#This Row],[L6N]],Transactions[[#This Row],[L5N]],IF(Transactions[[#This Row],[Level 5]]=Transactions[[#This Row],[L7N]],Transactions[[#This Row],[L6N]],Transactions[[#This Row],[L7N]]))))))))</f>
        <v>Oil and gas extraction (own use)</v>
      </c>
      <c r="AY28" s="24" t="str">
        <f>IF(Transactions[[#This Row],[Level 6]]=Transactions[[#This Row],[Transaction name]],Transactions[[#This Row],[Transaction name]],IF(Transactions[[#This Row],[Level 6]]=Transactions[[#This Row],[L1N]],Transactions[[#This Row],[Transaction name]],IF(Transactions[[#This Row],[Level 6]]=Transactions[[#This Row],[L2N]],Transactions[[#This Row],[L1N]],IF(Transactions[[#This Row],[Level 6]]=Transactions[[#This Row],[L3N]],Transactions[[#This Row],[L2N]],IF(Transactions[[#This Row],[Level 6]]=Transactions[[#This Row],[L4N]],Transactions[[#This Row],[L3N]],IF(Transactions[[#This Row],[Level 6]]=Transactions[[#This Row],[L5N]],Transactions[[#This Row],[L4N]],IF(Transactions[[#This Row],[Level 6]]=Transactions[[#This Row],[L6N]],Transactions[[#This Row],[L5N]],IF(Transactions[[#This Row],[Level 6]]=Transactions[[#This Row],[L7N]],Transactions[[#This Row],[L6N]],Transactions[[#This Row],[L7N]]))))))))</f>
        <v>Oil and gas extraction (own use)</v>
      </c>
      <c r="BE28" s="26" t="str">
        <f>_xlfn.XLOOKUP(Transformation[[#This Row],[cfrom]],Commodities[Commodity],Commodities[Commodity code])</f>
        <v>4200</v>
      </c>
      <c r="BF28" s="26" t="str">
        <f>_xlfn.XLOOKUP(Transformation[[#This Row],[tfrom]],Transactions[Transaction name],Transactions[Transaction code])</f>
        <v>08822</v>
      </c>
      <c r="BG28" s="26" t="str">
        <f>_xlfn.XLOOKUP(Transformation[[#This Row],[cto]],Commodities[Commodity],Commodities[Commodity code])</f>
        <v>4200</v>
      </c>
      <c r="BH28" s="26" t="str">
        <f>_xlfn.XLOOKUP(Transformation[[#This Row],[tto]],Transactions[Transaction name],Transactions[Transaction code])</f>
        <v>016COC</v>
      </c>
      <c r="BI28" s="11">
        <v>1</v>
      </c>
      <c r="BJ28" s="4" t="s">
        <v>435</v>
      </c>
      <c r="BK28" s="24" t="str">
        <f>_xlfn.XLOOKUP(Transformation[[#This Row],[Commodity from]],Commodities[Commodity code],Commodities[EnergyCode])</f>
        <v>GL</v>
      </c>
      <c r="BL28" s="4" t="s">
        <v>692</v>
      </c>
      <c r="BM28" s="4" t="s">
        <v>435</v>
      </c>
      <c r="BN28" s="24" t="str">
        <f>_xlfn.XLOOKUP(Transformation[[#This Row],[Commodity to]],Commodities[Commodity code],Commodities[EnergyCode])</f>
        <v>GL</v>
      </c>
      <c r="BO28" s="4" t="s">
        <v>1229</v>
      </c>
      <c r="BP28" s="16" t="s">
        <v>1493</v>
      </c>
      <c r="BQ28" s="33" t="str">
        <f>Transformation[[#This Row],[Commodity from]]&amp;Transformation[[#This Row],[Transaction from]]&amp;Transformation[[#This Row],[Commodity to]]&amp;Transformation[[#This Row],[Transaction to]]</f>
        <v>4200088224200016COC</v>
      </c>
      <c r="BR28" s="26" t="str">
        <f>Transformation[[#This Row],[crfomid]]&amp;Transformation[[#This Row],[Transaction from]]&amp;"("&amp;Transformation[[#This Row],[Multiplier]]&amp;") -&gt; "&amp;Transformation[[#This Row],[ctoid]]&amp;Transformation[[#This Row],[Transaction to]]</f>
        <v>GL08822(1) -&gt; GL016COC</v>
      </c>
      <c r="BT28" s="26" t="str">
        <f>_xlfn.XLOOKUP(Signswitch[[#This Row],[Commodity name]],Commodities[Commodity],Commodities[Commodity code])</f>
        <v>5212</v>
      </c>
      <c r="BU28" s="26" t="str">
        <f>_xlfn.XLOOKUP(Signswitch[[#This Row],[Transaction name]],Transactions[Transaction name],Transactions[Transaction code])</f>
        <v>1213</v>
      </c>
      <c r="BV28" s="26" t="str">
        <f>Signswitch[[#This Row],[Commodity from]]&amp;Signswitch[[#This Row],[Transaction from]]</f>
        <v>52121213</v>
      </c>
      <c r="BW28" s="22" t="s">
        <v>317</v>
      </c>
      <c r="BX28" s="26" t="str">
        <f>_xlfn.XLOOKUP(Signswitch[[#This Row],[Commodity from]],Commodities[Commodity code],Commodities[EnergyCode])</f>
        <v>ZG</v>
      </c>
      <c r="BY28" s="22" t="s">
        <v>481</v>
      </c>
    </row>
    <row r="29" spans="8:77" x14ac:dyDescent="0.45">
      <c r="H29" s="5" t="s">
        <v>247</v>
      </c>
      <c r="I29" s="4" t="s">
        <v>246</v>
      </c>
      <c r="J29" s="9"/>
      <c r="K29" s="9" t="s">
        <v>247</v>
      </c>
      <c r="L29" s="23" t="str">
        <f>IFERROR(INDEX(Commodities[[Commodity code]:[Commodity]],MATCH(Commodities[[#This Row],[Parent code]],Commodities[Commodity code],0),2),Commodities[[#This Row],[Commodity]])</f>
        <v>Electricity, net installed capacity of electric power plants</v>
      </c>
      <c r="M29" s="24" t="str">
        <f>IFERROR(INDEX(Commodities[[Commodity code]:[Commodity]],MATCH(INDEX(Commodities[[Commodity]:[Parent code]],MATCH(Commodities[[#This Row],[L1N]],Commodities[Commodity],0),2),Commodities[Commodity code],0),2),Commodities[[#This Row],[L1N]])</f>
        <v>Electricity, net installed capacity of electric power plants</v>
      </c>
      <c r="N29" s="24" t="str">
        <f>IFERROR(INDEX(Commodities[[Commodity code]:[Commodity]],MATCH(INDEX(Commodities[[Commodity]:[Parent code]],MATCH(Commodities[[#This Row],[L2N]],Commodities[Commodity],0),2),Commodities[Commodity code],0),2),Commodities[[#This Row],[L2N]])</f>
        <v>Electricity, net installed capacity of electric power plants</v>
      </c>
      <c r="O29" s="24" t="str">
        <f>IFERROR(INDEX(Commodities[[Commodity code]:[Commodity]],MATCH(INDEX(Commodities[[Commodity]:[Parent code]],MATCH(Commodities[[#This Row],[L3N]],Commodities[Commodity],0),2),Commodities[Commodity code],0),2),Commodities[[#This Row],[L3N]])</f>
        <v>Electricity, net installed capacity of electric power plants</v>
      </c>
      <c r="P29" s="24" t="str">
        <f>IF(Commodities[[#This Row],[L4N]]=Commodities[[#This Row],[L3N]],Commodities[[#This Row],[L4N]],IF(Commodities[[#This Row],[L3N]]=Commodities[[#This Row],[L2N]],Commodities[[#This Row],[L3N]],IF(Commodities[[#This Row],[L2N]]=Commodities[[#This Row],[L1N]],Commodities[[#This Row],[L2N]],IF(Commodities[[#This Row],[L1N]]=Commodities[[#This Row],[Commodity]],Commodities[[#This Row],[L1N]],Commodities[[#This Row],[Commodity]]))))</f>
        <v>Electricity, net installed capacity of electric power plants</v>
      </c>
      <c r="Q29" s="24" t="str">
        <f>IF(Commodities[[#This Row],[Level 0]]=Commodities[[#This Row],[Commodity]],Commodities[[#This Row],[Commodity]],IF(Commodities[[#This Row],[Level 0]]=Commodities[[#This Row],[L1N]],Commodities[[#This Row],[Commodity]],IF(Commodities[[#This Row],[Level 0]]=Commodities[[#This Row],[L2N]],Commodities[[#This Row],[L1N]],IF(Commodities[[#This Row],[Level 0]]=Commodities[[#This Row],[L3N]],Commodities[[#This Row],[L2N]],IF(Commodities[[#This Row],[Level 0]]=Commodities[[#This Row],[L4N]],Commodities[[#This Row],[L3N]],Commodities[[#This Row],[L4N]])))))</f>
        <v>Electricity, net installed capacity of electric power plants</v>
      </c>
      <c r="R29" s="24" t="str">
        <f>IF(Commodities[[#This Row],[Level 1]]=Commodities[[#This Row],[Commodity]],Commodities[[#This Row],[Commodity]],IF(Commodities[[#This Row],[Level 1]]=Commodities[[#This Row],[L1N]],Commodities[[#This Row],[Commodity]],IF(Commodities[[#This Row],[Level 1]]=Commodities[[#This Row],[L2N]],Commodities[[#This Row],[L1N]],IF(Commodities[[#This Row],[Level 1]]=Commodities[[#This Row],[L3N]],Commodities[[#This Row],[L2N]],IF(Commodities[[#This Row],[Level 1]]=Commodities[[#This Row],[L4N]],Commodities[[#This Row],[L3N]],Commodities[[#This Row],[L4N]])))))</f>
        <v>Electricity, net installed capacity of electric power plants</v>
      </c>
      <c r="S29" s="24" t="str">
        <f>IF(Commodities[[#This Row],[Level 2]]=Commodities[[#This Row],[Commodity]],Commodities[[#This Row],[Commodity]],IF(Commodities[[#This Row],[Level 2]]=Commodities[[#This Row],[L1N]],Commodities[[#This Row],[Commodity]],IF(Commodities[[#This Row],[Level 2]]=Commodities[[#This Row],[L2N]],Commodities[[#This Row],[L1N]],IF(Commodities[[#This Row],[Level 2]]=Commodities[[#This Row],[L3N]],Commodities[[#This Row],[L2N]],IF(Commodities[[#This Row],[Level 2]]=Commodities[[#This Row],[L4N]],Commodities[[#This Row],[L3N]],Commodities[[#This Row],[L4N]])))))</f>
        <v>Electricity, net installed capacity of electric power plants</v>
      </c>
      <c r="T29" s="24" t="str">
        <f>IF(Commodities[[#This Row],[Level 3]]=Commodities[[#This Row],[Commodity]],Commodities[[#This Row],[Commodity]],IF(Commodities[[#This Row],[Level 3]]=Commodities[[#This Row],[L1N]],Commodities[[#This Row],[Commodity]],IF(Commodities[[#This Row],[Level 3]]=Commodities[[#This Row],[L2N]],Commodities[[#This Row],[L1N]],IF(Commodities[[#This Row],[Level 3]]=Commodities[[#This Row],[L3N]],Commodities[[#This Row],[L2N]],IF(Commodities[[#This Row],[Level 3]]=Commodities[[#This Row],[L4N]],Commodities[[#This Row],[L3N]],Commodities[[#This Row],[L4N]])))))</f>
        <v>Electricity, net installed capacity of electric power plants</v>
      </c>
      <c r="U29" s="24" t="str">
        <f>IF(Commodities[[#This Row],[Level 4]]=Commodities[[#This Row],[Commodity]],Commodities[[#This Row],[Commodity]],IF(Commodities[[#This Row],[Level 4]]=Commodities[[#This Row],[L1N]],Commodities[[#This Row],[Commodity]],IF(Commodities[[#This Row],[Level 4]]=Commodities[[#This Row],[L2N]],Commodities[[#This Row],[L1N]],IF(Commodities[[#This Row],[Level 4]]=Commodities[[#This Row],[L3N]],Commodities[[#This Row],[L2N]],IF(Commodities[[#This Row],[Level 4]]=Commodities[[#This Row],[L4N]],Commodities[[#This Row],[L3N]],Commodities[[#This Row],[L4N]])))))</f>
        <v>Electricity, net installed capacity of electric power plants</v>
      </c>
      <c r="Y29" s="5" t="s">
        <v>154</v>
      </c>
      <c r="Z29" s="4" t="s">
        <v>712</v>
      </c>
      <c r="AA29" s="4" t="s">
        <v>712</v>
      </c>
      <c r="AB29" s="6" t="s">
        <v>144</v>
      </c>
      <c r="AC29" s="24" t="str">
        <f>IFERROR(VLOOKUP(Transactions[[#This Row],[Parent code]],Transactions[[Transaction code]:[Transaction name]],2,0),"")</f>
        <v>Energy industries own use</v>
      </c>
      <c r="AD29" s="4" t="s">
        <v>163</v>
      </c>
      <c r="AE29" s="4" t="s">
        <v>943</v>
      </c>
      <c r="AF29" s="4" t="s">
        <v>642</v>
      </c>
      <c r="AG29" s="4" t="s">
        <v>1</v>
      </c>
      <c r="AH29" s="4" t="s">
        <v>695</v>
      </c>
      <c r="AK29" s="24" t="str" cm="1">
        <f t="array" ref="AK29">IFERROR(INDEX(Transactions[[Transaction code]:[Transaction name]],_xlfn.XMATCH(Transactions[[#This Row],[Parent code]],Transactions[Transaction name],0),3),Transactions[[#This Row],[Transaction name]])</f>
        <v>Oil refineries (own use)</v>
      </c>
      <c r="AL29" s="24" t="str" cm="1">
        <f t="array" ref="AL29">IFERROR(INDEX(Transactions[[Transaction code]:[Transaction name]],_xlfn.XMATCH(INDEX(Transactions[[Transaction name]:[Parent code]],_xlfn.XMATCH(Transactions[[#This Row],[L1N]],Transactions[Transaction name],0),3),Transactions[Transaction code],0),2),Transactions[[#This Row],[L1N]])</f>
        <v>Energy industries own use</v>
      </c>
      <c r="AM29" s="24" t="str" cm="1">
        <f t="array" ref="AM29">IFERROR(INDEX(Transactions[[Transaction code]:[Transaction name]],_xlfn.XMATCH(INDEX(Transactions[[Transaction name]:[Parent code]],_xlfn.XMATCH(Transactions[[#This Row],[L2N]],Transactions[Transaction name],0),3),Transactions[Transaction code],0),2),Transactions[[#This Row],[L2N]])</f>
        <v>Energy industries own use</v>
      </c>
      <c r="AN29" s="24" t="str" cm="1">
        <f t="array" ref="AN29">IFERROR(INDEX(Transactions[[Transaction code]:[Transaction name]],_xlfn.XMATCH(INDEX(Transactions[[Transaction name]:[Parent code]],_xlfn.XMATCH(Transactions[[#This Row],[L3N]],Transactions[Transaction name],0),3),Transactions[Transaction code],0),2),Transactions[[#This Row],[L3N]])</f>
        <v>Energy industries own use</v>
      </c>
      <c r="AO29" s="24" t="str" cm="1">
        <f t="array" ref="AO29">IFERROR(INDEX(Transactions[[Transaction code]:[Transaction name]],_xlfn.XMATCH(INDEX(Transactions[[Transaction name]:[Parent code]],_xlfn.XMATCH(Transactions[[#This Row],[L4N]],Transactions[Transaction name],0),3),Transactions[Transaction code],0),2),Transactions[[#This Row],[L4N]])</f>
        <v>Energy industries own use</v>
      </c>
      <c r="AP29" s="24" t="str" cm="1">
        <f t="array" ref="AP29">IFERROR(INDEX(Transactions[[Transaction code]:[Transaction name]],_xlfn.XMATCH(INDEX(Transactions[[Transaction name]:[Parent code]],_xlfn.XMATCH(Transactions[[#This Row],[L5N]],Transactions[Transaction name],0),3),Transactions[Transaction code],0),2),Transactions[[#This Row],[L5N]])</f>
        <v>Energy industries own use</v>
      </c>
      <c r="AQ29" s="24" t="str" cm="1">
        <f t="array" ref="AQ29">IFERROR(INDEX(Transactions[[Transaction code]:[Transaction name]],_xlfn.XMATCH(INDEX(Transactions[[Transaction name]:[Parent code]],_xlfn.XMATCH(Transactions[[#This Row],[L6N]],Transactions[Transaction name],0),3),Transactions[Transaction code],0),2),Transactions[[#This Row],[L6N]])</f>
        <v>Energy industries own use</v>
      </c>
      <c r="AR29" s="27" t="str">
        <f>IF(Transactions[[#This Row],[L7N]]=Transactions[[#This Row],[L6N]],Transactions[[#This Row],[L7N]],IF(Transactions[[#This Row],[L6N]]=Transactions[[#This Row],[L5N]],Transactions[[#This Row],[L6N]],IF(Transactions[[#This Row],[L5N]]=Transactions[[#This Row],[L4N]],Transactions[[#This Row],[L5N]],IF(Transactions[[#This Row],[L4N]]=Transactions[[#This Row],[L3N]],Transactions[[#This Row],[L4N]],IF(Transactions[[#This Row],[L3N]]=Transactions[[#This Row],[L2N]],Transactions[[#This Row],[L3N]],IF(Transactions[[#This Row],[L2N]]=Transactions[[#This Row],[L1N]],Transactions[[#This Row],[L2N]],IF(Transactions[[#This Row],[L1N]]=Transactions[[#This Row],[Transaction name]],Transactions[[#This Row],[L1N]],Transactions[[#This Row],[Transaction name]])))))))</f>
        <v>Energy industries own use</v>
      </c>
      <c r="AS29" s="24" t="str">
        <f>IF(Transactions[[#This Row],[Level 0]]=Transactions[[#This Row],[Transaction name]],Transactions[[#This Row],[Transaction name]],IF(Transactions[[#This Row],[Level 0]]=Transactions[[#This Row],[L1N]],Transactions[[#This Row],[Transaction name]],IF(Transactions[[#This Row],[Level 0]]=Transactions[[#This Row],[L2N]],Transactions[[#This Row],[L1N]],IF(Transactions[[#This Row],[Level 0]]=Transactions[[#This Row],[L3N]],Transactions[[#This Row],[L2N]],IF(Transactions[[#This Row],[Level 0]]=Transactions[[#This Row],[L4N]],Transactions[[#This Row],[L3N]],IF(Transactions[[#This Row],[Level 0]]=Transactions[[#This Row],[L5N]],Transactions[[#This Row],[L4N]],IF(Transactions[[#This Row],[Level 0]]=Transactions[[#This Row],[L6N]],Transactions[[#This Row],[L5N]],IF(Transactions[[#This Row],[Level 0]]=Transactions[[#This Row],[L7N]],Transactions[[#This Row],[L6N]],Transactions[[#This Row],[L7N]]))))))))</f>
        <v>Oil refineries (own use)</v>
      </c>
      <c r="AT29" s="24" t="str">
        <f>IF(Transactions[[#This Row],[Level 1]]=Transactions[[#This Row],[Transaction name]],Transactions[[#This Row],[Transaction name]],IF(Transactions[[#This Row],[Level 1]]=Transactions[[#This Row],[L1N]],Transactions[[#This Row],[Transaction name]],IF(Transactions[[#This Row],[Level 1]]=Transactions[[#This Row],[L2N]],Transactions[[#This Row],[L1N]],IF(Transactions[[#This Row],[Level 1]]=Transactions[[#This Row],[L3N]],Transactions[[#This Row],[L2N]],IF(Transactions[[#This Row],[Level 1]]=Transactions[[#This Row],[L4N]],Transactions[[#This Row],[L3N]],IF(Transactions[[#This Row],[Level 1]]=Transactions[[#This Row],[L5N]],Transactions[[#This Row],[L4N]],IF(Transactions[[#This Row],[Level 1]]=Transactions[[#This Row],[L6N]],Transactions[[#This Row],[L5N]],IF(Transactions[[#This Row],[Level 1]]=Transactions[[#This Row],[L7N]],Transactions[[#This Row],[L6N]],Transactions[[#This Row],[L7N]]))))))))</f>
        <v>Oil refineries (own use)</v>
      </c>
      <c r="AU29" s="24" t="str">
        <f>IF(Transactions[[#This Row],[Level 2]]=Transactions[[#This Row],[Transaction name]],Transactions[[#This Row],[Transaction name]],IF(Transactions[[#This Row],[Level 2]]=Transactions[[#This Row],[L1N]],Transactions[[#This Row],[Transaction name]],IF(Transactions[[#This Row],[Level 2]]=Transactions[[#This Row],[L2N]],Transactions[[#This Row],[L1N]],IF(Transactions[[#This Row],[Level 2]]=Transactions[[#This Row],[L3N]],Transactions[[#This Row],[L2N]],IF(Transactions[[#This Row],[Level 2]]=Transactions[[#This Row],[L4N]],Transactions[[#This Row],[L3N]],IF(Transactions[[#This Row],[Level 2]]=Transactions[[#This Row],[L5N]],Transactions[[#This Row],[L4N]],IF(Transactions[[#This Row],[Level 2]]=Transactions[[#This Row],[L6N]],Transactions[[#This Row],[L5N]],IF(Transactions[[#This Row],[Level 2]]=Transactions[[#This Row],[L7N]],Transactions[[#This Row],[L6N]],Transactions[[#This Row],[L7N]]))))))))</f>
        <v>Oil refineries (own use)</v>
      </c>
      <c r="AV29" s="24" t="str">
        <f>IF(Transactions[[#This Row],[Level 3]]=Transactions[[#This Row],[Transaction name]],Transactions[[#This Row],[Transaction name]],IF(Transactions[[#This Row],[Level 3]]=Transactions[[#This Row],[L1N]],Transactions[[#This Row],[Transaction name]],IF(Transactions[[#This Row],[Level 3]]=Transactions[[#This Row],[L2N]],Transactions[[#This Row],[L1N]],IF(Transactions[[#This Row],[Level 3]]=Transactions[[#This Row],[L3N]],Transactions[[#This Row],[L2N]],IF(Transactions[[#This Row],[Level 3]]=Transactions[[#This Row],[L4N]],Transactions[[#This Row],[L3N]],IF(Transactions[[#This Row],[Level 3]]=Transactions[[#This Row],[L5N]],Transactions[[#This Row],[L4N]],IF(Transactions[[#This Row],[Level 3]]=Transactions[[#This Row],[L6N]],Transactions[[#This Row],[L5N]],IF(Transactions[[#This Row],[Level 3]]=Transactions[[#This Row],[L7N]],Transactions[[#This Row],[L6N]],Transactions[[#This Row],[L7N]]))))))))</f>
        <v>Oil refineries (own use)</v>
      </c>
      <c r="AW29" s="24" t="str">
        <f>IF(Transactions[[#This Row],[Level 4]]=Transactions[[#This Row],[Transaction name]],Transactions[[#This Row],[Transaction name]],IF(Transactions[[#This Row],[Level 4]]=Transactions[[#This Row],[L1N]],Transactions[[#This Row],[Transaction name]],IF(Transactions[[#This Row],[Level 4]]=Transactions[[#This Row],[L2N]],Transactions[[#This Row],[L1N]],IF(Transactions[[#This Row],[Level 4]]=Transactions[[#This Row],[L3N]],Transactions[[#This Row],[L2N]],IF(Transactions[[#This Row],[Level 4]]=Transactions[[#This Row],[L4N]],Transactions[[#This Row],[L3N]],IF(Transactions[[#This Row],[Level 4]]=Transactions[[#This Row],[L5N]],Transactions[[#This Row],[L4N]],IF(Transactions[[#This Row],[Level 4]]=Transactions[[#This Row],[L6N]],Transactions[[#This Row],[L5N]],IF(Transactions[[#This Row],[Level 4]]=Transactions[[#This Row],[L7N]],Transactions[[#This Row],[L6N]],Transactions[[#This Row],[L7N]]))))))))</f>
        <v>Oil refineries (own use)</v>
      </c>
      <c r="AX29" s="24" t="str">
        <f>IF(Transactions[[#This Row],[Level 5]]=Transactions[[#This Row],[Transaction name]],Transactions[[#This Row],[Transaction name]],IF(Transactions[[#This Row],[Level 5]]=Transactions[[#This Row],[L1N]],Transactions[[#This Row],[Transaction name]],IF(Transactions[[#This Row],[Level 5]]=Transactions[[#This Row],[L2N]],Transactions[[#This Row],[L1N]],IF(Transactions[[#This Row],[Level 5]]=Transactions[[#This Row],[L3N]],Transactions[[#This Row],[L2N]],IF(Transactions[[#This Row],[Level 5]]=Transactions[[#This Row],[L4N]],Transactions[[#This Row],[L3N]],IF(Transactions[[#This Row],[Level 5]]=Transactions[[#This Row],[L5N]],Transactions[[#This Row],[L4N]],IF(Transactions[[#This Row],[Level 5]]=Transactions[[#This Row],[L6N]],Transactions[[#This Row],[L5N]],IF(Transactions[[#This Row],[Level 5]]=Transactions[[#This Row],[L7N]],Transactions[[#This Row],[L6N]],Transactions[[#This Row],[L7N]]))))))))</f>
        <v>Oil refineries (own use)</v>
      </c>
      <c r="AY29" s="24" t="str">
        <f>IF(Transactions[[#This Row],[Level 6]]=Transactions[[#This Row],[Transaction name]],Transactions[[#This Row],[Transaction name]],IF(Transactions[[#This Row],[Level 6]]=Transactions[[#This Row],[L1N]],Transactions[[#This Row],[Transaction name]],IF(Transactions[[#This Row],[Level 6]]=Transactions[[#This Row],[L2N]],Transactions[[#This Row],[L1N]],IF(Transactions[[#This Row],[Level 6]]=Transactions[[#This Row],[L3N]],Transactions[[#This Row],[L2N]],IF(Transactions[[#This Row],[Level 6]]=Transactions[[#This Row],[L4N]],Transactions[[#This Row],[L3N]],IF(Transactions[[#This Row],[Level 6]]=Transactions[[#This Row],[L5N]],Transactions[[#This Row],[L4N]],IF(Transactions[[#This Row],[Level 6]]=Transactions[[#This Row],[L6N]],Transactions[[#This Row],[L5N]],IF(Transactions[[#This Row],[Level 6]]=Transactions[[#This Row],[L7N]],Transactions[[#This Row],[L6N]],Transactions[[#This Row],[L7N]]))))))))</f>
        <v>Oil refineries (own use)</v>
      </c>
      <c r="BE29" s="26" t="str">
        <f>_xlfn.XLOOKUP(Transformation[[#This Row],[cfrom]],Commodities[Commodity],Commodities[Commodity code])</f>
        <v>6100</v>
      </c>
      <c r="BF29" s="26" t="str">
        <f>_xlfn.XLOOKUP(Transformation[[#This Row],[tfrom]],Transactions[Transaction name],Transactions[Transaction code])</f>
        <v>08822</v>
      </c>
      <c r="BG29" s="26" t="str">
        <f>_xlfn.XLOOKUP(Transformation[[#This Row],[cto]],Commodities[Commodity],Commodities[Commodity code])</f>
        <v>6100</v>
      </c>
      <c r="BH29" s="26" t="str">
        <f>_xlfn.XLOOKUP(Transformation[[#This Row],[tto]],Transactions[Transaction name],Transactions[Transaction code])</f>
        <v>016ISWC</v>
      </c>
      <c r="BI29" s="11">
        <v>1</v>
      </c>
      <c r="BJ29" s="4" t="s">
        <v>291</v>
      </c>
      <c r="BK29" s="24" t="str">
        <f>_xlfn.XLOOKUP(Transformation[[#This Row],[Commodity from]],Commodities[Commodity code],Commodities[EnergyCode])</f>
        <v>IW</v>
      </c>
      <c r="BL29" s="4" t="s">
        <v>692</v>
      </c>
      <c r="BM29" s="4" t="s">
        <v>291</v>
      </c>
      <c r="BN29" s="24" t="str">
        <f>_xlfn.XLOOKUP(Transformation[[#This Row],[Commodity to]],Commodities[Commodity code],Commodities[EnergyCode])</f>
        <v>IW</v>
      </c>
      <c r="BO29" s="4" t="s">
        <v>1158</v>
      </c>
      <c r="BP29" s="16" t="s">
        <v>1493</v>
      </c>
      <c r="BQ29" s="33" t="str">
        <f>Transformation[[#This Row],[Commodity from]]&amp;Transformation[[#This Row],[Transaction from]]&amp;Transformation[[#This Row],[Commodity to]]&amp;Transformation[[#This Row],[Transaction to]]</f>
        <v>6100088226100016ISWC</v>
      </c>
      <c r="BR29" s="26" t="str">
        <f>Transformation[[#This Row],[crfomid]]&amp;Transformation[[#This Row],[Transaction from]]&amp;"("&amp;Transformation[[#This Row],[Multiplier]]&amp;") -&gt; "&amp;Transformation[[#This Row],[ctoid]]&amp;Transformation[[#This Row],[Transaction to]]</f>
        <v>IW08822(1) -&gt; IW016ISWC</v>
      </c>
      <c r="BT29" s="26" t="str">
        <f>_xlfn.XLOOKUP(Signswitch[[#This Row],[Commodity name]],Commodities[Commodity],Commodities[Commodity code])</f>
        <v>5232</v>
      </c>
      <c r="BU29" s="26" t="str">
        <f>_xlfn.XLOOKUP(Signswitch[[#This Row],[Transaction name]],Transactions[Transaction name],Transactions[Transaction code])</f>
        <v>1214A</v>
      </c>
      <c r="BV29" s="26" t="str">
        <f>Signswitch[[#This Row],[Commodity from]]&amp;Signswitch[[#This Row],[Transaction from]]</f>
        <v>52321214A</v>
      </c>
      <c r="BW29" s="22" t="s">
        <v>306</v>
      </c>
      <c r="BX29" s="26" t="str">
        <f>_xlfn.XLOOKUP(Signswitch[[#This Row],[Commodity from]],Commodities[Commodity code],Commodities[EnergyCode])</f>
        <v>ZJ</v>
      </c>
      <c r="BY29" s="22" t="s">
        <v>478</v>
      </c>
    </row>
    <row r="30" spans="8:77" x14ac:dyDescent="0.45">
      <c r="H30" s="5" t="s">
        <v>285</v>
      </c>
      <c r="I30" s="4" t="s">
        <v>284</v>
      </c>
      <c r="J30" s="9" t="s">
        <v>265</v>
      </c>
      <c r="K30" s="14" t="s">
        <v>1483</v>
      </c>
      <c r="L30" s="23" t="str">
        <f>IFERROR(INDEX(Commodities[[Commodity code]:[Commodity]],MATCH(Commodities[[#This Row],[Parent code]],Commodities[Commodity code],0),2),Commodities[[#This Row],[Commodity]])</f>
        <v>Electricity</v>
      </c>
      <c r="M30" s="24" t="str">
        <f>IFERROR(INDEX(Commodities[[Commodity code]:[Commodity]],MATCH(INDEX(Commodities[[Commodity]:[Parent code]],MATCH(Commodities[[#This Row],[L1N]],Commodities[Commodity],0),2),Commodities[Commodity code],0),2),Commodities[[#This Row],[L1N]])</f>
        <v>Electricity</v>
      </c>
      <c r="N30" s="24" t="str">
        <f>IFERROR(INDEX(Commodities[[Commodity code]:[Commodity]],MATCH(INDEX(Commodities[[Commodity]:[Parent code]],MATCH(Commodities[[#This Row],[L2N]],Commodities[Commodity],0),2),Commodities[Commodity code],0),2),Commodities[[#This Row],[L2N]])</f>
        <v>Electricity</v>
      </c>
      <c r="O30" s="24" t="str">
        <f>IFERROR(INDEX(Commodities[[Commodity code]:[Commodity]],MATCH(INDEX(Commodities[[Commodity]:[Parent code]],MATCH(Commodities[[#This Row],[L3N]],Commodities[Commodity],0),2),Commodities[Commodity code],0),2),Commodities[[#This Row],[L3N]])</f>
        <v>Electricity</v>
      </c>
      <c r="P30" s="24" t="str">
        <f>IF(Commodities[[#This Row],[L4N]]=Commodities[[#This Row],[L3N]],Commodities[[#This Row],[L4N]],IF(Commodities[[#This Row],[L3N]]=Commodities[[#This Row],[L2N]],Commodities[[#This Row],[L3N]],IF(Commodities[[#This Row],[L2N]]=Commodities[[#This Row],[L1N]],Commodities[[#This Row],[L2N]],IF(Commodities[[#This Row],[L1N]]=Commodities[[#This Row],[Commodity]],Commodities[[#This Row],[L1N]],Commodities[[#This Row],[Commodity]]))))</f>
        <v>Electricity</v>
      </c>
      <c r="Q30" s="24" t="str">
        <f>IF(Commodities[[#This Row],[Level 0]]=Commodities[[#This Row],[Commodity]],Commodities[[#This Row],[Commodity]],IF(Commodities[[#This Row],[Level 0]]=Commodities[[#This Row],[L1N]],Commodities[[#This Row],[Commodity]],IF(Commodities[[#This Row],[Level 0]]=Commodities[[#This Row],[L2N]],Commodities[[#This Row],[L1N]],IF(Commodities[[#This Row],[Level 0]]=Commodities[[#This Row],[L3N]],Commodities[[#This Row],[L2N]],IF(Commodities[[#This Row],[Level 0]]=Commodities[[#This Row],[L4N]],Commodities[[#This Row],[L3N]],Commodities[[#This Row],[L4N]])))))</f>
        <v>Geothermal electricity</v>
      </c>
      <c r="R30" s="24" t="str">
        <f>IF(Commodities[[#This Row],[Level 1]]=Commodities[[#This Row],[Commodity]],Commodities[[#This Row],[Commodity]],IF(Commodities[[#This Row],[Level 1]]=Commodities[[#This Row],[L1N]],Commodities[[#This Row],[Commodity]],IF(Commodities[[#This Row],[Level 1]]=Commodities[[#This Row],[L2N]],Commodities[[#This Row],[L1N]],IF(Commodities[[#This Row],[Level 1]]=Commodities[[#This Row],[L3N]],Commodities[[#This Row],[L2N]],IF(Commodities[[#This Row],[Level 1]]=Commodities[[#This Row],[L4N]],Commodities[[#This Row],[L3N]],Commodities[[#This Row],[L4N]])))))</f>
        <v>Geothermal electricity</v>
      </c>
      <c r="S30" s="24" t="str">
        <f>IF(Commodities[[#This Row],[Level 2]]=Commodities[[#This Row],[Commodity]],Commodities[[#This Row],[Commodity]],IF(Commodities[[#This Row],[Level 2]]=Commodities[[#This Row],[L1N]],Commodities[[#This Row],[Commodity]],IF(Commodities[[#This Row],[Level 2]]=Commodities[[#This Row],[L2N]],Commodities[[#This Row],[L1N]],IF(Commodities[[#This Row],[Level 2]]=Commodities[[#This Row],[L3N]],Commodities[[#This Row],[L2N]],IF(Commodities[[#This Row],[Level 2]]=Commodities[[#This Row],[L4N]],Commodities[[#This Row],[L3N]],Commodities[[#This Row],[L4N]])))))</f>
        <v>Geothermal electricity</v>
      </c>
      <c r="T30" s="24" t="str">
        <f>IF(Commodities[[#This Row],[Level 3]]=Commodities[[#This Row],[Commodity]],Commodities[[#This Row],[Commodity]],IF(Commodities[[#This Row],[Level 3]]=Commodities[[#This Row],[L1N]],Commodities[[#This Row],[Commodity]],IF(Commodities[[#This Row],[Level 3]]=Commodities[[#This Row],[L2N]],Commodities[[#This Row],[L1N]],IF(Commodities[[#This Row],[Level 3]]=Commodities[[#This Row],[L3N]],Commodities[[#This Row],[L2N]],IF(Commodities[[#This Row],[Level 3]]=Commodities[[#This Row],[L4N]],Commodities[[#This Row],[L3N]],Commodities[[#This Row],[L4N]])))))</f>
        <v>Geothermal electricity</v>
      </c>
      <c r="U30" s="24" t="str">
        <f>IF(Commodities[[#This Row],[Level 4]]=Commodities[[#This Row],[Commodity]],Commodities[[#This Row],[Commodity]],IF(Commodities[[#This Row],[Level 4]]=Commodities[[#This Row],[L1N]],Commodities[[#This Row],[Commodity]],IF(Commodities[[#This Row],[Level 4]]=Commodities[[#This Row],[L2N]],Commodities[[#This Row],[L1N]],IF(Commodities[[#This Row],[Level 4]]=Commodities[[#This Row],[L3N]],Commodities[[#This Row],[L2N]],IF(Commodities[[#This Row],[Level 4]]=Commodities[[#This Row],[L4N]],Commodities[[#This Row],[L3N]],Commodities[[#This Row],[L4N]])))))</f>
        <v>Geothermal electricity</v>
      </c>
      <c r="Y30" s="5" t="s">
        <v>151</v>
      </c>
      <c r="Z30" s="4" t="s">
        <v>150</v>
      </c>
      <c r="AA30" s="4" t="s">
        <v>150</v>
      </c>
      <c r="AB30" s="6" t="s">
        <v>144</v>
      </c>
      <c r="AC30" s="24" t="str">
        <f>IFERROR(VLOOKUP(Transactions[[#This Row],[Parent code]],Transactions[[Transaction code]:[Transaction name]],2,0),"")</f>
        <v>Energy industries own use</v>
      </c>
      <c r="AD30" s="4" t="s">
        <v>163</v>
      </c>
      <c r="AE30" s="4" t="s">
        <v>150</v>
      </c>
      <c r="AF30" s="4" t="s">
        <v>642</v>
      </c>
      <c r="AG30" s="4" t="s">
        <v>1</v>
      </c>
      <c r="AH30" s="4" t="s">
        <v>695</v>
      </c>
      <c r="AK30" s="24" t="str" cm="1">
        <f t="array" ref="AK30">IFERROR(INDEX(Transactions[[Transaction code]:[Transaction name]],_xlfn.XMATCH(Transactions[[#This Row],[Parent code]],Transactions[Transaction name],0),3),Transactions[[#This Row],[Transaction name]])</f>
        <v>Other energy industry own use</v>
      </c>
      <c r="AL30" s="24" t="str" cm="1">
        <f t="array" ref="AL30">IFERROR(INDEX(Transactions[[Transaction code]:[Transaction name]],_xlfn.XMATCH(INDEX(Transactions[[Transaction name]:[Parent code]],_xlfn.XMATCH(Transactions[[#This Row],[L1N]],Transactions[Transaction name],0),3),Transactions[Transaction code],0),2),Transactions[[#This Row],[L1N]])</f>
        <v>Energy industries own use</v>
      </c>
      <c r="AM30" s="24" t="str" cm="1">
        <f t="array" ref="AM30">IFERROR(INDEX(Transactions[[Transaction code]:[Transaction name]],_xlfn.XMATCH(INDEX(Transactions[[Transaction name]:[Parent code]],_xlfn.XMATCH(Transactions[[#This Row],[L2N]],Transactions[Transaction name],0),3),Transactions[Transaction code],0),2),Transactions[[#This Row],[L2N]])</f>
        <v>Energy industries own use</v>
      </c>
      <c r="AN30" s="24" t="str" cm="1">
        <f t="array" ref="AN30">IFERROR(INDEX(Transactions[[Transaction code]:[Transaction name]],_xlfn.XMATCH(INDEX(Transactions[[Transaction name]:[Parent code]],_xlfn.XMATCH(Transactions[[#This Row],[L3N]],Transactions[Transaction name],0),3),Transactions[Transaction code],0),2),Transactions[[#This Row],[L3N]])</f>
        <v>Energy industries own use</v>
      </c>
      <c r="AO30" s="24" t="str" cm="1">
        <f t="array" ref="AO30">IFERROR(INDEX(Transactions[[Transaction code]:[Transaction name]],_xlfn.XMATCH(INDEX(Transactions[[Transaction name]:[Parent code]],_xlfn.XMATCH(Transactions[[#This Row],[L4N]],Transactions[Transaction name],0),3),Transactions[Transaction code],0),2),Transactions[[#This Row],[L4N]])</f>
        <v>Energy industries own use</v>
      </c>
      <c r="AP30" s="24" t="str" cm="1">
        <f t="array" ref="AP30">IFERROR(INDEX(Transactions[[Transaction code]:[Transaction name]],_xlfn.XMATCH(INDEX(Transactions[[Transaction name]:[Parent code]],_xlfn.XMATCH(Transactions[[#This Row],[L5N]],Transactions[Transaction name],0),3),Transactions[Transaction code],0),2),Transactions[[#This Row],[L5N]])</f>
        <v>Energy industries own use</v>
      </c>
      <c r="AQ30" s="24" t="str" cm="1">
        <f t="array" ref="AQ30">IFERROR(INDEX(Transactions[[Transaction code]:[Transaction name]],_xlfn.XMATCH(INDEX(Transactions[[Transaction name]:[Parent code]],_xlfn.XMATCH(Transactions[[#This Row],[L6N]],Transactions[Transaction name],0),3),Transactions[Transaction code],0),2),Transactions[[#This Row],[L6N]])</f>
        <v>Energy industries own use</v>
      </c>
      <c r="AR30" s="27" t="str">
        <f>IF(Transactions[[#This Row],[L7N]]=Transactions[[#This Row],[L6N]],Transactions[[#This Row],[L7N]],IF(Transactions[[#This Row],[L6N]]=Transactions[[#This Row],[L5N]],Transactions[[#This Row],[L6N]],IF(Transactions[[#This Row],[L5N]]=Transactions[[#This Row],[L4N]],Transactions[[#This Row],[L5N]],IF(Transactions[[#This Row],[L4N]]=Transactions[[#This Row],[L3N]],Transactions[[#This Row],[L4N]],IF(Transactions[[#This Row],[L3N]]=Transactions[[#This Row],[L2N]],Transactions[[#This Row],[L3N]],IF(Transactions[[#This Row],[L2N]]=Transactions[[#This Row],[L1N]],Transactions[[#This Row],[L2N]],IF(Transactions[[#This Row],[L1N]]=Transactions[[#This Row],[Transaction name]],Transactions[[#This Row],[L1N]],Transactions[[#This Row],[Transaction name]])))))))</f>
        <v>Energy industries own use</v>
      </c>
      <c r="AS30" s="24" t="str">
        <f>IF(Transactions[[#This Row],[Level 0]]=Transactions[[#This Row],[Transaction name]],Transactions[[#This Row],[Transaction name]],IF(Transactions[[#This Row],[Level 0]]=Transactions[[#This Row],[L1N]],Transactions[[#This Row],[Transaction name]],IF(Transactions[[#This Row],[Level 0]]=Transactions[[#This Row],[L2N]],Transactions[[#This Row],[L1N]],IF(Transactions[[#This Row],[Level 0]]=Transactions[[#This Row],[L3N]],Transactions[[#This Row],[L2N]],IF(Transactions[[#This Row],[Level 0]]=Transactions[[#This Row],[L4N]],Transactions[[#This Row],[L3N]],IF(Transactions[[#This Row],[Level 0]]=Transactions[[#This Row],[L5N]],Transactions[[#This Row],[L4N]],IF(Transactions[[#This Row],[Level 0]]=Transactions[[#This Row],[L6N]],Transactions[[#This Row],[L5N]],IF(Transactions[[#This Row],[Level 0]]=Transactions[[#This Row],[L7N]],Transactions[[#This Row],[L6N]],Transactions[[#This Row],[L7N]]))))))))</f>
        <v>Other energy industry own use</v>
      </c>
      <c r="AT30" s="24" t="str">
        <f>IF(Transactions[[#This Row],[Level 1]]=Transactions[[#This Row],[Transaction name]],Transactions[[#This Row],[Transaction name]],IF(Transactions[[#This Row],[Level 1]]=Transactions[[#This Row],[L1N]],Transactions[[#This Row],[Transaction name]],IF(Transactions[[#This Row],[Level 1]]=Transactions[[#This Row],[L2N]],Transactions[[#This Row],[L1N]],IF(Transactions[[#This Row],[Level 1]]=Transactions[[#This Row],[L3N]],Transactions[[#This Row],[L2N]],IF(Transactions[[#This Row],[Level 1]]=Transactions[[#This Row],[L4N]],Transactions[[#This Row],[L3N]],IF(Transactions[[#This Row],[Level 1]]=Transactions[[#This Row],[L5N]],Transactions[[#This Row],[L4N]],IF(Transactions[[#This Row],[Level 1]]=Transactions[[#This Row],[L6N]],Transactions[[#This Row],[L5N]],IF(Transactions[[#This Row],[Level 1]]=Transactions[[#This Row],[L7N]],Transactions[[#This Row],[L6N]],Transactions[[#This Row],[L7N]]))))))))</f>
        <v>Other energy industry own use</v>
      </c>
      <c r="AU30" s="24" t="str">
        <f>IF(Transactions[[#This Row],[Level 2]]=Transactions[[#This Row],[Transaction name]],Transactions[[#This Row],[Transaction name]],IF(Transactions[[#This Row],[Level 2]]=Transactions[[#This Row],[L1N]],Transactions[[#This Row],[Transaction name]],IF(Transactions[[#This Row],[Level 2]]=Transactions[[#This Row],[L2N]],Transactions[[#This Row],[L1N]],IF(Transactions[[#This Row],[Level 2]]=Transactions[[#This Row],[L3N]],Transactions[[#This Row],[L2N]],IF(Transactions[[#This Row],[Level 2]]=Transactions[[#This Row],[L4N]],Transactions[[#This Row],[L3N]],IF(Transactions[[#This Row],[Level 2]]=Transactions[[#This Row],[L5N]],Transactions[[#This Row],[L4N]],IF(Transactions[[#This Row],[Level 2]]=Transactions[[#This Row],[L6N]],Transactions[[#This Row],[L5N]],IF(Transactions[[#This Row],[Level 2]]=Transactions[[#This Row],[L7N]],Transactions[[#This Row],[L6N]],Transactions[[#This Row],[L7N]]))))))))</f>
        <v>Other energy industry own use</v>
      </c>
      <c r="AV30" s="24" t="str">
        <f>IF(Transactions[[#This Row],[Level 3]]=Transactions[[#This Row],[Transaction name]],Transactions[[#This Row],[Transaction name]],IF(Transactions[[#This Row],[Level 3]]=Transactions[[#This Row],[L1N]],Transactions[[#This Row],[Transaction name]],IF(Transactions[[#This Row],[Level 3]]=Transactions[[#This Row],[L2N]],Transactions[[#This Row],[L1N]],IF(Transactions[[#This Row],[Level 3]]=Transactions[[#This Row],[L3N]],Transactions[[#This Row],[L2N]],IF(Transactions[[#This Row],[Level 3]]=Transactions[[#This Row],[L4N]],Transactions[[#This Row],[L3N]],IF(Transactions[[#This Row],[Level 3]]=Transactions[[#This Row],[L5N]],Transactions[[#This Row],[L4N]],IF(Transactions[[#This Row],[Level 3]]=Transactions[[#This Row],[L6N]],Transactions[[#This Row],[L5N]],IF(Transactions[[#This Row],[Level 3]]=Transactions[[#This Row],[L7N]],Transactions[[#This Row],[L6N]],Transactions[[#This Row],[L7N]]))))))))</f>
        <v>Other energy industry own use</v>
      </c>
      <c r="AW30" s="24" t="str">
        <f>IF(Transactions[[#This Row],[Level 4]]=Transactions[[#This Row],[Transaction name]],Transactions[[#This Row],[Transaction name]],IF(Transactions[[#This Row],[Level 4]]=Transactions[[#This Row],[L1N]],Transactions[[#This Row],[Transaction name]],IF(Transactions[[#This Row],[Level 4]]=Transactions[[#This Row],[L2N]],Transactions[[#This Row],[L1N]],IF(Transactions[[#This Row],[Level 4]]=Transactions[[#This Row],[L3N]],Transactions[[#This Row],[L2N]],IF(Transactions[[#This Row],[Level 4]]=Transactions[[#This Row],[L4N]],Transactions[[#This Row],[L3N]],IF(Transactions[[#This Row],[Level 4]]=Transactions[[#This Row],[L5N]],Transactions[[#This Row],[L4N]],IF(Transactions[[#This Row],[Level 4]]=Transactions[[#This Row],[L6N]],Transactions[[#This Row],[L5N]],IF(Transactions[[#This Row],[Level 4]]=Transactions[[#This Row],[L7N]],Transactions[[#This Row],[L6N]],Transactions[[#This Row],[L7N]]))))))))</f>
        <v>Other energy industry own use</v>
      </c>
      <c r="AX30" s="24" t="str">
        <f>IF(Transactions[[#This Row],[Level 5]]=Transactions[[#This Row],[Transaction name]],Transactions[[#This Row],[Transaction name]],IF(Transactions[[#This Row],[Level 5]]=Transactions[[#This Row],[L1N]],Transactions[[#This Row],[Transaction name]],IF(Transactions[[#This Row],[Level 5]]=Transactions[[#This Row],[L2N]],Transactions[[#This Row],[L1N]],IF(Transactions[[#This Row],[Level 5]]=Transactions[[#This Row],[L3N]],Transactions[[#This Row],[L2N]],IF(Transactions[[#This Row],[Level 5]]=Transactions[[#This Row],[L4N]],Transactions[[#This Row],[L3N]],IF(Transactions[[#This Row],[Level 5]]=Transactions[[#This Row],[L5N]],Transactions[[#This Row],[L4N]],IF(Transactions[[#This Row],[Level 5]]=Transactions[[#This Row],[L6N]],Transactions[[#This Row],[L5N]],IF(Transactions[[#This Row],[Level 5]]=Transactions[[#This Row],[L7N]],Transactions[[#This Row],[L6N]],Transactions[[#This Row],[L7N]]))))))))</f>
        <v>Other energy industry own use</v>
      </c>
      <c r="AY30" s="24" t="str">
        <f>IF(Transactions[[#This Row],[Level 6]]=Transactions[[#This Row],[Transaction name]],Transactions[[#This Row],[Transaction name]],IF(Transactions[[#This Row],[Level 6]]=Transactions[[#This Row],[L1N]],Transactions[[#This Row],[Transaction name]],IF(Transactions[[#This Row],[Level 6]]=Transactions[[#This Row],[L2N]],Transactions[[#This Row],[L1N]],IF(Transactions[[#This Row],[Level 6]]=Transactions[[#This Row],[L3N]],Transactions[[#This Row],[L2N]],IF(Transactions[[#This Row],[Level 6]]=Transactions[[#This Row],[L4N]],Transactions[[#This Row],[L3N]],IF(Transactions[[#This Row],[Level 6]]=Transactions[[#This Row],[L5N]],Transactions[[#This Row],[L4N]],IF(Transactions[[#This Row],[Level 6]]=Transactions[[#This Row],[L6N]],Transactions[[#This Row],[L5N]],IF(Transactions[[#This Row],[Level 6]]=Transactions[[#This Row],[L7N]],Transactions[[#This Row],[L6N]],Transactions[[#This Row],[L7N]]))))))))</f>
        <v>Other energy industry own use</v>
      </c>
      <c r="BE30" s="26" t="str">
        <f>_xlfn.XLOOKUP(Transformation[[#This Row],[cfrom]],Commodities[Commodity],Commodities[Commodity code])</f>
        <v>4661</v>
      </c>
      <c r="BF30" s="26" t="str">
        <f>_xlfn.XLOOKUP(Transformation[[#This Row],[tfrom]],Transactions[Transaction name],Transactions[Transaction code])</f>
        <v>08822</v>
      </c>
      <c r="BG30" s="26" t="str">
        <f>_xlfn.XLOOKUP(Transformation[[#This Row],[cto]],Commodities[Commodity],Commodities[Commodity code])</f>
        <v>4661</v>
      </c>
      <c r="BH30" s="26" t="str">
        <f>_xlfn.XLOOKUP(Transformation[[#This Row],[tto]],Transactions[Transaction name],Transactions[Transaction code])</f>
        <v>016OPC</v>
      </c>
      <c r="BI30" s="11">
        <v>1</v>
      </c>
      <c r="BJ30" s="4" t="s">
        <v>381</v>
      </c>
      <c r="BK30" s="24" t="str">
        <f>_xlfn.XLOOKUP(Transformation[[#This Row],[Commodity from]],Commodities[Commodity code],Commodities[EnergyCode])</f>
        <v>JF</v>
      </c>
      <c r="BL30" s="4" t="s">
        <v>692</v>
      </c>
      <c r="BM30" s="4" t="s">
        <v>381</v>
      </c>
      <c r="BN30" s="24" t="str">
        <f>_xlfn.XLOOKUP(Transformation[[#This Row],[Commodity to]],Commodities[Commodity code],Commodities[EnergyCode])</f>
        <v>JF</v>
      </c>
      <c r="BO30" s="4" t="s">
        <v>1054</v>
      </c>
      <c r="BP30" s="16" t="s">
        <v>1493</v>
      </c>
      <c r="BQ30" s="33" t="str">
        <f>Transformation[[#This Row],[Commodity from]]&amp;Transformation[[#This Row],[Transaction from]]&amp;Transformation[[#This Row],[Commodity to]]&amp;Transformation[[#This Row],[Transaction to]]</f>
        <v>4661088224661016OPC</v>
      </c>
      <c r="BR30" s="26" t="str">
        <f>Transformation[[#This Row],[crfomid]]&amp;Transformation[[#This Row],[Transaction from]]&amp;"("&amp;Transformation[[#This Row],[Multiplier]]&amp;") -&gt; "&amp;Transformation[[#This Row],[ctoid]]&amp;Transformation[[#This Row],[Transaction to]]</f>
        <v>JF08822(1) -&gt; JF016OPC</v>
      </c>
      <c r="BT30" s="26" t="str">
        <f>_xlfn.XLOOKUP(Signswitch[[#This Row],[Commodity name]],Commodities[Commodity],Commodities[Commodity code])</f>
        <v>5222</v>
      </c>
      <c r="BU30" s="26" t="str">
        <f>_xlfn.XLOOKUP(Signswitch[[#This Row],[Transaction name]],Transactions[Transaction name],Transactions[Transaction code])</f>
        <v>1214A</v>
      </c>
      <c r="BV30" s="26" t="str">
        <f>Signswitch[[#This Row],[Commodity from]]&amp;Signswitch[[#This Row],[Transaction from]]</f>
        <v>52221214A</v>
      </c>
      <c r="BW30" s="22" t="s">
        <v>962</v>
      </c>
      <c r="BX30" s="26" t="str">
        <f>_xlfn.XLOOKUP(Signswitch[[#This Row],[Commodity from]],Commodities[Commodity code],Commodities[EnergyCode])</f>
        <v>ZD</v>
      </c>
      <c r="BY30" s="22" t="s">
        <v>478</v>
      </c>
    </row>
    <row r="31" spans="8:77" x14ac:dyDescent="0.45">
      <c r="H31" s="5" t="s">
        <v>282</v>
      </c>
      <c r="I31" s="4" t="s">
        <v>281</v>
      </c>
      <c r="J31" s="9" t="s">
        <v>265</v>
      </c>
      <c r="K31" s="14" t="s">
        <v>1484</v>
      </c>
      <c r="L31" s="23" t="str">
        <f>IFERROR(INDEX(Commodities[[Commodity code]:[Commodity]],MATCH(Commodities[[#This Row],[Parent code]],Commodities[Commodity code],0),2),Commodities[[#This Row],[Commodity]])</f>
        <v>Electricity</v>
      </c>
      <c r="M31" s="24" t="str">
        <f>IFERROR(INDEX(Commodities[[Commodity code]:[Commodity]],MATCH(INDEX(Commodities[[Commodity]:[Parent code]],MATCH(Commodities[[#This Row],[L1N]],Commodities[Commodity],0),2),Commodities[Commodity code],0),2),Commodities[[#This Row],[L1N]])</f>
        <v>Electricity</v>
      </c>
      <c r="N31" s="24" t="str">
        <f>IFERROR(INDEX(Commodities[[Commodity code]:[Commodity]],MATCH(INDEX(Commodities[[Commodity]:[Parent code]],MATCH(Commodities[[#This Row],[L2N]],Commodities[Commodity],0),2),Commodities[Commodity code],0),2),Commodities[[#This Row],[L2N]])</f>
        <v>Electricity</v>
      </c>
      <c r="O31" s="24" t="str">
        <f>IFERROR(INDEX(Commodities[[Commodity code]:[Commodity]],MATCH(INDEX(Commodities[[Commodity]:[Parent code]],MATCH(Commodities[[#This Row],[L3N]],Commodities[Commodity],0),2),Commodities[Commodity code],0),2),Commodities[[#This Row],[L3N]])</f>
        <v>Electricity</v>
      </c>
      <c r="P31" s="24" t="str">
        <f>IF(Commodities[[#This Row],[L4N]]=Commodities[[#This Row],[L3N]],Commodities[[#This Row],[L4N]],IF(Commodities[[#This Row],[L3N]]=Commodities[[#This Row],[L2N]],Commodities[[#This Row],[L3N]],IF(Commodities[[#This Row],[L2N]]=Commodities[[#This Row],[L1N]],Commodities[[#This Row],[L2N]],IF(Commodities[[#This Row],[L1N]]=Commodities[[#This Row],[Commodity]],Commodities[[#This Row],[L1N]],Commodities[[#This Row],[Commodity]]))))</f>
        <v>Electricity</v>
      </c>
      <c r="Q31" s="24" t="str">
        <f>IF(Commodities[[#This Row],[Level 0]]=Commodities[[#This Row],[Commodity]],Commodities[[#This Row],[Commodity]],IF(Commodities[[#This Row],[Level 0]]=Commodities[[#This Row],[L1N]],Commodities[[#This Row],[Commodity]],IF(Commodities[[#This Row],[Level 0]]=Commodities[[#This Row],[L2N]],Commodities[[#This Row],[L1N]],IF(Commodities[[#This Row],[Level 0]]=Commodities[[#This Row],[L3N]],Commodities[[#This Row],[L2N]],IF(Commodities[[#This Row],[Level 0]]=Commodities[[#This Row],[L4N]],Commodities[[#This Row],[L3N]],Commodities[[#This Row],[L4N]])))))</f>
        <v>Hydropower electricity</v>
      </c>
      <c r="R31" s="24" t="str">
        <f>IF(Commodities[[#This Row],[Level 1]]=Commodities[[#This Row],[Commodity]],Commodities[[#This Row],[Commodity]],IF(Commodities[[#This Row],[Level 1]]=Commodities[[#This Row],[L1N]],Commodities[[#This Row],[Commodity]],IF(Commodities[[#This Row],[Level 1]]=Commodities[[#This Row],[L2N]],Commodities[[#This Row],[L1N]],IF(Commodities[[#This Row],[Level 1]]=Commodities[[#This Row],[L3N]],Commodities[[#This Row],[L2N]],IF(Commodities[[#This Row],[Level 1]]=Commodities[[#This Row],[L4N]],Commodities[[#This Row],[L3N]],Commodities[[#This Row],[L4N]])))))</f>
        <v>Hydropower electricity</v>
      </c>
      <c r="S31" s="24" t="str">
        <f>IF(Commodities[[#This Row],[Level 2]]=Commodities[[#This Row],[Commodity]],Commodities[[#This Row],[Commodity]],IF(Commodities[[#This Row],[Level 2]]=Commodities[[#This Row],[L1N]],Commodities[[#This Row],[Commodity]],IF(Commodities[[#This Row],[Level 2]]=Commodities[[#This Row],[L2N]],Commodities[[#This Row],[L1N]],IF(Commodities[[#This Row],[Level 2]]=Commodities[[#This Row],[L3N]],Commodities[[#This Row],[L2N]],IF(Commodities[[#This Row],[Level 2]]=Commodities[[#This Row],[L4N]],Commodities[[#This Row],[L3N]],Commodities[[#This Row],[L4N]])))))</f>
        <v>Hydropower electricity</v>
      </c>
      <c r="T31" s="24" t="str">
        <f>IF(Commodities[[#This Row],[Level 3]]=Commodities[[#This Row],[Commodity]],Commodities[[#This Row],[Commodity]],IF(Commodities[[#This Row],[Level 3]]=Commodities[[#This Row],[L1N]],Commodities[[#This Row],[Commodity]],IF(Commodities[[#This Row],[Level 3]]=Commodities[[#This Row],[L2N]],Commodities[[#This Row],[L1N]],IF(Commodities[[#This Row],[Level 3]]=Commodities[[#This Row],[L3N]],Commodities[[#This Row],[L2N]],IF(Commodities[[#This Row],[Level 3]]=Commodities[[#This Row],[L4N]],Commodities[[#This Row],[L3N]],Commodities[[#This Row],[L4N]])))))</f>
        <v>Hydropower electricity</v>
      </c>
      <c r="U31" s="24" t="str">
        <f>IF(Commodities[[#This Row],[Level 4]]=Commodities[[#This Row],[Commodity]],Commodities[[#This Row],[Commodity]],IF(Commodities[[#This Row],[Level 4]]=Commodities[[#This Row],[L1N]],Commodities[[#This Row],[Commodity]],IF(Commodities[[#This Row],[Level 4]]=Commodities[[#This Row],[L2N]],Commodities[[#This Row],[L1N]],IF(Commodities[[#This Row],[Level 4]]=Commodities[[#This Row],[L3N]],Commodities[[#This Row],[L2N]],IF(Commodities[[#This Row],[Level 4]]=Commodities[[#This Row],[L4N]],Commodities[[#This Row],[L3N]],Commodities[[#This Row],[L4N]])))))</f>
        <v>Hydropower electricity</v>
      </c>
      <c r="Y31" s="5" t="s">
        <v>153</v>
      </c>
      <c r="Z31" s="4" t="s">
        <v>713</v>
      </c>
      <c r="AA31" s="4" t="s">
        <v>713</v>
      </c>
      <c r="AB31" s="6" t="s">
        <v>144</v>
      </c>
      <c r="AC31" s="24" t="str">
        <f>IFERROR(VLOOKUP(Transactions[[#This Row],[Parent code]],Transactions[[Transaction code]:[Transaction name]],2,0),"")</f>
        <v>Energy industries own use</v>
      </c>
      <c r="AD31" s="4" t="s">
        <v>163</v>
      </c>
      <c r="AE31" s="4" t="s">
        <v>944</v>
      </c>
      <c r="AF31" s="4" t="s">
        <v>642</v>
      </c>
      <c r="AG31" s="4" t="s">
        <v>1</v>
      </c>
      <c r="AH31" s="4" t="s">
        <v>695</v>
      </c>
      <c r="AK31" s="24" t="str" cm="1">
        <f t="array" ref="AK31">IFERROR(INDEX(Transactions[[Transaction code]:[Transaction name]],_xlfn.XMATCH(Transactions[[#This Row],[Parent code]],Transactions[Transaction name],0),3),Transactions[[#This Row],[Transaction name]])</f>
        <v>Pump-storage plants (own use)</v>
      </c>
      <c r="AL31" s="24" t="str" cm="1">
        <f t="array" ref="AL31">IFERROR(INDEX(Transactions[[Transaction code]:[Transaction name]],_xlfn.XMATCH(INDEX(Transactions[[Transaction name]:[Parent code]],_xlfn.XMATCH(Transactions[[#This Row],[L1N]],Transactions[Transaction name],0),3),Transactions[Transaction code],0),2),Transactions[[#This Row],[L1N]])</f>
        <v>Energy industries own use</v>
      </c>
      <c r="AM31" s="24" t="str" cm="1">
        <f t="array" ref="AM31">IFERROR(INDEX(Transactions[[Transaction code]:[Transaction name]],_xlfn.XMATCH(INDEX(Transactions[[Transaction name]:[Parent code]],_xlfn.XMATCH(Transactions[[#This Row],[L2N]],Transactions[Transaction name],0),3),Transactions[Transaction code],0),2),Transactions[[#This Row],[L2N]])</f>
        <v>Energy industries own use</v>
      </c>
      <c r="AN31" s="24" t="str" cm="1">
        <f t="array" ref="AN31">IFERROR(INDEX(Transactions[[Transaction code]:[Transaction name]],_xlfn.XMATCH(INDEX(Transactions[[Transaction name]:[Parent code]],_xlfn.XMATCH(Transactions[[#This Row],[L3N]],Transactions[Transaction name],0),3),Transactions[Transaction code],0),2),Transactions[[#This Row],[L3N]])</f>
        <v>Energy industries own use</v>
      </c>
      <c r="AO31" s="24" t="str" cm="1">
        <f t="array" ref="AO31">IFERROR(INDEX(Transactions[[Transaction code]:[Transaction name]],_xlfn.XMATCH(INDEX(Transactions[[Transaction name]:[Parent code]],_xlfn.XMATCH(Transactions[[#This Row],[L4N]],Transactions[Transaction name],0),3),Transactions[Transaction code],0),2),Transactions[[#This Row],[L4N]])</f>
        <v>Energy industries own use</v>
      </c>
      <c r="AP31" s="24" t="str" cm="1">
        <f t="array" ref="AP31">IFERROR(INDEX(Transactions[[Transaction code]:[Transaction name]],_xlfn.XMATCH(INDEX(Transactions[[Transaction name]:[Parent code]],_xlfn.XMATCH(Transactions[[#This Row],[L5N]],Transactions[Transaction name],0),3),Transactions[Transaction code],0),2),Transactions[[#This Row],[L5N]])</f>
        <v>Energy industries own use</v>
      </c>
      <c r="AQ31" s="24" t="str" cm="1">
        <f t="array" ref="AQ31">IFERROR(INDEX(Transactions[[Transaction code]:[Transaction name]],_xlfn.XMATCH(INDEX(Transactions[[Transaction name]:[Parent code]],_xlfn.XMATCH(Transactions[[#This Row],[L6N]],Transactions[Transaction name],0),3),Transactions[Transaction code],0),2),Transactions[[#This Row],[L6N]])</f>
        <v>Energy industries own use</v>
      </c>
      <c r="AR31" s="27" t="str">
        <f>IF(Transactions[[#This Row],[L7N]]=Transactions[[#This Row],[L6N]],Transactions[[#This Row],[L7N]],IF(Transactions[[#This Row],[L6N]]=Transactions[[#This Row],[L5N]],Transactions[[#This Row],[L6N]],IF(Transactions[[#This Row],[L5N]]=Transactions[[#This Row],[L4N]],Transactions[[#This Row],[L5N]],IF(Transactions[[#This Row],[L4N]]=Transactions[[#This Row],[L3N]],Transactions[[#This Row],[L4N]],IF(Transactions[[#This Row],[L3N]]=Transactions[[#This Row],[L2N]],Transactions[[#This Row],[L3N]],IF(Transactions[[#This Row],[L2N]]=Transactions[[#This Row],[L1N]],Transactions[[#This Row],[L2N]],IF(Transactions[[#This Row],[L1N]]=Transactions[[#This Row],[Transaction name]],Transactions[[#This Row],[L1N]],Transactions[[#This Row],[Transaction name]])))))))</f>
        <v>Energy industries own use</v>
      </c>
      <c r="AS31" s="24" t="str">
        <f>IF(Transactions[[#This Row],[Level 0]]=Transactions[[#This Row],[Transaction name]],Transactions[[#This Row],[Transaction name]],IF(Transactions[[#This Row],[Level 0]]=Transactions[[#This Row],[L1N]],Transactions[[#This Row],[Transaction name]],IF(Transactions[[#This Row],[Level 0]]=Transactions[[#This Row],[L2N]],Transactions[[#This Row],[L1N]],IF(Transactions[[#This Row],[Level 0]]=Transactions[[#This Row],[L3N]],Transactions[[#This Row],[L2N]],IF(Transactions[[#This Row],[Level 0]]=Transactions[[#This Row],[L4N]],Transactions[[#This Row],[L3N]],IF(Transactions[[#This Row],[Level 0]]=Transactions[[#This Row],[L5N]],Transactions[[#This Row],[L4N]],IF(Transactions[[#This Row],[Level 0]]=Transactions[[#This Row],[L6N]],Transactions[[#This Row],[L5N]],IF(Transactions[[#This Row],[Level 0]]=Transactions[[#This Row],[L7N]],Transactions[[#This Row],[L6N]],Transactions[[#This Row],[L7N]]))))))))</f>
        <v>Pump-storage plants (own use)</v>
      </c>
      <c r="AT31" s="24" t="str">
        <f>IF(Transactions[[#This Row],[Level 1]]=Transactions[[#This Row],[Transaction name]],Transactions[[#This Row],[Transaction name]],IF(Transactions[[#This Row],[Level 1]]=Transactions[[#This Row],[L1N]],Transactions[[#This Row],[Transaction name]],IF(Transactions[[#This Row],[Level 1]]=Transactions[[#This Row],[L2N]],Transactions[[#This Row],[L1N]],IF(Transactions[[#This Row],[Level 1]]=Transactions[[#This Row],[L3N]],Transactions[[#This Row],[L2N]],IF(Transactions[[#This Row],[Level 1]]=Transactions[[#This Row],[L4N]],Transactions[[#This Row],[L3N]],IF(Transactions[[#This Row],[Level 1]]=Transactions[[#This Row],[L5N]],Transactions[[#This Row],[L4N]],IF(Transactions[[#This Row],[Level 1]]=Transactions[[#This Row],[L6N]],Transactions[[#This Row],[L5N]],IF(Transactions[[#This Row],[Level 1]]=Transactions[[#This Row],[L7N]],Transactions[[#This Row],[L6N]],Transactions[[#This Row],[L7N]]))))))))</f>
        <v>Pump-storage plants (own use)</v>
      </c>
      <c r="AU31" s="24" t="str">
        <f>IF(Transactions[[#This Row],[Level 2]]=Transactions[[#This Row],[Transaction name]],Transactions[[#This Row],[Transaction name]],IF(Transactions[[#This Row],[Level 2]]=Transactions[[#This Row],[L1N]],Transactions[[#This Row],[Transaction name]],IF(Transactions[[#This Row],[Level 2]]=Transactions[[#This Row],[L2N]],Transactions[[#This Row],[L1N]],IF(Transactions[[#This Row],[Level 2]]=Transactions[[#This Row],[L3N]],Transactions[[#This Row],[L2N]],IF(Transactions[[#This Row],[Level 2]]=Transactions[[#This Row],[L4N]],Transactions[[#This Row],[L3N]],IF(Transactions[[#This Row],[Level 2]]=Transactions[[#This Row],[L5N]],Transactions[[#This Row],[L4N]],IF(Transactions[[#This Row],[Level 2]]=Transactions[[#This Row],[L6N]],Transactions[[#This Row],[L5N]],IF(Transactions[[#This Row],[Level 2]]=Transactions[[#This Row],[L7N]],Transactions[[#This Row],[L6N]],Transactions[[#This Row],[L7N]]))))))))</f>
        <v>Pump-storage plants (own use)</v>
      </c>
      <c r="AV31" s="24" t="str">
        <f>IF(Transactions[[#This Row],[Level 3]]=Transactions[[#This Row],[Transaction name]],Transactions[[#This Row],[Transaction name]],IF(Transactions[[#This Row],[Level 3]]=Transactions[[#This Row],[L1N]],Transactions[[#This Row],[Transaction name]],IF(Transactions[[#This Row],[Level 3]]=Transactions[[#This Row],[L2N]],Transactions[[#This Row],[L1N]],IF(Transactions[[#This Row],[Level 3]]=Transactions[[#This Row],[L3N]],Transactions[[#This Row],[L2N]],IF(Transactions[[#This Row],[Level 3]]=Transactions[[#This Row],[L4N]],Transactions[[#This Row],[L3N]],IF(Transactions[[#This Row],[Level 3]]=Transactions[[#This Row],[L5N]],Transactions[[#This Row],[L4N]],IF(Transactions[[#This Row],[Level 3]]=Transactions[[#This Row],[L6N]],Transactions[[#This Row],[L5N]],IF(Transactions[[#This Row],[Level 3]]=Transactions[[#This Row],[L7N]],Transactions[[#This Row],[L6N]],Transactions[[#This Row],[L7N]]))))))))</f>
        <v>Pump-storage plants (own use)</v>
      </c>
      <c r="AW31" s="24" t="str">
        <f>IF(Transactions[[#This Row],[Level 4]]=Transactions[[#This Row],[Transaction name]],Transactions[[#This Row],[Transaction name]],IF(Transactions[[#This Row],[Level 4]]=Transactions[[#This Row],[L1N]],Transactions[[#This Row],[Transaction name]],IF(Transactions[[#This Row],[Level 4]]=Transactions[[#This Row],[L2N]],Transactions[[#This Row],[L1N]],IF(Transactions[[#This Row],[Level 4]]=Transactions[[#This Row],[L3N]],Transactions[[#This Row],[L2N]],IF(Transactions[[#This Row],[Level 4]]=Transactions[[#This Row],[L4N]],Transactions[[#This Row],[L3N]],IF(Transactions[[#This Row],[Level 4]]=Transactions[[#This Row],[L5N]],Transactions[[#This Row],[L4N]],IF(Transactions[[#This Row],[Level 4]]=Transactions[[#This Row],[L6N]],Transactions[[#This Row],[L5N]],IF(Transactions[[#This Row],[Level 4]]=Transactions[[#This Row],[L7N]],Transactions[[#This Row],[L6N]],Transactions[[#This Row],[L7N]]))))))))</f>
        <v>Pump-storage plants (own use)</v>
      </c>
      <c r="AX31" s="24" t="str">
        <f>IF(Transactions[[#This Row],[Level 5]]=Transactions[[#This Row],[Transaction name]],Transactions[[#This Row],[Transaction name]],IF(Transactions[[#This Row],[Level 5]]=Transactions[[#This Row],[L1N]],Transactions[[#This Row],[Transaction name]],IF(Transactions[[#This Row],[Level 5]]=Transactions[[#This Row],[L2N]],Transactions[[#This Row],[L1N]],IF(Transactions[[#This Row],[Level 5]]=Transactions[[#This Row],[L3N]],Transactions[[#This Row],[L2N]],IF(Transactions[[#This Row],[Level 5]]=Transactions[[#This Row],[L4N]],Transactions[[#This Row],[L3N]],IF(Transactions[[#This Row],[Level 5]]=Transactions[[#This Row],[L5N]],Transactions[[#This Row],[L4N]],IF(Transactions[[#This Row],[Level 5]]=Transactions[[#This Row],[L6N]],Transactions[[#This Row],[L5N]],IF(Transactions[[#This Row],[Level 5]]=Transactions[[#This Row],[L7N]],Transactions[[#This Row],[L6N]],Transactions[[#This Row],[L7N]]))))))))</f>
        <v>Pump-storage plants (own use)</v>
      </c>
      <c r="AY31" s="24" t="str">
        <f>IF(Transactions[[#This Row],[Level 6]]=Transactions[[#This Row],[Transaction name]],Transactions[[#This Row],[Transaction name]],IF(Transactions[[#This Row],[Level 6]]=Transactions[[#This Row],[L1N]],Transactions[[#This Row],[Transaction name]],IF(Transactions[[#This Row],[Level 6]]=Transactions[[#This Row],[L2N]],Transactions[[#This Row],[L1N]],IF(Transactions[[#This Row],[Level 6]]=Transactions[[#This Row],[L3N]],Transactions[[#This Row],[L2N]],IF(Transactions[[#This Row],[Level 6]]=Transactions[[#This Row],[L4N]],Transactions[[#This Row],[L3N]],IF(Transactions[[#This Row],[Level 6]]=Transactions[[#This Row],[L5N]],Transactions[[#This Row],[L4N]],IF(Transactions[[#This Row],[Level 6]]=Transactions[[#This Row],[L6N]],Transactions[[#This Row],[L5N]],IF(Transactions[[#This Row],[Level 6]]=Transactions[[#This Row],[L7N]],Transactions[[#This Row],[L6N]],Transactions[[#This Row],[L7N]]))))))))</f>
        <v>Pump-storage plants (own use)</v>
      </c>
      <c r="BE31" s="26" t="str">
        <f>_xlfn.XLOOKUP(Transformation[[#This Row],[cfrom]],Commodities[Commodity],Commodities[Commodity code])</f>
        <v>4669</v>
      </c>
      <c r="BF31" s="26" t="str">
        <f>_xlfn.XLOOKUP(Transformation[[#This Row],[tfrom]],Transactions[Transaction name],Transactions[Transaction code])</f>
        <v>08822</v>
      </c>
      <c r="BG31" s="26" t="str">
        <f>_xlfn.XLOOKUP(Transformation[[#This Row],[cto]],Commodities[Commodity],Commodities[Commodity code])</f>
        <v>4669</v>
      </c>
      <c r="BH31" s="26" t="str">
        <f>_xlfn.XLOOKUP(Transformation[[#This Row],[tto]],Transactions[Transaction name],Transactions[Transaction code])</f>
        <v>016OPC</v>
      </c>
      <c r="BI31" s="11">
        <v>1</v>
      </c>
      <c r="BJ31" s="4" t="s">
        <v>377</v>
      </c>
      <c r="BK31" s="24" t="str">
        <f>_xlfn.XLOOKUP(Transformation[[#This Row],[Commodity from]],Commodities[Commodity code],Commodities[EnergyCode])</f>
        <v>KR</v>
      </c>
      <c r="BL31" s="4" t="s">
        <v>692</v>
      </c>
      <c r="BM31" s="4" t="s">
        <v>377</v>
      </c>
      <c r="BN31" s="24" t="str">
        <f>_xlfn.XLOOKUP(Transformation[[#This Row],[Commodity to]],Commodities[Commodity code],Commodities[EnergyCode])</f>
        <v>KR</v>
      </c>
      <c r="BO31" s="4" t="s">
        <v>1054</v>
      </c>
      <c r="BP31" s="16" t="s">
        <v>1493</v>
      </c>
      <c r="BQ31" s="33" t="str">
        <f>Transformation[[#This Row],[Commodity from]]&amp;Transformation[[#This Row],[Transaction from]]&amp;Transformation[[#This Row],[Commodity to]]&amp;Transformation[[#This Row],[Transaction to]]</f>
        <v>4669088224669016OPC</v>
      </c>
      <c r="BR31" s="26" t="str">
        <f>Transformation[[#This Row],[crfomid]]&amp;Transformation[[#This Row],[Transaction from]]&amp;"("&amp;Transformation[[#This Row],[Multiplier]]&amp;") -&gt; "&amp;Transformation[[#This Row],[ctoid]]&amp;Transformation[[#This Row],[Transaction to]]</f>
        <v>KR08822(1) -&gt; KR016OPC</v>
      </c>
      <c r="BT31" s="26" t="str">
        <f>_xlfn.XLOOKUP(Signswitch[[#This Row],[Commodity name]],Commodities[Commodity],Commodities[Commodity code])</f>
        <v>5212</v>
      </c>
      <c r="BU31" s="26" t="str">
        <f>_xlfn.XLOOKUP(Signswitch[[#This Row],[Transaction name]],Transactions[Transaction name],Transactions[Transaction code])</f>
        <v>1214A</v>
      </c>
      <c r="BV31" s="26" t="str">
        <f>Signswitch[[#This Row],[Commodity from]]&amp;Signswitch[[#This Row],[Transaction from]]</f>
        <v>52121214A</v>
      </c>
      <c r="BW31" s="22" t="s">
        <v>317</v>
      </c>
      <c r="BX31" s="26" t="str">
        <f>_xlfn.XLOOKUP(Signswitch[[#This Row],[Commodity from]],Commodities[Commodity code],Commodities[EnergyCode])</f>
        <v>ZG</v>
      </c>
      <c r="BY31" s="22" t="s">
        <v>478</v>
      </c>
    </row>
    <row r="32" spans="8:77" x14ac:dyDescent="0.45">
      <c r="H32" s="5" t="s">
        <v>265</v>
      </c>
      <c r="I32" s="16" t="s">
        <v>544</v>
      </c>
      <c r="J32" s="9"/>
      <c r="K32" s="9" t="s">
        <v>1465</v>
      </c>
      <c r="L32" s="23" t="str">
        <f>IFERROR(INDEX(Commodities[[Commodity code]:[Commodity]],MATCH(Commodities[[#This Row],[Parent code]],Commodities[Commodity code],0),2),Commodities[[#This Row],[Commodity]])</f>
        <v>Electricity</v>
      </c>
      <c r="M32" s="24" t="str">
        <f>IFERROR(INDEX(Commodities[[Commodity code]:[Commodity]],MATCH(INDEX(Commodities[[Commodity]:[Parent code]],MATCH(Commodities[[#This Row],[L1N]],Commodities[Commodity],0),2),Commodities[Commodity code],0),2),Commodities[[#This Row],[L1N]])</f>
        <v>Electricity</v>
      </c>
      <c r="N32" s="24" t="str">
        <f>IFERROR(INDEX(Commodities[[Commodity code]:[Commodity]],MATCH(INDEX(Commodities[[Commodity]:[Parent code]],MATCH(Commodities[[#This Row],[L2N]],Commodities[Commodity],0),2),Commodities[Commodity code],0),2),Commodities[[#This Row],[L2N]])</f>
        <v>Electricity</v>
      </c>
      <c r="O32" s="24" t="str">
        <f>IFERROR(INDEX(Commodities[[Commodity code]:[Commodity]],MATCH(INDEX(Commodities[[Commodity]:[Parent code]],MATCH(Commodities[[#This Row],[L3N]],Commodities[Commodity],0),2),Commodities[Commodity code],0),2),Commodities[[#This Row],[L3N]])</f>
        <v>Electricity</v>
      </c>
      <c r="P32" s="24" t="str">
        <f>IF(Commodities[[#This Row],[L4N]]=Commodities[[#This Row],[L3N]],Commodities[[#This Row],[L4N]],IF(Commodities[[#This Row],[L3N]]=Commodities[[#This Row],[L2N]],Commodities[[#This Row],[L3N]],IF(Commodities[[#This Row],[L2N]]=Commodities[[#This Row],[L1N]],Commodities[[#This Row],[L2N]],IF(Commodities[[#This Row],[L1N]]=Commodities[[#This Row],[Commodity]],Commodities[[#This Row],[L1N]],Commodities[[#This Row],[Commodity]]))))</f>
        <v>Electricity</v>
      </c>
      <c r="Q32" s="24" t="str">
        <f>IF(Commodities[[#This Row],[Level 0]]=Commodities[[#This Row],[Commodity]],Commodities[[#This Row],[Commodity]],IF(Commodities[[#This Row],[Level 0]]=Commodities[[#This Row],[L1N]],Commodities[[#This Row],[Commodity]],IF(Commodities[[#This Row],[Level 0]]=Commodities[[#This Row],[L2N]],Commodities[[#This Row],[L1N]],IF(Commodities[[#This Row],[Level 0]]=Commodities[[#This Row],[L3N]],Commodities[[#This Row],[L2N]],IF(Commodities[[#This Row],[Level 0]]=Commodities[[#This Row],[L4N]],Commodities[[#This Row],[L3N]],Commodities[[#This Row],[L4N]])))))</f>
        <v>Electricity</v>
      </c>
      <c r="R32" s="24" t="str">
        <f>IF(Commodities[[#This Row],[Level 1]]=Commodities[[#This Row],[Commodity]],Commodities[[#This Row],[Commodity]],IF(Commodities[[#This Row],[Level 1]]=Commodities[[#This Row],[L1N]],Commodities[[#This Row],[Commodity]],IF(Commodities[[#This Row],[Level 1]]=Commodities[[#This Row],[L2N]],Commodities[[#This Row],[L1N]],IF(Commodities[[#This Row],[Level 1]]=Commodities[[#This Row],[L3N]],Commodities[[#This Row],[L2N]],IF(Commodities[[#This Row],[Level 1]]=Commodities[[#This Row],[L4N]],Commodities[[#This Row],[L3N]],Commodities[[#This Row],[L4N]])))))</f>
        <v>Electricity</v>
      </c>
      <c r="S32" s="24" t="str">
        <f>IF(Commodities[[#This Row],[Level 2]]=Commodities[[#This Row],[Commodity]],Commodities[[#This Row],[Commodity]],IF(Commodities[[#This Row],[Level 2]]=Commodities[[#This Row],[L1N]],Commodities[[#This Row],[Commodity]],IF(Commodities[[#This Row],[Level 2]]=Commodities[[#This Row],[L2N]],Commodities[[#This Row],[L1N]],IF(Commodities[[#This Row],[Level 2]]=Commodities[[#This Row],[L3N]],Commodities[[#This Row],[L2N]],IF(Commodities[[#This Row],[Level 2]]=Commodities[[#This Row],[L4N]],Commodities[[#This Row],[L3N]],Commodities[[#This Row],[L4N]])))))</f>
        <v>Electricity</v>
      </c>
      <c r="T32" s="24" t="str">
        <f>IF(Commodities[[#This Row],[Level 3]]=Commodities[[#This Row],[Commodity]],Commodities[[#This Row],[Commodity]],IF(Commodities[[#This Row],[Level 3]]=Commodities[[#This Row],[L1N]],Commodities[[#This Row],[Commodity]],IF(Commodities[[#This Row],[Level 3]]=Commodities[[#This Row],[L2N]],Commodities[[#This Row],[L1N]],IF(Commodities[[#This Row],[Level 3]]=Commodities[[#This Row],[L3N]],Commodities[[#This Row],[L2N]],IF(Commodities[[#This Row],[Level 3]]=Commodities[[#This Row],[L4N]],Commodities[[#This Row],[L3N]],Commodities[[#This Row],[L4N]])))))</f>
        <v>Electricity</v>
      </c>
      <c r="U32" s="24" t="str">
        <f>IF(Commodities[[#This Row],[Level 4]]=Commodities[[#This Row],[Commodity]],Commodities[[#This Row],[Commodity]],IF(Commodities[[#This Row],[Level 4]]=Commodities[[#This Row],[L1N]],Commodities[[#This Row],[Commodity]],IF(Commodities[[#This Row],[Level 4]]=Commodities[[#This Row],[L2N]],Commodities[[#This Row],[L1N]],IF(Commodities[[#This Row],[Level 4]]=Commodities[[#This Row],[L3N]],Commodities[[#This Row],[L2N]],IF(Commodities[[#This Row],[Level 4]]=Commodities[[#This Row],[L4N]],Commodities[[#This Row],[L3N]],Commodities[[#This Row],[L4N]])))))</f>
        <v>Electricity</v>
      </c>
      <c r="Y32" s="4" t="s">
        <v>499</v>
      </c>
      <c r="Z32" s="4" t="s">
        <v>846</v>
      </c>
      <c r="AA32" s="4" t="s">
        <v>846</v>
      </c>
      <c r="AC32" s="24" t="str">
        <f>IFERROR(VLOOKUP(Transactions[[#This Row],[Parent code]],Transactions[[Transaction code]:[Transaction name]],2,0),"")</f>
        <v/>
      </c>
      <c r="AD32" s="4" t="s">
        <v>189</v>
      </c>
      <c r="AF32" s="4" t="s">
        <v>642</v>
      </c>
      <c r="AG32" s="4" t="s">
        <v>385</v>
      </c>
      <c r="AK32" s="24" t="str" cm="1">
        <f t="array" ref="AK32">IFERROR(INDEX(Transactions[[Transaction code]:[Transaction name]],_xlfn.XMATCH(Transactions[[#This Row],[Parent code]],Transactions[Transaction name],0),3),Transactions[[#This Row],[Transaction name]])</f>
        <v>Energy industries own use (S)</v>
      </c>
      <c r="AL32" s="24" t="str" cm="1">
        <f t="array" ref="AL32">IFERROR(INDEX(Transactions[[Transaction code]:[Transaction name]],_xlfn.XMATCH(INDEX(Transactions[[Transaction name]:[Parent code]],_xlfn.XMATCH(Transactions[[#This Row],[L1N]],Transactions[Transaction name],0),3),Transactions[Transaction code],0),2),Transactions[[#This Row],[L1N]])</f>
        <v>Energy industries own use (S)</v>
      </c>
      <c r="AM32" s="24" t="str" cm="1">
        <f t="array" ref="AM32">IFERROR(INDEX(Transactions[[Transaction code]:[Transaction name]],_xlfn.XMATCH(INDEX(Transactions[[Transaction name]:[Parent code]],_xlfn.XMATCH(Transactions[[#This Row],[L2N]],Transactions[Transaction name],0),3),Transactions[Transaction code],0),2),Transactions[[#This Row],[L2N]])</f>
        <v>Energy industries own use (S)</v>
      </c>
      <c r="AN32" s="24" t="str" cm="1">
        <f t="array" ref="AN32">IFERROR(INDEX(Transactions[[Transaction code]:[Transaction name]],_xlfn.XMATCH(INDEX(Transactions[[Transaction name]:[Parent code]],_xlfn.XMATCH(Transactions[[#This Row],[L3N]],Transactions[Transaction name],0),3),Transactions[Transaction code],0),2),Transactions[[#This Row],[L3N]])</f>
        <v>Energy industries own use (S)</v>
      </c>
      <c r="AO32" s="24" t="str" cm="1">
        <f t="array" ref="AO32">IFERROR(INDEX(Transactions[[Transaction code]:[Transaction name]],_xlfn.XMATCH(INDEX(Transactions[[Transaction name]:[Parent code]],_xlfn.XMATCH(Transactions[[#This Row],[L4N]],Transactions[Transaction name],0),3),Transactions[Transaction code],0),2),Transactions[[#This Row],[L4N]])</f>
        <v>Energy industries own use (S)</v>
      </c>
      <c r="AP32" s="24" t="str" cm="1">
        <f t="array" ref="AP32">IFERROR(INDEX(Transactions[[Transaction code]:[Transaction name]],_xlfn.XMATCH(INDEX(Transactions[[Transaction name]:[Parent code]],_xlfn.XMATCH(Transactions[[#This Row],[L5N]],Transactions[Transaction name],0),3),Transactions[Transaction code],0),2),Transactions[[#This Row],[L5N]])</f>
        <v>Energy industries own use (S)</v>
      </c>
      <c r="AQ32" s="24" t="str" cm="1">
        <f t="array" ref="AQ32">IFERROR(INDEX(Transactions[[Transaction code]:[Transaction name]],_xlfn.XMATCH(INDEX(Transactions[[Transaction name]:[Parent code]],_xlfn.XMATCH(Transactions[[#This Row],[L6N]],Transactions[Transaction name],0),3),Transactions[Transaction code],0),2),Transactions[[#This Row],[L6N]])</f>
        <v>Energy industries own use (S)</v>
      </c>
      <c r="AR32" s="27" t="str">
        <f>IF(Transactions[[#This Row],[L7N]]=Transactions[[#This Row],[L6N]],Transactions[[#This Row],[L7N]],IF(Transactions[[#This Row],[L6N]]=Transactions[[#This Row],[L5N]],Transactions[[#This Row],[L6N]],IF(Transactions[[#This Row],[L5N]]=Transactions[[#This Row],[L4N]],Transactions[[#This Row],[L5N]],IF(Transactions[[#This Row],[L4N]]=Transactions[[#This Row],[L3N]],Transactions[[#This Row],[L4N]],IF(Transactions[[#This Row],[L3N]]=Transactions[[#This Row],[L2N]],Transactions[[#This Row],[L3N]],IF(Transactions[[#This Row],[L2N]]=Transactions[[#This Row],[L1N]],Transactions[[#This Row],[L2N]],IF(Transactions[[#This Row],[L1N]]=Transactions[[#This Row],[Transaction name]],Transactions[[#This Row],[L1N]],Transactions[[#This Row],[Transaction name]])))))))</f>
        <v>Energy industries own use (S)</v>
      </c>
      <c r="AS32" s="24" t="str">
        <f>IF(Transactions[[#This Row],[Level 0]]=Transactions[[#This Row],[Transaction name]],Transactions[[#This Row],[Transaction name]],IF(Transactions[[#This Row],[Level 0]]=Transactions[[#This Row],[L1N]],Transactions[[#This Row],[Transaction name]],IF(Transactions[[#This Row],[Level 0]]=Transactions[[#This Row],[L2N]],Transactions[[#This Row],[L1N]],IF(Transactions[[#This Row],[Level 0]]=Transactions[[#This Row],[L3N]],Transactions[[#This Row],[L2N]],IF(Transactions[[#This Row],[Level 0]]=Transactions[[#This Row],[L4N]],Transactions[[#This Row],[L3N]],IF(Transactions[[#This Row],[Level 0]]=Transactions[[#This Row],[L5N]],Transactions[[#This Row],[L4N]],IF(Transactions[[#This Row],[Level 0]]=Transactions[[#This Row],[L6N]],Transactions[[#This Row],[L5N]],IF(Transactions[[#This Row],[Level 0]]=Transactions[[#This Row],[L7N]],Transactions[[#This Row],[L6N]],Transactions[[#This Row],[L7N]]))))))))</f>
        <v>Energy industries own use (S)</v>
      </c>
      <c r="AT32" s="24" t="str">
        <f>IF(Transactions[[#This Row],[Level 1]]=Transactions[[#This Row],[Transaction name]],Transactions[[#This Row],[Transaction name]],IF(Transactions[[#This Row],[Level 1]]=Transactions[[#This Row],[L1N]],Transactions[[#This Row],[Transaction name]],IF(Transactions[[#This Row],[Level 1]]=Transactions[[#This Row],[L2N]],Transactions[[#This Row],[L1N]],IF(Transactions[[#This Row],[Level 1]]=Transactions[[#This Row],[L3N]],Transactions[[#This Row],[L2N]],IF(Transactions[[#This Row],[Level 1]]=Transactions[[#This Row],[L4N]],Transactions[[#This Row],[L3N]],IF(Transactions[[#This Row],[Level 1]]=Transactions[[#This Row],[L5N]],Transactions[[#This Row],[L4N]],IF(Transactions[[#This Row],[Level 1]]=Transactions[[#This Row],[L6N]],Transactions[[#This Row],[L5N]],IF(Transactions[[#This Row],[Level 1]]=Transactions[[#This Row],[L7N]],Transactions[[#This Row],[L6N]],Transactions[[#This Row],[L7N]]))))))))</f>
        <v>Energy industries own use (S)</v>
      </c>
      <c r="AU32" s="24" t="str">
        <f>IF(Transactions[[#This Row],[Level 2]]=Transactions[[#This Row],[Transaction name]],Transactions[[#This Row],[Transaction name]],IF(Transactions[[#This Row],[Level 2]]=Transactions[[#This Row],[L1N]],Transactions[[#This Row],[Transaction name]],IF(Transactions[[#This Row],[Level 2]]=Transactions[[#This Row],[L2N]],Transactions[[#This Row],[L1N]],IF(Transactions[[#This Row],[Level 2]]=Transactions[[#This Row],[L3N]],Transactions[[#This Row],[L2N]],IF(Transactions[[#This Row],[Level 2]]=Transactions[[#This Row],[L4N]],Transactions[[#This Row],[L3N]],IF(Transactions[[#This Row],[Level 2]]=Transactions[[#This Row],[L5N]],Transactions[[#This Row],[L4N]],IF(Transactions[[#This Row],[Level 2]]=Transactions[[#This Row],[L6N]],Transactions[[#This Row],[L5N]],IF(Transactions[[#This Row],[Level 2]]=Transactions[[#This Row],[L7N]],Transactions[[#This Row],[L6N]],Transactions[[#This Row],[L7N]]))))))))</f>
        <v>Energy industries own use (S)</v>
      </c>
      <c r="AV32" s="24" t="str">
        <f>IF(Transactions[[#This Row],[Level 3]]=Transactions[[#This Row],[Transaction name]],Transactions[[#This Row],[Transaction name]],IF(Transactions[[#This Row],[Level 3]]=Transactions[[#This Row],[L1N]],Transactions[[#This Row],[Transaction name]],IF(Transactions[[#This Row],[Level 3]]=Transactions[[#This Row],[L2N]],Transactions[[#This Row],[L1N]],IF(Transactions[[#This Row],[Level 3]]=Transactions[[#This Row],[L3N]],Transactions[[#This Row],[L2N]],IF(Transactions[[#This Row],[Level 3]]=Transactions[[#This Row],[L4N]],Transactions[[#This Row],[L3N]],IF(Transactions[[#This Row],[Level 3]]=Transactions[[#This Row],[L5N]],Transactions[[#This Row],[L4N]],IF(Transactions[[#This Row],[Level 3]]=Transactions[[#This Row],[L6N]],Transactions[[#This Row],[L5N]],IF(Transactions[[#This Row],[Level 3]]=Transactions[[#This Row],[L7N]],Transactions[[#This Row],[L6N]],Transactions[[#This Row],[L7N]]))))))))</f>
        <v>Energy industries own use (S)</v>
      </c>
      <c r="AW32" s="24" t="str">
        <f>IF(Transactions[[#This Row],[Level 4]]=Transactions[[#This Row],[Transaction name]],Transactions[[#This Row],[Transaction name]],IF(Transactions[[#This Row],[Level 4]]=Transactions[[#This Row],[L1N]],Transactions[[#This Row],[Transaction name]],IF(Transactions[[#This Row],[Level 4]]=Transactions[[#This Row],[L2N]],Transactions[[#This Row],[L1N]],IF(Transactions[[#This Row],[Level 4]]=Transactions[[#This Row],[L3N]],Transactions[[#This Row],[L2N]],IF(Transactions[[#This Row],[Level 4]]=Transactions[[#This Row],[L4N]],Transactions[[#This Row],[L3N]],IF(Transactions[[#This Row],[Level 4]]=Transactions[[#This Row],[L5N]],Transactions[[#This Row],[L4N]],IF(Transactions[[#This Row],[Level 4]]=Transactions[[#This Row],[L6N]],Transactions[[#This Row],[L5N]],IF(Transactions[[#This Row],[Level 4]]=Transactions[[#This Row],[L7N]],Transactions[[#This Row],[L6N]],Transactions[[#This Row],[L7N]]))))))))</f>
        <v>Energy industries own use (S)</v>
      </c>
      <c r="AX32" s="24" t="str">
        <f>IF(Transactions[[#This Row],[Level 5]]=Transactions[[#This Row],[Transaction name]],Transactions[[#This Row],[Transaction name]],IF(Transactions[[#This Row],[Level 5]]=Transactions[[#This Row],[L1N]],Transactions[[#This Row],[Transaction name]],IF(Transactions[[#This Row],[Level 5]]=Transactions[[#This Row],[L2N]],Transactions[[#This Row],[L1N]],IF(Transactions[[#This Row],[Level 5]]=Transactions[[#This Row],[L3N]],Transactions[[#This Row],[L2N]],IF(Transactions[[#This Row],[Level 5]]=Transactions[[#This Row],[L4N]],Transactions[[#This Row],[L3N]],IF(Transactions[[#This Row],[Level 5]]=Transactions[[#This Row],[L5N]],Transactions[[#This Row],[L4N]],IF(Transactions[[#This Row],[Level 5]]=Transactions[[#This Row],[L6N]],Transactions[[#This Row],[L5N]],IF(Transactions[[#This Row],[Level 5]]=Transactions[[#This Row],[L7N]],Transactions[[#This Row],[L6N]],Transactions[[#This Row],[L7N]]))))))))</f>
        <v>Energy industries own use (S)</v>
      </c>
      <c r="AY32" s="24" t="str">
        <f>IF(Transactions[[#This Row],[Level 6]]=Transactions[[#This Row],[Transaction name]],Transactions[[#This Row],[Transaction name]],IF(Transactions[[#This Row],[Level 6]]=Transactions[[#This Row],[L1N]],Transactions[[#This Row],[Transaction name]],IF(Transactions[[#This Row],[Level 6]]=Transactions[[#This Row],[L2N]],Transactions[[#This Row],[L1N]],IF(Transactions[[#This Row],[Level 6]]=Transactions[[#This Row],[L3N]],Transactions[[#This Row],[L2N]],IF(Transactions[[#This Row],[Level 6]]=Transactions[[#This Row],[L4N]],Transactions[[#This Row],[L3N]],IF(Transactions[[#This Row],[Level 6]]=Transactions[[#This Row],[L5N]],Transactions[[#This Row],[L4N]],IF(Transactions[[#This Row],[Level 6]]=Transactions[[#This Row],[L6N]],Transactions[[#This Row],[L5N]],IF(Transactions[[#This Row],[Level 6]]=Transactions[[#This Row],[L7N]],Transactions[[#This Row],[L6N]],Transactions[[#This Row],[L7N]]))))))))</f>
        <v>Energy industries own use (S)</v>
      </c>
      <c r="BE32" s="26" t="str">
        <f>_xlfn.XLOOKUP(Transformation[[#This Row],[cfrom]],Commodities[Commodity],Commodities[Commodity code])</f>
        <v>0200</v>
      </c>
      <c r="BF32" s="26" t="str">
        <f>_xlfn.XLOOKUP(Transformation[[#This Row],[tfrom]],Transactions[Transaction name],Transactions[Transaction code])</f>
        <v>08822</v>
      </c>
      <c r="BG32" s="26" t="str">
        <f>_xlfn.XLOOKUP(Transformation[[#This Row],[cto]],Commodities[Commodity],Commodities[Commodity code])</f>
        <v>0200</v>
      </c>
      <c r="BH32" s="26" t="str">
        <f>_xlfn.XLOOKUP(Transformation[[#This Row],[tto]],Transactions[Transaction name],Transactions[Transaction code])</f>
        <v>016CBC</v>
      </c>
      <c r="BI32" s="11">
        <v>1</v>
      </c>
      <c r="BJ32" s="4" t="s">
        <v>516</v>
      </c>
      <c r="BK32" s="24" t="str">
        <f>_xlfn.XLOOKUP(Transformation[[#This Row],[Commodity from]],Commodities[Commodity code],Commodities[EnergyCode])</f>
        <v>LB</v>
      </c>
      <c r="BL32" s="4" t="s">
        <v>692</v>
      </c>
      <c r="BM32" s="4" t="s">
        <v>516</v>
      </c>
      <c r="BN32" s="24" t="str">
        <f>_xlfn.XLOOKUP(Transformation[[#This Row],[Commodity to]],Commodities[Commodity code],Commodities[EnergyCode])</f>
        <v>LB</v>
      </c>
      <c r="BO32" s="4" t="s">
        <v>1181</v>
      </c>
      <c r="BP32" s="16" t="s">
        <v>1493</v>
      </c>
      <c r="BQ32" s="33" t="str">
        <f>Transformation[[#This Row],[Commodity from]]&amp;Transformation[[#This Row],[Transaction from]]&amp;Transformation[[#This Row],[Commodity to]]&amp;Transformation[[#This Row],[Transaction to]]</f>
        <v>0200088220200016CBC</v>
      </c>
      <c r="BR32" s="26" t="str">
        <f>Transformation[[#This Row],[crfomid]]&amp;Transformation[[#This Row],[Transaction from]]&amp;"("&amp;Transformation[[#This Row],[Multiplier]]&amp;") -&gt; "&amp;Transformation[[#This Row],[ctoid]]&amp;Transformation[[#This Row],[Transaction to]]</f>
        <v>LB08822(1) -&gt; LB016CBC</v>
      </c>
      <c r="BT32" s="26" t="str">
        <f>_xlfn.XLOOKUP(Signswitch[[#This Row],[Commodity name]],Commodities[Commodity],Commodities[Commodity code])</f>
        <v>5232</v>
      </c>
      <c r="BU32" s="26" t="str">
        <f>_xlfn.XLOOKUP(Signswitch[[#This Row],[Transaction name]],Transactions[Transaction name],Transactions[Transaction code])</f>
        <v>1214B</v>
      </c>
      <c r="BV32" s="26" t="str">
        <f>Signswitch[[#This Row],[Commodity from]]&amp;Signswitch[[#This Row],[Transaction from]]</f>
        <v>52321214B</v>
      </c>
      <c r="BW32" s="22" t="s">
        <v>306</v>
      </c>
      <c r="BX32" s="26" t="str">
        <f>_xlfn.XLOOKUP(Signswitch[[#This Row],[Commodity from]],Commodities[Commodity code],Commodities[EnergyCode])</f>
        <v>ZJ</v>
      </c>
      <c r="BY32" s="22" t="s">
        <v>474</v>
      </c>
    </row>
    <row r="33" spans="8:77" x14ac:dyDescent="0.45">
      <c r="H33" s="5" t="s">
        <v>279</v>
      </c>
      <c r="I33" s="4" t="s">
        <v>278</v>
      </c>
      <c r="J33" s="9" t="s">
        <v>265</v>
      </c>
      <c r="K33" s="9" t="s">
        <v>1466</v>
      </c>
      <c r="L33" s="23" t="str">
        <f>IFERROR(INDEX(Commodities[[Commodity code]:[Commodity]],MATCH(Commodities[[#This Row],[Parent code]],Commodities[Commodity code],0),2),Commodities[[#This Row],[Commodity]])</f>
        <v>Electricity</v>
      </c>
      <c r="M33" s="24" t="str">
        <f>IFERROR(INDEX(Commodities[[Commodity code]:[Commodity]],MATCH(INDEX(Commodities[[Commodity]:[Parent code]],MATCH(Commodities[[#This Row],[L1N]],Commodities[Commodity],0),2),Commodities[Commodity code],0),2),Commodities[[#This Row],[L1N]])</f>
        <v>Electricity</v>
      </c>
      <c r="N33" s="24" t="str">
        <f>IFERROR(INDEX(Commodities[[Commodity code]:[Commodity]],MATCH(INDEX(Commodities[[Commodity]:[Parent code]],MATCH(Commodities[[#This Row],[L2N]],Commodities[Commodity],0),2),Commodities[Commodity code],0),2),Commodities[[#This Row],[L2N]])</f>
        <v>Electricity</v>
      </c>
      <c r="O33" s="24" t="str">
        <f>IFERROR(INDEX(Commodities[[Commodity code]:[Commodity]],MATCH(INDEX(Commodities[[Commodity]:[Parent code]],MATCH(Commodities[[#This Row],[L3N]],Commodities[Commodity],0),2),Commodities[Commodity code],0),2),Commodities[[#This Row],[L3N]])</f>
        <v>Electricity</v>
      </c>
      <c r="P33" s="24" t="str">
        <f>IF(Commodities[[#This Row],[L4N]]=Commodities[[#This Row],[L3N]],Commodities[[#This Row],[L4N]],IF(Commodities[[#This Row],[L3N]]=Commodities[[#This Row],[L2N]],Commodities[[#This Row],[L3N]],IF(Commodities[[#This Row],[L2N]]=Commodities[[#This Row],[L1N]],Commodities[[#This Row],[L2N]],IF(Commodities[[#This Row],[L1N]]=Commodities[[#This Row],[Commodity]],Commodities[[#This Row],[L1N]],Commodities[[#This Row],[Commodity]]))))</f>
        <v>Electricity</v>
      </c>
      <c r="Q33" s="24" t="str">
        <f>IF(Commodities[[#This Row],[Level 0]]=Commodities[[#This Row],[Commodity]],Commodities[[#This Row],[Commodity]],IF(Commodities[[#This Row],[Level 0]]=Commodities[[#This Row],[L1N]],Commodities[[#This Row],[Commodity]],IF(Commodities[[#This Row],[Level 0]]=Commodities[[#This Row],[L2N]],Commodities[[#This Row],[L1N]],IF(Commodities[[#This Row],[Level 0]]=Commodities[[#This Row],[L3N]],Commodities[[#This Row],[L2N]],IF(Commodities[[#This Row],[Level 0]]=Commodities[[#This Row],[L4N]],Commodities[[#This Row],[L3N]],Commodities[[#This Row],[L4N]])))))</f>
        <v>Nuclear electricity</v>
      </c>
      <c r="R33" s="24" t="str">
        <f>IF(Commodities[[#This Row],[Level 1]]=Commodities[[#This Row],[Commodity]],Commodities[[#This Row],[Commodity]],IF(Commodities[[#This Row],[Level 1]]=Commodities[[#This Row],[L1N]],Commodities[[#This Row],[Commodity]],IF(Commodities[[#This Row],[Level 1]]=Commodities[[#This Row],[L2N]],Commodities[[#This Row],[L1N]],IF(Commodities[[#This Row],[Level 1]]=Commodities[[#This Row],[L3N]],Commodities[[#This Row],[L2N]],IF(Commodities[[#This Row],[Level 1]]=Commodities[[#This Row],[L4N]],Commodities[[#This Row],[L3N]],Commodities[[#This Row],[L4N]])))))</f>
        <v>Nuclear electricity</v>
      </c>
      <c r="S33" s="24" t="str">
        <f>IF(Commodities[[#This Row],[Level 2]]=Commodities[[#This Row],[Commodity]],Commodities[[#This Row],[Commodity]],IF(Commodities[[#This Row],[Level 2]]=Commodities[[#This Row],[L1N]],Commodities[[#This Row],[Commodity]],IF(Commodities[[#This Row],[Level 2]]=Commodities[[#This Row],[L2N]],Commodities[[#This Row],[L1N]],IF(Commodities[[#This Row],[Level 2]]=Commodities[[#This Row],[L3N]],Commodities[[#This Row],[L2N]],IF(Commodities[[#This Row],[Level 2]]=Commodities[[#This Row],[L4N]],Commodities[[#This Row],[L3N]],Commodities[[#This Row],[L4N]])))))</f>
        <v>Nuclear electricity</v>
      </c>
      <c r="T33" s="24" t="str">
        <f>IF(Commodities[[#This Row],[Level 3]]=Commodities[[#This Row],[Commodity]],Commodities[[#This Row],[Commodity]],IF(Commodities[[#This Row],[Level 3]]=Commodities[[#This Row],[L1N]],Commodities[[#This Row],[Commodity]],IF(Commodities[[#This Row],[Level 3]]=Commodities[[#This Row],[L2N]],Commodities[[#This Row],[L1N]],IF(Commodities[[#This Row],[Level 3]]=Commodities[[#This Row],[L3N]],Commodities[[#This Row],[L2N]],IF(Commodities[[#This Row],[Level 3]]=Commodities[[#This Row],[L4N]],Commodities[[#This Row],[L3N]],Commodities[[#This Row],[L4N]])))))</f>
        <v>Nuclear electricity</v>
      </c>
      <c r="U33" s="24" t="str">
        <f>IF(Commodities[[#This Row],[Level 4]]=Commodities[[#This Row],[Commodity]],Commodities[[#This Row],[Commodity]],IF(Commodities[[#This Row],[Level 4]]=Commodities[[#This Row],[L1N]],Commodities[[#This Row],[Commodity]],IF(Commodities[[#This Row],[Level 4]]=Commodities[[#This Row],[L2N]],Commodities[[#This Row],[L1N]],IF(Commodities[[#This Row],[Level 4]]=Commodities[[#This Row],[L3N]],Commodities[[#This Row],[L2N]],IF(Commodities[[#This Row],[Level 4]]=Commodities[[#This Row],[L4N]],Commodities[[#This Row],[L3N]],Commodities[[#This Row],[L4N]])))))</f>
        <v>Nuclear electricity</v>
      </c>
      <c r="Y33" s="5" t="s">
        <v>133</v>
      </c>
      <c r="Z33" s="4" t="s">
        <v>132</v>
      </c>
      <c r="AA33" s="4" t="s">
        <v>132</v>
      </c>
      <c r="AC33" s="24" t="str">
        <f>IFERROR(VLOOKUP(Transactions[[#This Row],[Parent code]],Transactions[[Transaction code]:[Transaction name]],2,0),"")</f>
        <v/>
      </c>
      <c r="AD33" s="4" t="s">
        <v>732</v>
      </c>
      <c r="AF33" s="4" t="s">
        <v>642</v>
      </c>
      <c r="AG33" s="4" t="s">
        <v>1</v>
      </c>
      <c r="AH33" s="4" t="s">
        <v>696</v>
      </c>
      <c r="AK33" s="24" t="str" cm="1">
        <f t="array" ref="AK33">IFERROR(INDEX(Transactions[[Transaction code]:[Transaction name]],_xlfn.XMATCH(Transactions[[#This Row],[Parent code]],Transactions[Transaction name],0),3),Transactions[[#This Row],[Transaction name]])</f>
        <v>Extraction loss shrinkage</v>
      </c>
      <c r="AL33" s="24" t="str" cm="1">
        <f t="array" ref="AL33">IFERROR(INDEX(Transactions[[Transaction code]:[Transaction name]],_xlfn.XMATCH(INDEX(Transactions[[Transaction name]:[Parent code]],_xlfn.XMATCH(Transactions[[#This Row],[L1N]],Transactions[Transaction name],0),3),Transactions[Transaction code],0),2),Transactions[[#This Row],[L1N]])</f>
        <v>Extraction loss shrinkage</v>
      </c>
      <c r="AM33" s="24" t="str" cm="1">
        <f t="array" ref="AM33">IFERROR(INDEX(Transactions[[Transaction code]:[Transaction name]],_xlfn.XMATCH(INDEX(Transactions[[Transaction name]:[Parent code]],_xlfn.XMATCH(Transactions[[#This Row],[L2N]],Transactions[Transaction name],0),3),Transactions[Transaction code],0),2),Transactions[[#This Row],[L2N]])</f>
        <v>Extraction loss shrinkage</v>
      </c>
      <c r="AN33" s="24" t="str" cm="1">
        <f t="array" ref="AN33">IFERROR(INDEX(Transactions[[Transaction code]:[Transaction name]],_xlfn.XMATCH(INDEX(Transactions[[Transaction name]:[Parent code]],_xlfn.XMATCH(Transactions[[#This Row],[L3N]],Transactions[Transaction name],0),3),Transactions[Transaction code],0),2),Transactions[[#This Row],[L3N]])</f>
        <v>Extraction loss shrinkage</v>
      </c>
      <c r="AO33" s="24" t="str" cm="1">
        <f t="array" ref="AO33">IFERROR(INDEX(Transactions[[Transaction code]:[Transaction name]],_xlfn.XMATCH(INDEX(Transactions[[Transaction name]:[Parent code]],_xlfn.XMATCH(Transactions[[#This Row],[L4N]],Transactions[Transaction name],0),3),Transactions[Transaction code],0),2),Transactions[[#This Row],[L4N]])</f>
        <v>Extraction loss shrinkage</v>
      </c>
      <c r="AP33" s="24" t="str" cm="1">
        <f t="array" ref="AP33">IFERROR(INDEX(Transactions[[Transaction code]:[Transaction name]],_xlfn.XMATCH(INDEX(Transactions[[Transaction name]:[Parent code]],_xlfn.XMATCH(Transactions[[#This Row],[L5N]],Transactions[Transaction name],0),3),Transactions[Transaction code],0),2),Transactions[[#This Row],[L5N]])</f>
        <v>Extraction loss shrinkage</v>
      </c>
      <c r="AQ33" s="24" t="str" cm="1">
        <f t="array" ref="AQ33">IFERROR(INDEX(Transactions[[Transaction code]:[Transaction name]],_xlfn.XMATCH(INDEX(Transactions[[Transaction name]:[Parent code]],_xlfn.XMATCH(Transactions[[#This Row],[L6N]],Transactions[Transaction name],0),3),Transactions[Transaction code],0),2),Transactions[[#This Row],[L6N]])</f>
        <v>Extraction loss shrinkage</v>
      </c>
      <c r="AR33" s="27" t="str">
        <f>IF(Transactions[[#This Row],[L7N]]=Transactions[[#This Row],[L6N]],Transactions[[#This Row],[L7N]],IF(Transactions[[#This Row],[L6N]]=Transactions[[#This Row],[L5N]],Transactions[[#This Row],[L6N]],IF(Transactions[[#This Row],[L5N]]=Transactions[[#This Row],[L4N]],Transactions[[#This Row],[L5N]],IF(Transactions[[#This Row],[L4N]]=Transactions[[#This Row],[L3N]],Transactions[[#This Row],[L4N]],IF(Transactions[[#This Row],[L3N]]=Transactions[[#This Row],[L2N]],Transactions[[#This Row],[L3N]],IF(Transactions[[#This Row],[L2N]]=Transactions[[#This Row],[L1N]],Transactions[[#This Row],[L2N]],IF(Transactions[[#This Row],[L1N]]=Transactions[[#This Row],[Transaction name]],Transactions[[#This Row],[L1N]],Transactions[[#This Row],[Transaction name]])))))))</f>
        <v>Extraction loss shrinkage</v>
      </c>
      <c r="AS33" s="24" t="str">
        <f>IF(Transactions[[#This Row],[Level 0]]=Transactions[[#This Row],[Transaction name]],Transactions[[#This Row],[Transaction name]],IF(Transactions[[#This Row],[Level 0]]=Transactions[[#This Row],[L1N]],Transactions[[#This Row],[Transaction name]],IF(Transactions[[#This Row],[Level 0]]=Transactions[[#This Row],[L2N]],Transactions[[#This Row],[L1N]],IF(Transactions[[#This Row],[Level 0]]=Transactions[[#This Row],[L3N]],Transactions[[#This Row],[L2N]],IF(Transactions[[#This Row],[Level 0]]=Transactions[[#This Row],[L4N]],Transactions[[#This Row],[L3N]],IF(Transactions[[#This Row],[Level 0]]=Transactions[[#This Row],[L5N]],Transactions[[#This Row],[L4N]],IF(Transactions[[#This Row],[Level 0]]=Transactions[[#This Row],[L6N]],Transactions[[#This Row],[L5N]],IF(Transactions[[#This Row],[Level 0]]=Transactions[[#This Row],[L7N]],Transactions[[#This Row],[L6N]],Transactions[[#This Row],[L7N]]))))))))</f>
        <v>Extraction loss shrinkage</v>
      </c>
      <c r="AT33" s="24" t="str">
        <f>IF(Transactions[[#This Row],[Level 1]]=Transactions[[#This Row],[Transaction name]],Transactions[[#This Row],[Transaction name]],IF(Transactions[[#This Row],[Level 1]]=Transactions[[#This Row],[L1N]],Transactions[[#This Row],[Transaction name]],IF(Transactions[[#This Row],[Level 1]]=Transactions[[#This Row],[L2N]],Transactions[[#This Row],[L1N]],IF(Transactions[[#This Row],[Level 1]]=Transactions[[#This Row],[L3N]],Transactions[[#This Row],[L2N]],IF(Transactions[[#This Row],[Level 1]]=Transactions[[#This Row],[L4N]],Transactions[[#This Row],[L3N]],IF(Transactions[[#This Row],[Level 1]]=Transactions[[#This Row],[L5N]],Transactions[[#This Row],[L4N]],IF(Transactions[[#This Row],[Level 1]]=Transactions[[#This Row],[L6N]],Transactions[[#This Row],[L5N]],IF(Transactions[[#This Row],[Level 1]]=Transactions[[#This Row],[L7N]],Transactions[[#This Row],[L6N]],Transactions[[#This Row],[L7N]]))))))))</f>
        <v>Extraction loss shrinkage</v>
      </c>
      <c r="AU33" s="24" t="str">
        <f>IF(Transactions[[#This Row],[Level 2]]=Transactions[[#This Row],[Transaction name]],Transactions[[#This Row],[Transaction name]],IF(Transactions[[#This Row],[Level 2]]=Transactions[[#This Row],[L1N]],Transactions[[#This Row],[Transaction name]],IF(Transactions[[#This Row],[Level 2]]=Transactions[[#This Row],[L2N]],Transactions[[#This Row],[L1N]],IF(Transactions[[#This Row],[Level 2]]=Transactions[[#This Row],[L3N]],Transactions[[#This Row],[L2N]],IF(Transactions[[#This Row],[Level 2]]=Transactions[[#This Row],[L4N]],Transactions[[#This Row],[L3N]],IF(Transactions[[#This Row],[Level 2]]=Transactions[[#This Row],[L5N]],Transactions[[#This Row],[L4N]],IF(Transactions[[#This Row],[Level 2]]=Transactions[[#This Row],[L6N]],Transactions[[#This Row],[L5N]],IF(Transactions[[#This Row],[Level 2]]=Transactions[[#This Row],[L7N]],Transactions[[#This Row],[L6N]],Transactions[[#This Row],[L7N]]))))))))</f>
        <v>Extraction loss shrinkage</v>
      </c>
      <c r="AV33" s="24" t="str">
        <f>IF(Transactions[[#This Row],[Level 3]]=Transactions[[#This Row],[Transaction name]],Transactions[[#This Row],[Transaction name]],IF(Transactions[[#This Row],[Level 3]]=Transactions[[#This Row],[L1N]],Transactions[[#This Row],[Transaction name]],IF(Transactions[[#This Row],[Level 3]]=Transactions[[#This Row],[L2N]],Transactions[[#This Row],[L1N]],IF(Transactions[[#This Row],[Level 3]]=Transactions[[#This Row],[L3N]],Transactions[[#This Row],[L2N]],IF(Transactions[[#This Row],[Level 3]]=Transactions[[#This Row],[L4N]],Transactions[[#This Row],[L3N]],IF(Transactions[[#This Row],[Level 3]]=Transactions[[#This Row],[L5N]],Transactions[[#This Row],[L4N]],IF(Transactions[[#This Row],[Level 3]]=Transactions[[#This Row],[L6N]],Transactions[[#This Row],[L5N]],IF(Transactions[[#This Row],[Level 3]]=Transactions[[#This Row],[L7N]],Transactions[[#This Row],[L6N]],Transactions[[#This Row],[L7N]]))))))))</f>
        <v>Extraction loss shrinkage</v>
      </c>
      <c r="AW33" s="24" t="str">
        <f>IF(Transactions[[#This Row],[Level 4]]=Transactions[[#This Row],[Transaction name]],Transactions[[#This Row],[Transaction name]],IF(Transactions[[#This Row],[Level 4]]=Transactions[[#This Row],[L1N]],Transactions[[#This Row],[Transaction name]],IF(Transactions[[#This Row],[Level 4]]=Transactions[[#This Row],[L2N]],Transactions[[#This Row],[L1N]],IF(Transactions[[#This Row],[Level 4]]=Transactions[[#This Row],[L3N]],Transactions[[#This Row],[L2N]],IF(Transactions[[#This Row],[Level 4]]=Transactions[[#This Row],[L4N]],Transactions[[#This Row],[L3N]],IF(Transactions[[#This Row],[Level 4]]=Transactions[[#This Row],[L5N]],Transactions[[#This Row],[L4N]],IF(Transactions[[#This Row],[Level 4]]=Transactions[[#This Row],[L6N]],Transactions[[#This Row],[L5N]],IF(Transactions[[#This Row],[Level 4]]=Transactions[[#This Row],[L7N]],Transactions[[#This Row],[L6N]],Transactions[[#This Row],[L7N]]))))))))</f>
        <v>Extraction loss shrinkage</v>
      </c>
      <c r="AX33" s="24" t="str">
        <f>IF(Transactions[[#This Row],[Level 5]]=Transactions[[#This Row],[Transaction name]],Transactions[[#This Row],[Transaction name]],IF(Transactions[[#This Row],[Level 5]]=Transactions[[#This Row],[L1N]],Transactions[[#This Row],[Transaction name]],IF(Transactions[[#This Row],[Level 5]]=Transactions[[#This Row],[L2N]],Transactions[[#This Row],[L1N]],IF(Transactions[[#This Row],[Level 5]]=Transactions[[#This Row],[L3N]],Transactions[[#This Row],[L2N]],IF(Transactions[[#This Row],[Level 5]]=Transactions[[#This Row],[L4N]],Transactions[[#This Row],[L3N]],IF(Transactions[[#This Row],[Level 5]]=Transactions[[#This Row],[L5N]],Transactions[[#This Row],[L4N]],IF(Transactions[[#This Row],[Level 5]]=Transactions[[#This Row],[L6N]],Transactions[[#This Row],[L5N]],IF(Transactions[[#This Row],[Level 5]]=Transactions[[#This Row],[L7N]],Transactions[[#This Row],[L6N]],Transactions[[#This Row],[L7N]]))))))))</f>
        <v>Extraction loss shrinkage</v>
      </c>
      <c r="AY33" s="24" t="str">
        <f>IF(Transactions[[#This Row],[Level 6]]=Transactions[[#This Row],[Transaction name]],Transactions[[#This Row],[Transaction name]],IF(Transactions[[#This Row],[Level 6]]=Transactions[[#This Row],[L1N]],Transactions[[#This Row],[Transaction name]],IF(Transactions[[#This Row],[Level 6]]=Transactions[[#This Row],[L2N]],Transactions[[#This Row],[L1N]],IF(Transactions[[#This Row],[Level 6]]=Transactions[[#This Row],[L3N]],Transactions[[#This Row],[L2N]],IF(Transactions[[#This Row],[Level 6]]=Transactions[[#This Row],[L4N]],Transactions[[#This Row],[L3N]],IF(Transactions[[#This Row],[Level 6]]=Transactions[[#This Row],[L5N]],Transactions[[#This Row],[L4N]],IF(Transactions[[#This Row],[Level 6]]=Transactions[[#This Row],[L6N]],Transactions[[#This Row],[L5N]],IF(Transactions[[#This Row],[Level 6]]=Transactions[[#This Row],[L7N]],Transactions[[#This Row],[L6N]],Transactions[[#This Row],[L7N]]))))))))</f>
        <v>Extraction loss shrinkage</v>
      </c>
      <c r="BE33" s="26" t="str">
        <f>_xlfn.XLOOKUP(Transformation[[#This Row],[cfrom]],Commodities[Commodity],Commodities[Commodity code])</f>
        <v>4630</v>
      </c>
      <c r="BF33" s="26" t="str">
        <f>_xlfn.XLOOKUP(Transformation[[#This Row],[tfrom]],Transactions[Transaction name],Transactions[Transaction code])</f>
        <v>08822</v>
      </c>
      <c r="BG33" s="26" t="str">
        <f>_xlfn.XLOOKUP(Transformation[[#This Row],[cto]],Commodities[Commodity],Commodities[Commodity code])</f>
        <v>4630</v>
      </c>
      <c r="BH33" s="26" t="str">
        <f>_xlfn.XLOOKUP(Transformation[[#This Row],[tto]],Transactions[Transaction name],Transactions[Transaction code])</f>
        <v>016OPC</v>
      </c>
      <c r="BI33" s="11">
        <v>1</v>
      </c>
      <c r="BJ33" s="4" t="s">
        <v>408</v>
      </c>
      <c r="BK33" s="24" t="str">
        <f>_xlfn.XLOOKUP(Transformation[[#This Row],[Commodity from]],Commodities[Commodity code],Commodities[EnergyCode])</f>
        <v>LP</v>
      </c>
      <c r="BL33" s="4" t="s">
        <v>692</v>
      </c>
      <c r="BM33" s="4" t="s">
        <v>408</v>
      </c>
      <c r="BN33" s="24" t="str">
        <f>_xlfn.XLOOKUP(Transformation[[#This Row],[Commodity to]],Commodities[Commodity code],Commodities[EnergyCode])</f>
        <v>LP</v>
      </c>
      <c r="BO33" s="4" t="s">
        <v>1054</v>
      </c>
      <c r="BP33" s="16" t="s">
        <v>1493</v>
      </c>
      <c r="BQ33" s="33" t="str">
        <f>Transformation[[#This Row],[Commodity from]]&amp;Transformation[[#This Row],[Transaction from]]&amp;Transformation[[#This Row],[Commodity to]]&amp;Transformation[[#This Row],[Transaction to]]</f>
        <v>4630088224630016OPC</v>
      </c>
      <c r="BR33" s="26" t="str">
        <f>Transformation[[#This Row],[crfomid]]&amp;Transformation[[#This Row],[Transaction from]]&amp;"("&amp;Transformation[[#This Row],[Multiplier]]&amp;") -&gt; "&amp;Transformation[[#This Row],[ctoid]]&amp;Transformation[[#This Row],[Transaction to]]</f>
        <v>LP08822(1) -&gt; LP016OPC</v>
      </c>
      <c r="BT33" s="26" t="str">
        <f>_xlfn.XLOOKUP(Signswitch[[#This Row],[Commodity name]],Commodities[Commodity],Commodities[Commodity code])</f>
        <v>5222</v>
      </c>
      <c r="BU33" s="26" t="str">
        <f>_xlfn.XLOOKUP(Signswitch[[#This Row],[Transaction name]],Transactions[Transaction name],Transactions[Transaction code])</f>
        <v>1214B</v>
      </c>
      <c r="BV33" s="26" t="str">
        <f>Signswitch[[#This Row],[Commodity from]]&amp;Signswitch[[#This Row],[Transaction from]]</f>
        <v>52221214B</v>
      </c>
      <c r="BW33" s="22" t="s">
        <v>962</v>
      </c>
      <c r="BX33" s="26" t="str">
        <f>_xlfn.XLOOKUP(Signswitch[[#This Row],[Commodity from]],Commodities[Commodity code],Commodities[EnergyCode])</f>
        <v>ZD</v>
      </c>
      <c r="BY33" s="22" t="s">
        <v>474</v>
      </c>
    </row>
    <row r="34" spans="8:77" x14ac:dyDescent="0.45">
      <c r="H34" s="5" t="s">
        <v>257</v>
      </c>
      <c r="I34" s="4" t="s">
        <v>256</v>
      </c>
      <c r="J34" s="9" t="s">
        <v>255</v>
      </c>
      <c r="K34" s="14" t="s">
        <v>1466</v>
      </c>
      <c r="L34" s="23" t="str">
        <f>IFERROR(INDEX(Commodities[[Commodity code]:[Commodity]],MATCH(Commodities[[#This Row],[Parent code]],Commodities[Commodity code],0),2),Commodities[[#This Row],[Commodity]])</f>
        <v>Uranium ores</v>
      </c>
      <c r="M34" s="24" t="str">
        <f>IFERROR(INDEX(Commodities[[Commodity code]:[Commodity]],MATCH(INDEX(Commodities[[Commodity]:[Parent code]],MATCH(Commodities[[#This Row],[L1N]],Commodities[Commodity],0),2),Commodities[Commodity code],0),2),Commodities[[#This Row],[L1N]])</f>
        <v>Uranium ores</v>
      </c>
      <c r="N34" s="24" t="str">
        <f>IFERROR(INDEX(Commodities[[Commodity code]:[Commodity]],MATCH(INDEX(Commodities[[Commodity]:[Parent code]],MATCH(Commodities[[#This Row],[L2N]],Commodities[Commodity],0),2),Commodities[Commodity code],0),2),Commodities[[#This Row],[L2N]])</f>
        <v>Uranium ores</v>
      </c>
      <c r="O34" s="24" t="str">
        <f>IFERROR(INDEX(Commodities[[Commodity code]:[Commodity]],MATCH(INDEX(Commodities[[Commodity]:[Parent code]],MATCH(Commodities[[#This Row],[L3N]],Commodities[Commodity],0),2),Commodities[Commodity code],0),2),Commodities[[#This Row],[L3N]])</f>
        <v>Uranium ores</v>
      </c>
      <c r="P34" s="24" t="str">
        <f>IF(Commodities[[#This Row],[L4N]]=Commodities[[#This Row],[L3N]],Commodities[[#This Row],[L4N]],IF(Commodities[[#This Row],[L3N]]=Commodities[[#This Row],[L2N]],Commodities[[#This Row],[L3N]],IF(Commodities[[#This Row],[L2N]]=Commodities[[#This Row],[L1N]],Commodities[[#This Row],[L2N]],IF(Commodities[[#This Row],[L1N]]=Commodities[[#This Row],[Commodity]],Commodities[[#This Row],[L1N]],Commodities[[#This Row],[Commodity]]))))</f>
        <v>Uranium ores</v>
      </c>
      <c r="Q34" s="24" t="str">
        <f>IF(Commodities[[#This Row],[Level 0]]=Commodities[[#This Row],[Commodity]],Commodities[[#This Row],[Commodity]],IF(Commodities[[#This Row],[Level 0]]=Commodities[[#This Row],[L1N]],Commodities[[#This Row],[Commodity]],IF(Commodities[[#This Row],[Level 0]]=Commodities[[#This Row],[L2N]],Commodities[[#This Row],[L1N]],IF(Commodities[[#This Row],[Level 0]]=Commodities[[#This Row],[L3N]],Commodities[[#This Row],[L2N]],IF(Commodities[[#This Row],[Level 0]]=Commodities[[#This Row],[L4N]],Commodities[[#This Row],[L3N]],Commodities[[#This Row],[L4N]])))))</f>
        <v>Uranium ores</v>
      </c>
      <c r="R34" s="24" t="str">
        <f>IF(Commodities[[#This Row],[Level 1]]=Commodities[[#This Row],[Commodity]],Commodities[[#This Row],[Commodity]],IF(Commodities[[#This Row],[Level 1]]=Commodities[[#This Row],[L1N]],Commodities[[#This Row],[Commodity]],IF(Commodities[[#This Row],[Level 1]]=Commodities[[#This Row],[L2N]],Commodities[[#This Row],[L1N]],IF(Commodities[[#This Row],[Level 1]]=Commodities[[#This Row],[L3N]],Commodities[[#This Row],[L2N]],IF(Commodities[[#This Row],[Level 1]]=Commodities[[#This Row],[L4N]],Commodities[[#This Row],[L3N]],Commodities[[#This Row],[L4N]])))))</f>
        <v>Uranium ores</v>
      </c>
      <c r="S34" s="24" t="str">
        <f>IF(Commodities[[#This Row],[Level 2]]=Commodities[[#This Row],[Commodity]],Commodities[[#This Row],[Commodity]],IF(Commodities[[#This Row],[Level 2]]=Commodities[[#This Row],[L1N]],Commodities[[#This Row],[Commodity]],IF(Commodities[[#This Row],[Level 2]]=Commodities[[#This Row],[L2N]],Commodities[[#This Row],[L1N]],IF(Commodities[[#This Row],[Level 2]]=Commodities[[#This Row],[L3N]],Commodities[[#This Row],[L2N]],IF(Commodities[[#This Row],[Level 2]]=Commodities[[#This Row],[L4N]],Commodities[[#This Row],[L3N]],Commodities[[#This Row],[L4N]])))))</f>
        <v>Uranium ores</v>
      </c>
      <c r="T34" s="24" t="str">
        <f>IF(Commodities[[#This Row],[Level 3]]=Commodities[[#This Row],[Commodity]],Commodities[[#This Row],[Commodity]],IF(Commodities[[#This Row],[Level 3]]=Commodities[[#This Row],[L1N]],Commodities[[#This Row],[Commodity]],IF(Commodities[[#This Row],[Level 3]]=Commodities[[#This Row],[L2N]],Commodities[[#This Row],[L1N]],IF(Commodities[[#This Row],[Level 3]]=Commodities[[#This Row],[L3N]],Commodities[[#This Row],[L2N]],IF(Commodities[[#This Row],[Level 3]]=Commodities[[#This Row],[L4N]],Commodities[[#This Row],[L3N]],Commodities[[#This Row],[L4N]])))))</f>
        <v>Uranium ores</v>
      </c>
      <c r="U34" s="24" t="str">
        <f>IF(Commodities[[#This Row],[Level 4]]=Commodities[[#This Row],[Commodity]],Commodities[[#This Row],[Commodity]],IF(Commodities[[#This Row],[Level 4]]=Commodities[[#This Row],[L1N]],Commodities[[#This Row],[Commodity]],IF(Commodities[[#This Row],[Level 4]]=Commodities[[#This Row],[L2N]],Commodities[[#This Row],[L1N]],IF(Commodities[[#This Row],[Level 4]]=Commodities[[#This Row],[L3N]],Commodities[[#This Row],[L2N]],IF(Commodities[[#This Row],[Level 4]]=Commodities[[#This Row],[L4N]],Commodities[[#This Row],[L3N]],Commodities[[#This Row],[L4N]])))))</f>
        <v>Uranium ores</v>
      </c>
      <c r="Y34" s="5" t="s">
        <v>6</v>
      </c>
      <c r="Z34" s="4" t="s">
        <v>5</v>
      </c>
      <c r="AA34" s="4" t="s">
        <v>5</v>
      </c>
      <c r="AB34" s="6"/>
      <c r="AC34" s="24" t="str">
        <f>IFERROR(VLOOKUP(Transactions[[#This Row],[Parent code]],Transactions[[Transaction code]:[Transaction name]],2,0),"")</f>
        <v/>
      </c>
      <c r="AD34" s="4" t="s">
        <v>630</v>
      </c>
      <c r="AF34" s="4" t="s">
        <v>642</v>
      </c>
      <c r="AG34" s="4" t="s">
        <v>1</v>
      </c>
      <c r="AH34" s="4" t="s">
        <v>696</v>
      </c>
      <c r="AJ34" s="4" t="s">
        <v>0</v>
      </c>
      <c r="AK34" s="24" t="str" cm="1">
        <f t="array" ref="AK34">IFERROR(INDEX(Transactions[[Transaction code]:[Transaction name]],_xlfn.XMATCH(Transactions[[#This Row],[Parent code]],Transactions[Transaction name],0),3),Transactions[[#This Row],[Transaction name]])</f>
        <v>Final consumption</v>
      </c>
      <c r="AL34" s="24" t="str" cm="1">
        <f t="array" ref="AL34">IFERROR(INDEX(Transactions[[Transaction code]:[Transaction name]],_xlfn.XMATCH(INDEX(Transactions[[Transaction name]:[Parent code]],_xlfn.XMATCH(Transactions[[#This Row],[L1N]],Transactions[Transaction name],0),3),Transactions[Transaction code],0),2),Transactions[[#This Row],[L1N]])</f>
        <v>Final consumption</v>
      </c>
      <c r="AM34" s="24" t="str" cm="1">
        <f t="array" ref="AM34">IFERROR(INDEX(Transactions[[Transaction code]:[Transaction name]],_xlfn.XMATCH(INDEX(Transactions[[Transaction name]:[Parent code]],_xlfn.XMATCH(Transactions[[#This Row],[L2N]],Transactions[Transaction name],0),3),Transactions[Transaction code],0),2),Transactions[[#This Row],[L2N]])</f>
        <v>Final consumption</v>
      </c>
      <c r="AN34" s="24" t="str" cm="1">
        <f t="array" ref="AN34">IFERROR(INDEX(Transactions[[Transaction code]:[Transaction name]],_xlfn.XMATCH(INDEX(Transactions[[Transaction name]:[Parent code]],_xlfn.XMATCH(Transactions[[#This Row],[L3N]],Transactions[Transaction name],0),3),Transactions[Transaction code],0),2),Transactions[[#This Row],[L3N]])</f>
        <v>Final consumption</v>
      </c>
      <c r="AO34" s="24" t="str" cm="1">
        <f t="array" ref="AO34">IFERROR(INDEX(Transactions[[Transaction code]:[Transaction name]],_xlfn.XMATCH(INDEX(Transactions[[Transaction name]:[Parent code]],_xlfn.XMATCH(Transactions[[#This Row],[L4N]],Transactions[Transaction name],0),3),Transactions[Transaction code],0),2),Transactions[[#This Row],[L4N]])</f>
        <v>Final consumption</v>
      </c>
      <c r="AP34" s="24" t="str" cm="1">
        <f t="array" ref="AP34">IFERROR(INDEX(Transactions[[Transaction code]:[Transaction name]],_xlfn.XMATCH(INDEX(Transactions[[Transaction name]:[Parent code]],_xlfn.XMATCH(Transactions[[#This Row],[L5N]],Transactions[Transaction name],0),3),Transactions[Transaction code],0),2),Transactions[[#This Row],[L5N]])</f>
        <v>Final consumption</v>
      </c>
      <c r="AQ34" s="24" t="str" cm="1">
        <f t="array" ref="AQ34">IFERROR(INDEX(Transactions[[Transaction code]:[Transaction name]],_xlfn.XMATCH(INDEX(Transactions[[Transaction name]:[Parent code]],_xlfn.XMATCH(Transactions[[#This Row],[L6N]],Transactions[Transaction name],0),3),Transactions[Transaction code],0),2),Transactions[[#This Row],[L6N]])</f>
        <v>Final consumption</v>
      </c>
      <c r="AR34" s="27" t="str">
        <f>IF(Transactions[[#This Row],[L7N]]=Transactions[[#This Row],[L6N]],Transactions[[#This Row],[L7N]],IF(Transactions[[#This Row],[L6N]]=Transactions[[#This Row],[L5N]],Transactions[[#This Row],[L6N]],IF(Transactions[[#This Row],[L5N]]=Transactions[[#This Row],[L4N]],Transactions[[#This Row],[L5N]],IF(Transactions[[#This Row],[L4N]]=Transactions[[#This Row],[L3N]],Transactions[[#This Row],[L4N]],IF(Transactions[[#This Row],[L3N]]=Transactions[[#This Row],[L2N]],Transactions[[#This Row],[L3N]],IF(Transactions[[#This Row],[L2N]]=Transactions[[#This Row],[L1N]],Transactions[[#This Row],[L2N]],IF(Transactions[[#This Row],[L1N]]=Transactions[[#This Row],[Transaction name]],Transactions[[#This Row],[L1N]],Transactions[[#This Row],[Transaction name]])))))))</f>
        <v>Final consumption</v>
      </c>
      <c r="AS34" s="24" t="str">
        <f>IF(Transactions[[#This Row],[Level 0]]=Transactions[[#This Row],[Transaction name]],Transactions[[#This Row],[Transaction name]],IF(Transactions[[#This Row],[Level 0]]=Transactions[[#This Row],[L1N]],Transactions[[#This Row],[Transaction name]],IF(Transactions[[#This Row],[Level 0]]=Transactions[[#This Row],[L2N]],Transactions[[#This Row],[L1N]],IF(Transactions[[#This Row],[Level 0]]=Transactions[[#This Row],[L3N]],Transactions[[#This Row],[L2N]],IF(Transactions[[#This Row],[Level 0]]=Transactions[[#This Row],[L4N]],Transactions[[#This Row],[L3N]],IF(Transactions[[#This Row],[Level 0]]=Transactions[[#This Row],[L5N]],Transactions[[#This Row],[L4N]],IF(Transactions[[#This Row],[Level 0]]=Transactions[[#This Row],[L6N]],Transactions[[#This Row],[L5N]],IF(Transactions[[#This Row],[Level 0]]=Transactions[[#This Row],[L7N]],Transactions[[#This Row],[L6N]],Transactions[[#This Row],[L7N]]))))))))</f>
        <v>Final consumption</v>
      </c>
      <c r="AT34" s="24" t="str">
        <f>IF(Transactions[[#This Row],[Level 1]]=Transactions[[#This Row],[Transaction name]],Transactions[[#This Row],[Transaction name]],IF(Transactions[[#This Row],[Level 1]]=Transactions[[#This Row],[L1N]],Transactions[[#This Row],[Transaction name]],IF(Transactions[[#This Row],[Level 1]]=Transactions[[#This Row],[L2N]],Transactions[[#This Row],[L1N]],IF(Transactions[[#This Row],[Level 1]]=Transactions[[#This Row],[L3N]],Transactions[[#This Row],[L2N]],IF(Transactions[[#This Row],[Level 1]]=Transactions[[#This Row],[L4N]],Transactions[[#This Row],[L3N]],IF(Transactions[[#This Row],[Level 1]]=Transactions[[#This Row],[L5N]],Transactions[[#This Row],[L4N]],IF(Transactions[[#This Row],[Level 1]]=Transactions[[#This Row],[L6N]],Transactions[[#This Row],[L5N]],IF(Transactions[[#This Row],[Level 1]]=Transactions[[#This Row],[L7N]],Transactions[[#This Row],[L6N]],Transactions[[#This Row],[L7N]]))))))))</f>
        <v>Final consumption</v>
      </c>
      <c r="AU34" s="24" t="str">
        <f>IF(Transactions[[#This Row],[Level 2]]=Transactions[[#This Row],[Transaction name]],Transactions[[#This Row],[Transaction name]],IF(Transactions[[#This Row],[Level 2]]=Transactions[[#This Row],[L1N]],Transactions[[#This Row],[Transaction name]],IF(Transactions[[#This Row],[Level 2]]=Transactions[[#This Row],[L2N]],Transactions[[#This Row],[L1N]],IF(Transactions[[#This Row],[Level 2]]=Transactions[[#This Row],[L3N]],Transactions[[#This Row],[L2N]],IF(Transactions[[#This Row],[Level 2]]=Transactions[[#This Row],[L4N]],Transactions[[#This Row],[L3N]],IF(Transactions[[#This Row],[Level 2]]=Transactions[[#This Row],[L5N]],Transactions[[#This Row],[L4N]],IF(Transactions[[#This Row],[Level 2]]=Transactions[[#This Row],[L6N]],Transactions[[#This Row],[L5N]],IF(Transactions[[#This Row],[Level 2]]=Transactions[[#This Row],[L7N]],Transactions[[#This Row],[L6N]],Transactions[[#This Row],[L7N]]))))))))</f>
        <v>Final consumption</v>
      </c>
      <c r="AV34" s="24" t="str">
        <f>IF(Transactions[[#This Row],[Level 3]]=Transactions[[#This Row],[Transaction name]],Transactions[[#This Row],[Transaction name]],IF(Transactions[[#This Row],[Level 3]]=Transactions[[#This Row],[L1N]],Transactions[[#This Row],[Transaction name]],IF(Transactions[[#This Row],[Level 3]]=Transactions[[#This Row],[L2N]],Transactions[[#This Row],[L1N]],IF(Transactions[[#This Row],[Level 3]]=Transactions[[#This Row],[L3N]],Transactions[[#This Row],[L2N]],IF(Transactions[[#This Row],[Level 3]]=Transactions[[#This Row],[L4N]],Transactions[[#This Row],[L3N]],IF(Transactions[[#This Row],[Level 3]]=Transactions[[#This Row],[L5N]],Transactions[[#This Row],[L4N]],IF(Transactions[[#This Row],[Level 3]]=Transactions[[#This Row],[L6N]],Transactions[[#This Row],[L5N]],IF(Transactions[[#This Row],[Level 3]]=Transactions[[#This Row],[L7N]],Transactions[[#This Row],[L6N]],Transactions[[#This Row],[L7N]]))))))))</f>
        <v>Final consumption</v>
      </c>
      <c r="AW34" s="24" t="str">
        <f>IF(Transactions[[#This Row],[Level 4]]=Transactions[[#This Row],[Transaction name]],Transactions[[#This Row],[Transaction name]],IF(Transactions[[#This Row],[Level 4]]=Transactions[[#This Row],[L1N]],Transactions[[#This Row],[Transaction name]],IF(Transactions[[#This Row],[Level 4]]=Transactions[[#This Row],[L2N]],Transactions[[#This Row],[L1N]],IF(Transactions[[#This Row],[Level 4]]=Transactions[[#This Row],[L3N]],Transactions[[#This Row],[L2N]],IF(Transactions[[#This Row],[Level 4]]=Transactions[[#This Row],[L4N]],Transactions[[#This Row],[L3N]],IF(Transactions[[#This Row],[Level 4]]=Transactions[[#This Row],[L5N]],Transactions[[#This Row],[L4N]],IF(Transactions[[#This Row],[Level 4]]=Transactions[[#This Row],[L6N]],Transactions[[#This Row],[L5N]],IF(Transactions[[#This Row],[Level 4]]=Transactions[[#This Row],[L7N]],Transactions[[#This Row],[L6N]],Transactions[[#This Row],[L7N]]))))))))</f>
        <v>Final consumption</v>
      </c>
      <c r="AX34" s="24" t="str">
        <f>IF(Transactions[[#This Row],[Level 5]]=Transactions[[#This Row],[Transaction name]],Transactions[[#This Row],[Transaction name]],IF(Transactions[[#This Row],[Level 5]]=Transactions[[#This Row],[L1N]],Transactions[[#This Row],[Transaction name]],IF(Transactions[[#This Row],[Level 5]]=Transactions[[#This Row],[L2N]],Transactions[[#This Row],[L1N]],IF(Transactions[[#This Row],[Level 5]]=Transactions[[#This Row],[L3N]],Transactions[[#This Row],[L2N]],IF(Transactions[[#This Row],[Level 5]]=Transactions[[#This Row],[L4N]],Transactions[[#This Row],[L3N]],IF(Transactions[[#This Row],[Level 5]]=Transactions[[#This Row],[L5N]],Transactions[[#This Row],[L4N]],IF(Transactions[[#This Row],[Level 5]]=Transactions[[#This Row],[L6N]],Transactions[[#This Row],[L5N]],IF(Transactions[[#This Row],[Level 5]]=Transactions[[#This Row],[L7N]],Transactions[[#This Row],[L6N]],Transactions[[#This Row],[L7N]]))))))))</f>
        <v>Final consumption</v>
      </c>
      <c r="AY34" s="24" t="str">
        <f>IF(Transactions[[#This Row],[Level 6]]=Transactions[[#This Row],[Transaction name]],Transactions[[#This Row],[Transaction name]],IF(Transactions[[#This Row],[Level 6]]=Transactions[[#This Row],[L1N]],Transactions[[#This Row],[Transaction name]],IF(Transactions[[#This Row],[Level 6]]=Transactions[[#This Row],[L2N]],Transactions[[#This Row],[L1N]],IF(Transactions[[#This Row],[Level 6]]=Transactions[[#This Row],[L3N]],Transactions[[#This Row],[L2N]],IF(Transactions[[#This Row],[Level 6]]=Transactions[[#This Row],[L4N]],Transactions[[#This Row],[L3N]],IF(Transactions[[#This Row],[Level 6]]=Transactions[[#This Row],[L5N]],Transactions[[#This Row],[L4N]],IF(Transactions[[#This Row],[Level 6]]=Transactions[[#This Row],[L6N]],Transactions[[#This Row],[L5N]],IF(Transactions[[#This Row],[Level 6]]=Transactions[[#This Row],[L7N]],Transactions[[#This Row],[L6N]],Transactions[[#This Row],[L7N]]))))))))</f>
        <v>Final consumption</v>
      </c>
      <c r="BE34" s="26" t="str">
        <f>_xlfn.XLOOKUP(Transformation[[#This Row],[cfrom]],Commodities[Commodity],Commodities[Commodity code])</f>
        <v>4652</v>
      </c>
      <c r="BF34" s="26" t="str">
        <f>_xlfn.XLOOKUP(Transformation[[#This Row],[tfrom]],Transactions[Transaction name],Transactions[Transaction code])</f>
        <v>08822</v>
      </c>
      <c r="BG34" s="26" t="str">
        <f>_xlfn.XLOOKUP(Transformation[[#This Row],[cto]],Commodities[Commodity],Commodities[Commodity code])</f>
        <v>4652</v>
      </c>
      <c r="BH34" s="26" t="str">
        <f>_xlfn.XLOOKUP(Transformation[[#This Row],[tto]],Transactions[Transaction name],Transactions[Transaction code])</f>
        <v>016OPC</v>
      </c>
      <c r="BI34" s="11">
        <v>1</v>
      </c>
      <c r="BJ34" s="4" t="s">
        <v>394</v>
      </c>
      <c r="BK34" s="24" t="str">
        <f>_xlfn.XLOOKUP(Transformation[[#This Row],[Commodity from]],Commodities[Commodity code],Commodities[EnergyCode])</f>
        <v>MO</v>
      </c>
      <c r="BL34" s="4" t="s">
        <v>692</v>
      </c>
      <c r="BM34" s="4" t="s">
        <v>394</v>
      </c>
      <c r="BN34" s="24" t="str">
        <f>_xlfn.XLOOKUP(Transformation[[#This Row],[Commodity to]],Commodities[Commodity code],Commodities[EnergyCode])</f>
        <v>MO</v>
      </c>
      <c r="BO34" s="4" t="s">
        <v>1054</v>
      </c>
      <c r="BP34" s="16" t="s">
        <v>1493</v>
      </c>
      <c r="BQ34" s="33" t="str">
        <f>Transformation[[#This Row],[Commodity from]]&amp;Transformation[[#This Row],[Transaction from]]&amp;Transformation[[#This Row],[Commodity to]]&amp;Transformation[[#This Row],[Transaction to]]</f>
        <v>4652088224652016OPC</v>
      </c>
      <c r="BR34" s="26" t="str">
        <f>Transformation[[#This Row],[crfomid]]&amp;Transformation[[#This Row],[Transaction from]]&amp;"("&amp;Transformation[[#This Row],[Multiplier]]&amp;") -&gt; "&amp;Transformation[[#This Row],[ctoid]]&amp;Transformation[[#This Row],[Transaction to]]</f>
        <v>MO08822(1) -&gt; MO016OPC</v>
      </c>
      <c r="BT34" s="26" t="str">
        <f>_xlfn.XLOOKUP(Signswitch[[#This Row],[Commodity name]],Commodities[Commodity],Commodities[Commodity code])</f>
        <v>5212</v>
      </c>
      <c r="BU34" s="26" t="str">
        <f>_xlfn.XLOOKUP(Signswitch[[#This Row],[Transaction name]],Transactions[Transaction name],Transactions[Transaction code])</f>
        <v>1214B</v>
      </c>
      <c r="BV34" s="26" t="str">
        <f>Signswitch[[#This Row],[Commodity from]]&amp;Signswitch[[#This Row],[Transaction from]]</f>
        <v>52121214B</v>
      </c>
      <c r="BW34" s="22" t="s">
        <v>317</v>
      </c>
      <c r="BX34" s="26" t="str">
        <f>_xlfn.XLOOKUP(Signswitch[[#This Row],[Commodity from]],Commodities[Commodity code],Commodities[EnergyCode])</f>
        <v>ZG</v>
      </c>
      <c r="BY34" s="22" t="s">
        <v>474</v>
      </c>
    </row>
    <row r="35" spans="8:77" x14ac:dyDescent="0.45">
      <c r="H35" s="4" t="s">
        <v>547</v>
      </c>
      <c r="I35" s="4" t="s">
        <v>546</v>
      </c>
      <c r="K35" s="12" t="s">
        <v>1466</v>
      </c>
      <c r="L35" s="24" t="str">
        <f>IFERROR(INDEX(Commodities[[Commodity code]:[Commodity]],MATCH(Commodities[[#This Row],[Parent code]],Commodities[Commodity code],0),2),Commodities[[#This Row],[Commodity]])</f>
        <v>Nuclear</v>
      </c>
      <c r="M35" s="24" t="str">
        <f>IFERROR(INDEX(Commodities[[Commodity code]:[Commodity]],MATCH(INDEX(Commodities[[Commodity]:[Parent code]],MATCH(Commodities[[#This Row],[L1N]],Commodities[Commodity],0),2),Commodities[Commodity code],0),2),Commodities[[#This Row],[L1N]])</f>
        <v>Nuclear</v>
      </c>
      <c r="N35" s="24" t="str">
        <f>IFERROR(INDEX(Commodities[[Commodity code]:[Commodity]],MATCH(INDEX(Commodities[[Commodity]:[Parent code]],MATCH(Commodities[[#This Row],[L2N]],Commodities[Commodity],0),2),Commodities[Commodity code],0),2),Commodities[[#This Row],[L2N]])</f>
        <v>Nuclear</v>
      </c>
      <c r="O35" s="24" t="str">
        <f>IFERROR(INDEX(Commodities[[Commodity code]:[Commodity]],MATCH(INDEX(Commodities[[Commodity]:[Parent code]],MATCH(Commodities[[#This Row],[L3N]],Commodities[Commodity],0),2),Commodities[Commodity code],0),2),Commodities[[#This Row],[L3N]])</f>
        <v>Nuclear</v>
      </c>
      <c r="P35" s="24" t="str">
        <f>IF(Commodities[[#This Row],[L4N]]=Commodities[[#This Row],[L3N]],Commodities[[#This Row],[L4N]],IF(Commodities[[#This Row],[L3N]]=Commodities[[#This Row],[L2N]],Commodities[[#This Row],[L3N]],IF(Commodities[[#This Row],[L2N]]=Commodities[[#This Row],[L1N]],Commodities[[#This Row],[L2N]],IF(Commodities[[#This Row],[L1N]]=Commodities[[#This Row],[Commodity]],Commodities[[#This Row],[L1N]],Commodities[[#This Row],[Commodity]]))))</f>
        <v>Nuclear</v>
      </c>
      <c r="Q35" s="24" t="str">
        <f>IF(Commodities[[#This Row],[Level 0]]=Commodities[[#This Row],[Commodity]],Commodities[[#This Row],[Commodity]],IF(Commodities[[#This Row],[Level 0]]=Commodities[[#This Row],[L1N]],Commodities[[#This Row],[Commodity]],IF(Commodities[[#This Row],[Level 0]]=Commodities[[#This Row],[L2N]],Commodities[[#This Row],[L1N]],IF(Commodities[[#This Row],[Level 0]]=Commodities[[#This Row],[L3N]],Commodities[[#This Row],[L2N]],IF(Commodities[[#This Row],[Level 0]]=Commodities[[#This Row],[L4N]],Commodities[[#This Row],[L3N]],Commodities[[#This Row],[L4N]])))))</f>
        <v>Nuclear</v>
      </c>
      <c r="R35" s="24" t="str">
        <f>IF(Commodities[[#This Row],[Level 1]]=Commodities[[#This Row],[Commodity]],Commodities[[#This Row],[Commodity]],IF(Commodities[[#This Row],[Level 1]]=Commodities[[#This Row],[L1N]],Commodities[[#This Row],[Commodity]],IF(Commodities[[#This Row],[Level 1]]=Commodities[[#This Row],[L2N]],Commodities[[#This Row],[L1N]],IF(Commodities[[#This Row],[Level 1]]=Commodities[[#This Row],[L3N]],Commodities[[#This Row],[L2N]],IF(Commodities[[#This Row],[Level 1]]=Commodities[[#This Row],[L4N]],Commodities[[#This Row],[L3N]],Commodities[[#This Row],[L4N]])))))</f>
        <v>Nuclear</v>
      </c>
      <c r="S35" s="24" t="str">
        <f>IF(Commodities[[#This Row],[Level 2]]=Commodities[[#This Row],[Commodity]],Commodities[[#This Row],[Commodity]],IF(Commodities[[#This Row],[Level 2]]=Commodities[[#This Row],[L1N]],Commodities[[#This Row],[Commodity]],IF(Commodities[[#This Row],[Level 2]]=Commodities[[#This Row],[L2N]],Commodities[[#This Row],[L1N]],IF(Commodities[[#This Row],[Level 2]]=Commodities[[#This Row],[L3N]],Commodities[[#This Row],[L2N]],IF(Commodities[[#This Row],[Level 2]]=Commodities[[#This Row],[L4N]],Commodities[[#This Row],[L3N]],Commodities[[#This Row],[L4N]])))))</f>
        <v>Nuclear</v>
      </c>
      <c r="T35" s="24" t="str">
        <f>IF(Commodities[[#This Row],[Level 3]]=Commodities[[#This Row],[Commodity]],Commodities[[#This Row],[Commodity]],IF(Commodities[[#This Row],[Level 3]]=Commodities[[#This Row],[L1N]],Commodities[[#This Row],[Commodity]],IF(Commodities[[#This Row],[Level 3]]=Commodities[[#This Row],[L2N]],Commodities[[#This Row],[L1N]],IF(Commodities[[#This Row],[Level 3]]=Commodities[[#This Row],[L3N]],Commodities[[#This Row],[L2N]],IF(Commodities[[#This Row],[Level 3]]=Commodities[[#This Row],[L4N]],Commodities[[#This Row],[L3N]],Commodities[[#This Row],[L4N]])))))</f>
        <v>Nuclear</v>
      </c>
      <c r="U35" s="24" t="str">
        <f>IF(Commodities[[#This Row],[Level 4]]=Commodities[[#This Row],[Commodity]],Commodities[[#This Row],[Commodity]],IF(Commodities[[#This Row],[Level 4]]=Commodities[[#This Row],[L1N]],Commodities[[#This Row],[Commodity]],IF(Commodities[[#This Row],[Level 4]]=Commodities[[#This Row],[L2N]],Commodities[[#This Row],[L1N]],IF(Commodities[[#This Row],[Level 4]]=Commodities[[#This Row],[L3N]],Commodities[[#This Row],[L2N]],IF(Commodities[[#This Row],[Level 4]]=Commodities[[#This Row],[L4N]],Commodities[[#This Row],[L3N]],Commodities[[#This Row],[L4N]])))))</f>
        <v>Nuclear</v>
      </c>
      <c r="Y35" s="5" t="s">
        <v>131</v>
      </c>
      <c r="Z35" s="4" t="s">
        <v>130</v>
      </c>
      <c r="AA35" s="4" t="s">
        <v>130</v>
      </c>
      <c r="AB35" s="4" t="s">
        <v>6</v>
      </c>
      <c r="AC35" s="24" t="str">
        <f>IFERROR(VLOOKUP(Transactions[[#This Row],[Parent code]],Transactions[[Transaction code]:[Transaction name]],2,0),"")</f>
        <v>Final consumption</v>
      </c>
      <c r="AD35" s="4" t="s">
        <v>630</v>
      </c>
      <c r="AE35" s="4" t="s">
        <v>916</v>
      </c>
      <c r="AF35" s="4" t="s">
        <v>642</v>
      </c>
      <c r="AG35" s="4" t="s">
        <v>1</v>
      </c>
      <c r="AH35" s="4" t="s">
        <v>696</v>
      </c>
      <c r="AK35" s="24" t="str" cm="1">
        <f t="array" ref="AK35">IFERROR(INDEX(Transactions[[Transaction code]:[Transaction name]],_xlfn.XMATCH(Transactions[[#This Row],[Parent code]],Transactions[Transaction name],0),3),Transactions[[#This Row],[Transaction name]])</f>
        <v>Non-energy uses</v>
      </c>
      <c r="AL35" s="24" t="str" cm="1">
        <f t="array" ref="AL35">IFERROR(INDEX(Transactions[[Transaction code]:[Transaction name]],_xlfn.XMATCH(INDEX(Transactions[[Transaction name]:[Parent code]],_xlfn.XMATCH(Transactions[[#This Row],[L1N]],Transactions[Transaction name],0),3),Transactions[Transaction code],0),2),Transactions[[#This Row],[L1N]])</f>
        <v>Final consumption</v>
      </c>
      <c r="AM35" s="24" t="str" cm="1">
        <f t="array" ref="AM35">IFERROR(INDEX(Transactions[[Transaction code]:[Transaction name]],_xlfn.XMATCH(INDEX(Transactions[[Transaction name]:[Parent code]],_xlfn.XMATCH(Transactions[[#This Row],[L2N]],Transactions[Transaction name],0),3),Transactions[Transaction code],0),2),Transactions[[#This Row],[L2N]])</f>
        <v>Final consumption</v>
      </c>
      <c r="AN35" s="24" t="str" cm="1">
        <f t="array" ref="AN35">IFERROR(INDEX(Transactions[[Transaction code]:[Transaction name]],_xlfn.XMATCH(INDEX(Transactions[[Transaction name]:[Parent code]],_xlfn.XMATCH(Transactions[[#This Row],[L3N]],Transactions[Transaction name],0),3),Transactions[Transaction code],0),2),Transactions[[#This Row],[L3N]])</f>
        <v>Final consumption</v>
      </c>
      <c r="AO35" s="24" t="str" cm="1">
        <f t="array" ref="AO35">IFERROR(INDEX(Transactions[[Transaction code]:[Transaction name]],_xlfn.XMATCH(INDEX(Transactions[[Transaction name]:[Parent code]],_xlfn.XMATCH(Transactions[[#This Row],[L4N]],Transactions[Transaction name],0),3),Transactions[Transaction code],0),2),Transactions[[#This Row],[L4N]])</f>
        <v>Final consumption</v>
      </c>
      <c r="AP35" s="24" t="str" cm="1">
        <f t="array" ref="AP35">IFERROR(INDEX(Transactions[[Transaction code]:[Transaction name]],_xlfn.XMATCH(INDEX(Transactions[[Transaction name]:[Parent code]],_xlfn.XMATCH(Transactions[[#This Row],[L5N]],Transactions[Transaction name],0),3),Transactions[Transaction code],0),2),Transactions[[#This Row],[L5N]])</f>
        <v>Final consumption</v>
      </c>
      <c r="AQ35" s="24" t="str" cm="1">
        <f t="array" ref="AQ35">IFERROR(INDEX(Transactions[[Transaction code]:[Transaction name]],_xlfn.XMATCH(INDEX(Transactions[[Transaction name]:[Parent code]],_xlfn.XMATCH(Transactions[[#This Row],[L6N]],Transactions[Transaction name],0),3),Transactions[Transaction code],0),2),Transactions[[#This Row],[L6N]])</f>
        <v>Final consumption</v>
      </c>
      <c r="AR35" s="27" t="str">
        <f>IF(Transactions[[#This Row],[L7N]]=Transactions[[#This Row],[L6N]],Transactions[[#This Row],[L7N]],IF(Transactions[[#This Row],[L6N]]=Transactions[[#This Row],[L5N]],Transactions[[#This Row],[L6N]],IF(Transactions[[#This Row],[L5N]]=Transactions[[#This Row],[L4N]],Transactions[[#This Row],[L5N]],IF(Transactions[[#This Row],[L4N]]=Transactions[[#This Row],[L3N]],Transactions[[#This Row],[L4N]],IF(Transactions[[#This Row],[L3N]]=Transactions[[#This Row],[L2N]],Transactions[[#This Row],[L3N]],IF(Transactions[[#This Row],[L2N]]=Transactions[[#This Row],[L1N]],Transactions[[#This Row],[L2N]],IF(Transactions[[#This Row],[L1N]]=Transactions[[#This Row],[Transaction name]],Transactions[[#This Row],[L1N]],Transactions[[#This Row],[Transaction name]])))))))</f>
        <v>Final consumption</v>
      </c>
      <c r="AS35" s="24" t="str">
        <f>IF(Transactions[[#This Row],[Level 0]]=Transactions[[#This Row],[Transaction name]],Transactions[[#This Row],[Transaction name]],IF(Transactions[[#This Row],[Level 0]]=Transactions[[#This Row],[L1N]],Transactions[[#This Row],[Transaction name]],IF(Transactions[[#This Row],[Level 0]]=Transactions[[#This Row],[L2N]],Transactions[[#This Row],[L1N]],IF(Transactions[[#This Row],[Level 0]]=Transactions[[#This Row],[L3N]],Transactions[[#This Row],[L2N]],IF(Transactions[[#This Row],[Level 0]]=Transactions[[#This Row],[L4N]],Transactions[[#This Row],[L3N]],IF(Transactions[[#This Row],[Level 0]]=Transactions[[#This Row],[L5N]],Transactions[[#This Row],[L4N]],IF(Transactions[[#This Row],[Level 0]]=Transactions[[#This Row],[L6N]],Transactions[[#This Row],[L5N]],IF(Transactions[[#This Row],[Level 0]]=Transactions[[#This Row],[L7N]],Transactions[[#This Row],[L6N]],Transactions[[#This Row],[L7N]]))))))))</f>
        <v>Non-energy uses</v>
      </c>
      <c r="AT35" s="24" t="str">
        <f>IF(Transactions[[#This Row],[Level 1]]=Transactions[[#This Row],[Transaction name]],Transactions[[#This Row],[Transaction name]],IF(Transactions[[#This Row],[Level 1]]=Transactions[[#This Row],[L1N]],Transactions[[#This Row],[Transaction name]],IF(Transactions[[#This Row],[Level 1]]=Transactions[[#This Row],[L2N]],Transactions[[#This Row],[L1N]],IF(Transactions[[#This Row],[Level 1]]=Transactions[[#This Row],[L3N]],Transactions[[#This Row],[L2N]],IF(Transactions[[#This Row],[Level 1]]=Transactions[[#This Row],[L4N]],Transactions[[#This Row],[L3N]],IF(Transactions[[#This Row],[Level 1]]=Transactions[[#This Row],[L5N]],Transactions[[#This Row],[L4N]],IF(Transactions[[#This Row],[Level 1]]=Transactions[[#This Row],[L6N]],Transactions[[#This Row],[L5N]],IF(Transactions[[#This Row],[Level 1]]=Transactions[[#This Row],[L7N]],Transactions[[#This Row],[L6N]],Transactions[[#This Row],[L7N]]))))))))</f>
        <v>Non-energy uses</v>
      </c>
      <c r="AU35" s="24" t="str">
        <f>IF(Transactions[[#This Row],[Level 2]]=Transactions[[#This Row],[Transaction name]],Transactions[[#This Row],[Transaction name]],IF(Transactions[[#This Row],[Level 2]]=Transactions[[#This Row],[L1N]],Transactions[[#This Row],[Transaction name]],IF(Transactions[[#This Row],[Level 2]]=Transactions[[#This Row],[L2N]],Transactions[[#This Row],[L1N]],IF(Transactions[[#This Row],[Level 2]]=Transactions[[#This Row],[L3N]],Transactions[[#This Row],[L2N]],IF(Transactions[[#This Row],[Level 2]]=Transactions[[#This Row],[L4N]],Transactions[[#This Row],[L3N]],IF(Transactions[[#This Row],[Level 2]]=Transactions[[#This Row],[L5N]],Transactions[[#This Row],[L4N]],IF(Transactions[[#This Row],[Level 2]]=Transactions[[#This Row],[L6N]],Transactions[[#This Row],[L5N]],IF(Transactions[[#This Row],[Level 2]]=Transactions[[#This Row],[L7N]],Transactions[[#This Row],[L6N]],Transactions[[#This Row],[L7N]]))))))))</f>
        <v>Non-energy uses</v>
      </c>
      <c r="AV35" s="24" t="str">
        <f>IF(Transactions[[#This Row],[Level 3]]=Transactions[[#This Row],[Transaction name]],Transactions[[#This Row],[Transaction name]],IF(Transactions[[#This Row],[Level 3]]=Transactions[[#This Row],[L1N]],Transactions[[#This Row],[Transaction name]],IF(Transactions[[#This Row],[Level 3]]=Transactions[[#This Row],[L2N]],Transactions[[#This Row],[L1N]],IF(Transactions[[#This Row],[Level 3]]=Transactions[[#This Row],[L3N]],Transactions[[#This Row],[L2N]],IF(Transactions[[#This Row],[Level 3]]=Transactions[[#This Row],[L4N]],Transactions[[#This Row],[L3N]],IF(Transactions[[#This Row],[Level 3]]=Transactions[[#This Row],[L5N]],Transactions[[#This Row],[L4N]],IF(Transactions[[#This Row],[Level 3]]=Transactions[[#This Row],[L6N]],Transactions[[#This Row],[L5N]],IF(Transactions[[#This Row],[Level 3]]=Transactions[[#This Row],[L7N]],Transactions[[#This Row],[L6N]],Transactions[[#This Row],[L7N]]))))))))</f>
        <v>Non-energy uses</v>
      </c>
      <c r="AW35" s="24" t="str">
        <f>IF(Transactions[[#This Row],[Level 4]]=Transactions[[#This Row],[Transaction name]],Transactions[[#This Row],[Transaction name]],IF(Transactions[[#This Row],[Level 4]]=Transactions[[#This Row],[L1N]],Transactions[[#This Row],[Transaction name]],IF(Transactions[[#This Row],[Level 4]]=Transactions[[#This Row],[L2N]],Transactions[[#This Row],[L1N]],IF(Transactions[[#This Row],[Level 4]]=Transactions[[#This Row],[L3N]],Transactions[[#This Row],[L2N]],IF(Transactions[[#This Row],[Level 4]]=Transactions[[#This Row],[L4N]],Transactions[[#This Row],[L3N]],IF(Transactions[[#This Row],[Level 4]]=Transactions[[#This Row],[L5N]],Transactions[[#This Row],[L4N]],IF(Transactions[[#This Row],[Level 4]]=Transactions[[#This Row],[L6N]],Transactions[[#This Row],[L5N]],IF(Transactions[[#This Row],[Level 4]]=Transactions[[#This Row],[L7N]],Transactions[[#This Row],[L6N]],Transactions[[#This Row],[L7N]]))))))))</f>
        <v>Non-energy uses</v>
      </c>
      <c r="AX35" s="24" t="str">
        <f>IF(Transactions[[#This Row],[Level 5]]=Transactions[[#This Row],[Transaction name]],Transactions[[#This Row],[Transaction name]],IF(Transactions[[#This Row],[Level 5]]=Transactions[[#This Row],[L1N]],Transactions[[#This Row],[Transaction name]],IF(Transactions[[#This Row],[Level 5]]=Transactions[[#This Row],[L2N]],Transactions[[#This Row],[L1N]],IF(Transactions[[#This Row],[Level 5]]=Transactions[[#This Row],[L3N]],Transactions[[#This Row],[L2N]],IF(Transactions[[#This Row],[Level 5]]=Transactions[[#This Row],[L4N]],Transactions[[#This Row],[L3N]],IF(Transactions[[#This Row],[Level 5]]=Transactions[[#This Row],[L5N]],Transactions[[#This Row],[L4N]],IF(Transactions[[#This Row],[Level 5]]=Transactions[[#This Row],[L6N]],Transactions[[#This Row],[L5N]],IF(Transactions[[#This Row],[Level 5]]=Transactions[[#This Row],[L7N]],Transactions[[#This Row],[L6N]],Transactions[[#This Row],[L7N]]))))))))</f>
        <v>Non-energy uses</v>
      </c>
      <c r="AY35" s="24" t="str">
        <f>IF(Transactions[[#This Row],[Level 6]]=Transactions[[#This Row],[Transaction name]],Transactions[[#This Row],[Transaction name]],IF(Transactions[[#This Row],[Level 6]]=Transactions[[#This Row],[L1N]],Transactions[[#This Row],[Transaction name]],IF(Transactions[[#This Row],[Level 6]]=Transactions[[#This Row],[L2N]],Transactions[[#This Row],[L1N]],IF(Transactions[[#This Row],[Level 6]]=Transactions[[#This Row],[L3N]],Transactions[[#This Row],[L2N]],IF(Transactions[[#This Row],[Level 6]]=Transactions[[#This Row],[L4N]],Transactions[[#This Row],[L3N]],IF(Transactions[[#This Row],[Level 6]]=Transactions[[#This Row],[L5N]],Transactions[[#This Row],[L4N]],IF(Transactions[[#This Row],[Level 6]]=Transactions[[#This Row],[L6N]],Transactions[[#This Row],[L5N]],IF(Transactions[[#This Row],[Level 6]]=Transactions[[#This Row],[L7N]],Transactions[[#This Row],[L6N]],Transactions[[#This Row],[L7N]]))))))))</f>
        <v>Non-energy uses</v>
      </c>
      <c r="BE35" s="26" t="str">
        <f>_xlfn.XLOOKUP(Transformation[[#This Row],[cfrom]],Commodities[Commodity],Commodities[Commodity code])</f>
        <v>6200</v>
      </c>
      <c r="BF35" s="26" t="str">
        <f>_xlfn.XLOOKUP(Transformation[[#This Row],[tfrom]],Transactions[Transaction name],Transactions[Transaction code])</f>
        <v>08822</v>
      </c>
      <c r="BG35" s="26" t="str">
        <f>_xlfn.XLOOKUP(Transformation[[#This Row],[cto]],Commodities[Commodity],Commodities[Commodity code])</f>
        <v>6200</v>
      </c>
      <c r="BH35" s="26" t="str">
        <f>_xlfn.XLOOKUP(Transformation[[#This Row],[tto]],Transactions[Transaction name],Transactions[Transaction code])</f>
        <v>016MSWC</v>
      </c>
      <c r="BI35" s="11">
        <v>1</v>
      </c>
      <c r="BJ35" s="4" t="s">
        <v>288</v>
      </c>
      <c r="BK35" s="24" t="str">
        <f>_xlfn.XLOOKUP(Transformation[[#This Row],[Commodity from]],Commodities[Commodity code],Commodities[EnergyCode])</f>
        <v>MW</v>
      </c>
      <c r="BL35" s="4" t="s">
        <v>692</v>
      </c>
      <c r="BM35" s="4" t="s">
        <v>288</v>
      </c>
      <c r="BN35" s="24" t="str">
        <f>_xlfn.XLOOKUP(Transformation[[#This Row],[Commodity to]],Commodities[Commodity code],Commodities[EnergyCode])</f>
        <v>MW</v>
      </c>
      <c r="BO35" s="4" t="s">
        <v>1142</v>
      </c>
      <c r="BP35" s="16" t="s">
        <v>1493</v>
      </c>
      <c r="BQ35" s="33" t="str">
        <f>Transformation[[#This Row],[Commodity from]]&amp;Transformation[[#This Row],[Transaction from]]&amp;Transformation[[#This Row],[Commodity to]]&amp;Transformation[[#This Row],[Transaction to]]</f>
        <v>6200088226200016MSWC</v>
      </c>
      <c r="BR35" s="26" t="str">
        <f>Transformation[[#This Row],[crfomid]]&amp;Transformation[[#This Row],[Transaction from]]&amp;"("&amp;Transformation[[#This Row],[Multiplier]]&amp;") -&gt; "&amp;Transformation[[#This Row],[ctoid]]&amp;Transformation[[#This Row],[Transaction to]]</f>
        <v>MW08822(1) -&gt; MW016MSWC</v>
      </c>
      <c r="BT35" s="26" t="str">
        <f>_xlfn.XLOOKUP(Signswitch[[#This Row],[Commodity name]],Commodities[Commodity],Commodities[Commodity code])</f>
        <v>5232</v>
      </c>
      <c r="BU35" s="26" t="str">
        <f>_xlfn.XLOOKUP(Signswitch[[#This Row],[Transaction name]],Transactions[Transaction name],Transactions[Transaction code])</f>
        <v>1214C</v>
      </c>
      <c r="BV35" s="26" t="str">
        <f>Signswitch[[#This Row],[Commodity from]]&amp;Signswitch[[#This Row],[Transaction from]]</f>
        <v>52321214C</v>
      </c>
      <c r="BW35" s="22" t="s">
        <v>306</v>
      </c>
      <c r="BX35" s="26" t="str">
        <f>_xlfn.XLOOKUP(Signswitch[[#This Row],[Commodity from]],Commodities[Commodity code],Commodities[EnergyCode])</f>
        <v>ZJ</v>
      </c>
      <c r="BY35" s="22" t="s">
        <v>469</v>
      </c>
    </row>
    <row r="36" spans="8:77" x14ac:dyDescent="0.45">
      <c r="H36" s="5" t="s">
        <v>275</v>
      </c>
      <c r="I36" s="4" t="s">
        <v>274</v>
      </c>
      <c r="J36" s="9" t="s">
        <v>265</v>
      </c>
      <c r="K36" s="9" t="s">
        <v>1467</v>
      </c>
      <c r="L36" s="23" t="str">
        <f>IFERROR(INDEX(Commodities[[Commodity code]:[Commodity]],MATCH(Commodities[[#This Row],[Parent code]],Commodities[Commodity code],0),2),Commodities[[#This Row],[Commodity]])</f>
        <v>Electricity</v>
      </c>
      <c r="M36" s="24" t="str">
        <f>IFERROR(INDEX(Commodities[[Commodity code]:[Commodity]],MATCH(INDEX(Commodities[[Commodity]:[Parent code]],MATCH(Commodities[[#This Row],[L1N]],Commodities[Commodity],0),2),Commodities[Commodity code],0),2),Commodities[[#This Row],[L1N]])</f>
        <v>Electricity</v>
      </c>
      <c r="N36" s="24" t="str">
        <f>IFERROR(INDEX(Commodities[[Commodity code]:[Commodity]],MATCH(INDEX(Commodities[[Commodity]:[Parent code]],MATCH(Commodities[[#This Row],[L2N]],Commodities[Commodity],0),2),Commodities[Commodity code],0),2),Commodities[[#This Row],[L2N]])</f>
        <v>Electricity</v>
      </c>
      <c r="O36" s="24" t="str">
        <f>IFERROR(INDEX(Commodities[[Commodity code]:[Commodity]],MATCH(INDEX(Commodities[[Commodity]:[Parent code]],MATCH(Commodities[[#This Row],[L3N]],Commodities[Commodity],0),2),Commodities[Commodity code],0),2),Commodities[[#This Row],[L3N]])</f>
        <v>Electricity</v>
      </c>
      <c r="P36" s="24" t="str">
        <f>IF(Commodities[[#This Row],[L4N]]=Commodities[[#This Row],[L3N]],Commodities[[#This Row],[L4N]],IF(Commodities[[#This Row],[L3N]]=Commodities[[#This Row],[L2N]],Commodities[[#This Row],[L3N]],IF(Commodities[[#This Row],[L2N]]=Commodities[[#This Row],[L1N]],Commodities[[#This Row],[L2N]],IF(Commodities[[#This Row],[L1N]]=Commodities[[#This Row],[Commodity]],Commodities[[#This Row],[L1N]],Commodities[[#This Row],[Commodity]]))))</f>
        <v>Electricity</v>
      </c>
      <c r="Q36" s="24" t="str">
        <f>IF(Commodities[[#This Row],[Level 0]]=Commodities[[#This Row],[Commodity]],Commodities[[#This Row],[Commodity]],IF(Commodities[[#This Row],[Level 0]]=Commodities[[#This Row],[L1N]],Commodities[[#This Row],[Commodity]],IF(Commodities[[#This Row],[Level 0]]=Commodities[[#This Row],[L2N]],Commodities[[#This Row],[L1N]],IF(Commodities[[#This Row],[Level 0]]=Commodities[[#This Row],[L3N]],Commodities[[#This Row],[L2N]],IF(Commodities[[#This Row],[Level 0]]=Commodities[[#This Row],[L4N]],Commodities[[#This Row],[L3N]],Commodities[[#This Row],[L4N]])))))</f>
        <v>Tide, wave and ocean electricity</v>
      </c>
      <c r="R36" s="24" t="str">
        <f>IF(Commodities[[#This Row],[Level 1]]=Commodities[[#This Row],[Commodity]],Commodities[[#This Row],[Commodity]],IF(Commodities[[#This Row],[Level 1]]=Commodities[[#This Row],[L1N]],Commodities[[#This Row],[Commodity]],IF(Commodities[[#This Row],[Level 1]]=Commodities[[#This Row],[L2N]],Commodities[[#This Row],[L1N]],IF(Commodities[[#This Row],[Level 1]]=Commodities[[#This Row],[L3N]],Commodities[[#This Row],[L2N]],IF(Commodities[[#This Row],[Level 1]]=Commodities[[#This Row],[L4N]],Commodities[[#This Row],[L3N]],Commodities[[#This Row],[L4N]])))))</f>
        <v>Tide, wave and ocean electricity</v>
      </c>
      <c r="S36" s="24" t="str">
        <f>IF(Commodities[[#This Row],[Level 2]]=Commodities[[#This Row],[Commodity]],Commodities[[#This Row],[Commodity]],IF(Commodities[[#This Row],[Level 2]]=Commodities[[#This Row],[L1N]],Commodities[[#This Row],[Commodity]],IF(Commodities[[#This Row],[Level 2]]=Commodities[[#This Row],[L2N]],Commodities[[#This Row],[L1N]],IF(Commodities[[#This Row],[Level 2]]=Commodities[[#This Row],[L3N]],Commodities[[#This Row],[L2N]],IF(Commodities[[#This Row],[Level 2]]=Commodities[[#This Row],[L4N]],Commodities[[#This Row],[L3N]],Commodities[[#This Row],[L4N]])))))</f>
        <v>Tide, wave and ocean electricity</v>
      </c>
      <c r="T36" s="24" t="str">
        <f>IF(Commodities[[#This Row],[Level 3]]=Commodities[[#This Row],[Commodity]],Commodities[[#This Row],[Commodity]],IF(Commodities[[#This Row],[Level 3]]=Commodities[[#This Row],[L1N]],Commodities[[#This Row],[Commodity]],IF(Commodities[[#This Row],[Level 3]]=Commodities[[#This Row],[L2N]],Commodities[[#This Row],[L1N]],IF(Commodities[[#This Row],[Level 3]]=Commodities[[#This Row],[L3N]],Commodities[[#This Row],[L2N]],IF(Commodities[[#This Row],[Level 3]]=Commodities[[#This Row],[L4N]],Commodities[[#This Row],[L3N]],Commodities[[#This Row],[L4N]])))))</f>
        <v>Tide, wave and ocean electricity</v>
      </c>
      <c r="U36" s="24" t="str">
        <f>IF(Commodities[[#This Row],[Level 4]]=Commodities[[#This Row],[Commodity]],Commodities[[#This Row],[Commodity]],IF(Commodities[[#This Row],[Level 4]]=Commodities[[#This Row],[L1N]],Commodities[[#This Row],[Commodity]],IF(Commodities[[#This Row],[Level 4]]=Commodities[[#This Row],[L2N]],Commodities[[#This Row],[L1N]],IF(Commodities[[#This Row],[Level 4]]=Commodities[[#This Row],[L3N]],Commodities[[#This Row],[L2N]],IF(Commodities[[#This Row],[Level 4]]=Commodities[[#This Row],[L4N]],Commodities[[#This Row],[L3N]],Commodities[[#This Row],[L4N]])))))</f>
        <v>Tide, wave and ocean electricity</v>
      </c>
      <c r="Y36" s="5" t="s">
        <v>128</v>
      </c>
      <c r="Z36" s="4" t="s">
        <v>481</v>
      </c>
      <c r="AA36" s="4" t="s">
        <v>481</v>
      </c>
      <c r="AB36" s="4" t="s">
        <v>127</v>
      </c>
      <c r="AC36" s="24" t="str">
        <f>IFERROR(VLOOKUP(Transactions[[#This Row],[Parent code]],Transactions[[Transaction code]:[Transaction name]],2,0),"")</f>
        <v>Manufacturing, construction and non-fuel industry</v>
      </c>
      <c r="AD36" s="4" t="s">
        <v>630</v>
      </c>
      <c r="AE36" s="4" t="s">
        <v>909</v>
      </c>
      <c r="AF36" s="4" t="s">
        <v>642</v>
      </c>
      <c r="AG36" s="4" t="s">
        <v>1</v>
      </c>
      <c r="AH36" s="4" t="s">
        <v>696</v>
      </c>
      <c r="AK36" s="24" t="str" cm="1">
        <f t="array" ref="AK36">IFERROR(INDEX(Transactions[[Transaction code]:[Transaction name]],_xlfn.XMATCH(Transactions[[#This Row],[Parent code]],Transactions[Transaction name],0),3),Transactions[[#This Row],[Transaction name]])</f>
        <v>Chemical and petrochemical</v>
      </c>
      <c r="AL36" s="24" t="str" cm="1">
        <f t="array" ref="AL36">IFERROR(INDEX(Transactions[[Transaction code]:[Transaction name]],_xlfn.XMATCH(INDEX(Transactions[[Transaction name]:[Parent code]],_xlfn.XMATCH(Transactions[[#This Row],[L1N]],Transactions[Transaction name],0),3),Transactions[Transaction code],0),2),Transactions[[#This Row],[L1N]])</f>
        <v>Manufacturing, construction and non-fuel industry</v>
      </c>
      <c r="AM36" s="24" t="str" cm="1">
        <f t="array" ref="AM36">IFERROR(INDEX(Transactions[[Transaction code]:[Transaction name]],_xlfn.XMATCH(INDEX(Transactions[[Transaction name]:[Parent code]],_xlfn.XMATCH(Transactions[[#This Row],[L2N]],Transactions[Transaction name],0),3),Transactions[Transaction code],0),2),Transactions[[#This Row],[L2N]])</f>
        <v>Total Final Energy Consumption</v>
      </c>
      <c r="AN36" s="24" t="str" cm="1">
        <f t="array" ref="AN36">IFERROR(INDEX(Transactions[[Transaction code]:[Transaction name]],_xlfn.XMATCH(INDEX(Transactions[[Transaction name]:[Parent code]],_xlfn.XMATCH(Transactions[[#This Row],[L3N]],Transactions[Transaction name],0),3),Transactions[Transaction code],0),2),Transactions[[#This Row],[L3N]])</f>
        <v>Final consumption</v>
      </c>
      <c r="AO36" s="24" t="str" cm="1">
        <f t="array" ref="AO36">IFERROR(INDEX(Transactions[[Transaction code]:[Transaction name]],_xlfn.XMATCH(INDEX(Transactions[[Transaction name]:[Parent code]],_xlfn.XMATCH(Transactions[[#This Row],[L4N]],Transactions[Transaction name],0),3),Transactions[Transaction code],0),2),Transactions[[#This Row],[L4N]])</f>
        <v>Final consumption</v>
      </c>
      <c r="AP36" s="24" t="str" cm="1">
        <f t="array" ref="AP36">IFERROR(INDEX(Transactions[[Transaction code]:[Transaction name]],_xlfn.XMATCH(INDEX(Transactions[[Transaction name]:[Parent code]],_xlfn.XMATCH(Transactions[[#This Row],[L5N]],Transactions[Transaction name],0),3),Transactions[Transaction code],0),2),Transactions[[#This Row],[L5N]])</f>
        <v>Final consumption</v>
      </c>
      <c r="AQ36" s="24" t="str" cm="1">
        <f t="array" ref="AQ36">IFERROR(INDEX(Transactions[[Transaction code]:[Transaction name]],_xlfn.XMATCH(INDEX(Transactions[[Transaction name]:[Parent code]],_xlfn.XMATCH(Transactions[[#This Row],[L6N]],Transactions[Transaction name],0),3),Transactions[Transaction code],0),2),Transactions[[#This Row],[L6N]])</f>
        <v>Final consumption</v>
      </c>
      <c r="AR36" s="27" t="str">
        <f>IF(Transactions[[#This Row],[L7N]]=Transactions[[#This Row],[L6N]],Transactions[[#This Row],[L7N]],IF(Transactions[[#This Row],[L6N]]=Transactions[[#This Row],[L5N]],Transactions[[#This Row],[L6N]],IF(Transactions[[#This Row],[L5N]]=Transactions[[#This Row],[L4N]],Transactions[[#This Row],[L5N]],IF(Transactions[[#This Row],[L4N]]=Transactions[[#This Row],[L3N]],Transactions[[#This Row],[L4N]],IF(Transactions[[#This Row],[L3N]]=Transactions[[#This Row],[L2N]],Transactions[[#This Row],[L3N]],IF(Transactions[[#This Row],[L2N]]=Transactions[[#This Row],[L1N]],Transactions[[#This Row],[L2N]],IF(Transactions[[#This Row],[L1N]]=Transactions[[#This Row],[Transaction name]],Transactions[[#This Row],[L1N]],Transactions[[#This Row],[Transaction name]])))))))</f>
        <v>Final consumption</v>
      </c>
      <c r="AS36" s="24" t="str">
        <f>IF(Transactions[[#This Row],[Level 0]]=Transactions[[#This Row],[Transaction name]],Transactions[[#This Row],[Transaction name]],IF(Transactions[[#This Row],[Level 0]]=Transactions[[#This Row],[L1N]],Transactions[[#This Row],[Transaction name]],IF(Transactions[[#This Row],[Level 0]]=Transactions[[#This Row],[L2N]],Transactions[[#This Row],[L1N]],IF(Transactions[[#This Row],[Level 0]]=Transactions[[#This Row],[L3N]],Transactions[[#This Row],[L2N]],IF(Transactions[[#This Row],[Level 0]]=Transactions[[#This Row],[L4N]],Transactions[[#This Row],[L3N]],IF(Transactions[[#This Row],[Level 0]]=Transactions[[#This Row],[L5N]],Transactions[[#This Row],[L4N]],IF(Transactions[[#This Row],[Level 0]]=Transactions[[#This Row],[L6N]],Transactions[[#This Row],[L5N]],IF(Transactions[[#This Row],[Level 0]]=Transactions[[#This Row],[L7N]],Transactions[[#This Row],[L6N]],Transactions[[#This Row],[L7N]]))))))))</f>
        <v>Total Final Energy Consumption</v>
      </c>
      <c r="AT36" s="24" t="str">
        <f>IF(Transactions[[#This Row],[Level 1]]=Transactions[[#This Row],[Transaction name]],Transactions[[#This Row],[Transaction name]],IF(Transactions[[#This Row],[Level 1]]=Transactions[[#This Row],[L1N]],Transactions[[#This Row],[Transaction name]],IF(Transactions[[#This Row],[Level 1]]=Transactions[[#This Row],[L2N]],Transactions[[#This Row],[L1N]],IF(Transactions[[#This Row],[Level 1]]=Transactions[[#This Row],[L3N]],Transactions[[#This Row],[L2N]],IF(Transactions[[#This Row],[Level 1]]=Transactions[[#This Row],[L4N]],Transactions[[#This Row],[L3N]],IF(Transactions[[#This Row],[Level 1]]=Transactions[[#This Row],[L5N]],Transactions[[#This Row],[L4N]],IF(Transactions[[#This Row],[Level 1]]=Transactions[[#This Row],[L6N]],Transactions[[#This Row],[L5N]],IF(Transactions[[#This Row],[Level 1]]=Transactions[[#This Row],[L7N]],Transactions[[#This Row],[L6N]],Transactions[[#This Row],[L7N]]))))))))</f>
        <v>Manufacturing, construction and non-fuel industry</v>
      </c>
      <c r="AU36" s="24" t="str">
        <f>IF(Transactions[[#This Row],[Level 2]]=Transactions[[#This Row],[Transaction name]],Transactions[[#This Row],[Transaction name]],IF(Transactions[[#This Row],[Level 2]]=Transactions[[#This Row],[L1N]],Transactions[[#This Row],[Transaction name]],IF(Transactions[[#This Row],[Level 2]]=Transactions[[#This Row],[L2N]],Transactions[[#This Row],[L1N]],IF(Transactions[[#This Row],[Level 2]]=Transactions[[#This Row],[L3N]],Transactions[[#This Row],[L2N]],IF(Transactions[[#This Row],[Level 2]]=Transactions[[#This Row],[L4N]],Transactions[[#This Row],[L3N]],IF(Transactions[[#This Row],[Level 2]]=Transactions[[#This Row],[L5N]],Transactions[[#This Row],[L4N]],IF(Transactions[[#This Row],[Level 2]]=Transactions[[#This Row],[L6N]],Transactions[[#This Row],[L5N]],IF(Transactions[[#This Row],[Level 2]]=Transactions[[#This Row],[L7N]],Transactions[[#This Row],[L6N]],Transactions[[#This Row],[L7N]]))))))))</f>
        <v>Chemical and petrochemical</v>
      </c>
      <c r="AV36" s="24" t="str">
        <f>IF(Transactions[[#This Row],[Level 3]]=Transactions[[#This Row],[Transaction name]],Transactions[[#This Row],[Transaction name]],IF(Transactions[[#This Row],[Level 3]]=Transactions[[#This Row],[L1N]],Transactions[[#This Row],[Transaction name]],IF(Transactions[[#This Row],[Level 3]]=Transactions[[#This Row],[L2N]],Transactions[[#This Row],[L1N]],IF(Transactions[[#This Row],[Level 3]]=Transactions[[#This Row],[L3N]],Transactions[[#This Row],[L2N]],IF(Transactions[[#This Row],[Level 3]]=Transactions[[#This Row],[L4N]],Transactions[[#This Row],[L3N]],IF(Transactions[[#This Row],[Level 3]]=Transactions[[#This Row],[L5N]],Transactions[[#This Row],[L4N]],IF(Transactions[[#This Row],[Level 3]]=Transactions[[#This Row],[L6N]],Transactions[[#This Row],[L5N]],IF(Transactions[[#This Row],[Level 3]]=Transactions[[#This Row],[L7N]],Transactions[[#This Row],[L6N]],Transactions[[#This Row],[L7N]]))))))))</f>
        <v>Chemical and petrochemical</v>
      </c>
      <c r="AW36" s="24" t="str">
        <f>IF(Transactions[[#This Row],[Level 4]]=Transactions[[#This Row],[Transaction name]],Transactions[[#This Row],[Transaction name]],IF(Transactions[[#This Row],[Level 4]]=Transactions[[#This Row],[L1N]],Transactions[[#This Row],[Transaction name]],IF(Transactions[[#This Row],[Level 4]]=Transactions[[#This Row],[L2N]],Transactions[[#This Row],[L1N]],IF(Transactions[[#This Row],[Level 4]]=Transactions[[#This Row],[L3N]],Transactions[[#This Row],[L2N]],IF(Transactions[[#This Row],[Level 4]]=Transactions[[#This Row],[L4N]],Transactions[[#This Row],[L3N]],IF(Transactions[[#This Row],[Level 4]]=Transactions[[#This Row],[L5N]],Transactions[[#This Row],[L4N]],IF(Transactions[[#This Row],[Level 4]]=Transactions[[#This Row],[L6N]],Transactions[[#This Row],[L5N]],IF(Transactions[[#This Row],[Level 4]]=Transactions[[#This Row],[L7N]],Transactions[[#This Row],[L6N]],Transactions[[#This Row],[L7N]]))))))))</f>
        <v>Chemical and petrochemical</v>
      </c>
      <c r="AX36" s="24" t="str">
        <f>IF(Transactions[[#This Row],[Level 5]]=Transactions[[#This Row],[Transaction name]],Transactions[[#This Row],[Transaction name]],IF(Transactions[[#This Row],[Level 5]]=Transactions[[#This Row],[L1N]],Transactions[[#This Row],[Transaction name]],IF(Transactions[[#This Row],[Level 5]]=Transactions[[#This Row],[L2N]],Transactions[[#This Row],[L1N]],IF(Transactions[[#This Row],[Level 5]]=Transactions[[#This Row],[L3N]],Transactions[[#This Row],[L2N]],IF(Transactions[[#This Row],[Level 5]]=Transactions[[#This Row],[L4N]],Transactions[[#This Row],[L3N]],IF(Transactions[[#This Row],[Level 5]]=Transactions[[#This Row],[L5N]],Transactions[[#This Row],[L4N]],IF(Transactions[[#This Row],[Level 5]]=Transactions[[#This Row],[L6N]],Transactions[[#This Row],[L5N]],IF(Transactions[[#This Row],[Level 5]]=Transactions[[#This Row],[L7N]],Transactions[[#This Row],[L6N]],Transactions[[#This Row],[L7N]]))))))))</f>
        <v>Chemical and petrochemical</v>
      </c>
      <c r="AY36" s="24" t="str">
        <f>IF(Transactions[[#This Row],[Level 6]]=Transactions[[#This Row],[Transaction name]],Transactions[[#This Row],[Transaction name]],IF(Transactions[[#This Row],[Level 6]]=Transactions[[#This Row],[L1N]],Transactions[[#This Row],[Transaction name]],IF(Transactions[[#This Row],[Level 6]]=Transactions[[#This Row],[L2N]],Transactions[[#This Row],[L1N]],IF(Transactions[[#This Row],[Level 6]]=Transactions[[#This Row],[L3N]],Transactions[[#This Row],[L2N]],IF(Transactions[[#This Row],[Level 6]]=Transactions[[#This Row],[L4N]],Transactions[[#This Row],[L3N]],IF(Transactions[[#This Row],[Level 6]]=Transactions[[#This Row],[L5N]],Transactions[[#This Row],[L4N]],IF(Transactions[[#This Row],[Level 6]]=Transactions[[#This Row],[L6N]],Transactions[[#This Row],[L5N]],IF(Transactions[[#This Row],[Level 6]]=Transactions[[#This Row],[L7N]],Transactions[[#This Row],[L6N]],Transactions[[#This Row],[L7N]]))))))))</f>
        <v>Chemical and petrochemical</v>
      </c>
      <c r="BE36" s="26" t="str">
        <f>_xlfn.XLOOKUP(Transformation[[#This Row],[cfrom]],Commodities[Commodity],Commodities[Commodity code])</f>
        <v>3000</v>
      </c>
      <c r="BF36" s="26" t="str">
        <f>_xlfn.XLOOKUP(Transformation[[#This Row],[tfrom]],Transactions[Transaction name],Transactions[Transaction code])</f>
        <v>08822</v>
      </c>
      <c r="BG36" s="26" t="str">
        <f>_xlfn.XLOOKUP(Transformation[[#This Row],[cto]],Commodities[Commodity],Commodities[Commodity code])</f>
        <v>3000</v>
      </c>
      <c r="BH36" s="26" t="str">
        <f>_xlfn.XLOOKUP(Transformation[[#This Row],[tto]],Transactions[Transaction name],Transactions[Transaction code])</f>
        <v>016NGC</v>
      </c>
      <c r="BI36" s="11">
        <v>1</v>
      </c>
      <c r="BJ36" s="4" t="s">
        <v>446</v>
      </c>
      <c r="BK36" s="24" t="str">
        <f>_xlfn.XLOOKUP(Transformation[[#This Row],[Commodity from]],Commodities[Commodity code],Commodities[EnergyCode])</f>
        <v>NG</v>
      </c>
      <c r="BL36" s="4" t="s">
        <v>692</v>
      </c>
      <c r="BM36" s="4" t="s">
        <v>446</v>
      </c>
      <c r="BN36" s="24" t="str">
        <f>_xlfn.XLOOKUP(Transformation[[#This Row],[Commodity to]],Commodities[Commodity code],Commodities[EnergyCode])</f>
        <v>NG</v>
      </c>
      <c r="BO36" s="4" t="s">
        <v>1237</v>
      </c>
      <c r="BP36" s="16" t="s">
        <v>1493</v>
      </c>
      <c r="BQ36" s="33" t="str">
        <f>Transformation[[#This Row],[Commodity from]]&amp;Transformation[[#This Row],[Transaction from]]&amp;Transformation[[#This Row],[Commodity to]]&amp;Transformation[[#This Row],[Transaction to]]</f>
        <v>3000088223000016NGC</v>
      </c>
      <c r="BR36" s="26" t="str">
        <f>Transformation[[#This Row],[crfomid]]&amp;Transformation[[#This Row],[Transaction from]]&amp;"("&amp;Transformation[[#This Row],[Multiplier]]&amp;") -&gt; "&amp;Transformation[[#This Row],[ctoid]]&amp;Transformation[[#This Row],[Transaction to]]</f>
        <v>NG08822(1) -&gt; NG016NGC</v>
      </c>
      <c r="BT36" s="26" t="str">
        <f>_xlfn.XLOOKUP(Signswitch[[#This Row],[Commodity name]],Commodities[Commodity],Commodities[Commodity code])</f>
        <v>5222</v>
      </c>
      <c r="BU36" s="26" t="str">
        <f>_xlfn.XLOOKUP(Signswitch[[#This Row],[Transaction name]],Transactions[Transaction name],Transactions[Transaction code])</f>
        <v>1214C</v>
      </c>
      <c r="BV36" s="26" t="str">
        <f>Signswitch[[#This Row],[Commodity from]]&amp;Signswitch[[#This Row],[Transaction from]]</f>
        <v>52221214C</v>
      </c>
      <c r="BW36" s="22" t="s">
        <v>962</v>
      </c>
      <c r="BX36" s="26" t="str">
        <f>_xlfn.XLOOKUP(Signswitch[[#This Row],[Commodity from]],Commodities[Commodity code],Commodities[EnergyCode])</f>
        <v>ZD</v>
      </c>
      <c r="BY36" s="22" t="s">
        <v>469</v>
      </c>
    </row>
    <row r="37" spans="8:77" x14ac:dyDescent="0.45">
      <c r="H37" s="5" t="s">
        <v>273</v>
      </c>
      <c r="I37" s="4" t="s">
        <v>272</v>
      </c>
      <c r="J37" s="9" t="s">
        <v>265</v>
      </c>
      <c r="K37" s="9" t="s">
        <v>1468</v>
      </c>
      <c r="L37" s="23" t="str">
        <f>IFERROR(INDEX(Commodities[[Commodity code]:[Commodity]],MATCH(Commodities[[#This Row],[Parent code]],Commodities[Commodity code],0),2),Commodities[[#This Row],[Commodity]])</f>
        <v>Electricity</v>
      </c>
      <c r="M37" s="24" t="str">
        <f>IFERROR(INDEX(Commodities[[Commodity code]:[Commodity]],MATCH(INDEX(Commodities[[Commodity]:[Parent code]],MATCH(Commodities[[#This Row],[L1N]],Commodities[Commodity],0),2),Commodities[Commodity code],0),2),Commodities[[#This Row],[L1N]])</f>
        <v>Electricity</v>
      </c>
      <c r="N37" s="24" t="str">
        <f>IFERROR(INDEX(Commodities[[Commodity code]:[Commodity]],MATCH(INDEX(Commodities[[Commodity]:[Parent code]],MATCH(Commodities[[#This Row],[L2N]],Commodities[Commodity],0),2),Commodities[Commodity code],0),2),Commodities[[#This Row],[L2N]])</f>
        <v>Electricity</v>
      </c>
      <c r="O37" s="24" t="str">
        <f>IFERROR(INDEX(Commodities[[Commodity code]:[Commodity]],MATCH(INDEX(Commodities[[Commodity]:[Parent code]],MATCH(Commodities[[#This Row],[L3N]],Commodities[Commodity],0),2),Commodities[Commodity code],0),2),Commodities[[#This Row],[L3N]])</f>
        <v>Electricity</v>
      </c>
      <c r="P37" s="24" t="str">
        <f>IF(Commodities[[#This Row],[L4N]]=Commodities[[#This Row],[L3N]],Commodities[[#This Row],[L4N]],IF(Commodities[[#This Row],[L3N]]=Commodities[[#This Row],[L2N]],Commodities[[#This Row],[L3N]],IF(Commodities[[#This Row],[L2N]]=Commodities[[#This Row],[L1N]],Commodities[[#This Row],[L2N]],IF(Commodities[[#This Row],[L1N]]=Commodities[[#This Row],[Commodity]],Commodities[[#This Row],[L1N]],Commodities[[#This Row],[Commodity]]))))</f>
        <v>Electricity</v>
      </c>
      <c r="Q37" s="24" t="str">
        <f>IF(Commodities[[#This Row],[Level 0]]=Commodities[[#This Row],[Commodity]],Commodities[[#This Row],[Commodity]],IF(Commodities[[#This Row],[Level 0]]=Commodities[[#This Row],[L1N]],Commodities[[#This Row],[Commodity]],IF(Commodities[[#This Row],[Level 0]]=Commodities[[#This Row],[L2N]],Commodities[[#This Row],[L1N]],IF(Commodities[[#This Row],[Level 0]]=Commodities[[#This Row],[L3N]],Commodities[[#This Row],[L2N]],IF(Commodities[[#This Row],[Level 0]]=Commodities[[#This Row],[L4N]],Commodities[[#This Row],[L3N]],Commodities[[#This Row],[L4N]])))))</f>
        <v>Solar electricity</v>
      </c>
      <c r="R37" s="24" t="str">
        <f>IF(Commodities[[#This Row],[Level 1]]=Commodities[[#This Row],[Commodity]],Commodities[[#This Row],[Commodity]],IF(Commodities[[#This Row],[Level 1]]=Commodities[[#This Row],[L1N]],Commodities[[#This Row],[Commodity]],IF(Commodities[[#This Row],[Level 1]]=Commodities[[#This Row],[L2N]],Commodities[[#This Row],[L1N]],IF(Commodities[[#This Row],[Level 1]]=Commodities[[#This Row],[L3N]],Commodities[[#This Row],[L2N]],IF(Commodities[[#This Row],[Level 1]]=Commodities[[#This Row],[L4N]],Commodities[[#This Row],[L3N]],Commodities[[#This Row],[L4N]])))))</f>
        <v>Solar electricity</v>
      </c>
      <c r="S37" s="24" t="str">
        <f>IF(Commodities[[#This Row],[Level 2]]=Commodities[[#This Row],[Commodity]],Commodities[[#This Row],[Commodity]],IF(Commodities[[#This Row],[Level 2]]=Commodities[[#This Row],[L1N]],Commodities[[#This Row],[Commodity]],IF(Commodities[[#This Row],[Level 2]]=Commodities[[#This Row],[L2N]],Commodities[[#This Row],[L1N]],IF(Commodities[[#This Row],[Level 2]]=Commodities[[#This Row],[L3N]],Commodities[[#This Row],[L2N]],IF(Commodities[[#This Row],[Level 2]]=Commodities[[#This Row],[L4N]],Commodities[[#This Row],[L3N]],Commodities[[#This Row],[L4N]])))))</f>
        <v>Solar electricity</v>
      </c>
      <c r="T37" s="24" t="str">
        <f>IF(Commodities[[#This Row],[Level 3]]=Commodities[[#This Row],[Commodity]],Commodities[[#This Row],[Commodity]],IF(Commodities[[#This Row],[Level 3]]=Commodities[[#This Row],[L1N]],Commodities[[#This Row],[Commodity]],IF(Commodities[[#This Row],[Level 3]]=Commodities[[#This Row],[L2N]],Commodities[[#This Row],[L1N]],IF(Commodities[[#This Row],[Level 3]]=Commodities[[#This Row],[L3N]],Commodities[[#This Row],[L2N]],IF(Commodities[[#This Row],[Level 3]]=Commodities[[#This Row],[L4N]],Commodities[[#This Row],[L3N]],Commodities[[#This Row],[L4N]])))))</f>
        <v>Solar electricity</v>
      </c>
      <c r="U37" s="24" t="str">
        <f>IF(Commodities[[#This Row],[Level 4]]=Commodities[[#This Row],[Commodity]],Commodities[[#This Row],[Commodity]],IF(Commodities[[#This Row],[Level 4]]=Commodities[[#This Row],[L1N]],Commodities[[#This Row],[Commodity]],IF(Commodities[[#This Row],[Level 4]]=Commodities[[#This Row],[L2N]],Commodities[[#This Row],[L1N]],IF(Commodities[[#This Row],[Level 4]]=Commodities[[#This Row],[L3N]],Commodities[[#This Row],[L2N]],IF(Commodities[[#This Row],[Level 4]]=Commodities[[#This Row],[L4N]],Commodities[[#This Row],[L3N]],Commodities[[#This Row],[L4N]])))))</f>
        <v>Solar electricity</v>
      </c>
      <c r="Y37" s="5" t="s">
        <v>118</v>
      </c>
      <c r="Z37" s="4" t="s">
        <v>441</v>
      </c>
      <c r="AA37" s="4" t="s">
        <v>441</v>
      </c>
      <c r="AB37" s="4" t="s">
        <v>127</v>
      </c>
      <c r="AC37" s="24" t="str">
        <f>IFERROR(VLOOKUP(Transactions[[#This Row],[Parent code]],Transactions[[Transaction code]:[Transaction name]],2,0),"")</f>
        <v>Manufacturing, construction and non-fuel industry</v>
      </c>
      <c r="AD37" s="4" t="s">
        <v>630</v>
      </c>
      <c r="AE37" s="4" t="s">
        <v>914</v>
      </c>
      <c r="AF37" s="4" t="s">
        <v>642</v>
      </c>
      <c r="AG37" s="4" t="s">
        <v>1</v>
      </c>
      <c r="AH37" s="4" t="s">
        <v>696</v>
      </c>
      <c r="AK37" s="24" t="str" cm="1">
        <f t="array" ref="AK37">IFERROR(INDEX(Transactions[[Transaction code]:[Transaction name]],_xlfn.XMATCH(Transactions[[#This Row],[Parent code]],Transactions[Transaction name],0),3),Transactions[[#This Row],[Transaction name]])</f>
        <v>Construction</v>
      </c>
      <c r="AL37" s="24" t="str" cm="1">
        <f t="array" ref="AL37">IFERROR(INDEX(Transactions[[Transaction code]:[Transaction name]],_xlfn.XMATCH(INDEX(Transactions[[Transaction name]:[Parent code]],_xlfn.XMATCH(Transactions[[#This Row],[L1N]],Transactions[Transaction name],0),3),Transactions[Transaction code],0),2),Transactions[[#This Row],[L1N]])</f>
        <v>Manufacturing, construction and non-fuel industry</v>
      </c>
      <c r="AM37" s="24" t="str" cm="1">
        <f t="array" ref="AM37">IFERROR(INDEX(Transactions[[Transaction code]:[Transaction name]],_xlfn.XMATCH(INDEX(Transactions[[Transaction name]:[Parent code]],_xlfn.XMATCH(Transactions[[#This Row],[L2N]],Transactions[Transaction name],0),3),Transactions[Transaction code],0),2),Transactions[[#This Row],[L2N]])</f>
        <v>Total Final Energy Consumption</v>
      </c>
      <c r="AN37" s="24" t="str" cm="1">
        <f t="array" ref="AN37">IFERROR(INDEX(Transactions[[Transaction code]:[Transaction name]],_xlfn.XMATCH(INDEX(Transactions[[Transaction name]:[Parent code]],_xlfn.XMATCH(Transactions[[#This Row],[L3N]],Transactions[Transaction name],0),3),Transactions[Transaction code],0),2),Transactions[[#This Row],[L3N]])</f>
        <v>Final consumption</v>
      </c>
      <c r="AO37" s="24" t="str" cm="1">
        <f t="array" ref="AO37">IFERROR(INDEX(Transactions[[Transaction code]:[Transaction name]],_xlfn.XMATCH(INDEX(Transactions[[Transaction name]:[Parent code]],_xlfn.XMATCH(Transactions[[#This Row],[L4N]],Transactions[Transaction name],0),3),Transactions[Transaction code],0),2),Transactions[[#This Row],[L4N]])</f>
        <v>Final consumption</v>
      </c>
      <c r="AP37" s="24" t="str" cm="1">
        <f t="array" ref="AP37">IFERROR(INDEX(Transactions[[Transaction code]:[Transaction name]],_xlfn.XMATCH(INDEX(Transactions[[Transaction name]:[Parent code]],_xlfn.XMATCH(Transactions[[#This Row],[L5N]],Transactions[Transaction name],0),3),Transactions[Transaction code],0),2),Transactions[[#This Row],[L5N]])</f>
        <v>Final consumption</v>
      </c>
      <c r="AQ37" s="24" t="str" cm="1">
        <f t="array" ref="AQ37">IFERROR(INDEX(Transactions[[Transaction code]:[Transaction name]],_xlfn.XMATCH(INDEX(Transactions[[Transaction name]:[Parent code]],_xlfn.XMATCH(Transactions[[#This Row],[L6N]],Transactions[Transaction name],0),3),Transactions[Transaction code],0),2),Transactions[[#This Row],[L6N]])</f>
        <v>Final consumption</v>
      </c>
      <c r="AR37" s="27" t="str">
        <f>IF(Transactions[[#This Row],[L7N]]=Transactions[[#This Row],[L6N]],Transactions[[#This Row],[L7N]],IF(Transactions[[#This Row],[L6N]]=Transactions[[#This Row],[L5N]],Transactions[[#This Row],[L6N]],IF(Transactions[[#This Row],[L5N]]=Transactions[[#This Row],[L4N]],Transactions[[#This Row],[L5N]],IF(Transactions[[#This Row],[L4N]]=Transactions[[#This Row],[L3N]],Transactions[[#This Row],[L4N]],IF(Transactions[[#This Row],[L3N]]=Transactions[[#This Row],[L2N]],Transactions[[#This Row],[L3N]],IF(Transactions[[#This Row],[L2N]]=Transactions[[#This Row],[L1N]],Transactions[[#This Row],[L2N]],IF(Transactions[[#This Row],[L1N]]=Transactions[[#This Row],[Transaction name]],Transactions[[#This Row],[L1N]],Transactions[[#This Row],[Transaction name]])))))))</f>
        <v>Final consumption</v>
      </c>
      <c r="AS37" s="24" t="str">
        <f>IF(Transactions[[#This Row],[Level 0]]=Transactions[[#This Row],[Transaction name]],Transactions[[#This Row],[Transaction name]],IF(Transactions[[#This Row],[Level 0]]=Transactions[[#This Row],[L1N]],Transactions[[#This Row],[Transaction name]],IF(Transactions[[#This Row],[Level 0]]=Transactions[[#This Row],[L2N]],Transactions[[#This Row],[L1N]],IF(Transactions[[#This Row],[Level 0]]=Transactions[[#This Row],[L3N]],Transactions[[#This Row],[L2N]],IF(Transactions[[#This Row],[Level 0]]=Transactions[[#This Row],[L4N]],Transactions[[#This Row],[L3N]],IF(Transactions[[#This Row],[Level 0]]=Transactions[[#This Row],[L5N]],Transactions[[#This Row],[L4N]],IF(Transactions[[#This Row],[Level 0]]=Transactions[[#This Row],[L6N]],Transactions[[#This Row],[L5N]],IF(Transactions[[#This Row],[Level 0]]=Transactions[[#This Row],[L7N]],Transactions[[#This Row],[L6N]],Transactions[[#This Row],[L7N]]))))))))</f>
        <v>Total Final Energy Consumption</v>
      </c>
      <c r="AT37" s="24" t="str">
        <f>IF(Transactions[[#This Row],[Level 1]]=Transactions[[#This Row],[Transaction name]],Transactions[[#This Row],[Transaction name]],IF(Transactions[[#This Row],[Level 1]]=Transactions[[#This Row],[L1N]],Transactions[[#This Row],[Transaction name]],IF(Transactions[[#This Row],[Level 1]]=Transactions[[#This Row],[L2N]],Transactions[[#This Row],[L1N]],IF(Transactions[[#This Row],[Level 1]]=Transactions[[#This Row],[L3N]],Transactions[[#This Row],[L2N]],IF(Transactions[[#This Row],[Level 1]]=Transactions[[#This Row],[L4N]],Transactions[[#This Row],[L3N]],IF(Transactions[[#This Row],[Level 1]]=Transactions[[#This Row],[L5N]],Transactions[[#This Row],[L4N]],IF(Transactions[[#This Row],[Level 1]]=Transactions[[#This Row],[L6N]],Transactions[[#This Row],[L5N]],IF(Transactions[[#This Row],[Level 1]]=Transactions[[#This Row],[L7N]],Transactions[[#This Row],[L6N]],Transactions[[#This Row],[L7N]]))))))))</f>
        <v>Manufacturing, construction and non-fuel industry</v>
      </c>
      <c r="AU37" s="24" t="str">
        <f>IF(Transactions[[#This Row],[Level 2]]=Transactions[[#This Row],[Transaction name]],Transactions[[#This Row],[Transaction name]],IF(Transactions[[#This Row],[Level 2]]=Transactions[[#This Row],[L1N]],Transactions[[#This Row],[Transaction name]],IF(Transactions[[#This Row],[Level 2]]=Transactions[[#This Row],[L2N]],Transactions[[#This Row],[L1N]],IF(Transactions[[#This Row],[Level 2]]=Transactions[[#This Row],[L3N]],Transactions[[#This Row],[L2N]],IF(Transactions[[#This Row],[Level 2]]=Transactions[[#This Row],[L4N]],Transactions[[#This Row],[L3N]],IF(Transactions[[#This Row],[Level 2]]=Transactions[[#This Row],[L5N]],Transactions[[#This Row],[L4N]],IF(Transactions[[#This Row],[Level 2]]=Transactions[[#This Row],[L6N]],Transactions[[#This Row],[L5N]],IF(Transactions[[#This Row],[Level 2]]=Transactions[[#This Row],[L7N]],Transactions[[#This Row],[L6N]],Transactions[[#This Row],[L7N]]))))))))</f>
        <v>Construction</v>
      </c>
      <c r="AV37" s="24" t="str">
        <f>IF(Transactions[[#This Row],[Level 3]]=Transactions[[#This Row],[Transaction name]],Transactions[[#This Row],[Transaction name]],IF(Transactions[[#This Row],[Level 3]]=Transactions[[#This Row],[L1N]],Transactions[[#This Row],[Transaction name]],IF(Transactions[[#This Row],[Level 3]]=Transactions[[#This Row],[L2N]],Transactions[[#This Row],[L1N]],IF(Transactions[[#This Row],[Level 3]]=Transactions[[#This Row],[L3N]],Transactions[[#This Row],[L2N]],IF(Transactions[[#This Row],[Level 3]]=Transactions[[#This Row],[L4N]],Transactions[[#This Row],[L3N]],IF(Transactions[[#This Row],[Level 3]]=Transactions[[#This Row],[L5N]],Transactions[[#This Row],[L4N]],IF(Transactions[[#This Row],[Level 3]]=Transactions[[#This Row],[L6N]],Transactions[[#This Row],[L5N]],IF(Transactions[[#This Row],[Level 3]]=Transactions[[#This Row],[L7N]],Transactions[[#This Row],[L6N]],Transactions[[#This Row],[L7N]]))))))))</f>
        <v>Construction</v>
      </c>
      <c r="AW37" s="24" t="str">
        <f>IF(Transactions[[#This Row],[Level 4]]=Transactions[[#This Row],[Transaction name]],Transactions[[#This Row],[Transaction name]],IF(Transactions[[#This Row],[Level 4]]=Transactions[[#This Row],[L1N]],Transactions[[#This Row],[Transaction name]],IF(Transactions[[#This Row],[Level 4]]=Transactions[[#This Row],[L2N]],Transactions[[#This Row],[L1N]],IF(Transactions[[#This Row],[Level 4]]=Transactions[[#This Row],[L3N]],Transactions[[#This Row],[L2N]],IF(Transactions[[#This Row],[Level 4]]=Transactions[[#This Row],[L4N]],Transactions[[#This Row],[L3N]],IF(Transactions[[#This Row],[Level 4]]=Transactions[[#This Row],[L5N]],Transactions[[#This Row],[L4N]],IF(Transactions[[#This Row],[Level 4]]=Transactions[[#This Row],[L6N]],Transactions[[#This Row],[L5N]],IF(Transactions[[#This Row],[Level 4]]=Transactions[[#This Row],[L7N]],Transactions[[#This Row],[L6N]],Transactions[[#This Row],[L7N]]))))))))</f>
        <v>Construction</v>
      </c>
      <c r="AX37" s="24" t="str">
        <f>IF(Transactions[[#This Row],[Level 5]]=Transactions[[#This Row],[Transaction name]],Transactions[[#This Row],[Transaction name]],IF(Transactions[[#This Row],[Level 5]]=Transactions[[#This Row],[L1N]],Transactions[[#This Row],[Transaction name]],IF(Transactions[[#This Row],[Level 5]]=Transactions[[#This Row],[L2N]],Transactions[[#This Row],[L1N]],IF(Transactions[[#This Row],[Level 5]]=Transactions[[#This Row],[L3N]],Transactions[[#This Row],[L2N]],IF(Transactions[[#This Row],[Level 5]]=Transactions[[#This Row],[L4N]],Transactions[[#This Row],[L3N]],IF(Transactions[[#This Row],[Level 5]]=Transactions[[#This Row],[L5N]],Transactions[[#This Row],[L4N]],IF(Transactions[[#This Row],[Level 5]]=Transactions[[#This Row],[L6N]],Transactions[[#This Row],[L5N]],IF(Transactions[[#This Row],[Level 5]]=Transactions[[#This Row],[L7N]],Transactions[[#This Row],[L6N]],Transactions[[#This Row],[L7N]]))))))))</f>
        <v>Construction</v>
      </c>
      <c r="AY37" s="24" t="str">
        <f>IF(Transactions[[#This Row],[Level 6]]=Transactions[[#This Row],[Transaction name]],Transactions[[#This Row],[Transaction name]],IF(Transactions[[#This Row],[Level 6]]=Transactions[[#This Row],[L1N]],Transactions[[#This Row],[Transaction name]],IF(Transactions[[#This Row],[Level 6]]=Transactions[[#This Row],[L2N]],Transactions[[#This Row],[L1N]],IF(Transactions[[#This Row],[Level 6]]=Transactions[[#This Row],[L3N]],Transactions[[#This Row],[L2N]],IF(Transactions[[#This Row],[Level 6]]=Transactions[[#This Row],[L4N]],Transactions[[#This Row],[L3N]],IF(Transactions[[#This Row],[Level 6]]=Transactions[[#This Row],[L5N]],Transactions[[#This Row],[L4N]],IF(Transactions[[#This Row],[Level 6]]=Transactions[[#This Row],[L6N]],Transactions[[#This Row],[L5N]],IF(Transactions[[#This Row],[Level 6]]=Transactions[[#This Row],[L7N]],Transactions[[#This Row],[L6N]],Transactions[[#This Row],[L7N]]))))))))</f>
        <v>Construction</v>
      </c>
      <c r="BE37" s="26" t="str">
        <f>_xlfn.XLOOKUP(Transformation[[#This Row],[cfrom]],Commodities[Commodity],Commodities[Commodity code])</f>
        <v>4640</v>
      </c>
      <c r="BF37" s="26" t="str">
        <f>_xlfn.XLOOKUP(Transformation[[#This Row],[tfrom]],Transactions[Transaction name],Transactions[Transaction code])</f>
        <v>08822</v>
      </c>
      <c r="BG37" s="26" t="str">
        <f>_xlfn.XLOOKUP(Transformation[[#This Row],[cto]],Commodities[Commodity],Commodities[Commodity code])</f>
        <v>4640</v>
      </c>
      <c r="BH37" s="26" t="str">
        <f>_xlfn.XLOOKUP(Transformation[[#This Row],[tto]],Transactions[Transaction name],Transactions[Transaction code])</f>
        <v>016OPC</v>
      </c>
      <c r="BI37" s="11">
        <v>1</v>
      </c>
      <c r="BJ37" s="4" t="s">
        <v>405</v>
      </c>
      <c r="BK37" s="24" t="str">
        <f>_xlfn.XLOOKUP(Transformation[[#This Row],[Commodity from]],Commodities[Commodity code],Commodities[EnergyCode])</f>
        <v>NP</v>
      </c>
      <c r="BL37" s="4" t="s">
        <v>692</v>
      </c>
      <c r="BM37" s="4" t="s">
        <v>405</v>
      </c>
      <c r="BN37" s="24" t="str">
        <f>_xlfn.XLOOKUP(Transformation[[#This Row],[Commodity to]],Commodities[Commodity code],Commodities[EnergyCode])</f>
        <v>NP</v>
      </c>
      <c r="BO37" s="4" t="s">
        <v>1054</v>
      </c>
      <c r="BP37" s="16" t="s">
        <v>1493</v>
      </c>
      <c r="BQ37" s="33" t="str">
        <f>Transformation[[#This Row],[Commodity from]]&amp;Transformation[[#This Row],[Transaction from]]&amp;Transformation[[#This Row],[Commodity to]]&amp;Transformation[[#This Row],[Transaction to]]</f>
        <v>4640088224640016OPC</v>
      </c>
      <c r="BR37" s="26" t="str">
        <f>Transformation[[#This Row],[crfomid]]&amp;Transformation[[#This Row],[Transaction from]]&amp;"("&amp;Transformation[[#This Row],[Multiplier]]&amp;") -&gt; "&amp;Transformation[[#This Row],[ctoid]]&amp;Transformation[[#This Row],[Transaction to]]</f>
        <v>NP08822(1) -&gt; NP016OPC</v>
      </c>
      <c r="BT37" s="26" t="str">
        <f>_xlfn.XLOOKUP(Signswitch[[#This Row],[Commodity name]],Commodities[Commodity],Commodities[Commodity code])</f>
        <v>5212</v>
      </c>
      <c r="BU37" s="26" t="str">
        <f>_xlfn.XLOOKUP(Signswitch[[#This Row],[Transaction name]],Transactions[Transaction name],Transactions[Transaction code])</f>
        <v>1214C</v>
      </c>
      <c r="BV37" s="26" t="str">
        <f>Signswitch[[#This Row],[Commodity from]]&amp;Signswitch[[#This Row],[Transaction from]]</f>
        <v>52121214C</v>
      </c>
      <c r="BW37" s="22" t="s">
        <v>317</v>
      </c>
      <c r="BX37" s="26" t="str">
        <f>_xlfn.XLOOKUP(Signswitch[[#This Row],[Commodity from]],Commodities[Commodity code],Commodities[EnergyCode])</f>
        <v>ZG</v>
      </c>
      <c r="BY37" s="22" t="s">
        <v>469</v>
      </c>
    </row>
    <row r="38" spans="8:77" x14ac:dyDescent="0.45">
      <c r="H38" s="5" t="s">
        <v>270</v>
      </c>
      <c r="I38" s="4" t="s">
        <v>269</v>
      </c>
      <c r="J38" s="9" t="s">
        <v>265</v>
      </c>
      <c r="K38" s="9" t="s">
        <v>1469</v>
      </c>
      <c r="L38" s="23" t="str">
        <f>IFERROR(INDEX(Commodities[[Commodity code]:[Commodity]],MATCH(Commodities[[#This Row],[Parent code]],Commodities[Commodity code],0),2),Commodities[[#This Row],[Commodity]])</f>
        <v>Electricity</v>
      </c>
      <c r="M38" s="24" t="str">
        <f>IFERROR(INDEX(Commodities[[Commodity code]:[Commodity]],MATCH(INDEX(Commodities[[Commodity]:[Parent code]],MATCH(Commodities[[#This Row],[L1N]],Commodities[Commodity],0),2),Commodities[Commodity code],0),2),Commodities[[#This Row],[L1N]])</f>
        <v>Electricity</v>
      </c>
      <c r="N38" s="24" t="str">
        <f>IFERROR(INDEX(Commodities[[Commodity code]:[Commodity]],MATCH(INDEX(Commodities[[Commodity]:[Parent code]],MATCH(Commodities[[#This Row],[L2N]],Commodities[Commodity],0),2),Commodities[Commodity code],0),2),Commodities[[#This Row],[L2N]])</f>
        <v>Electricity</v>
      </c>
      <c r="O38" s="24" t="str">
        <f>IFERROR(INDEX(Commodities[[Commodity code]:[Commodity]],MATCH(INDEX(Commodities[[Commodity]:[Parent code]],MATCH(Commodities[[#This Row],[L3N]],Commodities[Commodity],0),2),Commodities[Commodity code],0),2),Commodities[[#This Row],[L3N]])</f>
        <v>Electricity</v>
      </c>
      <c r="P38" s="24" t="str">
        <f>IF(Commodities[[#This Row],[L4N]]=Commodities[[#This Row],[L3N]],Commodities[[#This Row],[L4N]],IF(Commodities[[#This Row],[L3N]]=Commodities[[#This Row],[L2N]],Commodities[[#This Row],[L3N]],IF(Commodities[[#This Row],[L2N]]=Commodities[[#This Row],[L1N]],Commodities[[#This Row],[L2N]],IF(Commodities[[#This Row],[L1N]]=Commodities[[#This Row],[Commodity]],Commodities[[#This Row],[L1N]],Commodities[[#This Row],[Commodity]]))))</f>
        <v>Electricity</v>
      </c>
      <c r="Q38" s="24" t="str">
        <f>IF(Commodities[[#This Row],[Level 0]]=Commodities[[#This Row],[Commodity]],Commodities[[#This Row],[Commodity]],IF(Commodities[[#This Row],[Level 0]]=Commodities[[#This Row],[L1N]],Commodities[[#This Row],[Commodity]],IF(Commodities[[#This Row],[Level 0]]=Commodities[[#This Row],[L2N]],Commodities[[#This Row],[L1N]],IF(Commodities[[#This Row],[Level 0]]=Commodities[[#This Row],[L3N]],Commodities[[#This Row],[L2N]],IF(Commodities[[#This Row],[Level 0]]=Commodities[[#This Row],[L4N]],Commodities[[#This Row],[L3N]],Commodities[[#This Row],[L4N]])))))</f>
        <v>Thermal electricity</v>
      </c>
      <c r="R38" s="24" t="str">
        <f>IF(Commodities[[#This Row],[Level 1]]=Commodities[[#This Row],[Commodity]],Commodities[[#This Row],[Commodity]],IF(Commodities[[#This Row],[Level 1]]=Commodities[[#This Row],[L1N]],Commodities[[#This Row],[Commodity]],IF(Commodities[[#This Row],[Level 1]]=Commodities[[#This Row],[L2N]],Commodities[[#This Row],[L1N]],IF(Commodities[[#This Row],[Level 1]]=Commodities[[#This Row],[L3N]],Commodities[[#This Row],[L2N]],IF(Commodities[[#This Row],[Level 1]]=Commodities[[#This Row],[L4N]],Commodities[[#This Row],[L3N]],Commodities[[#This Row],[L4N]])))))</f>
        <v>Thermal electricity</v>
      </c>
      <c r="S38" s="24" t="str">
        <f>IF(Commodities[[#This Row],[Level 2]]=Commodities[[#This Row],[Commodity]],Commodities[[#This Row],[Commodity]],IF(Commodities[[#This Row],[Level 2]]=Commodities[[#This Row],[L1N]],Commodities[[#This Row],[Commodity]],IF(Commodities[[#This Row],[Level 2]]=Commodities[[#This Row],[L2N]],Commodities[[#This Row],[L1N]],IF(Commodities[[#This Row],[Level 2]]=Commodities[[#This Row],[L3N]],Commodities[[#This Row],[L2N]],IF(Commodities[[#This Row],[Level 2]]=Commodities[[#This Row],[L4N]],Commodities[[#This Row],[L3N]],Commodities[[#This Row],[L4N]])))))</f>
        <v>Thermal electricity</v>
      </c>
      <c r="T38" s="24" t="str">
        <f>IF(Commodities[[#This Row],[Level 3]]=Commodities[[#This Row],[Commodity]],Commodities[[#This Row],[Commodity]],IF(Commodities[[#This Row],[Level 3]]=Commodities[[#This Row],[L1N]],Commodities[[#This Row],[Commodity]],IF(Commodities[[#This Row],[Level 3]]=Commodities[[#This Row],[L2N]],Commodities[[#This Row],[L1N]],IF(Commodities[[#This Row],[Level 3]]=Commodities[[#This Row],[L3N]],Commodities[[#This Row],[L2N]],IF(Commodities[[#This Row],[Level 3]]=Commodities[[#This Row],[L4N]],Commodities[[#This Row],[L3N]],Commodities[[#This Row],[L4N]])))))</f>
        <v>Thermal electricity</v>
      </c>
      <c r="U38" s="24" t="str">
        <f>IF(Commodities[[#This Row],[Level 4]]=Commodities[[#This Row],[Commodity]],Commodities[[#This Row],[Commodity]],IF(Commodities[[#This Row],[Level 4]]=Commodities[[#This Row],[L1N]],Commodities[[#This Row],[Commodity]],IF(Commodities[[#This Row],[Level 4]]=Commodities[[#This Row],[L2N]],Commodities[[#This Row],[L1N]],IF(Commodities[[#This Row],[Level 4]]=Commodities[[#This Row],[L3N]],Commodities[[#This Row],[L2N]],IF(Commodities[[#This Row],[Level 4]]=Commodities[[#This Row],[L4N]],Commodities[[#This Row],[L3N]],Commodities[[#This Row],[L4N]])))))</f>
        <v>Thermal electricity</v>
      </c>
      <c r="Y38" s="5" t="s">
        <v>121</v>
      </c>
      <c r="Z38" s="4" t="s">
        <v>457</v>
      </c>
      <c r="AA38" s="4" t="s">
        <v>457</v>
      </c>
      <c r="AB38" s="4" t="s">
        <v>127</v>
      </c>
      <c r="AC38" s="24" t="str">
        <f>IFERROR(VLOOKUP(Transactions[[#This Row],[Parent code]],Transactions[[Transaction code]:[Transaction name]],2,0),"")</f>
        <v>Manufacturing, construction and non-fuel industry</v>
      </c>
      <c r="AD38" s="4" t="s">
        <v>630</v>
      </c>
      <c r="AE38" s="4" t="s">
        <v>914</v>
      </c>
      <c r="AF38" s="4" t="s">
        <v>642</v>
      </c>
      <c r="AG38" s="4" t="s">
        <v>1</v>
      </c>
      <c r="AH38" s="4" t="s">
        <v>696</v>
      </c>
      <c r="AK38" s="24" t="str" cm="1">
        <f t="array" ref="AK38">IFERROR(INDEX(Transactions[[Transaction code]:[Transaction name]],_xlfn.XMATCH(Transactions[[#This Row],[Parent code]],Transactions[Transaction name],0),3),Transactions[[#This Row],[Transaction name]])</f>
        <v>Food and tobacco</v>
      </c>
      <c r="AL38" s="24" t="str" cm="1">
        <f t="array" ref="AL38">IFERROR(INDEX(Transactions[[Transaction code]:[Transaction name]],_xlfn.XMATCH(INDEX(Transactions[[Transaction name]:[Parent code]],_xlfn.XMATCH(Transactions[[#This Row],[L1N]],Transactions[Transaction name],0),3),Transactions[Transaction code],0),2),Transactions[[#This Row],[L1N]])</f>
        <v>Manufacturing, construction and non-fuel industry</v>
      </c>
      <c r="AM38" s="24" t="str" cm="1">
        <f t="array" ref="AM38">IFERROR(INDEX(Transactions[[Transaction code]:[Transaction name]],_xlfn.XMATCH(INDEX(Transactions[[Transaction name]:[Parent code]],_xlfn.XMATCH(Transactions[[#This Row],[L2N]],Transactions[Transaction name],0),3),Transactions[Transaction code],0),2),Transactions[[#This Row],[L2N]])</f>
        <v>Total Final Energy Consumption</v>
      </c>
      <c r="AN38" s="24" t="str" cm="1">
        <f t="array" ref="AN38">IFERROR(INDEX(Transactions[[Transaction code]:[Transaction name]],_xlfn.XMATCH(INDEX(Transactions[[Transaction name]:[Parent code]],_xlfn.XMATCH(Transactions[[#This Row],[L3N]],Transactions[Transaction name],0),3),Transactions[Transaction code],0),2),Transactions[[#This Row],[L3N]])</f>
        <v>Final consumption</v>
      </c>
      <c r="AO38" s="24" t="str" cm="1">
        <f t="array" ref="AO38">IFERROR(INDEX(Transactions[[Transaction code]:[Transaction name]],_xlfn.XMATCH(INDEX(Transactions[[Transaction name]:[Parent code]],_xlfn.XMATCH(Transactions[[#This Row],[L4N]],Transactions[Transaction name],0),3),Transactions[Transaction code],0),2),Transactions[[#This Row],[L4N]])</f>
        <v>Final consumption</v>
      </c>
      <c r="AP38" s="24" t="str" cm="1">
        <f t="array" ref="AP38">IFERROR(INDEX(Transactions[[Transaction code]:[Transaction name]],_xlfn.XMATCH(INDEX(Transactions[[Transaction name]:[Parent code]],_xlfn.XMATCH(Transactions[[#This Row],[L5N]],Transactions[Transaction name],0),3),Transactions[Transaction code],0),2),Transactions[[#This Row],[L5N]])</f>
        <v>Final consumption</v>
      </c>
      <c r="AQ38" s="24" t="str" cm="1">
        <f t="array" ref="AQ38">IFERROR(INDEX(Transactions[[Transaction code]:[Transaction name]],_xlfn.XMATCH(INDEX(Transactions[[Transaction name]:[Parent code]],_xlfn.XMATCH(Transactions[[#This Row],[L6N]],Transactions[Transaction name],0),3),Transactions[Transaction code],0),2),Transactions[[#This Row],[L6N]])</f>
        <v>Final consumption</v>
      </c>
      <c r="AR38" s="27" t="str">
        <f>IF(Transactions[[#This Row],[L7N]]=Transactions[[#This Row],[L6N]],Transactions[[#This Row],[L7N]],IF(Transactions[[#This Row],[L6N]]=Transactions[[#This Row],[L5N]],Transactions[[#This Row],[L6N]],IF(Transactions[[#This Row],[L5N]]=Transactions[[#This Row],[L4N]],Transactions[[#This Row],[L5N]],IF(Transactions[[#This Row],[L4N]]=Transactions[[#This Row],[L3N]],Transactions[[#This Row],[L4N]],IF(Transactions[[#This Row],[L3N]]=Transactions[[#This Row],[L2N]],Transactions[[#This Row],[L3N]],IF(Transactions[[#This Row],[L2N]]=Transactions[[#This Row],[L1N]],Transactions[[#This Row],[L2N]],IF(Transactions[[#This Row],[L1N]]=Transactions[[#This Row],[Transaction name]],Transactions[[#This Row],[L1N]],Transactions[[#This Row],[Transaction name]])))))))</f>
        <v>Final consumption</v>
      </c>
      <c r="AS38" s="24" t="str">
        <f>IF(Transactions[[#This Row],[Level 0]]=Transactions[[#This Row],[Transaction name]],Transactions[[#This Row],[Transaction name]],IF(Transactions[[#This Row],[Level 0]]=Transactions[[#This Row],[L1N]],Transactions[[#This Row],[Transaction name]],IF(Transactions[[#This Row],[Level 0]]=Transactions[[#This Row],[L2N]],Transactions[[#This Row],[L1N]],IF(Transactions[[#This Row],[Level 0]]=Transactions[[#This Row],[L3N]],Transactions[[#This Row],[L2N]],IF(Transactions[[#This Row],[Level 0]]=Transactions[[#This Row],[L4N]],Transactions[[#This Row],[L3N]],IF(Transactions[[#This Row],[Level 0]]=Transactions[[#This Row],[L5N]],Transactions[[#This Row],[L4N]],IF(Transactions[[#This Row],[Level 0]]=Transactions[[#This Row],[L6N]],Transactions[[#This Row],[L5N]],IF(Transactions[[#This Row],[Level 0]]=Transactions[[#This Row],[L7N]],Transactions[[#This Row],[L6N]],Transactions[[#This Row],[L7N]]))))))))</f>
        <v>Total Final Energy Consumption</v>
      </c>
      <c r="AT38" s="24" t="str">
        <f>IF(Transactions[[#This Row],[Level 1]]=Transactions[[#This Row],[Transaction name]],Transactions[[#This Row],[Transaction name]],IF(Transactions[[#This Row],[Level 1]]=Transactions[[#This Row],[L1N]],Transactions[[#This Row],[Transaction name]],IF(Transactions[[#This Row],[Level 1]]=Transactions[[#This Row],[L2N]],Transactions[[#This Row],[L1N]],IF(Transactions[[#This Row],[Level 1]]=Transactions[[#This Row],[L3N]],Transactions[[#This Row],[L2N]],IF(Transactions[[#This Row],[Level 1]]=Transactions[[#This Row],[L4N]],Transactions[[#This Row],[L3N]],IF(Transactions[[#This Row],[Level 1]]=Transactions[[#This Row],[L5N]],Transactions[[#This Row],[L4N]],IF(Transactions[[#This Row],[Level 1]]=Transactions[[#This Row],[L6N]],Transactions[[#This Row],[L5N]],IF(Transactions[[#This Row],[Level 1]]=Transactions[[#This Row],[L7N]],Transactions[[#This Row],[L6N]],Transactions[[#This Row],[L7N]]))))))))</f>
        <v>Manufacturing, construction and non-fuel industry</v>
      </c>
      <c r="AU38" s="24" t="str">
        <f>IF(Transactions[[#This Row],[Level 2]]=Transactions[[#This Row],[Transaction name]],Transactions[[#This Row],[Transaction name]],IF(Transactions[[#This Row],[Level 2]]=Transactions[[#This Row],[L1N]],Transactions[[#This Row],[Transaction name]],IF(Transactions[[#This Row],[Level 2]]=Transactions[[#This Row],[L2N]],Transactions[[#This Row],[L1N]],IF(Transactions[[#This Row],[Level 2]]=Transactions[[#This Row],[L3N]],Transactions[[#This Row],[L2N]],IF(Transactions[[#This Row],[Level 2]]=Transactions[[#This Row],[L4N]],Transactions[[#This Row],[L3N]],IF(Transactions[[#This Row],[Level 2]]=Transactions[[#This Row],[L5N]],Transactions[[#This Row],[L4N]],IF(Transactions[[#This Row],[Level 2]]=Transactions[[#This Row],[L6N]],Transactions[[#This Row],[L5N]],IF(Transactions[[#This Row],[Level 2]]=Transactions[[#This Row],[L7N]],Transactions[[#This Row],[L6N]],Transactions[[#This Row],[L7N]]))))))))</f>
        <v>Food and tobacco</v>
      </c>
      <c r="AV38" s="24" t="str">
        <f>IF(Transactions[[#This Row],[Level 3]]=Transactions[[#This Row],[Transaction name]],Transactions[[#This Row],[Transaction name]],IF(Transactions[[#This Row],[Level 3]]=Transactions[[#This Row],[L1N]],Transactions[[#This Row],[Transaction name]],IF(Transactions[[#This Row],[Level 3]]=Transactions[[#This Row],[L2N]],Transactions[[#This Row],[L1N]],IF(Transactions[[#This Row],[Level 3]]=Transactions[[#This Row],[L3N]],Transactions[[#This Row],[L2N]],IF(Transactions[[#This Row],[Level 3]]=Transactions[[#This Row],[L4N]],Transactions[[#This Row],[L3N]],IF(Transactions[[#This Row],[Level 3]]=Transactions[[#This Row],[L5N]],Transactions[[#This Row],[L4N]],IF(Transactions[[#This Row],[Level 3]]=Transactions[[#This Row],[L6N]],Transactions[[#This Row],[L5N]],IF(Transactions[[#This Row],[Level 3]]=Transactions[[#This Row],[L7N]],Transactions[[#This Row],[L6N]],Transactions[[#This Row],[L7N]]))))))))</f>
        <v>Food and tobacco</v>
      </c>
      <c r="AW38" s="24" t="str">
        <f>IF(Transactions[[#This Row],[Level 4]]=Transactions[[#This Row],[Transaction name]],Transactions[[#This Row],[Transaction name]],IF(Transactions[[#This Row],[Level 4]]=Transactions[[#This Row],[L1N]],Transactions[[#This Row],[Transaction name]],IF(Transactions[[#This Row],[Level 4]]=Transactions[[#This Row],[L2N]],Transactions[[#This Row],[L1N]],IF(Transactions[[#This Row],[Level 4]]=Transactions[[#This Row],[L3N]],Transactions[[#This Row],[L2N]],IF(Transactions[[#This Row],[Level 4]]=Transactions[[#This Row],[L4N]],Transactions[[#This Row],[L3N]],IF(Transactions[[#This Row],[Level 4]]=Transactions[[#This Row],[L5N]],Transactions[[#This Row],[L4N]],IF(Transactions[[#This Row],[Level 4]]=Transactions[[#This Row],[L6N]],Transactions[[#This Row],[L5N]],IF(Transactions[[#This Row],[Level 4]]=Transactions[[#This Row],[L7N]],Transactions[[#This Row],[L6N]],Transactions[[#This Row],[L7N]]))))))))</f>
        <v>Food and tobacco</v>
      </c>
      <c r="AX38" s="24" t="str">
        <f>IF(Transactions[[#This Row],[Level 5]]=Transactions[[#This Row],[Transaction name]],Transactions[[#This Row],[Transaction name]],IF(Transactions[[#This Row],[Level 5]]=Transactions[[#This Row],[L1N]],Transactions[[#This Row],[Transaction name]],IF(Transactions[[#This Row],[Level 5]]=Transactions[[#This Row],[L2N]],Transactions[[#This Row],[L1N]],IF(Transactions[[#This Row],[Level 5]]=Transactions[[#This Row],[L3N]],Transactions[[#This Row],[L2N]],IF(Transactions[[#This Row],[Level 5]]=Transactions[[#This Row],[L4N]],Transactions[[#This Row],[L3N]],IF(Transactions[[#This Row],[Level 5]]=Transactions[[#This Row],[L5N]],Transactions[[#This Row],[L4N]],IF(Transactions[[#This Row],[Level 5]]=Transactions[[#This Row],[L6N]],Transactions[[#This Row],[L5N]],IF(Transactions[[#This Row],[Level 5]]=Transactions[[#This Row],[L7N]],Transactions[[#This Row],[L6N]],Transactions[[#This Row],[L7N]]))))))))</f>
        <v>Food and tobacco</v>
      </c>
      <c r="AY38" s="24" t="str">
        <f>IF(Transactions[[#This Row],[Level 6]]=Transactions[[#This Row],[Transaction name]],Transactions[[#This Row],[Transaction name]],IF(Transactions[[#This Row],[Level 6]]=Transactions[[#This Row],[L1N]],Transactions[[#This Row],[Transaction name]],IF(Transactions[[#This Row],[Level 6]]=Transactions[[#This Row],[L2N]],Transactions[[#This Row],[L1N]],IF(Transactions[[#This Row],[Level 6]]=Transactions[[#This Row],[L3N]],Transactions[[#This Row],[L2N]],IF(Transactions[[#This Row],[Level 6]]=Transactions[[#This Row],[L4N]],Transactions[[#This Row],[L3N]],IF(Transactions[[#This Row],[Level 6]]=Transactions[[#This Row],[L5N]],Transactions[[#This Row],[L4N]],IF(Transactions[[#This Row],[Level 6]]=Transactions[[#This Row],[L6N]],Transactions[[#This Row],[L5N]],IF(Transactions[[#This Row],[Level 6]]=Transactions[[#This Row],[L7N]],Transactions[[#This Row],[L6N]],Transactions[[#This Row],[L7N]]))))))))</f>
        <v>Food and tobacco</v>
      </c>
      <c r="BE38" s="26" t="str">
        <f>_xlfn.XLOOKUP(Transformation[[#This Row],[cfrom]],Commodities[Commodity],Commodities[Commodity code])</f>
        <v>0350</v>
      </c>
      <c r="BF38" s="26" t="str">
        <f>_xlfn.XLOOKUP(Transformation[[#This Row],[tfrom]],Transactions[Transaction name],Transactions[Transaction code])</f>
        <v>08822</v>
      </c>
      <c r="BG38" s="26" t="str">
        <f>_xlfn.XLOOKUP(Transformation[[#This Row],[cto]],Commodities[Commodity],Commodities[Commodity code])</f>
        <v>0350</v>
      </c>
      <c r="BH38" s="26" t="str">
        <f>_xlfn.XLOOKUP(Transformation[[#This Row],[tto]],Transactions[Transaction name],Transactions[Transaction code])</f>
        <v>016CGC</v>
      </c>
      <c r="BI38" s="11">
        <v>1</v>
      </c>
      <c r="BJ38" s="4" t="s">
        <v>487</v>
      </c>
      <c r="BK38" s="24" t="str">
        <f>_xlfn.XLOOKUP(Transformation[[#This Row],[Commodity from]],Commodities[Commodity code],Commodities[EnergyCode])</f>
        <v>OG</v>
      </c>
      <c r="BL38" s="4" t="s">
        <v>692</v>
      </c>
      <c r="BM38" s="4" t="s">
        <v>487</v>
      </c>
      <c r="BN38" s="24" t="str">
        <f>_xlfn.XLOOKUP(Transformation[[#This Row],[Commodity to]],Commodities[Commodity code],Commodities[EnergyCode])</f>
        <v>OG</v>
      </c>
      <c r="BO38" s="4" t="s">
        <v>1221</v>
      </c>
      <c r="BP38" s="16" t="s">
        <v>1493</v>
      </c>
      <c r="BQ38" s="33" t="str">
        <f>Transformation[[#This Row],[Commodity from]]&amp;Transformation[[#This Row],[Transaction from]]&amp;Transformation[[#This Row],[Commodity to]]&amp;Transformation[[#This Row],[Transaction to]]</f>
        <v>0350088220350016CGC</v>
      </c>
      <c r="BR38" s="26" t="str">
        <f>Transformation[[#This Row],[crfomid]]&amp;Transformation[[#This Row],[Transaction from]]&amp;"("&amp;Transformation[[#This Row],[Multiplier]]&amp;") -&gt; "&amp;Transformation[[#This Row],[ctoid]]&amp;Transformation[[#This Row],[Transaction to]]</f>
        <v>OG08822(1) -&gt; OG016CGC</v>
      </c>
      <c r="BT38" s="26" t="str">
        <f>_xlfn.XLOOKUP(Signswitch[[#This Row],[Commodity name]],Commodities[Commodity],Commodities[Commodity code])</f>
        <v>5232</v>
      </c>
      <c r="BU38" s="26" t="str">
        <f>_xlfn.XLOOKUP(Signswitch[[#This Row],[Transaction name]],Transactions[Transaction name],Transactions[Transaction code])</f>
        <v>1214D</v>
      </c>
      <c r="BV38" s="26" t="str">
        <f>Signswitch[[#This Row],[Commodity from]]&amp;Signswitch[[#This Row],[Transaction from]]</f>
        <v>52321214D</v>
      </c>
      <c r="BW38" s="22" t="s">
        <v>306</v>
      </c>
      <c r="BX38" s="26" t="str">
        <f>_xlfn.XLOOKUP(Signswitch[[#This Row],[Commodity from]],Commodities[Commodity code],Commodities[EnergyCode])</f>
        <v>ZJ</v>
      </c>
      <c r="BY38" s="22" t="s">
        <v>464</v>
      </c>
    </row>
    <row r="39" spans="8:77" x14ac:dyDescent="0.45">
      <c r="H39" s="5" t="s">
        <v>267</v>
      </c>
      <c r="I39" s="4" t="s">
        <v>266</v>
      </c>
      <c r="J39" s="9" t="s">
        <v>265</v>
      </c>
      <c r="K39" s="9" t="s">
        <v>1470</v>
      </c>
      <c r="L39" s="23" t="str">
        <f>IFERROR(INDEX(Commodities[[Commodity code]:[Commodity]],MATCH(Commodities[[#This Row],[Parent code]],Commodities[Commodity code],0),2),Commodities[[#This Row],[Commodity]])</f>
        <v>Electricity</v>
      </c>
      <c r="M39" s="24" t="str">
        <f>IFERROR(INDEX(Commodities[[Commodity code]:[Commodity]],MATCH(INDEX(Commodities[[Commodity]:[Parent code]],MATCH(Commodities[[#This Row],[L1N]],Commodities[Commodity],0),2),Commodities[Commodity code],0),2),Commodities[[#This Row],[L1N]])</f>
        <v>Electricity</v>
      </c>
      <c r="N39" s="24" t="str">
        <f>IFERROR(INDEX(Commodities[[Commodity code]:[Commodity]],MATCH(INDEX(Commodities[[Commodity]:[Parent code]],MATCH(Commodities[[#This Row],[L2N]],Commodities[Commodity],0),2),Commodities[Commodity code],0),2),Commodities[[#This Row],[L2N]])</f>
        <v>Electricity</v>
      </c>
      <c r="O39" s="24" t="str">
        <f>IFERROR(INDEX(Commodities[[Commodity code]:[Commodity]],MATCH(INDEX(Commodities[[Commodity]:[Parent code]],MATCH(Commodities[[#This Row],[L3N]],Commodities[Commodity],0),2),Commodities[Commodity code],0),2),Commodities[[#This Row],[L3N]])</f>
        <v>Electricity</v>
      </c>
      <c r="P39" s="24" t="str">
        <f>IF(Commodities[[#This Row],[L4N]]=Commodities[[#This Row],[L3N]],Commodities[[#This Row],[L4N]],IF(Commodities[[#This Row],[L3N]]=Commodities[[#This Row],[L2N]],Commodities[[#This Row],[L3N]],IF(Commodities[[#This Row],[L2N]]=Commodities[[#This Row],[L1N]],Commodities[[#This Row],[L2N]],IF(Commodities[[#This Row],[L1N]]=Commodities[[#This Row],[Commodity]],Commodities[[#This Row],[L1N]],Commodities[[#This Row],[Commodity]]))))</f>
        <v>Electricity</v>
      </c>
      <c r="Q39" s="24" t="str">
        <f>IF(Commodities[[#This Row],[Level 0]]=Commodities[[#This Row],[Commodity]],Commodities[[#This Row],[Commodity]],IF(Commodities[[#This Row],[Level 0]]=Commodities[[#This Row],[L1N]],Commodities[[#This Row],[Commodity]],IF(Commodities[[#This Row],[Level 0]]=Commodities[[#This Row],[L2N]],Commodities[[#This Row],[L1N]],IF(Commodities[[#This Row],[Level 0]]=Commodities[[#This Row],[L3N]],Commodities[[#This Row],[L2N]],IF(Commodities[[#This Row],[Level 0]]=Commodities[[#This Row],[L4N]],Commodities[[#This Row],[L3N]],Commodities[[#This Row],[L4N]])))))</f>
        <v>Wind electricity</v>
      </c>
      <c r="R39" s="24" t="str">
        <f>IF(Commodities[[#This Row],[Level 1]]=Commodities[[#This Row],[Commodity]],Commodities[[#This Row],[Commodity]],IF(Commodities[[#This Row],[Level 1]]=Commodities[[#This Row],[L1N]],Commodities[[#This Row],[Commodity]],IF(Commodities[[#This Row],[Level 1]]=Commodities[[#This Row],[L2N]],Commodities[[#This Row],[L1N]],IF(Commodities[[#This Row],[Level 1]]=Commodities[[#This Row],[L3N]],Commodities[[#This Row],[L2N]],IF(Commodities[[#This Row],[Level 1]]=Commodities[[#This Row],[L4N]],Commodities[[#This Row],[L3N]],Commodities[[#This Row],[L4N]])))))</f>
        <v>Wind electricity</v>
      </c>
      <c r="S39" s="24" t="str">
        <f>IF(Commodities[[#This Row],[Level 2]]=Commodities[[#This Row],[Commodity]],Commodities[[#This Row],[Commodity]],IF(Commodities[[#This Row],[Level 2]]=Commodities[[#This Row],[L1N]],Commodities[[#This Row],[Commodity]],IF(Commodities[[#This Row],[Level 2]]=Commodities[[#This Row],[L2N]],Commodities[[#This Row],[L1N]],IF(Commodities[[#This Row],[Level 2]]=Commodities[[#This Row],[L3N]],Commodities[[#This Row],[L2N]],IF(Commodities[[#This Row],[Level 2]]=Commodities[[#This Row],[L4N]],Commodities[[#This Row],[L3N]],Commodities[[#This Row],[L4N]])))))</f>
        <v>Wind electricity</v>
      </c>
      <c r="T39" s="24" t="str">
        <f>IF(Commodities[[#This Row],[Level 3]]=Commodities[[#This Row],[Commodity]],Commodities[[#This Row],[Commodity]],IF(Commodities[[#This Row],[Level 3]]=Commodities[[#This Row],[L1N]],Commodities[[#This Row],[Commodity]],IF(Commodities[[#This Row],[Level 3]]=Commodities[[#This Row],[L2N]],Commodities[[#This Row],[L1N]],IF(Commodities[[#This Row],[Level 3]]=Commodities[[#This Row],[L3N]],Commodities[[#This Row],[L2N]],IF(Commodities[[#This Row],[Level 3]]=Commodities[[#This Row],[L4N]],Commodities[[#This Row],[L3N]],Commodities[[#This Row],[L4N]])))))</f>
        <v>Wind electricity</v>
      </c>
      <c r="U39" s="24" t="str">
        <f>IF(Commodities[[#This Row],[Level 4]]=Commodities[[#This Row],[Commodity]],Commodities[[#This Row],[Commodity]],IF(Commodities[[#This Row],[Level 4]]=Commodities[[#This Row],[L1N]],Commodities[[#This Row],[Commodity]],IF(Commodities[[#This Row],[Level 4]]=Commodities[[#This Row],[L2N]],Commodities[[#This Row],[L1N]],IF(Commodities[[#This Row],[Level 4]]=Commodities[[#This Row],[L3N]],Commodities[[#This Row],[L2N]],IF(Commodities[[#This Row],[Level 4]]=Commodities[[#This Row],[L4N]],Commodities[[#This Row],[L3N]],Commodities[[#This Row],[L4N]])))))</f>
        <v>Wind electricity</v>
      </c>
      <c r="Y39" s="5" t="s">
        <v>116</v>
      </c>
      <c r="Z39" s="4" t="s">
        <v>905</v>
      </c>
      <c r="AA39" s="4" t="s">
        <v>905</v>
      </c>
      <c r="AB39" s="4" t="s">
        <v>127</v>
      </c>
      <c r="AC39" s="24" t="str">
        <f>IFERROR(VLOOKUP(Transactions[[#This Row],[Parent code]],Transactions[[Transaction code]:[Transaction name]],2,0),"")</f>
        <v>Manufacturing, construction and non-fuel industry</v>
      </c>
      <c r="AD39" s="4" t="s">
        <v>630</v>
      </c>
      <c r="AE39" s="4" t="s">
        <v>914</v>
      </c>
      <c r="AF39" s="4" t="s">
        <v>642</v>
      </c>
      <c r="AG39" s="4" t="s">
        <v>1</v>
      </c>
      <c r="AH39" s="4" t="s">
        <v>696</v>
      </c>
      <c r="AK39" s="24" t="str" cm="1">
        <f t="array" ref="AK39">IFERROR(INDEX(Transactions[[Transaction code]:[Transaction name]],_xlfn.XMATCH(Transactions[[#This Row],[Parent code]],Transactions[Transaction name],0),3),Transactions[[#This Row],[Transaction name]])</f>
        <v>Industry n.e.s.</v>
      </c>
      <c r="AL39" s="24" t="str" cm="1">
        <f t="array" ref="AL39">IFERROR(INDEX(Transactions[[Transaction code]:[Transaction name]],_xlfn.XMATCH(INDEX(Transactions[[Transaction name]:[Parent code]],_xlfn.XMATCH(Transactions[[#This Row],[L1N]],Transactions[Transaction name],0),3),Transactions[Transaction code],0),2),Transactions[[#This Row],[L1N]])</f>
        <v>Manufacturing, construction and non-fuel industry</v>
      </c>
      <c r="AM39" s="24" t="str" cm="1">
        <f t="array" ref="AM39">IFERROR(INDEX(Transactions[[Transaction code]:[Transaction name]],_xlfn.XMATCH(INDEX(Transactions[[Transaction name]:[Parent code]],_xlfn.XMATCH(Transactions[[#This Row],[L2N]],Transactions[Transaction name],0),3),Transactions[Transaction code],0),2),Transactions[[#This Row],[L2N]])</f>
        <v>Total Final Energy Consumption</v>
      </c>
      <c r="AN39" s="24" t="str" cm="1">
        <f t="array" ref="AN39">IFERROR(INDEX(Transactions[[Transaction code]:[Transaction name]],_xlfn.XMATCH(INDEX(Transactions[[Transaction name]:[Parent code]],_xlfn.XMATCH(Transactions[[#This Row],[L3N]],Transactions[Transaction name],0),3),Transactions[Transaction code],0),2),Transactions[[#This Row],[L3N]])</f>
        <v>Final consumption</v>
      </c>
      <c r="AO39" s="24" t="str" cm="1">
        <f t="array" ref="AO39">IFERROR(INDEX(Transactions[[Transaction code]:[Transaction name]],_xlfn.XMATCH(INDEX(Transactions[[Transaction name]:[Parent code]],_xlfn.XMATCH(Transactions[[#This Row],[L4N]],Transactions[Transaction name],0),3),Transactions[Transaction code],0),2),Transactions[[#This Row],[L4N]])</f>
        <v>Final consumption</v>
      </c>
      <c r="AP39" s="24" t="str" cm="1">
        <f t="array" ref="AP39">IFERROR(INDEX(Transactions[[Transaction code]:[Transaction name]],_xlfn.XMATCH(INDEX(Transactions[[Transaction name]:[Parent code]],_xlfn.XMATCH(Transactions[[#This Row],[L5N]],Transactions[Transaction name],0),3),Transactions[Transaction code],0),2),Transactions[[#This Row],[L5N]])</f>
        <v>Final consumption</v>
      </c>
      <c r="AQ39" s="24" t="str" cm="1">
        <f t="array" ref="AQ39">IFERROR(INDEX(Transactions[[Transaction code]:[Transaction name]],_xlfn.XMATCH(INDEX(Transactions[[Transaction name]:[Parent code]],_xlfn.XMATCH(Transactions[[#This Row],[L6N]],Transactions[Transaction name],0),3),Transactions[Transaction code],0),2),Transactions[[#This Row],[L6N]])</f>
        <v>Final consumption</v>
      </c>
      <c r="AR39" s="27" t="str">
        <f>IF(Transactions[[#This Row],[L7N]]=Transactions[[#This Row],[L6N]],Transactions[[#This Row],[L7N]],IF(Transactions[[#This Row],[L6N]]=Transactions[[#This Row],[L5N]],Transactions[[#This Row],[L6N]],IF(Transactions[[#This Row],[L5N]]=Transactions[[#This Row],[L4N]],Transactions[[#This Row],[L5N]],IF(Transactions[[#This Row],[L4N]]=Transactions[[#This Row],[L3N]],Transactions[[#This Row],[L4N]],IF(Transactions[[#This Row],[L3N]]=Transactions[[#This Row],[L2N]],Transactions[[#This Row],[L3N]],IF(Transactions[[#This Row],[L2N]]=Transactions[[#This Row],[L1N]],Transactions[[#This Row],[L2N]],IF(Transactions[[#This Row],[L1N]]=Transactions[[#This Row],[Transaction name]],Transactions[[#This Row],[L1N]],Transactions[[#This Row],[Transaction name]])))))))</f>
        <v>Final consumption</v>
      </c>
      <c r="AS39" s="24" t="str">
        <f>IF(Transactions[[#This Row],[Level 0]]=Transactions[[#This Row],[Transaction name]],Transactions[[#This Row],[Transaction name]],IF(Transactions[[#This Row],[Level 0]]=Transactions[[#This Row],[L1N]],Transactions[[#This Row],[Transaction name]],IF(Transactions[[#This Row],[Level 0]]=Transactions[[#This Row],[L2N]],Transactions[[#This Row],[L1N]],IF(Transactions[[#This Row],[Level 0]]=Transactions[[#This Row],[L3N]],Transactions[[#This Row],[L2N]],IF(Transactions[[#This Row],[Level 0]]=Transactions[[#This Row],[L4N]],Transactions[[#This Row],[L3N]],IF(Transactions[[#This Row],[Level 0]]=Transactions[[#This Row],[L5N]],Transactions[[#This Row],[L4N]],IF(Transactions[[#This Row],[Level 0]]=Transactions[[#This Row],[L6N]],Transactions[[#This Row],[L5N]],IF(Transactions[[#This Row],[Level 0]]=Transactions[[#This Row],[L7N]],Transactions[[#This Row],[L6N]],Transactions[[#This Row],[L7N]]))))))))</f>
        <v>Total Final Energy Consumption</v>
      </c>
      <c r="AT39" s="24" t="str">
        <f>IF(Transactions[[#This Row],[Level 1]]=Transactions[[#This Row],[Transaction name]],Transactions[[#This Row],[Transaction name]],IF(Transactions[[#This Row],[Level 1]]=Transactions[[#This Row],[L1N]],Transactions[[#This Row],[Transaction name]],IF(Transactions[[#This Row],[Level 1]]=Transactions[[#This Row],[L2N]],Transactions[[#This Row],[L1N]],IF(Transactions[[#This Row],[Level 1]]=Transactions[[#This Row],[L3N]],Transactions[[#This Row],[L2N]],IF(Transactions[[#This Row],[Level 1]]=Transactions[[#This Row],[L4N]],Transactions[[#This Row],[L3N]],IF(Transactions[[#This Row],[Level 1]]=Transactions[[#This Row],[L5N]],Transactions[[#This Row],[L4N]],IF(Transactions[[#This Row],[Level 1]]=Transactions[[#This Row],[L6N]],Transactions[[#This Row],[L5N]],IF(Transactions[[#This Row],[Level 1]]=Transactions[[#This Row],[L7N]],Transactions[[#This Row],[L6N]],Transactions[[#This Row],[L7N]]))))))))</f>
        <v>Manufacturing, construction and non-fuel industry</v>
      </c>
      <c r="AU39" s="24" t="str">
        <f>IF(Transactions[[#This Row],[Level 2]]=Transactions[[#This Row],[Transaction name]],Transactions[[#This Row],[Transaction name]],IF(Transactions[[#This Row],[Level 2]]=Transactions[[#This Row],[L1N]],Transactions[[#This Row],[Transaction name]],IF(Transactions[[#This Row],[Level 2]]=Transactions[[#This Row],[L2N]],Transactions[[#This Row],[L1N]],IF(Transactions[[#This Row],[Level 2]]=Transactions[[#This Row],[L3N]],Transactions[[#This Row],[L2N]],IF(Transactions[[#This Row],[Level 2]]=Transactions[[#This Row],[L4N]],Transactions[[#This Row],[L3N]],IF(Transactions[[#This Row],[Level 2]]=Transactions[[#This Row],[L5N]],Transactions[[#This Row],[L4N]],IF(Transactions[[#This Row],[Level 2]]=Transactions[[#This Row],[L6N]],Transactions[[#This Row],[L5N]],IF(Transactions[[#This Row],[Level 2]]=Transactions[[#This Row],[L7N]],Transactions[[#This Row],[L6N]],Transactions[[#This Row],[L7N]]))))))))</f>
        <v>Industry n.e.s.</v>
      </c>
      <c r="AV39" s="24" t="str">
        <f>IF(Transactions[[#This Row],[Level 3]]=Transactions[[#This Row],[Transaction name]],Transactions[[#This Row],[Transaction name]],IF(Transactions[[#This Row],[Level 3]]=Transactions[[#This Row],[L1N]],Transactions[[#This Row],[Transaction name]],IF(Transactions[[#This Row],[Level 3]]=Transactions[[#This Row],[L2N]],Transactions[[#This Row],[L1N]],IF(Transactions[[#This Row],[Level 3]]=Transactions[[#This Row],[L3N]],Transactions[[#This Row],[L2N]],IF(Transactions[[#This Row],[Level 3]]=Transactions[[#This Row],[L4N]],Transactions[[#This Row],[L3N]],IF(Transactions[[#This Row],[Level 3]]=Transactions[[#This Row],[L5N]],Transactions[[#This Row],[L4N]],IF(Transactions[[#This Row],[Level 3]]=Transactions[[#This Row],[L6N]],Transactions[[#This Row],[L5N]],IF(Transactions[[#This Row],[Level 3]]=Transactions[[#This Row],[L7N]],Transactions[[#This Row],[L6N]],Transactions[[#This Row],[L7N]]))))))))</f>
        <v>Industry n.e.s.</v>
      </c>
      <c r="AW39" s="24" t="str">
        <f>IF(Transactions[[#This Row],[Level 4]]=Transactions[[#This Row],[Transaction name]],Transactions[[#This Row],[Transaction name]],IF(Transactions[[#This Row],[Level 4]]=Transactions[[#This Row],[L1N]],Transactions[[#This Row],[Transaction name]],IF(Transactions[[#This Row],[Level 4]]=Transactions[[#This Row],[L2N]],Transactions[[#This Row],[L1N]],IF(Transactions[[#This Row],[Level 4]]=Transactions[[#This Row],[L3N]],Transactions[[#This Row],[L2N]],IF(Transactions[[#This Row],[Level 4]]=Transactions[[#This Row],[L4N]],Transactions[[#This Row],[L3N]],IF(Transactions[[#This Row],[Level 4]]=Transactions[[#This Row],[L5N]],Transactions[[#This Row],[L4N]],IF(Transactions[[#This Row],[Level 4]]=Transactions[[#This Row],[L6N]],Transactions[[#This Row],[L5N]],IF(Transactions[[#This Row],[Level 4]]=Transactions[[#This Row],[L7N]],Transactions[[#This Row],[L6N]],Transactions[[#This Row],[L7N]]))))))))</f>
        <v>Industry n.e.s.</v>
      </c>
      <c r="AX39" s="24" t="str">
        <f>IF(Transactions[[#This Row],[Level 5]]=Transactions[[#This Row],[Transaction name]],Transactions[[#This Row],[Transaction name]],IF(Transactions[[#This Row],[Level 5]]=Transactions[[#This Row],[L1N]],Transactions[[#This Row],[Transaction name]],IF(Transactions[[#This Row],[Level 5]]=Transactions[[#This Row],[L2N]],Transactions[[#This Row],[L1N]],IF(Transactions[[#This Row],[Level 5]]=Transactions[[#This Row],[L3N]],Transactions[[#This Row],[L2N]],IF(Transactions[[#This Row],[Level 5]]=Transactions[[#This Row],[L4N]],Transactions[[#This Row],[L3N]],IF(Transactions[[#This Row],[Level 5]]=Transactions[[#This Row],[L5N]],Transactions[[#This Row],[L4N]],IF(Transactions[[#This Row],[Level 5]]=Transactions[[#This Row],[L6N]],Transactions[[#This Row],[L5N]],IF(Transactions[[#This Row],[Level 5]]=Transactions[[#This Row],[L7N]],Transactions[[#This Row],[L6N]],Transactions[[#This Row],[L7N]]))))))))</f>
        <v>Industry n.e.s.</v>
      </c>
      <c r="AY39" s="24" t="str">
        <f>IF(Transactions[[#This Row],[Level 6]]=Transactions[[#This Row],[Transaction name]],Transactions[[#This Row],[Transaction name]],IF(Transactions[[#This Row],[Level 6]]=Transactions[[#This Row],[L1N]],Transactions[[#This Row],[Transaction name]],IF(Transactions[[#This Row],[Level 6]]=Transactions[[#This Row],[L2N]],Transactions[[#This Row],[L1N]],IF(Transactions[[#This Row],[Level 6]]=Transactions[[#This Row],[L3N]],Transactions[[#This Row],[L2N]],IF(Transactions[[#This Row],[Level 6]]=Transactions[[#This Row],[L4N]],Transactions[[#This Row],[L3N]],IF(Transactions[[#This Row],[Level 6]]=Transactions[[#This Row],[L5N]],Transactions[[#This Row],[L4N]],IF(Transactions[[#This Row],[Level 6]]=Transactions[[#This Row],[L6N]],Transactions[[#This Row],[L5N]],IF(Transactions[[#This Row],[Level 6]]=Transactions[[#This Row],[L7N]],Transactions[[#This Row],[L6N]],Transactions[[#This Row],[L7N]]))))))))</f>
        <v>Industry n.e.s.</v>
      </c>
      <c r="BE39" s="26" t="str">
        <f>_xlfn.XLOOKUP(Transformation[[#This Row],[cfrom]],Commodities[Commodity],Commodities[Commodity code])</f>
        <v>4500</v>
      </c>
      <c r="BF39" s="26" t="str">
        <f>_xlfn.XLOOKUP(Transformation[[#This Row],[tfrom]],Transactions[Transaction name],Transactions[Transaction code])</f>
        <v>08822</v>
      </c>
      <c r="BG39" s="26" t="str">
        <f>_xlfn.XLOOKUP(Transformation[[#This Row],[cto]],Commodities[Commodity],Commodities[Commodity code])</f>
        <v>4500</v>
      </c>
      <c r="BH39" s="26" t="str">
        <f>_xlfn.XLOOKUP(Transformation[[#This Row],[tto]],Transactions[Transaction name],Transactions[Transaction code])</f>
        <v>016COC</v>
      </c>
      <c r="BI39" s="31">
        <v>1</v>
      </c>
      <c r="BJ39" s="22" t="s">
        <v>424</v>
      </c>
      <c r="BK39" s="26" t="str">
        <f>_xlfn.XLOOKUP(Transformation[[#This Row],[Commodity from]],Commodities[Commodity code],Commodities[EnergyCode])</f>
        <v>OH</v>
      </c>
      <c r="BL39" s="22" t="s">
        <v>692</v>
      </c>
      <c r="BM39" s="22" t="s">
        <v>424</v>
      </c>
      <c r="BN39" s="26" t="str">
        <f>_xlfn.XLOOKUP(Transformation[[#This Row],[Commodity to]],Commodities[Commodity code],Commodities[EnergyCode])</f>
        <v>OH</v>
      </c>
      <c r="BO39" s="4" t="s">
        <v>1229</v>
      </c>
      <c r="BP39" s="22" t="s">
        <v>1493</v>
      </c>
      <c r="BQ39" s="33" t="str">
        <f>Transformation[[#This Row],[Commodity from]]&amp;Transformation[[#This Row],[Transaction from]]&amp;Transformation[[#This Row],[Commodity to]]&amp;Transformation[[#This Row],[Transaction to]]</f>
        <v>4500088224500016COC</v>
      </c>
      <c r="BR39" s="26" t="str">
        <f>Transformation[[#This Row],[crfomid]]&amp;Transformation[[#This Row],[Transaction from]]&amp;"("&amp;Transformation[[#This Row],[Multiplier]]&amp;") -&gt; "&amp;Transformation[[#This Row],[ctoid]]&amp;Transformation[[#This Row],[Transaction to]]</f>
        <v>OH08822(1) -&gt; OH016COC</v>
      </c>
      <c r="BT39" s="26" t="str">
        <f>_xlfn.XLOOKUP(Signswitch[[#This Row],[Commodity name]],Commodities[Commodity],Commodities[Commodity code])</f>
        <v>5222</v>
      </c>
      <c r="BU39" s="26" t="str">
        <f>_xlfn.XLOOKUP(Signswitch[[#This Row],[Transaction name]],Transactions[Transaction name],Transactions[Transaction code])</f>
        <v>1214D</v>
      </c>
      <c r="BV39" s="26" t="str">
        <f>Signswitch[[#This Row],[Commodity from]]&amp;Signswitch[[#This Row],[Transaction from]]</f>
        <v>52221214D</v>
      </c>
      <c r="BW39" s="22" t="s">
        <v>962</v>
      </c>
      <c r="BX39" s="26" t="str">
        <f>_xlfn.XLOOKUP(Signswitch[[#This Row],[Commodity from]],Commodities[Commodity code],Commodities[EnergyCode])</f>
        <v>ZD</v>
      </c>
      <c r="BY39" s="22" t="s">
        <v>464</v>
      </c>
    </row>
    <row r="40" spans="8:77" x14ac:dyDescent="0.45">
      <c r="H40" s="5" t="s">
        <v>433</v>
      </c>
      <c r="I40" s="4" t="s">
        <v>432</v>
      </c>
      <c r="J40" s="9" t="s">
        <v>420</v>
      </c>
      <c r="K40" s="9" t="s">
        <v>1438</v>
      </c>
      <c r="L40" s="23" t="str">
        <f>IFERROR(INDEX(Commodities[[Commodity code]:[Commodity]],MATCH(Commodities[[#This Row],[Parent code]],Commodities[Commodity code],0),2),Commodities[[#This Row],[Commodity]])</f>
        <v>Oil</v>
      </c>
      <c r="M40" s="24" t="str">
        <f>IFERROR(INDEX(Commodities[[Commodity code]:[Commodity]],MATCH(INDEX(Commodities[[Commodity]:[Parent code]],MATCH(Commodities[[#This Row],[L1N]],Commodities[Commodity],0),2),Commodities[Commodity code],0),2),Commodities[[#This Row],[L1N]])</f>
        <v>Oil</v>
      </c>
      <c r="N40" s="24" t="str">
        <f>IFERROR(INDEX(Commodities[[Commodity code]:[Commodity]],MATCH(INDEX(Commodities[[Commodity]:[Parent code]],MATCH(Commodities[[#This Row],[L2N]],Commodities[Commodity],0),2),Commodities[Commodity code],0),2),Commodities[[#This Row],[L2N]])</f>
        <v>Oil</v>
      </c>
      <c r="O40" s="24" t="str">
        <f>IFERROR(INDEX(Commodities[[Commodity code]:[Commodity]],MATCH(INDEX(Commodities[[Commodity]:[Parent code]],MATCH(Commodities[[#This Row],[L3N]],Commodities[Commodity],0),2),Commodities[Commodity code],0),2),Commodities[[#This Row],[L3N]])</f>
        <v>Oil</v>
      </c>
      <c r="P40" s="24" t="str">
        <f>IF(Commodities[[#This Row],[L4N]]=Commodities[[#This Row],[L3N]],Commodities[[#This Row],[L4N]],IF(Commodities[[#This Row],[L3N]]=Commodities[[#This Row],[L2N]],Commodities[[#This Row],[L3N]],IF(Commodities[[#This Row],[L2N]]=Commodities[[#This Row],[L1N]],Commodities[[#This Row],[L2N]],IF(Commodities[[#This Row],[L1N]]=Commodities[[#This Row],[Commodity]],Commodities[[#This Row],[L1N]],Commodities[[#This Row],[Commodity]]))))</f>
        <v>Oil</v>
      </c>
      <c r="Q40" s="24" t="str">
        <f>IF(Commodities[[#This Row],[Level 0]]=Commodities[[#This Row],[Commodity]],Commodities[[#This Row],[Commodity]],IF(Commodities[[#This Row],[Level 0]]=Commodities[[#This Row],[L1N]],Commodities[[#This Row],[Commodity]],IF(Commodities[[#This Row],[Level 0]]=Commodities[[#This Row],[L2N]],Commodities[[#This Row],[L1N]],IF(Commodities[[#This Row],[Level 0]]=Commodities[[#This Row],[L3N]],Commodities[[#This Row],[L2N]],IF(Commodities[[#This Row],[Level 0]]=Commodities[[#This Row],[L4N]],Commodities[[#This Row],[L3N]],Commodities[[#This Row],[L4N]])))))</f>
        <v>Refinery feedstocks</v>
      </c>
      <c r="R40" s="24" t="str">
        <f>IF(Commodities[[#This Row],[Level 1]]=Commodities[[#This Row],[Commodity]],Commodities[[#This Row],[Commodity]],IF(Commodities[[#This Row],[Level 1]]=Commodities[[#This Row],[L1N]],Commodities[[#This Row],[Commodity]],IF(Commodities[[#This Row],[Level 1]]=Commodities[[#This Row],[L2N]],Commodities[[#This Row],[L1N]],IF(Commodities[[#This Row],[Level 1]]=Commodities[[#This Row],[L3N]],Commodities[[#This Row],[L2N]],IF(Commodities[[#This Row],[Level 1]]=Commodities[[#This Row],[L4N]],Commodities[[#This Row],[L3N]],Commodities[[#This Row],[L4N]])))))</f>
        <v>Refinery feedstocks</v>
      </c>
      <c r="S40" s="24" t="str">
        <f>IF(Commodities[[#This Row],[Level 2]]=Commodities[[#This Row],[Commodity]],Commodities[[#This Row],[Commodity]],IF(Commodities[[#This Row],[Level 2]]=Commodities[[#This Row],[L1N]],Commodities[[#This Row],[Commodity]],IF(Commodities[[#This Row],[Level 2]]=Commodities[[#This Row],[L2N]],Commodities[[#This Row],[L1N]],IF(Commodities[[#This Row],[Level 2]]=Commodities[[#This Row],[L3N]],Commodities[[#This Row],[L2N]],IF(Commodities[[#This Row],[Level 2]]=Commodities[[#This Row],[L4N]],Commodities[[#This Row],[L3N]],Commodities[[#This Row],[L4N]])))))</f>
        <v>Refinery feedstocks</v>
      </c>
      <c r="T40" s="24" t="str">
        <f>IF(Commodities[[#This Row],[Level 3]]=Commodities[[#This Row],[Commodity]],Commodities[[#This Row],[Commodity]],IF(Commodities[[#This Row],[Level 3]]=Commodities[[#This Row],[L1N]],Commodities[[#This Row],[Commodity]],IF(Commodities[[#This Row],[Level 3]]=Commodities[[#This Row],[L2N]],Commodities[[#This Row],[L1N]],IF(Commodities[[#This Row],[Level 3]]=Commodities[[#This Row],[L3N]],Commodities[[#This Row],[L2N]],IF(Commodities[[#This Row],[Level 3]]=Commodities[[#This Row],[L4N]],Commodities[[#This Row],[L3N]],Commodities[[#This Row],[L4N]])))))</f>
        <v>Refinery feedstocks</v>
      </c>
      <c r="U40" s="24" t="str">
        <f>IF(Commodities[[#This Row],[Level 4]]=Commodities[[#This Row],[Commodity]],Commodities[[#This Row],[Commodity]],IF(Commodities[[#This Row],[Level 4]]=Commodities[[#This Row],[L1N]],Commodities[[#This Row],[Commodity]],IF(Commodities[[#This Row],[Level 4]]=Commodities[[#This Row],[L2N]],Commodities[[#This Row],[L1N]],IF(Commodities[[#This Row],[Level 4]]=Commodities[[#This Row],[L3N]],Commodities[[#This Row],[L2N]],IF(Commodities[[#This Row],[Level 4]]=Commodities[[#This Row],[L4N]],Commodities[[#This Row],[L3N]],Commodities[[#This Row],[L4N]])))))</f>
        <v>Refinery feedstocks</v>
      </c>
      <c r="Y40" s="5" t="s">
        <v>129</v>
      </c>
      <c r="Z40" s="4" t="s">
        <v>485</v>
      </c>
      <c r="AA40" s="4" t="s">
        <v>485</v>
      </c>
      <c r="AB40" s="4" t="s">
        <v>127</v>
      </c>
      <c r="AC40" s="24" t="str">
        <f>IFERROR(VLOOKUP(Transactions[[#This Row],[Parent code]],Transactions[[Transaction code]:[Transaction name]],2,0),"")</f>
        <v>Manufacturing, construction and non-fuel industry</v>
      </c>
      <c r="AD40" s="4" t="s">
        <v>630</v>
      </c>
      <c r="AE40" s="4" t="s">
        <v>910</v>
      </c>
      <c r="AF40" s="4" t="s">
        <v>642</v>
      </c>
      <c r="AG40" s="4" t="s">
        <v>1</v>
      </c>
      <c r="AH40" s="4" t="s">
        <v>696</v>
      </c>
      <c r="AK40" s="24" t="str" cm="1">
        <f t="array" ref="AK40">IFERROR(INDEX(Transactions[[Transaction code]:[Transaction name]],_xlfn.XMATCH(Transactions[[#This Row],[Parent code]],Transactions[Transaction name],0),3),Transactions[[#This Row],[Transaction name]])</f>
        <v>Iron and steel</v>
      </c>
      <c r="AL40" s="24" t="str" cm="1">
        <f t="array" ref="AL40">IFERROR(INDEX(Transactions[[Transaction code]:[Transaction name]],_xlfn.XMATCH(INDEX(Transactions[[Transaction name]:[Parent code]],_xlfn.XMATCH(Transactions[[#This Row],[L1N]],Transactions[Transaction name],0),3),Transactions[Transaction code],0),2),Transactions[[#This Row],[L1N]])</f>
        <v>Manufacturing, construction and non-fuel industry</v>
      </c>
      <c r="AM40" s="24" t="str" cm="1">
        <f t="array" ref="AM40">IFERROR(INDEX(Transactions[[Transaction code]:[Transaction name]],_xlfn.XMATCH(INDEX(Transactions[[Transaction name]:[Parent code]],_xlfn.XMATCH(Transactions[[#This Row],[L2N]],Transactions[Transaction name],0),3),Transactions[Transaction code],0),2),Transactions[[#This Row],[L2N]])</f>
        <v>Total Final Energy Consumption</v>
      </c>
      <c r="AN40" s="24" t="str" cm="1">
        <f t="array" ref="AN40">IFERROR(INDEX(Transactions[[Transaction code]:[Transaction name]],_xlfn.XMATCH(INDEX(Transactions[[Transaction name]:[Parent code]],_xlfn.XMATCH(Transactions[[#This Row],[L3N]],Transactions[Transaction name],0),3),Transactions[Transaction code],0),2),Transactions[[#This Row],[L3N]])</f>
        <v>Final consumption</v>
      </c>
      <c r="AO40" s="24" t="str" cm="1">
        <f t="array" ref="AO40">IFERROR(INDEX(Transactions[[Transaction code]:[Transaction name]],_xlfn.XMATCH(INDEX(Transactions[[Transaction name]:[Parent code]],_xlfn.XMATCH(Transactions[[#This Row],[L4N]],Transactions[Transaction name],0),3),Transactions[Transaction code],0),2),Transactions[[#This Row],[L4N]])</f>
        <v>Final consumption</v>
      </c>
      <c r="AP40" s="24" t="str" cm="1">
        <f t="array" ref="AP40">IFERROR(INDEX(Transactions[[Transaction code]:[Transaction name]],_xlfn.XMATCH(INDEX(Transactions[[Transaction name]:[Parent code]],_xlfn.XMATCH(Transactions[[#This Row],[L5N]],Transactions[Transaction name],0),3),Transactions[Transaction code],0),2),Transactions[[#This Row],[L5N]])</f>
        <v>Final consumption</v>
      </c>
      <c r="AQ40" s="24" t="str" cm="1">
        <f t="array" ref="AQ40">IFERROR(INDEX(Transactions[[Transaction code]:[Transaction name]],_xlfn.XMATCH(INDEX(Transactions[[Transaction name]:[Parent code]],_xlfn.XMATCH(Transactions[[#This Row],[L6N]],Transactions[Transaction name],0),3),Transactions[Transaction code],0),2),Transactions[[#This Row],[L6N]])</f>
        <v>Final consumption</v>
      </c>
      <c r="AR40" s="27" t="str">
        <f>IF(Transactions[[#This Row],[L7N]]=Transactions[[#This Row],[L6N]],Transactions[[#This Row],[L7N]],IF(Transactions[[#This Row],[L6N]]=Transactions[[#This Row],[L5N]],Transactions[[#This Row],[L6N]],IF(Transactions[[#This Row],[L5N]]=Transactions[[#This Row],[L4N]],Transactions[[#This Row],[L5N]],IF(Transactions[[#This Row],[L4N]]=Transactions[[#This Row],[L3N]],Transactions[[#This Row],[L4N]],IF(Transactions[[#This Row],[L3N]]=Transactions[[#This Row],[L2N]],Transactions[[#This Row],[L3N]],IF(Transactions[[#This Row],[L2N]]=Transactions[[#This Row],[L1N]],Transactions[[#This Row],[L2N]],IF(Transactions[[#This Row],[L1N]]=Transactions[[#This Row],[Transaction name]],Transactions[[#This Row],[L1N]],Transactions[[#This Row],[Transaction name]])))))))</f>
        <v>Final consumption</v>
      </c>
      <c r="AS40" s="24" t="str">
        <f>IF(Transactions[[#This Row],[Level 0]]=Transactions[[#This Row],[Transaction name]],Transactions[[#This Row],[Transaction name]],IF(Transactions[[#This Row],[Level 0]]=Transactions[[#This Row],[L1N]],Transactions[[#This Row],[Transaction name]],IF(Transactions[[#This Row],[Level 0]]=Transactions[[#This Row],[L2N]],Transactions[[#This Row],[L1N]],IF(Transactions[[#This Row],[Level 0]]=Transactions[[#This Row],[L3N]],Transactions[[#This Row],[L2N]],IF(Transactions[[#This Row],[Level 0]]=Transactions[[#This Row],[L4N]],Transactions[[#This Row],[L3N]],IF(Transactions[[#This Row],[Level 0]]=Transactions[[#This Row],[L5N]],Transactions[[#This Row],[L4N]],IF(Transactions[[#This Row],[Level 0]]=Transactions[[#This Row],[L6N]],Transactions[[#This Row],[L5N]],IF(Transactions[[#This Row],[Level 0]]=Transactions[[#This Row],[L7N]],Transactions[[#This Row],[L6N]],Transactions[[#This Row],[L7N]]))))))))</f>
        <v>Total Final Energy Consumption</v>
      </c>
      <c r="AT40" s="24" t="str">
        <f>IF(Transactions[[#This Row],[Level 1]]=Transactions[[#This Row],[Transaction name]],Transactions[[#This Row],[Transaction name]],IF(Transactions[[#This Row],[Level 1]]=Transactions[[#This Row],[L1N]],Transactions[[#This Row],[Transaction name]],IF(Transactions[[#This Row],[Level 1]]=Transactions[[#This Row],[L2N]],Transactions[[#This Row],[L1N]],IF(Transactions[[#This Row],[Level 1]]=Transactions[[#This Row],[L3N]],Transactions[[#This Row],[L2N]],IF(Transactions[[#This Row],[Level 1]]=Transactions[[#This Row],[L4N]],Transactions[[#This Row],[L3N]],IF(Transactions[[#This Row],[Level 1]]=Transactions[[#This Row],[L5N]],Transactions[[#This Row],[L4N]],IF(Transactions[[#This Row],[Level 1]]=Transactions[[#This Row],[L6N]],Transactions[[#This Row],[L5N]],IF(Transactions[[#This Row],[Level 1]]=Transactions[[#This Row],[L7N]],Transactions[[#This Row],[L6N]],Transactions[[#This Row],[L7N]]))))))))</f>
        <v>Manufacturing, construction and non-fuel industry</v>
      </c>
      <c r="AU40" s="24" t="str">
        <f>IF(Transactions[[#This Row],[Level 2]]=Transactions[[#This Row],[Transaction name]],Transactions[[#This Row],[Transaction name]],IF(Transactions[[#This Row],[Level 2]]=Transactions[[#This Row],[L1N]],Transactions[[#This Row],[Transaction name]],IF(Transactions[[#This Row],[Level 2]]=Transactions[[#This Row],[L2N]],Transactions[[#This Row],[L1N]],IF(Transactions[[#This Row],[Level 2]]=Transactions[[#This Row],[L3N]],Transactions[[#This Row],[L2N]],IF(Transactions[[#This Row],[Level 2]]=Transactions[[#This Row],[L4N]],Transactions[[#This Row],[L3N]],IF(Transactions[[#This Row],[Level 2]]=Transactions[[#This Row],[L5N]],Transactions[[#This Row],[L4N]],IF(Transactions[[#This Row],[Level 2]]=Transactions[[#This Row],[L6N]],Transactions[[#This Row],[L5N]],IF(Transactions[[#This Row],[Level 2]]=Transactions[[#This Row],[L7N]],Transactions[[#This Row],[L6N]],Transactions[[#This Row],[L7N]]))))))))</f>
        <v>Iron and steel</v>
      </c>
      <c r="AV40" s="24" t="str">
        <f>IF(Transactions[[#This Row],[Level 3]]=Transactions[[#This Row],[Transaction name]],Transactions[[#This Row],[Transaction name]],IF(Transactions[[#This Row],[Level 3]]=Transactions[[#This Row],[L1N]],Transactions[[#This Row],[Transaction name]],IF(Transactions[[#This Row],[Level 3]]=Transactions[[#This Row],[L2N]],Transactions[[#This Row],[L1N]],IF(Transactions[[#This Row],[Level 3]]=Transactions[[#This Row],[L3N]],Transactions[[#This Row],[L2N]],IF(Transactions[[#This Row],[Level 3]]=Transactions[[#This Row],[L4N]],Transactions[[#This Row],[L3N]],IF(Transactions[[#This Row],[Level 3]]=Transactions[[#This Row],[L5N]],Transactions[[#This Row],[L4N]],IF(Transactions[[#This Row],[Level 3]]=Transactions[[#This Row],[L6N]],Transactions[[#This Row],[L5N]],IF(Transactions[[#This Row],[Level 3]]=Transactions[[#This Row],[L7N]],Transactions[[#This Row],[L6N]],Transactions[[#This Row],[L7N]]))))))))</f>
        <v>Iron and steel</v>
      </c>
      <c r="AW40" s="24" t="str">
        <f>IF(Transactions[[#This Row],[Level 4]]=Transactions[[#This Row],[Transaction name]],Transactions[[#This Row],[Transaction name]],IF(Transactions[[#This Row],[Level 4]]=Transactions[[#This Row],[L1N]],Transactions[[#This Row],[Transaction name]],IF(Transactions[[#This Row],[Level 4]]=Transactions[[#This Row],[L2N]],Transactions[[#This Row],[L1N]],IF(Transactions[[#This Row],[Level 4]]=Transactions[[#This Row],[L3N]],Transactions[[#This Row],[L2N]],IF(Transactions[[#This Row],[Level 4]]=Transactions[[#This Row],[L4N]],Transactions[[#This Row],[L3N]],IF(Transactions[[#This Row],[Level 4]]=Transactions[[#This Row],[L5N]],Transactions[[#This Row],[L4N]],IF(Transactions[[#This Row],[Level 4]]=Transactions[[#This Row],[L6N]],Transactions[[#This Row],[L5N]],IF(Transactions[[#This Row],[Level 4]]=Transactions[[#This Row],[L7N]],Transactions[[#This Row],[L6N]],Transactions[[#This Row],[L7N]]))))))))</f>
        <v>Iron and steel</v>
      </c>
      <c r="AX40" s="24" t="str">
        <f>IF(Transactions[[#This Row],[Level 5]]=Transactions[[#This Row],[Transaction name]],Transactions[[#This Row],[Transaction name]],IF(Transactions[[#This Row],[Level 5]]=Transactions[[#This Row],[L1N]],Transactions[[#This Row],[Transaction name]],IF(Transactions[[#This Row],[Level 5]]=Transactions[[#This Row],[L2N]],Transactions[[#This Row],[L1N]],IF(Transactions[[#This Row],[Level 5]]=Transactions[[#This Row],[L3N]],Transactions[[#This Row],[L2N]],IF(Transactions[[#This Row],[Level 5]]=Transactions[[#This Row],[L4N]],Transactions[[#This Row],[L3N]],IF(Transactions[[#This Row],[Level 5]]=Transactions[[#This Row],[L5N]],Transactions[[#This Row],[L4N]],IF(Transactions[[#This Row],[Level 5]]=Transactions[[#This Row],[L6N]],Transactions[[#This Row],[L5N]],IF(Transactions[[#This Row],[Level 5]]=Transactions[[#This Row],[L7N]],Transactions[[#This Row],[L6N]],Transactions[[#This Row],[L7N]]))))))))</f>
        <v>Iron and steel</v>
      </c>
      <c r="AY40" s="24" t="str">
        <f>IF(Transactions[[#This Row],[Level 6]]=Transactions[[#This Row],[Transaction name]],Transactions[[#This Row],[Transaction name]],IF(Transactions[[#This Row],[Level 6]]=Transactions[[#This Row],[L1N]],Transactions[[#This Row],[Transaction name]],IF(Transactions[[#This Row],[Level 6]]=Transactions[[#This Row],[L2N]],Transactions[[#This Row],[L1N]],IF(Transactions[[#This Row],[Level 6]]=Transactions[[#This Row],[L3N]],Transactions[[#This Row],[L2N]],IF(Transactions[[#This Row],[Level 6]]=Transactions[[#This Row],[L4N]],Transactions[[#This Row],[L3N]],IF(Transactions[[#This Row],[Level 6]]=Transactions[[#This Row],[L5N]],Transactions[[#This Row],[L4N]],IF(Transactions[[#This Row],[Level 6]]=Transactions[[#This Row],[L6N]],Transactions[[#This Row],[L5N]],IF(Transactions[[#This Row],[Level 6]]=Transactions[[#This Row],[L7N]],Transactions[[#This Row],[L6N]],Transactions[[#This Row],[L7N]]))))))))</f>
        <v>Iron and steel</v>
      </c>
      <c r="BE40" s="26" t="str">
        <f>_xlfn.XLOOKUP(Transformation[[#This Row],[cfrom]],Commodities[Commodity],Commodities[Commodity code])</f>
        <v>0311</v>
      </c>
      <c r="BF40" s="26" t="str">
        <f>_xlfn.XLOOKUP(Transformation[[#This Row],[tfrom]],Transactions[Transaction name],Transactions[Transaction code])</f>
        <v>08822</v>
      </c>
      <c r="BG40" s="26" t="str">
        <f>_xlfn.XLOOKUP(Transformation[[#This Row],[cto]],Commodities[Commodity],Commodities[Commodity code])</f>
        <v>0311</v>
      </c>
      <c r="BH40" s="26" t="str">
        <f>_xlfn.XLOOKUP(Transformation[[#This Row],[tto]],Transactions[Transaction name],Transactions[Transaction code])</f>
        <v>016CSC</v>
      </c>
      <c r="BI40" s="11">
        <v>1</v>
      </c>
      <c r="BJ40" s="4" t="s">
        <v>500</v>
      </c>
      <c r="BK40" s="24" t="str">
        <f>_xlfn.XLOOKUP(Transformation[[#This Row],[Commodity from]],Commodities[Commodity code],Commodities[EnergyCode])</f>
        <v>OK</v>
      </c>
      <c r="BL40" s="4" t="s">
        <v>692</v>
      </c>
      <c r="BM40" s="4" t="s">
        <v>500</v>
      </c>
      <c r="BN40" s="24" t="str">
        <f>_xlfn.XLOOKUP(Transformation[[#This Row],[Commodity to]],Commodities[Commodity code],Commodities[EnergyCode])</f>
        <v>OK</v>
      </c>
      <c r="BO40" s="4" t="s">
        <v>1213</v>
      </c>
      <c r="BP40" s="16" t="s">
        <v>1493</v>
      </c>
      <c r="BQ40" s="33" t="str">
        <f>Transformation[[#This Row],[Commodity from]]&amp;Transformation[[#This Row],[Transaction from]]&amp;Transformation[[#This Row],[Commodity to]]&amp;Transformation[[#This Row],[Transaction to]]</f>
        <v>0311088220311016CSC</v>
      </c>
      <c r="BR40" s="26" t="str">
        <f>Transformation[[#This Row],[crfomid]]&amp;Transformation[[#This Row],[Transaction from]]&amp;"("&amp;Transformation[[#This Row],[Multiplier]]&amp;") -&gt; "&amp;Transformation[[#This Row],[ctoid]]&amp;Transformation[[#This Row],[Transaction to]]</f>
        <v>OK08822(1) -&gt; OK016CSC</v>
      </c>
      <c r="BT40" s="26" t="str">
        <f>_xlfn.XLOOKUP(Signswitch[[#This Row],[Commodity name]],Commodities[Commodity],Commodities[Commodity code])</f>
        <v>5212</v>
      </c>
      <c r="BU40" s="26" t="str">
        <f>_xlfn.XLOOKUP(Signswitch[[#This Row],[Transaction name]],Transactions[Transaction name],Transactions[Transaction code])</f>
        <v>1214D</v>
      </c>
      <c r="BV40" s="26" t="str">
        <f>Signswitch[[#This Row],[Commodity from]]&amp;Signswitch[[#This Row],[Transaction from]]</f>
        <v>52121214D</v>
      </c>
      <c r="BW40" s="22" t="s">
        <v>317</v>
      </c>
      <c r="BX40" s="26" t="str">
        <f>_xlfn.XLOOKUP(Signswitch[[#This Row],[Commodity from]],Commodities[Commodity code],Commodities[EnergyCode])</f>
        <v>ZG</v>
      </c>
      <c r="BY40" s="22" t="s">
        <v>464</v>
      </c>
    </row>
    <row r="41" spans="8:77" x14ac:dyDescent="0.45">
      <c r="H41" s="5" t="s">
        <v>341</v>
      </c>
      <c r="I41" s="4" t="s">
        <v>340</v>
      </c>
      <c r="J41" s="9" t="s">
        <v>325</v>
      </c>
      <c r="K41" s="14" t="s">
        <v>1480</v>
      </c>
      <c r="L41" s="23" t="str">
        <f>IFERROR(INDEX(Commodities[[Commodity code]:[Commodity]],MATCH(Commodities[[#This Row],[Parent code]],Commodities[Commodity code],0),2),Commodities[[#This Row],[Commodity]])</f>
        <v>Solid biofuels</v>
      </c>
      <c r="M41" s="24" t="str">
        <f>IFERROR(INDEX(Commodities[[Commodity code]:[Commodity]],MATCH(INDEX(Commodities[[Commodity]:[Parent code]],MATCH(Commodities[[#This Row],[L1N]],Commodities[Commodity],0),2),Commodities[Commodity code],0),2),Commodities[[#This Row],[L1N]])</f>
        <v>Biofuels</v>
      </c>
      <c r="N41" s="24" t="str">
        <f>IFERROR(INDEX(Commodities[[Commodity code]:[Commodity]],MATCH(INDEX(Commodities[[Commodity]:[Parent code]],MATCH(Commodities[[#This Row],[L2N]],Commodities[Commodity],0),2),Commodities[Commodity code],0),2),Commodities[[#This Row],[L2N]])</f>
        <v>Biofuels</v>
      </c>
      <c r="O41" s="24" t="str">
        <f>IFERROR(INDEX(Commodities[[Commodity code]:[Commodity]],MATCH(INDEX(Commodities[[Commodity]:[Parent code]],MATCH(Commodities[[#This Row],[L3N]],Commodities[Commodity],0),2),Commodities[Commodity code],0),2),Commodities[[#This Row],[L3N]])</f>
        <v>Biofuels</v>
      </c>
      <c r="P41" s="24" t="str">
        <f>IF(Commodities[[#This Row],[L4N]]=Commodities[[#This Row],[L3N]],Commodities[[#This Row],[L4N]],IF(Commodities[[#This Row],[L3N]]=Commodities[[#This Row],[L2N]],Commodities[[#This Row],[L3N]],IF(Commodities[[#This Row],[L2N]]=Commodities[[#This Row],[L1N]],Commodities[[#This Row],[L2N]],IF(Commodities[[#This Row],[L1N]]=Commodities[[#This Row],[Commodity]],Commodities[[#This Row],[L1N]],Commodities[[#This Row],[Commodity]]))))</f>
        <v>Biofuels</v>
      </c>
      <c r="Q41" s="24" t="str">
        <f>IF(Commodities[[#This Row],[Level 0]]=Commodities[[#This Row],[Commodity]],Commodities[[#This Row],[Commodity]],IF(Commodities[[#This Row],[Level 0]]=Commodities[[#This Row],[L1N]],Commodities[[#This Row],[Commodity]],IF(Commodities[[#This Row],[Level 0]]=Commodities[[#This Row],[L2N]],Commodities[[#This Row],[L1N]],IF(Commodities[[#This Row],[Level 0]]=Commodities[[#This Row],[L3N]],Commodities[[#This Row],[L2N]],IF(Commodities[[#This Row],[Level 0]]=Commodities[[#This Row],[L4N]],Commodities[[#This Row],[L3N]],Commodities[[#This Row],[L4N]])))))</f>
        <v>Solid biofuels</v>
      </c>
      <c r="R41" s="24" t="str">
        <f>IF(Commodities[[#This Row],[Level 1]]=Commodities[[#This Row],[Commodity]],Commodities[[#This Row],[Commodity]],IF(Commodities[[#This Row],[Level 1]]=Commodities[[#This Row],[L1N]],Commodities[[#This Row],[Commodity]],IF(Commodities[[#This Row],[Level 1]]=Commodities[[#This Row],[L2N]],Commodities[[#This Row],[L1N]],IF(Commodities[[#This Row],[Level 1]]=Commodities[[#This Row],[L3N]],Commodities[[#This Row],[L2N]],IF(Commodities[[#This Row],[Level 1]]=Commodities[[#This Row],[L4N]],Commodities[[#This Row],[L3N]],Commodities[[#This Row],[L4N]])))))</f>
        <v>Fuelwood, wood residues and by-products</v>
      </c>
      <c r="S41" s="24" t="str">
        <f>IF(Commodities[[#This Row],[Level 2]]=Commodities[[#This Row],[Commodity]],Commodities[[#This Row],[Commodity]],IF(Commodities[[#This Row],[Level 2]]=Commodities[[#This Row],[L1N]],Commodities[[#This Row],[Commodity]],IF(Commodities[[#This Row],[Level 2]]=Commodities[[#This Row],[L2N]],Commodities[[#This Row],[L1N]],IF(Commodities[[#This Row],[Level 2]]=Commodities[[#This Row],[L3N]],Commodities[[#This Row],[L2N]],IF(Commodities[[#This Row],[Level 2]]=Commodities[[#This Row],[L4N]],Commodities[[#This Row],[L3N]],Commodities[[#This Row],[L4N]])))))</f>
        <v>Fuelwood, wood residues and by-products</v>
      </c>
      <c r="T41" s="24" t="str">
        <f>IF(Commodities[[#This Row],[Level 3]]=Commodities[[#This Row],[Commodity]],Commodities[[#This Row],[Commodity]],IF(Commodities[[#This Row],[Level 3]]=Commodities[[#This Row],[L1N]],Commodities[[#This Row],[Commodity]],IF(Commodities[[#This Row],[Level 3]]=Commodities[[#This Row],[L2N]],Commodities[[#This Row],[L1N]],IF(Commodities[[#This Row],[Level 3]]=Commodities[[#This Row],[L3N]],Commodities[[#This Row],[L2N]],IF(Commodities[[#This Row],[Level 3]]=Commodities[[#This Row],[L4N]],Commodities[[#This Row],[L3N]],Commodities[[#This Row],[L4N]])))))</f>
        <v>Fuelwood, wood residues and by-products</v>
      </c>
      <c r="U41" s="24" t="str">
        <f>IF(Commodities[[#This Row],[Level 4]]=Commodities[[#This Row],[Commodity]],Commodities[[#This Row],[Commodity]],IF(Commodities[[#This Row],[Level 4]]=Commodities[[#This Row],[L1N]],Commodities[[#This Row],[Commodity]],IF(Commodities[[#This Row],[Level 4]]=Commodities[[#This Row],[L2N]],Commodities[[#This Row],[L1N]],IF(Commodities[[#This Row],[Level 4]]=Commodities[[#This Row],[L3N]],Commodities[[#This Row],[L2N]],IF(Commodities[[#This Row],[Level 4]]=Commodities[[#This Row],[L4N]],Commodities[[#This Row],[L3N]],Commodities[[#This Row],[L4N]])))))</f>
        <v>Fuelwood, wood residues and by-products</v>
      </c>
      <c r="Y41" s="5" t="s">
        <v>123</v>
      </c>
      <c r="Z41" s="4" t="s">
        <v>464</v>
      </c>
      <c r="AA41" s="4" t="s">
        <v>464</v>
      </c>
      <c r="AB41" s="4" t="s">
        <v>127</v>
      </c>
      <c r="AC41" s="24" t="str">
        <f>IFERROR(VLOOKUP(Transactions[[#This Row],[Parent code]],Transactions[[Transaction code]:[Transaction name]],2,0),"")</f>
        <v>Manufacturing, construction and non-fuel industry</v>
      </c>
      <c r="AD41" s="4" t="s">
        <v>630</v>
      </c>
      <c r="AE41" s="4" t="s">
        <v>914</v>
      </c>
      <c r="AF41" s="4" t="s">
        <v>642</v>
      </c>
      <c r="AG41" s="4" t="s">
        <v>1</v>
      </c>
      <c r="AH41" s="4" t="s">
        <v>696</v>
      </c>
      <c r="AK41" s="24" t="str" cm="1">
        <f t="array" ref="AK41">IFERROR(INDEX(Transactions[[Transaction code]:[Transaction name]],_xlfn.XMATCH(Transactions[[#This Row],[Parent code]],Transactions[Transaction name],0),3),Transactions[[#This Row],[Transaction name]])</f>
        <v>Machinery</v>
      </c>
      <c r="AL41" s="24" t="str" cm="1">
        <f t="array" ref="AL41">IFERROR(INDEX(Transactions[[Transaction code]:[Transaction name]],_xlfn.XMATCH(INDEX(Transactions[[Transaction name]:[Parent code]],_xlfn.XMATCH(Transactions[[#This Row],[L1N]],Transactions[Transaction name],0),3),Transactions[Transaction code],0),2),Transactions[[#This Row],[L1N]])</f>
        <v>Manufacturing, construction and non-fuel industry</v>
      </c>
      <c r="AM41" s="24" t="str" cm="1">
        <f t="array" ref="AM41">IFERROR(INDEX(Transactions[[Transaction code]:[Transaction name]],_xlfn.XMATCH(INDEX(Transactions[[Transaction name]:[Parent code]],_xlfn.XMATCH(Transactions[[#This Row],[L2N]],Transactions[Transaction name],0),3),Transactions[Transaction code],0),2),Transactions[[#This Row],[L2N]])</f>
        <v>Total Final Energy Consumption</v>
      </c>
      <c r="AN41" s="24" t="str" cm="1">
        <f t="array" ref="AN41">IFERROR(INDEX(Transactions[[Transaction code]:[Transaction name]],_xlfn.XMATCH(INDEX(Transactions[[Transaction name]:[Parent code]],_xlfn.XMATCH(Transactions[[#This Row],[L3N]],Transactions[Transaction name],0),3),Transactions[Transaction code],0),2),Transactions[[#This Row],[L3N]])</f>
        <v>Final consumption</v>
      </c>
      <c r="AO41" s="24" t="str" cm="1">
        <f t="array" ref="AO41">IFERROR(INDEX(Transactions[[Transaction code]:[Transaction name]],_xlfn.XMATCH(INDEX(Transactions[[Transaction name]:[Parent code]],_xlfn.XMATCH(Transactions[[#This Row],[L4N]],Transactions[Transaction name],0),3),Transactions[Transaction code],0),2),Transactions[[#This Row],[L4N]])</f>
        <v>Final consumption</v>
      </c>
      <c r="AP41" s="24" t="str" cm="1">
        <f t="array" ref="AP41">IFERROR(INDEX(Transactions[[Transaction code]:[Transaction name]],_xlfn.XMATCH(INDEX(Transactions[[Transaction name]:[Parent code]],_xlfn.XMATCH(Transactions[[#This Row],[L5N]],Transactions[Transaction name],0),3),Transactions[Transaction code],0),2),Transactions[[#This Row],[L5N]])</f>
        <v>Final consumption</v>
      </c>
      <c r="AQ41" s="24" t="str" cm="1">
        <f t="array" ref="AQ41">IFERROR(INDEX(Transactions[[Transaction code]:[Transaction name]],_xlfn.XMATCH(INDEX(Transactions[[Transaction name]:[Parent code]],_xlfn.XMATCH(Transactions[[#This Row],[L6N]],Transactions[Transaction name],0),3),Transactions[Transaction code],0),2),Transactions[[#This Row],[L6N]])</f>
        <v>Final consumption</v>
      </c>
      <c r="AR41" s="27" t="str">
        <f>IF(Transactions[[#This Row],[L7N]]=Transactions[[#This Row],[L6N]],Transactions[[#This Row],[L7N]],IF(Transactions[[#This Row],[L6N]]=Transactions[[#This Row],[L5N]],Transactions[[#This Row],[L6N]],IF(Transactions[[#This Row],[L5N]]=Transactions[[#This Row],[L4N]],Transactions[[#This Row],[L5N]],IF(Transactions[[#This Row],[L4N]]=Transactions[[#This Row],[L3N]],Transactions[[#This Row],[L4N]],IF(Transactions[[#This Row],[L3N]]=Transactions[[#This Row],[L2N]],Transactions[[#This Row],[L3N]],IF(Transactions[[#This Row],[L2N]]=Transactions[[#This Row],[L1N]],Transactions[[#This Row],[L2N]],IF(Transactions[[#This Row],[L1N]]=Transactions[[#This Row],[Transaction name]],Transactions[[#This Row],[L1N]],Transactions[[#This Row],[Transaction name]])))))))</f>
        <v>Final consumption</v>
      </c>
      <c r="AS41" s="24" t="str">
        <f>IF(Transactions[[#This Row],[Level 0]]=Transactions[[#This Row],[Transaction name]],Transactions[[#This Row],[Transaction name]],IF(Transactions[[#This Row],[Level 0]]=Transactions[[#This Row],[L1N]],Transactions[[#This Row],[Transaction name]],IF(Transactions[[#This Row],[Level 0]]=Transactions[[#This Row],[L2N]],Transactions[[#This Row],[L1N]],IF(Transactions[[#This Row],[Level 0]]=Transactions[[#This Row],[L3N]],Transactions[[#This Row],[L2N]],IF(Transactions[[#This Row],[Level 0]]=Transactions[[#This Row],[L4N]],Transactions[[#This Row],[L3N]],IF(Transactions[[#This Row],[Level 0]]=Transactions[[#This Row],[L5N]],Transactions[[#This Row],[L4N]],IF(Transactions[[#This Row],[Level 0]]=Transactions[[#This Row],[L6N]],Transactions[[#This Row],[L5N]],IF(Transactions[[#This Row],[Level 0]]=Transactions[[#This Row],[L7N]],Transactions[[#This Row],[L6N]],Transactions[[#This Row],[L7N]]))))))))</f>
        <v>Total Final Energy Consumption</v>
      </c>
      <c r="AT41" s="24" t="str">
        <f>IF(Transactions[[#This Row],[Level 1]]=Transactions[[#This Row],[Transaction name]],Transactions[[#This Row],[Transaction name]],IF(Transactions[[#This Row],[Level 1]]=Transactions[[#This Row],[L1N]],Transactions[[#This Row],[Transaction name]],IF(Transactions[[#This Row],[Level 1]]=Transactions[[#This Row],[L2N]],Transactions[[#This Row],[L1N]],IF(Transactions[[#This Row],[Level 1]]=Transactions[[#This Row],[L3N]],Transactions[[#This Row],[L2N]],IF(Transactions[[#This Row],[Level 1]]=Transactions[[#This Row],[L4N]],Transactions[[#This Row],[L3N]],IF(Transactions[[#This Row],[Level 1]]=Transactions[[#This Row],[L5N]],Transactions[[#This Row],[L4N]],IF(Transactions[[#This Row],[Level 1]]=Transactions[[#This Row],[L6N]],Transactions[[#This Row],[L5N]],IF(Transactions[[#This Row],[Level 1]]=Transactions[[#This Row],[L7N]],Transactions[[#This Row],[L6N]],Transactions[[#This Row],[L7N]]))))))))</f>
        <v>Manufacturing, construction and non-fuel industry</v>
      </c>
      <c r="AU41" s="24" t="str">
        <f>IF(Transactions[[#This Row],[Level 2]]=Transactions[[#This Row],[Transaction name]],Transactions[[#This Row],[Transaction name]],IF(Transactions[[#This Row],[Level 2]]=Transactions[[#This Row],[L1N]],Transactions[[#This Row],[Transaction name]],IF(Transactions[[#This Row],[Level 2]]=Transactions[[#This Row],[L2N]],Transactions[[#This Row],[L1N]],IF(Transactions[[#This Row],[Level 2]]=Transactions[[#This Row],[L3N]],Transactions[[#This Row],[L2N]],IF(Transactions[[#This Row],[Level 2]]=Transactions[[#This Row],[L4N]],Transactions[[#This Row],[L3N]],IF(Transactions[[#This Row],[Level 2]]=Transactions[[#This Row],[L5N]],Transactions[[#This Row],[L4N]],IF(Transactions[[#This Row],[Level 2]]=Transactions[[#This Row],[L6N]],Transactions[[#This Row],[L5N]],IF(Transactions[[#This Row],[Level 2]]=Transactions[[#This Row],[L7N]],Transactions[[#This Row],[L6N]],Transactions[[#This Row],[L7N]]))))))))</f>
        <v>Machinery</v>
      </c>
      <c r="AV41" s="24" t="str">
        <f>IF(Transactions[[#This Row],[Level 3]]=Transactions[[#This Row],[Transaction name]],Transactions[[#This Row],[Transaction name]],IF(Transactions[[#This Row],[Level 3]]=Transactions[[#This Row],[L1N]],Transactions[[#This Row],[Transaction name]],IF(Transactions[[#This Row],[Level 3]]=Transactions[[#This Row],[L2N]],Transactions[[#This Row],[L1N]],IF(Transactions[[#This Row],[Level 3]]=Transactions[[#This Row],[L3N]],Transactions[[#This Row],[L2N]],IF(Transactions[[#This Row],[Level 3]]=Transactions[[#This Row],[L4N]],Transactions[[#This Row],[L3N]],IF(Transactions[[#This Row],[Level 3]]=Transactions[[#This Row],[L5N]],Transactions[[#This Row],[L4N]],IF(Transactions[[#This Row],[Level 3]]=Transactions[[#This Row],[L6N]],Transactions[[#This Row],[L5N]],IF(Transactions[[#This Row],[Level 3]]=Transactions[[#This Row],[L7N]],Transactions[[#This Row],[L6N]],Transactions[[#This Row],[L7N]]))))))))</f>
        <v>Machinery</v>
      </c>
      <c r="AW41" s="24" t="str">
        <f>IF(Transactions[[#This Row],[Level 4]]=Transactions[[#This Row],[Transaction name]],Transactions[[#This Row],[Transaction name]],IF(Transactions[[#This Row],[Level 4]]=Transactions[[#This Row],[L1N]],Transactions[[#This Row],[Transaction name]],IF(Transactions[[#This Row],[Level 4]]=Transactions[[#This Row],[L2N]],Transactions[[#This Row],[L1N]],IF(Transactions[[#This Row],[Level 4]]=Transactions[[#This Row],[L3N]],Transactions[[#This Row],[L2N]],IF(Transactions[[#This Row],[Level 4]]=Transactions[[#This Row],[L4N]],Transactions[[#This Row],[L3N]],IF(Transactions[[#This Row],[Level 4]]=Transactions[[#This Row],[L5N]],Transactions[[#This Row],[L4N]],IF(Transactions[[#This Row],[Level 4]]=Transactions[[#This Row],[L6N]],Transactions[[#This Row],[L5N]],IF(Transactions[[#This Row],[Level 4]]=Transactions[[#This Row],[L7N]],Transactions[[#This Row],[L6N]],Transactions[[#This Row],[L7N]]))))))))</f>
        <v>Machinery</v>
      </c>
      <c r="AX41" s="24" t="str">
        <f>IF(Transactions[[#This Row],[Level 5]]=Transactions[[#This Row],[Transaction name]],Transactions[[#This Row],[Transaction name]],IF(Transactions[[#This Row],[Level 5]]=Transactions[[#This Row],[L1N]],Transactions[[#This Row],[Transaction name]],IF(Transactions[[#This Row],[Level 5]]=Transactions[[#This Row],[L2N]],Transactions[[#This Row],[L1N]],IF(Transactions[[#This Row],[Level 5]]=Transactions[[#This Row],[L3N]],Transactions[[#This Row],[L2N]],IF(Transactions[[#This Row],[Level 5]]=Transactions[[#This Row],[L4N]],Transactions[[#This Row],[L3N]],IF(Transactions[[#This Row],[Level 5]]=Transactions[[#This Row],[L5N]],Transactions[[#This Row],[L4N]],IF(Transactions[[#This Row],[Level 5]]=Transactions[[#This Row],[L6N]],Transactions[[#This Row],[L5N]],IF(Transactions[[#This Row],[Level 5]]=Transactions[[#This Row],[L7N]],Transactions[[#This Row],[L6N]],Transactions[[#This Row],[L7N]]))))))))</f>
        <v>Machinery</v>
      </c>
      <c r="AY41" s="24" t="str">
        <f>IF(Transactions[[#This Row],[Level 6]]=Transactions[[#This Row],[Transaction name]],Transactions[[#This Row],[Transaction name]],IF(Transactions[[#This Row],[Level 6]]=Transactions[[#This Row],[L1N]],Transactions[[#This Row],[Transaction name]],IF(Transactions[[#This Row],[Level 6]]=Transactions[[#This Row],[L2N]],Transactions[[#This Row],[L1N]],IF(Transactions[[#This Row],[Level 6]]=Transactions[[#This Row],[L3N]],Transactions[[#This Row],[L2N]],IF(Transactions[[#This Row],[Level 6]]=Transactions[[#This Row],[L4N]],Transactions[[#This Row],[L3N]],IF(Transactions[[#This Row],[Level 6]]=Transactions[[#This Row],[L5N]],Transactions[[#This Row],[L4N]],IF(Transactions[[#This Row],[Level 6]]=Transactions[[#This Row],[L6N]],Transactions[[#This Row],[L5N]],IF(Transactions[[#This Row],[Level 6]]=Transactions[[#This Row],[L7N]],Transactions[[#This Row],[L6N]],Transactions[[#This Row],[L7N]]))))))))</f>
        <v>Machinery</v>
      </c>
      <c r="BE41" s="26" t="str">
        <f>_xlfn.XLOOKUP(Transformation[[#This Row],[cfrom]],Commodities[Commodity],Commodities[Commodity code])</f>
        <v>5290</v>
      </c>
      <c r="BF41" s="26" t="str">
        <f>_xlfn.XLOOKUP(Transformation[[#This Row],[tfrom]],Transactions[Transaction name],Transactions[Transaction code])</f>
        <v>08822</v>
      </c>
      <c r="BG41" s="26" t="str">
        <f>_xlfn.XLOOKUP(Transformation[[#This Row],[cto]],Commodities[Commodity],Commodities[Commodity code])</f>
        <v>5290</v>
      </c>
      <c r="BH41" s="26" t="str">
        <f>_xlfn.XLOOKUP(Transformation[[#This Row],[tto]],Transactions[Transaction name],Transactions[Transaction code])</f>
        <v>016BLC</v>
      </c>
      <c r="BI41" s="11">
        <v>1</v>
      </c>
      <c r="BJ41" s="4" t="s">
        <v>301</v>
      </c>
      <c r="BK41" s="24" t="str">
        <f>_xlfn.XLOOKUP(Transformation[[#This Row],[Commodity from]],Commodities[Commodity code],Commodities[EnergyCode])</f>
        <v>OL</v>
      </c>
      <c r="BL41" s="4" t="s">
        <v>692</v>
      </c>
      <c r="BM41" s="4" t="s">
        <v>301</v>
      </c>
      <c r="BN41" s="24" t="str">
        <f>_xlfn.XLOOKUP(Transformation[[#This Row],[Commodity to]],Commodities[Commodity code],Commodities[EnergyCode])</f>
        <v>OL</v>
      </c>
      <c r="BO41" s="4" t="s">
        <v>1078</v>
      </c>
      <c r="BP41" s="16" t="s">
        <v>1493</v>
      </c>
      <c r="BQ41" s="33" t="str">
        <f>Transformation[[#This Row],[Commodity from]]&amp;Transformation[[#This Row],[Transaction from]]&amp;Transformation[[#This Row],[Commodity to]]&amp;Transformation[[#This Row],[Transaction to]]</f>
        <v>5290088225290016BLC</v>
      </c>
      <c r="BR41" s="26" t="str">
        <f>Transformation[[#This Row],[crfomid]]&amp;Transformation[[#This Row],[Transaction from]]&amp;"("&amp;Transformation[[#This Row],[Multiplier]]&amp;") -&gt; "&amp;Transformation[[#This Row],[ctoid]]&amp;Transformation[[#This Row],[Transaction to]]</f>
        <v>OL08822(1) -&gt; OL016BLC</v>
      </c>
      <c r="BT41" s="26" t="str">
        <f>_xlfn.XLOOKUP(Signswitch[[#This Row],[Commodity name]],Commodities[Commodity],Commodities[Commodity code])</f>
        <v>5232</v>
      </c>
      <c r="BU41" s="26" t="str">
        <f>_xlfn.XLOOKUP(Signswitch[[#This Row],[Transaction name]],Transactions[Transaction name],Transactions[Transaction code])</f>
        <v>1214E</v>
      </c>
      <c r="BV41" s="26" t="str">
        <f>Signswitch[[#This Row],[Commodity from]]&amp;Signswitch[[#This Row],[Transaction from]]</f>
        <v>52321214E</v>
      </c>
      <c r="BW41" s="22" t="s">
        <v>306</v>
      </c>
      <c r="BX41" s="26" t="str">
        <f>_xlfn.XLOOKUP(Signswitch[[#This Row],[Commodity from]],Commodities[Commodity code],Commodities[EnergyCode])</f>
        <v>ZJ</v>
      </c>
      <c r="BY41" s="22" t="s">
        <v>461</v>
      </c>
    </row>
    <row r="42" spans="8:77" x14ac:dyDescent="0.45">
      <c r="H42" s="5" t="s">
        <v>484</v>
      </c>
      <c r="I42" s="4" t="s">
        <v>483</v>
      </c>
      <c r="J42" s="9" t="s">
        <v>466</v>
      </c>
      <c r="K42" s="14" t="s">
        <v>1475</v>
      </c>
      <c r="L42" s="23" t="str">
        <f>IFERROR(INDEX(Commodities[[Commodity code]:[Commodity]],MATCH(Commodities[[#This Row],[Parent code]],Commodities[Commodity code],0),2),Commodities[[#This Row],[Commodity]])</f>
        <v>Coal products</v>
      </c>
      <c r="M42" s="24" t="str">
        <f>IFERROR(INDEX(Commodities[[Commodity code]:[Commodity]],MATCH(INDEX(Commodities[[Commodity]:[Parent code]],MATCH(Commodities[[#This Row],[L1N]],Commodities[Commodity],0),2),Commodities[Commodity code],0),2),Commodities[[#This Row],[L1N]])</f>
        <v>Coal</v>
      </c>
      <c r="N42" s="24" t="str">
        <f>IFERROR(INDEX(Commodities[[Commodity code]:[Commodity]],MATCH(INDEX(Commodities[[Commodity]:[Parent code]],MATCH(Commodities[[#This Row],[L2N]],Commodities[Commodity],0),2),Commodities[Commodity code],0),2),Commodities[[#This Row],[L2N]])</f>
        <v>Coal</v>
      </c>
      <c r="O42" s="24" t="str">
        <f>IFERROR(INDEX(Commodities[[Commodity code]:[Commodity]],MATCH(INDEX(Commodities[[Commodity]:[Parent code]],MATCH(Commodities[[#This Row],[L3N]],Commodities[Commodity],0),2),Commodities[Commodity code],0),2),Commodities[[#This Row],[L3N]])</f>
        <v>Coal</v>
      </c>
      <c r="P42" s="24" t="str">
        <f>IF(Commodities[[#This Row],[L4N]]=Commodities[[#This Row],[L3N]],Commodities[[#This Row],[L4N]],IF(Commodities[[#This Row],[L3N]]=Commodities[[#This Row],[L2N]],Commodities[[#This Row],[L3N]],IF(Commodities[[#This Row],[L2N]]=Commodities[[#This Row],[L1N]],Commodities[[#This Row],[L2N]],IF(Commodities[[#This Row],[L1N]]=Commodities[[#This Row],[Commodity]],Commodities[[#This Row],[L1N]],Commodities[[#This Row],[Commodity]]))))</f>
        <v>Coal</v>
      </c>
      <c r="Q42" s="24" t="str">
        <f>IF(Commodities[[#This Row],[Level 0]]=Commodities[[#This Row],[Commodity]],Commodities[[#This Row],[Commodity]],IF(Commodities[[#This Row],[Level 0]]=Commodities[[#This Row],[L1N]],Commodities[[#This Row],[Commodity]],IF(Commodities[[#This Row],[Level 0]]=Commodities[[#This Row],[L2N]],Commodities[[#This Row],[L1N]],IF(Commodities[[#This Row],[Level 0]]=Commodities[[#This Row],[L3N]],Commodities[[#This Row],[L2N]],IF(Commodities[[#This Row],[Level 0]]=Commodities[[#This Row],[L4N]],Commodities[[#This Row],[L3N]],Commodities[[#This Row],[L4N]])))))</f>
        <v>Coal products</v>
      </c>
      <c r="R42" s="24" t="str">
        <f>IF(Commodities[[#This Row],[Level 1]]=Commodities[[#This Row],[Commodity]],Commodities[[#This Row],[Commodity]],IF(Commodities[[#This Row],[Level 1]]=Commodities[[#This Row],[L1N]],Commodities[[#This Row],[Commodity]],IF(Commodities[[#This Row],[Level 1]]=Commodities[[#This Row],[L2N]],Commodities[[#This Row],[L1N]],IF(Commodities[[#This Row],[Level 1]]=Commodities[[#This Row],[L3N]],Commodities[[#This Row],[L2N]],IF(Commodities[[#This Row],[Level 1]]=Commodities[[#This Row],[L4N]],Commodities[[#This Row],[L3N]],Commodities[[#This Row],[L4N]])))))</f>
        <v>Gas works gas</v>
      </c>
      <c r="S42" s="24" t="str">
        <f>IF(Commodities[[#This Row],[Level 2]]=Commodities[[#This Row],[Commodity]],Commodities[[#This Row],[Commodity]],IF(Commodities[[#This Row],[Level 2]]=Commodities[[#This Row],[L1N]],Commodities[[#This Row],[Commodity]],IF(Commodities[[#This Row],[Level 2]]=Commodities[[#This Row],[L2N]],Commodities[[#This Row],[L1N]],IF(Commodities[[#This Row],[Level 2]]=Commodities[[#This Row],[L3N]],Commodities[[#This Row],[L2N]],IF(Commodities[[#This Row],[Level 2]]=Commodities[[#This Row],[L4N]],Commodities[[#This Row],[L3N]],Commodities[[#This Row],[L4N]])))))</f>
        <v>Gas works gas</v>
      </c>
      <c r="T42" s="24" t="str">
        <f>IF(Commodities[[#This Row],[Level 3]]=Commodities[[#This Row],[Commodity]],Commodities[[#This Row],[Commodity]],IF(Commodities[[#This Row],[Level 3]]=Commodities[[#This Row],[L1N]],Commodities[[#This Row],[Commodity]],IF(Commodities[[#This Row],[Level 3]]=Commodities[[#This Row],[L2N]],Commodities[[#This Row],[L1N]],IF(Commodities[[#This Row],[Level 3]]=Commodities[[#This Row],[L3N]],Commodities[[#This Row],[L2N]],IF(Commodities[[#This Row],[Level 3]]=Commodities[[#This Row],[L4N]],Commodities[[#This Row],[L3N]],Commodities[[#This Row],[L4N]])))))</f>
        <v>Gas works gas</v>
      </c>
      <c r="U42" s="24" t="str">
        <f>IF(Commodities[[#This Row],[Level 4]]=Commodities[[#This Row],[Commodity]],Commodities[[#This Row],[Commodity]],IF(Commodities[[#This Row],[Level 4]]=Commodities[[#This Row],[L1N]],Commodities[[#This Row],[Commodity]],IF(Commodities[[#This Row],[Level 4]]=Commodities[[#This Row],[L2N]],Commodities[[#This Row],[L1N]],IF(Commodities[[#This Row],[Level 4]]=Commodities[[#This Row],[L3N]],Commodities[[#This Row],[L2N]],IF(Commodities[[#This Row],[Level 4]]=Commodities[[#This Row],[L4N]],Commodities[[#This Row],[L3N]],Commodities[[#This Row],[L4N]])))))</f>
        <v>Gas works gas</v>
      </c>
      <c r="Y42" s="5" t="s">
        <v>127</v>
      </c>
      <c r="Z42" s="4" t="s">
        <v>698</v>
      </c>
      <c r="AA42" s="4" t="s">
        <v>698</v>
      </c>
      <c r="AB42" s="6" t="s">
        <v>98</v>
      </c>
      <c r="AC42" s="24" t="str">
        <f>IFERROR(VLOOKUP(Transactions[[#This Row],[Parent code]],Transactions[[Transaction code]:[Transaction name]],2,0),"")</f>
        <v>Total Final Energy Consumption</v>
      </c>
      <c r="AD42" s="4" t="s">
        <v>630</v>
      </c>
      <c r="AF42" s="4" t="s">
        <v>642</v>
      </c>
      <c r="AG42" s="4" t="s">
        <v>1</v>
      </c>
      <c r="AH42" s="4" t="s">
        <v>696</v>
      </c>
      <c r="AJ42" s="4" t="s">
        <v>0</v>
      </c>
      <c r="AK42" s="24" t="str" cm="1">
        <f t="array" ref="AK42">IFERROR(INDEX(Transactions[[Transaction code]:[Transaction name]],_xlfn.XMATCH(Transactions[[#This Row],[Parent code]],Transactions[Transaction name],0),3),Transactions[[#This Row],[Transaction name]])</f>
        <v>Manufacturing, construction and non-fuel industry</v>
      </c>
      <c r="AL42" s="24" t="str" cm="1">
        <f t="array" ref="AL42">IFERROR(INDEX(Transactions[[Transaction code]:[Transaction name]],_xlfn.XMATCH(INDEX(Transactions[[Transaction name]:[Parent code]],_xlfn.XMATCH(Transactions[[#This Row],[L1N]],Transactions[Transaction name],0),3),Transactions[Transaction code],0),2),Transactions[[#This Row],[L1N]])</f>
        <v>Total Final Energy Consumption</v>
      </c>
      <c r="AM42" s="24" t="str" cm="1">
        <f t="array" ref="AM42">IFERROR(INDEX(Transactions[[Transaction code]:[Transaction name]],_xlfn.XMATCH(INDEX(Transactions[[Transaction name]:[Parent code]],_xlfn.XMATCH(Transactions[[#This Row],[L2N]],Transactions[Transaction name],0),3),Transactions[Transaction code],0),2),Transactions[[#This Row],[L2N]])</f>
        <v>Final consumption</v>
      </c>
      <c r="AN42" s="24" t="str" cm="1">
        <f t="array" ref="AN42">IFERROR(INDEX(Transactions[[Transaction code]:[Transaction name]],_xlfn.XMATCH(INDEX(Transactions[[Transaction name]:[Parent code]],_xlfn.XMATCH(Transactions[[#This Row],[L3N]],Transactions[Transaction name],0),3),Transactions[Transaction code],0),2),Transactions[[#This Row],[L3N]])</f>
        <v>Final consumption</v>
      </c>
      <c r="AO42" s="24" t="str" cm="1">
        <f t="array" ref="AO42">IFERROR(INDEX(Transactions[[Transaction code]:[Transaction name]],_xlfn.XMATCH(INDEX(Transactions[[Transaction name]:[Parent code]],_xlfn.XMATCH(Transactions[[#This Row],[L4N]],Transactions[Transaction name],0),3),Transactions[Transaction code],0),2),Transactions[[#This Row],[L4N]])</f>
        <v>Final consumption</v>
      </c>
      <c r="AP42" s="24" t="str" cm="1">
        <f t="array" ref="AP42">IFERROR(INDEX(Transactions[[Transaction code]:[Transaction name]],_xlfn.XMATCH(INDEX(Transactions[[Transaction name]:[Parent code]],_xlfn.XMATCH(Transactions[[#This Row],[L5N]],Transactions[Transaction name],0),3),Transactions[Transaction code],0),2),Transactions[[#This Row],[L5N]])</f>
        <v>Final consumption</v>
      </c>
      <c r="AQ42" s="24" t="str" cm="1">
        <f t="array" ref="AQ42">IFERROR(INDEX(Transactions[[Transaction code]:[Transaction name]],_xlfn.XMATCH(INDEX(Transactions[[Transaction name]:[Parent code]],_xlfn.XMATCH(Transactions[[#This Row],[L6N]],Transactions[Transaction name],0),3),Transactions[Transaction code],0),2),Transactions[[#This Row],[L6N]])</f>
        <v>Final consumption</v>
      </c>
      <c r="AR42" s="27" t="str">
        <f>IF(Transactions[[#This Row],[L7N]]=Transactions[[#This Row],[L6N]],Transactions[[#This Row],[L7N]],IF(Transactions[[#This Row],[L6N]]=Transactions[[#This Row],[L5N]],Transactions[[#This Row],[L6N]],IF(Transactions[[#This Row],[L5N]]=Transactions[[#This Row],[L4N]],Transactions[[#This Row],[L5N]],IF(Transactions[[#This Row],[L4N]]=Transactions[[#This Row],[L3N]],Transactions[[#This Row],[L4N]],IF(Transactions[[#This Row],[L3N]]=Transactions[[#This Row],[L2N]],Transactions[[#This Row],[L3N]],IF(Transactions[[#This Row],[L2N]]=Transactions[[#This Row],[L1N]],Transactions[[#This Row],[L2N]],IF(Transactions[[#This Row],[L1N]]=Transactions[[#This Row],[Transaction name]],Transactions[[#This Row],[L1N]],Transactions[[#This Row],[Transaction name]])))))))</f>
        <v>Final consumption</v>
      </c>
      <c r="AS42" s="24" t="str">
        <f>IF(Transactions[[#This Row],[Level 0]]=Transactions[[#This Row],[Transaction name]],Transactions[[#This Row],[Transaction name]],IF(Transactions[[#This Row],[Level 0]]=Transactions[[#This Row],[L1N]],Transactions[[#This Row],[Transaction name]],IF(Transactions[[#This Row],[Level 0]]=Transactions[[#This Row],[L2N]],Transactions[[#This Row],[L1N]],IF(Transactions[[#This Row],[Level 0]]=Transactions[[#This Row],[L3N]],Transactions[[#This Row],[L2N]],IF(Transactions[[#This Row],[Level 0]]=Transactions[[#This Row],[L4N]],Transactions[[#This Row],[L3N]],IF(Transactions[[#This Row],[Level 0]]=Transactions[[#This Row],[L5N]],Transactions[[#This Row],[L4N]],IF(Transactions[[#This Row],[Level 0]]=Transactions[[#This Row],[L6N]],Transactions[[#This Row],[L5N]],IF(Transactions[[#This Row],[Level 0]]=Transactions[[#This Row],[L7N]],Transactions[[#This Row],[L6N]],Transactions[[#This Row],[L7N]]))))))))</f>
        <v>Total Final Energy Consumption</v>
      </c>
      <c r="AT42" s="24" t="str">
        <f>IF(Transactions[[#This Row],[Level 1]]=Transactions[[#This Row],[Transaction name]],Transactions[[#This Row],[Transaction name]],IF(Transactions[[#This Row],[Level 1]]=Transactions[[#This Row],[L1N]],Transactions[[#This Row],[Transaction name]],IF(Transactions[[#This Row],[Level 1]]=Transactions[[#This Row],[L2N]],Transactions[[#This Row],[L1N]],IF(Transactions[[#This Row],[Level 1]]=Transactions[[#This Row],[L3N]],Transactions[[#This Row],[L2N]],IF(Transactions[[#This Row],[Level 1]]=Transactions[[#This Row],[L4N]],Transactions[[#This Row],[L3N]],IF(Transactions[[#This Row],[Level 1]]=Transactions[[#This Row],[L5N]],Transactions[[#This Row],[L4N]],IF(Transactions[[#This Row],[Level 1]]=Transactions[[#This Row],[L6N]],Transactions[[#This Row],[L5N]],IF(Transactions[[#This Row],[Level 1]]=Transactions[[#This Row],[L7N]],Transactions[[#This Row],[L6N]],Transactions[[#This Row],[L7N]]))))))))</f>
        <v>Manufacturing, construction and non-fuel industry</v>
      </c>
      <c r="AU42" s="24" t="str">
        <f>IF(Transactions[[#This Row],[Level 2]]=Transactions[[#This Row],[Transaction name]],Transactions[[#This Row],[Transaction name]],IF(Transactions[[#This Row],[Level 2]]=Transactions[[#This Row],[L1N]],Transactions[[#This Row],[Transaction name]],IF(Transactions[[#This Row],[Level 2]]=Transactions[[#This Row],[L2N]],Transactions[[#This Row],[L1N]],IF(Transactions[[#This Row],[Level 2]]=Transactions[[#This Row],[L3N]],Transactions[[#This Row],[L2N]],IF(Transactions[[#This Row],[Level 2]]=Transactions[[#This Row],[L4N]],Transactions[[#This Row],[L3N]],IF(Transactions[[#This Row],[Level 2]]=Transactions[[#This Row],[L5N]],Transactions[[#This Row],[L4N]],IF(Transactions[[#This Row],[Level 2]]=Transactions[[#This Row],[L6N]],Transactions[[#This Row],[L5N]],IF(Transactions[[#This Row],[Level 2]]=Transactions[[#This Row],[L7N]],Transactions[[#This Row],[L6N]],Transactions[[#This Row],[L7N]]))))))))</f>
        <v>Manufacturing, construction and non-fuel industry</v>
      </c>
      <c r="AV42" s="24" t="str">
        <f>IF(Transactions[[#This Row],[Level 3]]=Transactions[[#This Row],[Transaction name]],Transactions[[#This Row],[Transaction name]],IF(Transactions[[#This Row],[Level 3]]=Transactions[[#This Row],[L1N]],Transactions[[#This Row],[Transaction name]],IF(Transactions[[#This Row],[Level 3]]=Transactions[[#This Row],[L2N]],Transactions[[#This Row],[L1N]],IF(Transactions[[#This Row],[Level 3]]=Transactions[[#This Row],[L3N]],Transactions[[#This Row],[L2N]],IF(Transactions[[#This Row],[Level 3]]=Transactions[[#This Row],[L4N]],Transactions[[#This Row],[L3N]],IF(Transactions[[#This Row],[Level 3]]=Transactions[[#This Row],[L5N]],Transactions[[#This Row],[L4N]],IF(Transactions[[#This Row],[Level 3]]=Transactions[[#This Row],[L6N]],Transactions[[#This Row],[L5N]],IF(Transactions[[#This Row],[Level 3]]=Transactions[[#This Row],[L7N]],Transactions[[#This Row],[L6N]],Transactions[[#This Row],[L7N]]))))))))</f>
        <v>Manufacturing, construction and non-fuel industry</v>
      </c>
      <c r="AW42" s="24" t="str">
        <f>IF(Transactions[[#This Row],[Level 4]]=Transactions[[#This Row],[Transaction name]],Transactions[[#This Row],[Transaction name]],IF(Transactions[[#This Row],[Level 4]]=Transactions[[#This Row],[L1N]],Transactions[[#This Row],[Transaction name]],IF(Transactions[[#This Row],[Level 4]]=Transactions[[#This Row],[L2N]],Transactions[[#This Row],[L1N]],IF(Transactions[[#This Row],[Level 4]]=Transactions[[#This Row],[L3N]],Transactions[[#This Row],[L2N]],IF(Transactions[[#This Row],[Level 4]]=Transactions[[#This Row],[L4N]],Transactions[[#This Row],[L3N]],IF(Transactions[[#This Row],[Level 4]]=Transactions[[#This Row],[L5N]],Transactions[[#This Row],[L4N]],IF(Transactions[[#This Row],[Level 4]]=Transactions[[#This Row],[L6N]],Transactions[[#This Row],[L5N]],IF(Transactions[[#This Row],[Level 4]]=Transactions[[#This Row],[L7N]],Transactions[[#This Row],[L6N]],Transactions[[#This Row],[L7N]]))))))))</f>
        <v>Manufacturing, construction and non-fuel industry</v>
      </c>
      <c r="AX42" s="24" t="str">
        <f>IF(Transactions[[#This Row],[Level 5]]=Transactions[[#This Row],[Transaction name]],Transactions[[#This Row],[Transaction name]],IF(Transactions[[#This Row],[Level 5]]=Transactions[[#This Row],[L1N]],Transactions[[#This Row],[Transaction name]],IF(Transactions[[#This Row],[Level 5]]=Transactions[[#This Row],[L2N]],Transactions[[#This Row],[L1N]],IF(Transactions[[#This Row],[Level 5]]=Transactions[[#This Row],[L3N]],Transactions[[#This Row],[L2N]],IF(Transactions[[#This Row],[Level 5]]=Transactions[[#This Row],[L4N]],Transactions[[#This Row],[L3N]],IF(Transactions[[#This Row],[Level 5]]=Transactions[[#This Row],[L5N]],Transactions[[#This Row],[L4N]],IF(Transactions[[#This Row],[Level 5]]=Transactions[[#This Row],[L6N]],Transactions[[#This Row],[L5N]],IF(Transactions[[#This Row],[Level 5]]=Transactions[[#This Row],[L7N]],Transactions[[#This Row],[L6N]],Transactions[[#This Row],[L7N]]))))))))</f>
        <v>Manufacturing, construction and non-fuel industry</v>
      </c>
      <c r="AY42" s="24" t="str">
        <f>IF(Transactions[[#This Row],[Level 6]]=Transactions[[#This Row],[Transaction name]],Transactions[[#This Row],[Transaction name]],IF(Transactions[[#This Row],[Level 6]]=Transactions[[#This Row],[L1N]],Transactions[[#This Row],[Transaction name]],IF(Transactions[[#This Row],[Level 6]]=Transactions[[#This Row],[L2N]],Transactions[[#This Row],[L1N]],IF(Transactions[[#This Row],[Level 6]]=Transactions[[#This Row],[L3N]],Transactions[[#This Row],[L2N]],IF(Transactions[[#This Row],[Level 6]]=Transactions[[#This Row],[L4N]],Transactions[[#This Row],[L3N]],IF(Transactions[[#This Row],[Level 6]]=Transactions[[#This Row],[L5N]],Transactions[[#This Row],[L4N]],IF(Transactions[[#This Row],[Level 6]]=Transactions[[#This Row],[L6N]],Transactions[[#This Row],[L5N]],IF(Transactions[[#This Row],[Level 6]]=Transactions[[#This Row],[L7N]],Transactions[[#This Row],[L6N]],Transactions[[#This Row],[L7N]]))))))))</f>
        <v>Manufacturing, construction and non-fuel industry</v>
      </c>
      <c r="BE42" s="26" t="str">
        <f>_xlfn.XLOOKUP(Transformation[[#This Row],[cfrom]],Commodities[Commodity],Commodities[Commodity code])</f>
        <v>2000</v>
      </c>
      <c r="BF42" s="26" t="str">
        <f>_xlfn.XLOOKUP(Transformation[[#This Row],[tfrom]],Transactions[Transaction name],Transactions[Transaction code])</f>
        <v>08822</v>
      </c>
      <c r="BG42" s="26" t="str">
        <f>_xlfn.XLOOKUP(Transformation[[#This Row],[cto]],Commodities[Commodity],Commodities[Commodity code])</f>
        <v>2000</v>
      </c>
      <c r="BH42" s="26" t="str">
        <f>_xlfn.XLOOKUP(Transformation[[#This Row],[tto]],Transactions[Transaction name],Transactions[Transaction code])</f>
        <v>016SHC</v>
      </c>
      <c r="BI42" s="11">
        <v>1</v>
      </c>
      <c r="BJ42" s="4" t="s">
        <v>450</v>
      </c>
      <c r="BK42" s="24" t="str">
        <f>_xlfn.XLOOKUP(Transformation[[#This Row],[Commodity from]],Commodities[Commodity code],Commodities[EnergyCode])</f>
        <v>OS</v>
      </c>
      <c r="BL42" s="4" t="s">
        <v>692</v>
      </c>
      <c r="BM42" s="4" t="s">
        <v>450</v>
      </c>
      <c r="BN42" s="24" t="str">
        <f>_xlfn.XLOOKUP(Transformation[[#This Row],[Commodity to]],Commodities[Commodity code],Commodities[EnergyCode])</f>
        <v>OS</v>
      </c>
      <c r="BO42" s="4" t="s">
        <v>1197</v>
      </c>
      <c r="BP42" s="16" t="s">
        <v>1493</v>
      </c>
      <c r="BQ42" s="33" t="str">
        <f>Transformation[[#This Row],[Commodity from]]&amp;Transformation[[#This Row],[Transaction from]]&amp;Transformation[[#This Row],[Commodity to]]&amp;Transformation[[#This Row],[Transaction to]]</f>
        <v>2000088222000016SHC</v>
      </c>
      <c r="BR42" s="26" t="str">
        <f>Transformation[[#This Row],[crfomid]]&amp;Transformation[[#This Row],[Transaction from]]&amp;"("&amp;Transformation[[#This Row],[Multiplier]]&amp;") -&gt; "&amp;Transformation[[#This Row],[ctoid]]&amp;Transformation[[#This Row],[Transaction to]]</f>
        <v>OS08822(1) -&gt; OS016SHC</v>
      </c>
      <c r="BT42" s="26" t="str">
        <f>_xlfn.XLOOKUP(Signswitch[[#This Row],[Commodity name]],Commodities[Commodity],Commodities[Commodity code])</f>
        <v>5222</v>
      </c>
      <c r="BU42" s="26" t="str">
        <f>_xlfn.XLOOKUP(Signswitch[[#This Row],[Transaction name]],Transactions[Transaction name],Transactions[Transaction code])</f>
        <v>1214E</v>
      </c>
      <c r="BV42" s="26" t="str">
        <f>Signswitch[[#This Row],[Commodity from]]&amp;Signswitch[[#This Row],[Transaction from]]</f>
        <v>52221214E</v>
      </c>
      <c r="BW42" s="22" t="s">
        <v>962</v>
      </c>
      <c r="BX42" s="26" t="str">
        <f>_xlfn.XLOOKUP(Signswitch[[#This Row],[Commodity from]],Commodities[Commodity code],Commodities[EnergyCode])</f>
        <v>ZD</v>
      </c>
      <c r="BY42" s="22" t="s">
        <v>461</v>
      </c>
    </row>
    <row r="43" spans="8:77" x14ac:dyDescent="0.45">
      <c r="H43" s="5" t="s">
        <v>391</v>
      </c>
      <c r="I43" s="4" t="s">
        <v>390</v>
      </c>
      <c r="J43" s="9" t="s">
        <v>389</v>
      </c>
      <c r="K43" s="9" t="s">
        <v>1446</v>
      </c>
      <c r="L43" s="23" t="str">
        <f>IFERROR(INDEX(Commodities[[Commodity code]:[Commodity]],MATCH(Commodities[[#This Row],[Parent code]],Commodities[Commodity code],0),2),Commodities[[#This Row],[Commodity]])</f>
        <v>Gasolines</v>
      </c>
      <c r="M43" s="24" t="str">
        <f>IFERROR(INDEX(Commodities[[Commodity code]:[Commodity]],MATCH(INDEX(Commodities[[Commodity]:[Parent code]],MATCH(Commodities[[#This Row],[L1N]],Commodities[Commodity],0),2),Commodities[Commodity code],0),2),Commodities[[#This Row],[L1N]])</f>
        <v>Oil products</v>
      </c>
      <c r="N43" s="24" t="str">
        <f>IFERROR(INDEX(Commodities[[Commodity code]:[Commodity]],MATCH(INDEX(Commodities[[Commodity]:[Parent code]],MATCH(Commodities[[#This Row],[L2N]],Commodities[Commodity],0),2),Commodities[Commodity code],0),2),Commodities[[#This Row],[L2N]])</f>
        <v>Oil</v>
      </c>
      <c r="O43" s="24" t="str">
        <f>IFERROR(INDEX(Commodities[[Commodity code]:[Commodity]],MATCH(INDEX(Commodities[[Commodity]:[Parent code]],MATCH(Commodities[[#This Row],[L3N]],Commodities[Commodity],0),2),Commodities[Commodity code],0),2),Commodities[[#This Row],[L3N]])</f>
        <v>Oil</v>
      </c>
      <c r="P43" s="24" t="str">
        <f>IF(Commodities[[#This Row],[L4N]]=Commodities[[#This Row],[L3N]],Commodities[[#This Row],[L4N]],IF(Commodities[[#This Row],[L3N]]=Commodities[[#This Row],[L2N]],Commodities[[#This Row],[L3N]],IF(Commodities[[#This Row],[L2N]]=Commodities[[#This Row],[L1N]],Commodities[[#This Row],[L2N]],IF(Commodities[[#This Row],[L1N]]=Commodities[[#This Row],[Commodity]],Commodities[[#This Row],[L1N]],Commodities[[#This Row],[Commodity]]))))</f>
        <v>Oil</v>
      </c>
      <c r="Q43" s="24" t="str">
        <f>IF(Commodities[[#This Row],[Level 0]]=Commodities[[#This Row],[Commodity]],Commodities[[#This Row],[Commodity]],IF(Commodities[[#This Row],[Level 0]]=Commodities[[#This Row],[L1N]],Commodities[[#This Row],[Commodity]],IF(Commodities[[#This Row],[Level 0]]=Commodities[[#This Row],[L2N]],Commodities[[#This Row],[L1N]],IF(Commodities[[#This Row],[Level 0]]=Commodities[[#This Row],[L3N]],Commodities[[#This Row],[L2N]],IF(Commodities[[#This Row],[Level 0]]=Commodities[[#This Row],[L4N]],Commodities[[#This Row],[L3N]],Commodities[[#This Row],[L4N]])))))</f>
        <v>Oil products</v>
      </c>
      <c r="R43" s="24" t="str">
        <f>IF(Commodities[[#This Row],[Level 1]]=Commodities[[#This Row],[Commodity]],Commodities[[#This Row],[Commodity]],IF(Commodities[[#This Row],[Level 1]]=Commodities[[#This Row],[L1N]],Commodities[[#This Row],[Commodity]],IF(Commodities[[#This Row],[Level 1]]=Commodities[[#This Row],[L2N]],Commodities[[#This Row],[L1N]],IF(Commodities[[#This Row],[Level 1]]=Commodities[[#This Row],[L3N]],Commodities[[#This Row],[L2N]],IF(Commodities[[#This Row],[Level 1]]=Commodities[[#This Row],[L4N]],Commodities[[#This Row],[L3N]],Commodities[[#This Row],[L4N]])))))</f>
        <v>Gasolines</v>
      </c>
      <c r="S43" s="24" t="str">
        <f>IF(Commodities[[#This Row],[Level 2]]=Commodities[[#This Row],[Commodity]],Commodities[[#This Row],[Commodity]],IF(Commodities[[#This Row],[Level 2]]=Commodities[[#This Row],[L1N]],Commodities[[#This Row],[Commodity]],IF(Commodities[[#This Row],[Level 2]]=Commodities[[#This Row],[L2N]],Commodities[[#This Row],[L1N]],IF(Commodities[[#This Row],[Level 2]]=Commodities[[#This Row],[L3N]],Commodities[[#This Row],[L2N]],IF(Commodities[[#This Row],[Level 2]]=Commodities[[#This Row],[L4N]],Commodities[[#This Row],[L3N]],Commodities[[#This Row],[L4N]])))))</f>
        <v>Gasoline-type jet fuel</v>
      </c>
      <c r="T43" s="24" t="str">
        <f>IF(Commodities[[#This Row],[Level 3]]=Commodities[[#This Row],[Commodity]],Commodities[[#This Row],[Commodity]],IF(Commodities[[#This Row],[Level 3]]=Commodities[[#This Row],[L1N]],Commodities[[#This Row],[Commodity]],IF(Commodities[[#This Row],[Level 3]]=Commodities[[#This Row],[L2N]],Commodities[[#This Row],[L1N]],IF(Commodities[[#This Row],[Level 3]]=Commodities[[#This Row],[L3N]],Commodities[[#This Row],[L2N]],IF(Commodities[[#This Row],[Level 3]]=Commodities[[#This Row],[L4N]],Commodities[[#This Row],[L3N]],Commodities[[#This Row],[L4N]])))))</f>
        <v>Gasoline-type jet fuel</v>
      </c>
      <c r="U43" s="24" t="str">
        <f>IF(Commodities[[#This Row],[Level 4]]=Commodities[[#This Row],[Commodity]],Commodities[[#This Row],[Commodity]],IF(Commodities[[#This Row],[Level 4]]=Commodities[[#This Row],[L1N]],Commodities[[#This Row],[Commodity]],IF(Commodities[[#This Row],[Level 4]]=Commodities[[#This Row],[L2N]],Commodities[[#This Row],[L1N]],IF(Commodities[[#This Row],[Level 4]]=Commodities[[#This Row],[L3N]],Commodities[[#This Row],[L2N]],IF(Commodities[[#This Row],[Level 4]]=Commodities[[#This Row],[L4N]],Commodities[[#This Row],[L3N]],Commodities[[#This Row],[L4N]])))))</f>
        <v>Gasoline-type jet fuel</v>
      </c>
      <c r="Y43" s="5" t="s">
        <v>122</v>
      </c>
      <c r="Z43" s="4" t="s">
        <v>461</v>
      </c>
      <c r="AA43" s="4" t="s">
        <v>461</v>
      </c>
      <c r="AB43" s="4" t="s">
        <v>127</v>
      </c>
      <c r="AC43" s="24" t="str">
        <f>IFERROR(VLOOKUP(Transactions[[#This Row],[Parent code]],Transactions[[Transaction code]:[Transaction name]],2,0),"")</f>
        <v>Manufacturing, construction and non-fuel industry</v>
      </c>
      <c r="AD43" s="4" t="s">
        <v>630</v>
      </c>
      <c r="AE43" s="4" t="s">
        <v>914</v>
      </c>
      <c r="AF43" s="4" t="s">
        <v>642</v>
      </c>
      <c r="AG43" s="4" t="s">
        <v>1</v>
      </c>
      <c r="AH43" s="4" t="s">
        <v>696</v>
      </c>
      <c r="AK43" s="24" t="str" cm="1">
        <f t="array" ref="AK43">IFERROR(INDEX(Transactions[[Transaction code]:[Transaction name]],_xlfn.XMATCH(Transactions[[#This Row],[Parent code]],Transactions[Transaction name],0),3),Transactions[[#This Row],[Transaction name]])</f>
        <v>Mining and quarrying</v>
      </c>
      <c r="AL43" s="24" t="str" cm="1">
        <f t="array" ref="AL43">IFERROR(INDEX(Transactions[[Transaction code]:[Transaction name]],_xlfn.XMATCH(INDEX(Transactions[[Transaction name]:[Parent code]],_xlfn.XMATCH(Transactions[[#This Row],[L1N]],Transactions[Transaction name],0),3),Transactions[Transaction code],0),2),Transactions[[#This Row],[L1N]])</f>
        <v>Manufacturing, construction and non-fuel industry</v>
      </c>
      <c r="AM43" s="24" t="str" cm="1">
        <f t="array" ref="AM43">IFERROR(INDEX(Transactions[[Transaction code]:[Transaction name]],_xlfn.XMATCH(INDEX(Transactions[[Transaction name]:[Parent code]],_xlfn.XMATCH(Transactions[[#This Row],[L2N]],Transactions[Transaction name],0),3),Transactions[Transaction code],0),2),Transactions[[#This Row],[L2N]])</f>
        <v>Total Final Energy Consumption</v>
      </c>
      <c r="AN43" s="24" t="str" cm="1">
        <f t="array" ref="AN43">IFERROR(INDEX(Transactions[[Transaction code]:[Transaction name]],_xlfn.XMATCH(INDEX(Transactions[[Transaction name]:[Parent code]],_xlfn.XMATCH(Transactions[[#This Row],[L3N]],Transactions[Transaction name],0),3),Transactions[Transaction code],0),2),Transactions[[#This Row],[L3N]])</f>
        <v>Final consumption</v>
      </c>
      <c r="AO43" s="24" t="str" cm="1">
        <f t="array" ref="AO43">IFERROR(INDEX(Transactions[[Transaction code]:[Transaction name]],_xlfn.XMATCH(INDEX(Transactions[[Transaction name]:[Parent code]],_xlfn.XMATCH(Transactions[[#This Row],[L4N]],Transactions[Transaction name],0),3),Transactions[Transaction code],0),2),Transactions[[#This Row],[L4N]])</f>
        <v>Final consumption</v>
      </c>
      <c r="AP43" s="24" t="str" cm="1">
        <f t="array" ref="AP43">IFERROR(INDEX(Transactions[[Transaction code]:[Transaction name]],_xlfn.XMATCH(INDEX(Transactions[[Transaction name]:[Parent code]],_xlfn.XMATCH(Transactions[[#This Row],[L5N]],Transactions[Transaction name],0),3),Transactions[Transaction code],0),2),Transactions[[#This Row],[L5N]])</f>
        <v>Final consumption</v>
      </c>
      <c r="AQ43" s="24" t="str" cm="1">
        <f t="array" ref="AQ43">IFERROR(INDEX(Transactions[[Transaction code]:[Transaction name]],_xlfn.XMATCH(INDEX(Transactions[[Transaction name]:[Parent code]],_xlfn.XMATCH(Transactions[[#This Row],[L6N]],Transactions[Transaction name],0),3),Transactions[Transaction code],0),2),Transactions[[#This Row],[L6N]])</f>
        <v>Final consumption</v>
      </c>
      <c r="AR43" s="27" t="str">
        <f>IF(Transactions[[#This Row],[L7N]]=Transactions[[#This Row],[L6N]],Transactions[[#This Row],[L7N]],IF(Transactions[[#This Row],[L6N]]=Transactions[[#This Row],[L5N]],Transactions[[#This Row],[L6N]],IF(Transactions[[#This Row],[L5N]]=Transactions[[#This Row],[L4N]],Transactions[[#This Row],[L5N]],IF(Transactions[[#This Row],[L4N]]=Transactions[[#This Row],[L3N]],Transactions[[#This Row],[L4N]],IF(Transactions[[#This Row],[L3N]]=Transactions[[#This Row],[L2N]],Transactions[[#This Row],[L3N]],IF(Transactions[[#This Row],[L2N]]=Transactions[[#This Row],[L1N]],Transactions[[#This Row],[L2N]],IF(Transactions[[#This Row],[L1N]]=Transactions[[#This Row],[Transaction name]],Transactions[[#This Row],[L1N]],Transactions[[#This Row],[Transaction name]])))))))</f>
        <v>Final consumption</v>
      </c>
      <c r="AS43" s="24" t="str">
        <f>IF(Transactions[[#This Row],[Level 0]]=Transactions[[#This Row],[Transaction name]],Transactions[[#This Row],[Transaction name]],IF(Transactions[[#This Row],[Level 0]]=Transactions[[#This Row],[L1N]],Transactions[[#This Row],[Transaction name]],IF(Transactions[[#This Row],[Level 0]]=Transactions[[#This Row],[L2N]],Transactions[[#This Row],[L1N]],IF(Transactions[[#This Row],[Level 0]]=Transactions[[#This Row],[L3N]],Transactions[[#This Row],[L2N]],IF(Transactions[[#This Row],[Level 0]]=Transactions[[#This Row],[L4N]],Transactions[[#This Row],[L3N]],IF(Transactions[[#This Row],[Level 0]]=Transactions[[#This Row],[L5N]],Transactions[[#This Row],[L4N]],IF(Transactions[[#This Row],[Level 0]]=Transactions[[#This Row],[L6N]],Transactions[[#This Row],[L5N]],IF(Transactions[[#This Row],[Level 0]]=Transactions[[#This Row],[L7N]],Transactions[[#This Row],[L6N]],Transactions[[#This Row],[L7N]]))))))))</f>
        <v>Total Final Energy Consumption</v>
      </c>
      <c r="AT43" s="24" t="str">
        <f>IF(Transactions[[#This Row],[Level 1]]=Transactions[[#This Row],[Transaction name]],Transactions[[#This Row],[Transaction name]],IF(Transactions[[#This Row],[Level 1]]=Transactions[[#This Row],[L1N]],Transactions[[#This Row],[Transaction name]],IF(Transactions[[#This Row],[Level 1]]=Transactions[[#This Row],[L2N]],Transactions[[#This Row],[L1N]],IF(Transactions[[#This Row],[Level 1]]=Transactions[[#This Row],[L3N]],Transactions[[#This Row],[L2N]],IF(Transactions[[#This Row],[Level 1]]=Transactions[[#This Row],[L4N]],Transactions[[#This Row],[L3N]],IF(Transactions[[#This Row],[Level 1]]=Transactions[[#This Row],[L5N]],Transactions[[#This Row],[L4N]],IF(Transactions[[#This Row],[Level 1]]=Transactions[[#This Row],[L6N]],Transactions[[#This Row],[L5N]],IF(Transactions[[#This Row],[Level 1]]=Transactions[[#This Row],[L7N]],Transactions[[#This Row],[L6N]],Transactions[[#This Row],[L7N]]))))))))</f>
        <v>Manufacturing, construction and non-fuel industry</v>
      </c>
      <c r="AU43" s="24" t="str">
        <f>IF(Transactions[[#This Row],[Level 2]]=Transactions[[#This Row],[Transaction name]],Transactions[[#This Row],[Transaction name]],IF(Transactions[[#This Row],[Level 2]]=Transactions[[#This Row],[L1N]],Transactions[[#This Row],[Transaction name]],IF(Transactions[[#This Row],[Level 2]]=Transactions[[#This Row],[L2N]],Transactions[[#This Row],[L1N]],IF(Transactions[[#This Row],[Level 2]]=Transactions[[#This Row],[L3N]],Transactions[[#This Row],[L2N]],IF(Transactions[[#This Row],[Level 2]]=Transactions[[#This Row],[L4N]],Transactions[[#This Row],[L3N]],IF(Transactions[[#This Row],[Level 2]]=Transactions[[#This Row],[L5N]],Transactions[[#This Row],[L4N]],IF(Transactions[[#This Row],[Level 2]]=Transactions[[#This Row],[L6N]],Transactions[[#This Row],[L5N]],IF(Transactions[[#This Row],[Level 2]]=Transactions[[#This Row],[L7N]],Transactions[[#This Row],[L6N]],Transactions[[#This Row],[L7N]]))))))))</f>
        <v>Mining and quarrying</v>
      </c>
      <c r="AV43" s="24" t="str">
        <f>IF(Transactions[[#This Row],[Level 3]]=Transactions[[#This Row],[Transaction name]],Transactions[[#This Row],[Transaction name]],IF(Transactions[[#This Row],[Level 3]]=Transactions[[#This Row],[L1N]],Transactions[[#This Row],[Transaction name]],IF(Transactions[[#This Row],[Level 3]]=Transactions[[#This Row],[L2N]],Transactions[[#This Row],[L1N]],IF(Transactions[[#This Row],[Level 3]]=Transactions[[#This Row],[L3N]],Transactions[[#This Row],[L2N]],IF(Transactions[[#This Row],[Level 3]]=Transactions[[#This Row],[L4N]],Transactions[[#This Row],[L3N]],IF(Transactions[[#This Row],[Level 3]]=Transactions[[#This Row],[L5N]],Transactions[[#This Row],[L4N]],IF(Transactions[[#This Row],[Level 3]]=Transactions[[#This Row],[L6N]],Transactions[[#This Row],[L5N]],IF(Transactions[[#This Row],[Level 3]]=Transactions[[#This Row],[L7N]],Transactions[[#This Row],[L6N]],Transactions[[#This Row],[L7N]]))))))))</f>
        <v>Mining and quarrying</v>
      </c>
      <c r="AW43" s="24" t="str">
        <f>IF(Transactions[[#This Row],[Level 4]]=Transactions[[#This Row],[Transaction name]],Transactions[[#This Row],[Transaction name]],IF(Transactions[[#This Row],[Level 4]]=Transactions[[#This Row],[L1N]],Transactions[[#This Row],[Transaction name]],IF(Transactions[[#This Row],[Level 4]]=Transactions[[#This Row],[L2N]],Transactions[[#This Row],[L1N]],IF(Transactions[[#This Row],[Level 4]]=Transactions[[#This Row],[L3N]],Transactions[[#This Row],[L2N]],IF(Transactions[[#This Row],[Level 4]]=Transactions[[#This Row],[L4N]],Transactions[[#This Row],[L3N]],IF(Transactions[[#This Row],[Level 4]]=Transactions[[#This Row],[L5N]],Transactions[[#This Row],[L4N]],IF(Transactions[[#This Row],[Level 4]]=Transactions[[#This Row],[L6N]],Transactions[[#This Row],[L5N]],IF(Transactions[[#This Row],[Level 4]]=Transactions[[#This Row],[L7N]],Transactions[[#This Row],[L6N]],Transactions[[#This Row],[L7N]]))))))))</f>
        <v>Mining and quarrying</v>
      </c>
      <c r="AX43" s="24" t="str">
        <f>IF(Transactions[[#This Row],[Level 5]]=Transactions[[#This Row],[Transaction name]],Transactions[[#This Row],[Transaction name]],IF(Transactions[[#This Row],[Level 5]]=Transactions[[#This Row],[L1N]],Transactions[[#This Row],[Transaction name]],IF(Transactions[[#This Row],[Level 5]]=Transactions[[#This Row],[L2N]],Transactions[[#This Row],[L1N]],IF(Transactions[[#This Row],[Level 5]]=Transactions[[#This Row],[L3N]],Transactions[[#This Row],[L2N]],IF(Transactions[[#This Row],[Level 5]]=Transactions[[#This Row],[L4N]],Transactions[[#This Row],[L3N]],IF(Transactions[[#This Row],[Level 5]]=Transactions[[#This Row],[L5N]],Transactions[[#This Row],[L4N]],IF(Transactions[[#This Row],[Level 5]]=Transactions[[#This Row],[L6N]],Transactions[[#This Row],[L5N]],IF(Transactions[[#This Row],[Level 5]]=Transactions[[#This Row],[L7N]],Transactions[[#This Row],[L6N]],Transactions[[#This Row],[L7N]]))))))))</f>
        <v>Mining and quarrying</v>
      </c>
      <c r="AY43" s="24" t="str">
        <f>IF(Transactions[[#This Row],[Level 6]]=Transactions[[#This Row],[Transaction name]],Transactions[[#This Row],[Transaction name]],IF(Transactions[[#This Row],[Level 6]]=Transactions[[#This Row],[L1N]],Transactions[[#This Row],[Transaction name]],IF(Transactions[[#This Row],[Level 6]]=Transactions[[#This Row],[L2N]],Transactions[[#This Row],[L1N]],IF(Transactions[[#This Row],[Level 6]]=Transactions[[#This Row],[L3N]],Transactions[[#This Row],[L2N]],IF(Transactions[[#This Row],[Level 6]]=Transactions[[#This Row],[L4N]],Transactions[[#This Row],[L3N]],IF(Transactions[[#This Row],[Level 6]]=Transactions[[#This Row],[L5N]],Transactions[[#This Row],[L4N]],IF(Transactions[[#This Row],[Level 6]]=Transactions[[#This Row],[L6N]],Transactions[[#This Row],[L5N]],IF(Transactions[[#This Row],[Level 6]]=Transactions[[#This Row],[L7N]],Transactions[[#This Row],[L6N]],Transactions[[#This Row],[L7N]]))))))))</f>
        <v>Mining and quarrying</v>
      </c>
      <c r="BE43" s="26" t="str">
        <f>_xlfn.XLOOKUP(Transformation[[#This Row],[cfrom]],Commodities[Commodity],Commodities[Commodity code])</f>
        <v>4694</v>
      </c>
      <c r="BF43" s="26" t="str">
        <f>_xlfn.XLOOKUP(Transformation[[#This Row],[tfrom]],Transactions[Transaction name],Transactions[Transaction code])</f>
        <v>08822</v>
      </c>
      <c r="BG43" s="26" t="str">
        <f>_xlfn.XLOOKUP(Transformation[[#This Row],[cto]],Commodities[Commodity],Commodities[Commodity code])</f>
        <v>4694</v>
      </c>
      <c r="BH43" s="26" t="str">
        <f>_xlfn.XLOOKUP(Transformation[[#This Row],[tto]],Transactions[Transaction name],Transactions[Transaction code])</f>
        <v>016OPC</v>
      </c>
      <c r="BI43" s="11">
        <v>1</v>
      </c>
      <c r="BJ43" s="4" t="s">
        <v>353</v>
      </c>
      <c r="BK43" s="24" t="str">
        <f>_xlfn.XLOOKUP(Transformation[[#This Row],[Commodity from]],Commodities[Commodity code],Commodities[EnergyCode])</f>
        <v>PK</v>
      </c>
      <c r="BL43" s="4" t="s">
        <v>692</v>
      </c>
      <c r="BM43" s="4" t="s">
        <v>353</v>
      </c>
      <c r="BN43" s="24" t="str">
        <f>_xlfn.XLOOKUP(Transformation[[#This Row],[Commodity to]],Commodities[Commodity code],Commodities[EnergyCode])</f>
        <v>PK</v>
      </c>
      <c r="BO43" s="4" t="s">
        <v>1054</v>
      </c>
      <c r="BP43" s="16" t="s">
        <v>1493</v>
      </c>
      <c r="BQ43" s="33" t="str">
        <f>Transformation[[#This Row],[Commodity from]]&amp;Transformation[[#This Row],[Transaction from]]&amp;Transformation[[#This Row],[Commodity to]]&amp;Transformation[[#This Row],[Transaction to]]</f>
        <v>4694088224694016OPC</v>
      </c>
      <c r="BR43" s="26" t="str">
        <f>Transformation[[#This Row],[crfomid]]&amp;Transformation[[#This Row],[Transaction from]]&amp;"("&amp;Transformation[[#This Row],[Multiplier]]&amp;") -&gt; "&amp;Transformation[[#This Row],[ctoid]]&amp;Transformation[[#This Row],[Transaction to]]</f>
        <v>PK08822(1) -&gt; PK016OPC</v>
      </c>
      <c r="BT43" s="26" t="str">
        <f>_xlfn.XLOOKUP(Signswitch[[#This Row],[Commodity name]],Commodities[Commodity],Commodities[Commodity code])</f>
        <v>5212</v>
      </c>
      <c r="BU43" s="26" t="str">
        <f>_xlfn.XLOOKUP(Signswitch[[#This Row],[Transaction name]],Transactions[Transaction name],Transactions[Transaction code])</f>
        <v>1214E</v>
      </c>
      <c r="BV43" s="26" t="str">
        <f>Signswitch[[#This Row],[Commodity from]]&amp;Signswitch[[#This Row],[Transaction from]]</f>
        <v>52121214E</v>
      </c>
      <c r="BW43" s="22" t="s">
        <v>317</v>
      </c>
      <c r="BX43" s="26" t="str">
        <f>_xlfn.XLOOKUP(Signswitch[[#This Row],[Commodity from]],Commodities[Commodity code],Commodities[EnergyCode])</f>
        <v>ZG</v>
      </c>
      <c r="BY43" s="22" t="s">
        <v>461</v>
      </c>
    </row>
    <row r="44" spans="8:77" x14ac:dyDescent="0.45">
      <c r="H44" s="5" t="s">
        <v>498</v>
      </c>
      <c r="I44" s="4" t="s">
        <v>497</v>
      </c>
      <c r="J44" s="9" t="s">
        <v>496</v>
      </c>
      <c r="K44" s="9" t="s">
        <v>1429</v>
      </c>
      <c r="L44" s="23" t="str">
        <f>IFERROR(INDEX(Commodities[[Commodity code]:[Commodity]],MATCH(Commodities[[#This Row],[Parent code]],Commodities[Commodity code],0),2),Commodities[[#This Row],[Commodity]])</f>
        <v>Coal coke</v>
      </c>
      <c r="M44" s="24" t="str">
        <f>IFERROR(INDEX(Commodities[[Commodity code]:[Commodity]],MATCH(INDEX(Commodities[[Commodity]:[Parent code]],MATCH(Commodities[[#This Row],[L1N]],Commodities[Commodity],0),2),Commodities[Commodity code],0),2),Commodities[[#This Row],[L1N]])</f>
        <v>Coal products</v>
      </c>
      <c r="N44" s="24" t="str">
        <f>IFERROR(INDEX(Commodities[[Commodity code]:[Commodity]],MATCH(INDEX(Commodities[[Commodity]:[Parent code]],MATCH(Commodities[[#This Row],[L2N]],Commodities[Commodity],0),2),Commodities[Commodity code],0),2),Commodities[[#This Row],[L2N]])</f>
        <v>Coal</v>
      </c>
      <c r="O44" s="24" t="str">
        <f>IFERROR(INDEX(Commodities[[Commodity code]:[Commodity]],MATCH(INDEX(Commodities[[Commodity]:[Parent code]],MATCH(Commodities[[#This Row],[L3N]],Commodities[Commodity],0),2),Commodities[Commodity code],0),2),Commodities[[#This Row],[L3N]])</f>
        <v>Coal</v>
      </c>
      <c r="P44" s="24" t="str">
        <f>IF(Commodities[[#This Row],[L4N]]=Commodities[[#This Row],[L3N]],Commodities[[#This Row],[L4N]],IF(Commodities[[#This Row],[L3N]]=Commodities[[#This Row],[L2N]],Commodities[[#This Row],[L3N]],IF(Commodities[[#This Row],[L2N]]=Commodities[[#This Row],[L1N]],Commodities[[#This Row],[L2N]],IF(Commodities[[#This Row],[L1N]]=Commodities[[#This Row],[Commodity]],Commodities[[#This Row],[L1N]],Commodities[[#This Row],[Commodity]]))))</f>
        <v>Coal</v>
      </c>
      <c r="Q44" s="24" t="str">
        <f>IF(Commodities[[#This Row],[Level 0]]=Commodities[[#This Row],[Commodity]],Commodities[[#This Row],[Commodity]],IF(Commodities[[#This Row],[Level 0]]=Commodities[[#This Row],[L1N]],Commodities[[#This Row],[Commodity]],IF(Commodities[[#This Row],[Level 0]]=Commodities[[#This Row],[L2N]],Commodities[[#This Row],[L1N]],IF(Commodities[[#This Row],[Level 0]]=Commodities[[#This Row],[L3N]],Commodities[[#This Row],[L2N]],IF(Commodities[[#This Row],[Level 0]]=Commodities[[#This Row],[L4N]],Commodities[[#This Row],[L3N]],Commodities[[#This Row],[L4N]])))))</f>
        <v>Coal products</v>
      </c>
      <c r="R44" s="24" t="str">
        <f>IF(Commodities[[#This Row],[Level 1]]=Commodities[[#This Row],[Commodity]],Commodities[[#This Row],[Commodity]],IF(Commodities[[#This Row],[Level 1]]=Commodities[[#This Row],[L1N]],Commodities[[#This Row],[Commodity]],IF(Commodities[[#This Row],[Level 1]]=Commodities[[#This Row],[L2N]],Commodities[[#This Row],[L1N]],IF(Commodities[[#This Row],[Level 1]]=Commodities[[#This Row],[L3N]],Commodities[[#This Row],[L2N]],IF(Commodities[[#This Row],[Level 1]]=Commodities[[#This Row],[L4N]],Commodities[[#This Row],[L3N]],Commodities[[#This Row],[L4N]])))))</f>
        <v>Coal coke</v>
      </c>
      <c r="S44" s="24" t="str">
        <f>IF(Commodities[[#This Row],[Level 2]]=Commodities[[#This Row],[Commodity]],Commodities[[#This Row],[Commodity]],IF(Commodities[[#This Row],[Level 2]]=Commodities[[#This Row],[L1N]],Commodities[[#This Row],[Commodity]],IF(Commodities[[#This Row],[Level 2]]=Commodities[[#This Row],[L2N]],Commodities[[#This Row],[L1N]],IF(Commodities[[#This Row],[Level 2]]=Commodities[[#This Row],[L3N]],Commodities[[#This Row],[L2N]],IF(Commodities[[#This Row],[Level 2]]=Commodities[[#This Row],[L4N]],Commodities[[#This Row],[L3N]],Commodities[[#This Row],[L4N]])))))</f>
        <v>Gas coke</v>
      </c>
      <c r="T44" s="24" t="str">
        <f>IF(Commodities[[#This Row],[Level 3]]=Commodities[[#This Row],[Commodity]],Commodities[[#This Row],[Commodity]],IF(Commodities[[#This Row],[Level 3]]=Commodities[[#This Row],[L1N]],Commodities[[#This Row],[Commodity]],IF(Commodities[[#This Row],[Level 3]]=Commodities[[#This Row],[L2N]],Commodities[[#This Row],[L1N]],IF(Commodities[[#This Row],[Level 3]]=Commodities[[#This Row],[L3N]],Commodities[[#This Row],[L2N]],IF(Commodities[[#This Row],[Level 3]]=Commodities[[#This Row],[L4N]],Commodities[[#This Row],[L3N]],Commodities[[#This Row],[L4N]])))))</f>
        <v>Gas coke</v>
      </c>
      <c r="U44" s="24" t="str">
        <f>IF(Commodities[[#This Row],[Level 4]]=Commodities[[#This Row],[Commodity]],Commodities[[#This Row],[Commodity]],IF(Commodities[[#This Row],[Level 4]]=Commodities[[#This Row],[L1N]],Commodities[[#This Row],[Commodity]],IF(Commodities[[#This Row],[Level 4]]=Commodities[[#This Row],[L2N]],Commodities[[#This Row],[L1N]],IF(Commodities[[#This Row],[Level 4]]=Commodities[[#This Row],[L3N]],Commodities[[#This Row],[L2N]],IF(Commodities[[#This Row],[Level 4]]=Commodities[[#This Row],[L4N]],Commodities[[#This Row],[L3N]],Commodities[[#This Row],[L4N]])))))</f>
        <v>Gas coke</v>
      </c>
      <c r="Y44" s="5" t="s">
        <v>126</v>
      </c>
      <c r="Z44" s="4" t="s">
        <v>478</v>
      </c>
      <c r="AA44" s="4" t="s">
        <v>478</v>
      </c>
      <c r="AB44" s="4" t="s">
        <v>127</v>
      </c>
      <c r="AC44" s="24" t="str">
        <f>IFERROR(VLOOKUP(Transactions[[#This Row],[Parent code]],Transactions[[Transaction code]:[Transaction name]],2,0),"")</f>
        <v>Manufacturing, construction and non-fuel industry</v>
      </c>
      <c r="AD44" s="4" t="s">
        <v>630</v>
      </c>
      <c r="AE44" s="4" t="s">
        <v>914</v>
      </c>
      <c r="AF44" s="4" t="s">
        <v>642</v>
      </c>
      <c r="AG44" s="4" t="s">
        <v>1</v>
      </c>
      <c r="AH44" s="4" t="s">
        <v>696</v>
      </c>
      <c r="AK44" s="24" t="str" cm="1">
        <f t="array" ref="AK44">IFERROR(INDEX(Transactions[[Transaction code]:[Transaction name]],_xlfn.XMATCH(Transactions[[#This Row],[Parent code]],Transactions[Transaction name],0),3),Transactions[[#This Row],[Transaction name]])</f>
        <v>Non-ferrous metals</v>
      </c>
      <c r="AL44" s="24" t="str" cm="1">
        <f t="array" ref="AL44">IFERROR(INDEX(Transactions[[Transaction code]:[Transaction name]],_xlfn.XMATCH(INDEX(Transactions[[Transaction name]:[Parent code]],_xlfn.XMATCH(Transactions[[#This Row],[L1N]],Transactions[Transaction name],0),3),Transactions[Transaction code],0),2),Transactions[[#This Row],[L1N]])</f>
        <v>Manufacturing, construction and non-fuel industry</v>
      </c>
      <c r="AM44" s="24" t="str" cm="1">
        <f t="array" ref="AM44">IFERROR(INDEX(Transactions[[Transaction code]:[Transaction name]],_xlfn.XMATCH(INDEX(Transactions[[Transaction name]:[Parent code]],_xlfn.XMATCH(Transactions[[#This Row],[L2N]],Transactions[Transaction name],0),3),Transactions[Transaction code],0),2),Transactions[[#This Row],[L2N]])</f>
        <v>Total Final Energy Consumption</v>
      </c>
      <c r="AN44" s="24" t="str" cm="1">
        <f t="array" ref="AN44">IFERROR(INDEX(Transactions[[Transaction code]:[Transaction name]],_xlfn.XMATCH(INDEX(Transactions[[Transaction name]:[Parent code]],_xlfn.XMATCH(Transactions[[#This Row],[L3N]],Transactions[Transaction name],0),3),Transactions[Transaction code],0),2),Transactions[[#This Row],[L3N]])</f>
        <v>Final consumption</v>
      </c>
      <c r="AO44" s="24" t="str" cm="1">
        <f t="array" ref="AO44">IFERROR(INDEX(Transactions[[Transaction code]:[Transaction name]],_xlfn.XMATCH(INDEX(Transactions[[Transaction name]:[Parent code]],_xlfn.XMATCH(Transactions[[#This Row],[L4N]],Transactions[Transaction name],0),3),Transactions[Transaction code],0),2),Transactions[[#This Row],[L4N]])</f>
        <v>Final consumption</v>
      </c>
      <c r="AP44" s="24" t="str" cm="1">
        <f t="array" ref="AP44">IFERROR(INDEX(Transactions[[Transaction code]:[Transaction name]],_xlfn.XMATCH(INDEX(Transactions[[Transaction name]:[Parent code]],_xlfn.XMATCH(Transactions[[#This Row],[L5N]],Transactions[Transaction name],0),3),Transactions[Transaction code],0),2),Transactions[[#This Row],[L5N]])</f>
        <v>Final consumption</v>
      </c>
      <c r="AQ44" s="24" t="str" cm="1">
        <f t="array" ref="AQ44">IFERROR(INDEX(Transactions[[Transaction code]:[Transaction name]],_xlfn.XMATCH(INDEX(Transactions[[Transaction name]:[Parent code]],_xlfn.XMATCH(Transactions[[#This Row],[L6N]],Transactions[Transaction name],0),3),Transactions[Transaction code],0),2),Transactions[[#This Row],[L6N]])</f>
        <v>Final consumption</v>
      </c>
      <c r="AR44" s="27" t="str">
        <f>IF(Transactions[[#This Row],[L7N]]=Transactions[[#This Row],[L6N]],Transactions[[#This Row],[L7N]],IF(Transactions[[#This Row],[L6N]]=Transactions[[#This Row],[L5N]],Transactions[[#This Row],[L6N]],IF(Transactions[[#This Row],[L5N]]=Transactions[[#This Row],[L4N]],Transactions[[#This Row],[L5N]],IF(Transactions[[#This Row],[L4N]]=Transactions[[#This Row],[L3N]],Transactions[[#This Row],[L4N]],IF(Transactions[[#This Row],[L3N]]=Transactions[[#This Row],[L2N]],Transactions[[#This Row],[L3N]],IF(Transactions[[#This Row],[L2N]]=Transactions[[#This Row],[L1N]],Transactions[[#This Row],[L2N]],IF(Transactions[[#This Row],[L1N]]=Transactions[[#This Row],[Transaction name]],Transactions[[#This Row],[L1N]],Transactions[[#This Row],[Transaction name]])))))))</f>
        <v>Final consumption</v>
      </c>
      <c r="AS44" s="24" t="str">
        <f>IF(Transactions[[#This Row],[Level 0]]=Transactions[[#This Row],[Transaction name]],Transactions[[#This Row],[Transaction name]],IF(Transactions[[#This Row],[Level 0]]=Transactions[[#This Row],[L1N]],Transactions[[#This Row],[Transaction name]],IF(Transactions[[#This Row],[Level 0]]=Transactions[[#This Row],[L2N]],Transactions[[#This Row],[L1N]],IF(Transactions[[#This Row],[Level 0]]=Transactions[[#This Row],[L3N]],Transactions[[#This Row],[L2N]],IF(Transactions[[#This Row],[Level 0]]=Transactions[[#This Row],[L4N]],Transactions[[#This Row],[L3N]],IF(Transactions[[#This Row],[Level 0]]=Transactions[[#This Row],[L5N]],Transactions[[#This Row],[L4N]],IF(Transactions[[#This Row],[Level 0]]=Transactions[[#This Row],[L6N]],Transactions[[#This Row],[L5N]],IF(Transactions[[#This Row],[Level 0]]=Transactions[[#This Row],[L7N]],Transactions[[#This Row],[L6N]],Transactions[[#This Row],[L7N]]))))))))</f>
        <v>Total Final Energy Consumption</v>
      </c>
      <c r="AT44" s="24" t="str">
        <f>IF(Transactions[[#This Row],[Level 1]]=Transactions[[#This Row],[Transaction name]],Transactions[[#This Row],[Transaction name]],IF(Transactions[[#This Row],[Level 1]]=Transactions[[#This Row],[L1N]],Transactions[[#This Row],[Transaction name]],IF(Transactions[[#This Row],[Level 1]]=Transactions[[#This Row],[L2N]],Transactions[[#This Row],[L1N]],IF(Transactions[[#This Row],[Level 1]]=Transactions[[#This Row],[L3N]],Transactions[[#This Row],[L2N]],IF(Transactions[[#This Row],[Level 1]]=Transactions[[#This Row],[L4N]],Transactions[[#This Row],[L3N]],IF(Transactions[[#This Row],[Level 1]]=Transactions[[#This Row],[L5N]],Transactions[[#This Row],[L4N]],IF(Transactions[[#This Row],[Level 1]]=Transactions[[#This Row],[L6N]],Transactions[[#This Row],[L5N]],IF(Transactions[[#This Row],[Level 1]]=Transactions[[#This Row],[L7N]],Transactions[[#This Row],[L6N]],Transactions[[#This Row],[L7N]]))))))))</f>
        <v>Manufacturing, construction and non-fuel industry</v>
      </c>
      <c r="AU44" s="24" t="str">
        <f>IF(Transactions[[#This Row],[Level 2]]=Transactions[[#This Row],[Transaction name]],Transactions[[#This Row],[Transaction name]],IF(Transactions[[#This Row],[Level 2]]=Transactions[[#This Row],[L1N]],Transactions[[#This Row],[Transaction name]],IF(Transactions[[#This Row],[Level 2]]=Transactions[[#This Row],[L2N]],Transactions[[#This Row],[L1N]],IF(Transactions[[#This Row],[Level 2]]=Transactions[[#This Row],[L3N]],Transactions[[#This Row],[L2N]],IF(Transactions[[#This Row],[Level 2]]=Transactions[[#This Row],[L4N]],Transactions[[#This Row],[L3N]],IF(Transactions[[#This Row],[Level 2]]=Transactions[[#This Row],[L5N]],Transactions[[#This Row],[L4N]],IF(Transactions[[#This Row],[Level 2]]=Transactions[[#This Row],[L6N]],Transactions[[#This Row],[L5N]],IF(Transactions[[#This Row],[Level 2]]=Transactions[[#This Row],[L7N]],Transactions[[#This Row],[L6N]],Transactions[[#This Row],[L7N]]))))))))</f>
        <v>Non-ferrous metals</v>
      </c>
      <c r="AV44" s="24" t="str">
        <f>IF(Transactions[[#This Row],[Level 3]]=Transactions[[#This Row],[Transaction name]],Transactions[[#This Row],[Transaction name]],IF(Transactions[[#This Row],[Level 3]]=Transactions[[#This Row],[L1N]],Transactions[[#This Row],[Transaction name]],IF(Transactions[[#This Row],[Level 3]]=Transactions[[#This Row],[L2N]],Transactions[[#This Row],[L1N]],IF(Transactions[[#This Row],[Level 3]]=Transactions[[#This Row],[L3N]],Transactions[[#This Row],[L2N]],IF(Transactions[[#This Row],[Level 3]]=Transactions[[#This Row],[L4N]],Transactions[[#This Row],[L3N]],IF(Transactions[[#This Row],[Level 3]]=Transactions[[#This Row],[L5N]],Transactions[[#This Row],[L4N]],IF(Transactions[[#This Row],[Level 3]]=Transactions[[#This Row],[L6N]],Transactions[[#This Row],[L5N]],IF(Transactions[[#This Row],[Level 3]]=Transactions[[#This Row],[L7N]],Transactions[[#This Row],[L6N]],Transactions[[#This Row],[L7N]]))))))))</f>
        <v>Non-ferrous metals</v>
      </c>
      <c r="AW44" s="24" t="str">
        <f>IF(Transactions[[#This Row],[Level 4]]=Transactions[[#This Row],[Transaction name]],Transactions[[#This Row],[Transaction name]],IF(Transactions[[#This Row],[Level 4]]=Transactions[[#This Row],[L1N]],Transactions[[#This Row],[Transaction name]],IF(Transactions[[#This Row],[Level 4]]=Transactions[[#This Row],[L2N]],Transactions[[#This Row],[L1N]],IF(Transactions[[#This Row],[Level 4]]=Transactions[[#This Row],[L3N]],Transactions[[#This Row],[L2N]],IF(Transactions[[#This Row],[Level 4]]=Transactions[[#This Row],[L4N]],Transactions[[#This Row],[L3N]],IF(Transactions[[#This Row],[Level 4]]=Transactions[[#This Row],[L5N]],Transactions[[#This Row],[L4N]],IF(Transactions[[#This Row],[Level 4]]=Transactions[[#This Row],[L6N]],Transactions[[#This Row],[L5N]],IF(Transactions[[#This Row],[Level 4]]=Transactions[[#This Row],[L7N]],Transactions[[#This Row],[L6N]],Transactions[[#This Row],[L7N]]))))))))</f>
        <v>Non-ferrous metals</v>
      </c>
      <c r="AX44" s="24" t="str">
        <f>IF(Transactions[[#This Row],[Level 5]]=Transactions[[#This Row],[Transaction name]],Transactions[[#This Row],[Transaction name]],IF(Transactions[[#This Row],[Level 5]]=Transactions[[#This Row],[L1N]],Transactions[[#This Row],[Transaction name]],IF(Transactions[[#This Row],[Level 5]]=Transactions[[#This Row],[L2N]],Transactions[[#This Row],[L1N]],IF(Transactions[[#This Row],[Level 5]]=Transactions[[#This Row],[L3N]],Transactions[[#This Row],[L2N]],IF(Transactions[[#This Row],[Level 5]]=Transactions[[#This Row],[L4N]],Transactions[[#This Row],[L3N]],IF(Transactions[[#This Row],[Level 5]]=Transactions[[#This Row],[L5N]],Transactions[[#This Row],[L4N]],IF(Transactions[[#This Row],[Level 5]]=Transactions[[#This Row],[L6N]],Transactions[[#This Row],[L5N]],IF(Transactions[[#This Row],[Level 5]]=Transactions[[#This Row],[L7N]],Transactions[[#This Row],[L6N]],Transactions[[#This Row],[L7N]]))))))))</f>
        <v>Non-ferrous metals</v>
      </c>
      <c r="AY44" s="24" t="str">
        <f>IF(Transactions[[#This Row],[Level 6]]=Transactions[[#This Row],[Transaction name]],Transactions[[#This Row],[Transaction name]],IF(Transactions[[#This Row],[Level 6]]=Transactions[[#This Row],[L1N]],Transactions[[#This Row],[Transaction name]],IF(Transactions[[#This Row],[Level 6]]=Transactions[[#This Row],[L2N]],Transactions[[#This Row],[L1N]],IF(Transactions[[#This Row],[Level 6]]=Transactions[[#This Row],[L3N]],Transactions[[#This Row],[L2N]],IF(Transactions[[#This Row],[Level 6]]=Transactions[[#This Row],[L4N]],Transactions[[#This Row],[L3N]],IF(Transactions[[#This Row],[Level 6]]=Transactions[[#This Row],[L5N]],Transactions[[#This Row],[L4N]],IF(Transactions[[#This Row],[Level 6]]=Transactions[[#This Row],[L6N]],Transactions[[#This Row],[L5N]],IF(Transactions[[#This Row],[Level 6]]=Transactions[[#This Row],[L7N]],Transactions[[#This Row],[L6N]],Transactions[[#This Row],[L7N]]))))))))</f>
        <v>Non-ferrous metals</v>
      </c>
      <c r="BE44" s="26" t="str">
        <f>_xlfn.XLOOKUP(Transformation[[#This Row],[cfrom]],Commodities[Commodity],Commodities[Commodity code])</f>
        <v>4699</v>
      </c>
      <c r="BF44" s="26" t="str">
        <f>_xlfn.XLOOKUP(Transformation[[#This Row],[tfrom]],Transactions[Transaction name],Transactions[Transaction code])</f>
        <v>08822</v>
      </c>
      <c r="BG44" s="26" t="str">
        <f>_xlfn.XLOOKUP(Transformation[[#This Row],[cto]],Commodities[Commodity],Commodities[Commodity code])</f>
        <v>4699</v>
      </c>
      <c r="BH44" s="26" t="str">
        <f>_xlfn.XLOOKUP(Transformation[[#This Row],[tto]],Transactions[Transaction name],Transactions[Transaction code])</f>
        <v>016OPC</v>
      </c>
      <c r="BI44" s="11">
        <v>1</v>
      </c>
      <c r="BJ44" s="4" t="s">
        <v>348</v>
      </c>
      <c r="BK44" s="24" t="str">
        <f>_xlfn.XLOOKUP(Transformation[[#This Row],[Commodity from]],Commodities[Commodity code],Commodities[EnergyCode])</f>
        <v>PP</v>
      </c>
      <c r="BL44" s="4" t="s">
        <v>692</v>
      </c>
      <c r="BM44" s="4" t="s">
        <v>348</v>
      </c>
      <c r="BN44" s="24" t="str">
        <f>_xlfn.XLOOKUP(Transformation[[#This Row],[Commodity to]],Commodities[Commodity code],Commodities[EnergyCode])</f>
        <v>PP</v>
      </c>
      <c r="BO44" s="4" t="s">
        <v>1054</v>
      </c>
      <c r="BP44" s="16" t="s">
        <v>1493</v>
      </c>
      <c r="BQ44" s="33" t="str">
        <f>Transformation[[#This Row],[Commodity from]]&amp;Transformation[[#This Row],[Transaction from]]&amp;Transformation[[#This Row],[Commodity to]]&amp;Transformation[[#This Row],[Transaction to]]</f>
        <v>4699088224699016OPC</v>
      </c>
      <c r="BR44" s="26" t="str">
        <f>Transformation[[#This Row],[crfomid]]&amp;Transformation[[#This Row],[Transaction from]]&amp;"("&amp;Transformation[[#This Row],[Multiplier]]&amp;") -&gt; "&amp;Transformation[[#This Row],[ctoid]]&amp;Transformation[[#This Row],[Transaction to]]</f>
        <v>PP08822(1) -&gt; PP016OPC</v>
      </c>
      <c r="BT44" s="26" t="str">
        <f>_xlfn.XLOOKUP(Signswitch[[#This Row],[Commodity name]],Commodities[Commodity],Commodities[Commodity code])</f>
        <v>5232</v>
      </c>
      <c r="BU44" s="26" t="str">
        <f>_xlfn.XLOOKUP(Signswitch[[#This Row],[Transaction name]],Transactions[Transaction name],Transactions[Transaction code])</f>
        <v>1214F</v>
      </c>
      <c r="BV44" s="26" t="str">
        <f>Signswitch[[#This Row],[Commodity from]]&amp;Signswitch[[#This Row],[Transaction from]]</f>
        <v>52321214F</v>
      </c>
      <c r="BW44" s="22" t="s">
        <v>306</v>
      </c>
      <c r="BX44" s="26" t="str">
        <f>_xlfn.XLOOKUP(Signswitch[[#This Row],[Commodity from]],Commodities[Commodity code],Commodities[EnergyCode])</f>
        <v>ZJ</v>
      </c>
      <c r="BY44" s="22" t="s">
        <v>457</v>
      </c>
    </row>
    <row r="45" spans="8:77" x14ac:dyDescent="0.45">
      <c r="H45" s="5" t="s">
        <v>436</v>
      </c>
      <c r="I45" s="4" t="s">
        <v>435</v>
      </c>
      <c r="J45" s="9" t="s">
        <v>420</v>
      </c>
      <c r="K45" s="14" t="s">
        <v>1481</v>
      </c>
      <c r="L45" s="23" t="str">
        <f>IFERROR(INDEX(Commodities[[Commodity code]:[Commodity]],MATCH(Commodities[[#This Row],[Parent code]],Commodities[Commodity code],0),2),Commodities[[#This Row],[Commodity]])</f>
        <v>Oil</v>
      </c>
      <c r="M45" s="24" t="str">
        <f>IFERROR(INDEX(Commodities[[Commodity code]:[Commodity]],MATCH(INDEX(Commodities[[Commodity]:[Parent code]],MATCH(Commodities[[#This Row],[L1N]],Commodities[Commodity],0),2),Commodities[Commodity code],0),2),Commodities[[#This Row],[L1N]])</f>
        <v>Oil</v>
      </c>
      <c r="N45" s="24" t="str">
        <f>IFERROR(INDEX(Commodities[[Commodity code]:[Commodity]],MATCH(INDEX(Commodities[[Commodity]:[Parent code]],MATCH(Commodities[[#This Row],[L2N]],Commodities[Commodity],0),2),Commodities[Commodity code],0),2),Commodities[[#This Row],[L2N]])</f>
        <v>Oil</v>
      </c>
      <c r="O45" s="24" t="str">
        <f>IFERROR(INDEX(Commodities[[Commodity code]:[Commodity]],MATCH(INDEX(Commodities[[Commodity]:[Parent code]],MATCH(Commodities[[#This Row],[L3N]],Commodities[Commodity],0),2),Commodities[Commodity code],0),2),Commodities[[#This Row],[L3N]])</f>
        <v>Oil</v>
      </c>
      <c r="P45" s="24" t="str">
        <f>IF(Commodities[[#This Row],[L4N]]=Commodities[[#This Row],[L3N]],Commodities[[#This Row],[L4N]],IF(Commodities[[#This Row],[L3N]]=Commodities[[#This Row],[L2N]],Commodities[[#This Row],[L3N]],IF(Commodities[[#This Row],[L2N]]=Commodities[[#This Row],[L1N]],Commodities[[#This Row],[L2N]],IF(Commodities[[#This Row],[L1N]]=Commodities[[#This Row],[Commodity]],Commodities[[#This Row],[L1N]],Commodities[[#This Row],[Commodity]]))))</f>
        <v>Oil</v>
      </c>
      <c r="Q45" s="24" t="str">
        <f>IF(Commodities[[#This Row],[Level 0]]=Commodities[[#This Row],[Commodity]],Commodities[[#This Row],[Commodity]],IF(Commodities[[#This Row],[Level 0]]=Commodities[[#This Row],[L1N]],Commodities[[#This Row],[Commodity]],IF(Commodities[[#This Row],[Level 0]]=Commodities[[#This Row],[L2N]],Commodities[[#This Row],[L1N]],IF(Commodities[[#This Row],[Level 0]]=Commodities[[#This Row],[L3N]],Commodities[[#This Row],[L2N]],IF(Commodities[[#This Row],[Level 0]]=Commodities[[#This Row],[L4N]],Commodities[[#This Row],[L3N]],Commodities[[#This Row],[L4N]])))))</f>
        <v>Natural gas liquids (NGL)</v>
      </c>
      <c r="R45" s="24" t="str">
        <f>IF(Commodities[[#This Row],[Level 1]]=Commodities[[#This Row],[Commodity]],Commodities[[#This Row],[Commodity]],IF(Commodities[[#This Row],[Level 1]]=Commodities[[#This Row],[L1N]],Commodities[[#This Row],[Commodity]],IF(Commodities[[#This Row],[Level 1]]=Commodities[[#This Row],[L2N]],Commodities[[#This Row],[L1N]],IF(Commodities[[#This Row],[Level 1]]=Commodities[[#This Row],[L3N]],Commodities[[#This Row],[L2N]],IF(Commodities[[#This Row],[Level 1]]=Commodities[[#This Row],[L4N]],Commodities[[#This Row],[L3N]],Commodities[[#This Row],[L4N]])))))</f>
        <v>Natural gas liquids (NGL)</v>
      </c>
      <c r="S45" s="24" t="str">
        <f>IF(Commodities[[#This Row],[Level 2]]=Commodities[[#This Row],[Commodity]],Commodities[[#This Row],[Commodity]],IF(Commodities[[#This Row],[Level 2]]=Commodities[[#This Row],[L1N]],Commodities[[#This Row],[Commodity]],IF(Commodities[[#This Row],[Level 2]]=Commodities[[#This Row],[L2N]],Commodities[[#This Row],[L1N]],IF(Commodities[[#This Row],[Level 2]]=Commodities[[#This Row],[L3N]],Commodities[[#This Row],[L2N]],IF(Commodities[[#This Row],[Level 2]]=Commodities[[#This Row],[L4N]],Commodities[[#This Row],[L3N]],Commodities[[#This Row],[L4N]])))))</f>
        <v>Natural gas liquids (NGL)</v>
      </c>
      <c r="T45" s="24" t="str">
        <f>IF(Commodities[[#This Row],[Level 3]]=Commodities[[#This Row],[Commodity]],Commodities[[#This Row],[Commodity]],IF(Commodities[[#This Row],[Level 3]]=Commodities[[#This Row],[L1N]],Commodities[[#This Row],[Commodity]],IF(Commodities[[#This Row],[Level 3]]=Commodities[[#This Row],[L2N]],Commodities[[#This Row],[L1N]],IF(Commodities[[#This Row],[Level 3]]=Commodities[[#This Row],[L3N]],Commodities[[#This Row],[L2N]],IF(Commodities[[#This Row],[Level 3]]=Commodities[[#This Row],[L4N]],Commodities[[#This Row],[L3N]],Commodities[[#This Row],[L4N]])))))</f>
        <v>Natural gas liquids (NGL)</v>
      </c>
      <c r="U45" s="24" t="str">
        <f>IF(Commodities[[#This Row],[Level 4]]=Commodities[[#This Row],[Commodity]],Commodities[[#This Row],[Commodity]],IF(Commodities[[#This Row],[Level 4]]=Commodities[[#This Row],[L1N]],Commodities[[#This Row],[Commodity]],IF(Commodities[[#This Row],[Level 4]]=Commodities[[#This Row],[L2N]],Commodities[[#This Row],[L1N]],IF(Commodities[[#This Row],[Level 4]]=Commodities[[#This Row],[L3N]],Commodities[[#This Row],[L2N]],IF(Commodities[[#This Row],[Level 4]]=Commodities[[#This Row],[L4N]],Commodities[[#This Row],[L3N]],Commodities[[#This Row],[L4N]])))))</f>
        <v>Natural gas liquids (NGL)</v>
      </c>
      <c r="Y45" s="5" t="s">
        <v>125</v>
      </c>
      <c r="Z45" s="4" t="s">
        <v>474</v>
      </c>
      <c r="AA45" s="4" t="s">
        <v>474</v>
      </c>
      <c r="AB45" s="4" t="s">
        <v>127</v>
      </c>
      <c r="AC45" s="24" t="str">
        <f>IFERROR(VLOOKUP(Transactions[[#This Row],[Parent code]],Transactions[[Transaction code]:[Transaction name]],2,0),"")</f>
        <v>Manufacturing, construction and non-fuel industry</v>
      </c>
      <c r="AD45" s="4" t="s">
        <v>630</v>
      </c>
      <c r="AE45" s="4" t="s">
        <v>911</v>
      </c>
      <c r="AF45" s="4" t="s">
        <v>642</v>
      </c>
      <c r="AG45" s="4" t="s">
        <v>1</v>
      </c>
      <c r="AH45" s="4" t="s">
        <v>696</v>
      </c>
      <c r="AK45" s="24" t="str" cm="1">
        <f t="array" ref="AK45">IFERROR(INDEX(Transactions[[Transaction code]:[Transaction name]],_xlfn.XMATCH(Transactions[[#This Row],[Parent code]],Transactions[Transaction name],0),3),Transactions[[#This Row],[Transaction name]])</f>
        <v>Non-metallic minerals</v>
      </c>
      <c r="AL45" s="24" t="str" cm="1">
        <f t="array" ref="AL45">IFERROR(INDEX(Transactions[[Transaction code]:[Transaction name]],_xlfn.XMATCH(INDEX(Transactions[[Transaction name]:[Parent code]],_xlfn.XMATCH(Transactions[[#This Row],[L1N]],Transactions[Transaction name],0),3),Transactions[Transaction code],0),2),Transactions[[#This Row],[L1N]])</f>
        <v>Manufacturing, construction and non-fuel industry</v>
      </c>
      <c r="AM45" s="24" t="str" cm="1">
        <f t="array" ref="AM45">IFERROR(INDEX(Transactions[[Transaction code]:[Transaction name]],_xlfn.XMATCH(INDEX(Transactions[[Transaction name]:[Parent code]],_xlfn.XMATCH(Transactions[[#This Row],[L2N]],Transactions[Transaction name],0),3),Transactions[Transaction code],0),2),Transactions[[#This Row],[L2N]])</f>
        <v>Total Final Energy Consumption</v>
      </c>
      <c r="AN45" s="24" t="str" cm="1">
        <f t="array" ref="AN45">IFERROR(INDEX(Transactions[[Transaction code]:[Transaction name]],_xlfn.XMATCH(INDEX(Transactions[[Transaction name]:[Parent code]],_xlfn.XMATCH(Transactions[[#This Row],[L3N]],Transactions[Transaction name],0),3),Transactions[Transaction code],0),2),Transactions[[#This Row],[L3N]])</f>
        <v>Final consumption</v>
      </c>
      <c r="AO45" s="24" t="str" cm="1">
        <f t="array" ref="AO45">IFERROR(INDEX(Transactions[[Transaction code]:[Transaction name]],_xlfn.XMATCH(INDEX(Transactions[[Transaction name]:[Parent code]],_xlfn.XMATCH(Transactions[[#This Row],[L4N]],Transactions[Transaction name],0),3),Transactions[Transaction code],0),2),Transactions[[#This Row],[L4N]])</f>
        <v>Final consumption</v>
      </c>
      <c r="AP45" s="24" t="str" cm="1">
        <f t="array" ref="AP45">IFERROR(INDEX(Transactions[[Transaction code]:[Transaction name]],_xlfn.XMATCH(INDEX(Transactions[[Transaction name]:[Parent code]],_xlfn.XMATCH(Transactions[[#This Row],[L5N]],Transactions[Transaction name],0),3),Transactions[Transaction code],0),2),Transactions[[#This Row],[L5N]])</f>
        <v>Final consumption</v>
      </c>
      <c r="AQ45" s="24" t="str" cm="1">
        <f t="array" ref="AQ45">IFERROR(INDEX(Transactions[[Transaction code]:[Transaction name]],_xlfn.XMATCH(INDEX(Transactions[[Transaction name]:[Parent code]],_xlfn.XMATCH(Transactions[[#This Row],[L6N]],Transactions[Transaction name],0),3),Transactions[Transaction code],0),2),Transactions[[#This Row],[L6N]])</f>
        <v>Final consumption</v>
      </c>
      <c r="AR45" s="27" t="str">
        <f>IF(Transactions[[#This Row],[L7N]]=Transactions[[#This Row],[L6N]],Transactions[[#This Row],[L7N]],IF(Transactions[[#This Row],[L6N]]=Transactions[[#This Row],[L5N]],Transactions[[#This Row],[L6N]],IF(Transactions[[#This Row],[L5N]]=Transactions[[#This Row],[L4N]],Transactions[[#This Row],[L5N]],IF(Transactions[[#This Row],[L4N]]=Transactions[[#This Row],[L3N]],Transactions[[#This Row],[L4N]],IF(Transactions[[#This Row],[L3N]]=Transactions[[#This Row],[L2N]],Transactions[[#This Row],[L3N]],IF(Transactions[[#This Row],[L2N]]=Transactions[[#This Row],[L1N]],Transactions[[#This Row],[L2N]],IF(Transactions[[#This Row],[L1N]]=Transactions[[#This Row],[Transaction name]],Transactions[[#This Row],[L1N]],Transactions[[#This Row],[Transaction name]])))))))</f>
        <v>Final consumption</v>
      </c>
      <c r="AS45" s="24" t="str">
        <f>IF(Transactions[[#This Row],[Level 0]]=Transactions[[#This Row],[Transaction name]],Transactions[[#This Row],[Transaction name]],IF(Transactions[[#This Row],[Level 0]]=Transactions[[#This Row],[L1N]],Transactions[[#This Row],[Transaction name]],IF(Transactions[[#This Row],[Level 0]]=Transactions[[#This Row],[L2N]],Transactions[[#This Row],[L1N]],IF(Transactions[[#This Row],[Level 0]]=Transactions[[#This Row],[L3N]],Transactions[[#This Row],[L2N]],IF(Transactions[[#This Row],[Level 0]]=Transactions[[#This Row],[L4N]],Transactions[[#This Row],[L3N]],IF(Transactions[[#This Row],[Level 0]]=Transactions[[#This Row],[L5N]],Transactions[[#This Row],[L4N]],IF(Transactions[[#This Row],[Level 0]]=Transactions[[#This Row],[L6N]],Transactions[[#This Row],[L5N]],IF(Transactions[[#This Row],[Level 0]]=Transactions[[#This Row],[L7N]],Transactions[[#This Row],[L6N]],Transactions[[#This Row],[L7N]]))))))))</f>
        <v>Total Final Energy Consumption</v>
      </c>
      <c r="AT45" s="24" t="str">
        <f>IF(Transactions[[#This Row],[Level 1]]=Transactions[[#This Row],[Transaction name]],Transactions[[#This Row],[Transaction name]],IF(Transactions[[#This Row],[Level 1]]=Transactions[[#This Row],[L1N]],Transactions[[#This Row],[Transaction name]],IF(Transactions[[#This Row],[Level 1]]=Transactions[[#This Row],[L2N]],Transactions[[#This Row],[L1N]],IF(Transactions[[#This Row],[Level 1]]=Transactions[[#This Row],[L3N]],Transactions[[#This Row],[L2N]],IF(Transactions[[#This Row],[Level 1]]=Transactions[[#This Row],[L4N]],Transactions[[#This Row],[L3N]],IF(Transactions[[#This Row],[Level 1]]=Transactions[[#This Row],[L5N]],Transactions[[#This Row],[L4N]],IF(Transactions[[#This Row],[Level 1]]=Transactions[[#This Row],[L6N]],Transactions[[#This Row],[L5N]],IF(Transactions[[#This Row],[Level 1]]=Transactions[[#This Row],[L7N]],Transactions[[#This Row],[L6N]],Transactions[[#This Row],[L7N]]))))))))</f>
        <v>Manufacturing, construction and non-fuel industry</v>
      </c>
      <c r="AU45" s="24" t="str">
        <f>IF(Transactions[[#This Row],[Level 2]]=Transactions[[#This Row],[Transaction name]],Transactions[[#This Row],[Transaction name]],IF(Transactions[[#This Row],[Level 2]]=Transactions[[#This Row],[L1N]],Transactions[[#This Row],[Transaction name]],IF(Transactions[[#This Row],[Level 2]]=Transactions[[#This Row],[L2N]],Transactions[[#This Row],[L1N]],IF(Transactions[[#This Row],[Level 2]]=Transactions[[#This Row],[L3N]],Transactions[[#This Row],[L2N]],IF(Transactions[[#This Row],[Level 2]]=Transactions[[#This Row],[L4N]],Transactions[[#This Row],[L3N]],IF(Transactions[[#This Row],[Level 2]]=Transactions[[#This Row],[L5N]],Transactions[[#This Row],[L4N]],IF(Transactions[[#This Row],[Level 2]]=Transactions[[#This Row],[L6N]],Transactions[[#This Row],[L5N]],IF(Transactions[[#This Row],[Level 2]]=Transactions[[#This Row],[L7N]],Transactions[[#This Row],[L6N]],Transactions[[#This Row],[L7N]]))))))))</f>
        <v>Non-metallic minerals</v>
      </c>
      <c r="AV45" s="24" t="str">
        <f>IF(Transactions[[#This Row],[Level 3]]=Transactions[[#This Row],[Transaction name]],Transactions[[#This Row],[Transaction name]],IF(Transactions[[#This Row],[Level 3]]=Transactions[[#This Row],[L1N]],Transactions[[#This Row],[Transaction name]],IF(Transactions[[#This Row],[Level 3]]=Transactions[[#This Row],[L2N]],Transactions[[#This Row],[L1N]],IF(Transactions[[#This Row],[Level 3]]=Transactions[[#This Row],[L3N]],Transactions[[#This Row],[L2N]],IF(Transactions[[#This Row],[Level 3]]=Transactions[[#This Row],[L4N]],Transactions[[#This Row],[L3N]],IF(Transactions[[#This Row],[Level 3]]=Transactions[[#This Row],[L5N]],Transactions[[#This Row],[L4N]],IF(Transactions[[#This Row],[Level 3]]=Transactions[[#This Row],[L6N]],Transactions[[#This Row],[L5N]],IF(Transactions[[#This Row],[Level 3]]=Transactions[[#This Row],[L7N]],Transactions[[#This Row],[L6N]],Transactions[[#This Row],[L7N]]))))))))</f>
        <v>Non-metallic minerals</v>
      </c>
      <c r="AW45" s="24" t="str">
        <f>IF(Transactions[[#This Row],[Level 4]]=Transactions[[#This Row],[Transaction name]],Transactions[[#This Row],[Transaction name]],IF(Transactions[[#This Row],[Level 4]]=Transactions[[#This Row],[L1N]],Transactions[[#This Row],[Transaction name]],IF(Transactions[[#This Row],[Level 4]]=Transactions[[#This Row],[L2N]],Transactions[[#This Row],[L1N]],IF(Transactions[[#This Row],[Level 4]]=Transactions[[#This Row],[L3N]],Transactions[[#This Row],[L2N]],IF(Transactions[[#This Row],[Level 4]]=Transactions[[#This Row],[L4N]],Transactions[[#This Row],[L3N]],IF(Transactions[[#This Row],[Level 4]]=Transactions[[#This Row],[L5N]],Transactions[[#This Row],[L4N]],IF(Transactions[[#This Row],[Level 4]]=Transactions[[#This Row],[L6N]],Transactions[[#This Row],[L5N]],IF(Transactions[[#This Row],[Level 4]]=Transactions[[#This Row],[L7N]],Transactions[[#This Row],[L6N]],Transactions[[#This Row],[L7N]]))))))))</f>
        <v>Non-metallic minerals</v>
      </c>
      <c r="AX45" s="24" t="str">
        <f>IF(Transactions[[#This Row],[Level 5]]=Transactions[[#This Row],[Transaction name]],Transactions[[#This Row],[Transaction name]],IF(Transactions[[#This Row],[Level 5]]=Transactions[[#This Row],[L1N]],Transactions[[#This Row],[Transaction name]],IF(Transactions[[#This Row],[Level 5]]=Transactions[[#This Row],[L2N]],Transactions[[#This Row],[L1N]],IF(Transactions[[#This Row],[Level 5]]=Transactions[[#This Row],[L3N]],Transactions[[#This Row],[L2N]],IF(Transactions[[#This Row],[Level 5]]=Transactions[[#This Row],[L4N]],Transactions[[#This Row],[L3N]],IF(Transactions[[#This Row],[Level 5]]=Transactions[[#This Row],[L5N]],Transactions[[#This Row],[L4N]],IF(Transactions[[#This Row],[Level 5]]=Transactions[[#This Row],[L6N]],Transactions[[#This Row],[L5N]],IF(Transactions[[#This Row],[Level 5]]=Transactions[[#This Row],[L7N]],Transactions[[#This Row],[L6N]],Transactions[[#This Row],[L7N]]))))))))</f>
        <v>Non-metallic minerals</v>
      </c>
      <c r="AY45" s="24" t="str">
        <f>IF(Transactions[[#This Row],[Level 6]]=Transactions[[#This Row],[Transaction name]],Transactions[[#This Row],[Transaction name]],IF(Transactions[[#This Row],[Level 6]]=Transactions[[#This Row],[L1N]],Transactions[[#This Row],[Transaction name]],IF(Transactions[[#This Row],[Level 6]]=Transactions[[#This Row],[L2N]],Transactions[[#This Row],[L1N]],IF(Transactions[[#This Row],[Level 6]]=Transactions[[#This Row],[L3N]],Transactions[[#This Row],[L2N]],IF(Transactions[[#This Row],[Level 6]]=Transactions[[#This Row],[L4N]],Transactions[[#This Row],[L3N]],IF(Transactions[[#This Row],[Level 6]]=Transactions[[#This Row],[L5N]],Transactions[[#This Row],[L4N]],IF(Transactions[[#This Row],[Level 6]]=Transactions[[#This Row],[L6N]],Transactions[[#This Row],[L5N]],IF(Transactions[[#This Row],[Level 6]]=Transactions[[#This Row],[L7N]],Transactions[[#This Row],[L6N]],Transactions[[#This Row],[L7N]]))))))))</f>
        <v>Non-metallic minerals</v>
      </c>
      <c r="BE45" s="26" t="str">
        <f>_xlfn.XLOOKUP(Transformation[[#This Row],[cfrom]],Commodities[Commodity],Commodities[Commodity code])</f>
        <v>1100</v>
      </c>
      <c r="BF45" s="26" t="str">
        <f>_xlfn.XLOOKUP(Transformation[[#This Row],[tfrom]],Transactions[Transaction name],Transactions[Transaction code])</f>
        <v>08822</v>
      </c>
      <c r="BG45" s="26" t="str">
        <f>_xlfn.XLOOKUP(Transformation[[#This Row],[cto]],Commodities[Commodity],Commodities[Commodity code])</f>
        <v>1100</v>
      </c>
      <c r="BH45" s="26" t="str">
        <f>_xlfn.XLOOKUP(Transformation[[#This Row],[tto]],Transactions[Transaction name],Transactions[Transaction code])</f>
        <v>016PTC</v>
      </c>
      <c r="BI45" s="11">
        <v>1</v>
      </c>
      <c r="BJ45" s="4" t="s">
        <v>459</v>
      </c>
      <c r="BK45" s="24" t="str">
        <f>_xlfn.XLOOKUP(Transformation[[#This Row],[Commodity from]],Commodities[Commodity code],Commodities[EnergyCode])</f>
        <v>PT</v>
      </c>
      <c r="BL45" s="4" t="s">
        <v>692</v>
      </c>
      <c r="BM45" s="4" t="s">
        <v>459</v>
      </c>
      <c r="BN45" s="24" t="str">
        <f>_xlfn.XLOOKUP(Transformation[[#This Row],[Commodity to]],Commodities[Commodity code],Commodities[EnergyCode])</f>
        <v>PT</v>
      </c>
      <c r="BO45" s="4" t="s">
        <v>1205</v>
      </c>
      <c r="BP45" s="16" t="s">
        <v>1493</v>
      </c>
      <c r="BQ45" s="33" t="str">
        <f>Transformation[[#This Row],[Commodity from]]&amp;Transformation[[#This Row],[Transaction from]]&amp;Transformation[[#This Row],[Commodity to]]&amp;Transformation[[#This Row],[Transaction to]]</f>
        <v>1100088221100016PTC</v>
      </c>
      <c r="BR45" s="26" t="str">
        <f>Transformation[[#This Row],[crfomid]]&amp;Transformation[[#This Row],[Transaction from]]&amp;"("&amp;Transformation[[#This Row],[Multiplier]]&amp;") -&gt; "&amp;Transformation[[#This Row],[ctoid]]&amp;Transformation[[#This Row],[Transaction to]]</f>
        <v>PT08822(1) -&gt; PT016PTC</v>
      </c>
      <c r="BT45" s="26" t="str">
        <f>_xlfn.XLOOKUP(Signswitch[[#This Row],[Commodity name]],Commodities[Commodity],Commodities[Commodity code])</f>
        <v>5222</v>
      </c>
      <c r="BU45" s="26" t="str">
        <f>_xlfn.XLOOKUP(Signswitch[[#This Row],[Transaction name]],Transactions[Transaction name],Transactions[Transaction code])</f>
        <v>1214F</v>
      </c>
      <c r="BV45" s="26" t="str">
        <f>Signswitch[[#This Row],[Commodity from]]&amp;Signswitch[[#This Row],[Transaction from]]</f>
        <v>52221214F</v>
      </c>
      <c r="BW45" s="22" t="s">
        <v>962</v>
      </c>
      <c r="BX45" s="26" t="str">
        <f>_xlfn.XLOOKUP(Signswitch[[#This Row],[Commodity from]],Commodities[Commodity code],Commodities[EnergyCode])</f>
        <v>ZD</v>
      </c>
      <c r="BY45" s="22" t="s">
        <v>457</v>
      </c>
    </row>
    <row r="46" spans="8:77" x14ac:dyDescent="0.45">
      <c r="H46" s="5" t="s">
        <v>245</v>
      </c>
      <c r="I46" s="4" t="s">
        <v>244</v>
      </c>
      <c r="J46" s="9"/>
      <c r="K46" s="9" t="s">
        <v>245</v>
      </c>
      <c r="L46" s="23" t="str">
        <f>IFERROR(INDEX(Commodities[[Commodity code]:[Commodity]],MATCH(Commodities[[#This Row],[Parent code]],Commodities[Commodity code],0),2),Commodities[[#This Row],[Commodity]])</f>
        <v>Total Refinery Output</v>
      </c>
      <c r="M46" s="24" t="str">
        <f>IFERROR(INDEX(Commodities[[Commodity code]:[Commodity]],MATCH(INDEX(Commodities[[Commodity]:[Parent code]],MATCH(Commodities[[#This Row],[L1N]],Commodities[Commodity],0),2),Commodities[Commodity code],0),2),Commodities[[#This Row],[L1N]])</f>
        <v>Total Refinery Output</v>
      </c>
      <c r="N46" s="24" t="str">
        <f>IFERROR(INDEX(Commodities[[Commodity code]:[Commodity]],MATCH(INDEX(Commodities[[Commodity]:[Parent code]],MATCH(Commodities[[#This Row],[L2N]],Commodities[Commodity],0),2),Commodities[Commodity code],0),2),Commodities[[#This Row],[L2N]])</f>
        <v>Total Refinery Output</v>
      </c>
      <c r="O46" s="24" t="str">
        <f>IFERROR(INDEX(Commodities[[Commodity code]:[Commodity]],MATCH(INDEX(Commodities[[Commodity]:[Parent code]],MATCH(Commodities[[#This Row],[L3N]],Commodities[Commodity],0),2),Commodities[Commodity code],0),2),Commodities[[#This Row],[L3N]])</f>
        <v>Total Refinery Output</v>
      </c>
      <c r="P46" s="24" t="str">
        <f>IF(Commodities[[#This Row],[L4N]]=Commodities[[#This Row],[L3N]],Commodities[[#This Row],[L4N]],IF(Commodities[[#This Row],[L3N]]=Commodities[[#This Row],[L2N]],Commodities[[#This Row],[L3N]],IF(Commodities[[#This Row],[L2N]]=Commodities[[#This Row],[L1N]],Commodities[[#This Row],[L2N]],IF(Commodities[[#This Row],[L1N]]=Commodities[[#This Row],[Commodity]],Commodities[[#This Row],[L1N]],Commodities[[#This Row],[Commodity]]))))</f>
        <v>Total Refinery Output</v>
      </c>
      <c r="Q46" s="24" t="str">
        <f>IF(Commodities[[#This Row],[Level 0]]=Commodities[[#This Row],[Commodity]],Commodities[[#This Row],[Commodity]],IF(Commodities[[#This Row],[Level 0]]=Commodities[[#This Row],[L1N]],Commodities[[#This Row],[Commodity]],IF(Commodities[[#This Row],[Level 0]]=Commodities[[#This Row],[L2N]],Commodities[[#This Row],[L1N]],IF(Commodities[[#This Row],[Level 0]]=Commodities[[#This Row],[L3N]],Commodities[[#This Row],[L2N]],IF(Commodities[[#This Row],[Level 0]]=Commodities[[#This Row],[L4N]],Commodities[[#This Row],[L3N]],Commodities[[#This Row],[L4N]])))))</f>
        <v>Total Refinery Output</v>
      </c>
      <c r="R46" s="24" t="str">
        <f>IF(Commodities[[#This Row],[Level 1]]=Commodities[[#This Row],[Commodity]],Commodities[[#This Row],[Commodity]],IF(Commodities[[#This Row],[Level 1]]=Commodities[[#This Row],[L1N]],Commodities[[#This Row],[Commodity]],IF(Commodities[[#This Row],[Level 1]]=Commodities[[#This Row],[L2N]],Commodities[[#This Row],[L1N]],IF(Commodities[[#This Row],[Level 1]]=Commodities[[#This Row],[L3N]],Commodities[[#This Row],[L2N]],IF(Commodities[[#This Row],[Level 1]]=Commodities[[#This Row],[L4N]],Commodities[[#This Row],[L3N]],Commodities[[#This Row],[L4N]])))))</f>
        <v>Total Refinery Output</v>
      </c>
      <c r="S46" s="24" t="str">
        <f>IF(Commodities[[#This Row],[Level 2]]=Commodities[[#This Row],[Commodity]],Commodities[[#This Row],[Commodity]],IF(Commodities[[#This Row],[Level 2]]=Commodities[[#This Row],[L1N]],Commodities[[#This Row],[Commodity]],IF(Commodities[[#This Row],[Level 2]]=Commodities[[#This Row],[L2N]],Commodities[[#This Row],[L1N]],IF(Commodities[[#This Row],[Level 2]]=Commodities[[#This Row],[L3N]],Commodities[[#This Row],[L2N]],IF(Commodities[[#This Row],[Level 2]]=Commodities[[#This Row],[L4N]],Commodities[[#This Row],[L3N]],Commodities[[#This Row],[L4N]])))))</f>
        <v>Total Refinery Output</v>
      </c>
      <c r="T46" s="24" t="str">
        <f>IF(Commodities[[#This Row],[Level 3]]=Commodities[[#This Row],[Commodity]],Commodities[[#This Row],[Commodity]],IF(Commodities[[#This Row],[Level 3]]=Commodities[[#This Row],[L1N]],Commodities[[#This Row],[Commodity]],IF(Commodities[[#This Row],[Level 3]]=Commodities[[#This Row],[L2N]],Commodities[[#This Row],[L1N]],IF(Commodities[[#This Row],[Level 3]]=Commodities[[#This Row],[L3N]],Commodities[[#This Row],[L2N]],IF(Commodities[[#This Row],[Level 3]]=Commodities[[#This Row],[L4N]],Commodities[[#This Row],[L3N]],Commodities[[#This Row],[L4N]])))))</f>
        <v>Total Refinery Output</v>
      </c>
      <c r="U46" s="24" t="str">
        <f>IF(Commodities[[#This Row],[Level 4]]=Commodities[[#This Row],[Commodity]],Commodities[[#This Row],[Commodity]],IF(Commodities[[#This Row],[Level 4]]=Commodities[[#This Row],[L1N]],Commodities[[#This Row],[Commodity]],IF(Commodities[[#This Row],[Level 4]]=Commodities[[#This Row],[L2N]],Commodities[[#This Row],[L1N]],IF(Commodities[[#This Row],[Level 4]]=Commodities[[#This Row],[L3N]],Commodities[[#This Row],[L2N]],IF(Commodities[[#This Row],[Level 4]]=Commodities[[#This Row],[L4N]],Commodities[[#This Row],[L3N]],Commodities[[#This Row],[L4N]])))))</f>
        <v>Total Refinery Output</v>
      </c>
      <c r="Y46" s="5" t="s">
        <v>114</v>
      </c>
      <c r="Z46" s="4" t="s">
        <v>699</v>
      </c>
      <c r="AA46" s="4" t="s">
        <v>699</v>
      </c>
      <c r="AB46" s="4" t="s">
        <v>127</v>
      </c>
      <c r="AC46" s="24" t="str">
        <f>IFERROR(VLOOKUP(Transactions[[#This Row],[Parent code]],Transactions[[Transaction code]:[Transaction name]],2,0),"")</f>
        <v>Manufacturing, construction and non-fuel industry</v>
      </c>
      <c r="AD46" s="4" t="s">
        <v>630</v>
      </c>
      <c r="AF46" s="4" t="s">
        <v>642</v>
      </c>
      <c r="AG46" s="4" t="s">
        <v>1</v>
      </c>
      <c r="AH46" s="4" t="s">
        <v>696</v>
      </c>
      <c r="AJ46" s="4" t="s">
        <v>0</v>
      </c>
      <c r="AK46" s="24" t="str" cm="1">
        <f t="array" ref="AK46">IFERROR(INDEX(Transactions[[Transaction code]:[Transaction name]],_xlfn.XMATCH(Transactions[[#This Row],[Parent code]],Transactions[Transaction name],0),3),Transactions[[#This Row],[Transaction name]])</f>
        <v>Other manufacturing, construction and non-fuel industry</v>
      </c>
      <c r="AL46" s="24" t="str" cm="1">
        <f t="array" ref="AL46">IFERROR(INDEX(Transactions[[Transaction code]:[Transaction name]],_xlfn.XMATCH(INDEX(Transactions[[Transaction name]:[Parent code]],_xlfn.XMATCH(Transactions[[#This Row],[L1N]],Transactions[Transaction name],0),3),Transactions[Transaction code],0),2),Transactions[[#This Row],[L1N]])</f>
        <v>Manufacturing, construction and non-fuel industry</v>
      </c>
      <c r="AM46" s="24" t="str" cm="1">
        <f t="array" ref="AM46">IFERROR(INDEX(Transactions[[Transaction code]:[Transaction name]],_xlfn.XMATCH(INDEX(Transactions[[Transaction name]:[Parent code]],_xlfn.XMATCH(Transactions[[#This Row],[L2N]],Transactions[Transaction name],0),3),Transactions[Transaction code],0),2),Transactions[[#This Row],[L2N]])</f>
        <v>Total Final Energy Consumption</v>
      </c>
      <c r="AN46" s="24" t="str" cm="1">
        <f t="array" ref="AN46">IFERROR(INDEX(Transactions[[Transaction code]:[Transaction name]],_xlfn.XMATCH(INDEX(Transactions[[Transaction name]:[Parent code]],_xlfn.XMATCH(Transactions[[#This Row],[L3N]],Transactions[Transaction name],0),3),Transactions[Transaction code],0),2),Transactions[[#This Row],[L3N]])</f>
        <v>Final consumption</v>
      </c>
      <c r="AO46" s="24" t="str" cm="1">
        <f t="array" ref="AO46">IFERROR(INDEX(Transactions[[Transaction code]:[Transaction name]],_xlfn.XMATCH(INDEX(Transactions[[Transaction name]:[Parent code]],_xlfn.XMATCH(Transactions[[#This Row],[L4N]],Transactions[Transaction name],0),3),Transactions[Transaction code],0),2),Transactions[[#This Row],[L4N]])</f>
        <v>Final consumption</v>
      </c>
      <c r="AP46" s="24" t="str" cm="1">
        <f t="array" ref="AP46">IFERROR(INDEX(Transactions[[Transaction code]:[Transaction name]],_xlfn.XMATCH(INDEX(Transactions[[Transaction name]:[Parent code]],_xlfn.XMATCH(Transactions[[#This Row],[L5N]],Transactions[Transaction name],0),3),Transactions[Transaction code],0),2),Transactions[[#This Row],[L5N]])</f>
        <v>Final consumption</v>
      </c>
      <c r="AQ46" s="24" t="str" cm="1">
        <f t="array" ref="AQ46">IFERROR(INDEX(Transactions[[Transaction code]:[Transaction name]],_xlfn.XMATCH(INDEX(Transactions[[Transaction name]:[Parent code]],_xlfn.XMATCH(Transactions[[#This Row],[L6N]],Transactions[Transaction name],0),3),Transactions[Transaction code],0),2),Transactions[[#This Row],[L6N]])</f>
        <v>Final consumption</v>
      </c>
      <c r="AR46" s="27" t="str">
        <f>IF(Transactions[[#This Row],[L7N]]=Transactions[[#This Row],[L6N]],Transactions[[#This Row],[L7N]],IF(Transactions[[#This Row],[L6N]]=Transactions[[#This Row],[L5N]],Transactions[[#This Row],[L6N]],IF(Transactions[[#This Row],[L5N]]=Transactions[[#This Row],[L4N]],Transactions[[#This Row],[L5N]],IF(Transactions[[#This Row],[L4N]]=Transactions[[#This Row],[L3N]],Transactions[[#This Row],[L4N]],IF(Transactions[[#This Row],[L3N]]=Transactions[[#This Row],[L2N]],Transactions[[#This Row],[L3N]],IF(Transactions[[#This Row],[L2N]]=Transactions[[#This Row],[L1N]],Transactions[[#This Row],[L2N]],IF(Transactions[[#This Row],[L1N]]=Transactions[[#This Row],[Transaction name]],Transactions[[#This Row],[L1N]],Transactions[[#This Row],[Transaction name]])))))))</f>
        <v>Final consumption</v>
      </c>
      <c r="AS46" s="24" t="str">
        <f>IF(Transactions[[#This Row],[Level 0]]=Transactions[[#This Row],[Transaction name]],Transactions[[#This Row],[Transaction name]],IF(Transactions[[#This Row],[Level 0]]=Transactions[[#This Row],[L1N]],Transactions[[#This Row],[Transaction name]],IF(Transactions[[#This Row],[Level 0]]=Transactions[[#This Row],[L2N]],Transactions[[#This Row],[L1N]],IF(Transactions[[#This Row],[Level 0]]=Transactions[[#This Row],[L3N]],Transactions[[#This Row],[L2N]],IF(Transactions[[#This Row],[Level 0]]=Transactions[[#This Row],[L4N]],Transactions[[#This Row],[L3N]],IF(Transactions[[#This Row],[Level 0]]=Transactions[[#This Row],[L5N]],Transactions[[#This Row],[L4N]],IF(Transactions[[#This Row],[Level 0]]=Transactions[[#This Row],[L6N]],Transactions[[#This Row],[L5N]],IF(Transactions[[#This Row],[Level 0]]=Transactions[[#This Row],[L7N]],Transactions[[#This Row],[L6N]],Transactions[[#This Row],[L7N]]))))))))</f>
        <v>Total Final Energy Consumption</v>
      </c>
      <c r="AT46" s="24" t="str">
        <f>IF(Transactions[[#This Row],[Level 1]]=Transactions[[#This Row],[Transaction name]],Transactions[[#This Row],[Transaction name]],IF(Transactions[[#This Row],[Level 1]]=Transactions[[#This Row],[L1N]],Transactions[[#This Row],[Transaction name]],IF(Transactions[[#This Row],[Level 1]]=Transactions[[#This Row],[L2N]],Transactions[[#This Row],[L1N]],IF(Transactions[[#This Row],[Level 1]]=Transactions[[#This Row],[L3N]],Transactions[[#This Row],[L2N]],IF(Transactions[[#This Row],[Level 1]]=Transactions[[#This Row],[L4N]],Transactions[[#This Row],[L3N]],IF(Transactions[[#This Row],[Level 1]]=Transactions[[#This Row],[L5N]],Transactions[[#This Row],[L4N]],IF(Transactions[[#This Row],[Level 1]]=Transactions[[#This Row],[L6N]],Transactions[[#This Row],[L5N]],IF(Transactions[[#This Row],[Level 1]]=Transactions[[#This Row],[L7N]],Transactions[[#This Row],[L6N]],Transactions[[#This Row],[L7N]]))))))))</f>
        <v>Manufacturing, construction and non-fuel industry</v>
      </c>
      <c r="AU46" s="24" t="str">
        <f>IF(Transactions[[#This Row],[Level 2]]=Transactions[[#This Row],[Transaction name]],Transactions[[#This Row],[Transaction name]],IF(Transactions[[#This Row],[Level 2]]=Transactions[[#This Row],[L1N]],Transactions[[#This Row],[Transaction name]],IF(Transactions[[#This Row],[Level 2]]=Transactions[[#This Row],[L2N]],Transactions[[#This Row],[L1N]],IF(Transactions[[#This Row],[Level 2]]=Transactions[[#This Row],[L3N]],Transactions[[#This Row],[L2N]],IF(Transactions[[#This Row],[Level 2]]=Transactions[[#This Row],[L4N]],Transactions[[#This Row],[L3N]],IF(Transactions[[#This Row],[Level 2]]=Transactions[[#This Row],[L5N]],Transactions[[#This Row],[L4N]],IF(Transactions[[#This Row],[Level 2]]=Transactions[[#This Row],[L6N]],Transactions[[#This Row],[L5N]],IF(Transactions[[#This Row],[Level 2]]=Transactions[[#This Row],[L7N]],Transactions[[#This Row],[L6N]],Transactions[[#This Row],[L7N]]))))))))</f>
        <v>Other manufacturing, construction and non-fuel industry</v>
      </c>
      <c r="AV46" s="24" t="str">
        <f>IF(Transactions[[#This Row],[Level 3]]=Transactions[[#This Row],[Transaction name]],Transactions[[#This Row],[Transaction name]],IF(Transactions[[#This Row],[Level 3]]=Transactions[[#This Row],[L1N]],Transactions[[#This Row],[Transaction name]],IF(Transactions[[#This Row],[Level 3]]=Transactions[[#This Row],[L2N]],Transactions[[#This Row],[L1N]],IF(Transactions[[#This Row],[Level 3]]=Transactions[[#This Row],[L3N]],Transactions[[#This Row],[L2N]],IF(Transactions[[#This Row],[Level 3]]=Transactions[[#This Row],[L4N]],Transactions[[#This Row],[L3N]],IF(Transactions[[#This Row],[Level 3]]=Transactions[[#This Row],[L5N]],Transactions[[#This Row],[L4N]],IF(Transactions[[#This Row],[Level 3]]=Transactions[[#This Row],[L6N]],Transactions[[#This Row],[L5N]],IF(Transactions[[#This Row],[Level 3]]=Transactions[[#This Row],[L7N]],Transactions[[#This Row],[L6N]],Transactions[[#This Row],[L7N]]))))))))</f>
        <v>Other manufacturing, construction and non-fuel industry</v>
      </c>
      <c r="AW46" s="24" t="str">
        <f>IF(Transactions[[#This Row],[Level 4]]=Transactions[[#This Row],[Transaction name]],Transactions[[#This Row],[Transaction name]],IF(Transactions[[#This Row],[Level 4]]=Transactions[[#This Row],[L1N]],Transactions[[#This Row],[Transaction name]],IF(Transactions[[#This Row],[Level 4]]=Transactions[[#This Row],[L2N]],Transactions[[#This Row],[L1N]],IF(Transactions[[#This Row],[Level 4]]=Transactions[[#This Row],[L3N]],Transactions[[#This Row],[L2N]],IF(Transactions[[#This Row],[Level 4]]=Transactions[[#This Row],[L4N]],Transactions[[#This Row],[L3N]],IF(Transactions[[#This Row],[Level 4]]=Transactions[[#This Row],[L5N]],Transactions[[#This Row],[L4N]],IF(Transactions[[#This Row],[Level 4]]=Transactions[[#This Row],[L6N]],Transactions[[#This Row],[L5N]],IF(Transactions[[#This Row],[Level 4]]=Transactions[[#This Row],[L7N]],Transactions[[#This Row],[L6N]],Transactions[[#This Row],[L7N]]))))))))</f>
        <v>Other manufacturing, construction and non-fuel industry</v>
      </c>
      <c r="AX46" s="24" t="str">
        <f>IF(Transactions[[#This Row],[Level 5]]=Transactions[[#This Row],[Transaction name]],Transactions[[#This Row],[Transaction name]],IF(Transactions[[#This Row],[Level 5]]=Transactions[[#This Row],[L1N]],Transactions[[#This Row],[Transaction name]],IF(Transactions[[#This Row],[Level 5]]=Transactions[[#This Row],[L2N]],Transactions[[#This Row],[L1N]],IF(Transactions[[#This Row],[Level 5]]=Transactions[[#This Row],[L3N]],Transactions[[#This Row],[L2N]],IF(Transactions[[#This Row],[Level 5]]=Transactions[[#This Row],[L4N]],Transactions[[#This Row],[L3N]],IF(Transactions[[#This Row],[Level 5]]=Transactions[[#This Row],[L5N]],Transactions[[#This Row],[L4N]],IF(Transactions[[#This Row],[Level 5]]=Transactions[[#This Row],[L6N]],Transactions[[#This Row],[L5N]],IF(Transactions[[#This Row],[Level 5]]=Transactions[[#This Row],[L7N]],Transactions[[#This Row],[L6N]],Transactions[[#This Row],[L7N]]))))))))</f>
        <v>Other manufacturing, construction and non-fuel industry</v>
      </c>
      <c r="AY46" s="24" t="str">
        <f>IF(Transactions[[#This Row],[Level 6]]=Transactions[[#This Row],[Transaction name]],Transactions[[#This Row],[Transaction name]],IF(Transactions[[#This Row],[Level 6]]=Transactions[[#This Row],[L1N]],Transactions[[#This Row],[Transaction name]],IF(Transactions[[#This Row],[Level 6]]=Transactions[[#This Row],[L2N]],Transactions[[#This Row],[L1N]],IF(Transactions[[#This Row],[Level 6]]=Transactions[[#This Row],[L3N]],Transactions[[#This Row],[L2N]],IF(Transactions[[#This Row],[Level 6]]=Transactions[[#This Row],[L4N]],Transactions[[#This Row],[L3N]],IF(Transactions[[#This Row],[Level 6]]=Transactions[[#This Row],[L5N]],Transactions[[#This Row],[L4N]],IF(Transactions[[#This Row],[Level 6]]=Transactions[[#This Row],[L6N]],Transactions[[#This Row],[L5N]],IF(Transactions[[#This Row],[Level 6]]=Transactions[[#This Row],[L7N]],Transactions[[#This Row],[L6N]],Transactions[[#This Row],[L7N]]))))))))</f>
        <v>Other manufacturing, construction and non-fuel industry</v>
      </c>
      <c r="BE46" s="26" t="str">
        <f>_xlfn.XLOOKUP(Transformation[[#This Row],[cfrom]],Commodities[Commodity],Commodities[Commodity code])</f>
        <v>5140</v>
      </c>
      <c r="BF46" s="26" t="str">
        <f>_xlfn.XLOOKUP(Transformation[[#This Row],[tfrom]],Transactions[Transaction name],Transactions[Transaction code])</f>
        <v>08822</v>
      </c>
      <c r="BG46" s="26" t="str">
        <f>_xlfn.XLOOKUP(Transformation[[#This Row],[cto]],Commodities[Commodity],Commodities[Commodity code])</f>
        <v>5140</v>
      </c>
      <c r="BH46" s="26" t="str">
        <f>_xlfn.XLOOKUP(Transformation[[#This Row],[tto]],Transactions[Transaction name],Transactions[Transaction code])</f>
        <v>016BSC</v>
      </c>
      <c r="BI46" s="11">
        <v>1</v>
      </c>
      <c r="BJ46" s="4" t="s">
        <v>330</v>
      </c>
      <c r="BK46" s="24" t="str">
        <f>_xlfn.XLOOKUP(Transformation[[#This Row],[Commodity from]],Commodities[Commodity code],Commodities[EnergyCode])</f>
        <v>PU</v>
      </c>
      <c r="BL46" s="4" t="s">
        <v>692</v>
      </c>
      <c r="BM46" s="4" t="s">
        <v>330</v>
      </c>
      <c r="BN46" s="24" t="str">
        <f>_xlfn.XLOOKUP(Transformation[[#This Row],[Commodity to]],Commodities[Commodity code],Commodities[EnergyCode])</f>
        <v>PU</v>
      </c>
      <c r="BO46" s="4" t="s">
        <v>1126</v>
      </c>
      <c r="BP46" s="16" t="s">
        <v>1493</v>
      </c>
      <c r="BQ46" s="33" t="str">
        <f>Transformation[[#This Row],[Commodity from]]&amp;Transformation[[#This Row],[Transaction from]]&amp;Transformation[[#This Row],[Commodity to]]&amp;Transformation[[#This Row],[Transaction to]]</f>
        <v>5140088225140016BSC</v>
      </c>
      <c r="BR46" s="26" t="str">
        <f>Transformation[[#This Row],[crfomid]]&amp;Transformation[[#This Row],[Transaction from]]&amp;"("&amp;Transformation[[#This Row],[Multiplier]]&amp;") -&gt; "&amp;Transformation[[#This Row],[ctoid]]&amp;Transformation[[#This Row],[Transaction to]]</f>
        <v>PU08822(1) -&gt; PU016BSC</v>
      </c>
      <c r="BT46" s="26" t="str">
        <f>_xlfn.XLOOKUP(Signswitch[[#This Row],[Commodity name]],Commodities[Commodity],Commodities[Commodity code])</f>
        <v>5212</v>
      </c>
      <c r="BU46" s="26" t="str">
        <f>_xlfn.XLOOKUP(Signswitch[[#This Row],[Transaction name]],Transactions[Transaction name],Transactions[Transaction code])</f>
        <v>1214F</v>
      </c>
      <c r="BV46" s="26" t="str">
        <f>Signswitch[[#This Row],[Commodity from]]&amp;Signswitch[[#This Row],[Transaction from]]</f>
        <v>52121214F</v>
      </c>
      <c r="BW46" s="22" t="s">
        <v>317</v>
      </c>
      <c r="BX46" s="26" t="str">
        <f>_xlfn.XLOOKUP(Signswitch[[#This Row],[Commodity from]],Commodities[Commodity code],Commodities[EnergyCode])</f>
        <v>ZG</v>
      </c>
      <c r="BY46" s="22" t="s">
        <v>457</v>
      </c>
    </row>
    <row r="47" spans="8:77" x14ac:dyDescent="0.45">
      <c r="H47" s="5" t="s">
        <v>261</v>
      </c>
      <c r="I47" s="4" t="s">
        <v>260</v>
      </c>
      <c r="J47" s="9" t="s">
        <v>259</v>
      </c>
      <c r="K47" s="9" t="s">
        <v>1471</v>
      </c>
      <c r="L47" s="23" t="str">
        <f>IFERROR(INDEX(Commodities[[Commodity code]:[Commodity]],MATCH(Commodities[[#This Row],[Parent code]],Commodities[Commodity code],0),2),Commodities[[#This Row],[Commodity]])</f>
        <v>Heat</v>
      </c>
      <c r="M47" s="24" t="str">
        <f>IFERROR(INDEX(Commodities[[Commodity code]:[Commodity]],MATCH(INDEX(Commodities[[Commodity]:[Parent code]],MATCH(Commodities[[#This Row],[L1N]],Commodities[Commodity],0),2),Commodities[Commodity code],0),2),Commodities[[#This Row],[L1N]])</f>
        <v>Heat</v>
      </c>
      <c r="N47" s="24" t="str">
        <f>IFERROR(INDEX(Commodities[[Commodity code]:[Commodity]],MATCH(INDEX(Commodities[[Commodity]:[Parent code]],MATCH(Commodities[[#This Row],[L2N]],Commodities[Commodity],0),2),Commodities[Commodity code],0),2),Commodities[[#This Row],[L2N]])</f>
        <v>Heat</v>
      </c>
      <c r="O47" s="24" t="str">
        <f>IFERROR(INDEX(Commodities[[Commodity code]:[Commodity]],MATCH(INDEX(Commodities[[Commodity]:[Parent code]],MATCH(Commodities[[#This Row],[L3N]],Commodities[Commodity],0),2),Commodities[Commodity code],0),2),Commodities[[#This Row],[L3N]])</f>
        <v>Heat</v>
      </c>
      <c r="P47" s="24" t="str">
        <f>IF(Commodities[[#This Row],[L4N]]=Commodities[[#This Row],[L3N]],Commodities[[#This Row],[L4N]],IF(Commodities[[#This Row],[L3N]]=Commodities[[#This Row],[L2N]],Commodities[[#This Row],[L3N]],IF(Commodities[[#This Row],[L2N]]=Commodities[[#This Row],[L1N]],Commodities[[#This Row],[L2N]],IF(Commodities[[#This Row],[L1N]]=Commodities[[#This Row],[Commodity]],Commodities[[#This Row],[L1N]],Commodities[[#This Row],[Commodity]]))))</f>
        <v>Heat</v>
      </c>
      <c r="Q47" s="24" t="str">
        <f>IF(Commodities[[#This Row],[Level 0]]=Commodities[[#This Row],[Commodity]],Commodities[[#This Row],[Commodity]],IF(Commodities[[#This Row],[Level 0]]=Commodities[[#This Row],[L1N]],Commodities[[#This Row],[Commodity]],IF(Commodities[[#This Row],[Level 0]]=Commodities[[#This Row],[L2N]],Commodities[[#This Row],[L1N]],IF(Commodities[[#This Row],[Level 0]]=Commodities[[#This Row],[L3N]],Commodities[[#This Row],[L2N]],IF(Commodities[[#This Row],[Level 0]]=Commodities[[#This Row],[L4N]],Commodities[[#This Row],[L3N]],Commodities[[#This Row],[L4N]])))))</f>
        <v>Heat from combustible fuels</v>
      </c>
      <c r="R47" s="24" t="str">
        <f>IF(Commodities[[#This Row],[Level 1]]=Commodities[[#This Row],[Commodity]],Commodities[[#This Row],[Commodity]],IF(Commodities[[#This Row],[Level 1]]=Commodities[[#This Row],[L1N]],Commodities[[#This Row],[Commodity]],IF(Commodities[[#This Row],[Level 1]]=Commodities[[#This Row],[L2N]],Commodities[[#This Row],[L1N]],IF(Commodities[[#This Row],[Level 1]]=Commodities[[#This Row],[L3N]],Commodities[[#This Row],[L2N]],IF(Commodities[[#This Row],[Level 1]]=Commodities[[#This Row],[L4N]],Commodities[[#This Row],[L3N]],Commodities[[#This Row],[L4N]])))))</f>
        <v>Heat from combustible fuels</v>
      </c>
      <c r="S47" s="24" t="str">
        <f>IF(Commodities[[#This Row],[Level 2]]=Commodities[[#This Row],[Commodity]],Commodities[[#This Row],[Commodity]],IF(Commodities[[#This Row],[Level 2]]=Commodities[[#This Row],[L1N]],Commodities[[#This Row],[Commodity]],IF(Commodities[[#This Row],[Level 2]]=Commodities[[#This Row],[L2N]],Commodities[[#This Row],[L1N]],IF(Commodities[[#This Row],[Level 2]]=Commodities[[#This Row],[L3N]],Commodities[[#This Row],[L2N]],IF(Commodities[[#This Row],[Level 2]]=Commodities[[#This Row],[L4N]],Commodities[[#This Row],[L3N]],Commodities[[#This Row],[L4N]])))))</f>
        <v>Heat from combustible fuels</v>
      </c>
      <c r="T47" s="24" t="str">
        <f>IF(Commodities[[#This Row],[Level 3]]=Commodities[[#This Row],[Commodity]],Commodities[[#This Row],[Commodity]],IF(Commodities[[#This Row],[Level 3]]=Commodities[[#This Row],[L1N]],Commodities[[#This Row],[Commodity]],IF(Commodities[[#This Row],[Level 3]]=Commodities[[#This Row],[L2N]],Commodities[[#This Row],[L1N]],IF(Commodities[[#This Row],[Level 3]]=Commodities[[#This Row],[L3N]],Commodities[[#This Row],[L2N]],IF(Commodities[[#This Row],[Level 3]]=Commodities[[#This Row],[L4N]],Commodities[[#This Row],[L3N]],Commodities[[#This Row],[L4N]])))))</f>
        <v>Heat from combustible fuels</v>
      </c>
      <c r="U47" s="24" t="str">
        <f>IF(Commodities[[#This Row],[Level 4]]=Commodities[[#This Row],[Commodity]],Commodities[[#This Row],[Commodity]],IF(Commodities[[#This Row],[Level 4]]=Commodities[[#This Row],[L1N]],Commodities[[#This Row],[Commodity]],IF(Commodities[[#This Row],[Level 4]]=Commodities[[#This Row],[L2N]],Commodities[[#This Row],[L1N]],IF(Commodities[[#This Row],[Level 4]]=Commodities[[#This Row],[L3N]],Commodities[[#This Row],[L2N]],IF(Commodities[[#This Row],[Level 4]]=Commodities[[#This Row],[L4N]],Commodities[[#This Row],[L3N]],Commodities[[#This Row],[L4N]])))))</f>
        <v>Heat from combustible fuels</v>
      </c>
      <c r="Y47" s="5" t="s">
        <v>120</v>
      </c>
      <c r="Z47" s="4" t="s">
        <v>452</v>
      </c>
      <c r="AA47" s="4" t="s">
        <v>452</v>
      </c>
      <c r="AB47" s="4" t="s">
        <v>127</v>
      </c>
      <c r="AC47" s="24" t="str">
        <f>IFERROR(VLOOKUP(Transactions[[#This Row],[Parent code]],Transactions[[Transaction code]:[Transaction name]],2,0),"")</f>
        <v>Manufacturing, construction and non-fuel industry</v>
      </c>
      <c r="AD47" s="4" t="s">
        <v>630</v>
      </c>
      <c r="AE47" s="4" t="s">
        <v>914</v>
      </c>
      <c r="AF47" s="4" t="s">
        <v>642</v>
      </c>
      <c r="AG47" s="4" t="s">
        <v>1</v>
      </c>
      <c r="AH47" s="4" t="s">
        <v>696</v>
      </c>
      <c r="AK47" s="24" t="str" cm="1">
        <f t="array" ref="AK47">IFERROR(INDEX(Transactions[[Transaction code]:[Transaction name]],_xlfn.XMATCH(Transactions[[#This Row],[Parent code]],Transactions[Transaction name],0),3),Transactions[[#This Row],[Transaction name]])</f>
        <v>Paper, pulp and printing</v>
      </c>
      <c r="AL47" s="24" t="str" cm="1">
        <f t="array" ref="AL47">IFERROR(INDEX(Transactions[[Transaction code]:[Transaction name]],_xlfn.XMATCH(INDEX(Transactions[[Transaction name]:[Parent code]],_xlfn.XMATCH(Transactions[[#This Row],[L1N]],Transactions[Transaction name],0),3),Transactions[Transaction code],0),2),Transactions[[#This Row],[L1N]])</f>
        <v>Manufacturing, construction and non-fuel industry</v>
      </c>
      <c r="AM47" s="24" t="str" cm="1">
        <f t="array" ref="AM47">IFERROR(INDEX(Transactions[[Transaction code]:[Transaction name]],_xlfn.XMATCH(INDEX(Transactions[[Transaction name]:[Parent code]],_xlfn.XMATCH(Transactions[[#This Row],[L2N]],Transactions[Transaction name],0),3),Transactions[Transaction code],0),2),Transactions[[#This Row],[L2N]])</f>
        <v>Total Final Energy Consumption</v>
      </c>
      <c r="AN47" s="24" t="str" cm="1">
        <f t="array" ref="AN47">IFERROR(INDEX(Transactions[[Transaction code]:[Transaction name]],_xlfn.XMATCH(INDEX(Transactions[[Transaction name]:[Parent code]],_xlfn.XMATCH(Transactions[[#This Row],[L3N]],Transactions[Transaction name],0),3),Transactions[Transaction code],0),2),Transactions[[#This Row],[L3N]])</f>
        <v>Final consumption</v>
      </c>
      <c r="AO47" s="24" t="str" cm="1">
        <f t="array" ref="AO47">IFERROR(INDEX(Transactions[[Transaction code]:[Transaction name]],_xlfn.XMATCH(INDEX(Transactions[[Transaction name]:[Parent code]],_xlfn.XMATCH(Transactions[[#This Row],[L4N]],Transactions[Transaction name],0),3),Transactions[Transaction code],0),2),Transactions[[#This Row],[L4N]])</f>
        <v>Final consumption</v>
      </c>
      <c r="AP47" s="24" t="str" cm="1">
        <f t="array" ref="AP47">IFERROR(INDEX(Transactions[[Transaction code]:[Transaction name]],_xlfn.XMATCH(INDEX(Transactions[[Transaction name]:[Parent code]],_xlfn.XMATCH(Transactions[[#This Row],[L5N]],Transactions[Transaction name],0),3),Transactions[Transaction code],0),2),Transactions[[#This Row],[L5N]])</f>
        <v>Final consumption</v>
      </c>
      <c r="AQ47" s="24" t="str" cm="1">
        <f t="array" ref="AQ47">IFERROR(INDEX(Transactions[[Transaction code]:[Transaction name]],_xlfn.XMATCH(INDEX(Transactions[[Transaction name]:[Parent code]],_xlfn.XMATCH(Transactions[[#This Row],[L6N]],Transactions[Transaction name],0),3),Transactions[Transaction code],0),2),Transactions[[#This Row],[L6N]])</f>
        <v>Final consumption</v>
      </c>
      <c r="AR47" s="27" t="str">
        <f>IF(Transactions[[#This Row],[L7N]]=Transactions[[#This Row],[L6N]],Transactions[[#This Row],[L7N]],IF(Transactions[[#This Row],[L6N]]=Transactions[[#This Row],[L5N]],Transactions[[#This Row],[L6N]],IF(Transactions[[#This Row],[L5N]]=Transactions[[#This Row],[L4N]],Transactions[[#This Row],[L5N]],IF(Transactions[[#This Row],[L4N]]=Transactions[[#This Row],[L3N]],Transactions[[#This Row],[L4N]],IF(Transactions[[#This Row],[L3N]]=Transactions[[#This Row],[L2N]],Transactions[[#This Row],[L3N]],IF(Transactions[[#This Row],[L2N]]=Transactions[[#This Row],[L1N]],Transactions[[#This Row],[L2N]],IF(Transactions[[#This Row],[L1N]]=Transactions[[#This Row],[Transaction name]],Transactions[[#This Row],[L1N]],Transactions[[#This Row],[Transaction name]])))))))</f>
        <v>Final consumption</v>
      </c>
      <c r="AS47" s="24" t="str">
        <f>IF(Transactions[[#This Row],[Level 0]]=Transactions[[#This Row],[Transaction name]],Transactions[[#This Row],[Transaction name]],IF(Transactions[[#This Row],[Level 0]]=Transactions[[#This Row],[L1N]],Transactions[[#This Row],[Transaction name]],IF(Transactions[[#This Row],[Level 0]]=Transactions[[#This Row],[L2N]],Transactions[[#This Row],[L1N]],IF(Transactions[[#This Row],[Level 0]]=Transactions[[#This Row],[L3N]],Transactions[[#This Row],[L2N]],IF(Transactions[[#This Row],[Level 0]]=Transactions[[#This Row],[L4N]],Transactions[[#This Row],[L3N]],IF(Transactions[[#This Row],[Level 0]]=Transactions[[#This Row],[L5N]],Transactions[[#This Row],[L4N]],IF(Transactions[[#This Row],[Level 0]]=Transactions[[#This Row],[L6N]],Transactions[[#This Row],[L5N]],IF(Transactions[[#This Row],[Level 0]]=Transactions[[#This Row],[L7N]],Transactions[[#This Row],[L6N]],Transactions[[#This Row],[L7N]]))))))))</f>
        <v>Total Final Energy Consumption</v>
      </c>
      <c r="AT47" s="24" t="str">
        <f>IF(Transactions[[#This Row],[Level 1]]=Transactions[[#This Row],[Transaction name]],Transactions[[#This Row],[Transaction name]],IF(Transactions[[#This Row],[Level 1]]=Transactions[[#This Row],[L1N]],Transactions[[#This Row],[Transaction name]],IF(Transactions[[#This Row],[Level 1]]=Transactions[[#This Row],[L2N]],Transactions[[#This Row],[L1N]],IF(Transactions[[#This Row],[Level 1]]=Transactions[[#This Row],[L3N]],Transactions[[#This Row],[L2N]],IF(Transactions[[#This Row],[Level 1]]=Transactions[[#This Row],[L4N]],Transactions[[#This Row],[L3N]],IF(Transactions[[#This Row],[Level 1]]=Transactions[[#This Row],[L5N]],Transactions[[#This Row],[L4N]],IF(Transactions[[#This Row],[Level 1]]=Transactions[[#This Row],[L6N]],Transactions[[#This Row],[L5N]],IF(Transactions[[#This Row],[Level 1]]=Transactions[[#This Row],[L7N]],Transactions[[#This Row],[L6N]],Transactions[[#This Row],[L7N]]))))))))</f>
        <v>Manufacturing, construction and non-fuel industry</v>
      </c>
      <c r="AU47" s="24" t="str">
        <f>IF(Transactions[[#This Row],[Level 2]]=Transactions[[#This Row],[Transaction name]],Transactions[[#This Row],[Transaction name]],IF(Transactions[[#This Row],[Level 2]]=Transactions[[#This Row],[L1N]],Transactions[[#This Row],[Transaction name]],IF(Transactions[[#This Row],[Level 2]]=Transactions[[#This Row],[L2N]],Transactions[[#This Row],[L1N]],IF(Transactions[[#This Row],[Level 2]]=Transactions[[#This Row],[L3N]],Transactions[[#This Row],[L2N]],IF(Transactions[[#This Row],[Level 2]]=Transactions[[#This Row],[L4N]],Transactions[[#This Row],[L3N]],IF(Transactions[[#This Row],[Level 2]]=Transactions[[#This Row],[L5N]],Transactions[[#This Row],[L4N]],IF(Transactions[[#This Row],[Level 2]]=Transactions[[#This Row],[L6N]],Transactions[[#This Row],[L5N]],IF(Transactions[[#This Row],[Level 2]]=Transactions[[#This Row],[L7N]],Transactions[[#This Row],[L6N]],Transactions[[#This Row],[L7N]]))))))))</f>
        <v>Paper, pulp and printing</v>
      </c>
      <c r="AV47" s="24" t="str">
        <f>IF(Transactions[[#This Row],[Level 3]]=Transactions[[#This Row],[Transaction name]],Transactions[[#This Row],[Transaction name]],IF(Transactions[[#This Row],[Level 3]]=Transactions[[#This Row],[L1N]],Transactions[[#This Row],[Transaction name]],IF(Transactions[[#This Row],[Level 3]]=Transactions[[#This Row],[L2N]],Transactions[[#This Row],[L1N]],IF(Transactions[[#This Row],[Level 3]]=Transactions[[#This Row],[L3N]],Transactions[[#This Row],[L2N]],IF(Transactions[[#This Row],[Level 3]]=Transactions[[#This Row],[L4N]],Transactions[[#This Row],[L3N]],IF(Transactions[[#This Row],[Level 3]]=Transactions[[#This Row],[L5N]],Transactions[[#This Row],[L4N]],IF(Transactions[[#This Row],[Level 3]]=Transactions[[#This Row],[L6N]],Transactions[[#This Row],[L5N]],IF(Transactions[[#This Row],[Level 3]]=Transactions[[#This Row],[L7N]],Transactions[[#This Row],[L6N]],Transactions[[#This Row],[L7N]]))))))))</f>
        <v>Paper, pulp and printing</v>
      </c>
      <c r="AW47" s="24" t="str">
        <f>IF(Transactions[[#This Row],[Level 4]]=Transactions[[#This Row],[Transaction name]],Transactions[[#This Row],[Transaction name]],IF(Transactions[[#This Row],[Level 4]]=Transactions[[#This Row],[L1N]],Transactions[[#This Row],[Transaction name]],IF(Transactions[[#This Row],[Level 4]]=Transactions[[#This Row],[L2N]],Transactions[[#This Row],[L1N]],IF(Transactions[[#This Row],[Level 4]]=Transactions[[#This Row],[L3N]],Transactions[[#This Row],[L2N]],IF(Transactions[[#This Row],[Level 4]]=Transactions[[#This Row],[L4N]],Transactions[[#This Row],[L3N]],IF(Transactions[[#This Row],[Level 4]]=Transactions[[#This Row],[L5N]],Transactions[[#This Row],[L4N]],IF(Transactions[[#This Row],[Level 4]]=Transactions[[#This Row],[L6N]],Transactions[[#This Row],[L5N]],IF(Transactions[[#This Row],[Level 4]]=Transactions[[#This Row],[L7N]],Transactions[[#This Row],[L6N]],Transactions[[#This Row],[L7N]]))))))))</f>
        <v>Paper, pulp and printing</v>
      </c>
      <c r="AX47" s="24" t="str">
        <f>IF(Transactions[[#This Row],[Level 5]]=Transactions[[#This Row],[Transaction name]],Transactions[[#This Row],[Transaction name]],IF(Transactions[[#This Row],[Level 5]]=Transactions[[#This Row],[L1N]],Transactions[[#This Row],[Transaction name]],IF(Transactions[[#This Row],[Level 5]]=Transactions[[#This Row],[L2N]],Transactions[[#This Row],[L1N]],IF(Transactions[[#This Row],[Level 5]]=Transactions[[#This Row],[L3N]],Transactions[[#This Row],[L2N]],IF(Transactions[[#This Row],[Level 5]]=Transactions[[#This Row],[L4N]],Transactions[[#This Row],[L3N]],IF(Transactions[[#This Row],[Level 5]]=Transactions[[#This Row],[L5N]],Transactions[[#This Row],[L4N]],IF(Transactions[[#This Row],[Level 5]]=Transactions[[#This Row],[L6N]],Transactions[[#This Row],[L5N]],IF(Transactions[[#This Row],[Level 5]]=Transactions[[#This Row],[L7N]],Transactions[[#This Row],[L6N]],Transactions[[#This Row],[L7N]]))))))))</f>
        <v>Paper, pulp and printing</v>
      </c>
      <c r="AY47" s="24" t="str">
        <f>IF(Transactions[[#This Row],[Level 6]]=Transactions[[#This Row],[Transaction name]],Transactions[[#This Row],[Transaction name]],IF(Transactions[[#This Row],[Level 6]]=Transactions[[#This Row],[L1N]],Transactions[[#This Row],[Transaction name]],IF(Transactions[[#This Row],[Level 6]]=Transactions[[#This Row],[L2N]],Transactions[[#This Row],[L1N]],IF(Transactions[[#This Row],[Level 6]]=Transactions[[#This Row],[L3N]],Transactions[[#This Row],[L2N]],IF(Transactions[[#This Row],[Level 6]]=Transactions[[#This Row],[L4N]],Transactions[[#This Row],[L3N]],IF(Transactions[[#This Row],[Level 6]]=Transactions[[#This Row],[L5N]],Transactions[[#This Row],[L4N]],IF(Transactions[[#This Row],[Level 6]]=Transactions[[#This Row],[L6N]],Transactions[[#This Row],[L5N]],IF(Transactions[[#This Row],[Level 6]]=Transactions[[#This Row],[L7N]],Transactions[[#This Row],[L6N]],Transactions[[#This Row],[L7N]]))))))))</f>
        <v>Paper, pulp and printing</v>
      </c>
      <c r="BE47" s="26" t="str">
        <f>_xlfn.XLOOKUP(Transformation[[#This Row],[cfrom]],Commodities[Commodity],Commodities[Commodity code])</f>
        <v>4680</v>
      </c>
      <c r="BF47" s="26" t="str">
        <f>_xlfn.XLOOKUP(Transformation[[#This Row],[tfrom]],Transactions[Transaction name],Transactions[Transaction code])</f>
        <v>08822</v>
      </c>
      <c r="BG47" s="26" t="str">
        <f>_xlfn.XLOOKUP(Transformation[[#This Row],[cto]],Commodities[Commodity],Commodities[Commodity code])</f>
        <v>4680</v>
      </c>
      <c r="BH47" s="26" t="str">
        <f>_xlfn.XLOOKUP(Transformation[[#This Row],[tto]],Transactions[Transaction name],Transactions[Transaction code])</f>
        <v>016FOC</v>
      </c>
      <c r="BI47" s="11">
        <v>1</v>
      </c>
      <c r="BJ47" s="4" t="s">
        <v>368</v>
      </c>
      <c r="BK47" s="24" t="str">
        <f>_xlfn.XLOOKUP(Transformation[[#This Row],[Commodity from]],Commodities[Commodity code],Commodities[EnergyCode])</f>
        <v>RF</v>
      </c>
      <c r="BL47" s="4" t="s">
        <v>692</v>
      </c>
      <c r="BM47" s="4" t="s">
        <v>368</v>
      </c>
      <c r="BN47" s="24" t="str">
        <f>_xlfn.XLOOKUP(Transformation[[#This Row],[Commodity to]],Commodities[Commodity code],Commodities[EnergyCode])</f>
        <v>RF</v>
      </c>
      <c r="BO47" s="4" t="s">
        <v>1030</v>
      </c>
      <c r="BP47" s="16" t="s">
        <v>1493</v>
      </c>
      <c r="BQ47" s="33" t="str">
        <f>Transformation[[#This Row],[Commodity from]]&amp;Transformation[[#This Row],[Transaction from]]&amp;Transformation[[#This Row],[Commodity to]]&amp;Transformation[[#This Row],[Transaction to]]</f>
        <v>4680088224680016FOC</v>
      </c>
      <c r="BR47" s="26" t="str">
        <f>Transformation[[#This Row],[crfomid]]&amp;Transformation[[#This Row],[Transaction from]]&amp;"("&amp;Transformation[[#This Row],[Multiplier]]&amp;") -&gt; "&amp;Transformation[[#This Row],[ctoid]]&amp;Transformation[[#This Row],[Transaction to]]</f>
        <v>RF08822(1) -&gt; RF016FOC</v>
      </c>
      <c r="BT47" s="26" t="str">
        <f>_xlfn.XLOOKUP(Signswitch[[#This Row],[Commodity name]],Commodities[Commodity],Commodities[Commodity code])</f>
        <v>5232</v>
      </c>
      <c r="BU47" s="26" t="str">
        <f>_xlfn.XLOOKUP(Signswitch[[#This Row],[Transaction name]],Transactions[Transaction name],Transactions[Transaction code])</f>
        <v>1214G</v>
      </c>
      <c r="BV47" s="26" t="str">
        <f>Signswitch[[#This Row],[Commodity from]]&amp;Signswitch[[#This Row],[Transaction from]]</f>
        <v>52321214G</v>
      </c>
      <c r="BW47" s="22" t="s">
        <v>306</v>
      </c>
      <c r="BX47" s="26" t="str">
        <f>_xlfn.XLOOKUP(Signswitch[[#This Row],[Commodity from]],Commodities[Commodity code],Commodities[EnergyCode])</f>
        <v>ZJ</v>
      </c>
      <c r="BY47" s="22" t="s">
        <v>452</v>
      </c>
    </row>
    <row r="48" spans="8:77" x14ac:dyDescent="0.45">
      <c r="H48" s="5" t="s">
        <v>292</v>
      </c>
      <c r="I48" s="4" t="s">
        <v>291</v>
      </c>
      <c r="J48" s="9" t="s">
        <v>287</v>
      </c>
      <c r="K48" s="9" t="s">
        <v>1464</v>
      </c>
      <c r="L48" s="23" t="str">
        <f>IFERROR(INDEX(Commodities[[Commodity code]:[Commodity]],MATCH(Commodities[[#This Row],[Parent code]],Commodities[Commodity code],0),2),Commodities[[#This Row],[Commodity]])</f>
        <v>Waste</v>
      </c>
      <c r="M48" s="24" t="str">
        <f>IFERROR(INDEX(Commodities[[Commodity code]:[Commodity]],MATCH(INDEX(Commodities[[Commodity]:[Parent code]],MATCH(Commodities[[#This Row],[L1N]],Commodities[Commodity],0),2),Commodities[Commodity code],0),2),Commodities[[#This Row],[L1N]])</f>
        <v>Waste</v>
      </c>
      <c r="N48" s="24" t="str">
        <f>IFERROR(INDEX(Commodities[[Commodity code]:[Commodity]],MATCH(INDEX(Commodities[[Commodity]:[Parent code]],MATCH(Commodities[[#This Row],[L2N]],Commodities[Commodity],0),2),Commodities[Commodity code],0),2),Commodities[[#This Row],[L2N]])</f>
        <v>Waste</v>
      </c>
      <c r="O48" s="24" t="str">
        <f>IFERROR(INDEX(Commodities[[Commodity code]:[Commodity]],MATCH(INDEX(Commodities[[Commodity]:[Parent code]],MATCH(Commodities[[#This Row],[L3N]],Commodities[Commodity],0),2),Commodities[Commodity code],0),2),Commodities[[#This Row],[L3N]])</f>
        <v>Waste</v>
      </c>
      <c r="P48" s="24" t="str">
        <f>IF(Commodities[[#This Row],[L4N]]=Commodities[[#This Row],[L3N]],Commodities[[#This Row],[L4N]],IF(Commodities[[#This Row],[L3N]]=Commodities[[#This Row],[L2N]],Commodities[[#This Row],[L3N]],IF(Commodities[[#This Row],[L2N]]=Commodities[[#This Row],[L1N]],Commodities[[#This Row],[L2N]],IF(Commodities[[#This Row],[L1N]]=Commodities[[#This Row],[Commodity]],Commodities[[#This Row],[L1N]],Commodities[[#This Row],[Commodity]]))))</f>
        <v>Waste</v>
      </c>
      <c r="Q48" s="24" t="str">
        <f>IF(Commodities[[#This Row],[Level 0]]=Commodities[[#This Row],[Commodity]],Commodities[[#This Row],[Commodity]],IF(Commodities[[#This Row],[Level 0]]=Commodities[[#This Row],[L1N]],Commodities[[#This Row],[Commodity]],IF(Commodities[[#This Row],[Level 0]]=Commodities[[#This Row],[L2N]],Commodities[[#This Row],[L1N]],IF(Commodities[[#This Row],[Level 0]]=Commodities[[#This Row],[L3N]],Commodities[[#This Row],[L2N]],IF(Commodities[[#This Row],[Level 0]]=Commodities[[#This Row],[L4N]],Commodities[[#This Row],[L3N]],Commodities[[#This Row],[L4N]])))))</f>
        <v>Industrial waste</v>
      </c>
      <c r="R48" s="24" t="str">
        <f>IF(Commodities[[#This Row],[Level 1]]=Commodities[[#This Row],[Commodity]],Commodities[[#This Row],[Commodity]],IF(Commodities[[#This Row],[Level 1]]=Commodities[[#This Row],[L1N]],Commodities[[#This Row],[Commodity]],IF(Commodities[[#This Row],[Level 1]]=Commodities[[#This Row],[L2N]],Commodities[[#This Row],[L1N]],IF(Commodities[[#This Row],[Level 1]]=Commodities[[#This Row],[L3N]],Commodities[[#This Row],[L2N]],IF(Commodities[[#This Row],[Level 1]]=Commodities[[#This Row],[L4N]],Commodities[[#This Row],[L3N]],Commodities[[#This Row],[L4N]])))))</f>
        <v>Industrial waste</v>
      </c>
      <c r="S48" s="24" t="str">
        <f>IF(Commodities[[#This Row],[Level 2]]=Commodities[[#This Row],[Commodity]],Commodities[[#This Row],[Commodity]],IF(Commodities[[#This Row],[Level 2]]=Commodities[[#This Row],[L1N]],Commodities[[#This Row],[Commodity]],IF(Commodities[[#This Row],[Level 2]]=Commodities[[#This Row],[L2N]],Commodities[[#This Row],[L1N]],IF(Commodities[[#This Row],[Level 2]]=Commodities[[#This Row],[L3N]],Commodities[[#This Row],[L2N]],IF(Commodities[[#This Row],[Level 2]]=Commodities[[#This Row],[L4N]],Commodities[[#This Row],[L3N]],Commodities[[#This Row],[L4N]])))))</f>
        <v>Industrial waste</v>
      </c>
      <c r="T48" s="24" t="str">
        <f>IF(Commodities[[#This Row],[Level 3]]=Commodities[[#This Row],[Commodity]],Commodities[[#This Row],[Commodity]],IF(Commodities[[#This Row],[Level 3]]=Commodities[[#This Row],[L1N]],Commodities[[#This Row],[Commodity]],IF(Commodities[[#This Row],[Level 3]]=Commodities[[#This Row],[L2N]],Commodities[[#This Row],[L1N]],IF(Commodities[[#This Row],[Level 3]]=Commodities[[#This Row],[L3N]],Commodities[[#This Row],[L2N]],IF(Commodities[[#This Row],[Level 3]]=Commodities[[#This Row],[L4N]],Commodities[[#This Row],[L3N]],Commodities[[#This Row],[L4N]])))))</f>
        <v>Industrial waste</v>
      </c>
      <c r="U48" s="24" t="str">
        <f>IF(Commodities[[#This Row],[Level 4]]=Commodities[[#This Row],[Commodity]],Commodities[[#This Row],[Commodity]],IF(Commodities[[#This Row],[Level 4]]=Commodities[[#This Row],[L1N]],Commodities[[#This Row],[Commodity]],IF(Commodities[[#This Row],[Level 4]]=Commodities[[#This Row],[L2N]],Commodities[[#This Row],[L1N]],IF(Commodities[[#This Row],[Level 4]]=Commodities[[#This Row],[L3N]],Commodities[[#This Row],[L2N]],IF(Commodities[[#This Row],[Level 4]]=Commodities[[#This Row],[L4N]],Commodities[[#This Row],[L3N]],Commodities[[#This Row],[L4N]])))))</f>
        <v>Industrial waste</v>
      </c>
      <c r="Y48" s="5" t="s">
        <v>117</v>
      </c>
      <c r="Z48" s="4" t="s">
        <v>444</v>
      </c>
      <c r="AA48" s="4" t="s">
        <v>444</v>
      </c>
      <c r="AB48" s="4" t="s">
        <v>127</v>
      </c>
      <c r="AC48" s="24" t="str">
        <f>IFERROR(VLOOKUP(Transactions[[#This Row],[Parent code]],Transactions[[Transaction code]:[Transaction name]],2,0),"")</f>
        <v>Manufacturing, construction and non-fuel industry</v>
      </c>
      <c r="AD48" s="4" t="s">
        <v>630</v>
      </c>
      <c r="AE48" s="4" t="s">
        <v>914</v>
      </c>
      <c r="AF48" s="4" t="s">
        <v>642</v>
      </c>
      <c r="AG48" s="4" t="s">
        <v>1</v>
      </c>
      <c r="AH48" s="4" t="s">
        <v>696</v>
      </c>
      <c r="AK48" s="24" t="str" cm="1">
        <f t="array" ref="AK48">IFERROR(INDEX(Transactions[[Transaction code]:[Transaction name]],_xlfn.XMATCH(Transactions[[#This Row],[Parent code]],Transactions[Transaction name],0),3),Transactions[[#This Row],[Transaction name]])</f>
        <v>Textile and leather</v>
      </c>
      <c r="AL48" s="24" t="str" cm="1">
        <f t="array" ref="AL48">IFERROR(INDEX(Transactions[[Transaction code]:[Transaction name]],_xlfn.XMATCH(INDEX(Transactions[[Transaction name]:[Parent code]],_xlfn.XMATCH(Transactions[[#This Row],[L1N]],Transactions[Transaction name],0),3),Transactions[Transaction code],0),2),Transactions[[#This Row],[L1N]])</f>
        <v>Manufacturing, construction and non-fuel industry</v>
      </c>
      <c r="AM48" s="24" t="str" cm="1">
        <f t="array" ref="AM48">IFERROR(INDEX(Transactions[[Transaction code]:[Transaction name]],_xlfn.XMATCH(INDEX(Transactions[[Transaction name]:[Parent code]],_xlfn.XMATCH(Transactions[[#This Row],[L2N]],Transactions[Transaction name],0),3),Transactions[Transaction code],0),2),Transactions[[#This Row],[L2N]])</f>
        <v>Total Final Energy Consumption</v>
      </c>
      <c r="AN48" s="24" t="str" cm="1">
        <f t="array" ref="AN48">IFERROR(INDEX(Transactions[[Transaction code]:[Transaction name]],_xlfn.XMATCH(INDEX(Transactions[[Transaction name]:[Parent code]],_xlfn.XMATCH(Transactions[[#This Row],[L3N]],Transactions[Transaction name],0),3),Transactions[Transaction code],0),2),Transactions[[#This Row],[L3N]])</f>
        <v>Final consumption</v>
      </c>
      <c r="AO48" s="24" t="str" cm="1">
        <f t="array" ref="AO48">IFERROR(INDEX(Transactions[[Transaction code]:[Transaction name]],_xlfn.XMATCH(INDEX(Transactions[[Transaction name]:[Parent code]],_xlfn.XMATCH(Transactions[[#This Row],[L4N]],Transactions[Transaction name],0),3),Transactions[Transaction code],0),2),Transactions[[#This Row],[L4N]])</f>
        <v>Final consumption</v>
      </c>
      <c r="AP48" s="24" t="str" cm="1">
        <f t="array" ref="AP48">IFERROR(INDEX(Transactions[[Transaction code]:[Transaction name]],_xlfn.XMATCH(INDEX(Transactions[[Transaction name]:[Parent code]],_xlfn.XMATCH(Transactions[[#This Row],[L5N]],Transactions[Transaction name],0),3),Transactions[Transaction code],0),2),Transactions[[#This Row],[L5N]])</f>
        <v>Final consumption</v>
      </c>
      <c r="AQ48" s="24" t="str" cm="1">
        <f t="array" ref="AQ48">IFERROR(INDEX(Transactions[[Transaction code]:[Transaction name]],_xlfn.XMATCH(INDEX(Transactions[[Transaction name]:[Parent code]],_xlfn.XMATCH(Transactions[[#This Row],[L6N]],Transactions[Transaction name],0),3),Transactions[Transaction code],0),2),Transactions[[#This Row],[L6N]])</f>
        <v>Final consumption</v>
      </c>
      <c r="AR48" s="27" t="str">
        <f>IF(Transactions[[#This Row],[L7N]]=Transactions[[#This Row],[L6N]],Transactions[[#This Row],[L7N]],IF(Transactions[[#This Row],[L6N]]=Transactions[[#This Row],[L5N]],Transactions[[#This Row],[L6N]],IF(Transactions[[#This Row],[L5N]]=Transactions[[#This Row],[L4N]],Transactions[[#This Row],[L5N]],IF(Transactions[[#This Row],[L4N]]=Transactions[[#This Row],[L3N]],Transactions[[#This Row],[L4N]],IF(Transactions[[#This Row],[L3N]]=Transactions[[#This Row],[L2N]],Transactions[[#This Row],[L3N]],IF(Transactions[[#This Row],[L2N]]=Transactions[[#This Row],[L1N]],Transactions[[#This Row],[L2N]],IF(Transactions[[#This Row],[L1N]]=Transactions[[#This Row],[Transaction name]],Transactions[[#This Row],[L1N]],Transactions[[#This Row],[Transaction name]])))))))</f>
        <v>Final consumption</v>
      </c>
      <c r="AS48" s="24" t="str">
        <f>IF(Transactions[[#This Row],[Level 0]]=Transactions[[#This Row],[Transaction name]],Transactions[[#This Row],[Transaction name]],IF(Transactions[[#This Row],[Level 0]]=Transactions[[#This Row],[L1N]],Transactions[[#This Row],[Transaction name]],IF(Transactions[[#This Row],[Level 0]]=Transactions[[#This Row],[L2N]],Transactions[[#This Row],[L1N]],IF(Transactions[[#This Row],[Level 0]]=Transactions[[#This Row],[L3N]],Transactions[[#This Row],[L2N]],IF(Transactions[[#This Row],[Level 0]]=Transactions[[#This Row],[L4N]],Transactions[[#This Row],[L3N]],IF(Transactions[[#This Row],[Level 0]]=Transactions[[#This Row],[L5N]],Transactions[[#This Row],[L4N]],IF(Transactions[[#This Row],[Level 0]]=Transactions[[#This Row],[L6N]],Transactions[[#This Row],[L5N]],IF(Transactions[[#This Row],[Level 0]]=Transactions[[#This Row],[L7N]],Transactions[[#This Row],[L6N]],Transactions[[#This Row],[L7N]]))))))))</f>
        <v>Total Final Energy Consumption</v>
      </c>
      <c r="AT48" s="24" t="str">
        <f>IF(Transactions[[#This Row],[Level 1]]=Transactions[[#This Row],[Transaction name]],Transactions[[#This Row],[Transaction name]],IF(Transactions[[#This Row],[Level 1]]=Transactions[[#This Row],[L1N]],Transactions[[#This Row],[Transaction name]],IF(Transactions[[#This Row],[Level 1]]=Transactions[[#This Row],[L2N]],Transactions[[#This Row],[L1N]],IF(Transactions[[#This Row],[Level 1]]=Transactions[[#This Row],[L3N]],Transactions[[#This Row],[L2N]],IF(Transactions[[#This Row],[Level 1]]=Transactions[[#This Row],[L4N]],Transactions[[#This Row],[L3N]],IF(Transactions[[#This Row],[Level 1]]=Transactions[[#This Row],[L5N]],Transactions[[#This Row],[L4N]],IF(Transactions[[#This Row],[Level 1]]=Transactions[[#This Row],[L6N]],Transactions[[#This Row],[L5N]],IF(Transactions[[#This Row],[Level 1]]=Transactions[[#This Row],[L7N]],Transactions[[#This Row],[L6N]],Transactions[[#This Row],[L7N]]))))))))</f>
        <v>Manufacturing, construction and non-fuel industry</v>
      </c>
      <c r="AU48" s="24" t="str">
        <f>IF(Transactions[[#This Row],[Level 2]]=Transactions[[#This Row],[Transaction name]],Transactions[[#This Row],[Transaction name]],IF(Transactions[[#This Row],[Level 2]]=Transactions[[#This Row],[L1N]],Transactions[[#This Row],[Transaction name]],IF(Transactions[[#This Row],[Level 2]]=Transactions[[#This Row],[L2N]],Transactions[[#This Row],[L1N]],IF(Transactions[[#This Row],[Level 2]]=Transactions[[#This Row],[L3N]],Transactions[[#This Row],[L2N]],IF(Transactions[[#This Row],[Level 2]]=Transactions[[#This Row],[L4N]],Transactions[[#This Row],[L3N]],IF(Transactions[[#This Row],[Level 2]]=Transactions[[#This Row],[L5N]],Transactions[[#This Row],[L4N]],IF(Transactions[[#This Row],[Level 2]]=Transactions[[#This Row],[L6N]],Transactions[[#This Row],[L5N]],IF(Transactions[[#This Row],[Level 2]]=Transactions[[#This Row],[L7N]],Transactions[[#This Row],[L6N]],Transactions[[#This Row],[L7N]]))))))))</f>
        <v>Textile and leather</v>
      </c>
      <c r="AV48" s="24" t="str">
        <f>IF(Transactions[[#This Row],[Level 3]]=Transactions[[#This Row],[Transaction name]],Transactions[[#This Row],[Transaction name]],IF(Transactions[[#This Row],[Level 3]]=Transactions[[#This Row],[L1N]],Transactions[[#This Row],[Transaction name]],IF(Transactions[[#This Row],[Level 3]]=Transactions[[#This Row],[L2N]],Transactions[[#This Row],[L1N]],IF(Transactions[[#This Row],[Level 3]]=Transactions[[#This Row],[L3N]],Transactions[[#This Row],[L2N]],IF(Transactions[[#This Row],[Level 3]]=Transactions[[#This Row],[L4N]],Transactions[[#This Row],[L3N]],IF(Transactions[[#This Row],[Level 3]]=Transactions[[#This Row],[L5N]],Transactions[[#This Row],[L4N]],IF(Transactions[[#This Row],[Level 3]]=Transactions[[#This Row],[L6N]],Transactions[[#This Row],[L5N]],IF(Transactions[[#This Row],[Level 3]]=Transactions[[#This Row],[L7N]],Transactions[[#This Row],[L6N]],Transactions[[#This Row],[L7N]]))))))))</f>
        <v>Textile and leather</v>
      </c>
      <c r="AW48" s="24" t="str">
        <f>IF(Transactions[[#This Row],[Level 4]]=Transactions[[#This Row],[Transaction name]],Transactions[[#This Row],[Transaction name]],IF(Transactions[[#This Row],[Level 4]]=Transactions[[#This Row],[L1N]],Transactions[[#This Row],[Transaction name]],IF(Transactions[[#This Row],[Level 4]]=Transactions[[#This Row],[L2N]],Transactions[[#This Row],[L1N]],IF(Transactions[[#This Row],[Level 4]]=Transactions[[#This Row],[L3N]],Transactions[[#This Row],[L2N]],IF(Transactions[[#This Row],[Level 4]]=Transactions[[#This Row],[L4N]],Transactions[[#This Row],[L3N]],IF(Transactions[[#This Row],[Level 4]]=Transactions[[#This Row],[L5N]],Transactions[[#This Row],[L4N]],IF(Transactions[[#This Row],[Level 4]]=Transactions[[#This Row],[L6N]],Transactions[[#This Row],[L5N]],IF(Transactions[[#This Row],[Level 4]]=Transactions[[#This Row],[L7N]],Transactions[[#This Row],[L6N]],Transactions[[#This Row],[L7N]]))))))))</f>
        <v>Textile and leather</v>
      </c>
      <c r="AX48" s="24" t="str">
        <f>IF(Transactions[[#This Row],[Level 5]]=Transactions[[#This Row],[Transaction name]],Transactions[[#This Row],[Transaction name]],IF(Transactions[[#This Row],[Level 5]]=Transactions[[#This Row],[L1N]],Transactions[[#This Row],[Transaction name]],IF(Transactions[[#This Row],[Level 5]]=Transactions[[#This Row],[L2N]],Transactions[[#This Row],[L1N]],IF(Transactions[[#This Row],[Level 5]]=Transactions[[#This Row],[L3N]],Transactions[[#This Row],[L2N]],IF(Transactions[[#This Row],[Level 5]]=Transactions[[#This Row],[L4N]],Transactions[[#This Row],[L3N]],IF(Transactions[[#This Row],[Level 5]]=Transactions[[#This Row],[L5N]],Transactions[[#This Row],[L4N]],IF(Transactions[[#This Row],[Level 5]]=Transactions[[#This Row],[L6N]],Transactions[[#This Row],[L5N]],IF(Transactions[[#This Row],[Level 5]]=Transactions[[#This Row],[L7N]],Transactions[[#This Row],[L6N]],Transactions[[#This Row],[L7N]]))))))))</f>
        <v>Textile and leather</v>
      </c>
      <c r="AY48" s="24" t="str">
        <f>IF(Transactions[[#This Row],[Level 6]]=Transactions[[#This Row],[Transaction name]],Transactions[[#This Row],[Transaction name]],IF(Transactions[[#This Row],[Level 6]]=Transactions[[#This Row],[L1N]],Transactions[[#This Row],[Transaction name]],IF(Transactions[[#This Row],[Level 6]]=Transactions[[#This Row],[L2N]],Transactions[[#This Row],[L1N]],IF(Transactions[[#This Row],[Level 6]]=Transactions[[#This Row],[L3N]],Transactions[[#This Row],[L2N]],IF(Transactions[[#This Row],[Level 6]]=Transactions[[#This Row],[L4N]],Transactions[[#This Row],[L3N]],IF(Transactions[[#This Row],[Level 6]]=Transactions[[#This Row],[L5N]],Transactions[[#This Row],[L4N]],IF(Transactions[[#This Row],[Level 6]]=Transactions[[#This Row],[L6N]],Transactions[[#This Row],[L5N]],IF(Transactions[[#This Row],[Level 6]]=Transactions[[#This Row],[L7N]],Transactions[[#This Row],[L6N]],Transactions[[#This Row],[L7N]]))))))))</f>
        <v>Textile and leather</v>
      </c>
      <c r="BE48" s="26" t="str">
        <f>_xlfn.XLOOKUP(Transformation[[#This Row],[cfrom]],Commodities[Commodity],Commodities[Commodity code])</f>
        <v>4610</v>
      </c>
      <c r="BF48" s="26" t="str">
        <f>_xlfn.XLOOKUP(Transformation[[#This Row],[tfrom]],Transactions[Transaction name],Transactions[Transaction code])</f>
        <v>08822</v>
      </c>
      <c r="BG48" s="26" t="str">
        <f>_xlfn.XLOOKUP(Transformation[[#This Row],[cto]],Commodities[Commodity],Commodities[Commodity code])</f>
        <v>4610</v>
      </c>
      <c r="BH48" s="26" t="str">
        <f>_xlfn.XLOOKUP(Transformation[[#This Row],[tto]],Transactions[Transaction name],Transactions[Transaction code])</f>
        <v>016OPC</v>
      </c>
      <c r="BI48" s="11">
        <v>1</v>
      </c>
      <c r="BJ48" s="4" t="s">
        <v>416</v>
      </c>
      <c r="BK48" s="24" t="str">
        <f>_xlfn.XLOOKUP(Transformation[[#This Row],[Commodity from]],Commodities[Commodity code],Commodities[EnergyCode])</f>
        <v>RG</v>
      </c>
      <c r="BL48" s="4" t="s">
        <v>692</v>
      </c>
      <c r="BM48" s="4" t="s">
        <v>416</v>
      </c>
      <c r="BN48" s="24" t="str">
        <f>_xlfn.XLOOKUP(Transformation[[#This Row],[Commodity to]],Commodities[Commodity code],Commodities[EnergyCode])</f>
        <v>RG</v>
      </c>
      <c r="BO48" s="4" t="s">
        <v>1054</v>
      </c>
      <c r="BP48" s="16" t="s">
        <v>1493</v>
      </c>
      <c r="BQ48" s="33" t="str">
        <f>Transformation[[#This Row],[Commodity from]]&amp;Transformation[[#This Row],[Transaction from]]&amp;Transformation[[#This Row],[Commodity to]]&amp;Transformation[[#This Row],[Transaction to]]</f>
        <v>4610088224610016OPC</v>
      </c>
      <c r="BR48" s="26" t="str">
        <f>Transformation[[#This Row],[crfomid]]&amp;Transformation[[#This Row],[Transaction from]]&amp;"("&amp;Transformation[[#This Row],[Multiplier]]&amp;") -&gt; "&amp;Transformation[[#This Row],[ctoid]]&amp;Transformation[[#This Row],[Transaction to]]</f>
        <v>RG08822(1) -&gt; RG016OPC</v>
      </c>
      <c r="BT48" s="26" t="str">
        <f>_xlfn.XLOOKUP(Signswitch[[#This Row],[Commodity name]],Commodities[Commodity],Commodities[Commodity code])</f>
        <v>5222</v>
      </c>
      <c r="BU48" s="26" t="str">
        <f>_xlfn.XLOOKUP(Signswitch[[#This Row],[Transaction name]],Transactions[Transaction name],Transactions[Transaction code])</f>
        <v>1214G</v>
      </c>
      <c r="BV48" s="26" t="str">
        <f>Signswitch[[#This Row],[Commodity from]]&amp;Signswitch[[#This Row],[Transaction from]]</f>
        <v>52221214G</v>
      </c>
      <c r="BW48" s="22" t="s">
        <v>962</v>
      </c>
      <c r="BX48" s="26" t="str">
        <f>_xlfn.XLOOKUP(Signswitch[[#This Row],[Commodity from]],Commodities[Commodity code],Commodities[EnergyCode])</f>
        <v>ZD</v>
      </c>
      <c r="BY48" s="22" t="s">
        <v>452</v>
      </c>
    </row>
    <row r="49" spans="8:77" x14ac:dyDescent="0.45">
      <c r="H49" s="5" t="s">
        <v>382</v>
      </c>
      <c r="I49" s="4" t="s">
        <v>381</v>
      </c>
      <c r="J49" s="9" t="s">
        <v>376</v>
      </c>
      <c r="K49" s="9" t="s">
        <v>1447</v>
      </c>
      <c r="L49" s="23" t="str">
        <f>IFERROR(INDEX(Commodities[[Commodity code]:[Commodity]],MATCH(Commodities[[#This Row],[Parent code]],Commodities[Commodity code],0),2),Commodities[[#This Row],[Commodity]])</f>
        <v>Kerosenes</v>
      </c>
      <c r="M49" s="24" t="str">
        <f>IFERROR(INDEX(Commodities[[Commodity code]:[Commodity]],MATCH(INDEX(Commodities[[Commodity]:[Parent code]],MATCH(Commodities[[#This Row],[L1N]],Commodities[Commodity],0),2),Commodities[Commodity code],0),2),Commodities[[#This Row],[L1N]])</f>
        <v>Oil products</v>
      </c>
      <c r="N49" s="24" t="str">
        <f>IFERROR(INDEX(Commodities[[Commodity code]:[Commodity]],MATCH(INDEX(Commodities[[Commodity]:[Parent code]],MATCH(Commodities[[#This Row],[L2N]],Commodities[Commodity],0),2),Commodities[Commodity code],0),2),Commodities[[#This Row],[L2N]])</f>
        <v>Oil</v>
      </c>
      <c r="O49" s="24" t="str">
        <f>IFERROR(INDEX(Commodities[[Commodity code]:[Commodity]],MATCH(INDEX(Commodities[[Commodity]:[Parent code]],MATCH(Commodities[[#This Row],[L3N]],Commodities[Commodity],0),2),Commodities[Commodity code],0),2),Commodities[[#This Row],[L3N]])</f>
        <v>Oil</v>
      </c>
      <c r="P49" s="24" t="str">
        <f>IF(Commodities[[#This Row],[L4N]]=Commodities[[#This Row],[L3N]],Commodities[[#This Row],[L4N]],IF(Commodities[[#This Row],[L3N]]=Commodities[[#This Row],[L2N]],Commodities[[#This Row],[L3N]],IF(Commodities[[#This Row],[L2N]]=Commodities[[#This Row],[L1N]],Commodities[[#This Row],[L2N]],IF(Commodities[[#This Row],[L1N]]=Commodities[[#This Row],[Commodity]],Commodities[[#This Row],[L1N]],Commodities[[#This Row],[Commodity]]))))</f>
        <v>Oil</v>
      </c>
      <c r="Q49" s="24" t="str">
        <f>IF(Commodities[[#This Row],[Level 0]]=Commodities[[#This Row],[Commodity]],Commodities[[#This Row],[Commodity]],IF(Commodities[[#This Row],[Level 0]]=Commodities[[#This Row],[L1N]],Commodities[[#This Row],[Commodity]],IF(Commodities[[#This Row],[Level 0]]=Commodities[[#This Row],[L2N]],Commodities[[#This Row],[L1N]],IF(Commodities[[#This Row],[Level 0]]=Commodities[[#This Row],[L3N]],Commodities[[#This Row],[L2N]],IF(Commodities[[#This Row],[Level 0]]=Commodities[[#This Row],[L4N]],Commodities[[#This Row],[L3N]],Commodities[[#This Row],[L4N]])))))</f>
        <v>Oil products</v>
      </c>
      <c r="R49" s="24" t="str">
        <f>IF(Commodities[[#This Row],[Level 1]]=Commodities[[#This Row],[Commodity]],Commodities[[#This Row],[Commodity]],IF(Commodities[[#This Row],[Level 1]]=Commodities[[#This Row],[L1N]],Commodities[[#This Row],[Commodity]],IF(Commodities[[#This Row],[Level 1]]=Commodities[[#This Row],[L2N]],Commodities[[#This Row],[L1N]],IF(Commodities[[#This Row],[Level 1]]=Commodities[[#This Row],[L3N]],Commodities[[#This Row],[L2N]],IF(Commodities[[#This Row],[Level 1]]=Commodities[[#This Row],[L4N]],Commodities[[#This Row],[L3N]],Commodities[[#This Row],[L4N]])))))</f>
        <v>Kerosenes</v>
      </c>
      <c r="S49" s="24" t="str">
        <f>IF(Commodities[[#This Row],[Level 2]]=Commodities[[#This Row],[Commodity]],Commodities[[#This Row],[Commodity]],IF(Commodities[[#This Row],[Level 2]]=Commodities[[#This Row],[L1N]],Commodities[[#This Row],[Commodity]],IF(Commodities[[#This Row],[Level 2]]=Commodities[[#This Row],[L2N]],Commodities[[#This Row],[L1N]],IF(Commodities[[#This Row],[Level 2]]=Commodities[[#This Row],[L3N]],Commodities[[#This Row],[L2N]],IF(Commodities[[#This Row],[Level 2]]=Commodities[[#This Row],[L4N]],Commodities[[#This Row],[L3N]],Commodities[[#This Row],[L4N]])))))</f>
        <v>Kerosene-type jet fuel</v>
      </c>
      <c r="T49" s="24" t="str">
        <f>IF(Commodities[[#This Row],[Level 3]]=Commodities[[#This Row],[Commodity]],Commodities[[#This Row],[Commodity]],IF(Commodities[[#This Row],[Level 3]]=Commodities[[#This Row],[L1N]],Commodities[[#This Row],[Commodity]],IF(Commodities[[#This Row],[Level 3]]=Commodities[[#This Row],[L2N]],Commodities[[#This Row],[L1N]],IF(Commodities[[#This Row],[Level 3]]=Commodities[[#This Row],[L3N]],Commodities[[#This Row],[L2N]],IF(Commodities[[#This Row],[Level 3]]=Commodities[[#This Row],[L4N]],Commodities[[#This Row],[L3N]],Commodities[[#This Row],[L4N]])))))</f>
        <v>Kerosene-type jet fuel</v>
      </c>
      <c r="U49" s="24" t="str">
        <f>IF(Commodities[[#This Row],[Level 4]]=Commodities[[#This Row],[Commodity]],Commodities[[#This Row],[Commodity]],IF(Commodities[[#This Row],[Level 4]]=Commodities[[#This Row],[L1N]],Commodities[[#This Row],[Commodity]],IF(Commodities[[#This Row],[Level 4]]=Commodities[[#This Row],[L2N]],Commodities[[#This Row],[L1N]],IF(Commodities[[#This Row],[Level 4]]=Commodities[[#This Row],[L3N]],Commodities[[#This Row],[L2N]],IF(Commodities[[#This Row],[Level 4]]=Commodities[[#This Row],[L4N]],Commodities[[#This Row],[L3N]],Commodities[[#This Row],[L4N]])))))</f>
        <v>Kerosene-type jet fuel</v>
      </c>
      <c r="Y49" s="5" t="s">
        <v>124</v>
      </c>
      <c r="Z49" s="4" t="s">
        <v>469</v>
      </c>
      <c r="AA49" s="4" t="s">
        <v>469</v>
      </c>
      <c r="AB49" s="4" t="s">
        <v>127</v>
      </c>
      <c r="AC49" s="24" t="str">
        <f>IFERROR(VLOOKUP(Transactions[[#This Row],[Parent code]],Transactions[[Transaction code]:[Transaction name]],2,0),"")</f>
        <v>Manufacturing, construction and non-fuel industry</v>
      </c>
      <c r="AD49" s="4" t="s">
        <v>630</v>
      </c>
      <c r="AE49" s="4" t="s">
        <v>914</v>
      </c>
      <c r="AF49" s="4" t="s">
        <v>642</v>
      </c>
      <c r="AG49" s="4" t="s">
        <v>1</v>
      </c>
      <c r="AH49" s="4" t="s">
        <v>696</v>
      </c>
      <c r="AK49" s="24" t="str" cm="1">
        <f t="array" ref="AK49">IFERROR(INDEX(Transactions[[Transaction code]:[Transaction name]],_xlfn.XMATCH(Transactions[[#This Row],[Parent code]],Transactions[Transaction name],0),3),Transactions[[#This Row],[Transaction name]])</f>
        <v>Transport equipment</v>
      </c>
      <c r="AL49" s="24" t="str" cm="1">
        <f t="array" ref="AL49">IFERROR(INDEX(Transactions[[Transaction code]:[Transaction name]],_xlfn.XMATCH(INDEX(Transactions[[Transaction name]:[Parent code]],_xlfn.XMATCH(Transactions[[#This Row],[L1N]],Transactions[Transaction name],0),3),Transactions[Transaction code],0),2),Transactions[[#This Row],[L1N]])</f>
        <v>Manufacturing, construction and non-fuel industry</v>
      </c>
      <c r="AM49" s="24" t="str" cm="1">
        <f t="array" ref="AM49">IFERROR(INDEX(Transactions[[Transaction code]:[Transaction name]],_xlfn.XMATCH(INDEX(Transactions[[Transaction name]:[Parent code]],_xlfn.XMATCH(Transactions[[#This Row],[L2N]],Transactions[Transaction name],0),3),Transactions[Transaction code],0),2),Transactions[[#This Row],[L2N]])</f>
        <v>Total Final Energy Consumption</v>
      </c>
      <c r="AN49" s="24" t="str" cm="1">
        <f t="array" ref="AN49">IFERROR(INDEX(Transactions[[Transaction code]:[Transaction name]],_xlfn.XMATCH(INDEX(Transactions[[Transaction name]:[Parent code]],_xlfn.XMATCH(Transactions[[#This Row],[L3N]],Transactions[Transaction name],0),3),Transactions[Transaction code],0),2),Transactions[[#This Row],[L3N]])</f>
        <v>Final consumption</v>
      </c>
      <c r="AO49" s="24" t="str" cm="1">
        <f t="array" ref="AO49">IFERROR(INDEX(Transactions[[Transaction code]:[Transaction name]],_xlfn.XMATCH(INDEX(Transactions[[Transaction name]:[Parent code]],_xlfn.XMATCH(Transactions[[#This Row],[L4N]],Transactions[Transaction name],0),3),Transactions[Transaction code],0),2),Transactions[[#This Row],[L4N]])</f>
        <v>Final consumption</v>
      </c>
      <c r="AP49" s="24" t="str" cm="1">
        <f t="array" ref="AP49">IFERROR(INDEX(Transactions[[Transaction code]:[Transaction name]],_xlfn.XMATCH(INDEX(Transactions[[Transaction name]:[Parent code]],_xlfn.XMATCH(Transactions[[#This Row],[L5N]],Transactions[Transaction name],0),3),Transactions[Transaction code],0),2),Transactions[[#This Row],[L5N]])</f>
        <v>Final consumption</v>
      </c>
      <c r="AQ49" s="24" t="str" cm="1">
        <f t="array" ref="AQ49">IFERROR(INDEX(Transactions[[Transaction code]:[Transaction name]],_xlfn.XMATCH(INDEX(Transactions[[Transaction name]:[Parent code]],_xlfn.XMATCH(Transactions[[#This Row],[L6N]],Transactions[Transaction name],0),3),Transactions[Transaction code],0),2),Transactions[[#This Row],[L6N]])</f>
        <v>Final consumption</v>
      </c>
      <c r="AR49" s="27" t="str">
        <f>IF(Transactions[[#This Row],[L7N]]=Transactions[[#This Row],[L6N]],Transactions[[#This Row],[L7N]],IF(Transactions[[#This Row],[L6N]]=Transactions[[#This Row],[L5N]],Transactions[[#This Row],[L6N]],IF(Transactions[[#This Row],[L5N]]=Transactions[[#This Row],[L4N]],Transactions[[#This Row],[L5N]],IF(Transactions[[#This Row],[L4N]]=Transactions[[#This Row],[L3N]],Transactions[[#This Row],[L4N]],IF(Transactions[[#This Row],[L3N]]=Transactions[[#This Row],[L2N]],Transactions[[#This Row],[L3N]],IF(Transactions[[#This Row],[L2N]]=Transactions[[#This Row],[L1N]],Transactions[[#This Row],[L2N]],IF(Transactions[[#This Row],[L1N]]=Transactions[[#This Row],[Transaction name]],Transactions[[#This Row],[L1N]],Transactions[[#This Row],[Transaction name]])))))))</f>
        <v>Final consumption</v>
      </c>
      <c r="AS49" s="24" t="str">
        <f>IF(Transactions[[#This Row],[Level 0]]=Transactions[[#This Row],[Transaction name]],Transactions[[#This Row],[Transaction name]],IF(Transactions[[#This Row],[Level 0]]=Transactions[[#This Row],[L1N]],Transactions[[#This Row],[Transaction name]],IF(Transactions[[#This Row],[Level 0]]=Transactions[[#This Row],[L2N]],Transactions[[#This Row],[L1N]],IF(Transactions[[#This Row],[Level 0]]=Transactions[[#This Row],[L3N]],Transactions[[#This Row],[L2N]],IF(Transactions[[#This Row],[Level 0]]=Transactions[[#This Row],[L4N]],Transactions[[#This Row],[L3N]],IF(Transactions[[#This Row],[Level 0]]=Transactions[[#This Row],[L5N]],Transactions[[#This Row],[L4N]],IF(Transactions[[#This Row],[Level 0]]=Transactions[[#This Row],[L6N]],Transactions[[#This Row],[L5N]],IF(Transactions[[#This Row],[Level 0]]=Transactions[[#This Row],[L7N]],Transactions[[#This Row],[L6N]],Transactions[[#This Row],[L7N]]))))))))</f>
        <v>Total Final Energy Consumption</v>
      </c>
      <c r="AT49" s="24" t="str">
        <f>IF(Transactions[[#This Row],[Level 1]]=Transactions[[#This Row],[Transaction name]],Transactions[[#This Row],[Transaction name]],IF(Transactions[[#This Row],[Level 1]]=Transactions[[#This Row],[L1N]],Transactions[[#This Row],[Transaction name]],IF(Transactions[[#This Row],[Level 1]]=Transactions[[#This Row],[L2N]],Transactions[[#This Row],[L1N]],IF(Transactions[[#This Row],[Level 1]]=Transactions[[#This Row],[L3N]],Transactions[[#This Row],[L2N]],IF(Transactions[[#This Row],[Level 1]]=Transactions[[#This Row],[L4N]],Transactions[[#This Row],[L3N]],IF(Transactions[[#This Row],[Level 1]]=Transactions[[#This Row],[L5N]],Transactions[[#This Row],[L4N]],IF(Transactions[[#This Row],[Level 1]]=Transactions[[#This Row],[L6N]],Transactions[[#This Row],[L5N]],IF(Transactions[[#This Row],[Level 1]]=Transactions[[#This Row],[L7N]],Transactions[[#This Row],[L6N]],Transactions[[#This Row],[L7N]]))))))))</f>
        <v>Manufacturing, construction and non-fuel industry</v>
      </c>
      <c r="AU49" s="24" t="str">
        <f>IF(Transactions[[#This Row],[Level 2]]=Transactions[[#This Row],[Transaction name]],Transactions[[#This Row],[Transaction name]],IF(Transactions[[#This Row],[Level 2]]=Transactions[[#This Row],[L1N]],Transactions[[#This Row],[Transaction name]],IF(Transactions[[#This Row],[Level 2]]=Transactions[[#This Row],[L2N]],Transactions[[#This Row],[L1N]],IF(Transactions[[#This Row],[Level 2]]=Transactions[[#This Row],[L3N]],Transactions[[#This Row],[L2N]],IF(Transactions[[#This Row],[Level 2]]=Transactions[[#This Row],[L4N]],Transactions[[#This Row],[L3N]],IF(Transactions[[#This Row],[Level 2]]=Transactions[[#This Row],[L5N]],Transactions[[#This Row],[L4N]],IF(Transactions[[#This Row],[Level 2]]=Transactions[[#This Row],[L6N]],Transactions[[#This Row],[L5N]],IF(Transactions[[#This Row],[Level 2]]=Transactions[[#This Row],[L7N]],Transactions[[#This Row],[L6N]],Transactions[[#This Row],[L7N]]))))))))</f>
        <v>Transport equipment</v>
      </c>
      <c r="AV49" s="24" t="str">
        <f>IF(Transactions[[#This Row],[Level 3]]=Transactions[[#This Row],[Transaction name]],Transactions[[#This Row],[Transaction name]],IF(Transactions[[#This Row],[Level 3]]=Transactions[[#This Row],[L1N]],Transactions[[#This Row],[Transaction name]],IF(Transactions[[#This Row],[Level 3]]=Transactions[[#This Row],[L2N]],Transactions[[#This Row],[L1N]],IF(Transactions[[#This Row],[Level 3]]=Transactions[[#This Row],[L3N]],Transactions[[#This Row],[L2N]],IF(Transactions[[#This Row],[Level 3]]=Transactions[[#This Row],[L4N]],Transactions[[#This Row],[L3N]],IF(Transactions[[#This Row],[Level 3]]=Transactions[[#This Row],[L5N]],Transactions[[#This Row],[L4N]],IF(Transactions[[#This Row],[Level 3]]=Transactions[[#This Row],[L6N]],Transactions[[#This Row],[L5N]],IF(Transactions[[#This Row],[Level 3]]=Transactions[[#This Row],[L7N]],Transactions[[#This Row],[L6N]],Transactions[[#This Row],[L7N]]))))))))</f>
        <v>Transport equipment</v>
      </c>
      <c r="AW49" s="24" t="str">
        <f>IF(Transactions[[#This Row],[Level 4]]=Transactions[[#This Row],[Transaction name]],Transactions[[#This Row],[Transaction name]],IF(Transactions[[#This Row],[Level 4]]=Transactions[[#This Row],[L1N]],Transactions[[#This Row],[Transaction name]],IF(Transactions[[#This Row],[Level 4]]=Transactions[[#This Row],[L2N]],Transactions[[#This Row],[L1N]],IF(Transactions[[#This Row],[Level 4]]=Transactions[[#This Row],[L3N]],Transactions[[#This Row],[L2N]],IF(Transactions[[#This Row],[Level 4]]=Transactions[[#This Row],[L4N]],Transactions[[#This Row],[L3N]],IF(Transactions[[#This Row],[Level 4]]=Transactions[[#This Row],[L5N]],Transactions[[#This Row],[L4N]],IF(Transactions[[#This Row],[Level 4]]=Transactions[[#This Row],[L6N]],Transactions[[#This Row],[L5N]],IF(Transactions[[#This Row],[Level 4]]=Transactions[[#This Row],[L7N]],Transactions[[#This Row],[L6N]],Transactions[[#This Row],[L7N]]))))))))</f>
        <v>Transport equipment</v>
      </c>
      <c r="AX49" s="24" t="str">
        <f>IF(Transactions[[#This Row],[Level 5]]=Transactions[[#This Row],[Transaction name]],Transactions[[#This Row],[Transaction name]],IF(Transactions[[#This Row],[Level 5]]=Transactions[[#This Row],[L1N]],Transactions[[#This Row],[Transaction name]],IF(Transactions[[#This Row],[Level 5]]=Transactions[[#This Row],[L2N]],Transactions[[#This Row],[L1N]],IF(Transactions[[#This Row],[Level 5]]=Transactions[[#This Row],[L3N]],Transactions[[#This Row],[L2N]],IF(Transactions[[#This Row],[Level 5]]=Transactions[[#This Row],[L4N]],Transactions[[#This Row],[L3N]],IF(Transactions[[#This Row],[Level 5]]=Transactions[[#This Row],[L5N]],Transactions[[#This Row],[L4N]],IF(Transactions[[#This Row],[Level 5]]=Transactions[[#This Row],[L6N]],Transactions[[#This Row],[L5N]],IF(Transactions[[#This Row],[Level 5]]=Transactions[[#This Row],[L7N]],Transactions[[#This Row],[L6N]],Transactions[[#This Row],[L7N]]))))))))</f>
        <v>Transport equipment</v>
      </c>
      <c r="AY49" s="24" t="str">
        <f>IF(Transactions[[#This Row],[Level 6]]=Transactions[[#This Row],[Transaction name]],Transactions[[#This Row],[Transaction name]],IF(Transactions[[#This Row],[Level 6]]=Transactions[[#This Row],[L1N]],Transactions[[#This Row],[Transaction name]],IF(Transactions[[#This Row],[Level 6]]=Transactions[[#This Row],[L2N]],Transactions[[#This Row],[L1N]],IF(Transactions[[#This Row],[Level 6]]=Transactions[[#This Row],[L3N]],Transactions[[#This Row],[L2N]],IF(Transactions[[#This Row],[Level 6]]=Transactions[[#This Row],[L4N]],Transactions[[#This Row],[L3N]],IF(Transactions[[#This Row],[Level 6]]=Transactions[[#This Row],[L5N]],Transactions[[#This Row],[L4N]],IF(Transactions[[#This Row],[Level 6]]=Transactions[[#This Row],[L6N]],Transactions[[#This Row],[L5N]],IF(Transactions[[#This Row],[Level 6]]=Transactions[[#This Row],[L7N]],Transactions[[#This Row],[L6N]],Transactions[[#This Row],[L7N]]))))))))</f>
        <v>Transport equipment</v>
      </c>
      <c r="BE49" s="26" t="str">
        <f>_xlfn.XLOOKUP(Transformation[[#This Row],[cfrom]],Commodities[Commodity],Commodities[Commodity code])</f>
        <v>5150</v>
      </c>
      <c r="BF49" s="26" t="str">
        <f>_xlfn.XLOOKUP(Transformation[[#This Row],[tfrom]],Transactions[Transaction name],Transactions[Transaction code])</f>
        <v>08822</v>
      </c>
      <c r="BG49" s="26" t="str">
        <f>_xlfn.XLOOKUP(Transformation[[#This Row],[cto]],Commodities[Commodity],Commodities[Commodity code])</f>
        <v>5150</v>
      </c>
      <c r="BH49" s="26" t="str">
        <f>_xlfn.XLOOKUP(Transformation[[#This Row],[tto]],Transactions[Transaction name],Transactions[Transaction code])</f>
        <v>016BSC</v>
      </c>
      <c r="BI49" s="11">
        <v>1</v>
      </c>
      <c r="BJ49" s="4" t="s">
        <v>328</v>
      </c>
      <c r="BK49" s="24" t="str">
        <f>_xlfn.XLOOKUP(Transformation[[#This Row],[Commodity from]],Commodities[Commodity code],Commodities[EnergyCode])</f>
        <v>VW</v>
      </c>
      <c r="BL49" s="4" t="s">
        <v>692</v>
      </c>
      <c r="BM49" s="4" t="s">
        <v>328</v>
      </c>
      <c r="BN49" s="24" t="str">
        <f>_xlfn.XLOOKUP(Transformation[[#This Row],[Commodity to]],Commodities[Commodity code],Commodities[EnergyCode])</f>
        <v>VW</v>
      </c>
      <c r="BO49" s="4" t="s">
        <v>1126</v>
      </c>
      <c r="BP49" s="16" t="s">
        <v>1493</v>
      </c>
      <c r="BQ49" s="33" t="str">
        <f>Transformation[[#This Row],[Commodity from]]&amp;Transformation[[#This Row],[Transaction from]]&amp;Transformation[[#This Row],[Commodity to]]&amp;Transformation[[#This Row],[Transaction to]]</f>
        <v>5150088225150016BSC</v>
      </c>
      <c r="BR49" s="26" t="str">
        <f>Transformation[[#This Row],[crfomid]]&amp;Transformation[[#This Row],[Transaction from]]&amp;"("&amp;Transformation[[#This Row],[Multiplier]]&amp;") -&gt; "&amp;Transformation[[#This Row],[ctoid]]&amp;Transformation[[#This Row],[Transaction to]]</f>
        <v>VW08822(1) -&gt; VW016BSC</v>
      </c>
      <c r="BT49" s="26" t="str">
        <f>_xlfn.XLOOKUP(Signswitch[[#This Row],[Commodity name]],Commodities[Commodity],Commodities[Commodity code])</f>
        <v>5212</v>
      </c>
      <c r="BU49" s="26" t="str">
        <f>_xlfn.XLOOKUP(Signswitch[[#This Row],[Transaction name]],Transactions[Transaction name],Transactions[Transaction code])</f>
        <v>1214G</v>
      </c>
      <c r="BV49" s="26" t="str">
        <f>Signswitch[[#This Row],[Commodity from]]&amp;Signswitch[[#This Row],[Transaction from]]</f>
        <v>52121214G</v>
      </c>
      <c r="BW49" s="22" t="s">
        <v>317</v>
      </c>
      <c r="BX49" s="26" t="str">
        <f>_xlfn.XLOOKUP(Signswitch[[#This Row],[Commodity from]],Commodities[Commodity code],Commodities[EnergyCode])</f>
        <v>ZG</v>
      </c>
      <c r="BY49" s="22" t="s">
        <v>452</v>
      </c>
    </row>
    <row r="50" spans="8:77" x14ac:dyDescent="0.45">
      <c r="H50" s="5" t="s">
        <v>378</v>
      </c>
      <c r="I50" s="4" t="s">
        <v>377</v>
      </c>
      <c r="J50" s="9" t="s">
        <v>376</v>
      </c>
      <c r="K50" s="9" t="s">
        <v>1448</v>
      </c>
      <c r="L50" s="23" t="str">
        <f>IFERROR(INDEX(Commodities[[Commodity code]:[Commodity]],MATCH(Commodities[[#This Row],[Parent code]],Commodities[Commodity code],0),2),Commodities[[#This Row],[Commodity]])</f>
        <v>Kerosenes</v>
      </c>
      <c r="M50" s="24" t="str">
        <f>IFERROR(INDEX(Commodities[[Commodity code]:[Commodity]],MATCH(INDEX(Commodities[[Commodity]:[Parent code]],MATCH(Commodities[[#This Row],[L1N]],Commodities[Commodity],0),2),Commodities[Commodity code],0),2),Commodities[[#This Row],[L1N]])</f>
        <v>Oil products</v>
      </c>
      <c r="N50" s="24" t="str">
        <f>IFERROR(INDEX(Commodities[[Commodity code]:[Commodity]],MATCH(INDEX(Commodities[[Commodity]:[Parent code]],MATCH(Commodities[[#This Row],[L2N]],Commodities[Commodity],0),2),Commodities[Commodity code],0),2),Commodities[[#This Row],[L2N]])</f>
        <v>Oil</v>
      </c>
      <c r="O50" s="24" t="str">
        <f>IFERROR(INDEX(Commodities[[Commodity code]:[Commodity]],MATCH(INDEX(Commodities[[Commodity]:[Parent code]],MATCH(Commodities[[#This Row],[L3N]],Commodities[Commodity],0),2),Commodities[Commodity code],0),2),Commodities[[#This Row],[L3N]])</f>
        <v>Oil</v>
      </c>
      <c r="P50" s="24" t="str">
        <f>IF(Commodities[[#This Row],[L4N]]=Commodities[[#This Row],[L3N]],Commodities[[#This Row],[L4N]],IF(Commodities[[#This Row],[L3N]]=Commodities[[#This Row],[L2N]],Commodities[[#This Row],[L3N]],IF(Commodities[[#This Row],[L2N]]=Commodities[[#This Row],[L1N]],Commodities[[#This Row],[L2N]],IF(Commodities[[#This Row],[L1N]]=Commodities[[#This Row],[Commodity]],Commodities[[#This Row],[L1N]],Commodities[[#This Row],[Commodity]]))))</f>
        <v>Oil</v>
      </c>
      <c r="Q50" s="24" t="str">
        <f>IF(Commodities[[#This Row],[Level 0]]=Commodities[[#This Row],[Commodity]],Commodities[[#This Row],[Commodity]],IF(Commodities[[#This Row],[Level 0]]=Commodities[[#This Row],[L1N]],Commodities[[#This Row],[Commodity]],IF(Commodities[[#This Row],[Level 0]]=Commodities[[#This Row],[L2N]],Commodities[[#This Row],[L1N]],IF(Commodities[[#This Row],[Level 0]]=Commodities[[#This Row],[L3N]],Commodities[[#This Row],[L2N]],IF(Commodities[[#This Row],[Level 0]]=Commodities[[#This Row],[L4N]],Commodities[[#This Row],[L3N]],Commodities[[#This Row],[L4N]])))))</f>
        <v>Oil products</v>
      </c>
      <c r="R50" s="24" t="str">
        <f>IF(Commodities[[#This Row],[Level 1]]=Commodities[[#This Row],[Commodity]],Commodities[[#This Row],[Commodity]],IF(Commodities[[#This Row],[Level 1]]=Commodities[[#This Row],[L1N]],Commodities[[#This Row],[Commodity]],IF(Commodities[[#This Row],[Level 1]]=Commodities[[#This Row],[L2N]],Commodities[[#This Row],[L1N]],IF(Commodities[[#This Row],[Level 1]]=Commodities[[#This Row],[L3N]],Commodities[[#This Row],[L2N]],IF(Commodities[[#This Row],[Level 1]]=Commodities[[#This Row],[L4N]],Commodities[[#This Row],[L3N]],Commodities[[#This Row],[L4N]])))))</f>
        <v>Kerosenes</v>
      </c>
      <c r="S50" s="24" t="str">
        <f>IF(Commodities[[#This Row],[Level 2]]=Commodities[[#This Row],[Commodity]],Commodities[[#This Row],[Commodity]],IF(Commodities[[#This Row],[Level 2]]=Commodities[[#This Row],[L1N]],Commodities[[#This Row],[Commodity]],IF(Commodities[[#This Row],[Level 2]]=Commodities[[#This Row],[L2N]],Commodities[[#This Row],[L1N]],IF(Commodities[[#This Row],[Level 2]]=Commodities[[#This Row],[L3N]],Commodities[[#This Row],[L2N]],IF(Commodities[[#This Row],[Level 2]]=Commodities[[#This Row],[L4N]],Commodities[[#This Row],[L3N]],Commodities[[#This Row],[L4N]])))))</f>
        <v>Other kerosene</v>
      </c>
      <c r="T50" s="24" t="str">
        <f>IF(Commodities[[#This Row],[Level 3]]=Commodities[[#This Row],[Commodity]],Commodities[[#This Row],[Commodity]],IF(Commodities[[#This Row],[Level 3]]=Commodities[[#This Row],[L1N]],Commodities[[#This Row],[Commodity]],IF(Commodities[[#This Row],[Level 3]]=Commodities[[#This Row],[L2N]],Commodities[[#This Row],[L1N]],IF(Commodities[[#This Row],[Level 3]]=Commodities[[#This Row],[L3N]],Commodities[[#This Row],[L2N]],IF(Commodities[[#This Row],[Level 3]]=Commodities[[#This Row],[L4N]],Commodities[[#This Row],[L3N]],Commodities[[#This Row],[L4N]])))))</f>
        <v>Other kerosene</v>
      </c>
      <c r="U50" s="24" t="str">
        <f>IF(Commodities[[#This Row],[Level 4]]=Commodities[[#This Row],[Commodity]],Commodities[[#This Row],[Commodity]],IF(Commodities[[#This Row],[Level 4]]=Commodities[[#This Row],[L1N]],Commodities[[#This Row],[Commodity]],IF(Commodities[[#This Row],[Level 4]]=Commodities[[#This Row],[L2N]],Commodities[[#This Row],[L1N]],IF(Commodities[[#This Row],[Level 4]]=Commodities[[#This Row],[L3N]],Commodities[[#This Row],[L2N]],IF(Commodities[[#This Row],[Level 4]]=Commodities[[#This Row],[L4N]],Commodities[[#This Row],[L3N]],Commodities[[#This Row],[L4N]])))))</f>
        <v>Other kerosene</v>
      </c>
      <c r="Y50" s="5" t="s">
        <v>119</v>
      </c>
      <c r="Z50" s="4" t="s">
        <v>448</v>
      </c>
      <c r="AA50" s="4" t="s">
        <v>448</v>
      </c>
      <c r="AB50" s="4" t="s">
        <v>127</v>
      </c>
      <c r="AC50" s="24" t="str">
        <f>IFERROR(VLOOKUP(Transactions[[#This Row],[Parent code]],Transactions[[Transaction code]:[Transaction name]],2,0),"")</f>
        <v>Manufacturing, construction and non-fuel industry</v>
      </c>
      <c r="AD50" s="4" t="s">
        <v>630</v>
      </c>
      <c r="AE50" s="4" t="s">
        <v>914</v>
      </c>
      <c r="AF50" s="4" t="s">
        <v>642</v>
      </c>
      <c r="AG50" s="4" t="s">
        <v>1</v>
      </c>
      <c r="AH50" s="4" t="s">
        <v>696</v>
      </c>
      <c r="AK50" s="24" t="str" cm="1">
        <f t="array" ref="AK50">IFERROR(INDEX(Transactions[[Transaction code]:[Transaction name]],_xlfn.XMATCH(Transactions[[#This Row],[Parent code]],Transactions[Transaction name],0),3),Transactions[[#This Row],[Transaction name]])</f>
        <v>Wood and wood products</v>
      </c>
      <c r="AL50" s="24" t="str" cm="1">
        <f t="array" ref="AL50">IFERROR(INDEX(Transactions[[Transaction code]:[Transaction name]],_xlfn.XMATCH(INDEX(Transactions[[Transaction name]:[Parent code]],_xlfn.XMATCH(Transactions[[#This Row],[L1N]],Transactions[Transaction name],0),3),Transactions[Transaction code],0),2),Transactions[[#This Row],[L1N]])</f>
        <v>Manufacturing, construction and non-fuel industry</v>
      </c>
      <c r="AM50" s="24" t="str" cm="1">
        <f t="array" ref="AM50">IFERROR(INDEX(Transactions[[Transaction code]:[Transaction name]],_xlfn.XMATCH(INDEX(Transactions[[Transaction name]:[Parent code]],_xlfn.XMATCH(Transactions[[#This Row],[L2N]],Transactions[Transaction name],0),3),Transactions[Transaction code],0),2),Transactions[[#This Row],[L2N]])</f>
        <v>Total Final Energy Consumption</v>
      </c>
      <c r="AN50" s="24" t="str" cm="1">
        <f t="array" ref="AN50">IFERROR(INDEX(Transactions[[Transaction code]:[Transaction name]],_xlfn.XMATCH(INDEX(Transactions[[Transaction name]:[Parent code]],_xlfn.XMATCH(Transactions[[#This Row],[L3N]],Transactions[Transaction name],0),3),Transactions[Transaction code],0),2),Transactions[[#This Row],[L3N]])</f>
        <v>Final consumption</v>
      </c>
      <c r="AO50" s="24" t="str" cm="1">
        <f t="array" ref="AO50">IFERROR(INDEX(Transactions[[Transaction code]:[Transaction name]],_xlfn.XMATCH(INDEX(Transactions[[Transaction name]:[Parent code]],_xlfn.XMATCH(Transactions[[#This Row],[L4N]],Transactions[Transaction name],0),3),Transactions[Transaction code],0),2),Transactions[[#This Row],[L4N]])</f>
        <v>Final consumption</v>
      </c>
      <c r="AP50" s="24" t="str" cm="1">
        <f t="array" ref="AP50">IFERROR(INDEX(Transactions[[Transaction code]:[Transaction name]],_xlfn.XMATCH(INDEX(Transactions[[Transaction name]:[Parent code]],_xlfn.XMATCH(Transactions[[#This Row],[L5N]],Transactions[Transaction name],0),3),Transactions[Transaction code],0),2),Transactions[[#This Row],[L5N]])</f>
        <v>Final consumption</v>
      </c>
      <c r="AQ50" s="24" t="str" cm="1">
        <f t="array" ref="AQ50">IFERROR(INDEX(Transactions[[Transaction code]:[Transaction name]],_xlfn.XMATCH(INDEX(Transactions[[Transaction name]:[Parent code]],_xlfn.XMATCH(Transactions[[#This Row],[L6N]],Transactions[Transaction name],0),3),Transactions[Transaction code],0),2),Transactions[[#This Row],[L6N]])</f>
        <v>Final consumption</v>
      </c>
      <c r="AR50" s="27" t="str">
        <f>IF(Transactions[[#This Row],[L7N]]=Transactions[[#This Row],[L6N]],Transactions[[#This Row],[L7N]],IF(Transactions[[#This Row],[L6N]]=Transactions[[#This Row],[L5N]],Transactions[[#This Row],[L6N]],IF(Transactions[[#This Row],[L5N]]=Transactions[[#This Row],[L4N]],Transactions[[#This Row],[L5N]],IF(Transactions[[#This Row],[L4N]]=Transactions[[#This Row],[L3N]],Transactions[[#This Row],[L4N]],IF(Transactions[[#This Row],[L3N]]=Transactions[[#This Row],[L2N]],Transactions[[#This Row],[L3N]],IF(Transactions[[#This Row],[L2N]]=Transactions[[#This Row],[L1N]],Transactions[[#This Row],[L2N]],IF(Transactions[[#This Row],[L1N]]=Transactions[[#This Row],[Transaction name]],Transactions[[#This Row],[L1N]],Transactions[[#This Row],[Transaction name]])))))))</f>
        <v>Final consumption</v>
      </c>
      <c r="AS50" s="24" t="str">
        <f>IF(Transactions[[#This Row],[Level 0]]=Transactions[[#This Row],[Transaction name]],Transactions[[#This Row],[Transaction name]],IF(Transactions[[#This Row],[Level 0]]=Transactions[[#This Row],[L1N]],Transactions[[#This Row],[Transaction name]],IF(Transactions[[#This Row],[Level 0]]=Transactions[[#This Row],[L2N]],Transactions[[#This Row],[L1N]],IF(Transactions[[#This Row],[Level 0]]=Transactions[[#This Row],[L3N]],Transactions[[#This Row],[L2N]],IF(Transactions[[#This Row],[Level 0]]=Transactions[[#This Row],[L4N]],Transactions[[#This Row],[L3N]],IF(Transactions[[#This Row],[Level 0]]=Transactions[[#This Row],[L5N]],Transactions[[#This Row],[L4N]],IF(Transactions[[#This Row],[Level 0]]=Transactions[[#This Row],[L6N]],Transactions[[#This Row],[L5N]],IF(Transactions[[#This Row],[Level 0]]=Transactions[[#This Row],[L7N]],Transactions[[#This Row],[L6N]],Transactions[[#This Row],[L7N]]))))))))</f>
        <v>Total Final Energy Consumption</v>
      </c>
      <c r="AT50" s="24" t="str">
        <f>IF(Transactions[[#This Row],[Level 1]]=Transactions[[#This Row],[Transaction name]],Transactions[[#This Row],[Transaction name]],IF(Transactions[[#This Row],[Level 1]]=Transactions[[#This Row],[L1N]],Transactions[[#This Row],[Transaction name]],IF(Transactions[[#This Row],[Level 1]]=Transactions[[#This Row],[L2N]],Transactions[[#This Row],[L1N]],IF(Transactions[[#This Row],[Level 1]]=Transactions[[#This Row],[L3N]],Transactions[[#This Row],[L2N]],IF(Transactions[[#This Row],[Level 1]]=Transactions[[#This Row],[L4N]],Transactions[[#This Row],[L3N]],IF(Transactions[[#This Row],[Level 1]]=Transactions[[#This Row],[L5N]],Transactions[[#This Row],[L4N]],IF(Transactions[[#This Row],[Level 1]]=Transactions[[#This Row],[L6N]],Transactions[[#This Row],[L5N]],IF(Transactions[[#This Row],[Level 1]]=Transactions[[#This Row],[L7N]],Transactions[[#This Row],[L6N]],Transactions[[#This Row],[L7N]]))))))))</f>
        <v>Manufacturing, construction and non-fuel industry</v>
      </c>
      <c r="AU50" s="24" t="str">
        <f>IF(Transactions[[#This Row],[Level 2]]=Transactions[[#This Row],[Transaction name]],Transactions[[#This Row],[Transaction name]],IF(Transactions[[#This Row],[Level 2]]=Transactions[[#This Row],[L1N]],Transactions[[#This Row],[Transaction name]],IF(Transactions[[#This Row],[Level 2]]=Transactions[[#This Row],[L2N]],Transactions[[#This Row],[L1N]],IF(Transactions[[#This Row],[Level 2]]=Transactions[[#This Row],[L3N]],Transactions[[#This Row],[L2N]],IF(Transactions[[#This Row],[Level 2]]=Transactions[[#This Row],[L4N]],Transactions[[#This Row],[L3N]],IF(Transactions[[#This Row],[Level 2]]=Transactions[[#This Row],[L5N]],Transactions[[#This Row],[L4N]],IF(Transactions[[#This Row],[Level 2]]=Transactions[[#This Row],[L6N]],Transactions[[#This Row],[L5N]],IF(Transactions[[#This Row],[Level 2]]=Transactions[[#This Row],[L7N]],Transactions[[#This Row],[L6N]],Transactions[[#This Row],[L7N]]))))))))</f>
        <v>Wood and wood products</v>
      </c>
      <c r="AV50" s="24" t="str">
        <f>IF(Transactions[[#This Row],[Level 3]]=Transactions[[#This Row],[Transaction name]],Transactions[[#This Row],[Transaction name]],IF(Transactions[[#This Row],[Level 3]]=Transactions[[#This Row],[L1N]],Transactions[[#This Row],[Transaction name]],IF(Transactions[[#This Row],[Level 3]]=Transactions[[#This Row],[L2N]],Transactions[[#This Row],[L1N]],IF(Transactions[[#This Row],[Level 3]]=Transactions[[#This Row],[L3N]],Transactions[[#This Row],[L2N]],IF(Transactions[[#This Row],[Level 3]]=Transactions[[#This Row],[L4N]],Transactions[[#This Row],[L3N]],IF(Transactions[[#This Row],[Level 3]]=Transactions[[#This Row],[L5N]],Transactions[[#This Row],[L4N]],IF(Transactions[[#This Row],[Level 3]]=Transactions[[#This Row],[L6N]],Transactions[[#This Row],[L5N]],IF(Transactions[[#This Row],[Level 3]]=Transactions[[#This Row],[L7N]],Transactions[[#This Row],[L6N]],Transactions[[#This Row],[L7N]]))))))))</f>
        <v>Wood and wood products</v>
      </c>
      <c r="AW50" s="24" t="str">
        <f>IF(Transactions[[#This Row],[Level 4]]=Transactions[[#This Row],[Transaction name]],Transactions[[#This Row],[Transaction name]],IF(Transactions[[#This Row],[Level 4]]=Transactions[[#This Row],[L1N]],Transactions[[#This Row],[Transaction name]],IF(Transactions[[#This Row],[Level 4]]=Transactions[[#This Row],[L2N]],Transactions[[#This Row],[L1N]],IF(Transactions[[#This Row],[Level 4]]=Transactions[[#This Row],[L3N]],Transactions[[#This Row],[L2N]],IF(Transactions[[#This Row],[Level 4]]=Transactions[[#This Row],[L4N]],Transactions[[#This Row],[L3N]],IF(Transactions[[#This Row],[Level 4]]=Transactions[[#This Row],[L5N]],Transactions[[#This Row],[L4N]],IF(Transactions[[#This Row],[Level 4]]=Transactions[[#This Row],[L6N]],Transactions[[#This Row],[L5N]],IF(Transactions[[#This Row],[Level 4]]=Transactions[[#This Row],[L7N]],Transactions[[#This Row],[L6N]],Transactions[[#This Row],[L7N]]))))))))</f>
        <v>Wood and wood products</v>
      </c>
      <c r="AX50" s="24" t="str">
        <f>IF(Transactions[[#This Row],[Level 5]]=Transactions[[#This Row],[Transaction name]],Transactions[[#This Row],[Transaction name]],IF(Transactions[[#This Row],[Level 5]]=Transactions[[#This Row],[L1N]],Transactions[[#This Row],[Transaction name]],IF(Transactions[[#This Row],[Level 5]]=Transactions[[#This Row],[L2N]],Transactions[[#This Row],[L1N]],IF(Transactions[[#This Row],[Level 5]]=Transactions[[#This Row],[L3N]],Transactions[[#This Row],[L2N]],IF(Transactions[[#This Row],[Level 5]]=Transactions[[#This Row],[L4N]],Transactions[[#This Row],[L3N]],IF(Transactions[[#This Row],[Level 5]]=Transactions[[#This Row],[L5N]],Transactions[[#This Row],[L4N]],IF(Transactions[[#This Row],[Level 5]]=Transactions[[#This Row],[L6N]],Transactions[[#This Row],[L5N]],IF(Transactions[[#This Row],[Level 5]]=Transactions[[#This Row],[L7N]],Transactions[[#This Row],[L6N]],Transactions[[#This Row],[L7N]]))))))))</f>
        <v>Wood and wood products</v>
      </c>
      <c r="AY50" s="24" t="str">
        <f>IF(Transactions[[#This Row],[Level 6]]=Transactions[[#This Row],[Transaction name]],Transactions[[#This Row],[Transaction name]],IF(Transactions[[#This Row],[Level 6]]=Transactions[[#This Row],[L1N]],Transactions[[#This Row],[Transaction name]],IF(Transactions[[#This Row],[Level 6]]=Transactions[[#This Row],[L2N]],Transactions[[#This Row],[L1N]],IF(Transactions[[#This Row],[Level 6]]=Transactions[[#This Row],[L3N]],Transactions[[#This Row],[L2N]],IF(Transactions[[#This Row],[Level 6]]=Transactions[[#This Row],[L4N]],Transactions[[#This Row],[L3N]],IF(Transactions[[#This Row],[Level 6]]=Transactions[[#This Row],[L5N]],Transactions[[#This Row],[L4N]],IF(Transactions[[#This Row],[Level 6]]=Transactions[[#This Row],[L6N]],Transactions[[#This Row],[L5N]],IF(Transactions[[#This Row],[Level 6]]=Transactions[[#This Row],[L7N]],Transactions[[#This Row],[L6N]],Transactions[[#This Row],[L7N]]))))))))</f>
        <v>Wood and wood products</v>
      </c>
      <c r="BE50" s="26" t="str">
        <f>_xlfn.XLOOKUP(Transformation[[#This Row],[cfrom]],Commodities[Commodity],Commodities[Commodity code])</f>
        <v>5130</v>
      </c>
      <c r="BF50" s="26" t="str">
        <f>_xlfn.XLOOKUP(Transformation[[#This Row],[tfrom]],Transactions[Transaction name],Transactions[Transaction code])</f>
        <v>08821</v>
      </c>
      <c r="BG50" s="26" t="str">
        <f>_xlfn.XLOOKUP(Transformation[[#This Row],[cto]],Commodities[Commodity],Commodities[Commodity code])</f>
        <v>5130</v>
      </c>
      <c r="BH50" s="26" t="str">
        <f>_xlfn.XLOOKUP(Transformation[[#This Row],[tto]],Transactions[Transaction name],Transactions[Transaction code])</f>
        <v>015BSC</v>
      </c>
      <c r="BI50" s="11">
        <v>1</v>
      </c>
      <c r="BJ50" s="4" t="s">
        <v>333</v>
      </c>
      <c r="BK50" s="24" t="str">
        <f>_xlfn.XLOOKUP(Transformation[[#This Row],[Commodity from]],Commodities[Commodity code],Commodities[EnergyCode])</f>
        <v>AW</v>
      </c>
      <c r="BL50" s="4" t="s">
        <v>691</v>
      </c>
      <c r="BM50" s="4" t="s">
        <v>333</v>
      </c>
      <c r="BN50" s="24" t="str">
        <f>_xlfn.XLOOKUP(Transformation[[#This Row],[Commodity to]],Commodities[Commodity code],Commodities[EnergyCode])</f>
        <v>AW</v>
      </c>
      <c r="BO50" s="4" t="s">
        <v>1122</v>
      </c>
      <c r="BP50" s="16" t="s">
        <v>1493</v>
      </c>
      <c r="BQ50" s="33" t="str">
        <f>Transformation[[#This Row],[Commodity from]]&amp;Transformation[[#This Row],[Transaction from]]&amp;Transformation[[#This Row],[Commodity to]]&amp;Transformation[[#This Row],[Transaction to]]</f>
        <v>5130088215130015BSC</v>
      </c>
      <c r="BR50" s="26" t="str">
        <f>Transformation[[#This Row],[crfomid]]&amp;Transformation[[#This Row],[Transaction from]]&amp;"("&amp;Transformation[[#This Row],[Multiplier]]&amp;") -&gt; "&amp;Transformation[[#This Row],[ctoid]]&amp;Transformation[[#This Row],[Transaction to]]</f>
        <v>AW08821(1) -&gt; AW015BSC</v>
      </c>
      <c r="BT50" s="26" t="str">
        <f>_xlfn.XLOOKUP(Signswitch[[#This Row],[Commodity name]],Commodities[Commodity],Commodities[Commodity code])</f>
        <v>5232</v>
      </c>
      <c r="BU50" s="26" t="str">
        <f>_xlfn.XLOOKUP(Signswitch[[#This Row],[Transaction name]],Transactions[Transaction name],Transactions[Transaction code])</f>
        <v>1214H</v>
      </c>
      <c r="BV50" s="26" t="str">
        <f>Signswitch[[#This Row],[Commodity from]]&amp;Signswitch[[#This Row],[Transaction from]]</f>
        <v>52321214H</v>
      </c>
      <c r="BW50" s="22" t="s">
        <v>306</v>
      </c>
      <c r="BX50" s="26" t="str">
        <f>_xlfn.XLOOKUP(Signswitch[[#This Row],[Commodity from]],Commodities[Commodity code],Commodities[EnergyCode])</f>
        <v>ZJ</v>
      </c>
      <c r="BY50" s="22" t="s">
        <v>448</v>
      </c>
    </row>
    <row r="51" spans="8:77" x14ac:dyDescent="0.45">
      <c r="H51" s="5" t="s">
        <v>509</v>
      </c>
      <c r="I51" s="4" t="s">
        <v>516</v>
      </c>
      <c r="J51" s="9" t="s">
        <v>506</v>
      </c>
      <c r="K51" s="9" t="s">
        <v>1425</v>
      </c>
      <c r="L51" s="25" t="str">
        <f>IFERROR(INDEX(Commodities[[Commodity code]:[Commodity]],MATCH(Commodities[[#This Row],[Parent code]],Commodities[Commodity code],0),2),Commodities[[#This Row],[Commodity]])</f>
        <v>Coal</v>
      </c>
      <c r="M51" s="24" t="str">
        <f>IFERROR(INDEX(Commodities[[Commodity code]:[Commodity]],MATCH(INDEX(Commodities[[Commodity]:[Parent code]],MATCH(Commodities[[#This Row],[L1N]],Commodities[Commodity],0),2),Commodities[Commodity code],0),2),Commodities[[#This Row],[L1N]])</f>
        <v>Coal</v>
      </c>
      <c r="N51" s="24" t="str">
        <f>IFERROR(INDEX(Commodities[[Commodity code]:[Commodity]],MATCH(INDEX(Commodities[[Commodity]:[Parent code]],MATCH(Commodities[[#This Row],[L2N]],Commodities[Commodity],0),2),Commodities[Commodity code],0),2),Commodities[[#This Row],[L2N]])</f>
        <v>Coal</v>
      </c>
      <c r="O51" s="24" t="str">
        <f>IFERROR(INDEX(Commodities[[Commodity code]:[Commodity]],MATCH(INDEX(Commodities[[Commodity]:[Parent code]],MATCH(Commodities[[#This Row],[L3N]],Commodities[Commodity],0),2),Commodities[Commodity code],0),2),Commodities[[#This Row],[L3N]])</f>
        <v>Coal</v>
      </c>
      <c r="P51" s="24" t="str">
        <f>IF(Commodities[[#This Row],[L4N]]=Commodities[[#This Row],[L3N]],Commodities[[#This Row],[L4N]],IF(Commodities[[#This Row],[L3N]]=Commodities[[#This Row],[L2N]],Commodities[[#This Row],[L3N]],IF(Commodities[[#This Row],[L2N]]=Commodities[[#This Row],[L1N]],Commodities[[#This Row],[L2N]],IF(Commodities[[#This Row],[L1N]]=Commodities[[#This Row],[Commodity]],Commodities[[#This Row],[L1N]],Commodities[[#This Row],[Commodity]]))))</f>
        <v>Coal</v>
      </c>
      <c r="Q51" s="24" t="str">
        <f>IF(Commodities[[#This Row],[Level 0]]=Commodities[[#This Row],[Commodity]],Commodities[[#This Row],[Commodity]],IF(Commodities[[#This Row],[Level 0]]=Commodities[[#This Row],[L1N]],Commodities[[#This Row],[Commodity]],IF(Commodities[[#This Row],[Level 0]]=Commodities[[#This Row],[L2N]],Commodities[[#This Row],[L1N]],IF(Commodities[[#This Row],[Level 0]]=Commodities[[#This Row],[L3N]],Commodities[[#This Row],[L2N]],IF(Commodities[[#This Row],[Level 0]]=Commodities[[#This Row],[L4N]],Commodities[[#This Row],[L3N]],Commodities[[#This Row],[L4N]])))))</f>
        <v>Brown coal</v>
      </c>
      <c r="R51" s="24" t="str">
        <f>IF(Commodities[[#This Row],[Level 1]]=Commodities[[#This Row],[Commodity]],Commodities[[#This Row],[Commodity]],IF(Commodities[[#This Row],[Level 1]]=Commodities[[#This Row],[L1N]],Commodities[[#This Row],[Commodity]],IF(Commodities[[#This Row],[Level 1]]=Commodities[[#This Row],[L2N]],Commodities[[#This Row],[L1N]],IF(Commodities[[#This Row],[Level 1]]=Commodities[[#This Row],[L3N]],Commodities[[#This Row],[L2N]],IF(Commodities[[#This Row],[Level 1]]=Commodities[[#This Row],[L4N]],Commodities[[#This Row],[L3N]],Commodities[[#This Row],[L4N]])))))</f>
        <v>Brown coal</v>
      </c>
      <c r="S51" s="24" t="str">
        <f>IF(Commodities[[#This Row],[Level 2]]=Commodities[[#This Row],[Commodity]],Commodities[[#This Row],[Commodity]],IF(Commodities[[#This Row],[Level 2]]=Commodities[[#This Row],[L1N]],Commodities[[#This Row],[Commodity]],IF(Commodities[[#This Row],[Level 2]]=Commodities[[#This Row],[L2N]],Commodities[[#This Row],[L1N]],IF(Commodities[[#This Row],[Level 2]]=Commodities[[#This Row],[L3N]],Commodities[[#This Row],[L2N]],IF(Commodities[[#This Row],[Level 2]]=Commodities[[#This Row],[L4N]],Commodities[[#This Row],[L3N]],Commodities[[#This Row],[L4N]])))))</f>
        <v>Brown coal</v>
      </c>
      <c r="T51" s="24" t="str">
        <f>IF(Commodities[[#This Row],[Level 3]]=Commodities[[#This Row],[Commodity]],Commodities[[#This Row],[Commodity]],IF(Commodities[[#This Row],[Level 3]]=Commodities[[#This Row],[L1N]],Commodities[[#This Row],[Commodity]],IF(Commodities[[#This Row],[Level 3]]=Commodities[[#This Row],[L2N]],Commodities[[#This Row],[L1N]],IF(Commodities[[#This Row],[Level 3]]=Commodities[[#This Row],[L3N]],Commodities[[#This Row],[L2N]],IF(Commodities[[#This Row],[Level 3]]=Commodities[[#This Row],[L4N]],Commodities[[#This Row],[L3N]],Commodities[[#This Row],[L4N]])))))</f>
        <v>Brown coal</v>
      </c>
      <c r="U51" s="24" t="str">
        <f>IF(Commodities[[#This Row],[Level 4]]=Commodities[[#This Row],[Commodity]],Commodities[[#This Row],[Commodity]],IF(Commodities[[#This Row],[Level 4]]=Commodities[[#This Row],[L1N]],Commodities[[#This Row],[Commodity]],IF(Commodities[[#This Row],[Level 4]]=Commodities[[#This Row],[L2N]],Commodities[[#This Row],[L1N]],IF(Commodities[[#This Row],[Level 4]]=Commodities[[#This Row],[L3N]],Commodities[[#This Row],[L2N]],IF(Commodities[[#This Row],[Level 4]]=Commodities[[#This Row],[L4N]],Commodities[[#This Row],[L3N]],Commodities[[#This Row],[L4N]])))))</f>
        <v>Brown coal</v>
      </c>
      <c r="Y51" s="5" t="s">
        <v>103</v>
      </c>
      <c r="Z51" s="4" t="s">
        <v>403</v>
      </c>
      <c r="AA51" s="4" t="s">
        <v>403</v>
      </c>
      <c r="AB51" s="6" t="s">
        <v>100</v>
      </c>
      <c r="AC51" s="24" t="str">
        <f>IFERROR(VLOOKUP(Transactions[[#This Row],[Parent code]],Transactions[[Transaction code]:[Transaction name]],2,0),"")</f>
        <v>Other</v>
      </c>
      <c r="AD51" s="4" t="s">
        <v>630</v>
      </c>
      <c r="AE51" s="4" t="s">
        <v>913</v>
      </c>
      <c r="AF51" s="4" t="s">
        <v>642</v>
      </c>
      <c r="AG51" s="4" t="s">
        <v>1</v>
      </c>
      <c r="AH51" s="4" t="s">
        <v>696</v>
      </c>
      <c r="AK51" s="24" t="str" cm="1">
        <f t="array" ref="AK51">IFERROR(INDEX(Transactions[[Transaction code]:[Transaction name]],_xlfn.XMATCH(Transactions[[#This Row],[Parent code]],Transactions[Transaction name],0),3),Transactions[[#This Row],[Transaction name]])</f>
        <v>Agriculture, forestry and fishing</v>
      </c>
      <c r="AL51" s="24" t="str" cm="1">
        <f t="array" ref="AL51">IFERROR(INDEX(Transactions[[Transaction code]:[Transaction name]],_xlfn.XMATCH(INDEX(Transactions[[Transaction name]:[Parent code]],_xlfn.XMATCH(Transactions[[#This Row],[L1N]],Transactions[Transaction name],0),3),Transactions[Transaction code],0),2),Transactions[[#This Row],[L1N]])</f>
        <v>Other</v>
      </c>
      <c r="AM51" s="24" t="str" cm="1">
        <f t="array" ref="AM51">IFERROR(INDEX(Transactions[[Transaction code]:[Transaction name]],_xlfn.XMATCH(INDEX(Transactions[[Transaction name]:[Parent code]],_xlfn.XMATCH(Transactions[[#This Row],[L2N]],Transactions[Transaction name],0),3),Transactions[Transaction code],0),2),Transactions[[#This Row],[L2N]])</f>
        <v>Total Final Energy Consumption</v>
      </c>
      <c r="AN51" s="24" t="str" cm="1">
        <f t="array" ref="AN51">IFERROR(INDEX(Transactions[[Transaction code]:[Transaction name]],_xlfn.XMATCH(INDEX(Transactions[[Transaction name]:[Parent code]],_xlfn.XMATCH(Transactions[[#This Row],[L3N]],Transactions[Transaction name],0),3),Transactions[Transaction code],0),2),Transactions[[#This Row],[L3N]])</f>
        <v>Final consumption</v>
      </c>
      <c r="AO51" s="24" t="str" cm="1">
        <f t="array" ref="AO51">IFERROR(INDEX(Transactions[[Transaction code]:[Transaction name]],_xlfn.XMATCH(INDEX(Transactions[[Transaction name]:[Parent code]],_xlfn.XMATCH(Transactions[[#This Row],[L4N]],Transactions[Transaction name],0),3),Transactions[Transaction code],0),2),Transactions[[#This Row],[L4N]])</f>
        <v>Final consumption</v>
      </c>
      <c r="AP51" s="24" t="str" cm="1">
        <f t="array" ref="AP51">IFERROR(INDEX(Transactions[[Transaction code]:[Transaction name]],_xlfn.XMATCH(INDEX(Transactions[[Transaction name]:[Parent code]],_xlfn.XMATCH(Transactions[[#This Row],[L5N]],Transactions[Transaction name],0),3),Transactions[Transaction code],0),2),Transactions[[#This Row],[L5N]])</f>
        <v>Final consumption</v>
      </c>
      <c r="AQ51" s="24" t="str" cm="1">
        <f t="array" ref="AQ51">IFERROR(INDEX(Transactions[[Transaction code]:[Transaction name]],_xlfn.XMATCH(INDEX(Transactions[[Transaction name]:[Parent code]],_xlfn.XMATCH(Transactions[[#This Row],[L6N]],Transactions[Transaction name],0),3),Transactions[Transaction code],0),2),Transactions[[#This Row],[L6N]])</f>
        <v>Final consumption</v>
      </c>
      <c r="AR51" s="27" t="str">
        <f>IF(Transactions[[#This Row],[L7N]]=Transactions[[#This Row],[L6N]],Transactions[[#This Row],[L7N]],IF(Transactions[[#This Row],[L6N]]=Transactions[[#This Row],[L5N]],Transactions[[#This Row],[L6N]],IF(Transactions[[#This Row],[L5N]]=Transactions[[#This Row],[L4N]],Transactions[[#This Row],[L5N]],IF(Transactions[[#This Row],[L4N]]=Transactions[[#This Row],[L3N]],Transactions[[#This Row],[L4N]],IF(Transactions[[#This Row],[L3N]]=Transactions[[#This Row],[L2N]],Transactions[[#This Row],[L3N]],IF(Transactions[[#This Row],[L2N]]=Transactions[[#This Row],[L1N]],Transactions[[#This Row],[L2N]],IF(Transactions[[#This Row],[L1N]]=Transactions[[#This Row],[Transaction name]],Transactions[[#This Row],[L1N]],Transactions[[#This Row],[Transaction name]])))))))</f>
        <v>Final consumption</v>
      </c>
      <c r="AS51" s="24" t="str">
        <f>IF(Transactions[[#This Row],[Level 0]]=Transactions[[#This Row],[Transaction name]],Transactions[[#This Row],[Transaction name]],IF(Transactions[[#This Row],[Level 0]]=Transactions[[#This Row],[L1N]],Transactions[[#This Row],[Transaction name]],IF(Transactions[[#This Row],[Level 0]]=Transactions[[#This Row],[L2N]],Transactions[[#This Row],[L1N]],IF(Transactions[[#This Row],[Level 0]]=Transactions[[#This Row],[L3N]],Transactions[[#This Row],[L2N]],IF(Transactions[[#This Row],[Level 0]]=Transactions[[#This Row],[L4N]],Transactions[[#This Row],[L3N]],IF(Transactions[[#This Row],[Level 0]]=Transactions[[#This Row],[L5N]],Transactions[[#This Row],[L4N]],IF(Transactions[[#This Row],[Level 0]]=Transactions[[#This Row],[L6N]],Transactions[[#This Row],[L5N]],IF(Transactions[[#This Row],[Level 0]]=Transactions[[#This Row],[L7N]],Transactions[[#This Row],[L6N]],Transactions[[#This Row],[L7N]]))))))))</f>
        <v>Total Final Energy Consumption</v>
      </c>
      <c r="AT51" s="24" t="str">
        <f>IF(Transactions[[#This Row],[Level 1]]=Transactions[[#This Row],[Transaction name]],Transactions[[#This Row],[Transaction name]],IF(Transactions[[#This Row],[Level 1]]=Transactions[[#This Row],[L1N]],Transactions[[#This Row],[Transaction name]],IF(Transactions[[#This Row],[Level 1]]=Transactions[[#This Row],[L2N]],Transactions[[#This Row],[L1N]],IF(Transactions[[#This Row],[Level 1]]=Transactions[[#This Row],[L3N]],Transactions[[#This Row],[L2N]],IF(Transactions[[#This Row],[Level 1]]=Transactions[[#This Row],[L4N]],Transactions[[#This Row],[L3N]],IF(Transactions[[#This Row],[Level 1]]=Transactions[[#This Row],[L5N]],Transactions[[#This Row],[L4N]],IF(Transactions[[#This Row],[Level 1]]=Transactions[[#This Row],[L6N]],Transactions[[#This Row],[L5N]],IF(Transactions[[#This Row],[Level 1]]=Transactions[[#This Row],[L7N]],Transactions[[#This Row],[L6N]],Transactions[[#This Row],[L7N]]))))))))</f>
        <v>Other</v>
      </c>
      <c r="AU51" s="24" t="str">
        <f>IF(Transactions[[#This Row],[Level 2]]=Transactions[[#This Row],[Transaction name]],Transactions[[#This Row],[Transaction name]],IF(Transactions[[#This Row],[Level 2]]=Transactions[[#This Row],[L1N]],Transactions[[#This Row],[Transaction name]],IF(Transactions[[#This Row],[Level 2]]=Transactions[[#This Row],[L2N]],Transactions[[#This Row],[L1N]],IF(Transactions[[#This Row],[Level 2]]=Transactions[[#This Row],[L3N]],Transactions[[#This Row],[L2N]],IF(Transactions[[#This Row],[Level 2]]=Transactions[[#This Row],[L4N]],Transactions[[#This Row],[L3N]],IF(Transactions[[#This Row],[Level 2]]=Transactions[[#This Row],[L5N]],Transactions[[#This Row],[L4N]],IF(Transactions[[#This Row],[Level 2]]=Transactions[[#This Row],[L6N]],Transactions[[#This Row],[L5N]],IF(Transactions[[#This Row],[Level 2]]=Transactions[[#This Row],[L7N]],Transactions[[#This Row],[L6N]],Transactions[[#This Row],[L7N]]))))))))</f>
        <v>Agriculture, forestry and fishing</v>
      </c>
      <c r="AV51" s="24" t="str">
        <f>IF(Transactions[[#This Row],[Level 3]]=Transactions[[#This Row],[Transaction name]],Transactions[[#This Row],[Transaction name]],IF(Transactions[[#This Row],[Level 3]]=Transactions[[#This Row],[L1N]],Transactions[[#This Row],[Transaction name]],IF(Transactions[[#This Row],[Level 3]]=Transactions[[#This Row],[L2N]],Transactions[[#This Row],[L1N]],IF(Transactions[[#This Row],[Level 3]]=Transactions[[#This Row],[L3N]],Transactions[[#This Row],[L2N]],IF(Transactions[[#This Row],[Level 3]]=Transactions[[#This Row],[L4N]],Transactions[[#This Row],[L3N]],IF(Transactions[[#This Row],[Level 3]]=Transactions[[#This Row],[L5N]],Transactions[[#This Row],[L4N]],IF(Transactions[[#This Row],[Level 3]]=Transactions[[#This Row],[L6N]],Transactions[[#This Row],[L5N]],IF(Transactions[[#This Row],[Level 3]]=Transactions[[#This Row],[L7N]],Transactions[[#This Row],[L6N]],Transactions[[#This Row],[L7N]]))))))))</f>
        <v>Agriculture, forestry and fishing</v>
      </c>
      <c r="AW51" s="24" t="str">
        <f>IF(Transactions[[#This Row],[Level 4]]=Transactions[[#This Row],[Transaction name]],Transactions[[#This Row],[Transaction name]],IF(Transactions[[#This Row],[Level 4]]=Transactions[[#This Row],[L1N]],Transactions[[#This Row],[Transaction name]],IF(Transactions[[#This Row],[Level 4]]=Transactions[[#This Row],[L2N]],Transactions[[#This Row],[L1N]],IF(Transactions[[#This Row],[Level 4]]=Transactions[[#This Row],[L3N]],Transactions[[#This Row],[L2N]],IF(Transactions[[#This Row],[Level 4]]=Transactions[[#This Row],[L4N]],Transactions[[#This Row],[L3N]],IF(Transactions[[#This Row],[Level 4]]=Transactions[[#This Row],[L5N]],Transactions[[#This Row],[L4N]],IF(Transactions[[#This Row],[Level 4]]=Transactions[[#This Row],[L6N]],Transactions[[#This Row],[L5N]],IF(Transactions[[#This Row],[Level 4]]=Transactions[[#This Row],[L7N]],Transactions[[#This Row],[L6N]],Transactions[[#This Row],[L7N]]))))))))</f>
        <v>Agriculture, forestry and fishing</v>
      </c>
      <c r="AX51" s="24" t="str">
        <f>IF(Transactions[[#This Row],[Level 5]]=Transactions[[#This Row],[Transaction name]],Transactions[[#This Row],[Transaction name]],IF(Transactions[[#This Row],[Level 5]]=Transactions[[#This Row],[L1N]],Transactions[[#This Row],[Transaction name]],IF(Transactions[[#This Row],[Level 5]]=Transactions[[#This Row],[L2N]],Transactions[[#This Row],[L1N]],IF(Transactions[[#This Row],[Level 5]]=Transactions[[#This Row],[L3N]],Transactions[[#This Row],[L2N]],IF(Transactions[[#This Row],[Level 5]]=Transactions[[#This Row],[L4N]],Transactions[[#This Row],[L3N]],IF(Transactions[[#This Row],[Level 5]]=Transactions[[#This Row],[L5N]],Transactions[[#This Row],[L4N]],IF(Transactions[[#This Row],[Level 5]]=Transactions[[#This Row],[L6N]],Transactions[[#This Row],[L5N]],IF(Transactions[[#This Row],[Level 5]]=Transactions[[#This Row],[L7N]],Transactions[[#This Row],[L6N]],Transactions[[#This Row],[L7N]]))))))))</f>
        <v>Agriculture, forestry and fishing</v>
      </c>
      <c r="AY51" s="24" t="str">
        <f>IF(Transactions[[#This Row],[Level 6]]=Transactions[[#This Row],[Transaction name]],Transactions[[#This Row],[Transaction name]],IF(Transactions[[#This Row],[Level 6]]=Transactions[[#This Row],[L1N]],Transactions[[#This Row],[Transaction name]],IF(Transactions[[#This Row],[Level 6]]=Transactions[[#This Row],[L2N]],Transactions[[#This Row],[L1N]],IF(Transactions[[#This Row],[Level 6]]=Transactions[[#This Row],[L3N]],Transactions[[#This Row],[L2N]],IF(Transactions[[#This Row],[Level 6]]=Transactions[[#This Row],[L4N]],Transactions[[#This Row],[L3N]],IF(Transactions[[#This Row],[Level 6]]=Transactions[[#This Row],[L5N]],Transactions[[#This Row],[L4N]],IF(Transactions[[#This Row],[Level 6]]=Transactions[[#This Row],[L6N]],Transactions[[#This Row],[L5N]],IF(Transactions[[#This Row],[Level 6]]=Transactions[[#This Row],[L7N]],Transactions[[#This Row],[L6N]],Transactions[[#This Row],[L7N]]))))))))</f>
        <v>Agriculture, forestry and fishing</v>
      </c>
      <c r="BE51" s="26" t="str">
        <f>_xlfn.XLOOKUP(Transformation[[#This Row],[cfrom]],Commodities[Commodity],Commodities[Commodity code])</f>
        <v>0330</v>
      </c>
      <c r="BF51" s="26" t="str">
        <f>_xlfn.XLOOKUP(Transformation[[#This Row],[tfrom]],Transactions[Transaction name],Transactions[Transaction code])</f>
        <v>08821</v>
      </c>
      <c r="BG51" s="26" t="str">
        <f>_xlfn.XLOOKUP(Transformation[[#This Row],[cto]],Commodities[Commodity],Commodities[Commodity code])</f>
        <v>0330</v>
      </c>
      <c r="BH51" s="26" t="str">
        <f>_xlfn.XLOOKUP(Transformation[[#This Row],[tto]],Transactions[Transaction name],Transactions[Transaction code])</f>
        <v>015CSC</v>
      </c>
      <c r="BI51" s="11">
        <v>1</v>
      </c>
      <c r="BJ51" s="4" t="s">
        <v>491</v>
      </c>
      <c r="BK51" s="24" t="str">
        <f>_xlfn.XLOOKUP(Transformation[[#This Row],[Commodity from]],Commodities[Commodity code],Commodities[EnergyCode])</f>
        <v>BB</v>
      </c>
      <c r="BL51" s="4" t="s">
        <v>691</v>
      </c>
      <c r="BM51" s="4" t="s">
        <v>491</v>
      </c>
      <c r="BN51" s="24" t="str">
        <f>_xlfn.XLOOKUP(Transformation[[#This Row],[Commodity to]],Commodities[Commodity code],Commodities[EnergyCode])</f>
        <v>BB</v>
      </c>
      <c r="BO51" s="4" t="s">
        <v>1209</v>
      </c>
      <c r="BP51" s="16" t="s">
        <v>1493</v>
      </c>
      <c r="BQ51" s="33" t="str">
        <f>Transformation[[#This Row],[Commodity from]]&amp;Transformation[[#This Row],[Transaction from]]&amp;Transformation[[#This Row],[Commodity to]]&amp;Transformation[[#This Row],[Transaction to]]</f>
        <v>0330088210330015CSC</v>
      </c>
      <c r="BR51" s="26" t="str">
        <f>Transformation[[#This Row],[crfomid]]&amp;Transformation[[#This Row],[Transaction from]]&amp;"("&amp;Transformation[[#This Row],[Multiplier]]&amp;") -&gt; "&amp;Transformation[[#This Row],[ctoid]]&amp;Transformation[[#This Row],[Transaction to]]</f>
        <v>BB08821(1) -&gt; BB015CSC</v>
      </c>
      <c r="BT51" s="26" t="str">
        <f>_xlfn.XLOOKUP(Signswitch[[#This Row],[Commodity name]],Commodities[Commodity],Commodities[Commodity code])</f>
        <v>5222</v>
      </c>
      <c r="BU51" s="26" t="str">
        <f>_xlfn.XLOOKUP(Signswitch[[#This Row],[Transaction name]],Transactions[Transaction name],Transactions[Transaction code])</f>
        <v>1214H</v>
      </c>
      <c r="BV51" s="26" t="str">
        <f>Signswitch[[#This Row],[Commodity from]]&amp;Signswitch[[#This Row],[Transaction from]]</f>
        <v>52221214H</v>
      </c>
      <c r="BW51" s="22" t="s">
        <v>962</v>
      </c>
      <c r="BX51" s="26" t="str">
        <f>_xlfn.XLOOKUP(Signswitch[[#This Row],[Commodity from]],Commodities[Commodity code],Commodities[EnergyCode])</f>
        <v>ZD</v>
      </c>
      <c r="BY51" s="22" t="s">
        <v>448</v>
      </c>
    </row>
    <row r="52" spans="8:77" x14ac:dyDescent="0.45">
      <c r="H52" s="5" t="s">
        <v>511</v>
      </c>
      <c r="I52" s="4" t="s">
        <v>510</v>
      </c>
      <c r="J52" s="5" t="s">
        <v>509</v>
      </c>
      <c r="K52" s="5" t="s">
        <v>1427</v>
      </c>
      <c r="L52" s="23" t="str">
        <f>IFERROR(INDEX(Commodities[[Commodity code]:[Commodity]],MATCH(Commodities[[#This Row],[Parent code]],Commodities[Commodity code],0),2),Commodities[[#This Row],[Commodity]])</f>
        <v>Brown coal</v>
      </c>
      <c r="M52" s="24" t="str">
        <f>IFERROR(INDEX(Commodities[[Commodity code]:[Commodity]],MATCH(INDEX(Commodities[[Commodity]:[Parent code]],MATCH(Commodities[[#This Row],[L1N]],Commodities[Commodity],0),2),Commodities[Commodity code],0),2),Commodities[[#This Row],[L1N]])</f>
        <v>Coal</v>
      </c>
      <c r="N52" s="24" t="str">
        <f>IFERROR(INDEX(Commodities[[Commodity code]:[Commodity]],MATCH(INDEX(Commodities[[Commodity]:[Parent code]],MATCH(Commodities[[#This Row],[L2N]],Commodities[Commodity],0),2),Commodities[Commodity code],0),2),Commodities[[#This Row],[L2N]])</f>
        <v>Coal</v>
      </c>
      <c r="O52" s="24" t="str">
        <f>IFERROR(INDEX(Commodities[[Commodity code]:[Commodity]],MATCH(INDEX(Commodities[[Commodity]:[Parent code]],MATCH(Commodities[[#This Row],[L3N]],Commodities[Commodity],0),2),Commodities[Commodity code],0),2),Commodities[[#This Row],[L3N]])</f>
        <v>Coal</v>
      </c>
      <c r="P52" s="24" t="str">
        <f>IF(Commodities[[#This Row],[L4N]]=Commodities[[#This Row],[L3N]],Commodities[[#This Row],[L4N]],IF(Commodities[[#This Row],[L3N]]=Commodities[[#This Row],[L2N]],Commodities[[#This Row],[L3N]],IF(Commodities[[#This Row],[L2N]]=Commodities[[#This Row],[L1N]],Commodities[[#This Row],[L2N]],IF(Commodities[[#This Row],[L1N]]=Commodities[[#This Row],[Commodity]],Commodities[[#This Row],[L1N]],Commodities[[#This Row],[Commodity]]))))</f>
        <v>Coal</v>
      </c>
      <c r="Q52" s="24" t="str">
        <f>IF(Commodities[[#This Row],[Level 0]]=Commodities[[#This Row],[Commodity]],Commodities[[#This Row],[Commodity]],IF(Commodities[[#This Row],[Level 0]]=Commodities[[#This Row],[L1N]],Commodities[[#This Row],[Commodity]],IF(Commodities[[#This Row],[Level 0]]=Commodities[[#This Row],[L2N]],Commodities[[#This Row],[L1N]],IF(Commodities[[#This Row],[Level 0]]=Commodities[[#This Row],[L3N]],Commodities[[#This Row],[L2N]],IF(Commodities[[#This Row],[Level 0]]=Commodities[[#This Row],[L4N]],Commodities[[#This Row],[L3N]],Commodities[[#This Row],[L4N]])))))</f>
        <v>Brown coal</v>
      </c>
      <c r="R52" s="24" t="str">
        <f>IF(Commodities[[#This Row],[Level 1]]=Commodities[[#This Row],[Commodity]],Commodities[[#This Row],[Commodity]],IF(Commodities[[#This Row],[Level 1]]=Commodities[[#This Row],[L1N]],Commodities[[#This Row],[Commodity]],IF(Commodities[[#This Row],[Level 1]]=Commodities[[#This Row],[L2N]],Commodities[[#This Row],[L1N]],IF(Commodities[[#This Row],[Level 1]]=Commodities[[#This Row],[L3N]],Commodities[[#This Row],[L2N]],IF(Commodities[[#This Row],[Level 1]]=Commodities[[#This Row],[L4N]],Commodities[[#This Row],[L3N]],Commodities[[#This Row],[L4N]])))))</f>
        <v>Lignite</v>
      </c>
      <c r="S52" s="24" t="str">
        <f>IF(Commodities[[#This Row],[Level 2]]=Commodities[[#This Row],[Commodity]],Commodities[[#This Row],[Commodity]],IF(Commodities[[#This Row],[Level 2]]=Commodities[[#This Row],[L1N]],Commodities[[#This Row],[Commodity]],IF(Commodities[[#This Row],[Level 2]]=Commodities[[#This Row],[L2N]],Commodities[[#This Row],[L1N]],IF(Commodities[[#This Row],[Level 2]]=Commodities[[#This Row],[L3N]],Commodities[[#This Row],[L2N]],IF(Commodities[[#This Row],[Level 2]]=Commodities[[#This Row],[L4N]],Commodities[[#This Row],[L3N]],Commodities[[#This Row],[L4N]])))))</f>
        <v>Lignite</v>
      </c>
      <c r="T52" s="24" t="str">
        <f>IF(Commodities[[#This Row],[Level 3]]=Commodities[[#This Row],[Commodity]],Commodities[[#This Row],[Commodity]],IF(Commodities[[#This Row],[Level 3]]=Commodities[[#This Row],[L1N]],Commodities[[#This Row],[Commodity]],IF(Commodities[[#This Row],[Level 3]]=Commodities[[#This Row],[L2N]],Commodities[[#This Row],[L1N]],IF(Commodities[[#This Row],[Level 3]]=Commodities[[#This Row],[L3N]],Commodities[[#This Row],[L2N]],IF(Commodities[[#This Row],[Level 3]]=Commodities[[#This Row],[L4N]],Commodities[[#This Row],[L3N]],Commodities[[#This Row],[L4N]])))))</f>
        <v>Lignite</v>
      </c>
      <c r="U52" s="24" t="str">
        <f>IF(Commodities[[#This Row],[Level 4]]=Commodities[[#This Row],[Commodity]],Commodities[[#This Row],[Commodity]],IF(Commodities[[#This Row],[Level 4]]=Commodities[[#This Row],[L1N]],Commodities[[#This Row],[Commodity]],IF(Commodities[[#This Row],[Level 4]]=Commodities[[#This Row],[L2N]],Commodities[[#This Row],[L1N]],IF(Commodities[[#This Row],[Level 4]]=Commodities[[#This Row],[L3N]],Commodities[[#This Row],[L2N]],IF(Commodities[[#This Row],[Level 4]]=Commodities[[#This Row],[L4N]],Commodities[[#This Row],[L3N]],Commodities[[#This Row],[L4N]])))))</f>
        <v>Lignite</v>
      </c>
      <c r="Y52" s="5" t="s">
        <v>104</v>
      </c>
      <c r="Z52" s="4" t="s">
        <v>701</v>
      </c>
      <c r="AA52" s="4" t="s">
        <v>701</v>
      </c>
      <c r="AB52" s="6" t="s">
        <v>103</v>
      </c>
      <c r="AC52" s="24" t="str">
        <f>IFERROR(VLOOKUP(Transactions[[#This Row],[Parent code]],Transactions[[Transaction code]:[Transaction name]],2,0),"")</f>
        <v>Agriculture, forestry and fishing</v>
      </c>
      <c r="AD52" s="4" t="s">
        <v>630</v>
      </c>
      <c r="AF52" s="4" t="s">
        <v>642</v>
      </c>
      <c r="AG52" s="4" t="s">
        <v>1</v>
      </c>
      <c r="AH52" s="4" t="s">
        <v>696</v>
      </c>
      <c r="AJ52" s="4" t="s">
        <v>0</v>
      </c>
      <c r="AK52" s="24" t="str" cm="1">
        <f t="array" ref="AK52">IFERROR(INDEX(Transactions[[Transaction code]:[Transaction name]],_xlfn.XMATCH(Transactions[[#This Row],[Parent code]],Transactions[Transaction name],0),3),Transactions[[#This Row],[Transaction name]])</f>
        <v>Fishing</v>
      </c>
      <c r="AL52" s="24" t="str" cm="1">
        <f t="array" ref="AL52">IFERROR(INDEX(Transactions[[Transaction code]:[Transaction name]],_xlfn.XMATCH(INDEX(Transactions[[Transaction name]:[Parent code]],_xlfn.XMATCH(Transactions[[#This Row],[L1N]],Transactions[Transaction name],0),3),Transactions[Transaction code],0),2),Transactions[[#This Row],[L1N]])</f>
        <v>Agriculture, forestry and fishing</v>
      </c>
      <c r="AM52" s="24" t="str" cm="1">
        <f t="array" ref="AM52">IFERROR(INDEX(Transactions[[Transaction code]:[Transaction name]],_xlfn.XMATCH(INDEX(Transactions[[Transaction name]:[Parent code]],_xlfn.XMATCH(Transactions[[#This Row],[L2N]],Transactions[Transaction name],0),3),Transactions[Transaction code],0),2),Transactions[[#This Row],[L2N]])</f>
        <v>Other</v>
      </c>
      <c r="AN52" s="24" t="str" cm="1">
        <f t="array" ref="AN52">IFERROR(INDEX(Transactions[[Transaction code]:[Transaction name]],_xlfn.XMATCH(INDEX(Transactions[[Transaction name]:[Parent code]],_xlfn.XMATCH(Transactions[[#This Row],[L3N]],Transactions[Transaction name],0),3),Transactions[Transaction code],0),2),Transactions[[#This Row],[L3N]])</f>
        <v>Total Final Energy Consumption</v>
      </c>
      <c r="AO52" s="24" t="str" cm="1">
        <f t="array" ref="AO52">IFERROR(INDEX(Transactions[[Transaction code]:[Transaction name]],_xlfn.XMATCH(INDEX(Transactions[[Transaction name]:[Parent code]],_xlfn.XMATCH(Transactions[[#This Row],[L4N]],Transactions[Transaction name],0),3),Transactions[Transaction code],0),2),Transactions[[#This Row],[L4N]])</f>
        <v>Final consumption</v>
      </c>
      <c r="AP52" s="24" t="str" cm="1">
        <f t="array" ref="AP52">IFERROR(INDEX(Transactions[[Transaction code]:[Transaction name]],_xlfn.XMATCH(INDEX(Transactions[[Transaction name]:[Parent code]],_xlfn.XMATCH(Transactions[[#This Row],[L5N]],Transactions[Transaction name],0),3),Transactions[Transaction code],0),2),Transactions[[#This Row],[L5N]])</f>
        <v>Final consumption</v>
      </c>
      <c r="AQ52" s="24" t="str" cm="1">
        <f t="array" ref="AQ52">IFERROR(INDEX(Transactions[[Transaction code]:[Transaction name]],_xlfn.XMATCH(INDEX(Transactions[[Transaction name]:[Parent code]],_xlfn.XMATCH(Transactions[[#This Row],[L6N]],Transactions[Transaction name],0),3),Transactions[Transaction code],0),2),Transactions[[#This Row],[L6N]])</f>
        <v>Final consumption</v>
      </c>
      <c r="AR52" s="27" t="str">
        <f>IF(Transactions[[#This Row],[L7N]]=Transactions[[#This Row],[L6N]],Transactions[[#This Row],[L7N]],IF(Transactions[[#This Row],[L6N]]=Transactions[[#This Row],[L5N]],Transactions[[#This Row],[L6N]],IF(Transactions[[#This Row],[L5N]]=Transactions[[#This Row],[L4N]],Transactions[[#This Row],[L5N]],IF(Transactions[[#This Row],[L4N]]=Transactions[[#This Row],[L3N]],Transactions[[#This Row],[L4N]],IF(Transactions[[#This Row],[L3N]]=Transactions[[#This Row],[L2N]],Transactions[[#This Row],[L3N]],IF(Transactions[[#This Row],[L2N]]=Transactions[[#This Row],[L1N]],Transactions[[#This Row],[L2N]],IF(Transactions[[#This Row],[L1N]]=Transactions[[#This Row],[Transaction name]],Transactions[[#This Row],[L1N]],Transactions[[#This Row],[Transaction name]])))))))</f>
        <v>Final consumption</v>
      </c>
      <c r="AS52" s="24" t="str">
        <f>IF(Transactions[[#This Row],[Level 0]]=Transactions[[#This Row],[Transaction name]],Transactions[[#This Row],[Transaction name]],IF(Transactions[[#This Row],[Level 0]]=Transactions[[#This Row],[L1N]],Transactions[[#This Row],[Transaction name]],IF(Transactions[[#This Row],[Level 0]]=Transactions[[#This Row],[L2N]],Transactions[[#This Row],[L1N]],IF(Transactions[[#This Row],[Level 0]]=Transactions[[#This Row],[L3N]],Transactions[[#This Row],[L2N]],IF(Transactions[[#This Row],[Level 0]]=Transactions[[#This Row],[L4N]],Transactions[[#This Row],[L3N]],IF(Transactions[[#This Row],[Level 0]]=Transactions[[#This Row],[L5N]],Transactions[[#This Row],[L4N]],IF(Transactions[[#This Row],[Level 0]]=Transactions[[#This Row],[L6N]],Transactions[[#This Row],[L5N]],IF(Transactions[[#This Row],[Level 0]]=Transactions[[#This Row],[L7N]],Transactions[[#This Row],[L6N]],Transactions[[#This Row],[L7N]]))))))))</f>
        <v>Total Final Energy Consumption</v>
      </c>
      <c r="AT52" s="24" t="str">
        <f>IF(Transactions[[#This Row],[Level 1]]=Transactions[[#This Row],[Transaction name]],Transactions[[#This Row],[Transaction name]],IF(Transactions[[#This Row],[Level 1]]=Transactions[[#This Row],[L1N]],Transactions[[#This Row],[Transaction name]],IF(Transactions[[#This Row],[Level 1]]=Transactions[[#This Row],[L2N]],Transactions[[#This Row],[L1N]],IF(Transactions[[#This Row],[Level 1]]=Transactions[[#This Row],[L3N]],Transactions[[#This Row],[L2N]],IF(Transactions[[#This Row],[Level 1]]=Transactions[[#This Row],[L4N]],Transactions[[#This Row],[L3N]],IF(Transactions[[#This Row],[Level 1]]=Transactions[[#This Row],[L5N]],Transactions[[#This Row],[L4N]],IF(Transactions[[#This Row],[Level 1]]=Transactions[[#This Row],[L6N]],Transactions[[#This Row],[L5N]],IF(Transactions[[#This Row],[Level 1]]=Transactions[[#This Row],[L7N]],Transactions[[#This Row],[L6N]],Transactions[[#This Row],[L7N]]))))))))</f>
        <v>Other</v>
      </c>
      <c r="AU52" s="24" t="str">
        <f>IF(Transactions[[#This Row],[Level 2]]=Transactions[[#This Row],[Transaction name]],Transactions[[#This Row],[Transaction name]],IF(Transactions[[#This Row],[Level 2]]=Transactions[[#This Row],[L1N]],Transactions[[#This Row],[Transaction name]],IF(Transactions[[#This Row],[Level 2]]=Transactions[[#This Row],[L2N]],Transactions[[#This Row],[L1N]],IF(Transactions[[#This Row],[Level 2]]=Transactions[[#This Row],[L3N]],Transactions[[#This Row],[L2N]],IF(Transactions[[#This Row],[Level 2]]=Transactions[[#This Row],[L4N]],Transactions[[#This Row],[L3N]],IF(Transactions[[#This Row],[Level 2]]=Transactions[[#This Row],[L5N]],Transactions[[#This Row],[L4N]],IF(Transactions[[#This Row],[Level 2]]=Transactions[[#This Row],[L6N]],Transactions[[#This Row],[L5N]],IF(Transactions[[#This Row],[Level 2]]=Transactions[[#This Row],[L7N]],Transactions[[#This Row],[L6N]],Transactions[[#This Row],[L7N]]))))))))</f>
        <v>Agriculture, forestry and fishing</v>
      </c>
      <c r="AV52" s="24" t="str">
        <f>IF(Transactions[[#This Row],[Level 3]]=Transactions[[#This Row],[Transaction name]],Transactions[[#This Row],[Transaction name]],IF(Transactions[[#This Row],[Level 3]]=Transactions[[#This Row],[L1N]],Transactions[[#This Row],[Transaction name]],IF(Transactions[[#This Row],[Level 3]]=Transactions[[#This Row],[L2N]],Transactions[[#This Row],[L1N]],IF(Transactions[[#This Row],[Level 3]]=Transactions[[#This Row],[L3N]],Transactions[[#This Row],[L2N]],IF(Transactions[[#This Row],[Level 3]]=Transactions[[#This Row],[L4N]],Transactions[[#This Row],[L3N]],IF(Transactions[[#This Row],[Level 3]]=Transactions[[#This Row],[L5N]],Transactions[[#This Row],[L4N]],IF(Transactions[[#This Row],[Level 3]]=Transactions[[#This Row],[L6N]],Transactions[[#This Row],[L5N]],IF(Transactions[[#This Row],[Level 3]]=Transactions[[#This Row],[L7N]],Transactions[[#This Row],[L6N]],Transactions[[#This Row],[L7N]]))))))))</f>
        <v>Fishing</v>
      </c>
      <c r="AW52" s="24" t="str">
        <f>IF(Transactions[[#This Row],[Level 4]]=Transactions[[#This Row],[Transaction name]],Transactions[[#This Row],[Transaction name]],IF(Transactions[[#This Row],[Level 4]]=Transactions[[#This Row],[L1N]],Transactions[[#This Row],[Transaction name]],IF(Transactions[[#This Row],[Level 4]]=Transactions[[#This Row],[L2N]],Transactions[[#This Row],[L1N]],IF(Transactions[[#This Row],[Level 4]]=Transactions[[#This Row],[L3N]],Transactions[[#This Row],[L2N]],IF(Transactions[[#This Row],[Level 4]]=Transactions[[#This Row],[L4N]],Transactions[[#This Row],[L3N]],IF(Transactions[[#This Row],[Level 4]]=Transactions[[#This Row],[L5N]],Transactions[[#This Row],[L4N]],IF(Transactions[[#This Row],[Level 4]]=Transactions[[#This Row],[L6N]],Transactions[[#This Row],[L5N]],IF(Transactions[[#This Row],[Level 4]]=Transactions[[#This Row],[L7N]],Transactions[[#This Row],[L6N]],Transactions[[#This Row],[L7N]]))))))))</f>
        <v>Fishing</v>
      </c>
      <c r="AX52" s="24" t="str">
        <f>IF(Transactions[[#This Row],[Level 5]]=Transactions[[#This Row],[Transaction name]],Transactions[[#This Row],[Transaction name]],IF(Transactions[[#This Row],[Level 5]]=Transactions[[#This Row],[L1N]],Transactions[[#This Row],[Transaction name]],IF(Transactions[[#This Row],[Level 5]]=Transactions[[#This Row],[L2N]],Transactions[[#This Row],[L1N]],IF(Transactions[[#This Row],[Level 5]]=Transactions[[#This Row],[L3N]],Transactions[[#This Row],[L2N]],IF(Transactions[[#This Row],[Level 5]]=Transactions[[#This Row],[L4N]],Transactions[[#This Row],[L3N]],IF(Transactions[[#This Row],[Level 5]]=Transactions[[#This Row],[L5N]],Transactions[[#This Row],[L4N]],IF(Transactions[[#This Row],[Level 5]]=Transactions[[#This Row],[L6N]],Transactions[[#This Row],[L5N]],IF(Transactions[[#This Row],[Level 5]]=Transactions[[#This Row],[L7N]],Transactions[[#This Row],[L6N]],Transactions[[#This Row],[L7N]]))))))))</f>
        <v>Fishing</v>
      </c>
      <c r="AY52" s="24" t="str">
        <f>IF(Transactions[[#This Row],[Level 6]]=Transactions[[#This Row],[Transaction name]],Transactions[[#This Row],[Transaction name]],IF(Transactions[[#This Row],[Level 6]]=Transactions[[#This Row],[L1N]],Transactions[[#This Row],[Transaction name]],IF(Transactions[[#This Row],[Level 6]]=Transactions[[#This Row],[L2N]],Transactions[[#This Row],[L1N]],IF(Transactions[[#This Row],[Level 6]]=Transactions[[#This Row],[L3N]],Transactions[[#This Row],[L2N]],IF(Transactions[[#This Row],[Level 6]]=Transactions[[#This Row],[L4N]],Transactions[[#This Row],[L3N]],IF(Transactions[[#This Row],[Level 6]]=Transactions[[#This Row],[L5N]],Transactions[[#This Row],[L4N]],IF(Transactions[[#This Row],[Level 6]]=Transactions[[#This Row],[L6N]],Transactions[[#This Row],[L5N]],IF(Transactions[[#This Row],[Level 6]]=Transactions[[#This Row],[L7N]],Transactions[[#This Row],[L6N]],Transactions[[#This Row],[L7N]]))))))))</f>
        <v>Fishing</v>
      </c>
      <c r="BE52" s="26" t="str">
        <f>_xlfn.XLOOKUP(Transformation[[#This Row],[cfrom]],Commodities[Commodity],Commodities[Commodity code])</f>
        <v>0320</v>
      </c>
      <c r="BF52" s="26" t="str">
        <f>_xlfn.XLOOKUP(Transformation[[#This Row],[tfrom]],Transactions[Transaction name],Transactions[Transaction code])</f>
        <v>08821</v>
      </c>
      <c r="BG52" s="26" t="str">
        <f>_xlfn.XLOOKUP(Transformation[[#This Row],[cto]],Commodities[Commodity],Commodities[Commodity code])</f>
        <v>0320</v>
      </c>
      <c r="BH52" s="26" t="str">
        <f>_xlfn.XLOOKUP(Transformation[[#This Row],[tto]],Transactions[Transaction name],Transactions[Transaction code])</f>
        <v>015CSC</v>
      </c>
      <c r="BI52" s="31">
        <v>1</v>
      </c>
      <c r="BJ52" s="22" t="s">
        <v>493</v>
      </c>
      <c r="BK52" s="26" t="str">
        <f>_xlfn.XLOOKUP(Transformation[[#This Row],[Commodity from]],Commodities[Commodity code],Commodities[EnergyCode])</f>
        <v>BC</v>
      </c>
      <c r="BL52" s="22" t="s">
        <v>691</v>
      </c>
      <c r="BM52" s="22" t="s">
        <v>493</v>
      </c>
      <c r="BN52" s="26" t="str">
        <f>_xlfn.XLOOKUP(Transformation[[#This Row],[Commodity to]],Commodities[Commodity code],Commodities[EnergyCode])</f>
        <v>BC</v>
      </c>
      <c r="BO52" s="4" t="s">
        <v>1209</v>
      </c>
      <c r="BP52" s="22" t="s">
        <v>1493</v>
      </c>
      <c r="BQ52" s="33" t="str">
        <f>Transformation[[#This Row],[Commodity from]]&amp;Transformation[[#This Row],[Transaction from]]&amp;Transformation[[#This Row],[Commodity to]]&amp;Transformation[[#This Row],[Transaction to]]</f>
        <v>0320088210320015CSC</v>
      </c>
      <c r="BR52" s="26" t="str">
        <f>Transformation[[#This Row],[crfomid]]&amp;Transformation[[#This Row],[Transaction from]]&amp;"("&amp;Transformation[[#This Row],[Multiplier]]&amp;") -&gt; "&amp;Transformation[[#This Row],[ctoid]]&amp;Transformation[[#This Row],[Transaction to]]</f>
        <v>BC08821(1) -&gt; BC015CSC</v>
      </c>
      <c r="BT52" s="26" t="str">
        <f>_xlfn.XLOOKUP(Signswitch[[#This Row],[Commodity name]],Commodities[Commodity],Commodities[Commodity code])</f>
        <v>5212</v>
      </c>
      <c r="BU52" s="26" t="str">
        <f>_xlfn.XLOOKUP(Signswitch[[#This Row],[Transaction name]],Transactions[Transaction name],Transactions[Transaction code])</f>
        <v>1214H</v>
      </c>
      <c r="BV52" s="26" t="str">
        <f>Signswitch[[#This Row],[Commodity from]]&amp;Signswitch[[#This Row],[Transaction from]]</f>
        <v>52121214H</v>
      </c>
      <c r="BW52" s="22" t="s">
        <v>317</v>
      </c>
      <c r="BX52" s="26" t="str">
        <f>_xlfn.XLOOKUP(Signswitch[[#This Row],[Commodity from]],Commodities[Commodity code],Commodities[EnergyCode])</f>
        <v>ZG</v>
      </c>
      <c r="BY52" s="22" t="s">
        <v>448</v>
      </c>
    </row>
    <row r="53" spans="8:77" x14ac:dyDescent="0.45">
      <c r="H53" s="5" t="s">
        <v>409</v>
      </c>
      <c r="I53" s="4" t="s">
        <v>408</v>
      </c>
      <c r="J53" s="9" t="s">
        <v>366</v>
      </c>
      <c r="K53" s="14" t="s">
        <v>1485</v>
      </c>
      <c r="L53" s="23" t="str">
        <f>IFERROR(INDEX(Commodities[[Commodity code]:[Commodity]],MATCH(Commodities[[#This Row],[Parent code]],Commodities[Commodity code],0),2),Commodities[[#This Row],[Commodity]])</f>
        <v>Oil products</v>
      </c>
      <c r="M53" s="24" t="str">
        <f>IFERROR(INDEX(Commodities[[Commodity code]:[Commodity]],MATCH(INDEX(Commodities[[Commodity]:[Parent code]],MATCH(Commodities[[#This Row],[L1N]],Commodities[Commodity],0),2),Commodities[Commodity code],0),2),Commodities[[#This Row],[L1N]])</f>
        <v>Oil</v>
      </c>
      <c r="N53" s="24" t="str">
        <f>IFERROR(INDEX(Commodities[[Commodity code]:[Commodity]],MATCH(INDEX(Commodities[[Commodity]:[Parent code]],MATCH(Commodities[[#This Row],[L2N]],Commodities[Commodity],0),2),Commodities[Commodity code],0),2),Commodities[[#This Row],[L2N]])</f>
        <v>Oil</v>
      </c>
      <c r="O53" s="24" t="str">
        <f>IFERROR(INDEX(Commodities[[Commodity code]:[Commodity]],MATCH(INDEX(Commodities[[Commodity]:[Parent code]],MATCH(Commodities[[#This Row],[L3N]],Commodities[Commodity],0),2),Commodities[Commodity code],0),2),Commodities[[#This Row],[L3N]])</f>
        <v>Oil</v>
      </c>
      <c r="P53" s="24" t="str">
        <f>IF(Commodities[[#This Row],[L4N]]=Commodities[[#This Row],[L3N]],Commodities[[#This Row],[L4N]],IF(Commodities[[#This Row],[L3N]]=Commodities[[#This Row],[L2N]],Commodities[[#This Row],[L3N]],IF(Commodities[[#This Row],[L2N]]=Commodities[[#This Row],[L1N]],Commodities[[#This Row],[L2N]],IF(Commodities[[#This Row],[L1N]]=Commodities[[#This Row],[Commodity]],Commodities[[#This Row],[L1N]],Commodities[[#This Row],[Commodity]]))))</f>
        <v>Oil</v>
      </c>
      <c r="Q53" s="24" t="str">
        <f>IF(Commodities[[#This Row],[Level 0]]=Commodities[[#This Row],[Commodity]],Commodities[[#This Row],[Commodity]],IF(Commodities[[#This Row],[Level 0]]=Commodities[[#This Row],[L1N]],Commodities[[#This Row],[Commodity]],IF(Commodities[[#This Row],[Level 0]]=Commodities[[#This Row],[L2N]],Commodities[[#This Row],[L1N]],IF(Commodities[[#This Row],[Level 0]]=Commodities[[#This Row],[L3N]],Commodities[[#This Row],[L2N]],IF(Commodities[[#This Row],[Level 0]]=Commodities[[#This Row],[L4N]],Commodities[[#This Row],[L3N]],Commodities[[#This Row],[L4N]])))))</f>
        <v>Oil products</v>
      </c>
      <c r="R53" s="24" t="str">
        <f>IF(Commodities[[#This Row],[Level 1]]=Commodities[[#This Row],[Commodity]],Commodities[[#This Row],[Commodity]],IF(Commodities[[#This Row],[Level 1]]=Commodities[[#This Row],[L1N]],Commodities[[#This Row],[Commodity]],IF(Commodities[[#This Row],[Level 1]]=Commodities[[#This Row],[L2N]],Commodities[[#This Row],[L1N]],IF(Commodities[[#This Row],[Level 1]]=Commodities[[#This Row],[L3N]],Commodities[[#This Row],[L2N]],IF(Commodities[[#This Row],[Level 1]]=Commodities[[#This Row],[L4N]],Commodities[[#This Row],[L3N]],Commodities[[#This Row],[L4N]])))))</f>
        <v>Liquefied petroleum gases (LPG)</v>
      </c>
      <c r="S53" s="24" t="str">
        <f>IF(Commodities[[#This Row],[Level 2]]=Commodities[[#This Row],[Commodity]],Commodities[[#This Row],[Commodity]],IF(Commodities[[#This Row],[Level 2]]=Commodities[[#This Row],[L1N]],Commodities[[#This Row],[Commodity]],IF(Commodities[[#This Row],[Level 2]]=Commodities[[#This Row],[L2N]],Commodities[[#This Row],[L1N]],IF(Commodities[[#This Row],[Level 2]]=Commodities[[#This Row],[L3N]],Commodities[[#This Row],[L2N]],IF(Commodities[[#This Row],[Level 2]]=Commodities[[#This Row],[L4N]],Commodities[[#This Row],[L3N]],Commodities[[#This Row],[L4N]])))))</f>
        <v>Liquefied petroleum gases (LPG)</v>
      </c>
      <c r="T53" s="24" t="str">
        <f>IF(Commodities[[#This Row],[Level 3]]=Commodities[[#This Row],[Commodity]],Commodities[[#This Row],[Commodity]],IF(Commodities[[#This Row],[Level 3]]=Commodities[[#This Row],[L1N]],Commodities[[#This Row],[Commodity]],IF(Commodities[[#This Row],[Level 3]]=Commodities[[#This Row],[L2N]],Commodities[[#This Row],[L1N]],IF(Commodities[[#This Row],[Level 3]]=Commodities[[#This Row],[L3N]],Commodities[[#This Row],[L2N]],IF(Commodities[[#This Row],[Level 3]]=Commodities[[#This Row],[L4N]],Commodities[[#This Row],[L3N]],Commodities[[#This Row],[L4N]])))))</f>
        <v>Liquefied petroleum gases (LPG)</v>
      </c>
      <c r="U53" s="24" t="str">
        <f>IF(Commodities[[#This Row],[Level 4]]=Commodities[[#This Row],[Commodity]],Commodities[[#This Row],[Commodity]],IF(Commodities[[#This Row],[Level 4]]=Commodities[[#This Row],[L1N]],Commodities[[#This Row],[Commodity]],IF(Commodities[[#This Row],[Level 4]]=Commodities[[#This Row],[L2N]],Commodities[[#This Row],[L1N]],IF(Commodities[[#This Row],[Level 4]]=Commodities[[#This Row],[L3N]],Commodities[[#This Row],[L2N]],IF(Commodities[[#This Row],[Level 4]]=Commodities[[#This Row],[L4N]],Commodities[[#This Row],[L3N]],Commodities[[#This Row],[L4N]])))))</f>
        <v>Liquefied petroleum gases (LPG)</v>
      </c>
      <c r="Y53" s="5" t="s">
        <v>99</v>
      </c>
      <c r="Z53" s="4" t="s">
        <v>400</v>
      </c>
      <c r="AA53" s="4" t="s">
        <v>400</v>
      </c>
      <c r="AB53" s="6" t="s">
        <v>100</v>
      </c>
      <c r="AC53" s="24" t="str">
        <f>IFERROR(VLOOKUP(Transactions[[#This Row],[Parent code]],Transactions[[Transaction code]:[Transaction name]],2,0),"")</f>
        <v>Other</v>
      </c>
      <c r="AD53" s="4" t="s">
        <v>630</v>
      </c>
      <c r="AE53" s="4" t="s">
        <v>915</v>
      </c>
      <c r="AF53" s="4" t="s">
        <v>642</v>
      </c>
      <c r="AG53" s="4" t="s">
        <v>1</v>
      </c>
      <c r="AH53" s="4" t="s">
        <v>696</v>
      </c>
      <c r="AK53" s="24" t="str" cm="1">
        <f t="array" ref="AK53">IFERROR(INDEX(Transactions[[Transaction code]:[Transaction name]],_xlfn.XMATCH(Transactions[[#This Row],[Parent code]],Transactions[Transaction name],0),3),Transactions[[#This Row],[Transaction name]])</f>
        <v>Commerce and public services</v>
      </c>
      <c r="AL53" s="24" t="str" cm="1">
        <f t="array" ref="AL53">IFERROR(INDEX(Transactions[[Transaction code]:[Transaction name]],_xlfn.XMATCH(INDEX(Transactions[[Transaction name]:[Parent code]],_xlfn.XMATCH(Transactions[[#This Row],[L1N]],Transactions[Transaction name],0),3),Transactions[Transaction code],0),2),Transactions[[#This Row],[L1N]])</f>
        <v>Other</v>
      </c>
      <c r="AM53" s="24" t="str" cm="1">
        <f t="array" ref="AM53">IFERROR(INDEX(Transactions[[Transaction code]:[Transaction name]],_xlfn.XMATCH(INDEX(Transactions[[Transaction name]:[Parent code]],_xlfn.XMATCH(Transactions[[#This Row],[L2N]],Transactions[Transaction name],0),3),Transactions[Transaction code],0),2),Transactions[[#This Row],[L2N]])</f>
        <v>Total Final Energy Consumption</v>
      </c>
      <c r="AN53" s="24" t="str" cm="1">
        <f t="array" ref="AN53">IFERROR(INDEX(Transactions[[Transaction code]:[Transaction name]],_xlfn.XMATCH(INDEX(Transactions[[Transaction name]:[Parent code]],_xlfn.XMATCH(Transactions[[#This Row],[L3N]],Transactions[Transaction name],0),3),Transactions[Transaction code],0),2),Transactions[[#This Row],[L3N]])</f>
        <v>Final consumption</v>
      </c>
      <c r="AO53" s="24" t="str" cm="1">
        <f t="array" ref="AO53">IFERROR(INDEX(Transactions[[Transaction code]:[Transaction name]],_xlfn.XMATCH(INDEX(Transactions[[Transaction name]:[Parent code]],_xlfn.XMATCH(Transactions[[#This Row],[L4N]],Transactions[Transaction name],0),3),Transactions[Transaction code],0),2),Transactions[[#This Row],[L4N]])</f>
        <v>Final consumption</v>
      </c>
      <c r="AP53" s="24" t="str" cm="1">
        <f t="array" ref="AP53">IFERROR(INDEX(Transactions[[Transaction code]:[Transaction name]],_xlfn.XMATCH(INDEX(Transactions[[Transaction name]:[Parent code]],_xlfn.XMATCH(Transactions[[#This Row],[L5N]],Transactions[Transaction name],0),3),Transactions[Transaction code],0),2),Transactions[[#This Row],[L5N]])</f>
        <v>Final consumption</v>
      </c>
      <c r="AQ53" s="24" t="str" cm="1">
        <f t="array" ref="AQ53">IFERROR(INDEX(Transactions[[Transaction code]:[Transaction name]],_xlfn.XMATCH(INDEX(Transactions[[Transaction name]:[Parent code]],_xlfn.XMATCH(Transactions[[#This Row],[L6N]],Transactions[Transaction name],0),3),Transactions[Transaction code],0),2),Transactions[[#This Row],[L6N]])</f>
        <v>Final consumption</v>
      </c>
      <c r="AR53" s="27" t="str">
        <f>IF(Transactions[[#This Row],[L7N]]=Transactions[[#This Row],[L6N]],Transactions[[#This Row],[L7N]],IF(Transactions[[#This Row],[L6N]]=Transactions[[#This Row],[L5N]],Transactions[[#This Row],[L6N]],IF(Transactions[[#This Row],[L5N]]=Transactions[[#This Row],[L4N]],Transactions[[#This Row],[L5N]],IF(Transactions[[#This Row],[L4N]]=Transactions[[#This Row],[L3N]],Transactions[[#This Row],[L4N]],IF(Transactions[[#This Row],[L3N]]=Transactions[[#This Row],[L2N]],Transactions[[#This Row],[L3N]],IF(Transactions[[#This Row],[L2N]]=Transactions[[#This Row],[L1N]],Transactions[[#This Row],[L2N]],IF(Transactions[[#This Row],[L1N]]=Transactions[[#This Row],[Transaction name]],Transactions[[#This Row],[L1N]],Transactions[[#This Row],[Transaction name]])))))))</f>
        <v>Final consumption</v>
      </c>
      <c r="AS53" s="24" t="str">
        <f>IF(Transactions[[#This Row],[Level 0]]=Transactions[[#This Row],[Transaction name]],Transactions[[#This Row],[Transaction name]],IF(Transactions[[#This Row],[Level 0]]=Transactions[[#This Row],[L1N]],Transactions[[#This Row],[Transaction name]],IF(Transactions[[#This Row],[Level 0]]=Transactions[[#This Row],[L2N]],Transactions[[#This Row],[L1N]],IF(Transactions[[#This Row],[Level 0]]=Transactions[[#This Row],[L3N]],Transactions[[#This Row],[L2N]],IF(Transactions[[#This Row],[Level 0]]=Transactions[[#This Row],[L4N]],Transactions[[#This Row],[L3N]],IF(Transactions[[#This Row],[Level 0]]=Transactions[[#This Row],[L5N]],Transactions[[#This Row],[L4N]],IF(Transactions[[#This Row],[Level 0]]=Transactions[[#This Row],[L6N]],Transactions[[#This Row],[L5N]],IF(Transactions[[#This Row],[Level 0]]=Transactions[[#This Row],[L7N]],Transactions[[#This Row],[L6N]],Transactions[[#This Row],[L7N]]))))))))</f>
        <v>Total Final Energy Consumption</v>
      </c>
      <c r="AT53" s="24" t="str">
        <f>IF(Transactions[[#This Row],[Level 1]]=Transactions[[#This Row],[Transaction name]],Transactions[[#This Row],[Transaction name]],IF(Transactions[[#This Row],[Level 1]]=Transactions[[#This Row],[L1N]],Transactions[[#This Row],[Transaction name]],IF(Transactions[[#This Row],[Level 1]]=Transactions[[#This Row],[L2N]],Transactions[[#This Row],[L1N]],IF(Transactions[[#This Row],[Level 1]]=Transactions[[#This Row],[L3N]],Transactions[[#This Row],[L2N]],IF(Transactions[[#This Row],[Level 1]]=Transactions[[#This Row],[L4N]],Transactions[[#This Row],[L3N]],IF(Transactions[[#This Row],[Level 1]]=Transactions[[#This Row],[L5N]],Transactions[[#This Row],[L4N]],IF(Transactions[[#This Row],[Level 1]]=Transactions[[#This Row],[L6N]],Transactions[[#This Row],[L5N]],IF(Transactions[[#This Row],[Level 1]]=Transactions[[#This Row],[L7N]],Transactions[[#This Row],[L6N]],Transactions[[#This Row],[L7N]]))))))))</f>
        <v>Other</v>
      </c>
      <c r="AU53" s="24" t="str">
        <f>IF(Transactions[[#This Row],[Level 2]]=Transactions[[#This Row],[Transaction name]],Transactions[[#This Row],[Transaction name]],IF(Transactions[[#This Row],[Level 2]]=Transactions[[#This Row],[L1N]],Transactions[[#This Row],[Transaction name]],IF(Transactions[[#This Row],[Level 2]]=Transactions[[#This Row],[L2N]],Transactions[[#This Row],[L1N]],IF(Transactions[[#This Row],[Level 2]]=Transactions[[#This Row],[L3N]],Transactions[[#This Row],[L2N]],IF(Transactions[[#This Row],[Level 2]]=Transactions[[#This Row],[L4N]],Transactions[[#This Row],[L3N]],IF(Transactions[[#This Row],[Level 2]]=Transactions[[#This Row],[L5N]],Transactions[[#This Row],[L4N]],IF(Transactions[[#This Row],[Level 2]]=Transactions[[#This Row],[L6N]],Transactions[[#This Row],[L5N]],IF(Transactions[[#This Row],[Level 2]]=Transactions[[#This Row],[L7N]],Transactions[[#This Row],[L6N]],Transactions[[#This Row],[L7N]]))))))))</f>
        <v>Commerce and public services</v>
      </c>
      <c r="AV53" s="24" t="str">
        <f>IF(Transactions[[#This Row],[Level 3]]=Transactions[[#This Row],[Transaction name]],Transactions[[#This Row],[Transaction name]],IF(Transactions[[#This Row],[Level 3]]=Transactions[[#This Row],[L1N]],Transactions[[#This Row],[Transaction name]],IF(Transactions[[#This Row],[Level 3]]=Transactions[[#This Row],[L2N]],Transactions[[#This Row],[L1N]],IF(Transactions[[#This Row],[Level 3]]=Transactions[[#This Row],[L3N]],Transactions[[#This Row],[L2N]],IF(Transactions[[#This Row],[Level 3]]=Transactions[[#This Row],[L4N]],Transactions[[#This Row],[L3N]],IF(Transactions[[#This Row],[Level 3]]=Transactions[[#This Row],[L5N]],Transactions[[#This Row],[L4N]],IF(Transactions[[#This Row],[Level 3]]=Transactions[[#This Row],[L6N]],Transactions[[#This Row],[L5N]],IF(Transactions[[#This Row],[Level 3]]=Transactions[[#This Row],[L7N]],Transactions[[#This Row],[L6N]],Transactions[[#This Row],[L7N]]))))))))</f>
        <v>Commerce and public services</v>
      </c>
      <c r="AW53" s="24" t="str">
        <f>IF(Transactions[[#This Row],[Level 4]]=Transactions[[#This Row],[Transaction name]],Transactions[[#This Row],[Transaction name]],IF(Transactions[[#This Row],[Level 4]]=Transactions[[#This Row],[L1N]],Transactions[[#This Row],[Transaction name]],IF(Transactions[[#This Row],[Level 4]]=Transactions[[#This Row],[L2N]],Transactions[[#This Row],[L1N]],IF(Transactions[[#This Row],[Level 4]]=Transactions[[#This Row],[L3N]],Transactions[[#This Row],[L2N]],IF(Transactions[[#This Row],[Level 4]]=Transactions[[#This Row],[L4N]],Transactions[[#This Row],[L3N]],IF(Transactions[[#This Row],[Level 4]]=Transactions[[#This Row],[L5N]],Transactions[[#This Row],[L4N]],IF(Transactions[[#This Row],[Level 4]]=Transactions[[#This Row],[L6N]],Transactions[[#This Row],[L5N]],IF(Transactions[[#This Row],[Level 4]]=Transactions[[#This Row],[L7N]],Transactions[[#This Row],[L6N]],Transactions[[#This Row],[L7N]]))))))))</f>
        <v>Commerce and public services</v>
      </c>
      <c r="AX53" s="24" t="str">
        <f>IF(Transactions[[#This Row],[Level 5]]=Transactions[[#This Row],[Transaction name]],Transactions[[#This Row],[Transaction name]],IF(Transactions[[#This Row],[Level 5]]=Transactions[[#This Row],[L1N]],Transactions[[#This Row],[Transaction name]],IF(Transactions[[#This Row],[Level 5]]=Transactions[[#This Row],[L2N]],Transactions[[#This Row],[L1N]],IF(Transactions[[#This Row],[Level 5]]=Transactions[[#This Row],[L3N]],Transactions[[#This Row],[L2N]],IF(Transactions[[#This Row],[Level 5]]=Transactions[[#This Row],[L4N]],Transactions[[#This Row],[L3N]],IF(Transactions[[#This Row],[Level 5]]=Transactions[[#This Row],[L5N]],Transactions[[#This Row],[L4N]],IF(Transactions[[#This Row],[Level 5]]=Transactions[[#This Row],[L6N]],Transactions[[#This Row],[L5N]],IF(Transactions[[#This Row],[Level 5]]=Transactions[[#This Row],[L7N]],Transactions[[#This Row],[L6N]],Transactions[[#This Row],[L7N]]))))))))</f>
        <v>Commerce and public services</v>
      </c>
      <c r="AY53" s="24" t="str">
        <f>IF(Transactions[[#This Row],[Level 6]]=Transactions[[#This Row],[Transaction name]],Transactions[[#This Row],[Transaction name]],IF(Transactions[[#This Row],[Level 6]]=Transactions[[#This Row],[L1N]],Transactions[[#This Row],[Transaction name]],IF(Transactions[[#This Row],[Level 6]]=Transactions[[#This Row],[L2N]],Transactions[[#This Row],[L1N]],IF(Transactions[[#This Row],[Level 6]]=Transactions[[#This Row],[L3N]],Transactions[[#This Row],[L2N]],IF(Transactions[[#This Row],[Level 6]]=Transactions[[#This Row],[L4N]],Transactions[[#This Row],[L3N]],IF(Transactions[[#This Row],[Level 6]]=Transactions[[#This Row],[L5N]],Transactions[[#This Row],[L4N]],IF(Transactions[[#This Row],[Level 6]]=Transactions[[#This Row],[L6N]],Transactions[[#This Row],[L5N]],IF(Transactions[[#This Row],[Level 6]]=Transactions[[#This Row],[L7N]],Transactions[[#This Row],[L6N]],Transactions[[#This Row],[L7N]]))))))))</f>
        <v>Commerce and public services</v>
      </c>
      <c r="BE53" s="26" t="str">
        <f>_xlfn.XLOOKUP(Transformation[[#This Row],[cfrom]],Commodities[Commodity],Commodities[Commodity code])</f>
        <v>5220</v>
      </c>
      <c r="BF53" s="26" t="str">
        <f>_xlfn.XLOOKUP(Transformation[[#This Row],[tfrom]],Transactions[Transaction name],Transactions[Transaction code])</f>
        <v>08821</v>
      </c>
      <c r="BG53" s="26" t="str">
        <f>_xlfn.XLOOKUP(Transformation[[#This Row],[cto]],Commodities[Commodity],Commodities[Commodity code])</f>
        <v>5220</v>
      </c>
      <c r="BH53" s="26" t="str">
        <f>_xlfn.XLOOKUP(Transformation[[#This Row],[tto]],Transactions[Transaction name],Transactions[Transaction code])</f>
        <v>015BLC</v>
      </c>
      <c r="BI53" s="11">
        <v>1</v>
      </c>
      <c r="BJ53" s="4" t="s">
        <v>315</v>
      </c>
      <c r="BK53" s="24" t="str">
        <f>_xlfn.XLOOKUP(Transformation[[#This Row],[Commodity from]],Commodities[Commodity code],Commodities[EnergyCode])</f>
        <v>BD</v>
      </c>
      <c r="BL53" s="4" t="s">
        <v>691</v>
      </c>
      <c r="BM53" s="4" t="s">
        <v>315</v>
      </c>
      <c r="BN53" s="24" t="str">
        <f>_xlfn.XLOOKUP(Transformation[[#This Row],[Commodity to]],Commodities[Commodity code],Commodities[EnergyCode])</f>
        <v>BD</v>
      </c>
      <c r="BO53" s="4" t="s">
        <v>1074</v>
      </c>
      <c r="BP53" s="16" t="s">
        <v>1493</v>
      </c>
      <c r="BQ53" s="33" t="str">
        <f>Transformation[[#This Row],[Commodity from]]&amp;Transformation[[#This Row],[Transaction from]]&amp;Transformation[[#This Row],[Commodity to]]&amp;Transformation[[#This Row],[Transaction to]]</f>
        <v>5220088215220015BLC</v>
      </c>
      <c r="BR53" s="26" t="str">
        <f>Transformation[[#This Row],[crfomid]]&amp;Transformation[[#This Row],[Transaction from]]&amp;"("&amp;Transformation[[#This Row],[Multiplier]]&amp;") -&gt; "&amp;Transformation[[#This Row],[ctoid]]&amp;Transformation[[#This Row],[Transaction to]]</f>
        <v>BD08821(1) -&gt; BD015BLC</v>
      </c>
      <c r="BT53" s="26" t="str">
        <f>_xlfn.XLOOKUP(Signswitch[[#This Row],[Commodity name]],Commodities[Commodity],Commodities[Commodity code])</f>
        <v>5232</v>
      </c>
      <c r="BU53" s="26" t="str">
        <f>_xlfn.XLOOKUP(Signswitch[[#This Row],[Transaction name]],Transactions[Transaction name],Transactions[Transaction code])</f>
        <v>1214J</v>
      </c>
      <c r="BV53" s="26" t="str">
        <f>Signswitch[[#This Row],[Commodity from]]&amp;Signswitch[[#This Row],[Transaction from]]</f>
        <v>52321214J</v>
      </c>
      <c r="BW53" s="22" t="s">
        <v>306</v>
      </c>
      <c r="BX53" s="26" t="str">
        <f>_xlfn.XLOOKUP(Signswitch[[#This Row],[Commodity from]],Commodities[Commodity code],Commodities[EnergyCode])</f>
        <v>ZJ</v>
      </c>
      <c r="BY53" s="22" t="s">
        <v>444</v>
      </c>
    </row>
    <row r="54" spans="8:77" x14ac:dyDescent="0.45">
      <c r="H54" s="5" t="s">
        <v>361</v>
      </c>
      <c r="I54" s="4" t="s">
        <v>360</v>
      </c>
      <c r="J54" s="9" t="s">
        <v>347</v>
      </c>
      <c r="K54" s="9" t="s">
        <v>1450</v>
      </c>
      <c r="L54" s="23" t="str">
        <f>IFERROR(INDEX(Commodities[[Commodity code]:[Commodity]],MATCH(Commodities[[#This Row],[Parent code]],Commodities[Commodity code],0),2),Commodities[[#This Row],[Commodity]])</f>
        <v>Other oil products</v>
      </c>
      <c r="M54" s="24" t="str">
        <f>IFERROR(INDEX(Commodities[[Commodity code]:[Commodity]],MATCH(INDEX(Commodities[[Commodity]:[Parent code]],MATCH(Commodities[[#This Row],[L1N]],Commodities[Commodity],0),2),Commodities[Commodity code],0),2),Commodities[[#This Row],[L1N]])</f>
        <v>Oil products</v>
      </c>
      <c r="N54" s="24" t="str">
        <f>IFERROR(INDEX(Commodities[[Commodity code]:[Commodity]],MATCH(INDEX(Commodities[[Commodity]:[Parent code]],MATCH(Commodities[[#This Row],[L2N]],Commodities[Commodity],0),2),Commodities[Commodity code],0),2),Commodities[[#This Row],[L2N]])</f>
        <v>Oil</v>
      </c>
      <c r="O54" s="24" t="str">
        <f>IFERROR(INDEX(Commodities[[Commodity code]:[Commodity]],MATCH(INDEX(Commodities[[Commodity]:[Parent code]],MATCH(Commodities[[#This Row],[L3N]],Commodities[Commodity],0),2),Commodities[Commodity code],0),2),Commodities[[#This Row],[L3N]])</f>
        <v>Oil</v>
      </c>
      <c r="P54" s="24" t="str">
        <f>IF(Commodities[[#This Row],[L4N]]=Commodities[[#This Row],[L3N]],Commodities[[#This Row],[L4N]],IF(Commodities[[#This Row],[L3N]]=Commodities[[#This Row],[L2N]],Commodities[[#This Row],[L3N]],IF(Commodities[[#This Row],[L2N]]=Commodities[[#This Row],[L1N]],Commodities[[#This Row],[L2N]],IF(Commodities[[#This Row],[L1N]]=Commodities[[#This Row],[Commodity]],Commodities[[#This Row],[L1N]],Commodities[[#This Row],[Commodity]]))))</f>
        <v>Oil</v>
      </c>
      <c r="Q54" s="24" t="str">
        <f>IF(Commodities[[#This Row],[Level 0]]=Commodities[[#This Row],[Commodity]],Commodities[[#This Row],[Commodity]],IF(Commodities[[#This Row],[Level 0]]=Commodities[[#This Row],[L1N]],Commodities[[#This Row],[Commodity]],IF(Commodities[[#This Row],[Level 0]]=Commodities[[#This Row],[L2N]],Commodities[[#This Row],[L1N]],IF(Commodities[[#This Row],[Level 0]]=Commodities[[#This Row],[L3N]],Commodities[[#This Row],[L2N]],IF(Commodities[[#This Row],[Level 0]]=Commodities[[#This Row],[L4N]],Commodities[[#This Row],[L3N]],Commodities[[#This Row],[L4N]])))))</f>
        <v>Oil products</v>
      </c>
      <c r="R54" s="24" t="str">
        <f>IF(Commodities[[#This Row],[Level 1]]=Commodities[[#This Row],[Commodity]],Commodities[[#This Row],[Commodity]],IF(Commodities[[#This Row],[Level 1]]=Commodities[[#This Row],[L1N]],Commodities[[#This Row],[Commodity]],IF(Commodities[[#This Row],[Level 1]]=Commodities[[#This Row],[L2N]],Commodities[[#This Row],[L1N]],IF(Commodities[[#This Row],[Level 1]]=Commodities[[#This Row],[L3N]],Commodities[[#This Row],[L2N]],IF(Commodities[[#This Row],[Level 1]]=Commodities[[#This Row],[L4N]],Commodities[[#This Row],[L3N]],Commodities[[#This Row],[L4N]])))))</f>
        <v>Other oil products</v>
      </c>
      <c r="S54" s="24" t="str">
        <f>IF(Commodities[[#This Row],[Level 2]]=Commodities[[#This Row],[Commodity]],Commodities[[#This Row],[Commodity]],IF(Commodities[[#This Row],[Level 2]]=Commodities[[#This Row],[L1N]],Commodities[[#This Row],[Commodity]],IF(Commodities[[#This Row],[Level 2]]=Commodities[[#This Row],[L2N]],Commodities[[#This Row],[L1N]],IF(Commodities[[#This Row],[Level 2]]=Commodities[[#This Row],[L3N]],Commodities[[#This Row],[L2N]],IF(Commodities[[#This Row],[Level 2]]=Commodities[[#This Row],[L4N]],Commodities[[#This Row],[L3N]],Commodities[[#This Row],[L4N]])))))</f>
        <v>Lubricants</v>
      </c>
      <c r="T54" s="24" t="str">
        <f>IF(Commodities[[#This Row],[Level 3]]=Commodities[[#This Row],[Commodity]],Commodities[[#This Row],[Commodity]],IF(Commodities[[#This Row],[Level 3]]=Commodities[[#This Row],[L1N]],Commodities[[#This Row],[Commodity]],IF(Commodities[[#This Row],[Level 3]]=Commodities[[#This Row],[L2N]],Commodities[[#This Row],[L1N]],IF(Commodities[[#This Row],[Level 3]]=Commodities[[#This Row],[L3N]],Commodities[[#This Row],[L2N]],IF(Commodities[[#This Row],[Level 3]]=Commodities[[#This Row],[L4N]],Commodities[[#This Row],[L3N]],Commodities[[#This Row],[L4N]])))))</f>
        <v>Lubricants</v>
      </c>
      <c r="U54" s="24" t="str">
        <f>IF(Commodities[[#This Row],[Level 4]]=Commodities[[#This Row],[Commodity]],Commodities[[#This Row],[Commodity]],IF(Commodities[[#This Row],[Level 4]]=Commodities[[#This Row],[L1N]],Commodities[[#This Row],[Commodity]],IF(Commodities[[#This Row],[Level 4]]=Commodities[[#This Row],[L2N]],Commodities[[#This Row],[L1N]],IF(Commodities[[#This Row],[Level 4]]=Commodities[[#This Row],[L3N]],Commodities[[#This Row],[L2N]],IF(Commodities[[#This Row],[Level 4]]=Commodities[[#This Row],[L4N]],Commodities[[#This Row],[L3N]],Commodities[[#This Row],[L4N]])))))</f>
        <v>Lubricants</v>
      </c>
      <c r="Y54" s="5" t="s">
        <v>105</v>
      </c>
      <c r="Z54" s="4" t="s">
        <v>396</v>
      </c>
      <c r="AA54" s="4" t="s">
        <v>396</v>
      </c>
      <c r="AB54" s="6" t="s">
        <v>100</v>
      </c>
      <c r="AC54" s="24" t="str">
        <f>IFERROR(VLOOKUP(Transactions[[#This Row],[Parent code]],Transactions[[Transaction code]:[Transaction name]],2,0),"")</f>
        <v>Other</v>
      </c>
      <c r="AD54" s="4" t="s">
        <v>630</v>
      </c>
      <c r="AE54" s="4" t="s">
        <v>915</v>
      </c>
      <c r="AF54" s="4" t="s">
        <v>642</v>
      </c>
      <c r="AG54" s="4" t="s">
        <v>1</v>
      </c>
      <c r="AH54" s="4" t="s">
        <v>696</v>
      </c>
      <c r="AK54" s="24" t="str" cm="1">
        <f t="array" ref="AK54">IFERROR(INDEX(Transactions[[Transaction code]:[Transaction name]],_xlfn.XMATCH(Transactions[[#This Row],[Parent code]],Transactions[Transaction name],0),3),Transactions[[#This Row],[Transaction name]])</f>
        <v>Households</v>
      </c>
      <c r="AL54" s="24" t="str" cm="1">
        <f t="array" ref="AL54">IFERROR(INDEX(Transactions[[Transaction code]:[Transaction name]],_xlfn.XMATCH(INDEX(Transactions[[Transaction name]:[Parent code]],_xlfn.XMATCH(Transactions[[#This Row],[L1N]],Transactions[Transaction name],0),3),Transactions[Transaction code],0),2),Transactions[[#This Row],[L1N]])</f>
        <v>Other</v>
      </c>
      <c r="AM54" s="24" t="str" cm="1">
        <f t="array" ref="AM54">IFERROR(INDEX(Transactions[[Transaction code]:[Transaction name]],_xlfn.XMATCH(INDEX(Transactions[[Transaction name]:[Parent code]],_xlfn.XMATCH(Transactions[[#This Row],[L2N]],Transactions[Transaction name],0),3),Transactions[Transaction code],0),2),Transactions[[#This Row],[L2N]])</f>
        <v>Total Final Energy Consumption</v>
      </c>
      <c r="AN54" s="24" t="str" cm="1">
        <f t="array" ref="AN54">IFERROR(INDEX(Transactions[[Transaction code]:[Transaction name]],_xlfn.XMATCH(INDEX(Transactions[[Transaction name]:[Parent code]],_xlfn.XMATCH(Transactions[[#This Row],[L3N]],Transactions[Transaction name],0),3),Transactions[Transaction code],0),2),Transactions[[#This Row],[L3N]])</f>
        <v>Final consumption</v>
      </c>
      <c r="AO54" s="24" t="str" cm="1">
        <f t="array" ref="AO54">IFERROR(INDEX(Transactions[[Transaction code]:[Transaction name]],_xlfn.XMATCH(INDEX(Transactions[[Transaction name]:[Parent code]],_xlfn.XMATCH(Transactions[[#This Row],[L4N]],Transactions[Transaction name],0),3),Transactions[Transaction code],0),2),Transactions[[#This Row],[L4N]])</f>
        <v>Final consumption</v>
      </c>
      <c r="AP54" s="24" t="str" cm="1">
        <f t="array" ref="AP54">IFERROR(INDEX(Transactions[[Transaction code]:[Transaction name]],_xlfn.XMATCH(INDEX(Transactions[[Transaction name]:[Parent code]],_xlfn.XMATCH(Transactions[[#This Row],[L5N]],Transactions[Transaction name],0),3),Transactions[Transaction code],0),2),Transactions[[#This Row],[L5N]])</f>
        <v>Final consumption</v>
      </c>
      <c r="AQ54" s="24" t="str" cm="1">
        <f t="array" ref="AQ54">IFERROR(INDEX(Transactions[[Transaction code]:[Transaction name]],_xlfn.XMATCH(INDEX(Transactions[[Transaction name]:[Parent code]],_xlfn.XMATCH(Transactions[[#This Row],[L6N]],Transactions[Transaction name],0),3),Transactions[Transaction code],0),2),Transactions[[#This Row],[L6N]])</f>
        <v>Final consumption</v>
      </c>
      <c r="AR54" s="27" t="str">
        <f>IF(Transactions[[#This Row],[L7N]]=Transactions[[#This Row],[L6N]],Transactions[[#This Row],[L7N]],IF(Transactions[[#This Row],[L6N]]=Transactions[[#This Row],[L5N]],Transactions[[#This Row],[L6N]],IF(Transactions[[#This Row],[L5N]]=Transactions[[#This Row],[L4N]],Transactions[[#This Row],[L5N]],IF(Transactions[[#This Row],[L4N]]=Transactions[[#This Row],[L3N]],Transactions[[#This Row],[L4N]],IF(Transactions[[#This Row],[L3N]]=Transactions[[#This Row],[L2N]],Transactions[[#This Row],[L3N]],IF(Transactions[[#This Row],[L2N]]=Transactions[[#This Row],[L1N]],Transactions[[#This Row],[L2N]],IF(Transactions[[#This Row],[L1N]]=Transactions[[#This Row],[Transaction name]],Transactions[[#This Row],[L1N]],Transactions[[#This Row],[Transaction name]])))))))</f>
        <v>Final consumption</v>
      </c>
      <c r="AS54" s="24" t="str">
        <f>IF(Transactions[[#This Row],[Level 0]]=Transactions[[#This Row],[Transaction name]],Transactions[[#This Row],[Transaction name]],IF(Transactions[[#This Row],[Level 0]]=Transactions[[#This Row],[L1N]],Transactions[[#This Row],[Transaction name]],IF(Transactions[[#This Row],[Level 0]]=Transactions[[#This Row],[L2N]],Transactions[[#This Row],[L1N]],IF(Transactions[[#This Row],[Level 0]]=Transactions[[#This Row],[L3N]],Transactions[[#This Row],[L2N]],IF(Transactions[[#This Row],[Level 0]]=Transactions[[#This Row],[L4N]],Transactions[[#This Row],[L3N]],IF(Transactions[[#This Row],[Level 0]]=Transactions[[#This Row],[L5N]],Transactions[[#This Row],[L4N]],IF(Transactions[[#This Row],[Level 0]]=Transactions[[#This Row],[L6N]],Transactions[[#This Row],[L5N]],IF(Transactions[[#This Row],[Level 0]]=Transactions[[#This Row],[L7N]],Transactions[[#This Row],[L6N]],Transactions[[#This Row],[L7N]]))))))))</f>
        <v>Total Final Energy Consumption</v>
      </c>
      <c r="AT54" s="24" t="str">
        <f>IF(Transactions[[#This Row],[Level 1]]=Transactions[[#This Row],[Transaction name]],Transactions[[#This Row],[Transaction name]],IF(Transactions[[#This Row],[Level 1]]=Transactions[[#This Row],[L1N]],Transactions[[#This Row],[Transaction name]],IF(Transactions[[#This Row],[Level 1]]=Transactions[[#This Row],[L2N]],Transactions[[#This Row],[L1N]],IF(Transactions[[#This Row],[Level 1]]=Transactions[[#This Row],[L3N]],Transactions[[#This Row],[L2N]],IF(Transactions[[#This Row],[Level 1]]=Transactions[[#This Row],[L4N]],Transactions[[#This Row],[L3N]],IF(Transactions[[#This Row],[Level 1]]=Transactions[[#This Row],[L5N]],Transactions[[#This Row],[L4N]],IF(Transactions[[#This Row],[Level 1]]=Transactions[[#This Row],[L6N]],Transactions[[#This Row],[L5N]],IF(Transactions[[#This Row],[Level 1]]=Transactions[[#This Row],[L7N]],Transactions[[#This Row],[L6N]],Transactions[[#This Row],[L7N]]))))))))</f>
        <v>Other</v>
      </c>
      <c r="AU54" s="24" t="str">
        <f>IF(Transactions[[#This Row],[Level 2]]=Transactions[[#This Row],[Transaction name]],Transactions[[#This Row],[Transaction name]],IF(Transactions[[#This Row],[Level 2]]=Transactions[[#This Row],[L1N]],Transactions[[#This Row],[Transaction name]],IF(Transactions[[#This Row],[Level 2]]=Transactions[[#This Row],[L2N]],Transactions[[#This Row],[L1N]],IF(Transactions[[#This Row],[Level 2]]=Transactions[[#This Row],[L3N]],Transactions[[#This Row],[L2N]],IF(Transactions[[#This Row],[Level 2]]=Transactions[[#This Row],[L4N]],Transactions[[#This Row],[L3N]],IF(Transactions[[#This Row],[Level 2]]=Transactions[[#This Row],[L5N]],Transactions[[#This Row],[L4N]],IF(Transactions[[#This Row],[Level 2]]=Transactions[[#This Row],[L6N]],Transactions[[#This Row],[L5N]],IF(Transactions[[#This Row],[Level 2]]=Transactions[[#This Row],[L7N]],Transactions[[#This Row],[L6N]],Transactions[[#This Row],[L7N]]))))))))</f>
        <v>Households</v>
      </c>
      <c r="AV54" s="24" t="str">
        <f>IF(Transactions[[#This Row],[Level 3]]=Transactions[[#This Row],[Transaction name]],Transactions[[#This Row],[Transaction name]],IF(Transactions[[#This Row],[Level 3]]=Transactions[[#This Row],[L1N]],Transactions[[#This Row],[Transaction name]],IF(Transactions[[#This Row],[Level 3]]=Transactions[[#This Row],[L2N]],Transactions[[#This Row],[L1N]],IF(Transactions[[#This Row],[Level 3]]=Transactions[[#This Row],[L3N]],Transactions[[#This Row],[L2N]],IF(Transactions[[#This Row],[Level 3]]=Transactions[[#This Row],[L4N]],Transactions[[#This Row],[L3N]],IF(Transactions[[#This Row],[Level 3]]=Transactions[[#This Row],[L5N]],Transactions[[#This Row],[L4N]],IF(Transactions[[#This Row],[Level 3]]=Transactions[[#This Row],[L6N]],Transactions[[#This Row],[L5N]],IF(Transactions[[#This Row],[Level 3]]=Transactions[[#This Row],[L7N]],Transactions[[#This Row],[L6N]],Transactions[[#This Row],[L7N]]))))))))</f>
        <v>Households</v>
      </c>
      <c r="AW54" s="24" t="str">
        <f>IF(Transactions[[#This Row],[Level 4]]=Transactions[[#This Row],[Transaction name]],Transactions[[#This Row],[Transaction name]],IF(Transactions[[#This Row],[Level 4]]=Transactions[[#This Row],[L1N]],Transactions[[#This Row],[Transaction name]],IF(Transactions[[#This Row],[Level 4]]=Transactions[[#This Row],[L2N]],Transactions[[#This Row],[L1N]],IF(Transactions[[#This Row],[Level 4]]=Transactions[[#This Row],[L3N]],Transactions[[#This Row],[L2N]],IF(Transactions[[#This Row],[Level 4]]=Transactions[[#This Row],[L4N]],Transactions[[#This Row],[L3N]],IF(Transactions[[#This Row],[Level 4]]=Transactions[[#This Row],[L5N]],Transactions[[#This Row],[L4N]],IF(Transactions[[#This Row],[Level 4]]=Transactions[[#This Row],[L6N]],Transactions[[#This Row],[L5N]],IF(Transactions[[#This Row],[Level 4]]=Transactions[[#This Row],[L7N]],Transactions[[#This Row],[L6N]],Transactions[[#This Row],[L7N]]))))))))</f>
        <v>Households</v>
      </c>
      <c r="AX54" s="24" t="str">
        <f>IF(Transactions[[#This Row],[Level 5]]=Transactions[[#This Row],[Transaction name]],Transactions[[#This Row],[Transaction name]],IF(Transactions[[#This Row],[Level 5]]=Transactions[[#This Row],[L1N]],Transactions[[#This Row],[Transaction name]],IF(Transactions[[#This Row],[Level 5]]=Transactions[[#This Row],[L2N]],Transactions[[#This Row],[L1N]],IF(Transactions[[#This Row],[Level 5]]=Transactions[[#This Row],[L3N]],Transactions[[#This Row],[L2N]],IF(Transactions[[#This Row],[Level 5]]=Transactions[[#This Row],[L4N]],Transactions[[#This Row],[L3N]],IF(Transactions[[#This Row],[Level 5]]=Transactions[[#This Row],[L5N]],Transactions[[#This Row],[L4N]],IF(Transactions[[#This Row],[Level 5]]=Transactions[[#This Row],[L6N]],Transactions[[#This Row],[L5N]],IF(Transactions[[#This Row],[Level 5]]=Transactions[[#This Row],[L7N]],Transactions[[#This Row],[L6N]],Transactions[[#This Row],[L7N]]))))))))</f>
        <v>Households</v>
      </c>
      <c r="AY54" s="24" t="str">
        <f>IF(Transactions[[#This Row],[Level 6]]=Transactions[[#This Row],[Transaction name]],Transactions[[#This Row],[Transaction name]],IF(Transactions[[#This Row],[Level 6]]=Transactions[[#This Row],[L1N]],Transactions[[#This Row],[Transaction name]],IF(Transactions[[#This Row],[Level 6]]=Transactions[[#This Row],[L2N]],Transactions[[#This Row],[L1N]],IF(Transactions[[#This Row],[Level 6]]=Transactions[[#This Row],[L3N]],Transactions[[#This Row],[L2N]],IF(Transactions[[#This Row],[Level 6]]=Transactions[[#This Row],[L4N]],Transactions[[#This Row],[L3N]],IF(Transactions[[#This Row],[Level 6]]=Transactions[[#This Row],[L5N]],Transactions[[#This Row],[L4N]],IF(Transactions[[#This Row],[Level 6]]=Transactions[[#This Row],[L6N]],Transactions[[#This Row],[L5N]],IF(Transactions[[#This Row],[Level 6]]=Transactions[[#This Row],[L7N]],Transactions[[#This Row],[L6N]],Transactions[[#This Row],[L7N]]))))))))</f>
        <v>Households</v>
      </c>
      <c r="BE54" s="26" t="str">
        <f>_xlfn.XLOOKUP(Transformation[[#This Row],[cfrom]],Commodities[Commodity],Commodities[Commodity code])</f>
        <v>0371</v>
      </c>
      <c r="BF54" s="26" t="str">
        <f>_xlfn.XLOOKUP(Transformation[[#This Row],[tfrom]],Transactions[Transaction name],Transactions[Transaction code])</f>
        <v>08821</v>
      </c>
      <c r="BG54" s="26" t="str">
        <f>_xlfn.XLOOKUP(Transformation[[#This Row],[cto]],Commodities[Commodity],Commodities[Commodity code])</f>
        <v>0371</v>
      </c>
      <c r="BH54" s="26" t="str">
        <f>_xlfn.XLOOKUP(Transformation[[#This Row],[tto]],Transactions[Transaction name],Transactions[Transaction code])</f>
        <v>015CGC</v>
      </c>
      <c r="BI54" s="11">
        <v>1</v>
      </c>
      <c r="BJ54" s="4" t="s">
        <v>476</v>
      </c>
      <c r="BK54" s="24" t="str">
        <f>_xlfn.XLOOKUP(Transformation[[#This Row],[Commodity from]],Commodities[Commodity code],Commodities[EnergyCode])</f>
        <v>BG</v>
      </c>
      <c r="BL54" s="4" t="s">
        <v>691</v>
      </c>
      <c r="BM54" s="4" t="s">
        <v>476</v>
      </c>
      <c r="BN54" s="24" t="str">
        <f>_xlfn.XLOOKUP(Transformation[[#This Row],[Commodity to]],Commodities[Commodity code],Commodities[EnergyCode])</f>
        <v>BG</v>
      </c>
      <c r="BO54" s="4" t="s">
        <v>1217</v>
      </c>
      <c r="BP54" s="16" t="s">
        <v>1493</v>
      </c>
      <c r="BQ54" s="33" t="str">
        <f>Transformation[[#This Row],[Commodity from]]&amp;Transformation[[#This Row],[Transaction from]]&amp;Transformation[[#This Row],[Commodity to]]&amp;Transformation[[#This Row],[Transaction to]]</f>
        <v>0371088210371015CGC</v>
      </c>
      <c r="BR54" s="26" t="str">
        <f>Transformation[[#This Row],[crfomid]]&amp;Transformation[[#This Row],[Transaction from]]&amp;"("&amp;Transformation[[#This Row],[Multiplier]]&amp;") -&gt; "&amp;Transformation[[#This Row],[ctoid]]&amp;Transformation[[#This Row],[Transaction to]]</f>
        <v>BG08821(1) -&gt; BG015CGC</v>
      </c>
      <c r="BT54" s="26" t="str">
        <f>_xlfn.XLOOKUP(Signswitch[[#This Row],[Commodity name]],Commodities[Commodity],Commodities[Commodity code])</f>
        <v>5222</v>
      </c>
      <c r="BU54" s="26" t="str">
        <f>_xlfn.XLOOKUP(Signswitch[[#This Row],[Transaction name]],Transactions[Transaction name],Transactions[Transaction code])</f>
        <v>1214J</v>
      </c>
      <c r="BV54" s="26" t="str">
        <f>Signswitch[[#This Row],[Commodity from]]&amp;Signswitch[[#This Row],[Transaction from]]</f>
        <v>52221214J</v>
      </c>
      <c r="BW54" s="22" t="s">
        <v>962</v>
      </c>
      <c r="BX54" s="26" t="str">
        <f>_xlfn.XLOOKUP(Signswitch[[#This Row],[Commodity from]],Commodities[Commodity code],Commodities[EnergyCode])</f>
        <v>ZD</v>
      </c>
      <c r="BY54" s="22" t="s">
        <v>444</v>
      </c>
    </row>
    <row r="55" spans="8:77" x14ac:dyDescent="0.45">
      <c r="H55" s="5" t="s">
        <v>395</v>
      </c>
      <c r="I55" s="4" t="s">
        <v>394</v>
      </c>
      <c r="J55" s="9" t="s">
        <v>389</v>
      </c>
      <c r="K55" s="9" t="s">
        <v>1445</v>
      </c>
      <c r="L55" s="23" t="str">
        <f>IFERROR(INDEX(Commodities[[Commodity code]:[Commodity]],MATCH(Commodities[[#This Row],[Parent code]],Commodities[Commodity code],0),2),Commodities[[#This Row],[Commodity]])</f>
        <v>Gasolines</v>
      </c>
      <c r="M55" s="24" t="str">
        <f>IFERROR(INDEX(Commodities[[Commodity code]:[Commodity]],MATCH(INDEX(Commodities[[Commodity]:[Parent code]],MATCH(Commodities[[#This Row],[L1N]],Commodities[Commodity],0),2),Commodities[Commodity code],0),2),Commodities[[#This Row],[L1N]])</f>
        <v>Oil products</v>
      </c>
      <c r="N55" s="24" t="str">
        <f>IFERROR(INDEX(Commodities[[Commodity code]:[Commodity]],MATCH(INDEX(Commodities[[Commodity]:[Parent code]],MATCH(Commodities[[#This Row],[L2N]],Commodities[Commodity],0),2),Commodities[Commodity code],0),2),Commodities[[#This Row],[L2N]])</f>
        <v>Oil</v>
      </c>
      <c r="O55" s="24" t="str">
        <f>IFERROR(INDEX(Commodities[[Commodity code]:[Commodity]],MATCH(INDEX(Commodities[[Commodity]:[Parent code]],MATCH(Commodities[[#This Row],[L3N]],Commodities[Commodity],0),2),Commodities[Commodity code],0),2),Commodities[[#This Row],[L3N]])</f>
        <v>Oil</v>
      </c>
      <c r="P55" s="24" t="str">
        <f>IF(Commodities[[#This Row],[L4N]]=Commodities[[#This Row],[L3N]],Commodities[[#This Row],[L4N]],IF(Commodities[[#This Row],[L3N]]=Commodities[[#This Row],[L2N]],Commodities[[#This Row],[L3N]],IF(Commodities[[#This Row],[L2N]]=Commodities[[#This Row],[L1N]],Commodities[[#This Row],[L2N]],IF(Commodities[[#This Row],[L1N]]=Commodities[[#This Row],[Commodity]],Commodities[[#This Row],[L1N]],Commodities[[#This Row],[Commodity]]))))</f>
        <v>Oil</v>
      </c>
      <c r="Q55" s="24" t="str">
        <f>IF(Commodities[[#This Row],[Level 0]]=Commodities[[#This Row],[Commodity]],Commodities[[#This Row],[Commodity]],IF(Commodities[[#This Row],[Level 0]]=Commodities[[#This Row],[L1N]],Commodities[[#This Row],[Commodity]],IF(Commodities[[#This Row],[Level 0]]=Commodities[[#This Row],[L2N]],Commodities[[#This Row],[L1N]],IF(Commodities[[#This Row],[Level 0]]=Commodities[[#This Row],[L3N]],Commodities[[#This Row],[L2N]],IF(Commodities[[#This Row],[Level 0]]=Commodities[[#This Row],[L4N]],Commodities[[#This Row],[L3N]],Commodities[[#This Row],[L4N]])))))</f>
        <v>Oil products</v>
      </c>
      <c r="R55" s="24" t="str">
        <f>IF(Commodities[[#This Row],[Level 1]]=Commodities[[#This Row],[Commodity]],Commodities[[#This Row],[Commodity]],IF(Commodities[[#This Row],[Level 1]]=Commodities[[#This Row],[L1N]],Commodities[[#This Row],[Commodity]],IF(Commodities[[#This Row],[Level 1]]=Commodities[[#This Row],[L2N]],Commodities[[#This Row],[L1N]],IF(Commodities[[#This Row],[Level 1]]=Commodities[[#This Row],[L3N]],Commodities[[#This Row],[L2N]],IF(Commodities[[#This Row],[Level 1]]=Commodities[[#This Row],[L4N]],Commodities[[#This Row],[L3N]],Commodities[[#This Row],[L4N]])))))</f>
        <v>Gasolines</v>
      </c>
      <c r="S55" s="24" t="str">
        <f>IF(Commodities[[#This Row],[Level 2]]=Commodities[[#This Row],[Commodity]],Commodities[[#This Row],[Commodity]],IF(Commodities[[#This Row],[Level 2]]=Commodities[[#This Row],[L1N]],Commodities[[#This Row],[Commodity]],IF(Commodities[[#This Row],[Level 2]]=Commodities[[#This Row],[L2N]],Commodities[[#This Row],[L1N]],IF(Commodities[[#This Row],[Level 2]]=Commodities[[#This Row],[L3N]],Commodities[[#This Row],[L2N]],IF(Commodities[[#This Row],[Level 2]]=Commodities[[#This Row],[L4N]],Commodities[[#This Row],[L3N]],Commodities[[#This Row],[L4N]])))))</f>
        <v>Motor gasoline</v>
      </c>
      <c r="T55" s="24" t="str">
        <f>IF(Commodities[[#This Row],[Level 3]]=Commodities[[#This Row],[Commodity]],Commodities[[#This Row],[Commodity]],IF(Commodities[[#This Row],[Level 3]]=Commodities[[#This Row],[L1N]],Commodities[[#This Row],[Commodity]],IF(Commodities[[#This Row],[Level 3]]=Commodities[[#This Row],[L2N]],Commodities[[#This Row],[L1N]],IF(Commodities[[#This Row],[Level 3]]=Commodities[[#This Row],[L3N]],Commodities[[#This Row],[L2N]],IF(Commodities[[#This Row],[Level 3]]=Commodities[[#This Row],[L4N]],Commodities[[#This Row],[L3N]],Commodities[[#This Row],[L4N]])))))</f>
        <v>Motor gasoline</v>
      </c>
      <c r="U55" s="24" t="str">
        <f>IF(Commodities[[#This Row],[Level 4]]=Commodities[[#This Row],[Commodity]],Commodities[[#This Row],[Commodity]],IF(Commodities[[#This Row],[Level 4]]=Commodities[[#This Row],[L1N]],Commodities[[#This Row],[Commodity]],IF(Commodities[[#This Row],[Level 4]]=Commodities[[#This Row],[L2N]],Commodities[[#This Row],[L1N]],IF(Commodities[[#This Row],[Level 4]]=Commodities[[#This Row],[L3N]],Commodities[[#This Row],[L2N]],IF(Commodities[[#This Row],[Level 4]]=Commodities[[#This Row],[L4N]],Commodities[[#This Row],[L3N]],Commodities[[#This Row],[L4N]])))))</f>
        <v>Motor gasoline</v>
      </c>
      <c r="Y55" s="5" t="s">
        <v>100</v>
      </c>
      <c r="Z55" s="4" t="s">
        <v>700</v>
      </c>
      <c r="AA55" s="4" t="s">
        <v>700</v>
      </c>
      <c r="AB55" s="6" t="s">
        <v>98</v>
      </c>
      <c r="AC55" s="24" t="str">
        <f>IFERROR(VLOOKUP(Transactions[[#This Row],[Parent code]],Transactions[[Transaction code]:[Transaction name]],2,0),"")</f>
        <v>Total Final Energy Consumption</v>
      </c>
      <c r="AD55" s="4" t="s">
        <v>630</v>
      </c>
      <c r="AF55" s="4" t="s">
        <v>642</v>
      </c>
      <c r="AG55" s="4" t="s">
        <v>1</v>
      </c>
      <c r="AH55" s="4" t="s">
        <v>696</v>
      </c>
      <c r="AJ55" s="4" t="s">
        <v>0</v>
      </c>
      <c r="AK55" s="24" t="str" cm="1">
        <f t="array" ref="AK55">IFERROR(INDEX(Transactions[[Transaction code]:[Transaction name]],_xlfn.XMATCH(Transactions[[#This Row],[Parent code]],Transactions[Transaction name],0),3),Transactions[[#This Row],[Transaction name]])</f>
        <v>Other</v>
      </c>
      <c r="AL55" s="24" t="str" cm="1">
        <f t="array" ref="AL55">IFERROR(INDEX(Transactions[[Transaction code]:[Transaction name]],_xlfn.XMATCH(INDEX(Transactions[[Transaction name]:[Parent code]],_xlfn.XMATCH(Transactions[[#This Row],[L1N]],Transactions[Transaction name],0),3),Transactions[Transaction code],0),2),Transactions[[#This Row],[L1N]])</f>
        <v>Total Final Energy Consumption</v>
      </c>
      <c r="AM55" s="24" t="str" cm="1">
        <f t="array" ref="AM55">IFERROR(INDEX(Transactions[[Transaction code]:[Transaction name]],_xlfn.XMATCH(INDEX(Transactions[[Transaction name]:[Parent code]],_xlfn.XMATCH(Transactions[[#This Row],[L2N]],Transactions[Transaction name],0),3),Transactions[Transaction code],0),2),Transactions[[#This Row],[L2N]])</f>
        <v>Final consumption</v>
      </c>
      <c r="AN55" s="24" t="str" cm="1">
        <f t="array" ref="AN55">IFERROR(INDEX(Transactions[[Transaction code]:[Transaction name]],_xlfn.XMATCH(INDEX(Transactions[[Transaction name]:[Parent code]],_xlfn.XMATCH(Transactions[[#This Row],[L3N]],Transactions[Transaction name],0),3),Transactions[Transaction code],0),2),Transactions[[#This Row],[L3N]])</f>
        <v>Final consumption</v>
      </c>
      <c r="AO55" s="24" t="str" cm="1">
        <f t="array" ref="AO55">IFERROR(INDEX(Transactions[[Transaction code]:[Transaction name]],_xlfn.XMATCH(INDEX(Transactions[[Transaction name]:[Parent code]],_xlfn.XMATCH(Transactions[[#This Row],[L4N]],Transactions[Transaction name],0),3),Transactions[Transaction code],0),2),Transactions[[#This Row],[L4N]])</f>
        <v>Final consumption</v>
      </c>
      <c r="AP55" s="24" t="str" cm="1">
        <f t="array" ref="AP55">IFERROR(INDEX(Transactions[[Transaction code]:[Transaction name]],_xlfn.XMATCH(INDEX(Transactions[[Transaction name]:[Parent code]],_xlfn.XMATCH(Transactions[[#This Row],[L5N]],Transactions[Transaction name],0),3),Transactions[Transaction code],0),2),Transactions[[#This Row],[L5N]])</f>
        <v>Final consumption</v>
      </c>
      <c r="AQ55" s="24" t="str" cm="1">
        <f t="array" ref="AQ55">IFERROR(INDEX(Transactions[[Transaction code]:[Transaction name]],_xlfn.XMATCH(INDEX(Transactions[[Transaction name]:[Parent code]],_xlfn.XMATCH(Transactions[[#This Row],[L6N]],Transactions[Transaction name],0),3),Transactions[Transaction code],0),2),Transactions[[#This Row],[L6N]])</f>
        <v>Final consumption</v>
      </c>
      <c r="AR55" s="27" t="str">
        <f>IF(Transactions[[#This Row],[L7N]]=Transactions[[#This Row],[L6N]],Transactions[[#This Row],[L7N]],IF(Transactions[[#This Row],[L6N]]=Transactions[[#This Row],[L5N]],Transactions[[#This Row],[L6N]],IF(Transactions[[#This Row],[L5N]]=Transactions[[#This Row],[L4N]],Transactions[[#This Row],[L5N]],IF(Transactions[[#This Row],[L4N]]=Transactions[[#This Row],[L3N]],Transactions[[#This Row],[L4N]],IF(Transactions[[#This Row],[L3N]]=Transactions[[#This Row],[L2N]],Transactions[[#This Row],[L3N]],IF(Transactions[[#This Row],[L2N]]=Transactions[[#This Row],[L1N]],Transactions[[#This Row],[L2N]],IF(Transactions[[#This Row],[L1N]]=Transactions[[#This Row],[Transaction name]],Transactions[[#This Row],[L1N]],Transactions[[#This Row],[Transaction name]])))))))</f>
        <v>Final consumption</v>
      </c>
      <c r="AS55" s="24" t="str">
        <f>IF(Transactions[[#This Row],[Level 0]]=Transactions[[#This Row],[Transaction name]],Transactions[[#This Row],[Transaction name]],IF(Transactions[[#This Row],[Level 0]]=Transactions[[#This Row],[L1N]],Transactions[[#This Row],[Transaction name]],IF(Transactions[[#This Row],[Level 0]]=Transactions[[#This Row],[L2N]],Transactions[[#This Row],[L1N]],IF(Transactions[[#This Row],[Level 0]]=Transactions[[#This Row],[L3N]],Transactions[[#This Row],[L2N]],IF(Transactions[[#This Row],[Level 0]]=Transactions[[#This Row],[L4N]],Transactions[[#This Row],[L3N]],IF(Transactions[[#This Row],[Level 0]]=Transactions[[#This Row],[L5N]],Transactions[[#This Row],[L4N]],IF(Transactions[[#This Row],[Level 0]]=Transactions[[#This Row],[L6N]],Transactions[[#This Row],[L5N]],IF(Transactions[[#This Row],[Level 0]]=Transactions[[#This Row],[L7N]],Transactions[[#This Row],[L6N]],Transactions[[#This Row],[L7N]]))))))))</f>
        <v>Total Final Energy Consumption</v>
      </c>
      <c r="AT55" s="24" t="str">
        <f>IF(Transactions[[#This Row],[Level 1]]=Transactions[[#This Row],[Transaction name]],Transactions[[#This Row],[Transaction name]],IF(Transactions[[#This Row],[Level 1]]=Transactions[[#This Row],[L1N]],Transactions[[#This Row],[Transaction name]],IF(Transactions[[#This Row],[Level 1]]=Transactions[[#This Row],[L2N]],Transactions[[#This Row],[L1N]],IF(Transactions[[#This Row],[Level 1]]=Transactions[[#This Row],[L3N]],Transactions[[#This Row],[L2N]],IF(Transactions[[#This Row],[Level 1]]=Transactions[[#This Row],[L4N]],Transactions[[#This Row],[L3N]],IF(Transactions[[#This Row],[Level 1]]=Transactions[[#This Row],[L5N]],Transactions[[#This Row],[L4N]],IF(Transactions[[#This Row],[Level 1]]=Transactions[[#This Row],[L6N]],Transactions[[#This Row],[L5N]],IF(Transactions[[#This Row],[Level 1]]=Transactions[[#This Row],[L7N]],Transactions[[#This Row],[L6N]],Transactions[[#This Row],[L7N]]))))))))</f>
        <v>Other</v>
      </c>
      <c r="AU55" s="24" t="str">
        <f>IF(Transactions[[#This Row],[Level 2]]=Transactions[[#This Row],[Transaction name]],Transactions[[#This Row],[Transaction name]],IF(Transactions[[#This Row],[Level 2]]=Transactions[[#This Row],[L1N]],Transactions[[#This Row],[Transaction name]],IF(Transactions[[#This Row],[Level 2]]=Transactions[[#This Row],[L2N]],Transactions[[#This Row],[L1N]],IF(Transactions[[#This Row],[Level 2]]=Transactions[[#This Row],[L3N]],Transactions[[#This Row],[L2N]],IF(Transactions[[#This Row],[Level 2]]=Transactions[[#This Row],[L4N]],Transactions[[#This Row],[L3N]],IF(Transactions[[#This Row],[Level 2]]=Transactions[[#This Row],[L5N]],Transactions[[#This Row],[L4N]],IF(Transactions[[#This Row],[Level 2]]=Transactions[[#This Row],[L6N]],Transactions[[#This Row],[L5N]],IF(Transactions[[#This Row],[Level 2]]=Transactions[[#This Row],[L7N]],Transactions[[#This Row],[L6N]],Transactions[[#This Row],[L7N]]))))))))</f>
        <v>Other</v>
      </c>
      <c r="AV55" s="24" t="str">
        <f>IF(Transactions[[#This Row],[Level 3]]=Transactions[[#This Row],[Transaction name]],Transactions[[#This Row],[Transaction name]],IF(Transactions[[#This Row],[Level 3]]=Transactions[[#This Row],[L1N]],Transactions[[#This Row],[Transaction name]],IF(Transactions[[#This Row],[Level 3]]=Transactions[[#This Row],[L2N]],Transactions[[#This Row],[L1N]],IF(Transactions[[#This Row],[Level 3]]=Transactions[[#This Row],[L3N]],Transactions[[#This Row],[L2N]],IF(Transactions[[#This Row],[Level 3]]=Transactions[[#This Row],[L4N]],Transactions[[#This Row],[L3N]],IF(Transactions[[#This Row],[Level 3]]=Transactions[[#This Row],[L5N]],Transactions[[#This Row],[L4N]],IF(Transactions[[#This Row],[Level 3]]=Transactions[[#This Row],[L6N]],Transactions[[#This Row],[L5N]],IF(Transactions[[#This Row],[Level 3]]=Transactions[[#This Row],[L7N]],Transactions[[#This Row],[L6N]],Transactions[[#This Row],[L7N]]))))))))</f>
        <v>Other</v>
      </c>
      <c r="AW55" s="24" t="str">
        <f>IF(Transactions[[#This Row],[Level 4]]=Transactions[[#This Row],[Transaction name]],Transactions[[#This Row],[Transaction name]],IF(Transactions[[#This Row],[Level 4]]=Transactions[[#This Row],[L1N]],Transactions[[#This Row],[Transaction name]],IF(Transactions[[#This Row],[Level 4]]=Transactions[[#This Row],[L2N]],Transactions[[#This Row],[L1N]],IF(Transactions[[#This Row],[Level 4]]=Transactions[[#This Row],[L3N]],Transactions[[#This Row],[L2N]],IF(Transactions[[#This Row],[Level 4]]=Transactions[[#This Row],[L4N]],Transactions[[#This Row],[L3N]],IF(Transactions[[#This Row],[Level 4]]=Transactions[[#This Row],[L5N]],Transactions[[#This Row],[L4N]],IF(Transactions[[#This Row],[Level 4]]=Transactions[[#This Row],[L6N]],Transactions[[#This Row],[L5N]],IF(Transactions[[#This Row],[Level 4]]=Transactions[[#This Row],[L7N]],Transactions[[#This Row],[L6N]],Transactions[[#This Row],[L7N]]))))))))</f>
        <v>Other</v>
      </c>
      <c r="AX55" s="24" t="str">
        <f>IF(Transactions[[#This Row],[Level 5]]=Transactions[[#This Row],[Transaction name]],Transactions[[#This Row],[Transaction name]],IF(Transactions[[#This Row],[Level 5]]=Transactions[[#This Row],[L1N]],Transactions[[#This Row],[Transaction name]],IF(Transactions[[#This Row],[Level 5]]=Transactions[[#This Row],[L2N]],Transactions[[#This Row],[L1N]],IF(Transactions[[#This Row],[Level 5]]=Transactions[[#This Row],[L3N]],Transactions[[#This Row],[L2N]],IF(Transactions[[#This Row],[Level 5]]=Transactions[[#This Row],[L4N]],Transactions[[#This Row],[L3N]],IF(Transactions[[#This Row],[Level 5]]=Transactions[[#This Row],[L5N]],Transactions[[#This Row],[L4N]],IF(Transactions[[#This Row],[Level 5]]=Transactions[[#This Row],[L6N]],Transactions[[#This Row],[L5N]],IF(Transactions[[#This Row],[Level 5]]=Transactions[[#This Row],[L7N]],Transactions[[#This Row],[L6N]],Transactions[[#This Row],[L7N]]))))))))</f>
        <v>Other</v>
      </c>
      <c r="AY55" s="24" t="str">
        <f>IF(Transactions[[#This Row],[Level 6]]=Transactions[[#This Row],[Transaction name]],Transactions[[#This Row],[Transaction name]],IF(Transactions[[#This Row],[Level 6]]=Transactions[[#This Row],[L1N]],Transactions[[#This Row],[Transaction name]],IF(Transactions[[#This Row],[Level 6]]=Transactions[[#This Row],[L2N]],Transactions[[#This Row],[L1N]],IF(Transactions[[#This Row],[Level 6]]=Transactions[[#This Row],[L3N]],Transactions[[#This Row],[L2N]],IF(Transactions[[#This Row],[Level 6]]=Transactions[[#This Row],[L4N]],Transactions[[#This Row],[L3N]],IF(Transactions[[#This Row],[Level 6]]=Transactions[[#This Row],[L5N]],Transactions[[#This Row],[L4N]],IF(Transactions[[#This Row],[Level 6]]=Transactions[[#This Row],[L6N]],Transactions[[#This Row],[L5N]],IF(Transactions[[#This Row],[Level 6]]=Transactions[[#This Row],[L7N]],Transactions[[#This Row],[L6N]],Transactions[[#This Row],[L7N]]))))))))</f>
        <v>Other</v>
      </c>
      <c r="BE55" s="26" t="str">
        <f>_xlfn.XLOOKUP(Transformation[[#This Row],[cfrom]],Commodities[Commodity],Commodities[Commodity code])</f>
        <v>5300</v>
      </c>
      <c r="BF55" s="26" t="str">
        <f>_xlfn.XLOOKUP(Transformation[[#This Row],[tfrom]],Transactions[Transaction name],Transactions[Transaction code])</f>
        <v>08821</v>
      </c>
      <c r="BG55" s="26" t="str">
        <f>_xlfn.XLOOKUP(Transformation[[#This Row],[cto]],Commodities[Commodity],Commodities[Commodity code])</f>
        <v>5300</v>
      </c>
      <c r="BH55" s="26" t="str">
        <f>_xlfn.XLOOKUP(Transformation[[#This Row],[tto]],Transactions[Transaction name],Transactions[Transaction code])</f>
        <v>015BGC</v>
      </c>
      <c r="BI55" s="11">
        <v>1</v>
      </c>
      <c r="BJ55" s="4" t="s">
        <v>298</v>
      </c>
      <c r="BK55" s="24" t="str">
        <f>_xlfn.XLOOKUP(Transformation[[#This Row],[Commodity from]],Commodities[Commodity code],Commodities[EnergyCode])</f>
        <v>BI</v>
      </c>
      <c r="BL55" s="4" t="s">
        <v>691</v>
      </c>
      <c r="BM55" s="4" t="s">
        <v>298</v>
      </c>
      <c r="BN55" s="24" t="str">
        <f>_xlfn.XLOOKUP(Transformation[[#This Row],[Commodity to]],Commodities[Commodity code],Commodities[EnergyCode])</f>
        <v>BI</v>
      </c>
      <c r="BO55" s="4" t="s">
        <v>1066</v>
      </c>
      <c r="BP55" s="16" t="s">
        <v>1493</v>
      </c>
      <c r="BQ55" s="33" t="str">
        <f>Transformation[[#This Row],[Commodity from]]&amp;Transformation[[#This Row],[Transaction from]]&amp;Transformation[[#This Row],[Commodity to]]&amp;Transformation[[#This Row],[Transaction to]]</f>
        <v>5300088215300015BGC</v>
      </c>
      <c r="BR55" s="26" t="str">
        <f>Transformation[[#This Row],[crfomid]]&amp;Transformation[[#This Row],[Transaction from]]&amp;"("&amp;Transformation[[#This Row],[Multiplier]]&amp;") -&gt; "&amp;Transformation[[#This Row],[ctoid]]&amp;Transformation[[#This Row],[Transaction to]]</f>
        <v>BI08821(1) -&gt; BI015BGC</v>
      </c>
      <c r="BT55" s="26" t="str">
        <f>_xlfn.XLOOKUP(Signswitch[[#This Row],[Commodity name]],Commodities[Commodity],Commodities[Commodity code])</f>
        <v>5212</v>
      </c>
      <c r="BU55" s="26" t="str">
        <f>_xlfn.XLOOKUP(Signswitch[[#This Row],[Transaction name]],Transactions[Transaction name],Transactions[Transaction code])</f>
        <v>1214J</v>
      </c>
      <c r="BV55" s="26" t="str">
        <f>Signswitch[[#This Row],[Commodity from]]&amp;Signswitch[[#This Row],[Transaction from]]</f>
        <v>52121214J</v>
      </c>
      <c r="BW55" s="22" t="s">
        <v>317</v>
      </c>
      <c r="BX55" s="26" t="str">
        <f>_xlfn.XLOOKUP(Signswitch[[#This Row],[Commodity from]],Commodities[Commodity code],Commodities[EnergyCode])</f>
        <v>ZG</v>
      </c>
      <c r="BY55" s="22" t="s">
        <v>444</v>
      </c>
    </row>
    <row r="56" spans="8:77" x14ac:dyDescent="0.45">
      <c r="H56" s="5" t="s">
        <v>289</v>
      </c>
      <c r="I56" s="4" t="s">
        <v>288</v>
      </c>
      <c r="J56" s="9" t="s">
        <v>287</v>
      </c>
      <c r="K56" s="14" t="s">
        <v>558</v>
      </c>
      <c r="L56" s="23" t="str">
        <f>IFERROR(INDEX(Commodities[[Commodity code]:[Commodity]],MATCH(Commodities[[#This Row],[Parent code]],Commodities[Commodity code],0),2),Commodities[[#This Row],[Commodity]])</f>
        <v>Waste</v>
      </c>
      <c r="M56" s="24" t="str">
        <f>IFERROR(INDEX(Commodities[[Commodity code]:[Commodity]],MATCH(INDEX(Commodities[[Commodity]:[Parent code]],MATCH(Commodities[[#This Row],[L1N]],Commodities[Commodity],0),2),Commodities[Commodity code],0),2),Commodities[[#This Row],[L1N]])</f>
        <v>Waste</v>
      </c>
      <c r="N56" s="24" t="str">
        <f>IFERROR(INDEX(Commodities[[Commodity code]:[Commodity]],MATCH(INDEX(Commodities[[Commodity]:[Parent code]],MATCH(Commodities[[#This Row],[L2N]],Commodities[Commodity],0),2),Commodities[Commodity code],0),2),Commodities[[#This Row],[L2N]])</f>
        <v>Waste</v>
      </c>
      <c r="O56" s="24" t="str">
        <f>IFERROR(INDEX(Commodities[[Commodity code]:[Commodity]],MATCH(INDEX(Commodities[[Commodity]:[Parent code]],MATCH(Commodities[[#This Row],[L3N]],Commodities[Commodity],0),2),Commodities[Commodity code],0),2),Commodities[[#This Row],[L3N]])</f>
        <v>Waste</v>
      </c>
      <c r="P56" s="24" t="str">
        <f>IF(Commodities[[#This Row],[L4N]]=Commodities[[#This Row],[L3N]],Commodities[[#This Row],[L4N]],IF(Commodities[[#This Row],[L3N]]=Commodities[[#This Row],[L2N]],Commodities[[#This Row],[L3N]],IF(Commodities[[#This Row],[L2N]]=Commodities[[#This Row],[L1N]],Commodities[[#This Row],[L2N]],IF(Commodities[[#This Row],[L1N]]=Commodities[[#This Row],[Commodity]],Commodities[[#This Row],[L1N]],Commodities[[#This Row],[Commodity]]))))</f>
        <v>Waste</v>
      </c>
      <c r="Q56" s="24" t="str">
        <f>IF(Commodities[[#This Row],[Level 0]]=Commodities[[#This Row],[Commodity]],Commodities[[#This Row],[Commodity]],IF(Commodities[[#This Row],[Level 0]]=Commodities[[#This Row],[L1N]],Commodities[[#This Row],[Commodity]],IF(Commodities[[#This Row],[Level 0]]=Commodities[[#This Row],[L2N]],Commodities[[#This Row],[L1N]],IF(Commodities[[#This Row],[Level 0]]=Commodities[[#This Row],[L3N]],Commodities[[#This Row],[L2N]],IF(Commodities[[#This Row],[Level 0]]=Commodities[[#This Row],[L4N]],Commodities[[#This Row],[L3N]],Commodities[[#This Row],[L4N]])))))</f>
        <v>Municipal waste</v>
      </c>
      <c r="R56" s="24" t="str">
        <f>IF(Commodities[[#This Row],[Level 1]]=Commodities[[#This Row],[Commodity]],Commodities[[#This Row],[Commodity]],IF(Commodities[[#This Row],[Level 1]]=Commodities[[#This Row],[L1N]],Commodities[[#This Row],[Commodity]],IF(Commodities[[#This Row],[Level 1]]=Commodities[[#This Row],[L2N]],Commodities[[#This Row],[L1N]],IF(Commodities[[#This Row],[Level 1]]=Commodities[[#This Row],[L3N]],Commodities[[#This Row],[L2N]],IF(Commodities[[#This Row],[Level 1]]=Commodities[[#This Row],[L4N]],Commodities[[#This Row],[L3N]],Commodities[[#This Row],[L4N]])))))</f>
        <v>Municipal waste</v>
      </c>
      <c r="S56" s="24" t="str">
        <f>IF(Commodities[[#This Row],[Level 2]]=Commodities[[#This Row],[Commodity]],Commodities[[#This Row],[Commodity]],IF(Commodities[[#This Row],[Level 2]]=Commodities[[#This Row],[L1N]],Commodities[[#This Row],[Commodity]],IF(Commodities[[#This Row],[Level 2]]=Commodities[[#This Row],[L2N]],Commodities[[#This Row],[L1N]],IF(Commodities[[#This Row],[Level 2]]=Commodities[[#This Row],[L3N]],Commodities[[#This Row],[L2N]],IF(Commodities[[#This Row],[Level 2]]=Commodities[[#This Row],[L4N]],Commodities[[#This Row],[L3N]],Commodities[[#This Row],[L4N]])))))</f>
        <v>Municipal waste</v>
      </c>
      <c r="T56" s="24" t="str">
        <f>IF(Commodities[[#This Row],[Level 3]]=Commodities[[#This Row],[Commodity]],Commodities[[#This Row],[Commodity]],IF(Commodities[[#This Row],[Level 3]]=Commodities[[#This Row],[L1N]],Commodities[[#This Row],[Commodity]],IF(Commodities[[#This Row],[Level 3]]=Commodities[[#This Row],[L2N]],Commodities[[#This Row],[L1N]],IF(Commodities[[#This Row],[Level 3]]=Commodities[[#This Row],[L3N]],Commodities[[#This Row],[L2N]],IF(Commodities[[#This Row],[Level 3]]=Commodities[[#This Row],[L4N]],Commodities[[#This Row],[L3N]],Commodities[[#This Row],[L4N]])))))</f>
        <v>Municipal waste</v>
      </c>
      <c r="U56" s="24" t="str">
        <f>IF(Commodities[[#This Row],[Level 4]]=Commodities[[#This Row],[Commodity]],Commodities[[#This Row],[Commodity]],IF(Commodities[[#This Row],[Level 4]]=Commodities[[#This Row],[L1N]],Commodities[[#This Row],[Commodity]],IF(Commodities[[#This Row],[Level 4]]=Commodities[[#This Row],[L2N]],Commodities[[#This Row],[L1N]],IF(Commodities[[#This Row],[Level 4]]=Commodities[[#This Row],[L3N]],Commodities[[#This Row],[L2N]],IF(Commodities[[#This Row],[Level 4]]=Commodities[[#This Row],[L4N]],Commodities[[#This Row],[L3N]],Commodities[[#This Row],[L4N]])))))</f>
        <v>Municipal waste</v>
      </c>
      <c r="Y56" s="5" t="s">
        <v>102</v>
      </c>
      <c r="Z56" s="4" t="s">
        <v>907</v>
      </c>
      <c r="AA56" s="4" t="s">
        <v>907</v>
      </c>
      <c r="AB56" s="6" t="s">
        <v>100</v>
      </c>
      <c r="AC56" s="24" t="str">
        <f>IFERROR(VLOOKUP(Transactions[[#This Row],[Parent code]],Transactions[[Transaction code]:[Transaction name]],2,0),"")</f>
        <v>Other</v>
      </c>
      <c r="AD56" s="4" t="s">
        <v>630</v>
      </c>
      <c r="AE56" s="4" t="s">
        <v>915</v>
      </c>
      <c r="AF56" s="4" t="s">
        <v>642</v>
      </c>
      <c r="AG56" s="4" t="s">
        <v>1</v>
      </c>
      <c r="AH56" s="4" t="s">
        <v>696</v>
      </c>
      <c r="AK56" s="24" t="str" cm="1">
        <f t="array" ref="AK56">IFERROR(INDEX(Transactions[[Transaction code]:[Transaction name]],_xlfn.XMATCH(Transactions[[#This Row],[Parent code]],Transactions[Transaction name],0),3),Transactions[[#This Row],[Transaction name]])</f>
        <v>Other n.e.s.</v>
      </c>
      <c r="AL56" s="24" t="str" cm="1">
        <f t="array" ref="AL56">IFERROR(INDEX(Transactions[[Transaction code]:[Transaction name]],_xlfn.XMATCH(INDEX(Transactions[[Transaction name]:[Parent code]],_xlfn.XMATCH(Transactions[[#This Row],[L1N]],Transactions[Transaction name],0),3),Transactions[Transaction code],0),2),Transactions[[#This Row],[L1N]])</f>
        <v>Other</v>
      </c>
      <c r="AM56" s="24" t="str" cm="1">
        <f t="array" ref="AM56">IFERROR(INDEX(Transactions[[Transaction code]:[Transaction name]],_xlfn.XMATCH(INDEX(Transactions[[Transaction name]:[Parent code]],_xlfn.XMATCH(Transactions[[#This Row],[L2N]],Transactions[Transaction name],0),3),Transactions[Transaction code],0),2),Transactions[[#This Row],[L2N]])</f>
        <v>Total Final Energy Consumption</v>
      </c>
      <c r="AN56" s="24" t="str" cm="1">
        <f t="array" ref="AN56">IFERROR(INDEX(Transactions[[Transaction code]:[Transaction name]],_xlfn.XMATCH(INDEX(Transactions[[Transaction name]:[Parent code]],_xlfn.XMATCH(Transactions[[#This Row],[L3N]],Transactions[Transaction name],0),3),Transactions[Transaction code],0),2),Transactions[[#This Row],[L3N]])</f>
        <v>Final consumption</v>
      </c>
      <c r="AO56" s="24" t="str" cm="1">
        <f t="array" ref="AO56">IFERROR(INDEX(Transactions[[Transaction code]:[Transaction name]],_xlfn.XMATCH(INDEX(Transactions[[Transaction name]:[Parent code]],_xlfn.XMATCH(Transactions[[#This Row],[L4N]],Transactions[Transaction name],0),3),Transactions[Transaction code],0),2),Transactions[[#This Row],[L4N]])</f>
        <v>Final consumption</v>
      </c>
      <c r="AP56" s="24" t="str" cm="1">
        <f t="array" ref="AP56">IFERROR(INDEX(Transactions[[Transaction code]:[Transaction name]],_xlfn.XMATCH(INDEX(Transactions[[Transaction name]:[Parent code]],_xlfn.XMATCH(Transactions[[#This Row],[L5N]],Transactions[Transaction name],0),3),Transactions[Transaction code],0),2),Transactions[[#This Row],[L5N]])</f>
        <v>Final consumption</v>
      </c>
      <c r="AQ56" s="24" t="str" cm="1">
        <f t="array" ref="AQ56">IFERROR(INDEX(Transactions[[Transaction code]:[Transaction name]],_xlfn.XMATCH(INDEX(Transactions[[Transaction name]:[Parent code]],_xlfn.XMATCH(Transactions[[#This Row],[L6N]],Transactions[Transaction name],0),3),Transactions[Transaction code],0),2),Transactions[[#This Row],[L6N]])</f>
        <v>Final consumption</v>
      </c>
      <c r="AR56" s="27" t="str">
        <f>IF(Transactions[[#This Row],[L7N]]=Transactions[[#This Row],[L6N]],Transactions[[#This Row],[L7N]],IF(Transactions[[#This Row],[L6N]]=Transactions[[#This Row],[L5N]],Transactions[[#This Row],[L6N]],IF(Transactions[[#This Row],[L5N]]=Transactions[[#This Row],[L4N]],Transactions[[#This Row],[L5N]],IF(Transactions[[#This Row],[L4N]]=Transactions[[#This Row],[L3N]],Transactions[[#This Row],[L4N]],IF(Transactions[[#This Row],[L3N]]=Transactions[[#This Row],[L2N]],Transactions[[#This Row],[L3N]],IF(Transactions[[#This Row],[L2N]]=Transactions[[#This Row],[L1N]],Transactions[[#This Row],[L2N]],IF(Transactions[[#This Row],[L1N]]=Transactions[[#This Row],[Transaction name]],Transactions[[#This Row],[L1N]],Transactions[[#This Row],[Transaction name]])))))))</f>
        <v>Final consumption</v>
      </c>
      <c r="AS56" s="24" t="str">
        <f>IF(Transactions[[#This Row],[Level 0]]=Transactions[[#This Row],[Transaction name]],Transactions[[#This Row],[Transaction name]],IF(Transactions[[#This Row],[Level 0]]=Transactions[[#This Row],[L1N]],Transactions[[#This Row],[Transaction name]],IF(Transactions[[#This Row],[Level 0]]=Transactions[[#This Row],[L2N]],Transactions[[#This Row],[L1N]],IF(Transactions[[#This Row],[Level 0]]=Transactions[[#This Row],[L3N]],Transactions[[#This Row],[L2N]],IF(Transactions[[#This Row],[Level 0]]=Transactions[[#This Row],[L4N]],Transactions[[#This Row],[L3N]],IF(Transactions[[#This Row],[Level 0]]=Transactions[[#This Row],[L5N]],Transactions[[#This Row],[L4N]],IF(Transactions[[#This Row],[Level 0]]=Transactions[[#This Row],[L6N]],Transactions[[#This Row],[L5N]],IF(Transactions[[#This Row],[Level 0]]=Transactions[[#This Row],[L7N]],Transactions[[#This Row],[L6N]],Transactions[[#This Row],[L7N]]))))))))</f>
        <v>Total Final Energy Consumption</v>
      </c>
      <c r="AT56" s="24" t="str">
        <f>IF(Transactions[[#This Row],[Level 1]]=Transactions[[#This Row],[Transaction name]],Transactions[[#This Row],[Transaction name]],IF(Transactions[[#This Row],[Level 1]]=Transactions[[#This Row],[L1N]],Transactions[[#This Row],[Transaction name]],IF(Transactions[[#This Row],[Level 1]]=Transactions[[#This Row],[L2N]],Transactions[[#This Row],[L1N]],IF(Transactions[[#This Row],[Level 1]]=Transactions[[#This Row],[L3N]],Transactions[[#This Row],[L2N]],IF(Transactions[[#This Row],[Level 1]]=Transactions[[#This Row],[L4N]],Transactions[[#This Row],[L3N]],IF(Transactions[[#This Row],[Level 1]]=Transactions[[#This Row],[L5N]],Transactions[[#This Row],[L4N]],IF(Transactions[[#This Row],[Level 1]]=Transactions[[#This Row],[L6N]],Transactions[[#This Row],[L5N]],IF(Transactions[[#This Row],[Level 1]]=Transactions[[#This Row],[L7N]],Transactions[[#This Row],[L6N]],Transactions[[#This Row],[L7N]]))))))))</f>
        <v>Other</v>
      </c>
      <c r="AU56" s="24" t="str">
        <f>IF(Transactions[[#This Row],[Level 2]]=Transactions[[#This Row],[Transaction name]],Transactions[[#This Row],[Transaction name]],IF(Transactions[[#This Row],[Level 2]]=Transactions[[#This Row],[L1N]],Transactions[[#This Row],[Transaction name]],IF(Transactions[[#This Row],[Level 2]]=Transactions[[#This Row],[L2N]],Transactions[[#This Row],[L1N]],IF(Transactions[[#This Row],[Level 2]]=Transactions[[#This Row],[L3N]],Transactions[[#This Row],[L2N]],IF(Transactions[[#This Row],[Level 2]]=Transactions[[#This Row],[L4N]],Transactions[[#This Row],[L3N]],IF(Transactions[[#This Row],[Level 2]]=Transactions[[#This Row],[L5N]],Transactions[[#This Row],[L4N]],IF(Transactions[[#This Row],[Level 2]]=Transactions[[#This Row],[L6N]],Transactions[[#This Row],[L5N]],IF(Transactions[[#This Row],[Level 2]]=Transactions[[#This Row],[L7N]],Transactions[[#This Row],[L6N]],Transactions[[#This Row],[L7N]]))))))))</f>
        <v>Other n.e.s.</v>
      </c>
      <c r="AV56" s="24" t="str">
        <f>IF(Transactions[[#This Row],[Level 3]]=Transactions[[#This Row],[Transaction name]],Transactions[[#This Row],[Transaction name]],IF(Transactions[[#This Row],[Level 3]]=Transactions[[#This Row],[L1N]],Transactions[[#This Row],[Transaction name]],IF(Transactions[[#This Row],[Level 3]]=Transactions[[#This Row],[L2N]],Transactions[[#This Row],[L1N]],IF(Transactions[[#This Row],[Level 3]]=Transactions[[#This Row],[L3N]],Transactions[[#This Row],[L2N]],IF(Transactions[[#This Row],[Level 3]]=Transactions[[#This Row],[L4N]],Transactions[[#This Row],[L3N]],IF(Transactions[[#This Row],[Level 3]]=Transactions[[#This Row],[L5N]],Transactions[[#This Row],[L4N]],IF(Transactions[[#This Row],[Level 3]]=Transactions[[#This Row],[L6N]],Transactions[[#This Row],[L5N]],IF(Transactions[[#This Row],[Level 3]]=Transactions[[#This Row],[L7N]],Transactions[[#This Row],[L6N]],Transactions[[#This Row],[L7N]]))))))))</f>
        <v>Other n.e.s.</v>
      </c>
      <c r="AW56" s="24" t="str">
        <f>IF(Transactions[[#This Row],[Level 4]]=Transactions[[#This Row],[Transaction name]],Transactions[[#This Row],[Transaction name]],IF(Transactions[[#This Row],[Level 4]]=Transactions[[#This Row],[L1N]],Transactions[[#This Row],[Transaction name]],IF(Transactions[[#This Row],[Level 4]]=Transactions[[#This Row],[L2N]],Transactions[[#This Row],[L1N]],IF(Transactions[[#This Row],[Level 4]]=Transactions[[#This Row],[L3N]],Transactions[[#This Row],[L2N]],IF(Transactions[[#This Row],[Level 4]]=Transactions[[#This Row],[L4N]],Transactions[[#This Row],[L3N]],IF(Transactions[[#This Row],[Level 4]]=Transactions[[#This Row],[L5N]],Transactions[[#This Row],[L4N]],IF(Transactions[[#This Row],[Level 4]]=Transactions[[#This Row],[L6N]],Transactions[[#This Row],[L5N]],IF(Transactions[[#This Row],[Level 4]]=Transactions[[#This Row],[L7N]],Transactions[[#This Row],[L6N]],Transactions[[#This Row],[L7N]]))))))))</f>
        <v>Other n.e.s.</v>
      </c>
      <c r="AX56" s="24" t="str">
        <f>IF(Transactions[[#This Row],[Level 5]]=Transactions[[#This Row],[Transaction name]],Transactions[[#This Row],[Transaction name]],IF(Transactions[[#This Row],[Level 5]]=Transactions[[#This Row],[L1N]],Transactions[[#This Row],[Transaction name]],IF(Transactions[[#This Row],[Level 5]]=Transactions[[#This Row],[L2N]],Transactions[[#This Row],[L1N]],IF(Transactions[[#This Row],[Level 5]]=Transactions[[#This Row],[L3N]],Transactions[[#This Row],[L2N]],IF(Transactions[[#This Row],[Level 5]]=Transactions[[#This Row],[L4N]],Transactions[[#This Row],[L3N]],IF(Transactions[[#This Row],[Level 5]]=Transactions[[#This Row],[L5N]],Transactions[[#This Row],[L4N]],IF(Transactions[[#This Row],[Level 5]]=Transactions[[#This Row],[L6N]],Transactions[[#This Row],[L5N]],IF(Transactions[[#This Row],[Level 5]]=Transactions[[#This Row],[L7N]],Transactions[[#This Row],[L6N]],Transactions[[#This Row],[L7N]]))))))))</f>
        <v>Other n.e.s.</v>
      </c>
      <c r="AY56" s="24" t="str">
        <f>IF(Transactions[[#This Row],[Level 6]]=Transactions[[#This Row],[Transaction name]],Transactions[[#This Row],[Transaction name]],IF(Transactions[[#This Row],[Level 6]]=Transactions[[#This Row],[L1N]],Transactions[[#This Row],[Transaction name]],IF(Transactions[[#This Row],[Level 6]]=Transactions[[#This Row],[L2N]],Transactions[[#This Row],[L1N]],IF(Transactions[[#This Row],[Level 6]]=Transactions[[#This Row],[L3N]],Transactions[[#This Row],[L2N]],IF(Transactions[[#This Row],[Level 6]]=Transactions[[#This Row],[L4N]],Transactions[[#This Row],[L3N]],IF(Transactions[[#This Row],[Level 6]]=Transactions[[#This Row],[L5N]],Transactions[[#This Row],[L4N]],IF(Transactions[[#This Row],[Level 6]]=Transactions[[#This Row],[L6N]],Transactions[[#This Row],[L5N]],IF(Transactions[[#This Row],[Level 6]]=Transactions[[#This Row],[L7N]],Transactions[[#This Row],[L6N]],Transactions[[#This Row],[L7N]]))))))))</f>
        <v>Other n.e.s.</v>
      </c>
      <c r="BE56" s="26" t="str">
        <f>_xlfn.XLOOKUP(Transformation[[#This Row],[cfrom]],Commodities[Commodity],Commodities[Commodity code])</f>
        <v>0379</v>
      </c>
      <c r="BF56" s="26" t="str">
        <f>_xlfn.XLOOKUP(Transformation[[#This Row],[tfrom]],Transactions[Transaction name],Transactions[Transaction code])</f>
        <v>08821</v>
      </c>
      <c r="BG56" s="26" t="str">
        <f>_xlfn.XLOOKUP(Transformation[[#This Row],[cto]],Commodities[Commodity],Commodities[Commodity code])</f>
        <v>0379</v>
      </c>
      <c r="BH56" s="26" t="str">
        <f>_xlfn.XLOOKUP(Transformation[[#This Row],[tto]],Transactions[Transaction name],Transactions[Transaction code])</f>
        <v>015CGC</v>
      </c>
      <c r="BI56" s="11">
        <v>1</v>
      </c>
      <c r="BJ56" s="4" t="s">
        <v>472</v>
      </c>
      <c r="BK56" s="24" t="str">
        <f>_xlfn.XLOOKUP(Transformation[[#This Row],[Commodity from]],Commodities[Commodity code],Commodities[EnergyCode])</f>
        <v>BO</v>
      </c>
      <c r="BL56" s="4" t="s">
        <v>691</v>
      </c>
      <c r="BM56" s="4" t="s">
        <v>472</v>
      </c>
      <c r="BN56" s="24" t="str">
        <f>_xlfn.XLOOKUP(Transformation[[#This Row],[Commodity to]],Commodities[Commodity code],Commodities[EnergyCode])</f>
        <v>BO</v>
      </c>
      <c r="BO56" s="4" t="s">
        <v>1217</v>
      </c>
      <c r="BP56" s="16" t="s">
        <v>1493</v>
      </c>
      <c r="BQ56" s="33" t="str">
        <f>Transformation[[#This Row],[Commodity from]]&amp;Transformation[[#This Row],[Transaction from]]&amp;Transformation[[#This Row],[Commodity to]]&amp;Transformation[[#This Row],[Transaction to]]</f>
        <v>0379088210379015CGC</v>
      </c>
      <c r="BR56" s="26" t="str">
        <f>Transformation[[#This Row],[crfomid]]&amp;Transformation[[#This Row],[Transaction from]]&amp;"("&amp;Transformation[[#This Row],[Multiplier]]&amp;") -&gt; "&amp;Transformation[[#This Row],[ctoid]]&amp;Transformation[[#This Row],[Transaction to]]</f>
        <v>BO08821(1) -&gt; BO015CGC</v>
      </c>
      <c r="BT56" s="26" t="str">
        <f>_xlfn.XLOOKUP(Signswitch[[#This Row],[Commodity name]],Commodities[Commodity],Commodities[Commodity code])</f>
        <v>5232</v>
      </c>
      <c r="BU56" s="26" t="str">
        <f>_xlfn.XLOOKUP(Signswitch[[#This Row],[Transaction name]],Transactions[Transaction name],Transactions[Transaction code])</f>
        <v>1214I</v>
      </c>
      <c r="BV56" s="26" t="str">
        <f>Signswitch[[#This Row],[Commodity from]]&amp;Signswitch[[#This Row],[Transaction from]]</f>
        <v>52321214I</v>
      </c>
      <c r="BW56" s="22" t="s">
        <v>306</v>
      </c>
      <c r="BX56" s="26" t="str">
        <f>_xlfn.XLOOKUP(Signswitch[[#This Row],[Commodity from]],Commodities[Commodity code],Commodities[EnergyCode])</f>
        <v>ZJ</v>
      </c>
      <c r="BY56" s="22" t="s">
        <v>441</v>
      </c>
    </row>
    <row r="57" spans="8:77" x14ac:dyDescent="0.45">
      <c r="H57" s="5" t="s">
        <v>447</v>
      </c>
      <c r="I57" s="4" t="s">
        <v>446</v>
      </c>
      <c r="J57" s="9"/>
      <c r="K57" s="14" t="s">
        <v>1472</v>
      </c>
      <c r="L57" s="23" t="str">
        <f>IFERROR(INDEX(Commodities[[Commodity code]:[Commodity]],MATCH(Commodities[[#This Row],[Parent code]],Commodities[Commodity code],0),2),Commodities[[#This Row],[Commodity]])</f>
        <v>Natural gas</v>
      </c>
      <c r="M57" s="24" t="str">
        <f>IFERROR(INDEX(Commodities[[Commodity code]:[Commodity]],MATCH(INDEX(Commodities[[Commodity]:[Parent code]],MATCH(Commodities[[#This Row],[L1N]],Commodities[Commodity],0),2),Commodities[Commodity code],0),2),Commodities[[#This Row],[L1N]])</f>
        <v>Natural gas</v>
      </c>
      <c r="N57" s="24" t="str">
        <f>IFERROR(INDEX(Commodities[[Commodity code]:[Commodity]],MATCH(INDEX(Commodities[[Commodity]:[Parent code]],MATCH(Commodities[[#This Row],[L2N]],Commodities[Commodity],0),2),Commodities[Commodity code],0),2),Commodities[[#This Row],[L2N]])</f>
        <v>Natural gas</v>
      </c>
      <c r="O57" s="24" t="str">
        <f>IFERROR(INDEX(Commodities[[Commodity code]:[Commodity]],MATCH(INDEX(Commodities[[Commodity]:[Parent code]],MATCH(Commodities[[#This Row],[L3N]],Commodities[Commodity],0),2),Commodities[Commodity code],0),2),Commodities[[#This Row],[L3N]])</f>
        <v>Natural gas</v>
      </c>
      <c r="P57" s="24" t="str">
        <f>IF(Commodities[[#This Row],[L4N]]=Commodities[[#This Row],[L3N]],Commodities[[#This Row],[L4N]],IF(Commodities[[#This Row],[L3N]]=Commodities[[#This Row],[L2N]],Commodities[[#This Row],[L3N]],IF(Commodities[[#This Row],[L2N]]=Commodities[[#This Row],[L1N]],Commodities[[#This Row],[L2N]],IF(Commodities[[#This Row],[L1N]]=Commodities[[#This Row],[Commodity]],Commodities[[#This Row],[L1N]],Commodities[[#This Row],[Commodity]]))))</f>
        <v>Natural gas</v>
      </c>
      <c r="Q57" s="24" t="str">
        <f>IF(Commodities[[#This Row],[Level 0]]=Commodities[[#This Row],[Commodity]],Commodities[[#This Row],[Commodity]],IF(Commodities[[#This Row],[Level 0]]=Commodities[[#This Row],[L1N]],Commodities[[#This Row],[Commodity]],IF(Commodities[[#This Row],[Level 0]]=Commodities[[#This Row],[L2N]],Commodities[[#This Row],[L1N]],IF(Commodities[[#This Row],[Level 0]]=Commodities[[#This Row],[L3N]],Commodities[[#This Row],[L2N]],IF(Commodities[[#This Row],[Level 0]]=Commodities[[#This Row],[L4N]],Commodities[[#This Row],[L3N]],Commodities[[#This Row],[L4N]])))))</f>
        <v>Natural gas</v>
      </c>
      <c r="R57" s="24" t="str">
        <f>IF(Commodities[[#This Row],[Level 1]]=Commodities[[#This Row],[Commodity]],Commodities[[#This Row],[Commodity]],IF(Commodities[[#This Row],[Level 1]]=Commodities[[#This Row],[L1N]],Commodities[[#This Row],[Commodity]],IF(Commodities[[#This Row],[Level 1]]=Commodities[[#This Row],[L2N]],Commodities[[#This Row],[L1N]],IF(Commodities[[#This Row],[Level 1]]=Commodities[[#This Row],[L3N]],Commodities[[#This Row],[L2N]],IF(Commodities[[#This Row],[Level 1]]=Commodities[[#This Row],[L4N]],Commodities[[#This Row],[L3N]],Commodities[[#This Row],[L4N]])))))</f>
        <v>Natural gas</v>
      </c>
      <c r="S57" s="24" t="str">
        <f>IF(Commodities[[#This Row],[Level 2]]=Commodities[[#This Row],[Commodity]],Commodities[[#This Row],[Commodity]],IF(Commodities[[#This Row],[Level 2]]=Commodities[[#This Row],[L1N]],Commodities[[#This Row],[Commodity]],IF(Commodities[[#This Row],[Level 2]]=Commodities[[#This Row],[L2N]],Commodities[[#This Row],[L1N]],IF(Commodities[[#This Row],[Level 2]]=Commodities[[#This Row],[L3N]],Commodities[[#This Row],[L2N]],IF(Commodities[[#This Row],[Level 2]]=Commodities[[#This Row],[L4N]],Commodities[[#This Row],[L3N]],Commodities[[#This Row],[L4N]])))))</f>
        <v>Natural gas</v>
      </c>
      <c r="T57" s="24" t="str">
        <f>IF(Commodities[[#This Row],[Level 3]]=Commodities[[#This Row],[Commodity]],Commodities[[#This Row],[Commodity]],IF(Commodities[[#This Row],[Level 3]]=Commodities[[#This Row],[L1N]],Commodities[[#This Row],[Commodity]],IF(Commodities[[#This Row],[Level 3]]=Commodities[[#This Row],[L2N]],Commodities[[#This Row],[L1N]],IF(Commodities[[#This Row],[Level 3]]=Commodities[[#This Row],[L3N]],Commodities[[#This Row],[L2N]],IF(Commodities[[#This Row],[Level 3]]=Commodities[[#This Row],[L4N]],Commodities[[#This Row],[L3N]],Commodities[[#This Row],[L4N]])))))</f>
        <v>Natural gas</v>
      </c>
      <c r="U57" s="24" t="str">
        <f>IF(Commodities[[#This Row],[Level 4]]=Commodities[[#This Row],[Commodity]],Commodities[[#This Row],[Commodity]],IF(Commodities[[#This Row],[Level 4]]=Commodities[[#This Row],[L1N]],Commodities[[#This Row],[Commodity]],IF(Commodities[[#This Row],[Level 4]]=Commodities[[#This Row],[L2N]],Commodities[[#This Row],[L1N]],IF(Commodities[[#This Row],[Level 4]]=Commodities[[#This Row],[L3N]],Commodities[[#This Row],[L2N]],IF(Commodities[[#This Row],[Level 4]]=Commodities[[#This Row],[L4N]],Commodities[[#This Row],[L3N]],Commodities[[#This Row],[L4N]])))))</f>
        <v>Natural gas</v>
      </c>
      <c r="Y57" s="5" t="s">
        <v>98</v>
      </c>
      <c r="Z57" s="4" t="s">
        <v>702</v>
      </c>
      <c r="AA57" s="4" t="s">
        <v>702</v>
      </c>
      <c r="AB57" s="4" t="s">
        <v>6</v>
      </c>
      <c r="AC57" s="24" t="str">
        <f>IFERROR(VLOOKUP(Transactions[[#This Row],[Parent code]],Transactions[[Transaction code]:[Transaction name]],2,0),"")</f>
        <v>Final consumption</v>
      </c>
      <c r="AD57" s="4" t="s">
        <v>630</v>
      </c>
      <c r="AF57" s="4" t="s">
        <v>642</v>
      </c>
      <c r="AG57" s="4" t="s">
        <v>1</v>
      </c>
      <c r="AH57" s="4" t="s">
        <v>696</v>
      </c>
      <c r="AJ57" s="4" t="s">
        <v>0</v>
      </c>
      <c r="AK57" s="24" t="str" cm="1">
        <f t="array" ref="AK57">IFERROR(INDEX(Transactions[[Transaction code]:[Transaction name]],_xlfn.XMATCH(Transactions[[#This Row],[Parent code]],Transactions[Transaction name],0),3),Transactions[[#This Row],[Transaction name]])</f>
        <v>Total Final Energy Consumption</v>
      </c>
      <c r="AL57" s="24" t="str" cm="1">
        <f t="array" ref="AL57">IFERROR(INDEX(Transactions[[Transaction code]:[Transaction name]],_xlfn.XMATCH(INDEX(Transactions[[Transaction name]:[Parent code]],_xlfn.XMATCH(Transactions[[#This Row],[L1N]],Transactions[Transaction name],0),3),Transactions[Transaction code],0),2),Transactions[[#This Row],[L1N]])</f>
        <v>Final consumption</v>
      </c>
      <c r="AM57" s="24" t="str" cm="1">
        <f t="array" ref="AM57">IFERROR(INDEX(Transactions[[Transaction code]:[Transaction name]],_xlfn.XMATCH(INDEX(Transactions[[Transaction name]:[Parent code]],_xlfn.XMATCH(Transactions[[#This Row],[L2N]],Transactions[Transaction name],0),3),Transactions[Transaction code],0),2),Transactions[[#This Row],[L2N]])</f>
        <v>Final consumption</v>
      </c>
      <c r="AN57" s="24" t="str" cm="1">
        <f t="array" ref="AN57">IFERROR(INDEX(Transactions[[Transaction code]:[Transaction name]],_xlfn.XMATCH(INDEX(Transactions[[Transaction name]:[Parent code]],_xlfn.XMATCH(Transactions[[#This Row],[L3N]],Transactions[Transaction name],0),3),Transactions[Transaction code],0),2),Transactions[[#This Row],[L3N]])</f>
        <v>Final consumption</v>
      </c>
      <c r="AO57" s="24" t="str" cm="1">
        <f t="array" ref="AO57">IFERROR(INDEX(Transactions[[Transaction code]:[Transaction name]],_xlfn.XMATCH(INDEX(Transactions[[Transaction name]:[Parent code]],_xlfn.XMATCH(Transactions[[#This Row],[L4N]],Transactions[Transaction name],0),3),Transactions[Transaction code],0),2),Transactions[[#This Row],[L4N]])</f>
        <v>Final consumption</v>
      </c>
      <c r="AP57" s="24" t="str" cm="1">
        <f t="array" ref="AP57">IFERROR(INDEX(Transactions[[Transaction code]:[Transaction name]],_xlfn.XMATCH(INDEX(Transactions[[Transaction name]:[Parent code]],_xlfn.XMATCH(Transactions[[#This Row],[L5N]],Transactions[Transaction name],0),3),Transactions[Transaction code],0),2),Transactions[[#This Row],[L5N]])</f>
        <v>Final consumption</v>
      </c>
      <c r="AQ57" s="24" t="str" cm="1">
        <f t="array" ref="AQ57">IFERROR(INDEX(Transactions[[Transaction code]:[Transaction name]],_xlfn.XMATCH(INDEX(Transactions[[Transaction name]:[Parent code]],_xlfn.XMATCH(Transactions[[#This Row],[L6N]],Transactions[Transaction name],0),3),Transactions[Transaction code],0),2),Transactions[[#This Row],[L6N]])</f>
        <v>Final consumption</v>
      </c>
      <c r="AR57" s="27" t="str">
        <f>IF(Transactions[[#This Row],[L7N]]=Transactions[[#This Row],[L6N]],Transactions[[#This Row],[L7N]],IF(Transactions[[#This Row],[L6N]]=Transactions[[#This Row],[L5N]],Transactions[[#This Row],[L6N]],IF(Transactions[[#This Row],[L5N]]=Transactions[[#This Row],[L4N]],Transactions[[#This Row],[L5N]],IF(Transactions[[#This Row],[L4N]]=Transactions[[#This Row],[L3N]],Transactions[[#This Row],[L4N]],IF(Transactions[[#This Row],[L3N]]=Transactions[[#This Row],[L2N]],Transactions[[#This Row],[L3N]],IF(Transactions[[#This Row],[L2N]]=Transactions[[#This Row],[L1N]],Transactions[[#This Row],[L2N]],IF(Transactions[[#This Row],[L1N]]=Transactions[[#This Row],[Transaction name]],Transactions[[#This Row],[L1N]],Transactions[[#This Row],[Transaction name]])))))))</f>
        <v>Final consumption</v>
      </c>
      <c r="AS57" s="24" t="str">
        <f>IF(Transactions[[#This Row],[Level 0]]=Transactions[[#This Row],[Transaction name]],Transactions[[#This Row],[Transaction name]],IF(Transactions[[#This Row],[Level 0]]=Transactions[[#This Row],[L1N]],Transactions[[#This Row],[Transaction name]],IF(Transactions[[#This Row],[Level 0]]=Transactions[[#This Row],[L2N]],Transactions[[#This Row],[L1N]],IF(Transactions[[#This Row],[Level 0]]=Transactions[[#This Row],[L3N]],Transactions[[#This Row],[L2N]],IF(Transactions[[#This Row],[Level 0]]=Transactions[[#This Row],[L4N]],Transactions[[#This Row],[L3N]],IF(Transactions[[#This Row],[Level 0]]=Transactions[[#This Row],[L5N]],Transactions[[#This Row],[L4N]],IF(Transactions[[#This Row],[Level 0]]=Transactions[[#This Row],[L6N]],Transactions[[#This Row],[L5N]],IF(Transactions[[#This Row],[Level 0]]=Transactions[[#This Row],[L7N]],Transactions[[#This Row],[L6N]],Transactions[[#This Row],[L7N]]))))))))</f>
        <v>Total Final Energy Consumption</v>
      </c>
      <c r="AT57" s="24" t="str">
        <f>IF(Transactions[[#This Row],[Level 1]]=Transactions[[#This Row],[Transaction name]],Transactions[[#This Row],[Transaction name]],IF(Transactions[[#This Row],[Level 1]]=Transactions[[#This Row],[L1N]],Transactions[[#This Row],[Transaction name]],IF(Transactions[[#This Row],[Level 1]]=Transactions[[#This Row],[L2N]],Transactions[[#This Row],[L1N]],IF(Transactions[[#This Row],[Level 1]]=Transactions[[#This Row],[L3N]],Transactions[[#This Row],[L2N]],IF(Transactions[[#This Row],[Level 1]]=Transactions[[#This Row],[L4N]],Transactions[[#This Row],[L3N]],IF(Transactions[[#This Row],[Level 1]]=Transactions[[#This Row],[L5N]],Transactions[[#This Row],[L4N]],IF(Transactions[[#This Row],[Level 1]]=Transactions[[#This Row],[L6N]],Transactions[[#This Row],[L5N]],IF(Transactions[[#This Row],[Level 1]]=Transactions[[#This Row],[L7N]],Transactions[[#This Row],[L6N]],Transactions[[#This Row],[L7N]]))))))))</f>
        <v>Total Final Energy Consumption</v>
      </c>
      <c r="AU57" s="24" t="str">
        <f>IF(Transactions[[#This Row],[Level 2]]=Transactions[[#This Row],[Transaction name]],Transactions[[#This Row],[Transaction name]],IF(Transactions[[#This Row],[Level 2]]=Transactions[[#This Row],[L1N]],Transactions[[#This Row],[Transaction name]],IF(Transactions[[#This Row],[Level 2]]=Transactions[[#This Row],[L2N]],Transactions[[#This Row],[L1N]],IF(Transactions[[#This Row],[Level 2]]=Transactions[[#This Row],[L3N]],Transactions[[#This Row],[L2N]],IF(Transactions[[#This Row],[Level 2]]=Transactions[[#This Row],[L4N]],Transactions[[#This Row],[L3N]],IF(Transactions[[#This Row],[Level 2]]=Transactions[[#This Row],[L5N]],Transactions[[#This Row],[L4N]],IF(Transactions[[#This Row],[Level 2]]=Transactions[[#This Row],[L6N]],Transactions[[#This Row],[L5N]],IF(Transactions[[#This Row],[Level 2]]=Transactions[[#This Row],[L7N]],Transactions[[#This Row],[L6N]],Transactions[[#This Row],[L7N]]))))))))</f>
        <v>Total Final Energy Consumption</v>
      </c>
      <c r="AV57" s="24" t="str">
        <f>IF(Transactions[[#This Row],[Level 3]]=Transactions[[#This Row],[Transaction name]],Transactions[[#This Row],[Transaction name]],IF(Transactions[[#This Row],[Level 3]]=Transactions[[#This Row],[L1N]],Transactions[[#This Row],[Transaction name]],IF(Transactions[[#This Row],[Level 3]]=Transactions[[#This Row],[L2N]],Transactions[[#This Row],[L1N]],IF(Transactions[[#This Row],[Level 3]]=Transactions[[#This Row],[L3N]],Transactions[[#This Row],[L2N]],IF(Transactions[[#This Row],[Level 3]]=Transactions[[#This Row],[L4N]],Transactions[[#This Row],[L3N]],IF(Transactions[[#This Row],[Level 3]]=Transactions[[#This Row],[L5N]],Transactions[[#This Row],[L4N]],IF(Transactions[[#This Row],[Level 3]]=Transactions[[#This Row],[L6N]],Transactions[[#This Row],[L5N]],IF(Transactions[[#This Row],[Level 3]]=Transactions[[#This Row],[L7N]],Transactions[[#This Row],[L6N]],Transactions[[#This Row],[L7N]]))))))))</f>
        <v>Total Final Energy Consumption</v>
      </c>
      <c r="AW57" s="24" t="str">
        <f>IF(Transactions[[#This Row],[Level 4]]=Transactions[[#This Row],[Transaction name]],Transactions[[#This Row],[Transaction name]],IF(Transactions[[#This Row],[Level 4]]=Transactions[[#This Row],[L1N]],Transactions[[#This Row],[Transaction name]],IF(Transactions[[#This Row],[Level 4]]=Transactions[[#This Row],[L2N]],Transactions[[#This Row],[L1N]],IF(Transactions[[#This Row],[Level 4]]=Transactions[[#This Row],[L3N]],Transactions[[#This Row],[L2N]],IF(Transactions[[#This Row],[Level 4]]=Transactions[[#This Row],[L4N]],Transactions[[#This Row],[L3N]],IF(Transactions[[#This Row],[Level 4]]=Transactions[[#This Row],[L5N]],Transactions[[#This Row],[L4N]],IF(Transactions[[#This Row],[Level 4]]=Transactions[[#This Row],[L6N]],Transactions[[#This Row],[L5N]],IF(Transactions[[#This Row],[Level 4]]=Transactions[[#This Row],[L7N]],Transactions[[#This Row],[L6N]],Transactions[[#This Row],[L7N]]))))))))</f>
        <v>Total Final Energy Consumption</v>
      </c>
      <c r="AX57" s="24" t="str">
        <f>IF(Transactions[[#This Row],[Level 5]]=Transactions[[#This Row],[Transaction name]],Transactions[[#This Row],[Transaction name]],IF(Transactions[[#This Row],[Level 5]]=Transactions[[#This Row],[L1N]],Transactions[[#This Row],[Transaction name]],IF(Transactions[[#This Row],[Level 5]]=Transactions[[#This Row],[L2N]],Transactions[[#This Row],[L1N]],IF(Transactions[[#This Row],[Level 5]]=Transactions[[#This Row],[L3N]],Transactions[[#This Row],[L2N]],IF(Transactions[[#This Row],[Level 5]]=Transactions[[#This Row],[L4N]],Transactions[[#This Row],[L3N]],IF(Transactions[[#This Row],[Level 5]]=Transactions[[#This Row],[L5N]],Transactions[[#This Row],[L4N]],IF(Transactions[[#This Row],[Level 5]]=Transactions[[#This Row],[L6N]],Transactions[[#This Row],[L5N]],IF(Transactions[[#This Row],[Level 5]]=Transactions[[#This Row],[L7N]],Transactions[[#This Row],[L6N]],Transactions[[#This Row],[L7N]]))))))))</f>
        <v>Total Final Energy Consumption</v>
      </c>
      <c r="AY57" s="24" t="str">
        <f>IF(Transactions[[#This Row],[Level 6]]=Transactions[[#This Row],[Transaction name]],Transactions[[#This Row],[Transaction name]],IF(Transactions[[#This Row],[Level 6]]=Transactions[[#This Row],[L1N]],Transactions[[#This Row],[Transaction name]],IF(Transactions[[#This Row],[Level 6]]=Transactions[[#This Row],[L2N]],Transactions[[#This Row],[L1N]],IF(Transactions[[#This Row],[Level 6]]=Transactions[[#This Row],[L3N]],Transactions[[#This Row],[L2N]],IF(Transactions[[#This Row],[Level 6]]=Transactions[[#This Row],[L4N]],Transactions[[#This Row],[L3N]],IF(Transactions[[#This Row],[Level 6]]=Transactions[[#This Row],[L5N]],Transactions[[#This Row],[L4N]],IF(Transactions[[#This Row],[Level 6]]=Transactions[[#This Row],[L6N]],Transactions[[#This Row],[L5N]],IF(Transactions[[#This Row],[Level 6]]=Transactions[[#This Row],[L7N]],Transactions[[#This Row],[L6N]],Transactions[[#This Row],[L7N]]))))))))</f>
        <v>Total Final Energy Consumption</v>
      </c>
      <c r="BE57" s="26" t="str">
        <f>_xlfn.XLOOKUP(Transformation[[#This Row],[cfrom]],Commodities[Commodity],Commodities[Commodity code])</f>
        <v>1200</v>
      </c>
      <c r="BF57" s="26" t="str">
        <f>_xlfn.XLOOKUP(Transformation[[#This Row],[tfrom]],Transactions[Transaction name],Transactions[Transaction code])</f>
        <v>08821</v>
      </c>
      <c r="BG57" s="26" t="str">
        <f>_xlfn.XLOOKUP(Transformation[[#This Row],[cto]],Commodities[Commodity],Commodities[Commodity code])</f>
        <v>1200</v>
      </c>
      <c r="BH57" s="26" t="str">
        <f>_xlfn.XLOOKUP(Transformation[[#This Row],[tto]],Transactions[Transaction name],Transactions[Transaction code])</f>
        <v>015PTC</v>
      </c>
      <c r="BI57" s="11">
        <v>1</v>
      </c>
      <c r="BJ57" s="4" t="s">
        <v>455</v>
      </c>
      <c r="BK57" s="24" t="str">
        <f>_xlfn.XLOOKUP(Transformation[[#This Row],[Commodity from]],Commodities[Commodity code],Commodities[EnergyCode])</f>
        <v>BP</v>
      </c>
      <c r="BL57" s="4" t="s">
        <v>691</v>
      </c>
      <c r="BM57" s="4" t="s">
        <v>455</v>
      </c>
      <c r="BN57" s="24" t="str">
        <f>_xlfn.XLOOKUP(Transformation[[#This Row],[Commodity to]],Commodities[Commodity code],Commodities[EnergyCode])</f>
        <v>BP</v>
      </c>
      <c r="BO57" s="4" t="s">
        <v>1201</v>
      </c>
      <c r="BP57" s="16" t="s">
        <v>1493</v>
      </c>
      <c r="BQ57" s="33" t="str">
        <f>Transformation[[#This Row],[Commodity from]]&amp;Transformation[[#This Row],[Transaction from]]&amp;Transformation[[#This Row],[Commodity to]]&amp;Transformation[[#This Row],[Transaction to]]</f>
        <v>1200088211200015PTC</v>
      </c>
      <c r="BR57" s="26" t="str">
        <f>Transformation[[#This Row],[crfomid]]&amp;Transformation[[#This Row],[Transaction from]]&amp;"("&amp;Transformation[[#This Row],[Multiplier]]&amp;") -&gt; "&amp;Transformation[[#This Row],[ctoid]]&amp;Transformation[[#This Row],[Transaction to]]</f>
        <v>BP08821(1) -&gt; BP015PTC</v>
      </c>
      <c r="BT57" s="26" t="str">
        <f>_xlfn.XLOOKUP(Signswitch[[#This Row],[Commodity name]],Commodities[Commodity],Commodities[Commodity code])</f>
        <v>5222</v>
      </c>
      <c r="BU57" s="26" t="str">
        <f>_xlfn.XLOOKUP(Signswitch[[#This Row],[Transaction name]],Transactions[Transaction name],Transactions[Transaction code])</f>
        <v>1214I</v>
      </c>
      <c r="BV57" s="26" t="str">
        <f>Signswitch[[#This Row],[Commodity from]]&amp;Signswitch[[#This Row],[Transaction from]]</f>
        <v>52221214I</v>
      </c>
      <c r="BW57" s="22" t="s">
        <v>962</v>
      </c>
      <c r="BX57" s="26" t="str">
        <f>_xlfn.XLOOKUP(Signswitch[[#This Row],[Commodity from]],Commodities[Commodity code],Commodities[EnergyCode])</f>
        <v>ZD</v>
      </c>
      <c r="BY57" s="22" t="s">
        <v>441</v>
      </c>
    </row>
    <row r="58" spans="8:77" x14ac:dyDescent="0.45">
      <c r="H58" s="4" t="s">
        <v>556</v>
      </c>
      <c r="I58" s="18" t="s">
        <v>1546</v>
      </c>
      <c r="K58" s="12" t="s">
        <v>1472</v>
      </c>
      <c r="L58" s="24" t="str">
        <f>IFERROR(INDEX(Commodities[[Commodity code]:[Commodity]],MATCH(Commodities[[#This Row],[Parent code]],Commodities[Commodity code],0),2),Commodities[[#This Row],[Commodity]])</f>
        <v>Natural Gas (S)</v>
      </c>
      <c r="M58" s="24" t="str">
        <f>IFERROR(INDEX(Commodities[[Commodity code]:[Commodity]],MATCH(INDEX(Commodities[[Commodity]:[Parent code]],MATCH(Commodities[[#This Row],[L1N]],Commodities[Commodity],0),2),Commodities[Commodity code],0),2),Commodities[[#This Row],[L1N]])</f>
        <v>Natural Gas (S)</v>
      </c>
      <c r="N58" s="24" t="str">
        <f>IFERROR(INDEX(Commodities[[Commodity code]:[Commodity]],MATCH(INDEX(Commodities[[Commodity]:[Parent code]],MATCH(Commodities[[#This Row],[L2N]],Commodities[Commodity],0),2),Commodities[Commodity code],0),2),Commodities[[#This Row],[L2N]])</f>
        <v>Natural Gas (S)</v>
      </c>
      <c r="O58" s="24" t="str">
        <f>IFERROR(INDEX(Commodities[[Commodity code]:[Commodity]],MATCH(INDEX(Commodities[[Commodity]:[Parent code]],MATCH(Commodities[[#This Row],[L3N]],Commodities[Commodity],0),2),Commodities[Commodity code],0),2),Commodities[[#This Row],[L3N]])</f>
        <v>Natural Gas (S)</v>
      </c>
      <c r="P58" s="24" t="str">
        <f>IF(Commodities[[#This Row],[L4N]]=Commodities[[#This Row],[L3N]],Commodities[[#This Row],[L4N]],IF(Commodities[[#This Row],[L3N]]=Commodities[[#This Row],[L2N]],Commodities[[#This Row],[L3N]],IF(Commodities[[#This Row],[L2N]]=Commodities[[#This Row],[L1N]],Commodities[[#This Row],[L2N]],IF(Commodities[[#This Row],[L1N]]=Commodities[[#This Row],[Commodity]],Commodities[[#This Row],[L1N]],Commodities[[#This Row],[Commodity]]))))</f>
        <v>Natural Gas (S)</v>
      </c>
      <c r="Q58" s="24" t="str">
        <f>IF(Commodities[[#This Row],[Level 0]]=Commodities[[#This Row],[Commodity]],Commodities[[#This Row],[Commodity]],IF(Commodities[[#This Row],[Level 0]]=Commodities[[#This Row],[L1N]],Commodities[[#This Row],[Commodity]],IF(Commodities[[#This Row],[Level 0]]=Commodities[[#This Row],[L2N]],Commodities[[#This Row],[L1N]],IF(Commodities[[#This Row],[Level 0]]=Commodities[[#This Row],[L3N]],Commodities[[#This Row],[L2N]],IF(Commodities[[#This Row],[Level 0]]=Commodities[[#This Row],[L4N]],Commodities[[#This Row],[L3N]],Commodities[[#This Row],[L4N]])))))</f>
        <v>Natural Gas (S)</v>
      </c>
      <c r="R58" s="24" t="str">
        <f>IF(Commodities[[#This Row],[Level 1]]=Commodities[[#This Row],[Commodity]],Commodities[[#This Row],[Commodity]],IF(Commodities[[#This Row],[Level 1]]=Commodities[[#This Row],[L1N]],Commodities[[#This Row],[Commodity]],IF(Commodities[[#This Row],[Level 1]]=Commodities[[#This Row],[L2N]],Commodities[[#This Row],[L1N]],IF(Commodities[[#This Row],[Level 1]]=Commodities[[#This Row],[L3N]],Commodities[[#This Row],[L2N]],IF(Commodities[[#This Row],[Level 1]]=Commodities[[#This Row],[L4N]],Commodities[[#This Row],[L3N]],Commodities[[#This Row],[L4N]])))))</f>
        <v>Natural Gas (S)</v>
      </c>
      <c r="S58" s="24" t="str">
        <f>IF(Commodities[[#This Row],[Level 2]]=Commodities[[#This Row],[Commodity]],Commodities[[#This Row],[Commodity]],IF(Commodities[[#This Row],[Level 2]]=Commodities[[#This Row],[L1N]],Commodities[[#This Row],[Commodity]],IF(Commodities[[#This Row],[Level 2]]=Commodities[[#This Row],[L2N]],Commodities[[#This Row],[L1N]],IF(Commodities[[#This Row],[Level 2]]=Commodities[[#This Row],[L3N]],Commodities[[#This Row],[L2N]],IF(Commodities[[#This Row],[Level 2]]=Commodities[[#This Row],[L4N]],Commodities[[#This Row],[L3N]],Commodities[[#This Row],[L4N]])))))</f>
        <v>Natural Gas (S)</v>
      </c>
      <c r="T58" s="24" t="str">
        <f>IF(Commodities[[#This Row],[Level 3]]=Commodities[[#This Row],[Commodity]],Commodities[[#This Row],[Commodity]],IF(Commodities[[#This Row],[Level 3]]=Commodities[[#This Row],[L1N]],Commodities[[#This Row],[Commodity]],IF(Commodities[[#This Row],[Level 3]]=Commodities[[#This Row],[L2N]],Commodities[[#This Row],[L1N]],IF(Commodities[[#This Row],[Level 3]]=Commodities[[#This Row],[L3N]],Commodities[[#This Row],[L2N]],IF(Commodities[[#This Row],[Level 3]]=Commodities[[#This Row],[L4N]],Commodities[[#This Row],[L3N]],Commodities[[#This Row],[L4N]])))))</f>
        <v>Natural Gas (S)</v>
      </c>
      <c r="U58" s="24" t="str">
        <f>IF(Commodities[[#This Row],[Level 4]]=Commodities[[#This Row],[Commodity]],Commodities[[#This Row],[Commodity]],IF(Commodities[[#This Row],[Level 4]]=Commodities[[#This Row],[L1N]],Commodities[[#This Row],[Commodity]],IF(Commodities[[#This Row],[Level 4]]=Commodities[[#This Row],[L2N]],Commodities[[#This Row],[L1N]],IF(Commodities[[#This Row],[Level 4]]=Commodities[[#This Row],[L3N]],Commodities[[#This Row],[L2N]],IF(Commodities[[#This Row],[Level 4]]=Commodities[[#This Row],[L4N]],Commodities[[#This Row],[L3N]],Commodities[[#This Row],[L4N]])))))</f>
        <v>Natural Gas (S)</v>
      </c>
      <c r="Y58" s="5" t="s">
        <v>111</v>
      </c>
      <c r="Z58" s="4" t="s">
        <v>422</v>
      </c>
      <c r="AA58" s="4" t="s">
        <v>422</v>
      </c>
      <c r="AB58" s="6" t="s">
        <v>106</v>
      </c>
      <c r="AC58" s="24" t="str">
        <f>IFERROR(VLOOKUP(Transactions[[#This Row],[Parent code]],Transactions[[Transaction code]:[Transaction name]],2,0),"")</f>
        <v>Transport</v>
      </c>
      <c r="AD58" s="4" t="s">
        <v>630</v>
      </c>
      <c r="AE58" s="4" t="s">
        <v>917</v>
      </c>
      <c r="AF58" s="4" t="s">
        <v>642</v>
      </c>
      <c r="AG58" s="4" t="s">
        <v>1</v>
      </c>
      <c r="AH58" s="4" t="s">
        <v>696</v>
      </c>
      <c r="AK58" s="24" t="str" cm="1">
        <f t="array" ref="AK58">IFERROR(INDEX(Transactions[[Transaction code]:[Transaction name]],_xlfn.XMATCH(Transactions[[#This Row],[Parent code]],Transactions[Transaction name],0),3),Transactions[[#This Row],[Transaction name]])</f>
        <v>Domestic aviation</v>
      </c>
      <c r="AL58" s="24" t="str" cm="1">
        <f t="array" ref="AL58">IFERROR(INDEX(Transactions[[Transaction code]:[Transaction name]],_xlfn.XMATCH(INDEX(Transactions[[Transaction name]:[Parent code]],_xlfn.XMATCH(Transactions[[#This Row],[L1N]],Transactions[Transaction name],0),3),Transactions[Transaction code],0),2),Transactions[[#This Row],[L1N]])</f>
        <v>Transport</v>
      </c>
      <c r="AM58" s="24" t="str" cm="1">
        <f t="array" ref="AM58">IFERROR(INDEX(Transactions[[Transaction code]:[Transaction name]],_xlfn.XMATCH(INDEX(Transactions[[Transaction name]:[Parent code]],_xlfn.XMATCH(Transactions[[#This Row],[L2N]],Transactions[Transaction name],0),3),Transactions[Transaction code],0),2),Transactions[[#This Row],[L2N]])</f>
        <v>Total Final Energy Consumption</v>
      </c>
      <c r="AN58" s="24" t="str" cm="1">
        <f t="array" ref="AN58">IFERROR(INDEX(Transactions[[Transaction code]:[Transaction name]],_xlfn.XMATCH(INDEX(Transactions[[Transaction name]:[Parent code]],_xlfn.XMATCH(Transactions[[#This Row],[L3N]],Transactions[Transaction name],0),3),Transactions[Transaction code],0),2),Transactions[[#This Row],[L3N]])</f>
        <v>Final consumption</v>
      </c>
      <c r="AO58" s="24" t="str" cm="1">
        <f t="array" ref="AO58">IFERROR(INDEX(Transactions[[Transaction code]:[Transaction name]],_xlfn.XMATCH(INDEX(Transactions[[Transaction name]:[Parent code]],_xlfn.XMATCH(Transactions[[#This Row],[L4N]],Transactions[Transaction name],0),3),Transactions[Transaction code],0),2),Transactions[[#This Row],[L4N]])</f>
        <v>Final consumption</v>
      </c>
      <c r="AP58" s="24" t="str" cm="1">
        <f t="array" ref="AP58">IFERROR(INDEX(Transactions[[Transaction code]:[Transaction name]],_xlfn.XMATCH(INDEX(Transactions[[Transaction name]:[Parent code]],_xlfn.XMATCH(Transactions[[#This Row],[L5N]],Transactions[Transaction name],0),3),Transactions[Transaction code],0),2),Transactions[[#This Row],[L5N]])</f>
        <v>Final consumption</v>
      </c>
      <c r="AQ58" s="24" t="str" cm="1">
        <f t="array" ref="AQ58">IFERROR(INDEX(Transactions[[Transaction code]:[Transaction name]],_xlfn.XMATCH(INDEX(Transactions[[Transaction name]:[Parent code]],_xlfn.XMATCH(Transactions[[#This Row],[L6N]],Transactions[Transaction name],0),3),Transactions[Transaction code],0),2),Transactions[[#This Row],[L6N]])</f>
        <v>Final consumption</v>
      </c>
      <c r="AR58" s="27" t="str">
        <f>IF(Transactions[[#This Row],[L7N]]=Transactions[[#This Row],[L6N]],Transactions[[#This Row],[L7N]],IF(Transactions[[#This Row],[L6N]]=Transactions[[#This Row],[L5N]],Transactions[[#This Row],[L6N]],IF(Transactions[[#This Row],[L5N]]=Transactions[[#This Row],[L4N]],Transactions[[#This Row],[L5N]],IF(Transactions[[#This Row],[L4N]]=Transactions[[#This Row],[L3N]],Transactions[[#This Row],[L4N]],IF(Transactions[[#This Row],[L3N]]=Transactions[[#This Row],[L2N]],Transactions[[#This Row],[L3N]],IF(Transactions[[#This Row],[L2N]]=Transactions[[#This Row],[L1N]],Transactions[[#This Row],[L2N]],IF(Transactions[[#This Row],[L1N]]=Transactions[[#This Row],[Transaction name]],Transactions[[#This Row],[L1N]],Transactions[[#This Row],[Transaction name]])))))))</f>
        <v>Final consumption</v>
      </c>
      <c r="AS58" s="24" t="str">
        <f>IF(Transactions[[#This Row],[Level 0]]=Transactions[[#This Row],[Transaction name]],Transactions[[#This Row],[Transaction name]],IF(Transactions[[#This Row],[Level 0]]=Transactions[[#This Row],[L1N]],Transactions[[#This Row],[Transaction name]],IF(Transactions[[#This Row],[Level 0]]=Transactions[[#This Row],[L2N]],Transactions[[#This Row],[L1N]],IF(Transactions[[#This Row],[Level 0]]=Transactions[[#This Row],[L3N]],Transactions[[#This Row],[L2N]],IF(Transactions[[#This Row],[Level 0]]=Transactions[[#This Row],[L4N]],Transactions[[#This Row],[L3N]],IF(Transactions[[#This Row],[Level 0]]=Transactions[[#This Row],[L5N]],Transactions[[#This Row],[L4N]],IF(Transactions[[#This Row],[Level 0]]=Transactions[[#This Row],[L6N]],Transactions[[#This Row],[L5N]],IF(Transactions[[#This Row],[Level 0]]=Transactions[[#This Row],[L7N]],Transactions[[#This Row],[L6N]],Transactions[[#This Row],[L7N]]))))))))</f>
        <v>Total Final Energy Consumption</v>
      </c>
      <c r="AT58" s="24" t="str">
        <f>IF(Transactions[[#This Row],[Level 1]]=Transactions[[#This Row],[Transaction name]],Transactions[[#This Row],[Transaction name]],IF(Transactions[[#This Row],[Level 1]]=Transactions[[#This Row],[L1N]],Transactions[[#This Row],[Transaction name]],IF(Transactions[[#This Row],[Level 1]]=Transactions[[#This Row],[L2N]],Transactions[[#This Row],[L1N]],IF(Transactions[[#This Row],[Level 1]]=Transactions[[#This Row],[L3N]],Transactions[[#This Row],[L2N]],IF(Transactions[[#This Row],[Level 1]]=Transactions[[#This Row],[L4N]],Transactions[[#This Row],[L3N]],IF(Transactions[[#This Row],[Level 1]]=Transactions[[#This Row],[L5N]],Transactions[[#This Row],[L4N]],IF(Transactions[[#This Row],[Level 1]]=Transactions[[#This Row],[L6N]],Transactions[[#This Row],[L5N]],IF(Transactions[[#This Row],[Level 1]]=Transactions[[#This Row],[L7N]],Transactions[[#This Row],[L6N]],Transactions[[#This Row],[L7N]]))))))))</f>
        <v>Transport</v>
      </c>
      <c r="AU58" s="24" t="str">
        <f>IF(Transactions[[#This Row],[Level 2]]=Transactions[[#This Row],[Transaction name]],Transactions[[#This Row],[Transaction name]],IF(Transactions[[#This Row],[Level 2]]=Transactions[[#This Row],[L1N]],Transactions[[#This Row],[Transaction name]],IF(Transactions[[#This Row],[Level 2]]=Transactions[[#This Row],[L2N]],Transactions[[#This Row],[L1N]],IF(Transactions[[#This Row],[Level 2]]=Transactions[[#This Row],[L3N]],Transactions[[#This Row],[L2N]],IF(Transactions[[#This Row],[Level 2]]=Transactions[[#This Row],[L4N]],Transactions[[#This Row],[L3N]],IF(Transactions[[#This Row],[Level 2]]=Transactions[[#This Row],[L5N]],Transactions[[#This Row],[L4N]],IF(Transactions[[#This Row],[Level 2]]=Transactions[[#This Row],[L6N]],Transactions[[#This Row],[L5N]],IF(Transactions[[#This Row],[Level 2]]=Transactions[[#This Row],[L7N]],Transactions[[#This Row],[L6N]],Transactions[[#This Row],[L7N]]))))))))</f>
        <v>Domestic aviation</v>
      </c>
      <c r="AV58" s="24" t="str">
        <f>IF(Transactions[[#This Row],[Level 3]]=Transactions[[#This Row],[Transaction name]],Transactions[[#This Row],[Transaction name]],IF(Transactions[[#This Row],[Level 3]]=Transactions[[#This Row],[L1N]],Transactions[[#This Row],[Transaction name]],IF(Transactions[[#This Row],[Level 3]]=Transactions[[#This Row],[L2N]],Transactions[[#This Row],[L1N]],IF(Transactions[[#This Row],[Level 3]]=Transactions[[#This Row],[L3N]],Transactions[[#This Row],[L2N]],IF(Transactions[[#This Row],[Level 3]]=Transactions[[#This Row],[L4N]],Transactions[[#This Row],[L3N]],IF(Transactions[[#This Row],[Level 3]]=Transactions[[#This Row],[L5N]],Transactions[[#This Row],[L4N]],IF(Transactions[[#This Row],[Level 3]]=Transactions[[#This Row],[L6N]],Transactions[[#This Row],[L5N]],IF(Transactions[[#This Row],[Level 3]]=Transactions[[#This Row],[L7N]],Transactions[[#This Row],[L6N]],Transactions[[#This Row],[L7N]]))))))))</f>
        <v>Domestic aviation</v>
      </c>
      <c r="AW58" s="24" t="str">
        <f>IF(Transactions[[#This Row],[Level 4]]=Transactions[[#This Row],[Transaction name]],Transactions[[#This Row],[Transaction name]],IF(Transactions[[#This Row],[Level 4]]=Transactions[[#This Row],[L1N]],Transactions[[#This Row],[Transaction name]],IF(Transactions[[#This Row],[Level 4]]=Transactions[[#This Row],[L2N]],Transactions[[#This Row],[L1N]],IF(Transactions[[#This Row],[Level 4]]=Transactions[[#This Row],[L3N]],Transactions[[#This Row],[L2N]],IF(Transactions[[#This Row],[Level 4]]=Transactions[[#This Row],[L4N]],Transactions[[#This Row],[L3N]],IF(Transactions[[#This Row],[Level 4]]=Transactions[[#This Row],[L5N]],Transactions[[#This Row],[L4N]],IF(Transactions[[#This Row],[Level 4]]=Transactions[[#This Row],[L6N]],Transactions[[#This Row],[L5N]],IF(Transactions[[#This Row],[Level 4]]=Transactions[[#This Row],[L7N]],Transactions[[#This Row],[L6N]],Transactions[[#This Row],[L7N]]))))))))</f>
        <v>Domestic aviation</v>
      </c>
      <c r="AX58" s="24" t="str">
        <f>IF(Transactions[[#This Row],[Level 5]]=Transactions[[#This Row],[Transaction name]],Transactions[[#This Row],[Transaction name]],IF(Transactions[[#This Row],[Level 5]]=Transactions[[#This Row],[L1N]],Transactions[[#This Row],[Transaction name]],IF(Transactions[[#This Row],[Level 5]]=Transactions[[#This Row],[L2N]],Transactions[[#This Row],[L1N]],IF(Transactions[[#This Row],[Level 5]]=Transactions[[#This Row],[L3N]],Transactions[[#This Row],[L2N]],IF(Transactions[[#This Row],[Level 5]]=Transactions[[#This Row],[L4N]],Transactions[[#This Row],[L3N]],IF(Transactions[[#This Row],[Level 5]]=Transactions[[#This Row],[L5N]],Transactions[[#This Row],[L4N]],IF(Transactions[[#This Row],[Level 5]]=Transactions[[#This Row],[L6N]],Transactions[[#This Row],[L5N]],IF(Transactions[[#This Row],[Level 5]]=Transactions[[#This Row],[L7N]],Transactions[[#This Row],[L6N]],Transactions[[#This Row],[L7N]]))))))))</f>
        <v>Domestic aviation</v>
      </c>
      <c r="AY58" s="24" t="str">
        <f>IF(Transactions[[#This Row],[Level 6]]=Transactions[[#This Row],[Transaction name]],Transactions[[#This Row],[Transaction name]],IF(Transactions[[#This Row],[Level 6]]=Transactions[[#This Row],[L1N]],Transactions[[#This Row],[Transaction name]],IF(Transactions[[#This Row],[Level 6]]=Transactions[[#This Row],[L2N]],Transactions[[#This Row],[L1N]],IF(Transactions[[#This Row],[Level 6]]=Transactions[[#This Row],[L3N]],Transactions[[#This Row],[L2N]],IF(Transactions[[#This Row],[Level 6]]=Transactions[[#This Row],[L4N]],Transactions[[#This Row],[L3N]],IF(Transactions[[#This Row],[Level 6]]=Transactions[[#This Row],[L5N]],Transactions[[#This Row],[L4N]],IF(Transactions[[#This Row],[Level 6]]=Transactions[[#This Row],[L6N]],Transactions[[#This Row],[L5N]],IF(Transactions[[#This Row],[Level 6]]=Transactions[[#This Row],[L7N]],Transactions[[#This Row],[L6N]],Transactions[[#This Row],[L7N]]))))))))</f>
        <v>Domestic aviation</v>
      </c>
      <c r="BE58" s="26" t="str">
        <f>_xlfn.XLOOKUP(Transformation[[#This Row],[cfrom]],Commodities[Commodity],Commodities[Commodity code])</f>
        <v>5120</v>
      </c>
      <c r="BF58" s="26" t="str">
        <f>_xlfn.XLOOKUP(Transformation[[#This Row],[tfrom]],Transactions[Transaction name],Transactions[Transaction code])</f>
        <v>08821</v>
      </c>
      <c r="BG58" s="26" t="str">
        <f>_xlfn.XLOOKUP(Transformation[[#This Row],[cto]],Commodities[Commodity],Commodities[Commodity code])</f>
        <v>5120</v>
      </c>
      <c r="BH58" s="26" t="str">
        <f>_xlfn.XLOOKUP(Transformation[[#This Row],[tto]],Transactions[Transaction name],Transactions[Transaction code])</f>
        <v>015BC</v>
      </c>
      <c r="BI58" s="11">
        <v>1</v>
      </c>
      <c r="BJ58" s="4" t="s">
        <v>337</v>
      </c>
      <c r="BK58" s="24" t="str">
        <f>_xlfn.XLOOKUP(Transformation[[#This Row],[Commodity from]],Commodities[Commodity code],Commodities[EnergyCode])</f>
        <v>BS</v>
      </c>
      <c r="BL58" s="4" t="s">
        <v>691</v>
      </c>
      <c r="BM58" s="4" t="s">
        <v>337</v>
      </c>
      <c r="BN58" s="24" t="str">
        <f>_xlfn.XLOOKUP(Transformation[[#This Row],[Commodity to]],Commodities[Commodity code],Commodities[EnergyCode])</f>
        <v>BS</v>
      </c>
      <c r="BO58" s="4" t="s">
        <v>1058</v>
      </c>
      <c r="BP58" s="16" t="s">
        <v>1493</v>
      </c>
      <c r="BQ58" s="33" t="str">
        <f>Transformation[[#This Row],[Commodity from]]&amp;Transformation[[#This Row],[Transaction from]]&amp;Transformation[[#This Row],[Commodity to]]&amp;Transformation[[#This Row],[Transaction to]]</f>
        <v>5120088215120015BC</v>
      </c>
      <c r="BR58" s="26" t="str">
        <f>Transformation[[#This Row],[crfomid]]&amp;Transformation[[#This Row],[Transaction from]]&amp;"("&amp;Transformation[[#This Row],[Multiplier]]&amp;") -&gt; "&amp;Transformation[[#This Row],[ctoid]]&amp;Transformation[[#This Row],[Transaction to]]</f>
        <v>BS08821(1) -&gt; BS015BC</v>
      </c>
      <c r="BT58" s="26" t="str">
        <f>_xlfn.XLOOKUP(Signswitch[[#This Row],[Commodity name]],Commodities[Commodity],Commodities[Commodity code])</f>
        <v>5212</v>
      </c>
      <c r="BU58" s="26" t="str">
        <f>_xlfn.XLOOKUP(Signswitch[[#This Row],[Transaction name]],Transactions[Transaction name],Transactions[Transaction code])</f>
        <v>1214I</v>
      </c>
      <c r="BV58" s="26" t="str">
        <f>Signswitch[[#This Row],[Commodity from]]&amp;Signswitch[[#This Row],[Transaction from]]</f>
        <v>52121214I</v>
      </c>
      <c r="BW58" s="22" t="s">
        <v>317</v>
      </c>
      <c r="BX58" s="26" t="str">
        <f>_xlfn.XLOOKUP(Signswitch[[#This Row],[Commodity from]],Commodities[Commodity code],Commodities[EnergyCode])</f>
        <v>ZG</v>
      </c>
      <c r="BY58" s="22" t="s">
        <v>441</v>
      </c>
    </row>
    <row r="59" spans="8:77" x14ac:dyDescent="0.45">
      <c r="H59" s="5" t="s">
        <v>406</v>
      </c>
      <c r="I59" s="4" t="s">
        <v>405</v>
      </c>
      <c r="J59" s="9" t="s">
        <v>366</v>
      </c>
      <c r="K59" s="9" t="s">
        <v>1443</v>
      </c>
      <c r="L59" s="23" t="str">
        <f>IFERROR(INDEX(Commodities[[Commodity code]:[Commodity]],MATCH(Commodities[[#This Row],[Parent code]],Commodities[Commodity code],0),2),Commodities[[#This Row],[Commodity]])</f>
        <v>Oil products</v>
      </c>
      <c r="M59" s="24" t="str">
        <f>IFERROR(INDEX(Commodities[[Commodity code]:[Commodity]],MATCH(INDEX(Commodities[[Commodity]:[Parent code]],MATCH(Commodities[[#This Row],[L1N]],Commodities[Commodity],0),2),Commodities[Commodity code],0),2),Commodities[[#This Row],[L1N]])</f>
        <v>Oil</v>
      </c>
      <c r="N59" s="24" t="str">
        <f>IFERROR(INDEX(Commodities[[Commodity code]:[Commodity]],MATCH(INDEX(Commodities[[Commodity]:[Parent code]],MATCH(Commodities[[#This Row],[L2N]],Commodities[Commodity],0),2),Commodities[Commodity code],0),2),Commodities[[#This Row],[L2N]])</f>
        <v>Oil</v>
      </c>
      <c r="O59" s="24" t="str">
        <f>IFERROR(INDEX(Commodities[[Commodity code]:[Commodity]],MATCH(INDEX(Commodities[[Commodity]:[Parent code]],MATCH(Commodities[[#This Row],[L3N]],Commodities[Commodity],0),2),Commodities[Commodity code],0),2),Commodities[[#This Row],[L3N]])</f>
        <v>Oil</v>
      </c>
      <c r="P59" s="24" t="str">
        <f>IF(Commodities[[#This Row],[L4N]]=Commodities[[#This Row],[L3N]],Commodities[[#This Row],[L4N]],IF(Commodities[[#This Row],[L3N]]=Commodities[[#This Row],[L2N]],Commodities[[#This Row],[L3N]],IF(Commodities[[#This Row],[L2N]]=Commodities[[#This Row],[L1N]],Commodities[[#This Row],[L2N]],IF(Commodities[[#This Row],[L1N]]=Commodities[[#This Row],[Commodity]],Commodities[[#This Row],[L1N]],Commodities[[#This Row],[Commodity]]))))</f>
        <v>Oil</v>
      </c>
      <c r="Q59" s="24" t="str">
        <f>IF(Commodities[[#This Row],[Level 0]]=Commodities[[#This Row],[Commodity]],Commodities[[#This Row],[Commodity]],IF(Commodities[[#This Row],[Level 0]]=Commodities[[#This Row],[L1N]],Commodities[[#This Row],[Commodity]],IF(Commodities[[#This Row],[Level 0]]=Commodities[[#This Row],[L2N]],Commodities[[#This Row],[L1N]],IF(Commodities[[#This Row],[Level 0]]=Commodities[[#This Row],[L3N]],Commodities[[#This Row],[L2N]],IF(Commodities[[#This Row],[Level 0]]=Commodities[[#This Row],[L4N]],Commodities[[#This Row],[L3N]],Commodities[[#This Row],[L4N]])))))</f>
        <v>Oil products</v>
      </c>
      <c r="R59" s="24" t="str">
        <f>IF(Commodities[[#This Row],[Level 1]]=Commodities[[#This Row],[Commodity]],Commodities[[#This Row],[Commodity]],IF(Commodities[[#This Row],[Level 1]]=Commodities[[#This Row],[L1N]],Commodities[[#This Row],[Commodity]],IF(Commodities[[#This Row],[Level 1]]=Commodities[[#This Row],[L2N]],Commodities[[#This Row],[L1N]],IF(Commodities[[#This Row],[Level 1]]=Commodities[[#This Row],[L3N]],Commodities[[#This Row],[L2N]],IF(Commodities[[#This Row],[Level 1]]=Commodities[[#This Row],[L4N]],Commodities[[#This Row],[L3N]],Commodities[[#This Row],[L4N]])))))</f>
        <v>Naphtha</v>
      </c>
      <c r="S59" s="24" t="str">
        <f>IF(Commodities[[#This Row],[Level 2]]=Commodities[[#This Row],[Commodity]],Commodities[[#This Row],[Commodity]],IF(Commodities[[#This Row],[Level 2]]=Commodities[[#This Row],[L1N]],Commodities[[#This Row],[Commodity]],IF(Commodities[[#This Row],[Level 2]]=Commodities[[#This Row],[L2N]],Commodities[[#This Row],[L1N]],IF(Commodities[[#This Row],[Level 2]]=Commodities[[#This Row],[L3N]],Commodities[[#This Row],[L2N]],IF(Commodities[[#This Row],[Level 2]]=Commodities[[#This Row],[L4N]],Commodities[[#This Row],[L3N]],Commodities[[#This Row],[L4N]])))))</f>
        <v>Naphtha</v>
      </c>
      <c r="T59" s="24" t="str">
        <f>IF(Commodities[[#This Row],[Level 3]]=Commodities[[#This Row],[Commodity]],Commodities[[#This Row],[Commodity]],IF(Commodities[[#This Row],[Level 3]]=Commodities[[#This Row],[L1N]],Commodities[[#This Row],[Commodity]],IF(Commodities[[#This Row],[Level 3]]=Commodities[[#This Row],[L2N]],Commodities[[#This Row],[L1N]],IF(Commodities[[#This Row],[Level 3]]=Commodities[[#This Row],[L3N]],Commodities[[#This Row],[L2N]],IF(Commodities[[#This Row],[Level 3]]=Commodities[[#This Row],[L4N]],Commodities[[#This Row],[L3N]],Commodities[[#This Row],[L4N]])))))</f>
        <v>Naphtha</v>
      </c>
      <c r="U59" s="24" t="str">
        <f>IF(Commodities[[#This Row],[Level 4]]=Commodities[[#This Row],[Commodity]],Commodities[[#This Row],[Commodity]],IF(Commodities[[#This Row],[Level 4]]=Commodities[[#This Row],[L1N]],Commodities[[#This Row],[Commodity]],IF(Commodities[[#This Row],[Level 4]]=Commodities[[#This Row],[L2N]],Commodities[[#This Row],[L1N]],IF(Commodities[[#This Row],[Level 4]]=Commodities[[#This Row],[L3N]],Commodities[[#This Row],[L2N]],IF(Commodities[[#This Row],[Level 4]]=Commodities[[#This Row],[L4N]],Commodities[[#This Row],[L3N]],Commodities[[#This Row],[L4N]])))))</f>
        <v>Naphtha</v>
      </c>
      <c r="Y59" s="5" t="s">
        <v>110</v>
      </c>
      <c r="Z59" s="4" t="s">
        <v>418</v>
      </c>
      <c r="AA59" s="4" t="s">
        <v>418</v>
      </c>
      <c r="AB59" s="6" t="s">
        <v>106</v>
      </c>
      <c r="AC59" s="24" t="str">
        <f>IFERROR(VLOOKUP(Transactions[[#This Row],[Parent code]],Transactions[[Transaction code]:[Transaction name]],2,0),"")</f>
        <v>Transport</v>
      </c>
      <c r="AD59" s="4" t="s">
        <v>630</v>
      </c>
      <c r="AE59" s="4" t="s">
        <v>918</v>
      </c>
      <c r="AF59" s="4" t="s">
        <v>642</v>
      </c>
      <c r="AG59" s="4" t="s">
        <v>1</v>
      </c>
      <c r="AH59" s="4" t="s">
        <v>696</v>
      </c>
      <c r="AK59" s="24" t="str" cm="1">
        <f t="array" ref="AK59">IFERROR(INDEX(Transactions[[Transaction code]:[Transaction name]],_xlfn.XMATCH(Transactions[[#This Row],[Parent code]],Transactions[Transaction name],0),3),Transactions[[#This Row],[Transaction name]])</f>
        <v>Domestic navigation</v>
      </c>
      <c r="AL59" s="24" t="str" cm="1">
        <f t="array" ref="AL59">IFERROR(INDEX(Transactions[[Transaction code]:[Transaction name]],_xlfn.XMATCH(INDEX(Transactions[[Transaction name]:[Parent code]],_xlfn.XMATCH(Transactions[[#This Row],[L1N]],Transactions[Transaction name],0),3),Transactions[Transaction code],0),2),Transactions[[#This Row],[L1N]])</f>
        <v>Transport</v>
      </c>
      <c r="AM59" s="24" t="str" cm="1">
        <f t="array" ref="AM59">IFERROR(INDEX(Transactions[[Transaction code]:[Transaction name]],_xlfn.XMATCH(INDEX(Transactions[[Transaction name]:[Parent code]],_xlfn.XMATCH(Transactions[[#This Row],[L2N]],Transactions[Transaction name],0),3),Transactions[Transaction code],0),2),Transactions[[#This Row],[L2N]])</f>
        <v>Total Final Energy Consumption</v>
      </c>
      <c r="AN59" s="24" t="str" cm="1">
        <f t="array" ref="AN59">IFERROR(INDEX(Transactions[[Transaction code]:[Transaction name]],_xlfn.XMATCH(INDEX(Transactions[[Transaction name]:[Parent code]],_xlfn.XMATCH(Transactions[[#This Row],[L3N]],Transactions[Transaction name],0),3),Transactions[Transaction code],0),2),Transactions[[#This Row],[L3N]])</f>
        <v>Final consumption</v>
      </c>
      <c r="AO59" s="24" t="str" cm="1">
        <f t="array" ref="AO59">IFERROR(INDEX(Transactions[[Transaction code]:[Transaction name]],_xlfn.XMATCH(INDEX(Transactions[[Transaction name]:[Parent code]],_xlfn.XMATCH(Transactions[[#This Row],[L4N]],Transactions[Transaction name],0),3),Transactions[Transaction code],0),2),Transactions[[#This Row],[L4N]])</f>
        <v>Final consumption</v>
      </c>
      <c r="AP59" s="24" t="str" cm="1">
        <f t="array" ref="AP59">IFERROR(INDEX(Transactions[[Transaction code]:[Transaction name]],_xlfn.XMATCH(INDEX(Transactions[[Transaction name]:[Parent code]],_xlfn.XMATCH(Transactions[[#This Row],[L5N]],Transactions[Transaction name],0),3),Transactions[Transaction code],0),2),Transactions[[#This Row],[L5N]])</f>
        <v>Final consumption</v>
      </c>
      <c r="AQ59" s="24" t="str" cm="1">
        <f t="array" ref="AQ59">IFERROR(INDEX(Transactions[[Transaction code]:[Transaction name]],_xlfn.XMATCH(INDEX(Transactions[[Transaction name]:[Parent code]],_xlfn.XMATCH(Transactions[[#This Row],[L6N]],Transactions[Transaction name],0),3),Transactions[Transaction code],0),2),Transactions[[#This Row],[L6N]])</f>
        <v>Final consumption</v>
      </c>
      <c r="AR59" s="27" t="str">
        <f>IF(Transactions[[#This Row],[L7N]]=Transactions[[#This Row],[L6N]],Transactions[[#This Row],[L7N]],IF(Transactions[[#This Row],[L6N]]=Transactions[[#This Row],[L5N]],Transactions[[#This Row],[L6N]],IF(Transactions[[#This Row],[L5N]]=Transactions[[#This Row],[L4N]],Transactions[[#This Row],[L5N]],IF(Transactions[[#This Row],[L4N]]=Transactions[[#This Row],[L3N]],Transactions[[#This Row],[L4N]],IF(Transactions[[#This Row],[L3N]]=Transactions[[#This Row],[L2N]],Transactions[[#This Row],[L3N]],IF(Transactions[[#This Row],[L2N]]=Transactions[[#This Row],[L1N]],Transactions[[#This Row],[L2N]],IF(Transactions[[#This Row],[L1N]]=Transactions[[#This Row],[Transaction name]],Transactions[[#This Row],[L1N]],Transactions[[#This Row],[Transaction name]])))))))</f>
        <v>Final consumption</v>
      </c>
      <c r="AS59" s="24" t="str">
        <f>IF(Transactions[[#This Row],[Level 0]]=Transactions[[#This Row],[Transaction name]],Transactions[[#This Row],[Transaction name]],IF(Transactions[[#This Row],[Level 0]]=Transactions[[#This Row],[L1N]],Transactions[[#This Row],[Transaction name]],IF(Transactions[[#This Row],[Level 0]]=Transactions[[#This Row],[L2N]],Transactions[[#This Row],[L1N]],IF(Transactions[[#This Row],[Level 0]]=Transactions[[#This Row],[L3N]],Transactions[[#This Row],[L2N]],IF(Transactions[[#This Row],[Level 0]]=Transactions[[#This Row],[L4N]],Transactions[[#This Row],[L3N]],IF(Transactions[[#This Row],[Level 0]]=Transactions[[#This Row],[L5N]],Transactions[[#This Row],[L4N]],IF(Transactions[[#This Row],[Level 0]]=Transactions[[#This Row],[L6N]],Transactions[[#This Row],[L5N]],IF(Transactions[[#This Row],[Level 0]]=Transactions[[#This Row],[L7N]],Transactions[[#This Row],[L6N]],Transactions[[#This Row],[L7N]]))))))))</f>
        <v>Total Final Energy Consumption</v>
      </c>
      <c r="AT59" s="24" t="str">
        <f>IF(Transactions[[#This Row],[Level 1]]=Transactions[[#This Row],[Transaction name]],Transactions[[#This Row],[Transaction name]],IF(Transactions[[#This Row],[Level 1]]=Transactions[[#This Row],[L1N]],Transactions[[#This Row],[Transaction name]],IF(Transactions[[#This Row],[Level 1]]=Transactions[[#This Row],[L2N]],Transactions[[#This Row],[L1N]],IF(Transactions[[#This Row],[Level 1]]=Transactions[[#This Row],[L3N]],Transactions[[#This Row],[L2N]],IF(Transactions[[#This Row],[Level 1]]=Transactions[[#This Row],[L4N]],Transactions[[#This Row],[L3N]],IF(Transactions[[#This Row],[Level 1]]=Transactions[[#This Row],[L5N]],Transactions[[#This Row],[L4N]],IF(Transactions[[#This Row],[Level 1]]=Transactions[[#This Row],[L6N]],Transactions[[#This Row],[L5N]],IF(Transactions[[#This Row],[Level 1]]=Transactions[[#This Row],[L7N]],Transactions[[#This Row],[L6N]],Transactions[[#This Row],[L7N]]))))))))</f>
        <v>Transport</v>
      </c>
      <c r="AU59" s="24" t="str">
        <f>IF(Transactions[[#This Row],[Level 2]]=Transactions[[#This Row],[Transaction name]],Transactions[[#This Row],[Transaction name]],IF(Transactions[[#This Row],[Level 2]]=Transactions[[#This Row],[L1N]],Transactions[[#This Row],[Transaction name]],IF(Transactions[[#This Row],[Level 2]]=Transactions[[#This Row],[L2N]],Transactions[[#This Row],[L1N]],IF(Transactions[[#This Row],[Level 2]]=Transactions[[#This Row],[L3N]],Transactions[[#This Row],[L2N]],IF(Transactions[[#This Row],[Level 2]]=Transactions[[#This Row],[L4N]],Transactions[[#This Row],[L3N]],IF(Transactions[[#This Row],[Level 2]]=Transactions[[#This Row],[L5N]],Transactions[[#This Row],[L4N]],IF(Transactions[[#This Row],[Level 2]]=Transactions[[#This Row],[L6N]],Transactions[[#This Row],[L5N]],IF(Transactions[[#This Row],[Level 2]]=Transactions[[#This Row],[L7N]],Transactions[[#This Row],[L6N]],Transactions[[#This Row],[L7N]]))))))))</f>
        <v>Domestic navigation</v>
      </c>
      <c r="AV59" s="24" t="str">
        <f>IF(Transactions[[#This Row],[Level 3]]=Transactions[[#This Row],[Transaction name]],Transactions[[#This Row],[Transaction name]],IF(Transactions[[#This Row],[Level 3]]=Transactions[[#This Row],[L1N]],Transactions[[#This Row],[Transaction name]],IF(Transactions[[#This Row],[Level 3]]=Transactions[[#This Row],[L2N]],Transactions[[#This Row],[L1N]],IF(Transactions[[#This Row],[Level 3]]=Transactions[[#This Row],[L3N]],Transactions[[#This Row],[L2N]],IF(Transactions[[#This Row],[Level 3]]=Transactions[[#This Row],[L4N]],Transactions[[#This Row],[L3N]],IF(Transactions[[#This Row],[Level 3]]=Transactions[[#This Row],[L5N]],Transactions[[#This Row],[L4N]],IF(Transactions[[#This Row],[Level 3]]=Transactions[[#This Row],[L6N]],Transactions[[#This Row],[L5N]],IF(Transactions[[#This Row],[Level 3]]=Transactions[[#This Row],[L7N]],Transactions[[#This Row],[L6N]],Transactions[[#This Row],[L7N]]))))))))</f>
        <v>Domestic navigation</v>
      </c>
      <c r="AW59" s="24" t="str">
        <f>IF(Transactions[[#This Row],[Level 4]]=Transactions[[#This Row],[Transaction name]],Transactions[[#This Row],[Transaction name]],IF(Transactions[[#This Row],[Level 4]]=Transactions[[#This Row],[L1N]],Transactions[[#This Row],[Transaction name]],IF(Transactions[[#This Row],[Level 4]]=Transactions[[#This Row],[L2N]],Transactions[[#This Row],[L1N]],IF(Transactions[[#This Row],[Level 4]]=Transactions[[#This Row],[L3N]],Transactions[[#This Row],[L2N]],IF(Transactions[[#This Row],[Level 4]]=Transactions[[#This Row],[L4N]],Transactions[[#This Row],[L3N]],IF(Transactions[[#This Row],[Level 4]]=Transactions[[#This Row],[L5N]],Transactions[[#This Row],[L4N]],IF(Transactions[[#This Row],[Level 4]]=Transactions[[#This Row],[L6N]],Transactions[[#This Row],[L5N]],IF(Transactions[[#This Row],[Level 4]]=Transactions[[#This Row],[L7N]],Transactions[[#This Row],[L6N]],Transactions[[#This Row],[L7N]]))))))))</f>
        <v>Domestic navigation</v>
      </c>
      <c r="AX59" s="24" t="str">
        <f>IF(Transactions[[#This Row],[Level 5]]=Transactions[[#This Row],[Transaction name]],Transactions[[#This Row],[Transaction name]],IF(Transactions[[#This Row],[Level 5]]=Transactions[[#This Row],[L1N]],Transactions[[#This Row],[Transaction name]],IF(Transactions[[#This Row],[Level 5]]=Transactions[[#This Row],[L2N]],Transactions[[#This Row],[L1N]],IF(Transactions[[#This Row],[Level 5]]=Transactions[[#This Row],[L3N]],Transactions[[#This Row],[L2N]],IF(Transactions[[#This Row],[Level 5]]=Transactions[[#This Row],[L4N]],Transactions[[#This Row],[L3N]],IF(Transactions[[#This Row],[Level 5]]=Transactions[[#This Row],[L5N]],Transactions[[#This Row],[L4N]],IF(Transactions[[#This Row],[Level 5]]=Transactions[[#This Row],[L6N]],Transactions[[#This Row],[L5N]],IF(Transactions[[#This Row],[Level 5]]=Transactions[[#This Row],[L7N]],Transactions[[#This Row],[L6N]],Transactions[[#This Row],[L7N]]))))))))</f>
        <v>Domestic navigation</v>
      </c>
      <c r="AY59" s="24" t="str">
        <f>IF(Transactions[[#This Row],[Level 6]]=Transactions[[#This Row],[Transaction name]],Transactions[[#This Row],[Transaction name]],IF(Transactions[[#This Row],[Level 6]]=Transactions[[#This Row],[L1N]],Transactions[[#This Row],[Transaction name]],IF(Transactions[[#This Row],[Level 6]]=Transactions[[#This Row],[L2N]],Transactions[[#This Row],[L1N]],IF(Transactions[[#This Row],[Level 6]]=Transactions[[#This Row],[L3N]],Transactions[[#This Row],[L2N]],IF(Transactions[[#This Row],[Level 6]]=Transactions[[#This Row],[L4N]],Transactions[[#This Row],[L3N]],IF(Transactions[[#This Row],[Level 6]]=Transactions[[#This Row],[L5N]],Transactions[[#This Row],[L4N]],IF(Transactions[[#This Row],[Level 6]]=Transactions[[#This Row],[L6N]],Transactions[[#This Row],[L5N]],IF(Transactions[[#This Row],[Level 6]]=Transactions[[#This Row],[L7N]],Transactions[[#This Row],[L6N]],Transactions[[#This Row],[L7N]]))))))))</f>
        <v>Domestic navigation</v>
      </c>
      <c r="BE59" s="26" t="str">
        <f>_xlfn.XLOOKUP(Transformation[[#This Row],[cfrom]],Commodities[Commodity],Commodities[Commodity code])</f>
        <v>4695</v>
      </c>
      <c r="BF59" s="26" t="str">
        <f>_xlfn.XLOOKUP(Transformation[[#This Row],[tfrom]],Transactions[Transaction name],Transactions[Transaction code])</f>
        <v>08821</v>
      </c>
      <c r="BG59" s="26" t="str">
        <f>_xlfn.XLOOKUP(Transformation[[#This Row],[cto]],Commodities[Commodity],Commodities[Commodity code])</f>
        <v>4695</v>
      </c>
      <c r="BH59" s="26" t="str">
        <f>_xlfn.XLOOKUP(Transformation[[#This Row],[tto]],Transactions[Transaction name],Transactions[Transaction code])</f>
        <v>015OPC</v>
      </c>
      <c r="BI59" s="11">
        <v>1</v>
      </c>
      <c r="BJ59" s="4" t="s">
        <v>351</v>
      </c>
      <c r="BK59" s="24" t="str">
        <f>_xlfn.XLOOKUP(Transformation[[#This Row],[Commodity from]],Commodities[Commodity code],Commodities[EnergyCode])</f>
        <v>BT</v>
      </c>
      <c r="BL59" s="4" t="s">
        <v>691</v>
      </c>
      <c r="BM59" s="4" t="s">
        <v>351</v>
      </c>
      <c r="BN59" s="24" t="str">
        <f>_xlfn.XLOOKUP(Transformation[[#This Row],[Commodity to]],Commodities[Commodity code],Commodities[EnergyCode])</f>
        <v>BT</v>
      </c>
      <c r="BO59" s="4" t="s">
        <v>1050</v>
      </c>
      <c r="BP59" s="16" t="s">
        <v>1493</v>
      </c>
      <c r="BQ59" s="33" t="str">
        <f>Transformation[[#This Row],[Commodity from]]&amp;Transformation[[#This Row],[Transaction from]]&amp;Transformation[[#This Row],[Commodity to]]&amp;Transformation[[#This Row],[Transaction to]]</f>
        <v>4695088214695015OPC</v>
      </c>
      <c r="BR59" s="26" t="str">
        <f>Transformation[[#This Row],[crfomid]]&amp;Transformation[[#This Row],[Transaction from]]&amp;"("&amp;Transformation[[#This Row],[Multiplier]]&amp;") -&gt; "&amp;Transformation[[#This Row],[ctoid]]&amp;Transformation[[#This Row],[Transaction to]]</f>
        <v>BT08821(1) -&gt; BT015OPC</v>
      </c>
      <c r="BT59" s="26" t="str">
        <f>_xlfn.XLOOKUP(Signswitch[[#This Row],[Commodity name]],Commodities[Commodity],Commodities[Commodity code])</f>
        <v>5232</v>
      </c>
      <c r="BU59" s="26" t="str">
        <f>_xlfn.XLOOKUP(Signswitch[[#This Row],[Transaction name]],Transactions[Transaction name],Transactions[Transaction code])</f>
        <v>1214O</v>
      </c>
      <c r="BV59" s="26" t="str">
        <f>Signswitch[[#This Row],[Commodity from]]&amp;Signswitch[[#This Row],[Transaction from]]</f>
        <v>52321214O</v>
      </c>
      <c r="BW59" s="22" t="s">
        <v>306</v>
      </c>
      <c r="BX59" s="26" t="str">
        <f>_xlfn.XLOOKUP(Signswitch[[#This Row],[Commodity from]],Commodities[Commodity code],Commodities[EnergyCode])</f>
        <v>ZJ</v>
      </c>
      <c r="BY59" s="22" t="s">
        <v>905</v>
      </c>
    </row>
    <row r="60" spans="8:77" x14ac:dyDescent="0.45">
      <c r="H60" s="5" t="s">
        <v>520</v>
      </c>
      <c r="I60" s="4" t="s">
        <v>519</v>
      </c>
      <c r="J60" s="9" t="s">
        <v>518</v>
      </c>
      <c r="K60" s="9" t="s">
        <v>1424</v>
      </c>
      <c r="L60" s="25" t="str">
        <f>IFERROR(INDEX(Commodities[[Commodity code]:[Commodity]],MATCH(Commodities[[#This Row],[Parent code]],Commodities[Commodity code],0),2),Commodities[[#This Row],[Commodity]])</f>
        <v>Bituminous coal</v>
      </c>
      <c r="M60" s="25" t="str">
        <f>IFERROR(INDEX(Commodities[[Commodity code]:[Commodity]],MATCH(INDEX(Commodities[[Commodity]:[Parent code]],MATCH(Commodities[[#This Row],[L1N]],Commodities[Commodity],0),2),Commodities[Commodity code],0),2),Commodities[[#This Row],[L1N]])</f>
        <v>Hard coal</v>
      </c>
      <c r="N60" s="24" t="str">
        <f>IFERROR(INDEX(Commodities[[Commodity code]:[Commodity]],MATCH(INDEX(Commodities[[Commodity]:[Parent code]],MATCH(Commodities[[#This Row],[L2N]],Commodities[Commodity],0),2),Commodities[Commodity code],0),2),Commodities[[#This Row],[L2N]])</f>
        <v>Coal</v>
      </c>
      <c r="O60" s="24" t="str">
        <f>IFERROR(INDEX(Commodities[[Commodity code]:[Commodity]],MATCH(INDEX(Commodities[[Commodity]:[Parent code]],MATCH(Commodities[[#This Row],[L3N]],Commodities[Commodity],0),2),Commodities[Commodity code],0),2),Commodities[[#This Row],[L3N]])</f>
        <v>Coal</v>
      </c>
      <c r="P60" s="24" t="str">
        <f>IF(Commodities[[#This Row],[L4N]]=Commodities[[#This Row],[L3N]],Commodities[[#This Row],[L4N]],IF(Commodities[[#This Row],[L3N]]=Commodities[[#This Row],[L2N]],Commodities[[#This Row],[L3N]],IF(Commodities[[#This Row],[L2N]]=Commodities[[#This Row],[L1N]],Commodities[[#This Row],[L2N]],IF(Commodities[[#This Row],[L1N]]=Commodities[[#This Row],[Commodity]],Commodities[[#This Row],[L1N]],Commodities[[#This Row],[Commodity]]))))</f>
        <v>Coal</v>
      </c>
      <c r="Q60" s="24" t="str">
        <f>IF(Commodities[[#This Row],[Level 0]]=Commodities[[#This Row],[Commodity]],Commodities[[#This Row],[Commodity]],IF(Commodities[[#This Row],[Level 0]]=Commodities[[#This Row],[L1N]],Commodities[[#This Row],[Commodity]],IF(Commodities[[#This Row],[Level 0]]=Commodities[[#This Row],[L2N]],Commodities[[#This Row],[L1N]],IF(Commodities[[#This Row],[Level 0]]=Commodities[[#This Row],[L3N]],Commodities[[#This Row],[L2N]],IF(Commodities[[#This Row],[Level 0]]=Commodities[[#This Row],[L4N]],Commodities[[#This Row],[L3N]],Commodities[[#This Row],[L4N]])))))</f>
        <v>Hard coal</v>
      </c>
      <c r="R60" s="24" t="str">
        <f>IF(Commodities[[#This Row],[Level 1]]=Commodities[[#This Row],[Commodity]],Commodities[[#This Row],[Commodity]],IF(Commodities[[#This Row],[Level 1]]=Commodities[[#This Row],[L1N]],Commodities[[#This Row],[Commodity]],IF(Commodities[[#This Row],[Level 1]]=Commodities[[#This Row],[L2N]],Commodities[[#This Row],[L1N]],IF(Commodities[[#This Row],[Level 1]]=Commodities[[#This Row],[L3N]],Commodities[[#This Row],[L2N]],IF(Commodities[[#This Row],[Level 1]]=Commodities[[#This Row],[L4N]],Commodities[[#This Row],[L3N]],Commodities[[#This Row],[L4N]])))))</f>
        <v>Bituminous coal</v>
      </c>
      <c r="S60" s="24" t="str">
        <f>IF(Commodities[[#This Row],[Level 2]]=Commodities[[#This Row],[Commodity]],Commodities[[#This Row],[Commodity]],IF(Commodities[[#This Row],[Level 2]]=Commodities[[#This Row],[L1N]],Commodities[[#This Row],[Commodity]],IF(Commodities[[#This Row],[Level 2]]=Commodities[[#This Row],[L2N]],Commodities[[#This Row],[L1N]],IF(Commodities[[#This Row],[Level 2]]=Commodities[[#This Row],[L3N]],Commodities[[#This Row],[L2N]],IF(Commodities[[#This Row],[Level 2]]=Commodities[[#This Row],[L4N]],Commodities[[#This Row],[L3N]],Commodities[[#This Row],[L4N]])))))</f>
        <v>Other bituminous coal</v>
      </c>
      <c r="T60" s="24" t="str">
        <f>IF(Commodities[[#This Row],[Level 3]]=Commodities[[#This Row],[Commodity]],Commodities[[#This Row],[Commodity]],IF(Commodities[[#This Row],[Level 3]]=Commodities[[#This Row],[L1N]],Commodities[[#This Row],[Commodity]],IF(Commodities[[#This Row],[Level 3]]=Commodities[[#This Row],[L2N]],Commodities[[#This Row],[L1N]],IF(Commodities[[#This Row],[Level 3]]=Commodities[[#This Row],[L3N]],Commodities[[#This Row],[L2N]],IF(Commodities[[#This Row],[Level 3]]=Commodities[[#This Row],[L4N]],Commodities[[#This Row],[L3N]],Commodities[[#This Row],[L4N]])))))</f>
        <v>Other bituminous coal</v>
      </c>
      <c r="U60" s="24" t="str">
        <f>IF(Commodities[[#This Row],[Level 4]]=Commodities[[#This Row],[Commodity]],Commodities[[#This Row],[Commodity]],IF(Commodities[[#This Row],[Level 4]]=Commodities[[#This Row],[L1N]],Commodities[[#This Row],[Commodity]],IF(Commodities[[#This Row],[Level 4]]=Commodities[[#This Row],[L2N]],Commodities[[#This Row],[L1N]],IF(Commodities[[#This Row],[Level 4]]=Commodities[[#This Row],[L3N]],Commodities[[#This Row],[L2N]],IF(Commodities[[#This Row],[Level 4]]=Commodities[[#This Row],[L4N]],Commodities[[#This Row],[L3N]],Commodities[[#This Row],[L4N]])))))</f>
        <v>Other bituminous coal</v>
      </c>
      <c r="Y60" s="5" t="s">
        <v>107</v>
      </c>
      <c r="Z60" s="4" t="s">
        <v>414</v>
      </c>
      <c r="AA60" s="4" t="s">
        <v>414</v>
      </c>
      <c r="AB60" s="6" t="s">
        <v>106</v>
      </c>
      <c r="AC60" s="24" t="str">
        <f>IFERROR(VLOOKUP(Transactions[[#This Row],[Parent code]],Transactions[[Transaction code]:[Transaction name]],2,0),"")</f>
        <v>Transport</v>
      </c>
      <c r="AD60" s="4" t="s">
        <v>630</v>
      </c>
      <c r="AE60" s="4" t="s">
        <v>142</v>
      </c>
      <c r="AF60" s="4" t="s">
        <v>642</v>
      </c>
      <c r="AG60" s="4" t="s">
        <v>1</v>
      </c>
      <c r="AH60" s="4" t="s">
        <v>696</v>
      </c>
      <c r="AK60" s="24" t="str" cm="1">
        <f t="array" ref="AK60">IFERROR(INDEX(Transactions[[Transaction code]:[Transaction name]],_xlfn.XMATCH(Transactions[[#This Row],[Parent code]],Transactions[Transaction name],0),3),Transactions[[#This Row],[Transaction name]])</f>
        <v>Pipeline transport</v>
      </c>
      <c r="AL60" s="24" t="str" cm="1">
        <f t="array" ref="AL60">IFERROR(INDEX(Transactions[[Transaction code]:[Transaction name]],_xlfn.XMATCH(INDEX(Transactions[[Transaction name]:[Parent code]],_xlfn.XMATCH(Transactions[[#This Row],[L1N]],Transactions[Transaction name],0),3),Transactions[Transaction code],0),2),Transactions[[#This Row],[L1N]])</f>
        <v>Transport</v>
      </c>
      <c r="AM60" s="24" t="str" cm="1">
        <f t="array" ref="AM60">IFERROR(INDEX(Transactions[[Transaction code]:[Transaction name]],_xlfn.XMATCH(INDEX(Transactions[[Transaction name]:[Parent code]],_xlfn.XMATCH(Transactions[[#This Row],[L2N]],Transactions[Transaction name],0),3),Transactions[Transaction code],0),2),Transactions[[#This Row],[L2N]])</f>
        <v>Total Final Energy Consumption</v>
      </c>
      <c r="AN60" s="24" t="str" cm="1">
        <f t="array" ref="AN60">IFERROR(INDEX(Transactions[[Transaction code]:[Transaction name]],_xlfn.XMATCH(INDEX(Transactions[[Transaction name]:[Parent code]],_xlfn.XMATCH(Transactions[[#This Row],[L3N]],Transactions[Transaction name],0),3),Transactions[Transaction code],0),2),Transactions[[#This Row],[L3N]])</f>
        <v>Final consumption</v>
      </c>
      <c r="AO60" s="24" t="str" cm="1">
        <f t="array" ref="AO60">IFERROR(INDEX(Transactions[[Transaction code]:[Transaction name]],_xlfn.XMATCH(INDEX(Transactions[[Transaction name]:[Parent code]],_xlfn.XMATCH(Transactions[[#This Row],[L4N]],Transactions[Transaction name],0),3),Transactions[Transaction code],0),2),Transactions[[#This Row],[L4N]])</f>
        <v>Final consumption</v>
      </c>
      <c r="AP60" s="24" t="str" cm="1">
        <f t="array" ref="AP60">IFERROR(INDEX(Transactions[[Transaction code]:[Transaction name]],_xlfn.XMATCH(INDEX(Transactions[[Transaction name]:[Parent code]],_xlfn.XMATCH(Transactions[[#This Row],[L5N]],Transactions[Transaction name],0),3),Transactions[Transaction code],0),2),Transactions[[#This Row],[L5N]])</f>
        <v>Final consumption</v>
      </c>
      <c r="AQ60" s="24" t="str" cm="1">
        <f t="array" ref="AQ60">IFERROR(INDEX(Transactions[[Transaction code]:[Transaction name]],_xlfn.XMATCH(INDEX(Transactions[[Transaction name]:[Parent code]],_xlfn.XMATCH(Transactions[[#This Row],[L6N]],Transactions[Transaction name],0),3),Transactions[Transaction code],0),2),Transactions[[#This Row],[L6N]])</f>
        <v>Final consumption</v>
      </c>
      <c r="AR60" s="27" t="str">
        <f>IF(Transactions[[#This Row],[L7N]]=Transactions[[#This Row],[L6N]],Transactions[[#This Row],[L7N]],IF(Transactions[[#This Row],[L6N]]=Transactions[[#This Row],[L5N]],Transactions[[#This Row],[L6N]],IF(Transactions[[#This Row],[L5N]]=Transactions[[#This Row],[L4N]],Transactions[[#This Row],[L5N]],IF(Transactions[[#This Row],[L4N]]=Transactions[[#This Row],[L3N]],Transactions[[#This Row],[L4N]],IF(Transactions[[#This Row],[L3N]]=Transactions[[#This Row],[L2N]],Transactions[[#This Row],[L3N]],IF(Transactions[[#This Row],[L2N]]=Transactions[[#This Row],[L1N]],Transactions[[#This Row],[L2N]],IF(Transactions[[#This Row],[L1N]]=Transactions[[#This Row],[Transaction name]],Transactions[[#This Row],[L1N]],Transactions[[#This Row],[Transaction name]])))))))</f>
        <v>Final consumption</v>
      </c>
      <c r="AS60" s="24" t="str">
        <f>IF(Transactions[[#This Row],[Level 0]]=Transactions[[#This Row],[Transaction name]],Transactions[[#This Row],[Transaction name]],IF(Transactions[[#This Row],[Level 0]]=Transactions[[#This Row],[L1N]],Transactions[[#This Row],[Transaction name]],IF(Transactions[[#This Row],[Level 0]]=Transactions[[#This Row],[L2N]],Transactions[[#This Row],[L1N]],IF(Transactions[[#This Row],[Level 0]]=Transactions[[#This Row],[L3N]],Transactions[[#This Row],[L2N]],IF(Transactions[[#This Row],[Level 0]]=Transactions[[#This Row],[L4N]],Transactions[[#This Row],[L3N]],IF(Transactions[[#This Row],[Level 0]]=Transactions[[#This Row],[L5N]],Transactions[[#This Row],[L4N]],IF(Transactions[[#This Row],[Level 0]]=Transactions[[#This Row],[L6N]],Transactions[[#This Row],[L5N]],IF(Transactions[[#This Row],[Level 0]]=Transactions[[#This Row],[L7N]],Transactions[[#This Row],[L6N]],Transactions[[#This Row],[L7N]]))))))))</f>
        <v>Total Final Energy Consumption</v>
      </c>
      <c r="AT60" s="24" t="str">
        <f>IF(Transactions[[#This Row],[Level 1]]=Transactions[[#This Row],[Transaction name]],Transactions[[#This Row],[Transaction name]],IF(Transactions[[#This Row],[Level 1]]=Transactions[[#This Row],[L1N]],Transactions[[#This Row],[Transaction name]],IF(Transactions[[#This Row],[Level 1]]=Transactions[[#This Row],[L2N]],Transactions[[#This Row],[L1N]],IF(Transactions[[#This Row],[Level 1]]=Transactions[[#This Row],[L3N]],Transactions[[#This Row],[L2N]],IF(Transactions[[#This Row],[Level 1]]=Transactions[[#This Row],[L4N]],Transactions[[#This Row],[L3N]],IF(Transactions[[#This Row],[Level 1]]=Transactions[[#This Row],[L5N]],Transactions[[#This Row],[L4N]],IF(Transactions[[#This Row],[Level 1]]=Transactions[[#This Row],[L6N]],Transactions[[#This Row],[L5N]],IF(Transactions[[#This Row],[Level 1]]=Transactions[[#This Row],[L7N]],Transactions[[#This Row],[L6N]],Transactions[[#This Row],[L7N]]))))))))</f>
        <v>Transport</v>
      </c>
      <c r="AU60" s="24" t="str">
        <f>IF(Transactions[[#This Row],[Level 2]]=Transactions[[#This Row],[Transaction name]],Transactions[[#This Row],[Transaction name]],IF(Transactions[[#This Row],[Level 2]]=Transactions[[#This Row],[L1N]],Transactions[[#This Row],[Transaction name]],IF(Transactions[[#This Row],[Level 2]]=Transactions[[#This Row],[L2N]],Transactions[[#This Row],[L1N]],IF(Transactions[[#This Row],[Level 2]]=Transactions[[#This Row],[L3N]],Transactions[[#This Row],[L2N]],IF(Transactions[[#This Row],[Level 2]]=Transactions[[#This Row],[L4N]],Transactions[[#This Row],[L3N]],IF(Transactions[[#This Row],[Level 2]]=Transactions[[#This Row],[L5N]],Transactions[[#This Row],[L4N]],IF(Transactions[[#This Row],[Level 2]]=Transactions[[#This Row],[L6N]],Transactions[[#This Row],[L5N]],IF(Transactions[[#This Row],[Level 2]]=Transactions[[#This Row],[L7N]],Transactions[[#This Row],[L6N]],Transactions[[#This Row],[L7N]]))))))))</f>
        <v>Pipeline transport</v>
      </c>
      <c r="AV60" s="24" t="str">
        <f>IF(Transactions[[#This Row],[Level 3]]=Transactions[[#This Row],[Transaction name]],Transactions[[#This Row],[Transaction name]],IF(Transactions[[#This Row],[Level 3]]=Transactions[[#This Row],[L1N]],Transactions[[#This Row],[Transaction name]],IF(Transactions[[#This Row],[Level 3]]=Transactions[[#This Row],[L2N]],Transactions[[#This Row],[L1N]],IF(Transactions[[#This Row],[Level 3]]=Transactions[[#This Row],[L3N]],Transactions[[#This Row],[L2N]],IF(Transactions[[#This Row],[Level 3]]=Transactions[[#This Row],[L4N]],Transactions[[#This Row],[L3N]],IF(Transactions[[#This Row],[Level 3]]=Transactions[[#This Row],[L5N]],Transactions[[#This Row],[L4N]],IF(Transactions[[#This Row],[Level 3]]=Transactions[[#This Row],[L6N]],Transactions[[#This Row],[L5N]],IF(Transactions[[#This Row],[Level 3]]=Transactions[[#This Row],[L7N]],Transactions[[#This Row],[L6N]],Transactions[[#This Row],[L7N]]))))))))</f>
        <v>Pipeline transport</v>
      </c>
      <c r="AW60" s="24" t="str">
        <f>IF(Transactions[[#This Row],[Level 4]]=Transactions[[#This Row],[Transaction name]],Transactions[[#This Row],[Transaction name]],IF(Transactions[[#This Row],[Level 4]]=Transactions[[#This Row],[L1N]],Transactions[[#This Row],[Transaction name]],IF(Transactions[[#This Row],[Level 4]]=Transactions[[#This Row],[L2N]],Transactions[[#This Row],[L1N]],IF(Transactions[[#This Row],[Level 4]]=Transactions[[#This Row],[L3N]],Transactions[[#This Row],[L2N]],IF(Transactions[[#This Row],[Level 4]]=Transactions[[#This Row],[L4N]],Transactions[[#This Row],[L3N]],IF(Transactions[[#This Row],[Level 4]]=Transactions[[#This Row],[L5N]],Transactions[[#This Row],[L4N]],IF(Transactions[[#This Row],[Level 4]]=Transactions[[#This Row],[L6N]],Transactions[[#This Row],[L5N]],IF(Transactions[[#This Row],[Level 4]]=Transactions[[#This Row],[L7N]],Transactions[[#This Row],[L6N]],Transactions[[#This Row],[L7N]]))))))))</f>
        <v>Pipeline transport</v>
      </c>
      <c r="AX60" s="24" t="str">
        <f>IF(Transactions[[#This Row],[Level 5]]=Transactions[[#This Row],[Transaction name]],Transactions[[#This Row],[Transaction name]],IF(Transactions[[#This Row],[Level 5]]=Transactions[[#This Row],[L1N]],Transactions[[#This Row],[Transaction name]],IF(Transactions[[#This Row],[Level 5]]=Transactions[[#This Row],[L2N]],Transactions[[#This Row],[L1N]],IF(Transactions[[#This Row],[Level 5]]=Transactions[[#This Row],[L3N]],Transactions[[#This Row],[L2N]],IF(Transactions[[#This Row],[Level 5]]=Transactions[[#This Row],[L4N]],Transactions[[#This Row],[L3N]],IF(Transactions[[#This Row],[Level 5]]=Transactions[[#This Row],[L5N]],Transactions[[#This Row],[L4N]],IF(Transactions[[#This Row],[Level 5]]=Transactions[[#This Row],[L6N]],Transactions[[#This Row],[L5N]],IF(Transactions[[#This Row],[Level 5]]=Transactions[[#This Row],[L7N]],Transactions[[#This Row],[L6N]],Transactions[[#This Row],[L7N]]))))))))</f>
        <v>Pipeline transport</v>
      </c>
      <c r="AY60" s="24" t="str">
        <f>IF(Transactions[[#This Row],[Level 6]]=Transactions[[#This Row],[Transaction name]],Transactions[[#This Row],[Transaction name]],IF(Transactions[[#This Row],[Level 6]]=Transactions[[#This Row],[L1N]],Transactions[[#This Row],[Transaction name]],IF(Transactions[[#This Row],[Level 6]]=Transactions[[#This Row],[L2N]],Transactions[[#This Row],[L1N]],IF(Transactions[[#This Row],[Level 6]]=Transactions[[#This Row],[L3N]],Transactions[[#This Row],[L2N]],IF(Transactions[[#This Row],[Level 6]]=Transactions[[#This Row],[L4N]],Transactions[[#This Row],[L3N]],IF(Transactions[[#This Row],[Level 6]]=Transactions[[#This Row],[L5N]],Transactions[[#This Row],[L4N]],IF(Transactions[[#This Row],[Level 6]]=Transactions[[#This Row],[L6N]],Transactions[[#This Row],[L5N]],IF(Transactions[[#This Row],[Level 6]]=Transactions[[#This Row],[L7N]],Transactions[[#This Row],[L6N]],Transactions[[#This Row],[L7N]]))))))))</f>
        <v>Pipeline transport</v>
      </c>
      <c r="BE60" s="26" t="str">
        <f>_xlfn.XLOOKUP(Transformation[[#This Row],[cfrom]],Commodities[Commodity],Commodities[Commodity code])</f>
        <v>0100</v>
      </c>
      <c r="BF60" s="26" t="str">
        <f>_xlfn.XLOOKUP(Transformation[[#This Row],[tfrom]],Transactions[Transaction name],Transactions[Transaction code])</f>
        <v>08821</v>
      </c>
      <c r="BG60" s="26" t="str">
        <f>_xlfn.XLOOKUP(Transformation[[#This Row],[cto]],Commodities[Commodity],Commodities[Commodity code])</f>
        <v>0100</v>
      </c>
      <c r="BH60" s="26" t="str">
        <f>_xlfn.XLOOKUP(Transformation[[#This Row],[tto]],Transactions[Transaction name],Transactions[Transaction code])</f>
        <v>015HCOC</v>
      </c>
      <c r="BI60" s="11">
        <v>1</v>
      </c>
      <c r="BJ60" s="4" t="s">
        <v>532</v>
      </c>
      <c r="BK60" s="24" t="str">
        <f>_xlfn.XLOOKUP(Transformation[[#This Row],[Commodity from]],Commodities[Commodity code],Commodities[EnergyCode])</f>
        <v>CL</v>
      </c>
      <c r="BL60" s="4" t="s">
        <v>691</v>
      </c>
      <c r="BM60" s="4" t="s">
        <v>532</v>
      </c>
      <c r="BN60" s="24" t="str">
        <f>_xlfn.XLOOKUP(Transformation[[#This Row],[Commodity to]],Commodities[Commodity code],Commodities[EnergyCode])</f>
        <v>CL</v>
      </c>
      <c r="BO60" s="4" t="s">
        <v>1185</v>
      </c>
      <c r="BP60" s="16" t="s">
        <v>1493</v>
      </c>
      <c r="BQ60" s="33" t="str">
        <f>Transformation[[#This Row],[Commodity from]]&amp;Transformation[[#This Row],[Transaction from]]&amp;Transformation[[#This Row],[Commodity to]]&amp;Transformation[[#This Row],[Transaction to]]</f>
        <v>0100088210100015HCOC</v>
      </c>
      <c r="BR60" s="26" t="str">
        <f>Transformation[[#This Row],[crfomid]]&amp;Transformation[[#This Row],[Transaction from]]&amp;"("&amp;Transformation[[#This Row],[Multiplier]]&amp;") -&gt; "&amp;Transformation[[#This Row],[ctoid]]&amp;Transformation[[#This Row],[Transaction to]]</f>
        <v>CL08821(1) -&gt; CL015HCOC</v>
      </c>
      <c r="BT60" s="26" t="str">
        <f>_xlfn.XLOOKUP(Signswitch[[#This Row],[Commodity name]],Commodities[Commodity],Commodities[Commodity code])</f>
        <v>5222</v>
      </c>
      <c r="BU60" s="26" t="str">
        <f>_xlfn.XLOOKUP(Signswitch[[#This Row],[Transaction name]],Transactions[Transaction name],Transactions[Transaction code])</f>
        <v>1214O</v>
      </c>
      <c r="BV60" s="26" t="str">
        <f>Signswitch[[#This Row],[Commodity from]]&amp;Signswitch[[#This Row],[Transaction from]]</f>
        <v>52221214O</v>
      </c>
      <c r="BW60" s="22" t="s">
        <v>962</v>
      </c>
      <c r="BX60" s="26" t="str">
        <f>_xlfn.XLOOKUP(Signswitch[[#This Row],[Commodity from]],Commodities[Commodity code],Commodities[EnergyCode])</f>
        <v>ZD</v>
      </c>
      <c r="BY60" s="22" t="s">
        <v>905</v>
      </c>
    </row>
    <row r="61" spans="8:77" x14ac:dyDescent="0.45">
      <c r="H61" s="5" t="s">
        <v>488</v>
      </c>
      <c r="I61" s="4" t="s">
        <v>487</v>
      </c>
      <c r="J61" s="9" t="s">
        <v>466</v>
      </c>
      <c r="K61" s="9" t="s">
        <v>1432</v>
      </c>
      <c r="L61" s="23" t="str">
        <f>IFERROR(INDEX(Commodities[[Commodity code]:[Commodity]],MATCH(Commodities[[#This Row],[Parent code]],Commodities[Commodity code],0),2),Commodities[[#This Row],[Commodity]])</f>
        <v>Coal products</v>
      </c>
      <c r="M61" s="24" t="str">
        <f>IFERROR(INDEX(Commodities[[Commodity code]:[Commodity]],MATCH(INDEX(Commodities[[Commodity]:[Parent code]],MATCH(Commodities[[#This Row],[L1N]],Commodities[Commodity],0),2),Commodities[Commodity code],0),2),Commodities[[#This Row],[L1N]])</f>
        <v>Coal</v>
      </c>
      <c r="N61" s="24" t="str">
        <f>IFERROR(INDEX(Commodities[[Commodity code]:[Commodity]],MATCH(INDEX(Commodities[[Commodity]:[Parent code]],MATCH(Commodities[[#This Row],[L2N]],Commodities[Commodity],0),2),Commodities[Commodity code],0),2),Commodities[[#This Row],[L2N]])</f>
        <v>Coal</v>
      </c>
      <c r="O61" s="24" t="str">
        <f>IFERROR(INDEX(Commodities[[Commodity code]:[Commodity]],MATCH(INDEX(Commodities[[Commodity]:[Parent code]],MATCH(Commodities[[#This Row],[L3N]],Commodities[Commodity],0),2),Commodities[Commodity code],0),2),Commodities[[#This Row],[L3N]])</f>
        <v>Coal</v>
      </c>
      <c r="P61" s="24" t="str">
        <f>IF(Commodities[[#This Row],[L4N]]=Commodities[[#This Row],[L3N]],Commodities[[#This Row],[L4N]],IF(Commodities[[#This Row],[L3N]]=Commodities[[#This Row],[L2N]],Commodities[[#This Row],[L3N]],IF(Commodities[[#This Row],[L2N]]=Commodities[[#This Row],[L1N]],Commodities[[#This Row],[L2N]],IF(Commodities[[#This Row],[L1N]]=Commodities[[#This Row],[Commodity]],Commodities[[#This Row],[L1N]],Commodities[[#This Row],[Commodity]]))))</f>
        <v>Coal</v>
      </c>
      <c r="Q61" s="24" t="str">
        <f>IF(Commodities[[#This Row],[Level 0]]=Commodities[[#This Row],[Commodity]],Commodities[[#This Row],[Commodity]],IF(Commodities[[#This Row],[Level 0]]=Commodities[[#This Row],[L1N]],Commodities[[#This Row],[Commodity]],IF(Commodities[[#This Row],[Level 0]]=Commodities[[#This Row],[L2N]],Commodities[[#This Row],[L1N]],IF(Commodities[[#This Row],[Level 0]]=Commodities[[#This Row],[L3N]],Commodities[[#This Row],[L2N]],IF(Commodities[[#This Row],[Level 0]]=Commodities[[#This Row],[L4N]],Commodities[[#This Row],[L3N]],Commodities[[#This Row],[L4N]])))))</f>
        <v>Coal products</v>
      </c>
      <c r="R61" s="24" t="str">
        <f>IF(Commodities[[#This Row],[Level 1]]=Commodities[[#This Row],[Commodity]],Commodities[[#This Row],[Commodity]],IF(Commodities[[#This Row],[Level 1]]=Commodities[[#This Row],[L1N]],Commodities[[#This Row],[Commodity]],IF(Commodities[[#This Row],[Level 1]]=Commodities[[#This Row],[L2N]],Commodities[[#This Row],[L1N]],IF(Commodities[[#This Row],[Level 1]]=Commodities[[#This Row],[L3N]],Commodities[[#This Row],[L2N]],IF(Commodities[[#This Row],[Level 1]]=Commodities[[#This Row],[L4N]],Commodities[[#This Row],[L3N]],Commodities[[#This Row],[L4N]])))))</f>
        <v>Coke oven gas</v>
      </c>
      <c r="S61" s="24" t="str">
        <f>IF(Commodities[[#This Row],[Level 2]]=Commodities[[#This Row],[Commodity]],Commodities[[#This Row],[Commodity]],IF(Commodities[[#This Row],[Level 2]]=Commodities[[#This Row],[L1N]],Commodities[[#This Row],[Commodity]],IF(Commodities[[#This Row],[Level 2]]=Commodities[[#This Row],[L2N]],Commodities[[#This Row],[L1N]],IF(Commodities[[#This Row],[Level 2]]=Commodities[[#This Row],[L3N]],Commodities[[#This Row],[L2N]],IF(Commodities[[#This Row],[Level 2]]=Commodities[[#This Row],[L4N]],Commodities[[#This Row],[L3N]],Commodities[[#This Row],[L4N]])))))</f>
        <v>Coke oven gas</v>
      </c>
      <c r="T61" s="24" t="str">
        <f>IF(Commodities[[#This Row],[Level 3]]=Commodities[[#This Row],[Commodity]],Commodities[[#This Row],[Commodity]],IF(Commodities[[#This Row],[Level 3]]=Commodities[[#This Row],[L1N]],Commodities[[#This Row],[Commodity]],IF(Commodities[[#This Row],[Level 3]]=Commodities[[#This Row],[L2N]],Commodities[[#This Row],[L1N]],IF(Commodities[[#This Row],[Level 3]]=Commodities[[#This Row],[L3N]],Commodities[[#This Row],[L2N]],IF(Commodities[[#This Row],[Level 3]]=Commodities[[#This Row],[L4N]],Commodities[[#This Row],[L3N]],Commodities[[#This Row],[L4N]])))))</f>
        <v>Coke oven gas</v>
      </c>
      <c r="U61" s="24" t="str">
        <f>IF(Commodities[[#This Row],[Level 4]]=Commodities[[#This Row],[Commodity]],Commodities[[#This Row],[Commodity]],IF(Commodities[[#This Row],[Level 4]]=Commodities[[#This Row],[L1N]],Commodities[[#This Row],[Commodity]],IF(Commodities[[#This Row],[Level 4]]=Commodities[[#This Row],[L2N]],Commodities[[#This Row],[L1N]],IF(Commodities[[#This Row],[Level 4]]=Commodities[[#This Row],[L3N]],Commodities[[#This Row],[L2N]],IF(Commodities[[#This Row],[Level 4]]=Commodities[[#This Row],[L4N]],Commodities[[#This Row],[L3N]],Commodities[[#This Row],[L4N]])))))</f>
        <v>Coke oven gas</v>
      </c>
      <c r="Y61" s="5" t="s">
        <v>112</v>
      </c>
      <c r="Z61" s="4" t="s">
        <v>426</v>
      </c>
      <c r="AA61" s="4" t="s">
        <v>426</v>
      </c>
      <c r="AB61" s="6" t="s">
        <v>106</v>
      </c>
      <c r="AC61" s="24" t="str">
        <f>IFERROR(VLOOKUP(Transactions[[#This Row],[Parent code]],Transactions[[Transaction code]:[Transaction name]],2,0),"")</f>
        <v>Transport</v>
      </c>
      <c r="AD61" s="4" t="s">
        <v>630</v>
      </c>
      <c r="AE61" s="4" t="s">
        <v>921</v>
      </c>
      <c r="AF61" s="4" t="s">
        <v>642</v>
      </c>
      <c r="AG61" s="4" t="s">
        <v>1</v>
      </c>
      <c r="AH61" s="4" t="s">
        <v>696</v>
      </c>
      <c r="AK61" s="24" t="str" cm="1">
        <f t="array" ref="AK61">IFERROR(INDEX(Transactions[[Transaction code]:[Transaction name]],_xlfn.XMATCH(Transactions[[#This Row],[Parent code]],Transactions[Transaction name],0),3),Transactions[[#This Row],[Transaction name]])</f>
        <v>Rail</v>
      </c>
      <c r="AL61" s="24" t="str" cm="1">
        <f t="array" ref="AL61">IFERROR(INDEX(Transactions[[Transaction code]:[Transaction name]],_xlfn.XMATCH(INDEX(Transactions[[Transaction name]:[Parent code]],_xlfn.XMATCH(Transactions[[#This Row],[L1N]],Transactions[Transaction name],0),3),Transactions[Transaction code],0),2),Transactions[[#This Row],[L1N]])</f>
        <v>Transport</v>
      </c>
      <c r="AM61" s="24" t="str" cm="1">
        <f t="array" ref="AM61">IFERROR(INDEX(Transactions[[Transaction code]:[Transaction name]],_xlfn.XMATCH(INDEX(Transactions[[Transaction name]:[Parent code]],_xlfn.XMATCH(Transactions[[#This Row],[L2N]],Transactions[Transaction name],0),3),Transactions[Transaction code],0),2),Transactions[[#This Row],[L2N]])</f>
        <v>Total Final Energy Consumption</v>
      </c>
      <c r="AN61" s="24" t="str" cm="1">
        <f t="array" ref="AN61">IFERROR(INDEX(Transactions[[Transaction code]:[Transaction name]],_xlfn.XMATCH(INDEX(Transactions[[Transaction name]:[Parent code]],_xlfn.XMATCH(Transactions[[#This Row],[L3N]],Transactions[Transaction name],0),3),Transactions[Transaction code],0),2),Transactions[[#This Row],[L3N]])</f>
        <v>Final consumption</v>
      </c>
      <c r="AO61" s="24" t="str" cm="1">
        <f t="array" ref="AO61">IFERROR(INDEX(Transactions[[Transaction code]:[Transaction name]],_xlfn.XMATCH(INDEX(Transactions[[Transaction name]:[Parent code]],_xlfn.XMATCH(Transactions[[#This Row],[L4N]],Transactions[Transaction name],0),3),Transactions[Transaction code],0),2),Transactions[[#This Row],[L4N]])</f>
        <v>Final consumption</v>
      </c>
      <c r="AP61" s="24" t="str" cm="1">
        <f t="array" ref="AP61">IFERROR(INDEX(Transactions[[Transaction code]:[Transaction name]],_xlfn.XMATCH(INDEX(Transactions[[Transaction name]:[Parent code]],_xlfn.XMATCH(Transactions[[#This Row],[L5N]],Transactions[Transaction name],0),3),Transactions[Transaction code],0),2),Transactions[[#This Row],[L5N]])</f>
        <v>Final consumption</v>
      </c>
      <c r="AQ61" s="24" t="str" cm="1">
        <f t="array" ref="AQ61">IFERROR(INDEX(Transactions[[Transaction code]:[Transaction name]],_xlfn.XMATCH(INDEX(Transactions[[Transaction name]:[Parent code]],_xlfn.XMATCH(Transactions[[#This Row],[L6N]],Transactions[Transaction name],0),3),Transactions[Transaction code],0),2),Transactions[[#This Row],[L6N]])</f>
        <v>Final consumption</v>
      </c>
      <c r="AR61" s="27" t="str">
        <f>IF(Transactions[[#This Row],[L7N]]=Transactions[[#This Row],[L6N]],Transactions[[#This Row],[L7N]],IF(Transactions[[#This Row],[L6N]]=Transactions[[#This Row],[L5N]],Transactions[[#This Row],[L6N]],IF(Transactions[[#This Row],[L5N]]=Transactions[[#This Row],[L4N]],Transactions[[#This Row],[L5N]],IF(Transactions[[#This Row],[L4N]]=Transactions[[#This Row],[L3N]],Transactions[[#This Row],[L4N]],IF(Transactions[[#This Row],[L3N]]=Transactions[[#This Row],[L2N]],Transactions[[#This Row],[L3N]],IF(Transactions[[#This Row],[L2N]]=Transactions[[#This Row],[L1N]],Transactions[[#This Row],[L2N]],IF(Transactions[[#This Row],[L1N]]=Transactions[[#This Row],[Transaction name]],Transactions[[#This Row],[L1N]],Transactions[[#This Row],[Transaction name]])))))))</f>
        <v>Final consumption</v>
      </c>
      <c r="AS61" s="24" t="str">
        <f>IF(Transactions[[#This Row],[Level 0]]=Transactions[[#This Row],[Transaction name]],Transactions[[#This Row],[Transaction name]],IF(Transactions[[#This Row],[Level 0]]=Transactions[[#This Row],[L1N]],Transactions[[#This Row],[Transaction name]],IF(Transactions[[#This Row],[Level 0]]=Transactions[[#This Row],[L2N]],Transactions[[#This Row],[L1N]],IF(Transactions[[#This Row],[Level 0]]=Transactions[[#This Row],[L3N]],Transactions[[#This Row],[L2N]],IF(Transactions[[#This Row],[Level 0]]=Transactions[[#This Row],[L4N]],Transactions[[#This Row],[L3N]],IF(Transactions[[#This Row],[Level 0]]=Transactions[[#This Row],[L5N]],Transactions[[#This Row],[L4N]],IF(Transactions[[#This Row],[Level 0]]=Transactions[[#This Row],[L6N]],Transactions[[#This Row],[L5N]],IF(Transactions[[#This Row],[Level 0]]=Transactions[[#This Row],[L7N]],Transactions[[#This Row],[L6N]],Transactions[[#This Row],[L7N]]))))))))</f>
        <v>Total Final Energy Consumption</v>
      </c>
      <c r="AT61" s="24" t="str">
        <f>IF(Transactions[[#This Row],[Level 1]]=Transactions[[#This Row],[Transaction name]],Transactions[[#This Row],[Transaction name]],IF(Transactions[[#This Row],[Level 1]]=Transactions[[#This Row],[L1N]],Transactions[[#This Row],[Transaction name]],IF(Transactions[[#This Row],[Level 1]]=Transactions[[#This Row],[L2N]],Transactions[[#This Row],[L1N]],IF(Transactions[[#This Row],[Level 1]]=Transactions[[#This Row],[L3N]],Transactions[[#This Row],[L2N]],IF(Transactions[[#This Row],[Level 1]]=Transactions[[#This Row],[L4N]],Transactions[[#This Row],[L3N]],IF(Transactions[[#This Row],[Level 1]]=Transactions[[#This Row],[L5N]],Transactions[[#This Row],[L4N]],IF(Transactions[[#This Row],[Level 1]]=Transactions[[#This Row],[L6N]],Transactions[[#This Row],[L5N]],IF(Transactions[[#This Row],[Level 1]]=Transactions[[#This Row],[L7N]],Transactions[[#This Row],[L6N]],Transactions[[#This Row],[L7N]]))))))))</f>
        <v>Transport</v>
      </c>
      <c r="AU61" s="24" t="str">
        <f>IF(Transactions[[#This Row],[Level 2]]=Transactions[[#This Row],[Transaction name]],Transactions[[#This Row],[Transaction name]],IF(Transactions[[#This Row],[Level 2]]=Transactions[[#This Row],[L1N]],Transactions[[#This Row],[Transaction name]],IF(Transactions[[#This Row],[Level 2]]=Transactions[[#This Row],[L2N]],Transactions[[#This Row],[L1N]],IF(Transactions[[#This Row],[Level 2]]=Transactions[[#This Row],[L3N]],Transactions[[#This Row],[L2N]],IF(Transactions[[#This Row],[Level 2]]=Transactions[[#This Row],[L4N]],Transactions[[#This Row],[L3N]],IF(Transactions[[#This Row],[Level 2]]=Transactions[[#This Row],[L5N]],Transactions[[#This Row],[L4N]],IF(Transactions[[#This Row],[Level 2]]=Transactions[[#This Row],[L6N]],Transactions[[#This Row],[L5N]],IF(Transactions[[#This Row],[Level 2]]=Transactions[[#This Row],[L7N]],Transactions[[#This Row],[L6N]],Transactions[[#This Row],[L7N]]))))))))</f>
        <v>Rail</v>
      </c>
      <c r="AV61" s="24" t="str">
        <f>IF(Transactions[[#This Row],[Level 3]]=Transactions[[#This Row],[Transaction name]],Transactions[[#This Row],[Transaction name]],IF(Transactions[[#This Row],[Level 3]]=Transactions[[#This Row],[L1N]],Transactions[[#This Row],[Transaction name]],IF(Transactions[[#This Row],[Level 3]]=Transactions[[#This Row],[L2N]],Transactions[[#This Row],[L1N]],IF(Transactions[[#This Row],[Level 3]]=Transactions[[#This Row],[L3N]],Transactions[[#This Row],[L2N]],IF(Transactions[[#This Row],[Level 3]]=Transactions[[#This Row],[L4N]],Transactions[[#This Row],[L3N]],IF(Transactions[[#This Row],[Level 3]]=Transactions[[#This Row],[L5N]],Transactions[[#This Row],[L4N]],IF(Transactions[[#This Row],[Level 3]]=Transactions[[#This Row],[L6N]],Transactions[[#This Row],[L5N]],IF(Transactions[[#This Row],[Level 3]]=Transactions[[#This Row],[L7N]],Transactions[[#This Row],[L6N]],Transactions[[#This Row],[L7N]]))))))))</f>
        <v>Rail</v>
      </c>
      <c r="AW61" s="24" t="str">
        <f>IF(Transactions[[#This Row],[Level 4]]=Transactions[[#This Row],[Transaction name]],Transactions[[#This Row],[Transaction name]],IF(Transactions[[#This Row],[Level 4]]=Transactions[[#This Row],[L1N]],Transactions[[#This Row],[Transaction name]],IF(Transactions[[#This Row],[Level 4]]=Transactions[[#This Row],[L2N]],Transactions[[#This Row],[L1N]],IF(Transactions[[#This Row],[Level 4]]=Transactions[[#This Row],[L3N]],Transactions[[#This Row],[L2N]],IF(Transactions[[#This Row],[Level 4]]=Transactions[[#This Row],[L4N]],Transactions[[#This Row],[L3N]],IF(Transactions[[#This Row],[Level 4]]=Transactions[[#This Row],[L5N]],Transactions[[#This Row],[L4N]],IF(Transactions[[#This Row],[Level 4]]=Transactions[[#This Row],[L6N]],Transactions[[#This Row],[L5N]],IF(Transactions[[#This Row],[Level 4]]=Transactions[[#This Row],[L7N]],Transactions[[#This Row],[L6N]],Transactions[[#This Row],[L7N]]))))))))</f>
        <v>Rail</v>
      </c>
      <c r="AX61" s="24" t="str">
        <f>IF(Transactions[[#This Row],[Level 5]]=Transactions[[#This Row],[Transaction name]],Transactions[[#This Row],[Transaction name]],IF(Transactions[[#This Row],[Level 5]]=Transactions[[#This Row],[L1N]],Transactions[[#This Row],[Transaction name]],IF(Transactions[[#This Row],[Level 5]]=Transactions[[#This Row],[L2N]],Transactions[[#This Row],[L1N]],IF(Transactions[[#This Row],[Level 5]]=Transactions[[#This Row],[L3N]],Transactions[[#This Row],[L2N]],IF(Transactions[[#This Row],[Level 5]]=Transactions[[#This Row],[L4N]],Transactions[[#This Row],[L3N]],IF(Transactions[[#This Row],[Level 5]]=Transactions[[#This Row],[L5N]],Transactions[[#This Row],[L4N]],IF(Transactions[[#This Row],[Level 5]]=Transactions[[#This Row],[L6N]],Transactions[[#This Row],[L5N]],IF(Transactions[[#This Row],[Level 5]]=Transactions[[#This Row],[L7N]],Transactions[[#This Row],[L6N]],Transactions[[#This Row],[L7N]]))))))))</f>
        <v>Rail</v>
      </c>
      <c r="AY61" s="24" t="str">
        <f>IF(Transactions[[#This Row],[Level 6]]=Transactions[[#This Row],[Transaction name]],Transactions[[#This Row],[Transaction name]],IF(Transactions[[#This Row],[Level 6]]=Transactions[[#This Row],[L1N]],Transactions[[#This Row],[Transaction name]],IF(Transactions[[#This Row],[Level 6]]=Transactions[[#This Row],[L2N]],Transactions[[#This Row],[L1N]],IF(Transactions[[#This Row],[Level 6]]=Transactions[[#This Row],[L3N]],Transactions[[#This Row],[L2N]],IF(Transactions[[#This Row],[Level 6]]=Transactions[[#This Row],[L4N]],Transactions[[#This Row],[L3N]],IF(Transactions[[#This Row],[Level 6]]=Transactions[[#This Row],[L5N]],Transactions[[#This Row],[L4N]],IF(Transactions[[#This Row],[Level 6]]=Transactions[[#This Row],[L6N]],Transactions[[#This Row],[L5N]],IF(Transactions[[#This Row],[Level 6]]=Transactions[[#This Row],[L7N]],Transactions[[#This Row],[L6N]],Transactions[[#This Row],[L7N]]))))))))</f>
        <v>Rail</v>
      </c>
      <c r="BE61" s="26" t="str">
        <f>_xlfn.XLOOKUP(Transformation[[#This Row],[cfrom]],Commodities[Commodity],Commodities[Commodity code])</f>
        <v>4100</v>
      </c>
      <c r="BF61" s="26" t="str">
        <f>_xlfn.XLOOKUP(Transformation[[#This Row],[tfrom]],Transactions[Transaction name],Transactions[Transaction code])</f>
        <v>08821</v>
      </c>
      <c r="BG61" s="26" t="str">
        <f>_xlfn.XLOOKUP(Transformation[[#This Row],[cto]],Commodities[Commodity],Commodities[Commodity code])</f>
        <v>4100</v>
      </c>
      <c r="BH61" s="26" t="str">
        <f>_xlfn.XLOOKUP(Transformation[[#This Row],[tto]],Transactions[Transaction name],Transactions[Transaction code])</f>
        <v>015COC</v>
      </c>
      <c r="BI61" s="11">
        <v>1</v>
      </c>
      <c r="BJ61" s="4" t="s">
        <v>439</v>
      </c>
      <c r="BK61" s="24" t="str">
        <f>_xlfn.XLOOKUP(Transformation[[#This Row],[Commodity from]],Commodities[Commodity code],Commodities[EnergyCode])</f>
        <v>CR</v>
      </c>
      <c r="BL61" s="4" t="s">
        <v>691</v>
      </c>
      <c r="BM61" s="4" t="s">
        <v>439</v>
      </c>
      <c r="BN61" s="24" t="str">
        <f>_xlfn.XLOOKUP(Transformation[[#This Row],[Commodity to]],Commodities[Commodity code],Commodities[EnergyCode])</f>
        <v>CR</v>
      </c>
      <c r="BO61" s="4" t="s">
        <v>1225</v>
      </c>
      <c r="BP61" s="16" t="s">
        <v>1493</v>
      </c>
      <c r="BQ61" s="33" t="str">
        <f>Transformation[[#This Row],[Commodity from]]&amp;Transformation[[#This Row],[Transaction from]]&amp;Transformation[[#This Row],[Commodity to]]&amp;Transformation[[#This Row],[Transaction to]]</f>
        <v>4100088214100015COC</v>
      </c>
      <c r="BR61" s="26" t="str">
        <f>Transformation[[#This Row],[crfomid]]&amp;Transformation[[#This Row],[Transaction from]]&amp;"("&amp;Transformation[[#This Row],[Multiplier]]&amp;") -&gt; "&amp;Transformation[[#This Row],[ctoid]]&amp;Transformation[[#This Row],[Transaction to]]</f>
        <v>CR08821(1) -&gt; CR015COC</v>
      </c>
      <c r="BT61" s="26" t="str">
        <f>_xlfn.XLOOKUP(Signswitch[[#This Row],[Commodity name]],Commodities[Commodity],Commodities[Commodity code])</f>
        <v>5212</v>
      </c>
      <c r="BU61" s="26" t="str">
        <f>_xlfn.XLOOKUP(Signswitch[[#This Row],[Transaction name]],Transactions[Transaction name],Transactions[Transaction code])</f>
        <v>1214O</v>
      </c>
      <c r="BV61" s="26" t="str">
        <f>Signswitch[[#This Row],[Commodity from]]&amp;Signswitch[[#This Row],[Transaction from]]</f>
        <v>52121214O</v>
      </c>
      <c r="BW61" s="22" t="s">
        <v>317</v>
      </c>
      <c r="BX61" s="26" t="str">
        <f>_xlfn.XLOOKUP(Signswitch[[#This Row],[Commodity from]],Commodities[Commodity code],Commodities[EnergyCode])</f>
        <v>ZG</v>
      </c>
      <c r="BY61" s="22" t="s">
        <v>905</v>
      </c>
    </row>
    <row r="62" spans="8:77" x14ac:dyDescent="0.45">
      <c r="H62" s="5" t="s">
        <v>425</v>
      </c>
      <c r="I62" s="4" t="s">
        <v>424</v>
      </c>
      <c r="J62" s="9" t="s">
        <v>420</v>
      </c>
      <c r="K62" s="9" t="s">
        <v>1440</v>
      </c>
      <c r="L62" s="23" t="str">
        <f>IFERROR(INDEX(Commodities[[Commodity code]:[Commodity]],MATCH(Commodities[[#This Row],[Parent code]],Commodities[Commodity code],0),2),Commodities[[#This Row],[Commodity]])</f>
        <v>Oil</v>
      </c>
      <c r="M62" s="24" t="str">
        <f>IFERROR(INDEX(Commodities[[Commodity code]:[Commodity]],MATCH(INDEX(Commodities[[Commodity]:[Parent code]],MATCH(Commodities[[#This Row],[L1N]],Commodities[Commodity],0),2),Commodities[Commodity code],0),2),Commodities[[#This Row],[L1N]])</f>
        <v>Oil</v>
      </c>
      <c r="N62" s="24" t="str">
        <f>IFERROR(INDEX(Commodities[[Commodity code]:[Commodity]],MATCH(INDEX(Commodities[[Commodity]:[Parent code]],MATCH(Commodities[[#This Row],[L2N]],Commodities[Commodity],0),2),Commodities[Commodity code],0),2),Commodities[[#This Row],[L2N]])</f>
        <v>Oil</v>
      </c>
      <c r="O62" s="24" t="str">
        <f>IFERROR(INDEX(Commodities[[Commodity code]:[Commodity]],MATCH(INDEX(Commodities[[Commodity]:[Parent code]],MATCH(Commodities[[#This Row],[L3N]],Commodities[Commodity],0),2),Commodities[Commodity code],0),2),Commodities[[#This Row],[L3N]])</f>
        <v>Oil</v>
      </c>
      <c r="P62" s="24" t="str">
        <f>IF(Commodities[[#This Row],[L4N]]=Commodities[[#This Row],[L3N]],Commodities[[#This Row],[L4N]],IF(Commodities[[#This Row],[L3N]]=Commodities[[#This Row],[L2N]],Commodities[[#This Row],[L3N]],IF(Commodities[[#This Row],[L2N]]=Commodities[[#This Row],[L1N]],Commodities[[#This Row],[L2N]],IF(Commodities[[#This Row],[L1N]]=Commodities[[#This Row],[Commodity]],Commodities[[#This Row],[L1N]],Commodities[[#This Row],[Commodity]]))))</f>
        <v>Oil</v>
      </c>
      <c r="Q62" s="24" t="str">
        <f>IF(Commodities[[#This Row],[Level 0]]=Commodities[[#This Row],[Commodity]],Commodities[[#This Row],[Commodity]],IF(Commodities[[#This Row],[Level 0]]=Commodities[[#This Row],[L1N]],Commodities[[#This Row],[Commodity]],IF(Commodities[[#This Row],[Level 0]]=Commodities[[#This Row],[L2N]],Commodities[[#This Row],[L1N]],IF(Commodities[[#This Row],[Level 0]]=Commodities[[#This Row],[L3N]],Commodities[[#This Row],[L2N]],IF(Commodities[[#This Row],[Level 0]]=Commodities[[#This Row],[L4N]],Commodities[[#This Row],[L3N]],Commodities[[#This Row],[L4N]])))))</f>
        <v>Other hydrocarbons</v>
      </c>
      <c r="R62" s="24" t="str">
        <f>IF(Commodities[[#This Row],[Level 1]]=Commodities[[#This Row],[Commodity]],Commodities[[#This Row],[Commodity]],IF(Commodities[[#This Row],[Level 1]]=Commodities[[#This Row],[L1N]],Commodities[[#This Row],[Commodity]],IF(Commodities[[#This Row],[Level 1]]=Commodities[[#This Row],[L2N]],Commodities[[#This Row],[L1N]],IF(Commodities[[#This Row],[Level 1]]=Commodities[[#This Row],[L3N]],Commodities[[#This Row],[L2N]],IF(Commodities[[#This Row],[Level 1]]=Commodities[[#This Row],[L4N]],Commodities[[#This Row],[L3N]],Commodities[[#This Row],[L4N]])))))</f>
        <v>Other hydrocarbons</v>
      </c>
      <c r="S62" s="24" t="str">
        <f>IF(Commodities[[#This Row],[Level 2]]=Commodities[[#This Row],[Commodity]],Commodities[[#This Row],[Commodity]],IF(Commodities[[#This Row],[Level 2]]=Commodities[[#This Row],[L1N]],Commodities[[#This Row],[Commodity]],IF(Commodities[[#This Row],[Level 2]]=Commodities[[#This Row],[L2N]],Commodities[[#This Row],[L1N]],IF(Commodities[[#This Row],[Level 2]]=Commodities[[#This Row],[L3N]],Commodities[[#This Row],[L2N]],IF(Commodities[[#This Row],[Level 2]]=Commodities[[#This Row],[L4N]],Commodities[[#This Row],[L3N]],Commodities[[#This Row],[L4N]])))))</f>
        <v>Other hydrocarbons</v>
      </c>
      <c r="T62" s="24" t="str">
        <f>IF(Commodities[[#This Row],[Level 3]]=Commodities[[#This Row],[Commodity]],Commodities[[#This Row],[Commodity]],IF(Commodities[[#This Row],[Level 3]]=Commodities[[#This Row],[L1N]],Commodities[[#This Row],[Commodity]],IF(Commodities[[#This Row],[Level 3]]=Commodities[[#This Row],[L2N]],Commodities[[#This Row],[L1N]],IF(Commodities[[#This Row],[Level 3]]=Commodities[[#This Row],[L3N]],Commodities[[#This Row],[L2N]],IF(Commodities[[#This Row],[Level 3]]=Commodities[[#This Row],[L4N]],Commodities[[#This Row],[L3N]],Commodities[[#This Row],[L4N]])))))</f>
        <v>Other hydrocarbons</v>
      </c>
      <c r="U62" s="24" t="str">
        <f>IF(Commodities[[#This Row],[Level 4]]=Commodities[[#This Row],[Commodity]],Commodities[[#This Row],[Commodity]],IF(Commodities[[#This Row],[Level 4]]=Commodities[[#This Row],[L1N]],Commodities[[#This Row],[Commodity]],IF(Commodities[[#This Row],[Level 4]]=Commodities[[#This Row],[L2N]],Commodities[[#This Row],[L1N]],IF(Commodities[[#This Row],[Level 4]]=Commodities[[#This Row],[L3N]],Commodities[[#This Row],[L2N]],IF(Commodities[[#This Row],[Level 4]]=Commodities[[#This Row],[L4N]],Commodities[[#This Row],[L3N]],Commodities[[#This Row],[L4N]])))))</f>
        <v>Other hydrocarbons</v>
      </c>
      <c r="Y62" s="5" t="s">
        <v>113</v>
      </c>
      <c r="Z62" s="4" t="s">
        <v>430</v>
      </c>
      <c r="AA62" s="4" t="s">
        <v>430</v>
      </c>
      <c r="AB62" s="6" t="s">
        <v>106</v>
      </c>
      <c r="AC62" s="24" t="str">
        <f>IFERROR(VLOOKUP(Transactions[[#This Row],[Parent code]],Transactions[[Transaction code]:[Transaction name]],2,0),"")</f>
        <v>Transport</v>
      </c>
      <c r="AD62" s="4" t="s">
        <v>630</v>
      </c>
      <c r="AE62" s="4" t="s">
        <v>912</v>
      </c>
      <c r="AF62" s="4" t="s">
        <v>642</v>
      </c>
      <c r="AG62" s="4" t="s">
        <v>1</v>
      </c>
      <c r="AH62" s="4" t="s">
        <v>696</v>
      </c>
      <c r="AK62" s="24" t="str" cm="1">
        <f t="array" ref="AK62">IFERROR(INDEX(Transactions[[Transaction code]:[Transaction name]],_xlfn.XMATCH(Transactions[[#This Row],[Parent code]],Transactions[Transaction name],0),3),Transactions[[#This Row],[Transaction name]])</f>
        <v>Road</v>
      </c>
      <c r="AL62" s="24" t="str" cm="1">
        <f t="array" ref="AL62">IFERROR(INDEX(Transactions[[Transaction code]:[Transaction name]],_xlfn.XMATCH(INDEX(Transactions[[Transaction name]:[Parent code]],_xlfn.XMATCH(Transactions[[#This Row],[L1N]],Transactions[Transaction name],0),3),Transactions[Transaction code],0),2),Transactions[[#This Row],[L1N]])</f>
        <v>Transport</v>
      </c>
      <c r="AM62" s="24" t="str" cm="1">
        <f t="array" ref="AM62">IFERROR(INDEX(Transactions[[Transaction code]:[Transaction name]],_xlfn.XMATCH(INDEX(Transactions[[Transaction name]:[Parent code]],_xlfn.XMATCH(Transactions[[#This Row],[L2N]],Transactions[Transaction name],0),3),Transactions[Transaction code],0),2),Transactions[[#This Row],[L2N]])</f>
        <v>Total Final Energy Consumption</v>
      </c>
      <c r="AN62" s="24" t="str" cm="1">
        <f t="array" ref="AN62">IFERROR(INDEX(Transactions[[Transaction code]:[Transaction name]],_xlfn.XMATCH(INDEX(Transactions[[Transaction name]:[Parent code]],_xlfn.XMATCH(Transactions[[#This Row],[L3N]],Transactions[Transaction name],0),3),Transactions[Transaction code],0),2),Transactions[[#This Row],[L3N]])</f>
        <v>Final consumption</v>
      </c>
      <c r="AO62" s="24" t="str" cm="1">
        <f t="array" ref="AO62">IFERROR(INDEX(Transactions[[Transaction code]:[Transaction name]],_xlfn.XMATCH(INDEX(Transactions[[Transaction name]:[Parent code]],_xlfn.XMATCH(Transactions[[#This Row],[L4N]],Transactions[Transaction name],0),3),Transactions[Transaction code],0),2),Transactions[[#This Row],[L4N]])</f>
        <v>Final consumption</v>
      </c>
      <c r="AP62" s="24" t="str" cm="1">
        <f t="array" ref="AP62">IFERROR(INDEX(Transactions[[Transaction code]:[Transaction name]],_xlfn.XMATCH(INDEX(Transactions[[Transaction name]:[Parent code]],_xlfn.XMATCH(Transactions[[#This Row],[L5N]],Transactions[Transaction name],0),3),Transactions[Transaction code],0),2),Transactions[[#This Row],[L5N]])</f>
        <v>Final consumption</v>
      </c>
      <c r="AQ62" s="24" t="str" cm="1">
        <f t="array" ref="AQ62">IFERROR(INDEX(Transactions[[Transaction code]:[Transaction name]],_xlfn.XMATCH(INDEX(Transactions[[Transaction name]:[Parent code]],_xlfn.XMATCH(Transactions[[#This Row],[L6N]],Transactions[Transaction name],0),3),Transactions[Transaction code],0),2),Transactions[[#This Row],[L6N]])</f>
        <v>Final consumption</v>
      </c>
      <c r="AR62" s="27" t="str">
        <f>IF(Transactions[[#This Row],[L7N]]=Transactions[[#This Row],[L6N]],Transactions[[#This Row],[L7N]],IF(Transactions[[#This Row],[L6N]]=Transactions[[#This Row],[L5N]],Transactions[[#This Row],[L6N]],IF(Transactions[[#This Row],[L5N]]=Transactions[[#This Row],[L4N]],Transactions[[#This Row],[L5N]],IF(Transactions[[#This Row],[L4N]]=Transactions[[#This Row],[L3N]],Transactions[[#This Row],[L4N]],IF(Transactions[[#This Row],[L3N]]=Transactions[[#This Row],[L2N]],Transactions[[#This Row],[L3N]],IF(Transactions[[#This Row],[L2N]]=Transactions[[#This Row],[L1N]],Transactions[[#This Row],[L2N]],IF(Transactions[[#This Row],[L1N]]=Transactions[[#This Row],[Transaction name]],Transactions[[#This Row],[L1N]],Transactions[[#This Row],[Transaction name]])))))))</f>
        <v>Final consumption</v>
      </c>
      <c r="AS62" s="24" t="str">
        <f>IF(Transactions[[#This Row],[Level 0]]=Transactions[[#This Row],[Transaction name]],Transactions[[#This Row],[Transaction name]],IF(Transactions[[#This Row],[Level 0]]=Transactions[[#This Row],[L1N]],Transactions[[#This Row],[Transaction name]],IF(Transactions[[#This Row],[Level 0]]=Transactions[[#This Row],[L2N]],Transactions[[#This Row],[L1N]],IF(Transactions[[#This Row],[Level 0]]=Transactions[[#This Row],[L3N]],Transactions[[#This Row],[L2N]],IF(Transactions[[#This Row],[Level 0]]=Transactions[[#This Row],[L4N]],Transactions[[#This Row],[L3N]],IF(Transactions[[#This Row],[Level 0]]=Transactions[[#This Row],[L5N]],Transactions[[#This Row],[L4N]],IF(Transactions[[#This Row],[Level 0]]=Transactions[[#This Row],[L6N]],Transactions[[#This Row],[L5N]],IF(Transactions[[#This Row],[Level 0]]=Transactions[[#This Row],[L7N]],Transactions[[#This Row],[L6N]],Transactions[[#This Row],[L7N]]))))))))</f>
        <v>Total Final Energy Consumption</v>
      </c>
      <c r="AT62" s="24" t="str">
        <f>IF(Transactions[[#This Row],[Level 1]]=Transactions[[#This Row],[Transaction name]],Transactions[[#This Row],[Transaction name]],IF(Transactions[[#This Row],[Level 1]]=Transactions[[#This Row],[L1N]],Transactions[[#This Row],[Transaction name]],IF(Transactions[[#This Row],[Level 1]]=Transactions[[#This Row],[L2N]],Transactions[[#This Row],[L1N]],IF(Transactions[[#This Row],[Level 1]]=Transactions[[#This Row],[L3N]],Transactions[[#This Row],[L2N]],IF(Transactions[[#This Row],[Level 1]]=Transactions[[#This Row],[L4N]],Transactions[[#This Row],[L3N]],IF(Transactions[[#This Row],[Level 1]]=Transactions[[#This Row],[L5N]],Transactions[[#This Row],[L4N]],IF(Transactions[[#This Row],[Level 1]]=Transactions[[#This Row],[L6N]],Transactions[[#This Row],[L5N]],IF(Transactions[[#This Row],[Level 1]]=Transactions[[#This Row],[L7N]],Transactions[[#This Row],[L6N]],Transactions[[#This Row],[L7N]]))))))))</f>
        <v>Transport</v>
      </c>
      <c r="AU62" s="24" t="str">
        <f>IF(Transactions[[#This Row],[Level 2]]=Transactions[[#This Row],[Transaction name]],Transactions[[#This Row],[Transaction name]],IF(Transactions[[#This Row],[Level 2]]=Transactions[[#This Row],[L1N]],Transactions[[#This Row],[Transaction name]],IF(Transactions[[#This Row],[Level 2]]=Transactions[[#This Row],[L2N]],Transactions[[#This Row],[L1N]],IF(Transactions[[#This Row],[Level 2]]=Transactions[[#This Row],[L3N]],Transactions[[#This Row],[L2N]],IF(Transactions[[#This Row],[Level 2]]=Transactions[[#This Row],[L4N]],Transactions[[#This Row],[L3N]],IF(Transactions[[#This Row],[Level 2]]=Transactions[[#This Row],[L5N]],Transactions[[#This Row],[L4N]],IF(Transactions[[#This Row],[Level 2]]=Transactions[[#This Row],[L6N]],Transactions[[#This Row],[L5N]],IF(Transactions[[#This Row],[Level 2]]=Transactions[[#This Row],[L7N]],Transactions[[#This Row],[L6N]],Transactions[[#This Row],[L7N]]))))))))</f>
        <v>Road</v>
      </c>
      <c r="AV62" s="24" t="str">
        <f>IF(Transactions[[#This Row],[Level 3]]=Transactions[[#This Row],[Transaction name]],Transactions[[#This Row],[Transaction name]],IF(Transactions[[#This Row],[Level 3]]=Transactions[[#This Row],[L1N]],Transactions[[#This Row],[Transaction name]],IF(Transactions[[#This Row],[Level 3]]=Transactions[[#This Row],[L2N]],Transactions[[#This Row],[L1N]],IF(Transactions[[#This Row],[Level 3]]=Transactions[[#This Row],[L3N]],Transactions[[#This Row],[L2N]],IF(Transactions[[#This Row],[Level 3]]=Transactions[[#This Row],[L4N]],Transactions[[#This Row],[L3N]],IF(Transactions[[#This Row],[Level 3]]=Transactions[[#This Row],[L5N]],Transactions[[#This Row],[L4N]],IF(Transactions[[#This Row],[Level 3]]=Transactions[[#This Row],[L6N]],Transactions[[#This Row],[L5N]],IF(Transactions[[#This Row],[Level 3]]=Transactions[[#This Row],[L7N]],Transactions[[#This Row],[L6N]],Transactions[[#This Row],[L7N]]))))))))</f>
        <v>Road</v>
      </c>
      <c r="AW62" s="24" t="str">
        <f>IF(Transactions[[#This Row],[Level 4]]=Transactions[[#This Row],[Transaction name]],Transactions[[#This Row],[Transaction name]],IF(Transactions[[#This Row],[Level 4]]=Transactions[[#This Row],[L1N]],Transactions[[#This Row],[Transaction name]],IF(Transactions[[#This Row],[Level 4]]=Transactions[[#This Row],[L2N]],Transactions[[#This Row],[L1N]],IF(Transactions[[#This Row],[Level 4]]=Transactions[[#This Row],[L3N]],Transactions[[#This Row],[L2N]],IF(Transactions[[#This Row],[Level 4]]=Transactions[[#This Row],[L4N]],Transactions[[#This Row],[L3N]],IF(Transactions[[#This Row],[Level 4]]=Transactions[[#This Row],[L5N]],Transactions[[#This Row],[L4N]],IF(Transactions[[#This Row],[Level 4]]=Transactions[[#This Row],[L6N]],Transactions[[#This Row],[L5N]],IF(Transactions[[#This Row],[Level 4]]=Transactions[[#This Row],[L7N]],Transactions[[#This Row],[L6N]],Transactions[[#This Row],[L7N]]))))))))</f>
        <v>Road</v>
      </c>
      <c r="AX62" s="24" t="str">
        <f>IF(Transactions[[#This Row],[Level 5]]=Transactions[[#This Row],[Transaction name]],Transactions[[#This Row],[Transaction name]],IF(Transactions[[#This Row],[Level 5]]=Transactions[[#This Row],[L1N]],Transactions[[#This Row],[Transaction name]],IF(Transactions[[#This Row],[Level 5]]=Transactions[[#This Row],[L2N]],Transactions[[#This Row],[L1N]],IF(Transactions[[#This Row],[Level 5]]=Transactions[[#This Row],[L3N]],Transactions[[#This Row],[L2N]],IF(Transactions[[#This Row],[Level 5]]=Transactions[[#This Row],[L4N]],Transactions[[#This Row],[L3N]],IF(Transactions[[#This Row],[Level 5]]=Transactions[[#This Row],[L5N]],Transactions[[#This Row],[L4N]],IF(Transactions[[#This Row],[Level 5]]=Transactions[[#This Row],[L6N]],Transactions[[#This Row],[L5N]],IF(Transactions[[#This Row],[Level 5]]=Transactions[[#This Row],[L7N]],Transactions[[#This Row],[L6N]],Transactions[[#This Row],[L7N]]))))))))</f>
        <v>Road</v>
      </c>
      <c r="AY62" s="24" t="str">
        <f>IF(Transactions[[#This Row],[Level 6]]=Transactions[[#This Row],[Transaction name]],Transactions[[#This Row],[Transaction name]],IF(Transactions[[#This Row],[Level 6]]=Transactions[[#This Row],[L1N]],Transactions[[#This Row],[Transaction name]],IF(Transactions[[#This Row],[Level 6]]=Transactions[[#This Row],[L2N]],Transactions[[#This Row],[L1N]],IF(Transactions[[#This Row],[Level 6]]=Transactions[[#This Row],[L3N]],Transactions[[#This Row],[L2N]],IF(Transactions[[#This Row],[Level 6]]=Transactions[[#This Row],[L4N]],Transactions[[#This Row],[L3N]],IF(Transactions[[#This Row],[Level 6]]=Transactions[[#This Row],[L5N]],Transactions[[#This Row],[L4N]],IF(Transactions[[#This Row],[Level 6]]=Transactions[[#This Row],[L6N]],Transactions[[#This Row],[L5N]],IF(Transactions[[#This Row],[Level 6]]=Transactions[[#This Row],[L7N]],Transactions[[#This Row],[L6N]],Transactions[[#This Row],[L7N]]))))))))</f>
        <v>Road</v>
      </c>
      <c r="BE62" s="26" t="str">
        <f>_xlfn.XLOOKUP(Transformation[[#This Row],[cfrom]],Commodities[Commodity],Commodities[Commodity code])</f>
        <v>0340</v>
      </c>
      <c r="BF62" s="26" t="str">
        <f>_xlfn.XLOOKUP(Transformation[[#This Row],[tfrom]],Transactions[Transaction name],Transactions[Transaction code])</f>
        <v>08821</v>
      </c>
      <c r="BG62" s="26" t="str">
        <f>_xlfn.XLOOKUP(Transformation[[#This Row],[cto]],Commodities[Commodity],Commodities[Commodity code])</f>
        <v>0340</v>
      </c>
      <c r="BH62" s="26" t="str">
        <f>_xlfn.XLOOKUP(Transformation[[#This Row],[tto]],Transactions[Transaction name],Transactions[Transaction code])</f>
        <v>015CSC</v>
      </c>
      <c r="BI62" s="11">
        <v>1</v>
      </c>
      <c r="BJ62" s="4" t="s">
        <v>489</v>
      </c>
      <c r="BK62" s="24" t="str">
        <f>_xlfn.XLOOKUP(Transformation[[#This Row],[Commodity from]],Commodities[Commodity code],Commodities[EnergyCode])</f>
        <v>CT</v>
      </c>
      <c r="BL62" s="4" t="s">
        <v>691</v>
      </c>
      <c r="BM62" s="4" t="s">
        <v>489</v>
      </c>
      <c r="BN62" s="24" t="str">
        <f>_xlfn.XLOOKUP(Transformation[[#This Row],[Commodity to]],Commodities[Commodity code],Commodities[EnergyCode])</f>
        <v>CT</v>
      </c>
      <c r="BO62" s="4" t="s">
        <v>1209</v>
      </c>
      <c r="BP62" s="16" t="s">
        <v>1493</v>
      </c>
      <c r="BQ62" s="33" t="str">
        <f>Transformation[[#This Row],[Commodity from]]&amp;Transformation[[#This Row],[Transaction from]]&amp;Transformation[[#This Row],[Commodity to]]&amp;Transformation[[#This Row],[Transaction to]]</f>
        <v>0340088210340015CSC</v>
      </c>
      <c r="BR62" s="26" t="str">
        <f>Transformation[[#This Row],[crfomid]]&amp;Transformation[[#This Row],[Transaction from]]&amp;"("&amp;Transformation[[#This Row],[Multiplier]]&amp;") -&gt; "&amp;Transformation[[#This Row],[ctoid]]&amp;Transformation[[#This Row],[Transaction to]]</f>
        <v>CT08821(1) -&gt; CT015CSC</v>
      </c>
      <c r="BT62" s="26" t="str">
        <f>_xlfn.XLOOKUP(Signswitch[[#This Row],[Commodity name]],Commodities[Commodity],Commodities[Commodity code])</f>
        <v>5232</v>
      </c>
      <c r="BU62" s="26" t="str">
        <f>_xlfn.XLOOKUP(Signswitch[[#This Row],[Transaction name]],Transactions[Transaction name],Transactions[Transaction code])</f>
        <v>1221</v>
      </c>
      <c r="BV62" s="26" t="str">
        <f>Signswitch[[#This Row],[Commodity from]]&amp;Signswitch[[#This Row],[Transaction from]]</f>
        <v>52321221</v>
      </c>
      <c r="BW62" s="22" t="s">
        <v>306</v>
      </c>
      <c r="BX62" s="26" t="str">
        <f>_xlfn.XLOOKUP(Signswitch[[#This Row],[Commodity from]],Commodities[Commodity code],Commodities[EnergyCode])</f>
        <v>ZJ</v>
      </c>
      <c r="BY62" s="22" t="s">
        <v>430</v>
      </c>
    </row>
    <row r="63" spans="8:77" x14ac:dyDescent="0.45">
      <c r="H63" s="5" t="s">
        <v>501</v>
      </c>
      <c r="I63" s="4" t="s">
        <v>500</v>
      </c>
      <c r="J63" s="9" t="s">
        <v>496</v>
      </c>
      <c r="K63" s="9" t="s">
        <v>1428</v>
      </c>
      <c r="L63" s="23" t="str">
        <f>IFERROR(INDEX(Commodities[[Commodity code]:[Commodity]],MATCH(Commodities[[#This Row],[Parent code]],Commodities[Commodity code],0),2),Commodities[[#This Row],[Commodity]])</f>
        <v>Coal coke</v>
      </c>
      <c r="M63" s="24" t="str">
        <f>IFERROR(INDEX(Commodities[[Commodity code]:[Commodity]],MATCH(INDEX(Commodities[[Commodity]:[Parent code]],MATCH(Commodities[[#This Row],[L1N]],Commodities[Commodity],0),2),Commodities[Commodity code],0),2),Commodities[[#This Row],[L1N]])</f>
        <v>Coal products</v>
      </c>
      <c r="N63" s="24" t="str">
        <f>IFERROR(INDEX(Commodities[[Commodity code]:[Commodity]],MATCH(INDEX(Commodities[[Commodity]:[Parent code]],MATCH(Commodities[[#This Row],[L2N]],Commodities[Commodity],0),2),Commodities[Commodity code],0),2),Commodities[[#This Row],[L2N]])</f>
        <v>Coal</v>
      </c>
      <c r="O63" s="24" t="str">
        <f>IFERROR(INDEX(Commodities[[Commodity code]:[Commodity]],MATCH(INDEX(Commodities[[Commodity]:[Parent code]],MATCH(Commodities[[#This Row],[L3N]],Commodities[Commodity],0),2),Commodities[Commodity code],0),2),Commodities[[#This Row],[L3N]])</f>
        <v>Coal</v>
      </c>
      <c r="P63" s="24" t="str">
        <f>IF(Commodities[[#This Row],[L4N]]=Commodities[[#This Row],[L3N]],Commodities[[#This Row],[L4N]],IF(Commodities[[#This Row],[L3N]]=Commodities[[#This Row],[L2N]],Commodities[[#This Row],[L3N]],IF(Commodities[[#This Row],[L2N]]=Commodities[[#This Row],[L1N]],Commodities[[#This Row],[L2N]],IF(Commodities[[#This Row],[L1N]]=Commodities[[#This Row],[Commodity]],Commodities[[#This Row],[L1N]],Commodities[[#This Row],[Commodity]]))))</f>
        <v>Coal</v>
      </c>
      <c r="Q63" s="24" t="str">
        <f>IF(Commodities[[#This Row],[Level 0]]=Commodities[[#This Row],[Commodity]],Commodities[[#This Row],[Commodity]],IF(Commodities[[#This Row],[Level 0]]=Commodities[[#This Row],[L1N]],Commodities[[#This Row],[Commodity]],IF(Commodities[[#This Row],[Level 0]]=Commodities[[#This Row],[L2N]],Commodities[[#This Row],[L1N]],IF(Commodities[[#This Row],[Level 0]]=Commodities[[#This Row],[L3N]],Commodities[[#This Row],[L2N]],IF(Commodities[[#This Row],[Level 0]]=Commodities[[#This Row],[L4N]],Commodities[[#This Row],[L3N]],Commodities[[#This Row],[L4N]])))))</f>
        <v>Coal products</v>
      </c>
      <c r="R63" s="24" t="str">
        <f>IF(Commodities[[#This Row],[Level 1]]=Commodities[[#This Row],[Commodity]],Commodities[[#This Row],[Commodity]],IF(Commodities[[#This Row],[Level 1]]=Commodities[[#This Row],[L1N]],Commodities[[#This Row],[Commodity]],IF(Commodities[[#This Row],[Level 1]]=Commodities[[#This Row],[L2N]],Commodities[[#This Row],[L1N]],IF(Commodities[[#This Row],[Level 1]]=Commodities[[#This Row],[L3N]],Commodities[[#This Row],[L2N]],IF(Commodities[[#This Row],[Level 1]]=Commodities[[#This Row],[L4N]],Commodities[[#This Row],[L3N]],Commodities[[#This Row],[L4N]])))))</f>
        <v>Coal coke</v>
      </c>
      <c r="S63" s="24" t="str">
        <f>IF(Commodities[[#This Row],[Level 2]]=Commodities[[#This Row],[Commodity]],Commodities[[#This Row],[Commodity]],IF(Commodities[[#This Row],[Level 2]]=Commodities[[#This Row],[L1N]],Commodities[[#This Row],[Commodity]],IF(Commodities[[#This Row],[Level 2]]=Commodities[[#This Row],[L2N]],Commodities[[#This Row],[L1N]],IF(Commodities[[#This Row],[Level 2]]=Commodities[[#This Row],[L3N]],Commodities[[#This Row],[L2N]],IF(Commodities[[#This Row],[Level 2]]=Commodities[[#This Row],[L4N]],Commodities[[#This Row],[L3N]],Commodities[[#This Row],[L4N]])))))</f>
        <v>Coke oven coke</v>
      </c>
      <c r="T63" s="24" t="str">
        <f>IF(Commodities[[#This Row],[Level 3]]=Commodities[[#This Row],[Commodity]],Commodities[[#This Row],[Commodity]],IF(Commodities[[#This Row],[Level 3]]=Commodities[[#This Row],[L1N]],Commodities[[#This Row],[Commodity]],IF(Commodities[[#This Row],[Level 3]]=Commodities[[#This Row],[L2N]],Commodities[[#This Row],[L1N]],IF(Commodities[[#This Row],[Level 3]]=Commodities[[#This Row],[L3N]],Commodities[[#This Row],[L2N]],IF(Commodities[[#This Row],[Level 3]]=Commodities[[#This Row],[L4N]],Commodities[[#This Row],[L3N]],Commodities[[#This Row],[L4N]])))))</f>
        <v>Coke oven coke</v>
      </c>
      <c r="U63" s="24" t="str">
        <f>IF(Commodities[[#This Row],[Level 4]]=Commodities[[#This Row],[Commodity]],Commodities[[#This Row],[Commodity]],IF(Commodities[[#This Row],[Level 4]]=Commodities[[#This Row],[L1N]],Commodities[[#This Row],[Commodity]],IF(Commodities[[#This Row],[Level 4]]=Commodities[[#This Row],[L2N]],Commodities[[#This Row],[L1N]],IF(Commodities[[#This Row],[Level 4]]=Commodities[[#This Row],[L3N]],Commodities[[#This Row],[L2N]],IF(Commodities[[#This Row],[Level 4]]=Commodities[[#This Row],[L4N]],Commodities[[#This Row],[L3N]],Commodities[[#This Row],[L4N]])))))</f>
        <v>Coke oven coke</v>
      </c>
      <c r="Y63" s="5" t="s">
        <v>106</v>
      </c>
      <c r="Z63" s="4" t="s">
        <v>434</v>
      </c>
      <c r="AA63" s="4" t="s">
        <v>434</v>
      </c>
      <c r="AB63" s="6" t="s">
        <v>98</v>
      </c>
      <c r="AC63" s="24" t="str">
        <f>IFERROR(VLOOKUP(Transactions[[#This Row],[Parent code]],Transactions[[Transaction code]:[Transaction name]],2,0),"")</f>
        <v>Total Final Energy Consumption</v>
      </c>
      <c r="AD63" s="4" t="s">
        <v>630</v>
      </c>
      <c r="AF63" s="4" t="s">
        <v>642</v>
      </c>
      <c r="AG63" s="4" t="s">
        <v>1</v>
      </c>
      <c r="AH63" s="4" t="s">
        <v>696</v>
      </c>
      <c r="AJ63" s="4" t="s">
        <v>0</v>
      </c>
      <c r="AK63" s="24" t="str" cm="1">
        <f t="array" ref="AK63">IFERROR(INDEX(Transactions[[Transaction code]:[Transaction name]],_xlfn.XMATCH(Transactions[[#This Row],[Parent code]],Transactions[Transaction name],0),3),Transactions[[#This Row],[Transaction name]])</f>
        <v>Transport</v>
      </c>
      <c r="AL63" s="24" t="str" cm="1">
        <f t="array" ref="AL63">IFERROR(INDEX(Transactions[[Transaction code]:[Transaction name]],_xlfn.XMATCH(INDEX(Transactions[[Transaction name]:[Parent code]],_xlfn.XMATCH(Transactions[[#This Row],[L1N]],Transactions[Transaction name],0),3),Transactions[Transaction code],0),2),Transactions[[#This Row],[L1N]])</f>
        <v>Total Final Energy Consumption</v>
      </c>
      <c r="AM63" s="24" t="str" cm="1">
        <f t="array" ref="AM63">IFERROR(INDEX(Transactions[[Transaction code]:[Transaction name]],_xlfn.XMATCH(INDEX(Transactions[[Transaction name]:[Parent code]],_xlfn.XMATCH(Transactions[[#This Row],[L2N]],Transactions[Transaction name],0),3),Transactions[Transaction code],0),2),Transactions[[#This Row],[L2N]])</f>
        <v>Final consumption</v>
      </c>
      <c r="AN63" s="24" t="str" cm="1">
        <f t="array" ref="AN63">IFERROR(INDEX(Transactions[[Transaction code]:[Transaction name]],_xlfn.XMATCH(INDEX(Transactions[[Transaction name]:[Parent code]],_xlfn.XMATCH(Transactions[[#This Row],[L3N]],Transactions[Transaction name],0),3),Transactions[Transaction code],0),2),Transactions[[#This Row],[L3N]])</f>
        <v>Final consumption</v>
      </c>
      <c r="AO63" s="24" t="str" cm="1">
        <f t="array" ref="AO63">IFERROR(INDEX(Transactions[[Transaction code]:[Transaction name]],_xlfn.XMATCH(INDEX(Transactions[[Transaction name]:[Parent code]],_xlfn.XMATCH(Transactions[[#This Row],[L4N]],Transactions[Transaction name],0),3),Transactions[Transaction code],0),2),Transactions[[#This Row],[L4N]])</f>
        <v>Final consumption</v>
      </c>
      <c r="AP63" s="24" t="str" cm="1">
        <f t="array" ref="AP63">IFERROR(INDEX(Transactions[[Transaction code]:[Transaction name]],_xlfn.XMATCH(INDEX(Transactions[[Transaction name]:[Parent code]],_xlfn.XMATCH(Transactions[[#This Row],[L5N]],Transactions[Transaction name],0),3),Transactions[Transaction code],0),2),Transactions[[#This Row],[L5N]])</f>
        <v>Final consumption</v>
      </c>
      <c r="AQ63" s="24" t="str" cm="1">
        <f t="array" ref="AQ63">IFERROR(INDEX(Transactions[[Transaction code]:[Transaction name]],_xlfn.XMATCH(INDEX(Transactions[[Transaction name]:[Parent code]],_xlfn.XMATCH(Transactions[[#This Row],[L6N]],Transactions[Transaction name],0),3),Transactions[Transaction code],0),2),Transactions[[#This Row],[L6N]])</f>
        <v>Final consumption</v>
      </c>
      <c r="AR63" s="27" t="str">
        <f>IF(Transactions[[#This Row],[L7N]]=Transactions[[#This Row],[L6N]],Transactions[[#This Row],[L7N]],IF(Transactions[[#This Row],[L6N]]=Transactions[[#This Row],[L5N]],Transactions[[#This Row],[L6N]],IF(Transactions[[#This Row],[L5N]]=Transactions[[#This Row],[L4N]],Transactions[[#This Row],[L5N]],IF(Transactions[[#This Row],[L4N]]=Transactions[[#This Row],[L3N]],Transactions[[#This Row],[L4N]],IF(Transactions[[#This Row],[L3N]]=Transactions[[#This Row],[L2N]],Transactions[[#This Row],[L3N]],IF(Transactions[[#This Row],[L2N]]=Transactions[[#This Row],[L1N]],Transactions[[#This Row],[L2N]],IF(Transactions[[#This Row],[L1N]]=Transactions[[#This Row],[Transaction name]],Transactions[[#This Row],[L1N]],Transactions[[#This Row],[Transaction name]])))))))</f>
        <v>Final consumption</v>
      </c>
      <c r="AS63" s="24" t="str">
        <f>IF(Transactions[[#This Row],[Level 0]]=Transactions[[#This Row],[Transaction name]],Transactions[[#This Row],[Transaction name]],IF(Transactions[[#This Row],[Level 0]]=Transactions[[#This Row],[L1N]],Transactions[[#This Row],[Transaction name]],IF(Transactions[[#This Row],[Level 0]]=Transactions[[#This Row],[L2N]],Transactions[[#This Row],[L1N]],IF(Transactions[[#This Row],[Level 0]]=Transactions[[#This Row],[L3N]],Transactions[[#This Row],[L2N]],IF(Transactions[[#This Row],[Level 0]]=Transactions[[#This Row],[L4N]],Transactions[[#This Row],[L3N]],IF(Transactions[[#This Row],[Level 0]]=Transactions[[#This Row],[L5N]],Transactions[[#This Row],[L4N]],IF(Transactions[[#This Row],[Level 0]]=Transactions[[#This Row],[L6N]],Transactions[[#This Row],[L5N]],IF(Transactions[[#This Row],[Level 0]]=Transactions[[#This Row],[L7N]],Transactions[[#This Row],[L6N]],Transactions[[#This Row],[L7N]]))))))))</f>
        <v>Total Final Energy Consumption</v>
      </c>
      <c r="AT63" s="24" t="str">
        <f>IF(Transactions[[#This Row],[Level 1]]=Transactions[[#This Row],[Transaction name]],Transactions[[#This Row],[Transaction name]],IF(Transactions[[#This Row],[Level 1]]=Transactions[[#This Row],[L1N]],Transactions[[#This Row],[Transaction name]],IF(Transactions[[#This Row],[Level 1]]=Transactions[[#This Row],[L2N]],Transactions[[#This Row],[L1N]],IF(Transactions[[#This Row],[Level 1]]=Transactions[[#This Row],[L3N]],Transactions[[#This Row],[L2N]],IF(Transactions[[#This Row],[Level 1]]=Transactions[[#This Row],[L4N]],Transactions[[#This Row],[L3N]],IF(Transactions[[#This Row],[Level 1]]=Transactions[[#This Row],[L5N]],Transactions[[#This Row],[L4N]],IF(Transactions[[#This Row],[Level 1]]=Transactions[[#This Row],[L6N]],Transactions[[#This Row],[L5N]],IF(Transactions[[#This Row],[Level 1]]=Transactions[[#This Row],[L7N]],Transactions[[#This Row],[L6N]],Transactions[[#This Row],[L7N]]))))))))</f>
        <v>Transport</v>
      </c>
      <c r="AU63" s="24" t="str">
        <f>IF(Transactions[[#This Row],[Level 2]]=Transactions[[#This Row],[Transaction name]],Transactions[[#This Row],[Transaction name]],IF(Transactions[[#This Row],[Level 2]]=Transactions[[#This Row],[L1N]],Transactions[[#This Row],[Transaction name]],IF(Transactions[[#This Row],[Level 2]]=Transactions[[#This Row],[L2N]],Transactions[[#This Row],[L1N]],IF(Transactions[[#This Row],[Level 2]]=Transactions[[#This Row],[L3N]],Transactions[[#This Row],[L2N]],IF(Transactions[[#This Row],[Level 2]]=Transactions[[#This Row],[L4N]],Transactions[[#This Row],[L3N]],IF(Transactions[[#This Row],[Level 2]]=Transactions[[#This Row],[L5N]],Transactions[[#This Row],[L4N]],IF(Transactions[[#This Row],[Level 2]]=Transactions[[#This Row],[L6N]],Transactions[[#This Row],[L5N]],IF(Transactions[[#This Row],[Level 2]]=Transactions[[#This Row],[L7N]],Transactions[[#This Row],[L6N]],Transactions[[#This Row],[L7N]]))))))))</f>
        <v>Transport</v>
      </c>
      <c r="AV63" s="24" t="str">
        <f>IF(Transactions[[#This Row],[Level 3]]=Transactions[[#This Row],[Transaction name]],Transactions[[#This Row],[Transaction name]],IF(Transactions[[#This Row],[Level 3]]=Transactions[[#This Row],[L1N]],Transactions[[#This Row],[Transaction name]],IF(Transactions[[#This Row],[Level 3]]=Transactions[[#This Row],[L2N]],Transactions[[#This Row],[L1N]],IF(Transactions[[#This Row],[Level 3]]=Transactions[[#This Row],[L3N]],Transactions[[#This Row],[L2N]],IF(Transactions[[#This Row],[Level 3]]=Transactions[[#This Row],[L4N]],Transactions[[#This Row],[L3N]],IF(Transactions[[#This Row],[Level 3]]=Transactions[[#This Row],[L5N]],Transactions[[#This Row],[L4N]],IF(Transactions[[#This Row],[Level 3]]=Transactions[[#This Row],[L6N]],Transactions[[#This Row],[L5N]],IF(Transactions[[#This Row],[Level 3]]=Transactions[[#This Row],[L7N]],Transactions[[#This Row],[L6N]],Transactions[[#This Row],[L7N]]))))))))</f>
        <v>Transport</v>
      </c>
      <c r="AW63" s="24" t="str">
        <f>IF(Transactions[[#This Row],[Level 4]]=Transactions[[#This Row],[Transaction name]],Transactions[[#This Row],[Transaction name]],IF(Transactions[[#This Row],[Level 4]]=Transactions[[#This Row],[L1N]],Transactions[[#This Row],[Transaction name]],IF(Transactions[[#This Row],[Level 4]]=Transactions[[#This Row],[L2N]],Transactions[[#This Row],[L1N]],IF(Transactions[[#This Row],[Level 4]]=Transactions[[#This Row],[L3N]],Transactions[[#This Row],[L2N]],IF(Transactions[[#This Row],[Level 4]]=Transactions[[#This Row],[L4N]],Transactions[[#This Row],[L3N]],IF(Transactions[[#This Row],[Level 4]]=Transactions[[#This Row],[L5N]],Transactions[[#This Row],[L4N]],IF(Transactions[[#This Row],[Level 4]]=Transactions[[#This Row],[L6N]],Transactions[[#This Row],[L5N]],IF(Transactions[[#This Row],[Level 4]]=Transactions[[#This Row],[L7N]],Transactions[[#This Row],[L6N]],Transactions[[#This Row],[L7N]]))))))))</f>
        <v>Transport</v>
      </c>
      <c r="AX63" s="24" t="str">
        <f>IF(Transactions[[#This Row],[Level 5]]=Transactions[[#This Row],[Transaction name]],Transactions[[#This Row],[Transaction name]],IF(Transactions[[#This Row],[Level 5]]=Transactions[[#This Row],[L1N]],Transactions[[#This Row],[Transaction name]],IF(Transactions[[#This Row],[Level 5]]=Transactions[[#This Row],[L2N]],Transactions[[#This Row],[L1N]],IF(Transactions[[#This Row],[Level 5]]=Transactions[[#This Row],[L3N]],Transactions[[#This Row],[L2N]],IF(Transactions[[#This Row],[Level 5]]=Transactions[[#This Row],[L4N]],Transactions[[#This Row],[L3N]],IF(Transactions[[#This Row],[Level 5]]=Transactions[[#This Row],[L5N]],Transactions[[#This Row],[L4N]],IF(Transactions[[#This Row],[Level 5]]=Transactions[[#This Row],[L6N]],Transactions[[#This Row],[L5N]],IF(Transactions[[#This Row],[Level 5]]=Transactions[[#This Row],[L7N]],Transactions[[#This Row],[L6N]],Transactions[[#This Row],[L7N]]))))))))</f>
        <v>Transport</v>
      </c>
      <c r="AY63" s="24" t="str">
        <f>IF(Transactions[[#This Row],[Level 6]]=Transactions[[#This Row],[Transaction name]],Transactions[[#This Row],[Transaction name]],IF(Transactions[[#This Row],[Level 6]]=Transactions[[#This Row],[L1N]],Transactions[[#This Row],[Transaction name]],IF(Transactions[[#This Row],[Level 6]]=Transactions[[#This Row],[L2N]],Transactions[[#This Row],[L1N]],IF(Transactions[[#This Row],[Level 6]]=Transactions[[#This Row],[L3N]],Transactions[[#This Row],[L2N]],IF(Transactions[[#This Row],[Level 6]]=Transactions[[#This Row],[L4N]],Transactions[[#This Row],[L3N]],IF(Transactions[[#This Row],[Level 6]]=Transactions[[#This Row],[L5N]],Transactions[[#This Row],[L4N]],IF(Transactions[[#This Row],[Level 6]]=Transactions[[#This Row],[L6N]],Transactions[[#This Row],[L5N]],IF(Transactions[[#This Row],[Level 6]]=Transactions[[#This Row],[L7N]],Transactions[[#This Row],[L6N]],Transactions[[#This Row],[L7N]]))))))))</f>
        <v>Transport</v>
      </c>
      <c r="BE63" s="26" t="str">
        <f>_xlfn.XLOOKUP(Transformation[[#This Row],[cfrom]],Commodities[Commodity],Commodities[Commodity code])</f>
        <v>4670</v>
      </c>
      <c r="BF63" s="26" t="str">
        <f>_xlfn.XLOOKUP(Transformation[[#This Row],[tfrom]],Transactions[Transaction name],Transactions[Transaction code])</f>
        <v>08821</v>
      </c>
      <c r="BG63" s="26" t="str">
        <f>_xlfn.XLOOKUP(Transformation[[#This Row],[cto]],Commodities[Commodity],Commodities[Commodity code])</f>
        <v>4670</v>
      </c>
      <c r="BH63" s="26" t="str">
        <f>_xlfn.XLOOKUP(Transformation[[#This Row],[tto]],Transactions[Transaction name],Transactions[Transaction code])</f>
        <v>015DC</v>
      </c>
      <c r="BI63" s="11">
        <v>1</v>
      </c>
      <c r="BJ63" s="4" t="s">
        <v>372</v>
      </c>
      <c r="BK63" s="24" t="str">
        <f>_xlfn.XLOOKUP(Transformation[[#This Row],[Commodity from]],Commodities[Commodity code],Commodities[EnergyCode])</f>
        <v>DL</v>
      </c>
      <c r="BL63" s="4" t="s">
        <v>691</v>
      </c>
      <c r="BM63" s="4" t="s">
        <v>372</v>
      </c>
      <c r="BN63" s="24" t="str">
        <f>_xlfn.XLOOKUP(Transformation[[#This Row],[Commodity to]],Commodities[Commodity code],Commodities[EnergyCode])</f>
        <v>DL</v>
      </c>
      <c r="BO63" s="4" t="s">
        <v>1034</v>
      </c>
      <c r="BP63" s="16" t="s">
        <v>1493</v>
      </c>
      <c r="BQ63" s="33" t="str">
        <f>Transformation[[#This Row],[Commodity from]]&amp;Transformation[[#This Row],[Transaction from]]&amp;Transformation[[#This Row],[Commodity to]]&amp;Transformation[[#This Row],[Transaction to]]</f>
        <v>4670088214670015DC</v>
      </c>
      <c r="BR63" s="26" t="str">
        <f>Transformation[[#This Row],[crfomid]]&amp;Transformation[[#This Row],[Transaction from]]&amp;"("&amp;Transformation[[#This Row],[Multiplier]]&amp;") -&gt; "&amp;Transformation[[#This Row],[ctoid]]&amp;Transformation[[#This Row],[Transaction to]]</f>
        <v>DL08821(1) -&gt; DL015DC</v>
      </c>
      <c r="BT63" s="26" t="str">
        <f>_xlfn.XLOOKUP(Signswitch[[#This Row],[Commodity name]],Commodities[Commodity],Commodities[Commodity code])</f>
        <v>5222</v>
      </c>
      <c r="BU63" s="26" t="str">
        <f>_xlfn.XLOOKUP(Signswitch[[#This Row],[Transaction name]],Transactions[Transaction name],Transactions[Transaction code])</f>
        <v>1221</v>
      </c>
      <c r="BV63" s="26" t="str">
        <f>Signswitch[[#This Row],[Commodity from]]&amp;Signswitch[[#This Row],[Transaction from]]</f>
        <v>52221221</v>
      </c>
      <c r="BW63" s="22" t="s">
        <v>962</v>
      </c>
      <c r="BX63" s="26" t="str">
        <f>_xlfn.XLOOKUP(Signswitch[[#This Row],[Commodity from]],Commodities[Commodity code],Commodities[EnergyCode])</f>
        <v>ZD</v>
      </c>
      <c r="BY63" s="22" t="s">
        <v>430</v>
      </c>
    </row>
    <row r="64" spans="8:77" x14ac:dyDescent="0.45">
      <c r="H64" s="5" t="s">
        <v>302</v>
      </c>
      <c r="I64" s="4" t="s">
        <v>301</v>
      </c>
      <c r="J64" s="9" t="s">
        <v>300</v>
      </c>
      <c r="K64" s="9" t="s">
        <v>1462</v>
      </c>
      <c r="L64" s="23" t="str">
        <f>IFERROR(INDEX(Commodities[[Commodity code]:[Commodity]],MATCH(Commodities[[#This Row],[Parent code]],Commodities[Commodity code],0),2),Commodities[[#This Row],[Commodity]])</f>
        <v>Liquid biofuels</v>
      </c>
      <c r="M64" s="24" t="str">
        <f>IFERROR(INDEX(Commodities[[Commodity code]:[Commodity]],MATCH(INDEX(Commodities[[Commodity]:[Parent code]],MATCH(Commodities[[#This Row],[L1N]],Commodities[Commodity],0),2),Commodities[Commodity code],0),2),Commodities[[#This Row],[L1N]])</f>
        <v>Biofuels</v>
      </c>
      <c r="N64" s="24" t="str">
        <f>IFERROR(INDEX(Commodities[[Commodity code]:[Commodity]],MATCH(INDEX(Commodities[[Commodity]:[Parent code]],MATCH(Commodities[[#This Row],[L2N]],Commodities[Commodity],0),2),Commodities[Commodity code],0),2),Commodities[[#This Row],[L2N]])</f>
        <v>Biofuels</v>
      </c>
      <c r="O64" s="24" t="str">
        <f>IFERROR(INDEX(Commodities[[Commodity code]:[Commodity]],MATCH(INDEX(Commodities[[Commodity]:[Parent code]],MATCH(Commodities[[#This Row],[L3N]],Commodities[Commodity],0),2),Commodities[Commodity code],0),2),Commodities[[#This Row],[L3N]])</f>
        <v>Biofuels</v>
      </c>
      <c r="P64" s="24" t="str">
        <f>IF(Commodities[[#This Row],[L4N]]=Commodities[[#This Row],[L3N]],Commodities[[#This Row],[L4N]],IF(Commodities[[#This Row],[L3N]]=Commodities[[#This Row],[L2N]],Commodities[[#This Row],[L3N]],IF(Commodities[[#This Row],[L2N]]=Commodities[[#This Row],[L1N]],Commodities[[#This Row],[L2N]],IF(Commodities[[#This Row],[L1N]]=Commodities[[#This Row],[Commodity]],Commodities[[#This Row],[L1N]],Commodities[[#This Row],[Commodity]]))))</f>
        <v>Biofuels</v>
      </c>
      <c r="Q64" s="24" t="str">
        <f>IF(Commodities[[#This Row],[Level 0]]=Commodities[[#This Row],[Commodity]],Commodities[[#This Row],[Commodity]],IF(Commodities[[#This Row],[Level 0]]=Commodities[[#This Row],[L1N]],Commodities[[#This Row],[Commodity]],IF(Commodities[[#This Row],[Level 0]]=Commodities[[#This Row],[L2N]],Commodities[[#This Row],[L1N]],IF(Commodities[[#This Row],[Level 0]]=Commodities[[#This Row],[L3N]],Commodities[[#This Row],[L2N]],IF(Commodities[[#This Row],[Level 0]]=Commodities[[#This Row],[L4N]],Commodities[[#This Row],[L3N]],Commodities[[#This Row],[L4N]])))))</f>
        <v>Liquid biofuels</v>
      </c>
      <c r="R64" s="24" t="str">
        <f>IF(Commodities[[#This Row],[Level 1]]=Commodities[[#This Row],[Commodity]],Commodities[[#This Row],[Commodity]],IF(Commodities[[#This Row],[Level 1]]=Commodities[[#This Row],[L1N]],Commodities[[#This Row],[Commodity]],IF(Commodities[[#This Row],[Level 1]]=Commodities[[#This Row],[L2N]],Commodities[[#This Row],[L1N]],IF(Commodities[[#This Row],[Level 1]]=Commodities[[#This Row],[L3N]],Commodities[[#This Row],[L2N]],IF(Commodities[[#This Row],[Level 1]]=Commodities[[#This Row],[L4N]],Commodities[[#This Row],[L3N]],Commodities[[#This Row],[L4N]])))))</f>
        <v>Other liquid biofuels</v>
      </c>
      <c r="S64" s="24" t="str">
        <f>IF(Commodities[[#This Row],[Level 2]]=Commodities[[#This Row],[Commodity]],Commodities[[#This Row],[Commodity]],IF(Commodities[[#This Row],[Level 2]]=Commodities[[#This Row],[L1N]],Commodities[[#This Row],[Commodity]],IF(Commodities[[#This Row],[Level 2]]=Commodities[[#This Row],[L2N]],Commodities[[#This Row],[L1N]],IF(Commodities[[#This Row],[Level 2]]=Commodities[[#This Row],[L3N]],Commodities[[#This Row],[L2N]],IF(Commodities[[#This Row],[Level 2]]=Commodities[[#This Row],[L4N]],Commodities[[#This Row],[L3N]],Commodities[[#This Row],[L4N]])))))</f>
        <v>Other liquid biofuels</v>
      </c>
      <c r="T64" s="24" t="str">
        <f>IF(Commodities[[#This Row],[Level 3]]=Commodities[[#This Row],[Commodity]],Commodities[[#This Row],[Commodity]],IF(Commodities[[#This Row],[Level 3]]=Commodities[[#This Row],[L1N]],Commodities[[#This Row],[Commodity]],IF(Commodities[[#This Row],[Level 3]]=Commodities[[#This Row],[L2N]],Commodities[[#This Row],[L1N]],IF(Commodities[[#This Row],[Level 3]]=Commodities[[#This Row],[L3N]],Commodities[[#This Row],[L2N]],IF(Commodities[[#This Row],[Level 3]]=Commodities[[#This Row],[L4N]],Commodities[[#This Row],[L3N]],Commodities[[#This Row],[L4N]])))))</f>
        <v>Other liquid biofuels</v>
      </c>
      <c r="U64" s="24" t="str">
        <f>IF(Commodities[[#This Row],[Level 4]]=Commodities[[#This Row],[Commodity]],Commodities[[#This Row],[Commodity]],IF(Commodities[[#This Row],[Level 4]]=Commodities[[#This Row],[L1N]],Commodities[[#This Row],[Commodity]],IF(Commodities[[#This Row],[Level 4]]=Commodities[[#This Row],[L2N]],Commodities[[#This Row],[L1N]],IF(Commodities[[#This Row],[Level 4]]=Commodities[[#This Row],[L3N]],Commodities[[#This Row],[L2N]],IF(Commodities[[#This Row],[Level 4]]=Commodities[[#This Row],[L4N]],Commodities[[#This Row],[L3N]],Commodities[[#This Row],[L4N]])))))</f>
        <v>Other liquid biofuels</v>
      </c>
      <c r="Y64" s="5" t="s">
        <v>109</v>
      </c>
      <c r="Z64" s="4" t="s">
        <v>906</v>
      </c>
      <c r="AA64" s="4" t="s">
        <v>906</v>
      </c>
      <c r="AB64" s="6" t="s">
        <v>106</v>
      </c>
      <c r="AC64" s="24" t="str">
        <f>IFERROR(VLOOKUP(Transactions[[#This Row],[Parent code]],Transactions[[Transaction code]:[Transaction name]],2,0),"")</f>
        <v>Transport</v>
      </c>
      <c r="AD64" s="4" t="s">
        <v>630</v>
      </c>
      <c r="AE64" s="4" t="s">
        <v>912</v>
      </c>
      <c r="AF64" s="4" t="s">
        <v>642</v>
      </c>
      <c r="AG64" s="4" t="s">
        <v>1</v>
      </c>
      <c r="AH64" s="4" t="s">
        <v>696</v>
      </c>
      <c r="AK64" s="24" t="str" cm="1">
        <f t="array" ref="AK64">IFERROR(INDEX(Transactions[[Transaction code]:[Transaction name]],_xlfn.XMATCH(Transactions[[#This Row],[Parent code]],Transactions[Transaction name],0),3),Transactions[[#This Row],[Transaction name]])</f>
        <v>Transport n.e.s.</v>
      </c>
      <c r="AL64" s="24" t="str" cm="1">
        <f t="array" ref="AL64">IFERROR(INDEX(Transactions[[Transaction code]:[Transaction name]],_xlfn.XMATCH(INDEX(Transactions[[Transaction name]:[Parent code]],_xlfn.XMATCH(Transactions[[#This Row],[L1N]],Transactions[Transaction name],0),3),Transactions[Transaction code],0),2),Transactions[[#This Row],[L1N]])</f>
        <v>Transport</v>
      </c>
      <c r="AM64" s="24" t="str" cm="1">
        <f t="array" ref="AM64">IFERROR(INDEX(Transactions[[Transaction code]:[Transaction name]],_xlfn.XMATCH(INDEX(Transactions[[Transaction name]:[Parent code]],_xlfn.XMATCH(Transactions[[#This Row],[L2N]],Transactions[Transaction name],0),3),Transactions[Transaction code],0),2),Transactions[[#This Row],[L2N]])</f>
        <v>Total Final Energy Consumption</v>
      </c>
      <c r="AN64" s="24" t="str" cm="1">
        <f t="array" ref="AN64">IFERROR(INDEX(Transactions[[Transaction code]:[Transaction name]],_xlfn.XMATCH(INDEX(Transactions[[Transaction name]:[Parent code]],_xlfn.XMATCH(Transactions[[#This Row],[L3N]],Transactions[Transaction name],0),3),Transactions[Transaction code],0),2),Transactions[[#This Row],[L3N]])</f>
        <v>Final consumption</v>
      </c>
      <c r="AO64" s="24" t="str" cm="1">
        <f t="array" ref="AO64">IFERROR(INDEX(Transactions[[Transaction code]:[Transaction name]],_xlfn.XMATCH(INDEX(Transactions[[Transaction name]:[Parent code]],_xlfn.XMATCH(Transactions[[#This Row],[L4N]],Transactions[Transaction name],0),3),Transactions[Transaction code],0),2),Transactions[[#This Row],[L4N]])</f>
        <v>Final consumption</v>
      </c>
      <c r="AP64" s="24" t="str" cm="1">
        <f t="array" ref="AP64">IFERROR(INDEX(Transactions[[Transaction code]:[Transaction name]],_xlfn.XMATCH(INDEX(Transactions[[Transaction name]:[Parent code]],_xlfn.XMATCH(Transactions[[#This Row],[L5N]],Transactions[Transaction name],0),3),Transactions[Transaction code],0),2),Transactions[[#This Row],[L5N]])</f>
        <v>Final consumption</v>
      </c>
      <c r="AQ64" s="24" t="str" cm="1">
        <f t="array" ref="AQ64">IFERROR(INDEX(Transactions[[Transaction code]:[Transaction name]],_xlfn.XMATCH(INDEX(Transactions[[Transaction name]:[Parent code]],_xlfn.XMATCH(Transactions[[#This Row],[L6N]],Transactions[Transaction name],0),3),Transactions[Transaction code],0),2),Transactions[[#This Row],[L6N]])</f>
        <v>Final consumption</v>
      </c>
      <c r="AR64" s="27" t="str">
        <f>IF(Transactions[[#This Row],[L7N]]=Transactions[[#This Row],[L6N]],Transactions[[#This Row],[L7N]],IF(Transactions[[#This Row],[L6N]]=Transactions[[#This Row],[L5N]],Transactions[[#This Row],[L6N]],IF(Transactions[[#This Row],[L5N]]=Transactions[[#This Row],[L4N]],Transactions[[#This Row],[L5N]],IF(Transactions[[#This Row],[L4N]]=Transactions[[#This Row],[L3N]],Transactions[[#This Row],[L4N]],IF(Transactions[[#This Row],[L3N]]=Transactions[[#This Row],[L2N]],Transactions[[#This Row],[L3N]],IF(Transactions[[#This Row],[L2N]]=Transactions[[#This Row],[L1N]],Transactions[[#This Row],[L2N]],IF(Transactions[[#This Row],[L1N]]=Transactions[[#This Row],[Transaction name]],Transactions[[#This Row],[L1N]],Transactions[[#This Row],[Transaction name]])))))))</f>
        <v>Final consumption</v>
      </c>
      <c r="AS64" s="24" t="str">
        <f>IF(Transactions[[#This Row],[Level 0]]=Transactions[[#This Row],[Transaction name]],Transactions[[#This Row],[Transaction name]],IF(Transactions[[#This Row],[Level 0]]=Transactions[[#This Row],[L1N]],Transactions[[#This Row],[Transaction name]],IF(Transactions[[#This Row],[Level 0]]=Transactions[[#This Row],[L2N]],Transactions[[#This Row],[L1N]],IF(Transactions[[#This Row],[Level 0]]=Transactions[[#This Row],[L3N]],Transactions[[#This Row],[L2N]],IF(Transactions[[#This Row],[Level 0]]=Transactions[[#This Row],[L4N]],Transactions[[#This Row],[L3N]],IF(Transactions[[#This Row],[Level 0]]=Transactions[[#This Row],[L5N]],Transactions[[#This Row],[L4N]],IF(Transactions[[#This Row],[Level 0]]=Transactions[[#This Row],[L6N]],Transactions[[#This Row],[L5N]],IF(Transactions[[#This Row],[Level 0]]=Transactions[[#This Row],[L7N]],Transactions[[#This Row],[L6N]],Transactions[[#This Row],[L7N]]))))))))</f>
        <v>Total Final Energy Consumption</v>
      </c>
      <c r="AT64" s="24" t="str">
        <f>IF(Transactions[[#This Row],[Level 1]]=Transactions[[#This Row],[Transaction name]],Transactions[[#This Row],[Transaction name]],IF(Transactions[[#This Row],[Level 1]]=Transactions[[#This Row],[L1N]],Transactions[[#This Row],[Transaction name]],IF(Transactions[[#This Row],[Level 1]]=Transactions[[#This Row],[L2N]],Transactions[[#This Row],[L1N]],IF(Transactions[[#This Row],[Level 1]]=Transactions[[#This Row],[L3N]],Transactions[[#This Row],[L2N]],IF(Transactions[[#This Row],[Level 1]]=Transactions[[#This Row],[L4N]],Transactions[[#This Row],[L3N]],IF(Transactions[[#This Row],[Level 1]]=Transactions[[#This Row],[L5N]],Transactions[[#This Row],[L4N]],IF(Transactions[[#This Row],[Level 1]]=Transactions[[#This Row],[L6N]],Transactions[[#This Row],[L5N]],IF(Transactions[[#This Row],[Level 1]]=Transactions[[#This Row],[L7N]],Transactions[[#This Row],[L6N]],Transactions[[#This Row],[L7N]]))))))))</f>
        <v>Transport</v>
      </c>
      <c r="AU64" s="24" t="str">
        <f>IF(Transactions[[#This Row],[Level 2]]=Transactions[[#This Row],[Transaction name]],Transactions[[#This Row],[Transaction name]],IF(Transactions[[#This Row],[Level 2]]=Transactions[[#This Row],[L1N]],Transactions[[#This Row],[Transaction name]],IF(Transactions[[#This Row],[Level 2]]=Transactions[[#This Row],[L2N]],Transactions[[#This Row],[L1N]],IF(Transactions[[#This Row],[Level 2]]=Transactions[[#This Row],[L3N]],Transactions[[#This Row],[L2N]],IF(Transactions[[#This Row],[Level 2]]=Transactions[[#This Row],[L4N]],Transactions[[#This Row],[L3N]],IF(Transactions[[#This Row],[Level 2]]=Transactions[[#This Row],[L5N]],Transactions[[#This Row],[L4N]],IF(Transactions[[#This Row],[Level 2]]=Transactions[[#This Row],[L6N]],Transactions[[#This Row],[L5N]],IF(Transactions[[#This Row],[Level 2]]=Transactions[[#This Row],[L7N]],Transactions[[#This Row],[L6N]],Transactions[[#This Row],[L7N]]))))))))</f>
        <v>Transport n.e.s.</v>
      </c>
      <c r="AV64" s="24" t="str">
        <f>IF(Transactions[[#This Row],[Level 3]]=Transactions[[#This Row],[Transaction name]],Transactions[[#This Row],[Transaction name]],IF(Transactions[[#This Row],[Level 3]]=Transactions[[#This Row],[L1N]],Transactions[[#This Row],[Transaction name]],IF(Transactions[[#This Row],[Level 3]]=Transactions[[#This Row],[L2N]],Transactions[[#This Row],[L1N]],IF(Transactions[[#This Row],[Level 3]]=Transactions[[#This Row],[L3N]],Transactions[[#This Row],[L2N]],IF(Transactions[[#This Row],[Level 3]]=Transactions[[#This Row],[L4N]],Transactions[[#This Row],[L3N]],IF(Transactions[[#This Row],[Level 3]]=Transactions[[#This Row],[L5N]],Transactions[[#This Row],[L4N]],IF(Transactions[[#This Row],[Level 3]]=Transactions[[#This Row],[L6N]],Transactions[[#This Row],[L5N]],IF(Transactions[[#This Row],[Level 3]]=Transactions[[#This Row],[L7N]],Transactions[[#This Row],[L6N]],Transactions[[#This Row],[L7N]]))))))))</f>
        <v>Transport n.e.s.</v>
      </c>
      <c r="AW64" s="24" t="str">
        <f>IF(Transactions[[#This Row],[Level 4]]=Transactions[[#This Row],[Transaction name]],Transactions[[#This Row],[Transaction name]],IF(Transactions[[#This Row],[Level 4]]=Transactions[[#This Row],[L1N]],Transactions[[#This Row],[Transaction name]],IF(Transactions[[#This Row],[Level 4]]=Transactions[[#This Row],[L2N]],Transactions[[#This Row],[L1N]],IF(Transactions[[#This Row],[Level 4]]=Transactions[[#This Row],[L3N]],Transactions[[#This Row],[L2N]],IF(Transactions[[#This Row],[Level 4]]=Transactions[[#This Row],[L4N]],Transactions[[#This Row],[L3N]],IF(Transactions[[#This Row],[Level 4]]=Transactions[[#This Row],[L5N]],Transactions[[#This Row],[L4N]],IF(Transactions[[#This Row],[Level 4]]=Transactions[[#This Row],[L6N]],Transactions[[#This Row],[L5N]],IF(Transactions[[#This Row],[Level 4]]=Transactions[[#This Row],[L7N]],Transactions[[#This Row],[L6N]],Transactions[[#This Row],[L7N]]))))))))</f>
        <v>Transport n.e.s.</v>
      </c>
      <c r="AX64" s="24" t="str">
        <f>IF(Transactions[[#This Row],[Level 5]]=Transactions[[#This Row],[Transaction name]],Transactions[[#This Row],[Transaction name]],IF(Transactions[[#This Row],[Level 5]]=Transactions[[#This Row],[L1N]],Transactions[[#This Row],[Transaction name]],IF(Transactions[[#This Row],[Level 5]]=Transactions[[#This Row],[L2N]],Transactions[[#This Row],[L1N]],IF(Transactions[[#This Row],[Level 5]]=Transactions[[#This Row],[L3N]],Transactions[[#This Row],[L2N]],IF(Transactions[[#This Row],[Level 5]]=Transactions[[#This Row],[L4N]],Transactions[[#This Row],[L3N]],IF(Transactions[[#This Row],[Level 5]]=Transactions[[#This Row],[L5N]],Transactions[[#This Row],[L4N]],IF(Transactions[[#This Row],[Level 5]]=Transactions[[#This Row],[L6N]],Transactions[[#This Row],[L5N]],IF(Transactions[[#This Row],[Level 5]]=Transactions[[#This Row],[L7N]],Transactions[[#This Row],[L6N]],Transactions[[#This Row],[L7N]]))))))))</f>
        <v>Transport n.e.s.</v>
      </c>
      <c r="AY64" s="24" t="str">
        <f>IF(Transactions[[#This Row],[Level 6]]=Transactions[[#This Row],[Transaction name]],Transactions[[#This Row],[Transaction name]],IF(Transactions[[#This Row],[Level 6]]=Transactions[[#This Row],[L1N]],Transactions[[#This Row],[Transaction name]],IF(Transactions[[#This Row],[Level 6]]=Transactions[[#This Row],[L2N]],Transactions[[#This Row],[L1N]],IF(Transactions[[#This Row],[Level 6]]=Transactions[[#This Row],[L3N]],Transactions[[#This Row],[L2N]],IF(Transactions[[#This Row],[Level 6]]=Transactions[[#This Row],[L4N]],Transactions[[#This Row],[L3N]],IF(Transactions[[#This Row],[Level 6]]=Transactions[[#This Row],[L5N]],Transactions[[#This Row],[L4N]],IF(Transactions[[#This Row],[Level 6]]=Transactions[[#This Row],[L6N]],Transactions[[#This Row],[L5N]],IF(Transactions[[#This Row],[Level 6]]=Transactions[[#This Row],[L7N]],Transactions[[#This Row],[L6N]],Transactions[[#This Row],[L7N]]))))))))</f>
        <v>Transport n.e.s.</v>
      </c>
      <c r="BE64" s="26" t="str">
        <f>_xlfn.XLOOKUP(Transformation[[#This Row],[cfrom]],Commodities[Commodity],Commodities[Commodity code])</f>
        <v>5110</v>
      </c>
      <c r="BF64" s="26" t="str">
        <f>_xlfn.XLOOKUP(Transformation[[#This Row],[tfrom]],Transactions[Transaction name],Transactions[Transaction code])</f>
        <v>08821</v>
      </c>
      <c r="BG64" s="26" t="str">
        <f>_xlfn.XLOOKUP(Transformation[[#This Row],[cto]],Commodities[Commodity],Commodities[Commodity code])</f>
        <v>5110</v>
      </c>
      <c r="BH64" s="26" t="str">
        <f>_xlfn.XLOOKUP(Transformation[[#This Row],[tto]],Transactions[Transaction name],Transactions[Transaction code])</f>
        <v>015WDC</v>
      </c>
      <c r="BI64" s="11">
        <v>1</v>
      </c>
      <c r="BJ64" s="4" t="s">
        <v>340</v>
      </c>
      <c r="BK64" s="24" t="str">
        <f>_xlfn.XLOOKUP(Transformation[[#This Row],[Commodity from]],Commodities[Commodity code],Commodities[EnergyCode])</f>
        <v>FW</v>
      </c>
      <c r="BL64" s="4" t="s">
        <v>691</v>
      </c>
      <c r="BM64" s="4" t="s">
        <v>340</v>
      </c>
      <c r="BN64" s="24" t="str">
        <f>_xlfn.XLOOKUP(Transformation[[#This Row],[Commodity to]],Commodities[Commodity code],Commodities[EnergyCode])</f>
        <v>FW</v>
      </c>
      <c r="BO64" s="4" t="s">
        <v>1114</v>
      </c>
      <c r="BP64" s="16" t="s">
        <v>1493</v>
      </c>
      <c r="BQ64" s="33" t="str">
        <f>Transformation[[#This Row],[Commodity from]]&amp;Transformation[[#This Row],[Transaction from]]&amp;Transformation[[#This Row],[Commodity to]]&amp;Transformation[[#This Row],[Transaction to]]</f>
        <v>5110088215110015WDC</v>
      </c>
      <c r="BR64" s="26" t="str">
        <f>Transformation[[#This Row],[crfomid]]&amp;Transformation[[#This Row],[Transaction from]]&amp;"("&amp;Transformation[[#This Row],[Multiplier]]&amp;") -&gt; "&amp;Transformation[[#This Row],[ctoid]]&amp;Transformation[[#This Row],[Transaction to]]</f>
        <v>FW08821(1) -&gt; FW015WDC</v>
      </c>
      <c r="BT64" s="26" t="str">
        <f>_xlfn.XLOOKUP(Signswitch[[#This Row],[Commodity name]],Commodities[Commodity],Commodities[Commodity code])</f>
        <v>5212</v>
      </c>
      <c r="BU64" s="26" t="str">
        <f>_xlfn.XLOOKUP(Signswitch[[#This Row],[Transaction name]],Transactions[Transaction name],Transactions[Transaction code])</f>
        <v>1221</v>
      </c>
      <c r="BV64" s="26" t="str">
        <f>Signswitch[[#This Row],[Commodity from]]&amp;Signswitch[[#This Row],[Transaction from]]</f>
        <v>52121221</v>
      </c>
      <c r="BW64" s="22" t="s">
        <v>317</v>
      </c>
      <c r="BX64" s="26" t="str">
        <f>_xlfn.XLOOKUP(Signswitch[[#This Row],[Commodity from]],Commodities[Commodity code],Commodities[EnergyCode])</f>
        <v>ZG</v>
      </c>
      <c r="BY64" s="22" t="s">
        <v>430</v>
      </c>
    </row>
    <row r="65" spans="8:77" x14ac:dyDescent="0.45">
      <c r="H65" s="5" t="s">
        <v>451</v>
      </c>
      <c r="I65" s="4" t="s">
        <v>450</v>
      </c>
      <c r="J65" s="9"/>
      <c r="K65" s="14" t="s">
        <v>1476</v>
      </c>
      <c r="L65" s="23" t="str">
        <f>IFERROR(INDEX(Commodities[[Commodity code]:[Commodity]],MATCH(Commodities[[#This Row],[Parent code]],Commodities[Commodity code],0),2),Commodities[[#This Row],[Commodity]])</f>
        <v>Oil shale/oil sands</v>
      </c>
      <c r="M65" s="24" t="str">
        <f>IFERROR(INDEX(Commodities[[Commodity code]:[Commodity]],MATCH(INDEX(Commodities[[Commodity]:[Parent code]],MATCH(Commodities[[#This Row],[L1N]],Commodities[Commodity],0),2),Commodities[Commodity code],0),2),Commodities[[#This Row],[L1N]])</f>
        <v>Oil shale/oil sands</v>
      </c>
      <c r="N65" s="24" t="str">
        <f>IFERROR(INDEX(Commodities[[Commodity code]:[Commodity]],MATCH(INDEX(Commodities[[Commodity]:[Parent code]],MATCH(Commodities[[#This Row],[L2N]],Commodities[Commodity],0),2),Commodities[Commodity code],0),2),Commodities[[#This Row],[L2N]])</f>
        <v>Oil shale/oil sands</v>
      </c>
      <c r="O65" s="24" t="str">
        <f>IFERROR(INDEX(Commodities[[Commodity code]:[Commodity]],MATCH(INDEX(Commodities[[Commodity]:[Parent code]],MATCH(Commodities[[#This Row],[L3N]],Commodities[Commodity],0),2),Commodities[Commodity code],0),2),Commodities[[#This Row],[L3N]])</f>
        <v>Oil shale/oil sands</v>
      </c>
      <c r="P65" s="24" t="str">
        <f>IF(Commodities[[#This Row],[L4N]]=Commodities[[#This Row],[L3N]],Commodities[[#This Row],[L4N]],IF(Commodities[[#This Row],[L3N]]=Commodities[[#This Row],[L2N]],Commodities[[#This Row],[L3N]],IF(Commodities[[#This Row],[L2N]]=Commodities[[#This Row],[L1N]],Commodities[[#This Row],[L2N]],IF(Commodities[[#This Row],[L1N]]=Commodities[[#This Row],[Commodity]],Commodities[[#This Row],[L1N]],Commodities[[#This Row],[Commodity]]))))</f>
        <v>Oil shale/oil sands</v>
      </c>
      <c r="Q65" s="24" t="str">
        <f>IF(Commodities[[#This Row],[Level 0]]=Commodities[[#This Row],[Commodity]],Commodities[[#This Row],[Commodity]],IF(Commodities[[#This Row],[Level 0]]=Commodities[[#This Row],[L1N]],Commodities[[#This Row],[Commodity]],IF(Commodities[[#This Row],[Level 0]]=Commodities[[#This Row],[L2N]],Commodities[[#This Row],[L1N]],IF(Commodities[[#This Row],[Level 0]]=Commodities[[#This Row],[L3N]],Commodities[[#This Row],[L2N]],IF(Commodities[[#This Row],[Level 0]]=Commodities[[#This Row],[L4N]],Commodities[[#This Row],[L3N]],Commodities[[#This Row],[L4N]])))))</f>
        <v>Oil shale/oil sands</v>
      </c>
      <c r="R65" s="24" t="str">
        <f>IF(Commodities[[#This Row],[Level 1]]=Commodities[[#This Row],[Commodity]],Commodities[[#This Row],[Commodity]],IF(Commodities[[#This Row],[Level 1]]=Commodities[[#This Row],[L1N]],Commodities[[#This Row],[Commodity]],IF(Commodities[[#This Row],[Level 1]]=Commodities[[#This Row],[L2N]],Commodities[[#This Row],[L1N]],IF(Commodities[[#This Row],[Level 1]]=Commodities[[#This Row],[L3N]],Commodities[[#This Row],[L2N]],IF(Commodities[[#This Row],[Level 1]]=Commodities[[#This Row],[L4N]],Commodities[[#This Row],[L3N]],Commodities[[#This Row],[L4N]])))))</f>
        <v>Oil shale/oil sands</v>
      </c>
      <c r="S65" s="24" t="str">
        <f>IF(Commodities[[#This Row],[Level 2]]=Commodities[[#This Row],[Commodity]],Commodities[[#This Row],[Commodity]],IF(Commodities[[#This Row],[Level 2]]=Commodities[[#This Row],[L1N]],Commodities[[#This Row],[Commodity]],IF(Commodities[[#This Row],[Level 2]]=Commodities[[#This Row],[L2N]],Commodities[[#This Row],[L1N]],IF(Commodities[[#This Row],[Level 2]]=Commodities[[#This Row],[L3N]],Commodities[[#This Row],[L2N]],IF(Commodities[[#This Row],[Level 2]]=Commodities[[#This Row],[L4N]],Commodities[[#This Row],[L3N]],Commodities[[#This Row],[L4N]])))))</f>
        <v>Oil shale/oil sands</v>
      </c>
      <c r="T65" s="24" t="str">
        <f>IF(Commodities[[#This Row],[Level 3]]=Commodities[[#This Row],[Commodity]],Commodities[[#This Row],[Commodity]],IF(Commodities[[#This Row],[Level 3]]=Commodities[[#This Row],[L1N]],Commodities[[#This Row],[Commodity]],IF(Commodities[[#This Row],[Level 3]]=Commodities[[#This Row],[L2N]],Commodities[[#This Row],[L1N]],IF(Commodities[[#This Row],[Level 3]]=Commodities[[#This Row],[L3N]],Commodities[[#This Row],[L2N]],IF(Commodities[[#This Row],[Level 3]]=Commodities[[#This Row],[L4N]],Commodities[[#This Row],[L3N]],Commodities[[#This Row],[L4N]])))))</f>
        <v>Oil shale/oil sands</v>
      </c>
      <c r="U65" s="24" t="str">
        <f>IF(Commodities[[#This Row],[Level 4]]=Commodities[[#This Row],[Commodity]],Commodities[[#This Row],[Commodity]],IF(Commodities[[#This Row],[Level 4]]=Commodities[[#This Row],[L1N]],Commodities[[#This Row],[Commodity]],IF(Commodities[[#This Row],[Level 4]]=Commodities[[#This Row],[L2N]],Commodities[[#This Row],[L1N]],IF(Commodities[[#This Row],[Level 4]]=Commodities[[#This Row],[L3N]],Commodities[[#This Row],[L2N]],IF(Commodities[[#This Row],[Level 4]]=Commodities[[#This Row],[L4N]],Commodities[[#This Row],[L3N]],Commodities[[#This Row],[L4N]])))))</f>
        <v>Oil shale/oil sands</v>
      </c>
      <c r="Y65" s="4" t="s">
        <v>386</v>
      </c>
      <c r="Z65" s="4" t="s">
        <v>848</v>
      </c>
      <c r="AA65" s="4" t="s">
        <v>848</v>
      </c>
      <c r="AC65" s="24" t="str">
        <f>IFERROR(VLOOKUP(Transactions[[#This Row],[Parent code]],Transactions[[Transaction code]:[Transaction name]],2,0),"")</f>
        <v/>
      </c>
      <c r="AD65" s="4" t="s">
        <v>630</v>
      </c>
      <c r="AF65" s="4" t="s">
        <v>642</v>
      </c>
      <c r="AG65" s="4" t="s">
        <v>385</v>
      </c>
      <c r="AK65" s="24" t="str" cm="1">
        <f t="array" ref="AK65">IFERROR(INDEX(Transactions[[Transaction code]:[Transaction name]],_xlfn.XMATCH(Transactions[[#This Row],[Parent code]],Transactions[Transaction name],0),3),Transactions[[#This Row],[Transaction name]])</f>
        <v>Final consumption (S)</v>
      </c>
      <c r="AL65" s="24" t="str" cm="1">
        <f t="array" ref="AL65">IFERROR(INDEX(Transactions[[Transaction code]:[Transaction name]],_xlfn.XMATCH(INDEX(Transactions[[Transaction name]:[Parent code]],_xlfn.XMATCH(Transactions[[#This Row],[L1N]],Transactions[Transaction name],0),3),Transactions[Transaction code],0),2),Transactions[[#This Row],[L1N]])</f>
        <v>Final consumption (S)</v>
      </c>
      <c r="AM65" s="24" t="str" cm="1">
        <f t="array" ref="AM65">IFERROR(INDEX(Transactions[[Transaction code]:[Transaction name]],_xlfn.XMATCH(INDEX(Transactions[[Transaction name]:[Parent code]],_xlfn.XMATCH(Transactions[[#This Row],[L2N]],Transactions[Transaction name],0),3),Transactions[Transaction code],0),2),Transactions[[#This Row],[L2N]])</f>
        <v>Final consumption (S)</v>
      </c>
      <c r="AN65" s="24" t="str" cm="1">
        <f t="array" ref="AN65">IFERROR(INDEX(Transactions[[Transaction code]:[Transaction name]],_xlfn.XMATCH(INDEX(Transactions[[Transaction name]:[Parent code]],_xlfn.XMATCH(Transactions[[#This Row],[L3N]],Transactions[Transaction name],0),3),Transactions[Transaction code],0),2),Transactions[[#This Row],[L3N]])</f>
        <v>Final consumption (S)</v>
      </c>
      <c r="AO65" s="24" t="str" cm="1">
        <f t="array" ref="AO65">IFERROR(INDEX(Transactions[[Transaction code]:[Transaction name]],_xlfn.XMATCH(INDEX(Transactions[[Transaction name]:[Parent code]],_xlfn.XMATCH(Transactions[[#This Row],[L4N]],Transactions[Transaction name],0),3),Transactions[Transaction code],0),2),Transactions[[#This Row],[L4N]])</f>
        <v>Final consumption (S)</v>
      </c>
      <c r="AP65" s="24" t="str" cm="1">
        <f t="array" ref="AP65">IFERROR(INDEX(Transactions[[Transaction code]:[Transaction name]],_xlfn.XMATCH(INDEX(Transactions[[Transaction name]:[Parent code]],_xlfn.XMATCH(Transactions[[#This Row],[L5N]],Transactions[Transaction name],0),3),Transactions[Transaction code],0),2),Transactions[[#This Row],[L5N]])</f>
        <v>Final consumption (S)</v>
      </c>
      <c r="AQ65" s="24" t="str" cm="1">
        <f t="array" ref="AQ65">IFERROR(INDEX(Transactions[[Transaction code]:[Transaction name]],_xlfn.XMATCH(INDEX(Transactions[[Transaction name]:[Parent code]],_xlfn.XMATCH(Transactions[[#This Row],[L6N]],Transactions[Transaction name],0),3),Transactions[Transaction code],0),2),Transactions[[#This Row],[L6N]])</f>
        <v>Final consumption (S)</v>
      </c>
      <c r="AR65" s="27" t="str">
        <f>IF(Transactions[[#This Row],[L7N]]=Transactions[[#This Row],[L6N]],Transactions[[#This Row],[L7N]],IF(Transactions[[#This Row],[L6N]]=Transactions[[#This Row],[L5N]],Transactions[[#This Row],[L6N]],IF(Transactions[[#This Row],[L5N]]=Transactions[[#This Row],[L4N]],Transactions[[#This Row],[L5N]],IF(Transactions[[#This Row],[L4N]]=Transactions[[#This Row],[L3N]],Transactions[[#This Row],[L4N]],IF(Transactions[[#This Row],[L3N]]=Transactions[[#This Row],[L2N]],Transactions[[#This Row],[L3N]],IF(Transactions[[#This Row],[L2N]]=Transactions[[#This Row],[L1N]],Transactions[[#This Row],[L2N]],IF(Transactions[[#This Row],[L1N]]=Transactions[[#This Row],[Transaction name]],Transactions[[#This Row],[L1N]],Transactions[[#This Row],[Transaction name]])))))))</f>
        <v>Final consumption (S)</v>
      </c>
      <c r="AS65" s="24" t="str">
        <f>IF(Transactions[[#This Row],[Level 0]]=Transactions[[#This Row],[Transaction name]],Transactions[[#This Row],[Transaction name]],IF(Transactions[[#This Row],[Level 0]]=Transactions[[#This Row],[L1N]],Transactions[[#This Row],[Transaction name]],IF(Transactions[[#This Row],[Level 0]]=Transactions[[#This Row],[L2N]],Transactions[[#This Row],[L1N]],IF(Transactions[[#This Row],[Level 0]]=Transactions[[#This Row],[L3N]],Transactions[[#This Row],[L2N]],IF(Transactions[[#This Row],[Level 0]]=Transactions[[#This Row],[L4N]],Transactions[[#This Row],[L3N]],IF(Transactions[[#This Row],[Level 0]]=Transactions[[#This Row],[L5N]],Transactions[[#This Row],[L4N]],IF(Transactions[[#This Row],[Level 0]]=Transactions[[#This Row],[L6N]],Transactions[[#This Row],[L5N]],IF(Transactions[[#This Row],[Level 0]]=Transactions[[#This Row],[L7N]],Transactions[[#This Row],[L6N]],Transactions[[#This Row],[L7N]]))))))))</f>
        <v>Final consumption (S)</v>
      </c>
      <c r="AT65" s="24" t="str">
        <f>IF(Transactions[[#This Row],[Level 1]]=Transactions[[#This Row],[Transaction name]],Transactions[[#This Row],[Transaction name]],IF(Transactions[[#This Row],[Level 1]]=Transactions[[#This Row],[L1N]],Transactions[[#This Row],[Transaction name]],IF(Transactions[[#This Row],[Level 1]]=Transactions[[#This Row],[L2N]],Transactions[[#This Row],[L1N]],IF(Transactions[[#This Row],[Level 1]]=Transactions[[#This Row],[L3N]],Transactions[[#This Row],[L2N]],IF(Transactions[[#This Row],[Level 1]]=Transactions[[#This Row],[L4N]],Transactions[[#This Row],[L3N]],IF(Transactions[[#This Row],[Level 1]]=Transactions[[#This Row],[L5N]],Transactions[[#This Row],[L4N]],IF(Transactions[[#This Row],[Level 1]]=Transactions[[#This Row],[L6N]],Transactions[[#This Row],[L5N]],IF(Transactions[[#This Row],[Level 1]]=Transactions[[#This Row],[L7N]],Transactions[[#This Row],[L6N]],Transactions[[#This Row],[L7N]]))))))))</f>
        <v>Final consumption (S)</v>
      </c>
      <c r="AU65" s="24" t="str">
        <f>IF(Transactions[[#This Row],[Level 2]]=Transactions[[#This Row],[Transaction name]],Transactions[[#This Row],[Transaction name]],IF(Transactions[[#This Row],[Level 2]]=Transactions[[#This Row],[L1N]],Transactions[[#This Row],[Transaction name]],IF(Transactions[[#This Row],[Level 2]]=Transactions[[#This Row],[L2N]],Transactions[[#This Row],[L1N]],IF(Transactions[[#This Row],[Level 2]]=Transactions[[#This Row],[L3N]],Transactions[[#This Row],[L2N]],IF(Transactions[[#This Row],[Level 2]]=Transactions[[#This Row],[L4N]],Transactions[[#This Row],[L3N]],IF(Transactions[[#This Row],[Level 2]]=Transactions[[#This Row],[L5N]],Transactions[[#This Row],[L4N]],IF(Transactions[[#This Row],[Level 2]]=Transactions[[#This Row],[L6N]],Transactions[[#This Row],[L5N]],IF(Transactions[[#This Row],[Level 2]]=Transactions[[#This Row],[L7N]],Transactions[[#This Row],[L6N]],Transactions[[#This Row],[L7N]]))))))))</f>
        <v>Final consumption (S)</v>
      </c>
      <c r="AV65" s="24" t="str">
        <f>IF(Transactions[[#This Row],[Level 3]]=Transactions[[#This Row],[Transaction name]],Transactions[[#This Row],[Transaction name]],IF(Transactions[[#This Row],[Level 3]]=Transactions[[#This Row],[L1N]],Transactions[[#This Row],[Transaction name]],IF(Transactions[[#This Row],[Level 3]]=Transactions[[#This Row],[L2N]],Transactions[[#This Row],[L1N]],IF(Transactions[[#This Row],[Level 3]]=Transactions[[#This Row],[L3N]],Transactions[[#This Row],[L2N]],IF(Transactions[[#This Row],[Level 3]]=Transactions[[#This Row],[L4N]],Transactions[[#This Row],[L3N]],IF(Transactions[[#This Row],[Level 3]]=Transactions[[#This Row],[L5N]],Transactions[[#This Row],[L4N]],IF(Transactions[[#This Row],[Level 3]]=Transactions[[#This Row],[L6N]],Transactions[[#This Row],[L5N]],IF(Transactions[[#This Row],[Level 3]]=Transactions[[#This Row],[L7N]],Transactions[[#This Row],[L6N]],Transactions[[#This Row],[L7N]]))))))))</f>
        <v>Final consumption (S)</v>
      </c>
      <c r="AW65" s="24" t="str">
        <f>IF(Transactions[[#This Row],[Level 4]]=Transactions[[#This Row],[Transaction name]],Transactions[[#This Row],[Transaction name]],IF(Transactions[[#This Row],[Level 4]]=Transactions[[#This Row],[L1N]],Transactions[[#This Row],[Transaction name]],IF(Transactions[[#This Row],[Level 4]]=Transactions[[#This Row],[L2N]],Transactions[[#This Row],[L1N]],IF(Transactions[[#This Row],[Level 4]]=Transactions[[#This Row],[L3N]],Transactions[[#This Row],[L2N]],IF(Transactions[[#This Row],[Level 4]]=Transactions[[#This Row],[L4N]],Transactions[[#This Row],[L3N]],IF(Transactions[[#This Row],[Level 4]]=Transactions[[#This Row],[L5N]],Transactions[[#This Row],[L4N]],IF(Transactions[[#This Row],[Level 4]]=Transactions[[#This Row],[L6N]],Transactions[[#This Row],[L5N]],IF(Transactions[[#This Row],[Level 4]]=Transactions[[#This Row],[L7N]],Transactions[[#This Row],[L6N]],Transactions[[#This Row],[L7N]]))))))))</f>
        <v>Final consumption (S)</v>
      </c>
      <c r="AX65" s="24" t="str">
        <f>IF(Transactions[[#This Row],[Level 5]]=Transactions[[#This Row],[Transaction name]],Transactions[[#This Row],[Transaction name]],IF(Transactions[[#This Row],[Level 5]]=Transactions[[#This Row],[L1N]],Transactions[[#This Row],[Transaction name]],IF(Transactions[[#This Row],[Level 5]]=Transactions[[#This Row],[L2N]],Transactions[[#This Row],[L1N]],IF(Transactions[[#This Row],[Level 5]]=Transactions[[#This Row],[L3N]],Transactions[[#This Row],[L2N]],IF(Transactions[[#This Row],[Level 5]]=Transactions[[#This Row],[L4N]],Transactions[[#This Row],[L3N]],IF(Transactions[[#This Row],[Level 5]]=Transactions[[#This Row],[L5N]],Transactions[[#This Row],[L4N]],IF(Transactions[[#This Row],[Level 5]]=Transactions[[#This Row],[L6N]],Transactions[[#This Row],[L5N]],IF(Transactions[[#This Row],[Level 5]]=Transactions[[#This Row],[L7N]],Transactions[[#This Row],[L6N]],Transactions[[#This Row],[L7N]]))))))))</f>
        <v>Final consumption (S)</v>
      </c>
      <c r="AY65" s="24" t="str">
        <f>IF(Transactions[[#This Row],[Level 6]]=Transactions[[#This Row],[Transaction name]],Transactions[[#This Row],[Transaction name]],IF(Transactions[[#This Row],[Level 6]]=Transactions[[#This Row],[L1N]],Transactions[[#This Row],[Transaction name]],IF(Transactions[[#This Row],[Level 6]]=Transactions[[#This Row],[L2N]],Transactions[[#This Row],[L1N]],IF(Transactions[[#This Row],[Level 6]]=Transactions[[#This Row],[L3N]],Transactions[[#This Row],[L2N]],IF(Transactions[[#This Row],[Level 6]]=Transactions[[#This Row],[L4N]],Transactions[[#This Row],[L3N]],IF(Transactions[[#This Row],[Level 6]]=Transactions[[#This Row],[L5N]],Transactions[[#This Row],[L4N]],IF(Transactions[[#This Row],[Level 6]]=Transactions[[#This Row],[L6N]],Transactions[[#This Row],[L5N]],IF(Transactions[[#This Row],[Level 6]]=Transactions[[#This Row],[L7N]],Transactions[[#This Row],[L6N]],Transactions[[#This Row],[L7N]]))))))))</f>
        <v>Final consumption (S)</v>
      </c>
      <c r="BE65" s="26" t="str">
        <f>_xlfn.XLOOKUP(Transformation[[#This Row],[cfrom]],Commodities[Commodity],Commodities[Commodity code])</f>
        <v>0360</v>
      </c>
      <c r="BF65" s="26" t="str">
        <f>_xlfn.XLOOKUP(Transformation[[#This Row],[tfrom]],Transactions[Transaction name],Transactions[Transaction code])</f>
        <v>08821</v>
      </c>
      <c r="BG65" s="26" t="str">
        <f>_xlfn.XLOOKUP(Transformation[[#This Row],[cto]],Commodities[Commodity],Commodities[Commodity code])</f>
        <v>0360</v>
      </c>
      <c r="BH65" s="26" t="str">
        <f>_xlfn.XLOOKUP(Transformation[[#This Row],[tto]],Transactions[Transaction name],Transactions[Transaction code])</f>
        <v>015CGC</v>
      </c>
      <c r="BI65" s="11">
        <v>1</v>
      </c>
      <c r="BJ65" s="4" t="s">
        <v>483</v>
      </c>
      <c r="BK65" s="24" t="str">
        <f>_xlfn.XLOOKUP(Transformation[[#This Row],[Commodity from]],Commodities[Commodity code],Commodities[EnergyCode])</f>
        <v>GG</v>
      </c>
      <c r="BL65" s="4" t="s">
        <v>691</v>
      </c>
      <c r="BM65" s="4" t="s">
        <v>483</v>
      </c>
      <c r="BN65" s="24" t="str">
        <f>_xlfn.XLOOKUP(Transformation[[#This Row],[Commodity to]],Commodities[Commodity code],Commodities[EnergyCode])</f>
        <v>GG</v>
      </c>
      <c r="BO65" s="4" t="s">
        <v>1217</v>
      </c>
      <c r="BP65" s="16" t="s">
        <v>1493</v>
      </c>
      <c r="BQ65" s="33" t="str">
        <f>Transformation[[#This Row],[Commodity from]]&amp;Transformation[[#This Row],[Transaction from]]&amp;Transformation[[#This Row],[Commodity to]]&amp;Transformation[[#This Row],[Transaction to]]</f>
        <v>0360088210360015CGC</v>
      </c>
      <c r="BR65" s="26" t="str">
        <f>Transformation[[#This Row],[crfomid]]&amp;Transformation[[#This Row],[Transaction from]]&amp;"("&amp;Transformation[[#This Row],[Multiplier]]&amp;") -&gt; "&amp;Transformation[[#This Row],[ctoid]]&amp;Transformation[[#This Row],[Transaction to]]</f>
        <v>GG08821(1) -&gt; GG015CGC</v>
      </c>
      <c r="BT65" s="26" t="str">
        <f>_xlfn.XLOOKUP(Signswitch[[#This Row],[Commodity name]],Commodities[Commodity],Commodities[Commodity code])</f>
        <v>5232</v>
      </c>
      <c r="BU65" s="26" t="str">
        <f>_xlfn.XLOOKUP(Signswitch[[#This Row],[Transaction name]],Transactions[Transaction name],Transactions[Transaction code])</f>
        <v>122</v>
      </c>
      <c r="BV65" s="26" t="str">
        <f>Signswitch[[#This Row],[Commodity from]]&amp;Signswitch[[#This Row],[Transaction from]]</f>
        <v>5232122</v>
      </c>
      <c r="BW65" s="22" t="s">
        <v>306</v>
      </c>
      <c r="BX65" s="26" t="str">
        <f>_xlfn.XLOOKUP(Signswitch[[#This Row],[Commodity from]],Commodities[Commodity code],Commodities[EnergyCode])</f>
        <v>ZJ</v>
      </c>
      <c r="BY65" s="22" t="s">
        <v>434</v>
      </c>
    </row>
    <row r="66" spans="8:77" x14ac:dyDescent="0.45">
      <c r="H66" s="5" t="s">
        <v>354</v>
      </c>
      <c r="I66" s="4" t="s">
        <v>353</v>
      </c>
      <c r="J66" s="9" t="s">
        <v>347</v>
      </c>
      <c r="K66" s="9" t="s">
        <v>1452</v>
      </c>
      <c r="L66" s="23" t="str">
        <f>IFERROR(INDEX(Commodities[[Commodity code]:[Commodity]],MATCH(Commodities[[#This Row],[Parent code]],Commodities[Commodity code],0),2),Commodities[[#This Row],[Commodity]])</f>
        <v>Other oil products</v>
      </c>
      <c r="M66" s="24" t="str">
        <f>IFERROR(INDEX(Commodities[[Commodity code]:[Commodity]],MATCH(INDEX(Commodities[[Commodity]:[Parent code]],MATCH(Commodities[[#This Row],[L1N]],Commodities[Commodity],0),2),Commodities[Commodity code],0),2),Commodities[[#This Row],[L1N]])</f>
        <v>Oil products</v>
      </c>
      <c r="N66" s="24" t="str">
        <f>IFERROR(INDEX(Commodities[[Commodity code]:[Commodity]],MATCH(INDEX(Commodities[[Commodity]:[Parent code]],MATCH(Commodities[[#This Row],[L2N]],Commodities[Commodity],0),2),Commodities[Commodity code],0),2),Commodities[[#This Row],[L2N]])</f>
        <v>Oil</v>
      </c>
      <c r="O66" s="24" t="str">
        <f>IFERROR(INDEX(Commodities[[Commodity code]:[Commodity]],MATCH(INDEX(Commodities[[Commodity]:[Parent code]],MATCH(Commodities[[#This Row],[L3N]],Commodities[Commodity],0),2),Commodities[Commodity code],0),2),Commodities[[#This Row],[L3N]])</f>
        <v>Oil</v>
      </c>
      <c r="P66" s="24" t="str">
        <f>IF(Commodities[[#This Row],[L4N]]=Commodities[[#This Row],[L3N]],Commodities[[#This Row],[L4N]],IF(Commodities[[#This Row],[L3N]]=Commodities[[#This Row],[L2N]],Commodities[[#This Row],[L3N]],IF(Commodities[[#This Row],[L2N]]=Commodities[[#This Row],[L1N]],Commodities[[#This Row],[L2N]],IF(Commodities[[#This Row],[L1N]]=Commodities[[#This Row],[Commodity]],Commodities[[#This Row],[L1N]],Commodities[[#This Row],[Commodity]]))))</f>
        <v>Oil</v>
      </c>
      <c r="Q66" s="24" t="str">
        <f>IF(Commodities[[#This Row],[Level 0]]=Commodities[[#This Row],[Commodity]],Commodities[[#This Row],[Commodity]],IF(Commodities[[#This Row],[Level 0]]=Commodities[[#This Row],[L1N]],Commodities[[#This Row],[Commodity]],IF(Commodities[[#This Row],[Level 0]]=Commodities[[#This Row],[L2N]],Commodities[[#This Row],[L1N]],IF(Commodities[[#This Row],[Level 0]]=Commodities[[#This Row],[L3N]],Commodities[[#This Row],[L2N]],IF(Commodities[[#This Row],[Level 0]]=Commodities[[#This Row],[L4N]],Commodities[[#This Row],[L3N]],Commodities[[#This Row],[L4N]])))))</f>
        <v>Oil products</v>
      </c>
      <c r="R66" s="24" t="str">
        <f>IF(Commodities[[#This Row],[Level 1]]=Commodities[[#This Row],[Commodity]],Commodities[[#This Row],[Commodity]],IF(Commodities[[#This Row],[Level 1]]=Commodities[[#This Row],[L1N]],Commodities[[#This Row],[Commodity]],IF(Commodities[[#This Row],[Level 1]]=Commodities[[#This Row],[L2N]],Commodities[[#This Row],[L1N]],IF(Commodities[[#This Row],[Level 1]]=Commodities[[#This Row],[L3N]],Commodities[[#This Row],[L2N]],IF(Commodities[[#This Row],[Level 1]]=Commodities[[#This Row],[L4N]],Commodities[[#This Row],[L3N]],Commodities[[#This Row],[L4N]])))))</f>
        <v>Other oil products</v>
      </c>
      <c r="S66" s="24" t="str">
        <f>IF(Commodities[[#This Row],[Level 2]]=Commodities[[#This Row],[Commodity]],Commodities[[#This Row],[Commodity]],IF(Commodities[[#This Row],[Level 2]]=Commodities[[#This Row],[L1N]],Commodities[[#This Row],[Commodity]],IF(Commodities[[#This Row],[Level 2]]=Commodities[[#This Row],[L2N]],Commodities[[#This Row],[L1N]],IF(Commodities[[#This Row],[Level 2]]=Commodities[[#This Row],[L3N]],Commodities[[#This Row],[L2N]],IF(Commodities[[#This Row],[Level 2]]=Commodities[[#This Row],[L4N]],Commodities[[#This Row],[L3N]],Commodities[[#This Row],[L4N]])))))</f>
        <v>Petroleum coke</v>
      </c>
      <c r="T66" s="24" t="str">
        <f>IF(Commodities[[#This Row],[Level 3]]=Commodities[[#This Row],[Commodity]],Commodities[[#This Row],[Commodity]],IF(Commodities[[#This Row],[Level 3]]=Commodities[[#This Row],[L1N]],Commodities[[#This Row],[Commodity]],IF(Commodities[[#This Row],[Level 3]]=Commodities[[#This Row],[L2N]],Commodities[[#This Row],[L1N]],IF(Commodities[[#This Row],[Level 3]]=Commodities[[#This Row],[L3N]],Commodities[[#This Row],[L2N]],IF(Commodities[[#This Row],[Level 3]]=Commodities[[#This Row],[L4N]],Commodities[[#This Row],[L3N]],Commodities[[#This Row],[L4N]])))))</f>
        <v>Petroleum coke</v>
      </c>
      <c r="U66" s="24" t="str">
        <f>IF(Commodities[[#This Row],[Level 4]]=Commodities[[#This Row],[Commodity]],Commodities[[#This Row],[Commodity]],IF(Commodities[[#This Row],[Level 4]]=Commodities[[#This Row],[L1N]],Commodities[[#This Row],[Commodity]],IF(Commodities[[#This Row],[Level 4]]=Commodities[[#This Row],[L2N]],Commodities[[#This Row],[L1N]],IF(Commodities[[#This Row],[Level 4]]=Commodities[[#This Row],[L3N]],Commodities[[#This Row],[L2N]],IF(Commodities[[#This Row],[Level 4]]=Commodities[[#This Row],[L4N]],Commodities[[#This Row],[L3N]],Commodities[[#This Row],[L4N]])))))</f>
        <v>Petroleum coke</v>
      </c>
      <c r="Y66" s="4" t="s">
        <v>407</v>
      </c>
      <c r="Z66" s="4" t="s">
        <v>849</v>
      </c>
      <c r="AA66" s="4" t="s">
        <v>849</v>
      </c>
      <c r="AB66" s="4" t="s">
        <v>386</v>
      </c>
      <c r="AC66" s="24" t="str">
        <f>IFERROR(VLOOKUP(Transactions[[#This Row],[Parent code]],Transactions[[Transaction code]:[Transaction name]],2,0),"")</f>
        <v>Final consumption (S)</v>
      </c>
      <c r="AD66" s="4" t="s">
        <v>630</v>
      </c>
      <c r="AF66" s="4" t="s">
        <v>642</v>
      </c>
      <c r="AG66" s="4" t="s">
        <v>385</v>
      </c>
      <c r="AK66" s="24" t="str" cm="1">
        <f t="array" ref="AK66">IFERROR(INDEX(Transactions[[Transaction code]:[Transaction name]],_xlfn.XMATCH(Transactions[[#This Row],[Parent code]],Transactions[Transaction name],0),3),Transactions[[#This Row],[Transaction name]])</f>
        <v>Final Energy Consumption (S)</v>
      </c>
      <c r="AL66" s="24" t="str" cm="1">
        <f t="array" ref="AL66">IFERROR(INDEX(Transactions[[Transaction code]:[Transaction name]],_xlfn.XMATCH(INDEX(Transactions[[Transaction name]:[Parent code]],_xlfn.XMATCH(Transactions[[#This Row],[L1N]],Transactions[Transaction name],0),3),Transactions[Transaction code],0),2),Transactions[[#This Row],[L1N]])</f>
        <v>Final consumption (S)</v>
      </c>
      <c r="AM66" s="24" t="str" cm="1">
        <f t="array" ref="AM66">IFERROR(INDEX(Transactions[[Transaction code]:[Transaction name]],_xlfn.XMATCH(INDEX(Transactions[[Transaction name]:[Parent code]],_xlfn.XMATCH(Transactions[[#This Row],[L2N]],Transactions[Transaction name],0),3),Transactions[Transaction code],0),2),Transactions[[#This Row],[L2N]])</f>
        <v>Final consumption (S)</v>
      </c>
      <c r="AN66" s="24" t="str" cm="1">
        <f t="array" ref="AN66">IFERROR(INDEX(Transactions[[Transaction code]:[Transaction name]],_xlfn.XMATCH(INDEX(Transactions[[Transaction name]:[Parent code]],_xlfn.XMATCH(Transactions[[#This Row],[L3N]],Transactions[Transaction name],0),3),Transactions[Transaction code],0),2),Transactions[[#This Row],[L3N]])</f>
        <v>Final consumption (S)</v>
      </c>
      <c r="AO66" s="24" t="str" cm="1">
        <f t="array" ref="AO66">IFERROR(INDEX(Transactions[[Transaction code]:[Transaction name]],_xlfn.XMATCH(INDEX(Transactions[[Transaction name]:[Parent code]],_xlfn.XMATCH(Transactions[[#This Row],[L4N]],Transactions[Transaction name],0),3),Transactions[Transaction code],0),2),Transactions[[#This Row],[L4N]])</f>
        <v>Final consumption (S)</v>
      </c>
      <c r="AP66" s="24" t="str" cm="1">
        <f t="array" ref="AP66">IFERROR(INDEX(Transactions[[Transaction code]:[Transaction name]],_xlfn.XMATCH(INDEX(Transactions[[Transaction name]:[Parent code]],_xlfn.XMATCH(Transactions[[#This Row],[L5N]],Transactions[Transaction name],0),3),Transactions[Transaction code],0),2),Transactions[[#This Row],[L5N]])</f>
        <v>Final consumption (S)</v>
      </c>
      <c r="AQ66" s="24" t="str" cm="1">
        <f t="array" ref="AQ66">IFERROR(INDEX(Transactions[[Transaction code]:[Transaction name]],_xlfn.XMATCH(INDEX(Transactions[[Transaction name]:[Parent code]],_xlfn.XMATCH(Transactions[[#This Row],[L6N]],Transactions[Transaction name],0),3),Transactions[Transaction code],0),2),Transactions[[#This Row],[L6N]])</f>
        <v>Final consumption (S)</v>
      </c>
      <c r="AR66" s="27" t="str">
        <f>IF(Transactions[[#This Row],[L7N]]=Transactions[[#This Row],[L6N]],Transactions[[#This Row],[L7N]],IF(Transactions[[#This Row],[L6N]]=Transactions[[#This Row],[L5N]],Transactions[[#This Row],[L6N]],IF(Transactions[[#This Row],[L5N]]=Transactions[[#This Row],[L4N]],Transactions[[#This Row],[L5N]],IF(Transactions[[#This Row],[L4N]]=Transactions[[#This Row],[L3N]],Transactions[[#This Row],[L4N]],IF(Transactions[[#This Row],[L3N]]=Transactions[[#This Row],[L2N]],Transactions[[#This Row],[L3N]],IF(Transactions[[#This Row],[L2N]]=Transactions[[#This Row],[L1N]],Transactions[[#This Row],[L2N]],IF(Transactions[[#This Row],[L1N]]=Transactions[[#This Row],[Transaction name]],Transactions[[#This Row],[L1N]],Transactions[[#This Row],[Transaction name]])))))))</f>
        <v>Final consumption (S)</v>
      </c>
      <c r="AS66" s="24" t="str">
        <f>IF(Transactions[[#This Row],[Level 0]]=Transactions[[#This Row],[Transaction name]],Transactions[[#This Row],[Transaction name]],IF(Transactions[[#This Row],[Level 0]]=Transactions[[#This Row],[L1N]],Transactions[[#This Row],[Transaction name]],IF(Transactions[[#This Row],[Level 0]]=Transactions[[#This Row],[L2N]],Transactions[[#This Row],[L1N]],IF(Transactions[[#This Row],[Level 0]]=Transactions[[#This Row],[L3N]],Transactions[[#This Row],[L2N]],IF(Transactions[[#This Row],[Level 0]]=Transactions[[#This Row],[L4N]],Transactions[[#This Row],[L3N]],IF(Transactions[[#This Row],[Level 0]]=Transactions[[#This Row],[L5N]],Transactions[[#This Row],[L4N]],IF(Transactions[[#This Row],[Level 0]]=Transactions[[#This Row],[L6N]],Transactions[[#This Row],[L5N]],IF(Transactions[[#This Row],[Level 0]]=Transactions[[#This Row],[L7N]],Transactions[[#This Row],[L6N]],Transactions[[#This Row],[L7N]]))))))))</f>
        <v>Final Energy Consumption (S)</v>
      </c>
      <c r="AT66" s="24" t="str">
        <f>IF(Transactions[[#This Row],[Level 1]]=Transactions[[#This Row],[Transaction name]],Transactions[[#This Row],[Transaction name]],IF(Transactions[[#This Row],[Level 1]]=Transactions[[#This Row],[L1N]],Transactions[[#This Row],[Transaction name]],IF(Transactions[[#This Row],[Level 1]]=Transactions[[#This Row],[L2N]],Transactions[[#This Row],[L1N]],IF(Transactions[[#This Row],[Level 1]]=Transactions[[#This Row],[L3N]],Transactions[[#This Row],[L2N]],IF(Transactions[[#This Row],[Level 1]]=Transactions[[#This Row],[L4N]],Transactions[[#This Row],[L3N]],IF(Transactions[[#This Row],[Level 1]]=Transactions[[#This Row],[L5N]],Transactions[[#This Row],[L4N]],IF(Transactions[[#This Row],[Level 1]]=Transactions[[#This Row],[L6N]],Transactions[[#This Row],[L5N]],IF(Transactions[[#This Row],[Level 1]]=Transactions[[#This Row],[L7N]],Transactions[[#This Row],[L6N]],Transactions[[#This Row],[L7N]]))))))))</f>
        <v>Final Energy Consumption (S)</v>
      </c>
      <c r="AU66" s="24" t="str">
        <f>IF(Transactions[[#This Row],[Level 2]]=Transactions[[#This Row],[Transaction name]],Transactions[[#This Row],[Transaction name]],IF(Transactions[[#This Row],[Level 2]]=Transactions[[#This Row],[L1N]],Transactions[[#This Row],[Transaction name]],IF(Transactions[[#This Row],[Level 2]]=Transactions[[#This Row],[L2N]],Transactions[[#This Row],[L1N]],IF(Transactions[[#This Row],[Level 2]]=Transactions[[#This Row],[L3N]],Transactions[[#This Row],[L2N]],IF(Transactions[[#This Row],[Level 2]]=Transactions[[#This Row],[L4N]],Transactions[[#This Row],[L3N]],IF(Transactions[[#This Row],[Level 2]]=Transactions[[#This Row],[L5N]],Transactions[[#This Row],[L4N]],IF(Transactions[[#This Row],[Level 2]]=Transactions[[#This Row],[L6N]],Transactions[[#This Row],[L5N]],IF(Transactions[[#This Row],[Level 2]]=Transactions[[#This Row],[L7N]],Transactions[[#This Row],[L6N]],Transactions[[#This Row],[L7N]]))))))))</f>
        <v>Final Energy Consumption (S)</v>
      </c>
      <c r="AV66" s="24" t="str">
        <f>IF(Transactions[[#This Row],[Level 3]]=Transactions[[#This Row],[Transaction name]],Transactions[[#This Row],[Transaction name]],IF(Transactions[[#This Row],[Level 3]]=Transactions[[#This Row],[L1N]],Transactions[[#This Row],[Transaction name]],IF(Transactions[[#This Row],[Level 3]]=Transactions[[#This Row],[L2N]],Transactions[[#This Row],[L1N]],IF(Transactions[[#This Row],[Level 3]]=Transactions[[#This Row],[L3N]],Transactions[[#This Row],[L2N]],IF(Transactions[[#This Row],[Level 3]]=Transactions[[#This Row],[L4N]],Transactions[[#This Row],[L3N]],IF(Transactions[[#This Row],[Level 3]]=Transactions[[#This Row],[L5N]],Transactions[[#This Row],[L4N]],IF(Transactions[[#This Row],[Level 3]]=Transactions[[#This Row],[L6N]],Transactions[[#This Row],[L5N]],IF(Transactions[[#This Row],[Level 3]]=Transactions[[#This Row],[L7N]],Transactions[[#This Row],[L6N]],Transactions[[#This Row],[L7N]]))))))))</f>
        <v>Final Energy Consumption (S)</v>
      </c>
      <c r="AW66" s="24" t="str">
        <f>IF(Transactions[[#This Row],[Level 4]]=Transactions[[#This Row],[Transaction name]],Transactions[[#This Row],[Transaction name]],IF(Transactions[[#This Row],[Level 4]]=Transactions[[#This Row],[L1N]],Transactions[[#This Row],[Transaction name]],IF(Transactions[[#This Row],[Level 4]]=Transactions[[#This Row],[L2N]],Transactions[[#This Row],[L1N]],IF(Transactions[[#This Row],[Level 4]]=Transactions[[#This Row],[L3N]],Transactions[[#This Row],[L2N]],IF(Transactions[[#This Row],[Level 4]]=Transactions[[#This Row],[L4N]],Transactions[[#This Row],[L3N]],IF(Transactions[[#This Row],[Level 4]]=Transactions[[#This Row],[L5N]],Transactions[[#This Row],[L4N]],IF(Transactions[[#This Row],[Level 4]]=Transactions[[#This Row],[L6N]],Transactions[[#This Row],[L5N]],IF(Transactions[[#This Row],[Level 4]]=Transactions[[#This Row],[L7N]],Transactions[[#This Row],[L6N]],Transactions[[#This Row],[L7N]]))))))))</f>
        <v>Final Energy Consumption (S)</v>
      </c>
      <c r="AX66" s="24" t="str">
        <f>IF(Transactions[[#This Row],[Level 5]]=Transactions[[#This Row],[Transaction name]],Transactions[[#This Row],[Transaction name]],IF(Transactions[[#This Row],[Level 5]]=Transactions[[#This Row],[L1N]],Transactions[[#This Row],[Transaction name]],IF(Transactions[[#This Row],[Level 5]]=Transactions[[#This Row],[L2N]],Transactions[[#This Row],[L1N]],IF(Transactions[[#This Row],[Level 5]]=Transactions[[#This Row],[L3N]],Transactions[[#This Row],[L2N]],IF(Transactions[[#This Row],[Level 5]]=Transactions[[#This Row],[L4N]],Transactions[[#This Row],[L3N]],IF(Transactions[[#This Row],[Level 5]]=Transactions[[#This Row],[L5N]],Transactions[[#This Row],[L4N]],IF(Transactions[[#This Row],[Level 5]]=Transactions[[#This Row],[L6N]],Transactions[[#This Row],[L5N]],IF(Transactions[[#This Row],[Level 5]]=Transactions[[#This Row],[L7N]],Transactions[[#This Row],[L6N]],Transactions[[#This Row],[L7N]]))))))))</f>
        <v>Final Energy Consumption (S)</v>
      </c>
      <c r="AY66" s="24" t="str">
        <f>IF(Transactions[[#This Row],[Level 6]]=Transactions[[#This Row],[Transaction name]],Transactions[[#This Row],[Transaction name]],IF(Transactions[[#This Row],[Level 6]]=Transactions[[#This Row],[L1N]],Transactions[[#This Row],[Transaction name]],IF(Transactions[[#This Row],[Level 6]]=Transactions[[#This Row],[L2N]],Transactions[[#This Row],[L1N]],IF(Transactions[[#This Row],[Level 6]]=Transactions[[#This Row],[L3N]],Transactions[[#This Row],[L2N]],IF(Transactions[[#This Row],[Level 6]]=Transactions[[#This Row],[L4N]],Transactions[[#This Row],[L3N]],IF(Transactions[[#This Row],[Level 6]]=Transactions[[#This Row],[L5N]],Transactions[[#This Row],[L4N]],IF(Transactions[[#This Row],[Level 6]]=Transactions[[#This Row],[L6N]],Transactions[[#This Row],[L5N]],IF(Transactions[[#This Row],[Level 6]]=Transactions[[#This Row],[L7N]],Transactions[[#This Row],[L6N]],Transactions[[#This Row],[L7N]]))))))))</f>
        <v>Final Energy Consumption (S)</v>
      </c>
      <c r="BE66" s="26" t="str">
        <f>_xlfn.XLOOKUP(Transformation[[#This Row],[cfrom]],Commodities[Commodity],Commodities[Commodity code])</f>
        <v>4200</v>
      </c>
      <c r="BF66" s="26" t="str">
        <f>_xlfn.XLOOKUP(Transformation[[#This Row],[tfrom]],Transactions[Transaction name],Transactions[Transaction code])</f>
        <v>08821</v>
      </c>
      <c r="BG66" s="26" t="str">
        <f>_xlfn.XLOOKUP(Transformation[[#This Row],[cto]],Commodities[Commodity],Commodities[Commodity code])</f>
        <v>4200</v>
      </c>
      <c r="BH66" s="26" t="str">
        <f>_xlfn.XLOOKUP(Transformation[[#This Row],[tto]],Transactions[Transaction name],Transactions[Transaction code])</f>
        <v>015COC</v>
      </c>
      <c r="BI66" s="11">
        <v>1</v>
      </c>
      <c r="BJ66" s="4" t="s">
        <v>435</v>
      </c>
      <c r="BK66" s="24" t="str">
        <f>_xlfn.XLOOKUP(Transformation[[#This Row],[Commodity from]],Commodities[Commodity code],Commodities[EnergyCode])</f>
        <v>GL</v>
      </c>
      <c r="BL66" s="4" t="s">
        <v>691</v>
      </c>
      <c r="BM66" s="4" t="s">
        <v>435</v>
      </c>
      <c r="BN66" s="24" t="str">
        <f>_xlfn.XLOOKUP(Transformation[[#This Row],[Commodity to]],Commodities[Commodity code],Commodities[EnergyCode])</f>
        <v>GL</v>
      </c>
      <c r="BO66" s="4" t="s">
        <v>1225</v>
      </c>
      <c r="BP66" s="16" t="s">
        <v>1493</v>
      </c>
      <c r="BQ66" s="33" t="str">
        <f>Transformation[[#This Row],[Commodity from]]&amp;Transformation[[#This Row],[Transaction from]]&amp;Transformation[[#This Row],[Commodity to]]&amp;Transformation[[#This Row],[Transaction to]]</f>
        <v>4200088214200015COC</v>
      </c>
      <c r="BR66" s="26" t="str">
        <f>Transformation[[#This Row],[crfomid]]&amp;Transformation[[#This Row],[Transaction from]]&amp;"("&amp;Transformation[[#This Row],[Multiplier]]&amp;") -&gt; "&amp;Transformation[[#This Row],[ctoid]]&amp;Transformation[[#This Row],[Transaction to]]</f>
        <v>GL08821(1) -&gt; GL015COC</v>
      </c>
      <c r="BT66" s="26" t="str">
        <f>_xlfn.XLOOKUP(Signswitch[[#This Row],[Commodity name]],Commodities[Commodity],Commodities[Commodity code])</f>
        <v>5222</v>
      </c>
      <c r="BU66" s="26" t="str">
        <f>_xlfn.XLOOKUP(Signswitch[[#This Row],[Transaction name]],Transactions[Transaction name],Transactions[Transaction code])</f>
        <v>122</v>
      </c>
      <c r="BV66" s="26" t="str">
        <f>Signswitch[[#This Row],[Commodity from]]&amp;Signswitch[[#This Row],[Transaction from]]</f>
        <v>5222122</v>
      </c>
      <c r="BW66" s="22" t="s">
        <v>962</v>
      </c>
      <c r="BX66" s="26" t="str">
        <f>_xlfn.XLOOKUP(Signswitch[[#This Row],[Commodity from]],Commodities[Commodity code],Commodities[EnergyCode])</f>
        <v>ZD</v>
      </c>
      <c r="BY66" s="22" t="s">
        <v>434</v>
      </c>
    </row>
    <row r="67" spans="8:77" x14ac:dyDescent="0.45">
      <c r="H67" s="9" t="s">
        <v>347</v>
      </c>
      <c r="I67" s="4" t="s">
        <v>367</v>
      </c>
      <c r="J67" s="9" t="s">
        <v>366</v>
      </c>
      <c r="K67" s="14"/>
      <c r="L67" s="23" t="str">
        <f>IFERROR(INDEX(Commodities[[Commodity code]:[Commodity]],MATCH(Commodities[[#This Row],[Parent code]],Commodities[Commodity code],0),2),Commodities[[#This Row],[Commodity]])</f>
        <v>Oil products</v>
      </c>
      <c r="M67" s="24" t="str">
        <f>IFERROR(INDEX(Commodities[[Commodity code]:[Commodity]],MATCH(INDEX(Commodities[[Commodity]:[Parent code]],MATCH(Commodities[[#This Row],[L1N]],Commodities[Commodity],0),2),Commodities[Commodity code],0),2),Commodities[[#This Row],[L1N]])</f>
        <v>Oil</v>
      </c>
      <c r="N67" s="24" t="str">
        <f>IFERROR(INDEX(Commodities[[Commodity code]:[Commodity]],MATCH(INDEX(Commodities[[Commodity]:[Parent code]],MATCH(Commodities[[#This Row],[L2N]],Commodities[Commodity],0),2),Commodities[Commodity code],0),2),Commodities[[#This Row],[L2N]])</f>
        <v>Oil</v>
      </c>
      <c r="O67" s="24" t="str">
        <f>IFERROR(INDEX(Commodities[[Commodity code]:[Commodity]],MATCH(INDEX(Commodities[[Commodity]:[Parent code]],MATCH(Commodities[[#This Row],[L3N]],Commodities[Commodity],0),2),Commodities[Commodity code],0),2),Commodities[[#This Row],[L3N]])</f>
        <v>Oil</v>
      </c>
      <c r="P67" s="24" t="str">
        <f>IF(Commodities[[#This Row],[L4N]]=Commodities[[#This Row],[L3N]],Commodities[[#This Row],[L4N]],IF(Commodities[[#This Row],[L3N]]=Commodities[[#This Row],[L2N]],Commodities[[#This Row],[L3N]],IF(Commodities[[#This Row],[L2N]]=Commodities[[#This Row],[L1N]],Commodities[[#This Row],[L2N]],IF(Commodities[[#This Row],[L1N]]=Commodities[[#This Row],[Commodity]],Commodities[[#This Row],[L1N]],Commodities[[#This Row],[Commodity]]))))</f>
        <v>Oil</v>
      </c>
      <c r="Q67" s="24" t="str">
        <f>IF(Commodities[[#This Row],[Level 0]]=Commodities[[#This Row],[Commodity]],Commodities[[#This Row],[Commodity]],IF(Commodities[[#This Row],[Level 0]]=Commodities[[#This Row],[L1N]],Commodities[[#This Row],[Commodity]],IF(Commodities[[#This Row],[Level 0]]=Commodities[[#This Row],[L2N]],Commodities[[#This Row],[L1N]],IF(Commodities[[#This Row],[Level 0]]=Commodities[[#This Row],[L3N]],Commodities[[#This Row],[L2N]],IF(Commodities[[#This Row],[Level 0]]=Commodities[[#This Row],[L4N]],Commodities[[#This Row],[L3N]],Commodities[[#This Row],[L4N]])))))</f>
        <v>Oil products</v>
      </c>
      <c r="R67" s="24" t="str">
        <f>IF(Commodities[[#This Row],[Level 1]]=Commodities[[#This Row],[Commodity]],Commodities[[#This Row],[Commodity]],IF(Commodities[[#This Row],[Level 1]]=Commodities[[#This Row],[L1N]],Commodities[[#This Row],[Commodity]],IF(Commodities[[#This Row],[Level 1]]=Commodities[[#This Row],[L2N]],Commodities[[#This Row],[L1N]],IF(Commodities[[#This Row],[Level 1]]=Commodities[[#This Row],[L3N]],Commodities[[#This Row],[L2N]],IF(Commodities[[#This Row],[Level 1]]=Commodities[[#This Row],[L4N]],Commodities[[#This Row],[L3N]],Commodities[[#This Row],[L4N]])))))</f>
        <v>Other oil products</v>
      </c>
      <c r="S67" s="24" t="str">
        <f>IF(Commodities[[#This Row],[Level 2]]=Commodities[[#This Row],[Commodity]],Commodities[[#This Row],[Commodity]],IF(Commodities[[#This Row],[Level 2]]=Commodities[[#This Row],[L1N]],Commodities[[#This Row],[Commodity]],IF(Commodities[[#This Row],[Level 2]]=Commodities[[#This Row],[L2N]],Commodities[[#This Row],[L1N]],IF(Commodities[[#This Row],[Level 2]]=Commodities[[#This Row],[L3N]],Commodities[[#This Row],[L2N]],IF(Commodities[[#This Row],[Level 2]]=Commodities[[#This Row],[L4N]],Commodities[[#This Row],[L3N]],Commodities[[#This Row],[L4N]])))))</f>
        <v>Other oil products</v>
      </c>
      <c r="T67" s="24" t="str">
        <f>IF(Commodities[[#This Row],[Level 3]]=Commodities[[#This Row],[Commodity]],Commodities[[#This Row],[Commodity]],IF(Commodities[[#This Row],[Level 3]]=Commodities[[#This Row],[L1N]],Commodities[[#This Row],[Commodity]],IF(Commodities[[#This Row],[Level 3]]=Commodities[[#This Row],[L2N]],Commodities[[#This Row],[L1N]],IF(Commodities[[#This Row],[Level 3]]=Commodities[[#This Row],[L3N]],Commodities[[#This Row],[L2N]],IF(Commodities[[#This Row],[Level 3]]=Commodities[[#This Row],[L4N]],Commodities[[#This Row],[L3N]],Commodities[[#This Row],[L4N]])))))</f>
        <v>Other oil products</v>
      </c>
      <c r="U67" s="24" t="str">
        <f>IF(Commodities[[#This Row],[Level 4]]=Commodities[[#This Row],[Commodity]],Commodities[[#This Row],[Commodity]],IF(Commodities[[#This Row],[Level 4]]=Commodities[[#This Row],[L1N]],Commodities[[#This Row],[Commodity]],IF(Commodities[[#This Row],[Level 4]]=Commodities[[#This Row],[L2N]],Commodities[[#This Row],[L1N]],IF(Commodities[[#This Row],[Level 4]]=Commodities[[#This Row],[L3N]],Commodities[[#This Row],[L2N]],IF(Commodities[[#This Row],[Level 4]]=Commodities[[#This Row],[L4N]],Commodities[[#This Row],[L3N]],Commodities[[#This Row],[L4N]])))))</f>
        <v>Other oil products</v>
      </c>
      <c r="Y67" s="4" t="s">
        <v>482</v>
      </c>
      <c r="Z67" s="4" t="s">
        <v>837</v>
      </c>
      <c r="AA67" s="4" t="s">
        <v>837</v>
      </c>
      <c r="AB67" s="4" t="s">
        <v>437</v>
      </c>
      <c r="AC67" s="24" t="str">
        <f>IFERROR(VLOOKUP(Transactions[[#This Row],[Parent code]],Transactions[[Transaction code]:[Transaction name]],2,0),"")</f>
        <v>Manufacturing, construction and non-fuel mining industries (S)</v>
      </c>
      <c r="AD67" s="4" t="s">
        <v>630</v>
      </c>
      <c r="AF67" s="4" t="s">
        <v>642</v>
      </c>
      <c r="AG67" s="4" t="s">
        <v>385</v>
      </c>
      <c r="AK67" s="24" t="str" cm="1">
        <f t="array" ref="AK67">IFERROR(INDEX(Transactions[[Transaction code]:[Transaction name]],_xlfn.XMATCH(Transactions[[#This Row],[Parent code]],Transactions[Transaction name],0),3),Transactions[[#This Row],[Transaction name]])</f>
        <v>Chemical and petrochemical (S)</v>
      </c>
      <c r="AL67" s="24" t="str" cm="1">
        <f t="array" ref="AL67">IFERROR(INDEX(Transactions[[Transaction code]:[Transaction name]],_xlfn.XMATCH(INDEX(Transactions[[Transaction name]:[Parent code]],_xlfn.XMATCH(Transactions[[#This Row],[L1N]],Transactions[Transaction name],0),3),Transactions[Transaction code],0),2),Transactions[[#This Row],[L1N]])</f>
        <v>Manufacturing, construction and non-fuel mining industries (S)</v>
      </c>
      <c r="AM67" s="24" t="str" cm="1">
        <f t="array" ref="AM67">IFERROR(INDEX(Transactions[[Transaction code]:[Transaction name]],_xlfn.XMATCH(INDEX(Transactions[[Transaction name]:[Parent code]],_xlfn.XMATCH(Transactions[[#This Row],[L2N]],Transactions[Transaction name],0),3),Transactions[Transaction code],0),2),Transactions[[#This Row],[L2N]])</f>
        <v>Final Energy Consumption (S)</v>
      </c>
      <c r="AN67" s="24" t="str" cm="1">
        <f t="array" ref="AN67">IFERROR(INDEX(Transactions[[Transaction code]:[Transaction name]],_xlfn.XMATCH(INDEX(Transactions[[Transaction name]:[Parent code]],_xlfn.XMATCH(Transactions[[#This Row],[L3N]],Transactions[Transaction name],0),3),Transactions[Transaction code],0),2),Transactions[[#This Row],[L3N]])</f>
        <v>Final consumption (S)</v>
      </c>
      <c r="AO67" s="24" t="str" cm="1">
        <f t="array" ref="AO67">IFERROR(INDEX(Transactions[[Transaction code]:[Transaction name]],_xlfn.XMATCH(INDEX(Transactions[[Transaction name]:[Parent code]],_xlfn.XMATCH(Transactions[[#This Row],[L4N]],Transactions[Transaction name],0),3),Transactions[Transaction code],0),2),Transactions[[#This Row],[L4N]])</f>
        <v>Final consumption (S)</v>
      </c>
      <c r="AP67" s="24" t="str" cm="1">
        <f t="array" ref="AP67">IFERROR(INDEX(Transactions[[Transaction code]:[Transaction name]],_xlfn.XMATCH(INDEX(Transactions[[Transaction name]:[Parent code]],_xlfn.XMATCH(Transactions[[#This Row],[L5N]],Transactions[Transaction name],0),3),Transactions[Transaction code],0),2),Transactions[[#This Row],[L5N]])</f>
        <v>Final consumption (S)</v>
      </c>
      <c r="AQ67" s="24" t="str" cm="1">
        <f t="array" ref="AQ67">IFERROR(INDEX(Transactions[[Transaction code]:[Transaction name]],_xlfn.XMATCH(INDEX(Transactions[[Transaction name]:[Parent code]],_xlfn.XMATCH(Transactions[[#This Row],[L6N]],Transactions[Transaction name],0),3),Transactions[Transaction code],0),2),Transactions[[#This Row],[L6N]])</f>
        <v>Final consumption (S)</v>
      </c>
      <c r="AR67" s="27" t="str">
        <f>IF(Transactions[[#This Row],[L7N]]=Transactions[[#This Row],[L6N]],Transactions[[#This Row],[L7N]],IF(Transactions[[#This Row],[L6N]]=Transactions[[#This Row],[L5N]],Transactions[[#This Row],[L6N]],IF(Transactions[[#This Row],[L5N]]=Transactions[[#This Row],[L4N]],Transactions[[#This Row],[L5N]],IF(Transactions[[#This Row],[L4N]]=Transactions[[#This Row],[L3N]],Transactions[[#This Row],[L4N]],IF(Transactions[[#This Row],[L3N]]=Transactions[[#This Row],[L2N]],Transactions[[#This Row],[L3N]],IF(Transactions[[#This Row],[L2N]]=Transactions[[#This Row],[L1N]],Transactions[[#This Row],[L2N]],IF(Transactions[[#This Row],[L1N]]=Transactions[[#This Row],[Transaction name]],Transactions[[#This Row],[L1N]],Transactions[[#This Row],[Transaction name]])))))))</f>
        <v>Final consumption (S)</v>
      </c>
      <c r="AS67" s="24" t="str">
        <f>IF(Transactions[[#This Row],[Level 0]]=Transactions[[#This Row],[Transaction name]],Transactions[[#This Row],[Transaction name]],IF(Transactions[[#This Row],[Level 0]]=Transactions[[#This Row],[L1N]],Transactions[[#This Row],[Transaction name]],IF(Transactions[[#This Row],[Level 0]]=Transactions[[#This Row],[L2N]],Transactions[[#This Row],[L1N]],IF(Transactions[[#This Row],[Level 0]]=Transactions[[#This Row],[L3N]],Transactions[[#This Row],[L2N]],IF(Transactions[[#This Row],[Level 0]]=Transactions[[#This Row],[L4N]],Transactions[[#This Row],[L3N]],IF(Transactions[[#This Row],[Level 0]]=Transactions[[#This Row],[L5N]],Transactions[[#This Row],[L4N]],IF(Transactions[[#This Row],[Level 0]]=Transactions[[#This Row],[L6N]],Transactions[[#This Row],[L5N]],IF(Transactions[[#This Row],[Level 0]]=Transactions[[#This Row],[L7N]],Transactions[[#This Row],[L6N]],Transactions[[#This Row],[L7N]]))))))))</f>
        <v>Final Energy Consumption (S)</v>
      </c>
      <c r="AT67" s="24" t="str">
        <f>IF(Transactions[[#This Row],[Level 1]]=Transactions[[#This Row],[Transaction name]],Transactions[[#This Row],[Transaction name]],IF(Transactions[[#This Row],[Level 1]]=Transactions[[#This Row],[L1N]],Transactions[[#This Row],[Transaction name]],IF(Transactions[[#This Row],[Level 1]]=Transactions[[#This Row],[L2N]],Transactions[[#This Row],[L1N]],IF(Transactions[[#This Row],[Level 1]]=Transactions[[#This Row],[L3N]],Transactions[[#This Row],[L2N]],IF(Transactions[[#This Row],[Level 1]]=Transactions[[#This Row],[L4N]],Transactions[[#This Row],[L3N]],IF(Transactions[[#This Row],[Level 1]]=Transactions[[#This Row],[L5N]],Transactions[[#This Row],[L4N]],IF(Transactions[[#This Row],[Level 1]]=Transactions[[#This Row],[L6N]],Transactions[[#This Row],[L5N]],IF(Transactions[[#This Row],[Level 1]]=Transactions[[#This Row],[L7N]],Transactions[[#This Row],[L6N]],Transactions[[#This Row],[L7N]]))))))))</f>
        <v>Manufacturing, construction and non-fuel mining industries (S)</v>
      </c>
      <c r="AU67" s="24" t="str">
        <f>IF(Transactions[[#This Row],[Level 2]]=Transactions[[#This Row],[Transaction name]],Transactions[[#This Row],[Transaction name]],IF(Transactions[[#This Row],[Level 2]]=Transactions[[#This Row],[L1N]],Transactions[[#This Row],[Transaction name]],IF(Transactions[[#This Row],[Level 2]]=Transactions[[#This Row],[L2N]],Transactions[[#This Row],[L1N]],IF(Transactions[[#This Row],[Level 2]]=Transactions[[#This Row],[L3N]],Transactions[[#This Row],[L2N]],IF(Transactions[[#This Row],[Level 2]]=Transactions[[#This Row],[L4N]],Transactions[[#This Row],[L3N]],IF(Transactions[[#This Row],[Level 2]]=Transactions[[#This Row],[L5N]],Transactions[[#This Row],[L4N]],IF(Transactions[[#This Row],[Level 2]]=Transactions[[#This Row],[L6N]],Transactions[[#This Row],[L5N]],IF(Transactions[[#This Row],[Level 2]]=Transactions[[#This Row],[L7N]],Transactions[[#This Row],[L6N]],Transactions[[#This Row],[L7N]]))))))))</f>
        <v>Chemical and petrochemical (S)</v>
      </c>
      <c r="AV67" s="24" t="str">
        <f>IF(Transactions[[#This Row],[Level 3]]=Transactions[[#This Row],[Transaction name]],Transactions[[#This Row],[Transaction name]],IF(Transactions[[#This Row],[Level 3]]=Transactions[[#This Row],[L1N]],Transactions[[#This Row],[Transaction name]],IF(Transactions[[#This Row],[Level 3]]=Transactions[[#This Row],[L2N]],Transactions[[#This Row],[L1N]],IF(Transactions[[#This Row],[Level 3]]=Transactions[[#This Row],[L3N]],Transactions[[#This Row],[L2N]],IF(Transactions[[#This Row],[Level 3]]=Transactions[[#This Row],[L4N]],Transactions[[#This Row],[L3N]],IF(Transactions[[#This Row],[Level 3]]=Transactions[[#This Row],[L5N]],Transactions[[#This Row],[L4N]],IF(Transactions[[#This Row],[Level 3]]=Transactions[[#This Row],[L6N]],Transactions[[#This Row],[L5N]],IF(Transactions[[#This Row],[Level 3]]=Transactions[[#This Row],[L7N]],Transactions[[#This Row],[L6N]],Transactions[[#This Row],[L7N]]))))))))</f>
        <v>Chemical and petrochemical (S)</v>
      </c>
      <c r="AW67" s="24" t="str">
        <f>IF(Transactions[[#This Row],[Level 4]]=Transactions[[#This Row],[Transaction name]],Transactions[[#This Row],[Transaction name]],IF(Transactions[[#This Row],[Level 4]]=Transactions[[#This Row],[L1N]],Transactions[[#This Row],[Transaction name]],IF(Transactions[[#This Row],[Level 4]]=Transactions[[#This Row],[L2N]],Transactions[[#This Row],[L1N]],IF(Transactions[[#This Row],[Level 4]]=Transactions[[#This Row],[L3N]],Transactions[[#This Row],[L2N]],IF(Transactions[[#This Row],[Level 4]]=Transactions[[#This Row],[L4N]],Transactions[[#This Row],[L3N]],IF(Transactions[[#This Row],[Level 4]]=Transactions[[#This Row],[L5N]],Transactions[[#This Row],[L4N]],IF(Transactions[[#This Row],[Level 4]]=Transactions[[#This Row],[L6N]],Transactions[[#This Row],[L5N]],IF(Transactions[[#This Row],[Level 4]]=Transactions[[#This Row],[L7N]],Transactions[[#This Row],[L6N]],Transactions[[#This Row],[L7N]]))))))))</f>
        <v>Chemical and petrochemical (S)</v>
      </c>
      <c r="AX67" s="24" t="str">
        <f>IF(Transactions[[#This Row],[Level 5]]=Transactions[[#This Row],[Transaction name]],Transactions[[#This Row],[Transaction name]],IF(Transactions[[#This Row],[Level 5]]=Transactions[[#This Row],[L1N]],Transactions[[#This Row],[Transaction name]],IF(Transactions[[#This Row],[Level 5]]=Transactions[[#This Row],[L2N]],Transactions[[#This Row],[L1N]],IF(Transactions[[#This Row],[Level 5]]=Transactions[[#This Row],[L3N]],Transactions[[#This Row],[L2N]],IF(Transactions[[#This Row],[Level 5]]=Transactions[[#This Row],[L4N]],Transactions[[#This Row],[L3N]],IF(Transactions[[#This Row],[Level 5]]=Transactions[[#This Row],[L5N]],Transactions[[#This Row],[L4N]],IF(Transactions[[#This Row],[Level 5]]=Transactions[[#This Row],[L6N]],Transactions[[#This Row],[L5N]],IF(Transactions[[#This Row],[Level 5]]=Transactions[[#This Row],[L7N]],Transactions[[#This Row],[L6N]],Transactions[[#This Row],[L7N]]))))))))</f>
        <v>Chemical and petrochemical (S)</v>
      </c>
      <c r="AY67" s="24" t="str">
        <f>IF(Transactions[[#This Row],[Level 6]]=Transactions[[#This Row],[Transaction name]],Transactions[[#This Row],[Transaction name]],IF(Transactions[[#This Row],[Level 6]]=Transactions[[#This Row],[L1N]],Transactions[[#This Row],[Transaction name]],IF(Transactions[[#This Row],[Level 6]]=Transactions[[#This Row],[L2N]],Transactions[[#This Row],[L1N]],IF(Transactions[[#This Row],[Level 6]]=Transactions[[#This Row],[L3N]],Transactions[[#This Row],[L2N]],IF(Transactions[[#This Row],[Level 6]]=Transactions[[#This Row],[L4N]],Transactions[[#This Row],[L3N]],IF(Transactions[[#This Row],[Level 6]]=Transactions[[#This Row],[L5N]],Transactions[[#This Row],[L4N]],IF(Transactions[[#This Row],[Level 6]]=Transactions[[#This Row],[L6N]],Transactions[[#This Row],[L5N]],IF(Transactions[[#This Row],[Level 6]]=Transactions[[#This Row],[L7N]],Transactions[[#This Row],[L6N]],Transactions[[#This Row],[L7N]]))))))))</f>
        <v>Chemical and petrochemical (S)</v>
      </c>
      <c r="BE67" s="26" t="str">
        <f>_xlfn.XLOOKUP(Transformation[[#This Row],[cfrom]],Commodities[Commodity],Commodities[Commodity code])</f>
        <v>6100</v>
      </c>
      <c r="BF67" s="26" t="str">
        <f>_xlfn.XLOOKUP(Transformation[[#This Row],[tfrom]],Transactions[Transaction name],Transactions[Transaction code])</f>
        <v>08821</v>
      </c>
      <c r="BG67" s="26" t="str">
        <f>_xlfn.XLOOKUP(Transformation[[#This Row],[cto]],Commodities[Commodity],Commodities[Commodity code])</f>
        <v>6100</v>
      </c>
      <c r="BH67" s="26" t="str">
        <f>_xlfn.XLOOKUP(Transformation[[#This Row],[tto]],Transactions[Transaction name],Transactions[Transaction code])</f>
        <v>015ISWC</v>
      </c>
      <c r="BI67" s="11">
        <v>1</v>
      </c>
      <c r="BJ67" s="4" t="s">
        <v>291</v>
      </c>
      <c r="BK67" s="24" t="str">
        <f>_xlfn.XLOOKUP(Transformation[[#This Row],[Commodity from]],Commodities[Commodity code],Commodities[EnergyCode])</f>
        <v>IW</v>
      </c>
      <c r="BL67" s="4" t="s">
        <v>691</v>
      </c>
      <c r="BM67" s="4" t="s">
        <v>291</v>
      </c>
      <c r="BN67" s="24" t="str">
        <f>_xlfn.XLOOKUP(Transformation[[#This Row],[Commodity to]],Commodities[Commodity code],Commodities[EnergyCode])</f>
        <v>IW</v>
      </c>
      <c r="BO67" s="4" t="s">
        <v>1154</v>
      </c>
      <c r="BP67" s="16" t="s">
        <v>1493</v>
      </c>
      <c r="BQ67" s="33" t="str">
        <f>Transformation[[#This Row],[Commodity from]]&amp;Transformation[[#This Row],[Transaction from]]&amp;Transformation[[#This Row],[Commodity to]]&amp;Transformation[[#This Row],[Transaction to]]</f>
        <v>6100088216100015ISWC</v>
      </c>
      <c r="BR67" s="26" t="str">
        <f>Transformation[[#This Row],[crfomid]]&amp;Transformation[[#This Row],[Transaction from]]&amp;"("&amp;Transformation[[#This Row],[Multiplier]]&amp;") -&gt; "&amp;Transformation[[#This Row],[ctoid]]&amp;Transformation[[#This Row],[Transaction to]]</f>
        <v>IW08821(1) -&gt; IW015ISWC</v>
      </c>
      <c r="BT67" s="26" t="str">
        <f>_xlfn.XLOOKUP(Signswitch[[#This Row],[Commodity name]],Commodities[Commodity],Commodities[Commodity code])</f>
        <v>5212</v>
      </c>
      <c r="BU67" s="26" t="str">
        <f>_xlfn.XLOOKUP(Signswitch[[#This Row],[Transaction name]],Transactions[Transaction name],Transactions[Transaction code])</f>
        <v>122</v>
      </c>
      <c r="BV67" s="26" t="str">
        <f>Signswitch[[#This Row],[Commodity from]]&amp;Signswitch[[#This Row],[Transaction from]]</f>
        <v>5212122</v>
      </c>
      <c r="BW67" s="22" t="s">
        <v>317</v>
      </c>
      <c r="BX67" s="26" t="str">
        <f>_xlfn.XLOOKUP(Signswitch[[#This Row],[Commodity from]],Commodities[Commodity code],Commodities[EnergyCode])</f>
        <v>ZG</v>
      </c>
      <c r="BY67" s="22" t="s">
        <v>434</v>
      </c>
    </row>
    <row r="68" spans="8:77" x14ac:dyDescent="0.45">
      <c r="H68" s="5" t="s">
        <v>349</v>
      </c>
      <c r="I68" s="4" t="s">
        <v>348</v>
      </c>
      <c r="J68" s="9" t="s">
        <v>347</v>
      </c>
      <c r="K68" s="9" t="s">
        <v>1454</v>
      </c>
      <c r="L68" s="23" t="str">
        <f>IFERROR(INDEX(Commodities[[Commodity code]:[Commodity]],MATCH(Commodities[[#This Row],[Parent code]],Commodities[Commodity code],0),2),Commodities[[#This Row],[Commodity]])</f>
        <v>Other oil products</v>
      </c>
      <c r="M68" s="24" t="str">
        <f>IFERROR(INDEX(Commodities[[Commodity code]:[Commodity]],MATCH(INDEX(Commodities[[Commodity]:[Parent code]],MATCH(Commodities[[#This Row],[L1N]],Commodities[Commodity],0),2),Commodities[Commodity code],0),2),Commodities[[#This Row],[L1N]])</f>
        <v>Oil products</v>
      </c>
      <c r="N68" s="24" t="str">
        <f>IFERROR(INDEX(Commodities[[Commodity code]:[Commodity]],MATCH(INDEX(Commodities[[Commodity]:[Parent code]],MATCH(Commodities[[#This Row],[L2N]],Commodities[Commodity],0),2),Commodities[Commodity code],0),2),Commodities[[#This Row],[L2N]])</f>
        <v>Oil</v>
      </c>
      <c r="O68" s="24" t="str">
        <f>IFERROR(INDEX(Commodities[[Commodity code]:[Commodity]],MATCH(INDEX(Commodities[[Commodity]:[Parent code]],MATCH(Commodities[[#This Row],[L3N]],Commodities[Commodity],0),2),Commodities[Commodity code],0),2),Commodities[[#This Row],[L3N]])</f>
        <v>Oil</v>
      </c>
      <c r="P68" s="24" t="str">
        <f>IF(Commodities[[#This Row],[L4N]]=Commodities[[#This Row],[L3N]],Commodities[[#This Row],[L4N]],IF(Commodities[[#This Row],[L3N]]=Commodities[[#This Row],[L2N]],Commodities[[#This Row],[L3N]],IF(Commodities[[#This Row],[L2N]]=Commodities[[#This Row],[L1N]],Commodities[[#This Row],[L2N]],IF(Commodities[[#This Row],[L1N]]=Commodities[[#This Row],[Commodity]],Commodities[[#This Row],[L1N]],Commodities[[#This Row],[Commodity]]))))</f>
        <v>Oil</v>
      </c>
      <c r="Q68" s="24" t="str">
        <f>IF(Commodities[[#This Row],[Level 0]]=Commodities[[#This Row],[Commodity]],Commodities[[#This Row],[Commodity]],IF(Commodities[[#This Row],[Level 0]]=Commodities[[#This Row],[L1N]],Commodities[[#This Row],[Commodity]],IF(Commodities[[#This Row],[Level 0]]=Commodities[[#This Row],[L2N]],Commodities[[#This Row],[L1N]],IF(Commodities[[#This Row],[Level 0]]=Commodities[[#This Row],[L3N]],Commodities[[#This Row],[L2N]],IF(Commodities[[#This Row],[Level 0]]=Commodities[[#This Row],[L4N]],Commodities[[#This Row],[L3N]],Commodities[[#This Row],[L4N]])))))</f>
        <v>Oil products</v>
      </c>
      <c r="R68" s="24" t="str">
        <f>IF(Commodities[[#This Row],[Level 1]]=Commodities[[#This Row],[Commodity]],Commodities[[#This Row],[Commodity]],IF(Commodities[[#This Row],[Level 1]]=Commodities[[#This Row],[L1N]],Commodities[[#This Row],[Commodity]],IF(Commodities[[#This Row],[Level 1]]=Commodities[[#This Row],[L2N]],Commodities[[#This Row],[L1N]],IF(Commodities[[#This Row],[Level 1]]=Commodities[[#This Row],[L3N]],Commodities[[#This Row],[L2N]],IF(Commodities[[#This Row],[Level 1]]=Commodities[[#This Row],[L4N]],Commodities[[#This Row],[L3N]],Commodities[[#This Row],[L4N]])))))</f>
        <v>Other oil products</v>
      </c>
      <c r="S68" s="24" t="str">
        <f>IF(Commodities[[#This Row],[Level 2]]=Commodities[[#This Row],[Commodity]],Commodities[[#This Row],[Commodity]],IF(Commodities[[#This Row],[Level 2]]=Commodities[[#This Row],[L1N]],Commodities[[#This Row],[Commodity]],IF(Commodities[[#This Row],[Level 2]]=Commodities[[#This Row],[L2N]],Commodities[[#This Row],[L1N]],IF(Commodities[[#This Row],[Level 2]]=Commodities[[#This Row],[L3N]],Commodities[[#This Row],[L2N]],IF(Commodities[[#This Row],[Level 2]]=Commodities[[#This Row],[L4N]],Commodities[[#This Row],[L3N]],Commodities[[#This Row],[L4N]])))))</f>
        <v>Other oil products n.e.c.</v>
      </c>
      <c r="T68" s="24" t="str">
        <f>IF(Commodities[[#This Row],[Level 3]]=Commodities[[#This Row],[Commodity]],Commodities[[#This Row],[Commodity]],IF(Commodities[[#This Row],[Level 3]]=Commodities[[#This Row],[L1N]],Commodities[[#This Row],[Commodity]],IF(Commodities[[#This Row],[Level 3]]=Commodities[[#This Row],[L2N]],Commodities[[#This Row],[L1N]],IF(Commodities[[#This Row],[Level 3]]=Commodities[[#This Row],[L3N]],Commodities[[#This Row],[L2N]],IF(Commodities[[#This Row],[Level 3]]=Commodities[[#This Row],[L4N]],Commodities[[#This Row],[L3N]],Commodities[[#This Row],[L4N]])))))</f>
        <v>Other oil products n.e.c.</v>
      </c>
      <c r="U68" s="24" t="str">
        <f>IF(Commodities[[#This Row],[Level 4]]=Commodities[[#This Row],[Commodity]],Commodities[[#This Row],[Commodity]],IF(Commodities[[#This Row],[Level 4]]=Commodities[[#This Row],[L1N]],Commodities[[#This Row],[Commodity]],IF(Commodities[[#This Row],[Level 4]]=Commodities[[#This Row],[L2N]],Commodities[[#This Row],[L1N]],IF(Commodities[[#This Row],[Level 4]]=Commodities[[#This Row],[L3N]],Commodities[[#This Row],[L2N]],IF(Commodities[[#This Row],[Level 4]]=Commodities[[#This Row],[L4N]],Commodities[[#This Row],[L3N]],Commodities[[#This Row],[L4N]])))))</f>
        <v>Other oil products n.e.c.</v>
      </c>
      <c r="Y68" s="4" t="s">
        <v>442</v>
      </c>
      <c r="Z68" s="4" t="s">
        <v>841</v>
      </c>
      <c r="AA68" s="4" t="s">
        <v>841</v>
      </c>
      <c r="AB68" s="4" t="s">
        <v>437</v>
      </c>
      <c r="AC68" s="24" t="str">
        <f>IFERROR(VLOOKUP(Transactions[[#This Row],[Parent code]],Transactions[[Transaction code]:[Transaction name]],2,0),"")</f>
        <v>Manufacturing, construction and non-fuel mining industries (S)</v>
      </c>
      <c r="AD68" s="4" t="s">
        <v>630</v>
      </c>
      <c r="AF68" s="4" t="s">
        <v>642</v>
      </c>
      <c r="AG68" s="4" t="s">
        <v>385</v>
      </c>
      <c r="AK68" s="24" t="str" cm="1">
        <f t="array" ref="AK68">IFERROR(INDEX(Transactions[[Transaction code]:[Transaction name]],_xlfn.XMATCH(Transactions[[#This Row],[Parent code]],Transactions[Transaction name],0),3),Transactions[[#This Row],[Transaction name]])</f>
        <v>Construction (S)</v>
      </c>
      <c r="AL68" s="24" t="str" cm="1">
        <f t="array" ref="AL68">IFERROR(INDEX(Transactions[[Transaction code]:[Transaction name]],_xlfn.XMATCH(INDEX(Transactions[[Transaction name]:[Parent code]],_xlfn.XMATCH(Transactions[[#This Row],[L1N]],Transactions[Transaction name],0),3),Transactions[Transaction code],0),2),Transactions[[#This Row],[L1N]])</f>
        <v>Manufacturing, construction and non-fuel mining industries (S)</v>
      </c>
      <c r="AM68" s="24" t="str" cm="1">
        <f t="array" ref="AM68">IFERROR(INDEX(Transactions[[Transaction code]:[Transaction name]],_xlfn.XMATCH(INDEX(Transactions[[Transaction name]:[Parent code]],_xlfn.XMATCH(Transactions[[#This Row],[L2N]],Transactions[Transaction name],0),3),Transactions[Transaction code],0),2),Transactions[[#This Row],[L2N]])</f>
        <v>Final Energy Consumption (S)</v>
      </c>
      <c r="AN68" s="24" t="str" cm="1">
        <f t="array" ref="AN68">IFERROR(INDEX(Transactions[[Transaction code]:[Transaction name]],_xlfn.XMATCH(INDEX(Transactions[[Transaction name]:[Parent code]],_xlfn.XMATCH(Transactions[[#This Row],[L3N]],Transactions[Transaction name],0),3),Transactions[Transaction code],0),2),Transactions[[#This Row],[L3N]])</f>
        <v>Final consumption (S)</v>
      </c>
      <c r="AO68" s="24" t="str" cm="1">
        <f t="array" ref="AO68">IFERROR(INDEX(Transactions[[Transaction code]:[Transaction name]],_xlfn.XMATCH(INDEX(Transactions[[Transaction name]:[Parent code]],_xlfn.XMATCH(Transactions[[#This Row],[L4N]],Transactions[Transaction name],0),3),Transactions[Transaction code],0),2),Transactions[[#This Row],[L4N]])</f>
        <v>Final consumption (S)</v>
      </c>
      <c r="AP68" s="24" t="str" cm="1">
        <f t="array" ref="AP68">IFERROR(INDEX(Transactions[[Transaction code]:[Transaction name]],_xlfn.XMATCH(INDEX(Transactions[[Transaction name]:[Parent code]],_xlfn.XMATCH(Transactions[[#This Row],[L5N]],Transactions[Transaction name],0),3),Transactions[Transaction code],0),2),Transactions[[#This Row],[L5N]])</f>
        <v>Final consumption (S)</v>
      </c>
      <c r="AQ68" s="24" t="str" cm="1">
        <f t="array" ref="AQ68">IFERROR(INDEX(Transactions[[Transaction code]:[Transaction name]],_xlfn.XMATCH(INDEX(Transactions[[Transaction name]:[Parent code]],_xlfn.XMATCH(Transactions[[#This Row],[L6N]],Transactions[Transaction name],0),3),Transactions[Transaction code],0),2),Transactions[[#This Row],[L6N]])</f>
        <v>Final consumption (S)</v>
      </c>
      <c r="AR68" s="27" t="str">
        <f>IF(Transactions[[#This Row],[L7N]]=Transactions[[#This Row],[L6N]],Transactions[[#This Row],[L7N]],IF(Transactions[[#This Row],[L6N]]=Transactions[[#This Row],[L5N]],Transactions[[#This Row],[L6N]],IF(Transactions[[#This Row],[L5N]]=Transactions[[#This Row],[L4N]],Transactions[[#This Row],[L5N]],IF(Transactions[[#This Row],[L4N]]=Transactions[[#This Row],[L3N]],Transactions[[#This Row],[L4N]],IF(Transactions[[#This Row],[L3N]]=Transactions[[#This Row],[L2N]],Transactions[[#This Row],[L3N]],IF(Transactions[[#This Row],[L2N]]=Transactions[[#This Row],[L1N]],Transactions[[#This Row],[L2N]],IF(Transactions[[#This Row],[L1N]]=Transactions[[#This Row],[Transaction name]],Transactions[[#This Row],[L1N]],Transactions[[#This Row],[Transaction name]])))))))</f>
        <v>Final consumption (S)</v>
      </c>
      <c r="AS68" s="24" t="str">
        <f>IF(Transactions[[#This Row],[Level 0]]=Transactions[[#This Row],[Transaction name]],Transactions[[#This Row],[Transaction name]],IF(Transactions[[#This Row],[Level 0]]=Transactions[[#This Row],[L1N]],Transactions[[#This Row],[Transaction name]],IF(Transactions[[#This Row],[Level 0]]=Transactions[[#This Row],[L2N]],Transactions[[#This Row],[L1N]],IF(Transactions[[#This Row],[Level 0]]=Transactions[[#This Row],[L3N]],Transactions[[#This Row],[L2N]],IF(Transactions[[#This Row],[Level 0]]=Transactions[[#This Row],[L4N]],Transactions[[#This Row],[L3N]],IF(Transactions[[#This Row],[Level 0]]=Transactions[[#This Row],[L5N]],Transactions[[#This Row],[L4N]],IF(Transactions[[#This Row],[Level 0]]=Transactions[[#This Row],[L6N]],Transactions[[#This Row],[L5N]],IF(Transactions[[#This Row],[Level 0]]=Transactions[[#This Row],[L7N]],Transactions[[#This Row],[L6N]],Transactions[[#This Row],[L7N]]))))))))</f>
        <v>Final Energy Consumption (S)</v>
      </c>
      <c r="AT68" s="24" t="str">
        <f>IF(Transactions[[#This Row],[Level 1]]=Transactions[[#This Row],[Transaction name]],Transactions[[#This Row],[Transaction name]],IF(Transactions[[#This Row],[Level 1]]=Transactions[[#This Row],[L1N]],Transactions[[#This Row],[Transaction name]],IF(Transactions[[#This Row],[Level 1]]=Transactions[[#This Row],[L2N]],Transactions[[#This Row],[L1N]],IF(Transactions[[#This Row],[Level 1]]=Transactions[[#This Row],[L3N]],Transactions[[#This Row],[L2N]],IF(Transactions[[#This Row],[Level 1]]=Transactions[[#This Row],[L4N]],Transactions[[#This Row],[L3N]],IF(Transactions[[#This Row],[Level 1]]=Transactions[[#This Row],[L5N]],Transactions[[#This Row],[L4N]],IF(Transactions[[#This Row],[Level 1]]=Transactions[[#This Row],[L6N]],Transactions[[#This Row],[L5N]],IF(Transactions[[#This Row],[Level 1]]=Transactions[[#This Row],[L7N]],Transactions[[#This Row],[L6N]],Transactions[[#This Row],[L7N]]))))))))</f>
        <v>Manufacturing, construction and non-fuel mining industries (S)</v>
      </c>
      <c r="AU68" s="24" t="str">
        <f>IF(Transactions[[#This Row],[Level 2]]=Transactions[[#This Row],[Transaction name]],Transactions[[#This Row],[Transaction name]],IF(Transactions[[#This Row],[Level 2]]=Transactions[[#This Row],[L1N]],Transactions[[#This Row],[Transaction name]],IF(Transactions[[#This Row],[Level 2]]=Transactions[[#This Row],[L2N]],Transactions[[#This Row],[L1N]],IF(Transactions[[#This Row],[Level 2]]=Transactions[[#This Row],[L3N]],Transactions[[#This Row],[L2N]],IF(Transactions[[#This Row],[Level 2]]=Transactions[[#This Row],[L4N]],Transactions[[#This Row],[L3N]],IF(Transactions[[#This Row],[Level 2]]=Transactions[[#This Row],[L5N]],Transactions[[#This Row],[L4N]],IF(Transactions[[#This Row],[Level 2]]=Transactions[[#This Row],[L6N]],Transactions[[#This Row],[L5N]],IF(Transactions[[#This Row],[Level 2]]=Transactions[[#This Row],[L7N]],Transactions[[#This Row],[L6N]],Transactions[[#This Row],[L7N]]))))))))</f>
        <v>Construction (S)</v>
      </c>
      <c r="AV68" s="24" t="str">
        <f>IF(Transactions[[#This Row],[Level 3]]=Transactions[[#This Row],[Transaction name]],Transactions[[#This Row],[Transaction name]],IF(Transactions[[#This Row],[Level 3]]=Transactions[[#This Row],[L1N]],Transactions[[#This Row],[Transaction name]],IF(Transactions[[#This Row],[Level 3]]=Transactions[[#This Row],[L2N]],Transactions[[#This Row],[L1N]],IF(Transactions[[#This Row],[Level 3]]=Transactions[[#This Row],[L3N]],Transactions[[#This Row],[L2N]],IF(Transactions[[#This Row],[Level 3]]=Transactions[[#This Row],[L4N]],Transactions[[#This Row],[L3N]],IF(Transactions[[#This Row],[Level 3]]=Transactions[[#This Row],[L5N]],Transactions[[#This Row],[L4N]],IF(Transactions[[#This Row],[Level 3]]=Transactions[[#This Row],[L6N]],Transactions[[#This Row],[L5N]],IF(Transactions[[#This Row],[Level 3]]=Transactions[[#This Row],[L7N]],Transactions[[#This Row],[L6N]],Transactions[[#This Row],[L7N]]))))))))</f>
        <v>Construction (S)</v>
      </c>
      <c r="AW68" s="24" t="str">
        <f>IF(Transactions[[#This Row],[Level 4]]=Transactions[[#This Row],[Transaction name]],Transactions[[#This Row],[Transaction name]],IF(Transactions[[#This Row],[Level 4]]=Transactions[[#This Row],[L1N]],Transactions[[#This Row],[Transaction name]],IF(Transactions[[#This Row],[Level 4]]=Transactions[[#This Row],[L2N]],Transactions[[#This Row],[L1N]],IF(Transactions[[#This Row],[Level 4]]=Transactions[[#This Row],[L3N]],Transactions[[#This Row],[L2N]],IF(Transactions[[#This Row],[Level 4]]=Transactions[[#This Row],[L4N]],Transactions[[#This Row],[L3N]],IF(Transactions[[#This Row],[Level 4]]=Transactions[[#This Row],[L5N]],Transactions[[#This Row],[L4N]],IF(Transactions[[#This Row],[Level 4]]=Transactions[[#This Row],[L6N]],Transactions[[#This Row],[L5N]],IF(Transactions[[#This Row],[Level 4]]=Transactions[[#This Row],[L7N]],Transactions[[#This Row],[L6N]],Transactions[[#This Row],[L7N]]))))))))</f>
        <v>Construction (S)</v>
      </c>
      <c r="AX68" s="24" t="str">
        <f>IF(Transactions[[#This Row],[Level 5]]=Transactions[[#This Row],[Transaction name]],Transactions[[#This Row],[Transaction name]],IF(Transactions[[#This Row],[Level 5]]=Transactions[[#This Row],[L1N]],Transactions[[#This Row],[Transaction name]],IF(Transactions[[#This Row],[Level 5]]=Transactions[[#This Row],[L2N]],Transactions[[#This Row],[L1N]],IF(Transactions[[#This Row],[Level 5]]=Transactions[[#This Row],[L3N]],Transactions[[#This Row],[L2N]],IF(Transactions[[#This Row],[Level 5]]=Transactions[[#This Row],[L4N]],Transactions[[#This Row],[L3N]],IF(Transactions[[#This Row],[Level 5]]=Transactions[[#This Row],[L5N]],Transactions[[#This Row],[L4N]],IF(Transactions[[#This Row],[Level 5]]=Transactions[[#This Row],[L6N]],Transactions[[#This Row],[L5N]],IF(Transactions[[#This Row],[Level 5]]=Transactions[[#This Row],[L7N]],Transactions[[#This Row],[L6N]],Transactions[[#This Row],[L7N]]))))))))</f>
        <v>Construction (S)</v>
      </c>
      <c r="AY68" s="24" t="str">
        <f>IF(Transactions[[#This Row],[Level 6]]=Transactions[[#This Row],[Transaction name]],Transactions[[#This Row],[Transaction name]],IF(Transactions[[#This Row],[Level 6]]=Transactions[[#This Row],[L1N]],Transactions[[#This Row],[Transaction name]],IF(Transactions[[#This Row],[Level 6]]=Transactions[[#This Row],[L2N]],Transactions[[#This Row],[L1N]],IF(Transactions[[#This Row],[Level 6]]=Transactions[[#This Row],[L3N]],Transactions[[#This Row],[L2N]],IF(Transactions[[#This Row],[Level 6]]=Transactions[[#This Row],[L4N]],Transactions[[#This Row],[L3N]],IF(Transactions[[#This Row],[Level 6]]=Transactions[[#This Row],[L5N]],Transactions[[#This Row],[L4N]],IF(Transactions[[#This Row],[Level 6]]=Transactions[[#This Row],[L6N]],Transactions[[#This Row],[L5N]],IF(Transactions[[#This Row],[Level 6]]=Transactions[[#This Row],[L7N]],Transactions[[#This Row],[L6N]],Transactions[[#This Row],[L7N]]))))))))</f>
        <v>Construction (S)</v>
      </c>
      <c r="BE68" s="26" t="str">
        <f>_xlfn.XLOOKUP(Transformation[[#This Row],[cfrom]],Commodities[Commodity],Commodities[Commodity code])</f>
        <v>4661</v>
      </c>
      <c r="BF68" s="26" t="str">
        <f>_xlfn.XLOOKUP(Transformation[[#This Row],[tfrom]],Transactions[Transaction name],Transactions[Transaction code])</f>
        <v>08821</v>
      </c>
      <c r="BG68" s="26" t="str">
        <f>_xlfn.XLOOKUP(Transformation[[#This Row],[cto]],Commodities[Commodity],Commodities[Commodity code])</f>
        <v>4661</v>
      </c>
      <c r="BH68" s="26" t="str">
        <f>_xlfn.XLOOKUP(Transformation[[#This Row],[tto]],Transactions[Transaction name],Transactions[Transaction code])</f>
        <v>015OPC</v>
      </c>
      <c r="BI68" s="11">
        <v>1</v>
      </c>
      <c r="BJ68" s="4" t="s">
        <v>381</v>
      </c>
      <c r="BK68" s="24" t="str">
        <f>_xlfn.XLOOKUP(Transformation[[#This Row],[Commodity from]],Commodities[Commodity code],Commodities[EnergyCode])</f>
        <v>JF</v>
      </c>
      <c r="BL68" s="4" t="s">
        <v>691</v>
      </c>
      <c r="BM68" s="4" t="s">
        <v>381</v>
      </c>
      <c r="BN68" s="24" t="str">
        <f>_xlfn.XLOOKUP(Transformation[[#This Row],[Commodity to]],Commodities[Commodity code],Commodities[EnergyCode])</f>
        <v>JF</v>
      </c>
      <c r="BO68" s="4" t="s">
        <v>1050</v>
      </c>
      <c r="BP68" s="16" t="s">
        <v>1493</v>
      </c>
      <c r="BQ68" s="33" t="str">
        <f>Transformation[[#This Row],[Commodity from]]&amp;Transformation[[#This Row],[Transaction from]]&amp;Transformation[[#This Row],[Commodity to]]&amp;Transformation[[#This Row],[Transaction to]]</f>
        <v>4661088214661015OPC</v>
      </c>
      <c r="BR68" s="26" t="str">
        <f>Transformation[[#This Row],[crfomid]]&amp;Transformation[[#This Row],[Transaction from]]&amp;"("&amp;Transformation[[#This Row],[Multiplier]]&amp;") -&gt; "&amp;Transformation[[#This Row],[ctoid]]&amp;Transformation[[#This Row],[Transaction to]]</f>
        <v>JF08821(1) -&gt; JF015OPC</v>
      </c>
      <c r="BT68" s="26" t="str">
        <f>_xlfn.XLOOKUP(Signswitch[[#This Row],[Commodity name]],Commodities[Commodity],Commodities[Commodity code])</f>
        <v>5232</v>
      </c>
      <c r="BU68" s="26" t="str">
        <f>_xlfn.XLOOKUP(Signswitch[[#This Row],[Transaction name]],Transactions[Transaction name],Transactions[Transaction code])</f>
        <v>1222</v>
      </c>
      <c r="BV68" s="26" t="str">
        <f>Signswitch[[#This Row],[Commodity from]]&amp;Signswitch[[#This Row],[Transaction from]]</f>
        <v>52321222</v>
      </c>
      <c r="BW68" s="22" t="s">
        <v>306</v>
      </c>
      <c r="BX68" s="26" t="str">
        <f>_xlfn.XLOOKUP(Signswitch[[#This Row],[Commodity from]],Commodities[Commodity code],Commodities[EnergyCode])</f>
        <v>ZJ</v>
      </c>
      <c r="BY68" s="22" t="s">
        <v>426</v>
      </c>
    </row>
    <row r="69" spans="8:77" x14ac:dyDescent="0.45">
      <c r="H69" s="5" t="s">
        <v>460</v>
      </c>
      <c r="I69" s="4" t="s">
        <v>459</v>
      </c>
      <c r="J69" s="9" t="s">
        <v>454</v>
      </c>
      <c r="K69" s="9" t="s">
        <v>1435</v>
      </c>
      <c r="L69" s="23" t="str">
        <f>IFERROR(INDEX(Commodities[[Commodity code]:[Commodity]],MATCH(Commodities[[#This Row],[Parent code]],Commodities[Commodity code],0),2),Commodities[[#This Row],[Commodity]])</f>
        <v>Peat and peat products</v>
      </c>
      <c r="M69" s="24" t="str">
        <f>IFERROR(INDEX(Commodities[[Commodity code]:[Commodity]],MATCH(INDEX(Commodities[[Commodity]:[Parent code]],MATCH(Commodities[[#This Row],[L1N]],Commodities[Commodity],0),2),Commodities[Commodity code],0),2),Commodities[[#This Row],[L1N]])</f>
        <v>Peat and peat products</v>
      </c>
      <c r="N69" s="24" t="str">
        <f>IFERROR(INDEX(Commodities[[Commodity code]:[Commodity]],MATCH(INDEX(Commodities[[Commodity]:[Parent code]],MATCH(Commodities[[#This Row],[L2N]],Commodities[Commodity],0),2),Commodities[Commodity code],0),2),Commodities[[#This Row],[L2N]])</f>
        <v>Peat and peat products</v>
      </c>
      <c r="O69" s="24" t="str">
        <f>IFERROR(INDEX(Commodities[[Commodity code]:[Commodity]],MATCH(INDEX(Commodities[[Commodity]:[Parent code]],MATCH(Commodities[[#This Row],[L3N]],Commodities[Commodity],0),2),Commodities[Commodity code],0),2),Commodities[[#This Row],[L3N]])</f>
        <v>Peat and peat products</v>
      </c>
      <c r="P69" s="24" t="str">
        <f>IF(Commodities[[#This Row],[L4N]]=Commodities[[#This Row],[L3N]],Commodities[[#This Row],[L4N]],IF(Commodities[[#This Row],[L3N]]=Commodities[[#This Row],[L2N]],Commodities[[#This Row],[L3N]],IF(Commodities[[#This Row],[L2N]]=Commodities[[#This Row],[L1N]],Commodities[[#This Row],[L2N]],IF(Commodities[[#This Row],[L1N]]=Commodities[[#This Row],[Commodity]],Commodities[[#This Row],[L1N]],Commodities[[#This Row],[Commodity]]))))</f>
        <v>Peat and peat products</v>
      </c>
      <c r="Q69" s="24" t="str">
        <f>IF(Commodities[[#This Row],[Level 0]]=Commodities[[#This Row],[Commodity]],Commodities[[#This Row],[Commodity]],IF(Commodities[[#This Row],[Level 0]]=Commodities[[#This Row],[L1N]],Commodities[[#This Row],[Commodity]],IF(Commodities[[#This Row],[Level 0]]=Commodities[[#This Row],[L2N]],Commodities[[#This Row],[L1N]],IF(Commodities[[#This Row],[Level 0]]=Commodities[[#This Row],[L3N]],Commodities[[#This Row],[L2N]],IF(Commodities[[#This Row],[Level 0]]=Commodities[[#This Row],[L4N]],Commodities[[#This Row],[L3N]],Commodities[[#This Row],[L4N]])))))</f>
        <v>Peat</v>
      </c>
      <c r="R69" s="24" t="str">
        <f>IF(Commodities[[#This Row],[Level 1]]=Commodities[[#This Row],[Commodity]],Commodities[[#This Row],[Commodity]],IF(Commodities[[#This Row],[Level 1]]=Commodities[[#This Row],[L1N]],Commodities[[#This Row],[Commodity]],IF(Commodities[[#This Row],[Level 1]]=Commodities[[#This Row],[L2N]],Commodities[[#This Row],[L1N]],IF(Commodities[[#This Row],[Level 1]]=Commodities[[#This Row],[L3N]],Commodities[[#This Row],[L2N]],IF(Commodities[[#This Row],[Level 1]]=Commodities[[#This Row],[L4N]],Commodities[[#This Row],[L3N]],Commodities[[#This Row],[L4N]])))))</f>
        <v>Peat</v>
      </c>
      <c r="S69" s="24" t="str">
        <f>IF(Commodities[[#This Row],[Level 2]]=Commodities[[#This Row],[Commodity]],Commodities[[#This Row],[Commodity]],IF(Commodities[[#This Row],[Level 2]]=Commodities[[#This Row],[L1N]],Commodities[[#This Row],[Commodity]],IF(Commodities[[#This Row],[Level 2]]=Commodities[[#This Row],[L2N]],Commodities[[#This Row],[L1N]],IF(Commodities[[#This Row],[Level 2]]=Commodities[[#This Row],[L3N]],Commodities[[#This Row],[L2N]],IF(Commodities[[#This Row],[Level 2]]=Commodities[[#This Row],[L4N]],Commodities[[#This Row],[L3N]],Commodities[[#This Row],[L4N]])))))</f>
        <v>Peat</v>
      </c>
      <c r="T69" s="24" t="str">
        <f>IF(Commodities[[#This Row],[Level 3]]=Commodities[[#This Row],[Commodity]],Commodities[[#This Row],[Commodity]],IF(Commodities[[#This Row],[Level 3]]=Commodities[[#This Row],[L1N]],Commodities[[#This Row],[Commodity]],IF(Commodities[[#This Row],[Level 3]]=Commodities[[#This Row],[L2N]],Commodities[[#This Row],[L1N]],IF(Commodities[[#This Row],[Level 3]]=Commodities[[#This Row],[L3N]],Commodities[[#This Row],[L2N]],IF(Commodities[[#This Row],[Level 3]]=Commodities[[#This Row],[L4N]],Commodities[[#This Row],[L3N]],Commodities[[#This Row],[L4N]])))))</f>
        <v>Peat</v>
      </c>
      <c r="U69" s="24" t="str">
        <f>IF(Commodities[[#This Row],[Level 4]]=Commodities[[#This Row],[Commodity]],Commodities[[#This Row],[Commodity]],IF(Commodities[[#This Row],[Level 4]]=Commodities[[#This Row],[L1N]],Commodities[[#This Row],[Commodity]],IF(Commodities[[#This Row],[Level 4]]=Commodities[[#This Row],[L2N]],Commodities[[#This Row],[L1N]],IF(Commodities[[#This Row],[Level 4]]=Commodities[[#This Row],[L3N]],Commodities[[#This Row],[L2N]],IF(Commodities[[#This Row],[Level 4]]=Commodities[[#This Row],[L4N]],Commodities[[#This Row],[L3N]],Commodities[[#This Row],[L4N]])))))</f>
        <v>Peat</v>
      </c>
      <c r="Y69" s="4" t="s">
        <v>458</v>
      </c>
      <c r="Z69" s="4" t="s">
        <v>850</v>
      </c>
      <c r="AA69" s="4" t="s">
        <v>850</v>
      </c>
      <c r="AB69" s="4" t="s">
        <v>437</v>
      </c>
      <c r="AC69" s="24" t="str">
        <f>IFERROR(VLOOKUP(Transactions[[#This Row],[Parent code]],Transactions[[Transaction code]:[Transaction name]],2,0),"")</f>
        <v>Manufacturing, construction and non-fuel mining industries (S)</v>
      </c>
      <c r="AD69" s="4" t="s">
        <v>630</v>
      </c>
      <c r="AF69" s="4" t="s">
        <v>642</v>
      </c>
      <c r="AG69" s="4" t="s">
        <v>385</v>
      </c>
      <c r="AK69" s="24" t="str" cm="1">
        <f t="array" ref="AK69">IFERROR(INDEX(Transactions[[Transaction code]:[Transaction name]],_xlfn.XMATCH(Transactions[[#This Row],[Parent code]],Transactions[Transaction name],0),3),Transactions[[#This Row],[Transaction name]])</f>
        <v>Food and tobacco (S)</v>
      </c>
      <c r="AL69" s="24" t="str" cm="1">
        <f t="array" ref="AL69">IFERROR(INDEX(Transactions[[Transaction code]:[Transaction name]],_xlfn.XMATCH(INDEX(Transactions[[Transaction name]:[Parent code]],_xlfn.XMATCH(Transactions[[#This Row],[L1N]],Transactions[Transaction name],0),3),Transactions[Transaction code],0),2),Transactions[[#This Row],[L1N]])</f>
        <v>Manufacturing, construction and non-fuel mining industries (S)</v>
      </c>
      <c r="AM69" s="24" t="str" cm="1">
        <f t="array" ref="AM69">IFERROR(INDEX(Transactions[[Transaction code]:[Transaction name]],_xlfn.XMATCH(INDEX(Transactions[[Transaction name]:[Parent code]],_xlfn.XMATCH(Transactions[[#This Row],[L2N]],Transactions[Transaction name],0),3),Transactions[Transaction code],0),2),Transactions[[#This Row],[L2N]])</f>
        <v>Final Energy Consumption (S)</v>
      </c>
      <c r="AN69" s="24" t="str" cm="1">
        <f t="array" ref="AN69">IFERROR(INDEX(Transactions[[Transaction code]:[Transaction name]],_xlfn.XMATCH(INDEX(Transactions[[Transaction name]:[Parent code]],_xlfn.XMATCH(Transactions[[#This Row],[L3N]],Transactions[Transaction name],0),3),Transactions[Transaction code],0),2),Transactions[[#This Row],[L3N]])</f>
        <v>Final consumption (S)</v>
      </c>
      <c r="AO69" s="24" t="str" cm="1">
        <f t="array" ref="AO69">IFERROR(INDEX(Transactions[[Transaction code]:[Transaction name]],_xlfn.XMATCH(INDEX(Transactions[[Transaction name]:[Parent code]],_xlfn.XMATCH(Transactions[[#This Row],[L4N]],Transactions[Transaction name],0),3),Transactions[Transaction code],0),2),Transactions[[#This Row],[L4N]])</f>
        <v>Final consumption (S)</v>
      </c>
      <c r="AP69" s="24" t="str" cm="1">
        <f t="array" ref="AP69">IFERROR(INDEX(Transactions[[Transaction code]:[Transaction name]],_xlfn.XMATCH(INDEX(Transactions[[Transaction name]:[Parent code]],_xlfn.XMATCH(Transactions[[#This Row],[L5N]],Transactions[Transaction name],0),3),Transactions[Transaction code],0),2),Transactions[[#This Row],[L5N]])</f>
        <v>Final consumption (S)</v>
      </c>
      <c r="AQ69" s="24" t="str" cm="1">
        <f t="array" ref="AQ69">IFERROR(INDEX(Transactions[[Transaction code]:[Transaction name]],_xlfn.XMATCH(INDEX(Transactions[[Transaction name]:[Parent code]],_xlfn.XMATCH(Transactions[[#This Row],[L6N]],Transactions[Transaction name],0),3),Transactions[Transaction code],0),2),Transactions[[#This Row],[L6N]])</f>
        <v>Final consumption (S)</v>
      </c>
      <c r="AR69" s="27" t="str">
        <f>IF(Transactions[[#This Row],[L7N]]=Transactions[[#This Row],[L6N]],Transactions[[#This Row],[L7N]],IF(Transactions[[#This Row],[L6N]]=Transactions[[#This Row],[L5N]],Transactions[[#This Row],[L6N]],IF(Transactions[[#This Row],[L5N]]=Transactions[[#This Row],[L4N]],Transactions[[#This Row],[L5N]],IF(Transactions[[#This Row],[L4N]]=Transactions[[#This Row],[L3N]],Transactions[[#This Row],[L4N]],IF(Transactions[[#This Row],[L3N]]=Transactions[[#This Row],[L2N]],Transactions[[#This Row],[L3N]],IF(Transactions[[#This Row],[L2N]]=Transactions[[#This Row],[L1N]],Transactions[[#This Row],[L2N]],IF(Transactions[[#This Row],[L1N]]=Transactions[[#This Row],[Transaction name]],Transactions[[#This Row],[L1N]],Transactions[[#This Row],[Transaction name]])))))))</f>
        <v>Final consumption (S)</v>
      </c>
      <c r="AS69" s="24" t="str">
        <f>IF(Transactions[[#This Row],[Level 0]]=Transactions[[#This Row],[Transaction name]],Transactions[[#This Row],[Transaction name]],IF(Transactions[[#This Row],[Level 0]]=Transactions[[#This Row],[L1N]],Transactions[[#This Row],[Transaction name]],IF(Transactions[[#This Row],[Level 0]]=Transactions[[#This Row],[L2N]],Transactions[[#This Row],[L1N]],IF(Transactions[[#This Row],[Level 0]]=Transactions[[#This Row],[L3N]],Transactions[[#This Row],[L2N]],IF(Transactions[[#This Row],[Level 0]]=Transactions[[#This Row],[L4N]],Transactions[[#This Row],[L3N]],IF(Transactions[[#This Row],[Level 0]]=Transactions[[#This Row],[L5N]],Transactions[[#This Row],[L4N]],IF(Transactions[[#This Row],[Level 0]]=Transactions[[#This Row],[L6N]],Transactions[[#This Row],[L5N]],IF(Transactions[[#This Row],[Level 0]]=Transactions[[#This Row],[L7N]],Transactions[[#This Row],[L6N]],Transactions[[#This Row],[L7N]]))))))))</f>
        <v>Final Energy Consumption (S)</v>
      </c>
      <c r="AT69" s="24" t="str">
        <f>IF(Transactions[[#This Row],[Level 1]]=Transactions[[#This Row],[Transaction name]],Transactions[[#This Row],[Transaction name]],IF(Transactions[[#This Row],[Level 1]]=Transactions[[#This Row],[L1N]],Transactions[[#This Row],[Transaction name]],IF(Transactions[[#This Row],[Level 1]]=Transactions[[#This Row],[L2N]],Transactions[[#This Row],[L1N]],IF(Transactions[[#This Row],[Level 1]]=Transactions[[#This Row],[L3N]],Transactions[[#This Row],[L2N]],IF(Transactions[[#This Row],[Level 1]]=Transactions[[#This Row],[L4N]],Transactions[[#This Row],[L3N]],IF(Transactions[[#This Row],[Level 1]]=Transactions[[#This Row],[L5N]],Transactions[[#This Row],[L4N]],IF(Transactions[[#This Row],[Level 1]]=Transactions[[#This Row],[L6N]],Transactions[[#This Row],[L5N]],IF(Transactions[[#This Row],[Level 1]]=Transactions[[#This Row],[L7N]],Transactions[[#This Row],[L6N]],Transactions[[#This Row],[L7N]]))))))))</f>
        <v>Manufacturing, construction and non-fuel mining industries (S)</v>
      </c>
      <c r="AU69" s="24" t="str">
        <f>IF(Transactions[[#This Row],[Level 2]]=Transactions[[#This Row],[Transaction name]],Transactions[[#This Row],[Transaction name]],IF(Transactions[[#This Row],[Level 2]]=Transactions[[#This Row],[L1N]],Transactions[[#This Row],[Transaction name]],IF(Transactions[[#This Row],[Level 2]]=Transactions[[#This Row],[L2N]],Transactions[[#This Row],[L1N]],IF(Transactions[[#This Row],[Level 2]]=Transactions[[#This Row],[L3N]],Transactions[[#This Row],[L2N]],IF(Transactions[[#This Row],[Level 2]]=Transactions[[#This Row],[L4N]],Transactions[[#This Row],[L3N]],IF(Transactions[[#This Row],[Level 2]]=Transactions[[#This Row],[L5N]],Transactions[[#This Row],[L4N]],IF(Transactions[[#This Row],[Level 2]]=Transactions[[#This Row],[L6N]],Transactions[[#This Row],[L5N]],IF(Transactions[[#This Row],[Level 2]]=Transactions[[#This Row],[L7N]],Transactions[[#This Row],[L6N]],Transactions[[#This Row],[L7N]]))))))))</f>
        <v>Food and tobacco (S)</v>
      </c>
      <c r="AV69" s="24" t="str">
        <f>IF(Transactions[[#This Row],[Level 3]]=Transactions[[#This Row],[Transaction name]],Transactions[[#This Row],[Transaction name]],IF(Transactions[[#This Row],[Level 3]]=Transactions[[#This Row],[L1N]],Transactions[[#This Row],[Transaction name]],IF(Transactions[[#This Row],[Level 3]]=Transactions[[#This Row],[L2N]],Transactions[[#This Row],[L1N]],IF(Transactions[[#This Row],[Level 3]]=Transactions[[#This Row],[L3N]],Transactions[[#This Row],[L2N]],IF(Transactions[[#This Row],[Level 3]]=Transactions[[#This Row],[L4N]],Transactions[[#This Row],[L3N]],IF(Transactions[[#This Row],[Level 3]]=Transactions[[#This Row],[L5N]],Transactions[[#This Row],[L4N]],IF(Transactions[[#This Row],[Level 3]]=Transactions[[#This Row],[L6N]],Transactions[[#This Row],[L5N]],IF(Transactions[[#This Row],[Level 3]]=Transactions[[#This Row],[L7N]],Transactions[[#This Row],[L6N]],Transactions[[#This Row],[L7N]]))))))))</f>
        <v>Food and tobacco (S)</v>
      </c>
      <c r="AW69" s="24" t="str">
        <f>IF(Transactions[[#This Row],[Level 4]]=Transactions[[#This Row],[Transaction name]],Transactions[[#This Row],[Transaction name]],IF(Transactions[[#This Row],[Level 4]]=Transactions[[#This Row],[L1N]],Transactions[[#This Row],[Transaction name]],IF(Transactions[[#This Row],[Level 4]]=Transactions[[#This Row],[L2N]],Transactions[[#This Row],[L1N]],IF(Transactions[[#This Row],[Level 4]]=Transactions[[#This Row],[L3N]],Transactions[[#This Row],[L2N]],IF(Transactions[[#This Row],[Level 4]]=Transactions[[#This Row],[L4N]],Transactions[[#This Row],[L3N]],IF(Transactions[[#This Row],[Level 4]]=Transactions[[#This Row],[L5N]],Transactions[[#This Row],[L4N]],IF(Transactions[[#This Row],[Level 4]]=Transactions[[#This Row],[L6N]],Transactions[[#This Row],[L5N]],IF(Transactions[[#This Row],[Level 4]]=Transactions[[#This Row],[L7N]],Transactions[[#This Row],[L6N]],Transactions[[#This Row],[L7N]]))))))))</f>
        <v>Food and tobacco (S)</v>
      </c>
      <c r="AX69" s="24" t="str">
        <f>IF(Transactions[[#This Row],[Level 5]]=Transactions[[#This Row],[Transaction name]],Transactions[[#This Row],[Transaction name]],IF(Transactions[[#This Row],[Level 5]]=Transactions[[#This Row],[L1N]],Transactions[[#This Row],[Transaction name]],IF(Transactions[[#This Row],[Level 5]]=Transactions[[#This Row],[L2N]],Transactions[[#This Row],[L1N]],IF(Transactions[[#This Row],[Level 5]]=Transactions[[#This Row],[L3N]],Transactions[[#This Row],[L2N]],IF(Transactions[[#This Row],[Level 5]]=Transactions[[#This Row],[L4N]],Transactions[[#This Row],[L3N]],IF(Transactions[[#This Row],[Level 5]]=Transactions[[#This Row],[L5N]],Transactions[[#This Row],[L4N]],IF(Transactions[[#This Row],[Level 5]]=Transactions[[#This Row],[L6N]],Transactions[[#This Row],[L5N]],IF(Transactions[[#This Row],[Level 5]]=Transactions[[#This Row],[L7N]],Transactions[[#This Row],[L6N]],Transactions[[#This Row],[L7N]]))))))))</f>
        <v>Food and tobacco (S)</v>
      </c>
      <c r="AY69" s="24" t="str">
        <f>IF(Transactions[[#This Row],[Level 6]]=Transactions[[#This Row],[Transaction name]],Transactions[[#This Row],[Transaction name]],IF(Transactions[[#This Row],[Level 6]]=Transactions[[#This Row],[L1N]],Transactions[[#This Row],[Transaction name]],IF(Transactions[[#This Row],[Level 6]]=Transactions[[#This Row],[L2N]],Transactions[[#This Row],[L1N]],IF(Transactions[[#This Row],[Level 6]]=Transactions[[#This Row],[L3N]],Transactions[[#This Row],[L2N]],IF(Transactions[[#This Row],[Level 6]]=Transactions[[#This Row],[L4N]],Transactions[[#This Row],[L3N]],IF(Transactions[[#This Row],[Level 6]]=Transactions[[#This Row],[L5N]],Transactions[[#This Row],[L4N]],IF(Transactions[[#This Row],[Level 6]]=Transactions[[#This Row],[L6N]],Transactions[[#This Row],[L5N]],IF(Transactions[[#This Row],[Level 6]]=Transactions[[#This Row],[L7N]],Transactions[[#This Row],[L6N]],Transactions[[#This Row],[L7N]]))))))))</f>
        <v>Food and tobacco (S)</v>
      </c>
      <c r="BE69" s="26" t="str">
        <f>_xlfn.XLOOKUP(Transformation[[#This Row],[cfrom]],Commodities[Commodity],Commodities[Commodity code])</f>
        <v>4669</v>
      </c>
      <c r="BF69" s="26" t="str">
        <f>_xlfn.XLOOKUP(Transformation[[#This Row],[tfrom]],Transactions[Transaction name],Transactions[Transaction code])</f>
        <v>08821</v>
      </c>
      <c r="BG69" s="26" t="str">
        <f>_xlfn.XLOOKUP(Transformation[[#This Row],[cto]],Commodities[Commodity],Commodities[Commodity code])</f>
        <v>4669</v>
      </c>
      <c r="BH69" s="26" t="str">
        <f>_xlfn.XLOOKUP(Transformation[[#This Row],[tto]],Transactions[Transaction name],Transactions[Transaction code])</f>
        <v>015OPC</v>
      </c>
      <c r="BI69" s="11">
        <v>1</v>
      </c>
      <c r="BJ69" s="4" t="s">
        <v>377</v>
      </c>
      <c r="BK69" s="24" t="str">
        <f>_xlfn.XLOOKUP(Transformation[[#This Row],[Commodity from]],Commodities[Commodity code],Commodities[EnergyCode])</f>
        <v>KR</v>
      </c>
      <c r="BL69" s="4" t="s">
        <v>691</v>
      </c>
      <c r="BM69" s="4" t="s">
        <v>377</v>
      </c>
      <c r="BN69" s="24" t="str">
        <f>_xlfn.XLOOKUP(Transformation[[#This Row],[Commodity to]],Commodities[Commodity code],Commodities[EnergyCode])</f>
        <v>KR</v>
      </c>
      <c r="BO69" s="4" t="s">
        <v>1050</v>
      </c>
      <c r="BP69" s="16" t="s">
        <v>1493</v>
      </c>
      <c r="BQ69" s="33" t="str">
        <f>Transformation[[#This Row],[Commodity from]]&amp;Transformation[[#This Row],[Transaction from]]&amp;Transformation[[#This Row],[Commodity to]]&amp;Transformation[[#This Row],[Transaction to]]</f>
        <v>4669088214669015OPC</v>
      </c>
      <c r="BR69" s="26" t="str">
        <f>Transformation[[#This Row],[crfomid]]&amp;Transformation[[#This Row],[Transaction from]]&amp;"("&amp;Transformation[[#This Row],[Multiplier]]&amp;") -&gt; "&amp;Transformation[[#This Row],[ctoid]]&amp;Transformation[[#This Row],[Transaction to]]</f>
        <v>KR08821(1) -&gt; KR015OPC</v>
      </c>
      <c r="BT69" s="26" t="str">
        <f>_xlfn.XLOOKUP(Signswitch[[#This Row],[Commodity name]],Commodities[Commodity],Commodities[Commodity code])</f>
        <v>5222</v>
      </c>
      <c r="BU69" s="26" t="str">
        <f>_xlfn.XLOOKUP(Signswitch[[#This Row],[Transaction name]],Transactions[Transaction name],Transactions[Transaction code])</f>
        <v>1222</v>
      </c>
      <c r="BV69" s="26" t="str">
        <f>Signswitch[[#This Row],[Commodity from]]&amp;Signswitch[[#This Row],[Transaction from]]</f>
        <v>52221222</v>
      </c>
      <c r="BW69" s="22" t="s">
        <v>962</v>
      </c>
      <c r="BX69" s="26" t="str">
        <f>_xlfn.XLOOKUP(Signswitch[[#This Row],[Commodity from]],Commodities[Commodity code],Commodities[EnergyCode])</f>
        <v>ZD</v>
      </c>
      <c r="BY69" s="22" t="s">
        <v>426</v>
      </c>
    </row>
    <row r="70" spans="8:77" x14ac:dyDescent="0.45">
      <c r="H70" s="5" t="s">
        <v>331</v>
      </c>
      <c r="I70" s="4" t="s">
        <v>330</v>
      </c>
      <c r="J70" s="9" t="s">
        <v>325</v>
      </c>
      <c r="K70" s="9" t="s">
        <v>1457</v>
      </c>
      <c r="L70" s="23" t="str">
        <f>IFERROR(INDEX(Commodities[[Commodity code]:[Commodity]],MATCH(Commodities[[#This Row],[Parent code]],Commodities[Commodity code],0),2),Commodities[[#This Row],[Commodity]])</f>
        <v>Solid biofuels</v>
      </c>
      <c r="M70" s="24" t="str">
        <f>IFERROR(INDEX(Commodities[[Commodity code]:[Commodity]],MATCH(INDEX(Commodities[[Commodity]:[Parent code]],MATCH(Commodities[[#This Row],[L1N]],Commodities[Commodity],0),2),Commodities[Commodity code],0),2),Commodities[[#This Row],[L1N]])</f>
        <v>Biofuels</v>
      </c>
      <c r="N70" s="24" t="str">
        <f>IFERROR(INDEX(Commodities[[Commodity code]:[Commodity]],MATCH(INDEX(Commodities[[Commodity]:[Parent code]],MATCH(Commodities[[#This Row],[L2N]],Commodities[Commodity],0),2),Commodities[Commodity code],0),2),Commodities[[#This Row],[L2N]])</f>
        <v>Biofuels</v>
      </c>
      <c r="O70" s="24" t="str">
        <f>IFERROR(INDEX(Commodities[[Commodity code]:[Commodity]],MATCH(INDEX(Commodities[[Commodity]:[Parent code]],MATCH(Commodities[[#This Row],[L3N]],Commodities[Commodity],0),2),Commodities[Commodity code],0),2),Commodities[[#This Row],[L3N]])</f>
        <v>Biofuels</v>
      </c>
      <c r="P70" s="24" t="str">
        <f>IF(Commodities[[#This Row],[L4N]]=Commodities[[#This Row],[L3N]],Commodities[[#This Row],[L4N]],IF(Commodities[[#This Row],[L3N]]=Commodities[[#This Row],[L2N]],Commodities[[#This Row],[L3N]],IF(Commodities[[#This Row],[L2N]]=Commodities[[#This Row],[L1N]],Commodities[[#This Row],[L2N]],IF(Commodities[[#This Row],[L1N]]=Commodities[[#This Row],[Commodity]],Commodities[[#This Row],[L1N]],Commodities[[#This Row],[Commodity]]))))</f>
        <v>Biofuels</v>
      </c>
      <c r="Q70" s="24" t="str">
        <f>IF(Commodities[[#This Row],[Level 0]]=Commodities[[#This Row],[Commodity]],Commodities[[#This Row],[Commodity]],IF(Commodities[[#This Row],[Level 0]]=Commodities[[#This Row],[L1N]],Commodities[[#This Row],[Commodity]],IF(Commodities[[#This Row],[Level 0]]=Commodities[[#This Row],[L2N]],Commodities[[#This Row],[L1N]],IF(Commodities[[#This Row],[Level 0]]=Commodities[[#This Row],[L3N]],Commodities[[#This Row],[L2N]],IF(Commodities[[#This Row],[Level 0]]=Commodities[[#This Row],[L4N]],Commodities[[#This Row],[L3N]],Commodities[[#This Row],[L4N]])))))</f>
        <v>Solid biofuels</v>
      </c>
      <c r="R70" s="24" t="str">
        <f>IF(Commodities[[#This Row],[Level 1]]=Commodities[[#This Row],[Commodity]],Commodities[[#This Row],[Commodity]],IF(Commodities[[#This Row],[Level 1]]=Commodities[[#This Row],[L1N]],Commodities[[#This Row],[Commodity]],IF(Commodities[[#This Row],[Level 1]]=Commodities[[#This Row],[L2N]],Commodities[[#This Row],[L1N]],IF(Commodities[[#This Row],[Level 1]]=Commodities[[#This Row],[L3N]],Commodities[[#This Row],[L2N]],IF(Commodities[[#This Row],[Level 1]]=Commodities[[#This Row],[L4N]],Commodities[[#This Row],[L3N]],Commodities[[#This Row],[L4N]])))))</f>
        <v>Black liquor</v>
      </c>
      <c r="S70" s="24" t="str">
        <f>IF(Commodities[[#This Row],[Level 2]]=Commodities[[#This Row],[Commodity]],Commodities[[#This Row],[Commodity]],IF(Commodities[[#This Row],[Level 2]]=Commodities[[#This Row],[L1N]],Commodities[[#This Row],[Commodity]],IF(Commodities[[#This Row],[Level 2]]=Commodities[[#This Row],[L2N]],Commodities[[#This Row],[L1N]],IF(Commodities[[#This Row],[Level 2]]=Commodities[[#This Row],[L3N]],Commodities[[#This Row],[L2N]],IF(Commodities[[#This Row],[Level 2]]=Commodities[[#This Row],[L4N]],Commodities[[#This Row],[L3N]],Commodities[[#This Row],[L4N]])))))</f>
        <v>Black liquor</v>
      </c>
      <c r="T70" s="24" t="str">
        <f>IF(Commodities[[#This Row],[Level 3]]=Commodities[[#This Row],[Commodity]],Commodities[[#This Row],[Commodity]],IF(Commodities[[#This Row],[Level 3]]=Commodities[[#This Row],[L1N]],Commodities[[#This Row],[Commodity]],IF(Commodities[[#This Row],[Level 3]]=Commodities[[#This Row],[L2N]],Commodities[[#This Row],[L1N]],IF(Commodities[[#This Row],[Level 3]]=Commodities[[#This Row],[L3N]],Commodities[[#This Row],[L2N]],IF(Commodities[[#This Row],[Level 3]]=Commodities[[#This Row],[L4N]],Commodities[[#This Row],[L3N]],Commodities[[#This Row],[L4N]])))))</f>
        <v>Black liquor</v>
      </c>
      <c r="U70" s="24" t="str">
        <f>IF(Commodities[[#This Row],[Level 4]]=Commodities[[#This Row],[Commodity]],Commodities[[#This Row],[Commodity]],IF(Commodities[[#This Row],[Level 4]]=Commodities[[#This Row],[L1N]],Commodities[[#This Row],[Commodity]],IF(Commodities[[#This Row],[Level 4]]=Commodities[[#This Row],[L2N]],Commodities[[#This Row],[L1N]],IF(Commodities[[#This Row],[Level 4]]=Commodities[[#This Row],[L3N]],Commodities[[#This Row],[L2N]],IF(Commodities[[#This Row],[Level 4]]=Commodities[[#This Row],[L4N]],Commodities[[#This Row],[L3N]],Commodities[[#This Row],[L4N]])))))</f>
        <v>Black liquor</v>
      </c>
      <c r="Y70" s="4" t="s">
        <v>438</v>
      </c>
      <c r="Z70" s="4" t="s">
        <v>891</v>
      </c>
      <c r="AA70" s="4" t="s">
        <v>891</v>
      </c>
      <c r="AB70" s="4" t="s">
        <v>437</v>
      </c>
      <c r="AC70" s="24" t="str">
        <f>IFERROR(VLOOKUP(Transactions[[#This Row],[Parent code]],Transactions[[Transaction code]:[Transaction name]],2,0),"")</f>
        <v>Manufacturing, construction and non-fuel mining industries (S)</v>
      </c>
      <c r="AD70" s="4" t="s">
        <v>630</v>
      </c>
      <c r="AF70" s="4" t="s">
        <v>642</v>
      </c>
      <c r="AG70" s="4" t="s">
        <v>385</v>
      </c>
      <c r="AK70" s="24" t="str" cm="1">
        <f t="array" ref="AK70">IFERROR(INDEX(Transactions[[Transaction code]:[Transaction name]],_xlfn.XMATCH(Transactions[[#This Row],[Parent code]],Transactions[Transaction name],0),3),Transactions[[#This Row],[Transaction name]])</f>
        <v>Industry n.e.s. (S)</v>
      </c>
      <c r="AL70" s="24" t="str" cm="1">
        <f t="array" ref="AL70">IFERROR(INDEX(Transactions[[Transaction code]:[Transaction name]],_xlfn.XMATCH(INDEX(Transactions[[Transaction name]:[Parent code]],_xlfn.XMATCH(Transactions[[#This Row],[L1N]],Transactions[Transaction name],0),3),Transactions[Transaction code],0),2),Transactions[[#This Row],[L1N]])</f>
        <v>Manufacturing, construction and non-fuel mining industries (S)</v>
      </c>
      <c r="AM70" s="24" t="str" cm="1">
        <f t="array" ref="AM70">IFERROR(INDEX(Transactions[[Transaction code]:[Transaction name]],_xlfn.XMATCH(INDEX(Transactions[[Transaction name]:[Parent code]],_xlfn.XMATCH(Transactions[[#This Row],[L2N]],Transactions[Transaction name],0),3),Transactions[Transaction code],0),2),Transactions[[#This Row],[L2N]])</f>
        <v>Final Energy Consumption (S)</v>
      </c>
      <c r="AN70" s="24" t="str" cm="1">
        <f t="array" ref="AN70">IFERROR(INDEX(Transactions[[Transaction code]:[Transaction name]],_xlfn.XMATCH(INDEX(Transactions[[Transaction name]:[Parent code]],_xlfn.XMATCH(Transactions[[#This Row],[L3N]],Transactions[Transaction name],0),3),Transactions[Transaction code],0),2),Transactions[[#This Row],[L3N]])</f>
        <v>Final consumption (S)</v>
      </c>
      <c r="AO70" s="24" t="str" cm="1">
        <f t="array" ref="AO70">IFERROR(INDEX(Transactions[[Transaction code]:[Transaction name]],_xlfn.XMATCH(INDEX(Transactions[[Transaction name]:[Parent code]],_xlfn.XMATCH(Transactions[[#This Row],[L4N]],Transactions[Transaction name],0),3),Transactions[Transaction code],0),2),Transactions[[#This Row],[L4N]])</f>
        <v>Final consumption (S)</v>
      </c>
      <c r="AP70" s="24" t="str" cm="1">
        <f t="array" ref="AP70">IFERROR(INDEX(Transactions[[Transaction code]:[Transaction name]],_xlfn.XMATCH(INDEX(Transactions[[Transaction name]:[Parent code]],_xlfn.XMATCH(Transactions[[#This Row],[L5N]],Transactions[Transaction name],0),3),Transactions[Transaction code],0),2),Transactions[[#This Row],[L5N]])</f>
        <v>Final consumption (S)</v>
      </c>
      <c r="AQ70" s="24" t="str" cm="1">
        <f t="array" ref="AQ70">IFERROR(INDEX(Transactions[[Transaction code]:[Transaction name]],_xlfn.XMATCH(INDEX(Transactions[[Transaction name]:[Parent code]],_xlfn.XMATCH(Transactions[[#This Row],[L6N]],Transactions[Transaction name],0),3),Transactions[Transaction code],0),2),Transactions[[#This Row],[L6N]])</f>
        <v>Final consumption (S)</v>
      </c>
      <c r="AR70" s="27" t="str">
        <f>IF(Transactions[[#This Row],[L7N]]=Transactions[[#This Row],[L6N]],Transactions[[#This Row],[L7N]],IF(Transactions[[#This Row],[L6N]]=Transactions[[#This Row],[L5N]],Transactions[[#This Row],[L6N]],IF(Transactions[[#This Row],[L5N]]=Transactions[[#This Row],[L4N]],Transactions[[#This Row],[L5N]],IF(Transactions[[#This Row],[L4N]]=Transactions[[#This Row],[L3N]],Transactions[[#This Row],[L4N]],IF(Transactions[[#This Row],[L3N]]=Transactions[[#This Row],[L2N]],Transactions[[#This Row],[L3N]],IF(Transactions[[#This Row],[L2N]]=Transactions[[#This Row],[L1N]],Transactions[[#This Row],[L2N]],IF(Transactions[[#This Row],[L1N]]=Transactions[[#This Row],[Transaction name]],Transactions[[#This Row],[L1N]],Transactions[[#This Row],[Transaction name]])))))))</f>
        <v>Final consumption (S)</v>
      </c>
      <c r="AS70" s="24" t="str">
        <f>IF(Transactions[[#This Row],[Level 0]]=Transactions[[#This Row],[Transaction name]],Transactions[[#This Row],[Transaction name]],IF(Transactions[[#This Row],[Level 0]]=Transactions[[#This Row],[L1N]],Transactions[[#This Row],[Transaction name]],IF(Transactions[[#This Row],[Level 0]]=Transactions[[#This Row],[L2N]],Transactions[[#This Row],[L1N]],IF(Transactions[[#This Row],[Level 0]]=Transactions[[#This Row],[L3N]],Transactions[[#This Row],[L2N]],IF(Transactions[[#This Row],[Level 0]]=Transactions[[#This Row],[L4N]],Transactions[[#This Row],[L3N]],IF(Transactions[[#This Row],[Level 0]]=Transactions[[#This Row],[L5N]],Transactions[[#This Row],[L4N]],IF(Transactions[[#This Row],[Level 0]]=Transactions[[#This Row],[L6N]],Transactions[[#This Row],[L5N]],IF(Transactions[[#This Row],[Level 0]]=Transactions[[#This Row],[L7N]],Transactions[[#This Row],[L6N]],Transactions[[#This Row],[L7N]]))))))))</f>
        <v>Final Energy Consumption (S)</v>
      </c>
      <c r="AT70" s="24" t="str">
        <f>IF(Transactions[[#This Row],[Level 1]]=Transactions[[#This Row],[Transaction name]],Transactions[[#This Row],[Transaction name]],IF(Transactions[[#This Row],[Level 1]]=Transactions[[#This Row],[L1N]],Transactions[[#This Row],[Transaction name]],IF(Transactions[[#This Row],[Level 1]]=Transactions[[#This Row],[L2N]],Transactions[[#This Row],[L1N]],IF(Transactions[[#This Row],[Level 1]]=Transactions[[#This Row],[L3N]],Transactions[[#This Row],[L2N]],IF(Transactions[[#This Row],[Level 1]]=Transactions[[#This Row],[L4N]],Transactions[[#This Row],[L3N]],IF(Transactions[[#This Row],[Level 1]]=Transactions[[#This Row],[L5N]],Transactions[[#This Row],[L4N]],IF(Transactions[[#This Row],[Level 1]]=Transactions[[#This Row],[L6N]],Transactions[[#This Row],[L5N]],IF(Transactions[[#This Row],[Level 1]]=Transactions[[#This Row],[L7N]],Transactions[[#This Row],[L6N]],Transactions[[#This Row],[L7N]]))))))))</f>
        <v>Manufacturing, construction and non-fuel mining industries (S)</v>
      </c>
      <c r="AU70" s="24" t="str">
        <f>IF(Transactions[[#This Row],[Level 2]]=Transactions[[#This Row],[Transaction name]],Transactions[[#This Row],[Transaction name]],IF(Transactions[[#This Row],[Level 2]]=Transactions[[#This Row],[L1N]],Transactions[[#This Row],[Transaction name]],IF(Transactions[[#This Row],[Level 2]]=Transactions[[#This Row],[L2N]],Transactions[[#This Row],[L1N]],IF(Transactions[[#This Row],[Level 2]]=Transactions[[#This Row],[L3N]],Transactions[[#This Row],[L2N]],IF(Transactions[[#This Row],[Level 2]]=Transactions[[#This Row],[L4N]],Transactions[[#This Row],[L3N]],IF(Transactions[[#This Row],[Level 2]]=Transactions[[#This Row],[L5N]],Transactions[[#This Row],[L4N]],IF(Transactions[[#This Row],[Level 2]]=Transactions[[#This Row],[L6N]],Transactions[[#This Row],[L5N]],IF(Transactions[[#This Row],[Level 2]]=Transactions[[#This Row],[L7N]],Transactions[[#This Row],[L6N]],Transactions[[#This Row],[L7N]]))))))))</f>
        <v>Industry n.e.s. (S)</v>
      </c>
      <c r="AV70" s="24" t="str">
        <f>IF(Transactions[[#This Row],[Level 3]]=Transactions[[#This Row],[Transaction name]],Transactions[[#This Row],[Transaction name]],IF(Transactions[[#This Row],[Level 3]]=Transactions[[#This Row],[L1N]],Transactions[[#This Row],[Transaction name]],IF(Transactions[[#This Row],[Level 3]]=Transactions[[#This Row],[L2N]],Transactions[[#This Row],[L1N]],IF(Transactions[[#This Row],[Level 3]]=Transactions[[#This Row],[L3N]],Transactions[[#This Row],[L2N]],IF(Transactions[[#This Row],[Level 3]]=Transactions[[#This Row],[L4N]],Transactions[[#This Row],[L3N]],IF(Transactions[[#This Row],[Level 3]]=Transactions[[#This Row],[L5N]],Transactions[[#This Row],[L4N]],IF(Transactions[[#This Row],[Level 3]]=Transactions[[#This Row],[L6N]],Transactions[[#This Row],[L5N]],IF(Transactions[[#This Row],[Level 3]]=Transactions[[#This Row],[L7N]],Transactions[[#This Row],[L6N]],Transactions[[#This Row],[L7N]]))))))))</f>
        <v>Industry n.e.s. (S)</v>
      </c>
      <c r="AW70" s="24" t="str">
        <f>IF(Transactions[[#This Row],[Level 4]]=Transactions[[#This Row],[Transaction name]],Transactions[[#This Row],[Transaction name]],IF(Transactions[[#This Row],[Level 4]]=Transactions[[#This Row],[L1N]],Transactions[[#This Row],[Transaction name]],IF(Transactions[[#This Row],[Level 4]]=Transactions[[#This Row],[L2N]],Transactions[[#This Row],[L1N]],IF(Transactions[[#This Row],[Level 4]]=Transactions[[#This Row],[L3N]],Transactions[[#This Row],[L2N]],IF(Transactions[[#This Row],[Level 4]]=Transactions[[#This Row],[L4N]],Transactions[[#This Row],[L3N]],IF(Transactions[[#This Row],[Level 4]]=Transactions[[#This Row],[L5N]],Transactions[[#This Row],[L4N]],IF(Transactions[[#This Row],[Level 4]]=Transactions[[#This Row],[L6N]],Transactions[[#This Row],[L5N]],IF(Transactions[[#This Row],[Level 4]]=Transactions[[#This Row],[L7N]],Transactions[[#This Row],[L6N]],Transactions[[#This Row],[L7N]]))))))))</f>
        <v>Industry n.e.s. (S)</v>
      </c>
      <c r="AX70" s="24" t="str">
        <f>IF(Transactions[[#This Row],[Level 5]]=Transactions[[#This Row],[Transaction name]],Transactions[[#This Row],[Transaction name]],IF(Transactions[[#This Row],[Level 5]]=Transactions[[#This Row],[L1N]],Transactions[[#This Row],[Transaction name]],IF(Transactions[[#This Row],[Level 5]]=Transactions[[#This Row],[L2N]],Transactions[[#This Row],[L1N]],IF(Transactions[[#This Row],[Level 5]]=Transactions[[#This Row],[L3N]],Transactions[[#This Row],[L2N]],IF(Transactions[[#This Row],[Level 5]]=Transactions[[#This Row],[L4N]],Transactions[[#This Row],[L3N]],IF(Transactions[[#This Row],[Level 5]]=Transactions[[#This Row],[L5N]],Transactions[[#This Row],[L4N]],IF(Transactions[[#This Row],[Level 5]]=Transactions[[#This Row],[L6N]],Transactions[[#This Row],[L5N]],IF(Transactions[[#This Row],[Level 5]]=Transactions[[#This Row],[L7N]],Transactions[[#This Row],[L6N]],Transactions[[#This Row],[L7N]]))))))))</f>
        <v>Industry n.e.s. (S)</v>
      </c>
      <c r="AY70" s="24" t="str">
        <f>IF(Transactions[[#This Row],[Level 6]]=Transactions[[#This Row],[Transaction name]],Transactions[[#This Row],[Transaction name]],IF(Transactions[[#This Row],[Level 6]]=Transactions[[#This Row],[L1N]],Transactions[[#This Row],[Transaction name]],IF(Transactions[[#This Row],[Level 6]]=Transactions[[#This Row],[L2N]],Transactions[[#This Row],[L1N]],IF(Transactions[[#This Row],[Level 6]]=Transactions[[#This Row],[L3N]],Transactions[[#This Row],[L2N]],IF(Transactions[[#This Row],[Level 6]]=Transactions[[#This Row],[L4N]],Transactions[[#This Row],[L3N]],IF(Transactions[[#This Row],[Level 6]]=Transactions[[#This Row],[L5N]],Transactions[[#This Row],[L4N]],IF(Transactions[[#This Row],[Level 6]]=Transactions[[#This Row],[L6N]],Transactions[[#This Row],[L5N]],IF(Transactions[[#This Row],[Level 6]]=Transactions[[#This Row],[L7N]],Transactions[[#This Row],[L6N]],Transactions[[#This Row],[L7N]]))))))))</f>
        <v>Industry n.e.s. (S)</v>
      </c>
      <c r="BE70" s="26" t="str">
        <f>_xlfn.XLOOKUP(Transformation[[#This Row],[cfrom]],Commodities[Commodity],Commodities[Commodity code])</f>
        <v>0200</v>
      </c>
      <c r="BF70" s="26" t="str">
        <f>_xlfn.XLOOKUP(Transformation[[#This Row],[tfrom]],Transactions[Transaction name],Transactions[Transaction code])</f>
        <v>08821</v>
      </c>
      <c r="BG70" s="26" t="str">
        <f>_xlfn.XLOOKUP(Transformation[[#This Row],[cto]],Commodities[Commodity],Commodities[Commodity code])</f>
        <v>0200</v>
      </c>
      <c r="BH70" s="26" t="str">
        <f>_xlfn.XLOOKUP(Transformation[[#This Row],[tto]],Transactions[Transaction name],Transactions[Transaction code])</f>
        <v>015CBC</v>
      </c>
      <c r="BI70" s="11">
        <v>1</v>
      </c>
      <c r="BJ70" s="4" t="s">
        <v>516</v>
      </c>
      <c r="BK70" s="24" t="str">
        <f>_xlfn.XLOOKUP(Transformation[[#This Row],[Commodity from]],Commodities[Commodity code],Commodities[EnergyCode])</f>
        <v>LB</v>
      </c>
      <c r="BL70" s="4" t="s">
        <v>691</v>
      </c>
      <c r="BM70" s="4" t="s">
        <v>516</v>
      </c>
      <c r="BN70" s="24" t="str">
        <f>_xlfn.XLOOKUP(Transformation[[#This Row],[Commodity to]],Commodities[Commodity code],Commodities[EnergyCode])</f>
        <v>LB</v>
      </c>
      <c r="BO70" s="4" t="s">
        <v>1177</v>
      </c>
      <c r="BP70" s="16" t="s">
        <v>1493</v>
      </c>
      <c r="BQ70" s="33" t="str">
        <f>Transformation[[#This Row],[Commodity from]]&amp;Transformation[[#This Row],[Transaction from]]&amp;Transformation[[#This Row],[Commodity to]]&amp;Transformation[[#This Row],[Transaction to]]</f>
        <v>0200088210200015CBC</v>
      </c>
      <c r="BR70" s="26" t="str">
        <f>Transformation[[#This Row],[crfomid]]&amp;Transformation[[#This Row],[Transaction from]]&amp;"("&amp;Transformation[[#This Row],[Multiplier]]&amp;") -&gt; "&amp;Transformation[[#This Row],[ctoid]]&amp;Transformation[[#This Row],[Transaction to]]</f>
        <v>LB08821(1) -&gt; LB015CBC</v>
      </c>
      <c r="BT70" s="26" t="str">
        <f>_xlfn.XLOOKUP(Signswitch[[#This Row],[Commodity name]],Commodities[Commodity],Commodities[Commodity code])</f>
        <v>5212</v>
      </c>
      <c r="BU70" s="26" t="str">
        <f>_xlfn.XLOOKUP(Signswitch[[#This Row],[Transaction name]],Transactions[Transaction name],Transactions[Transaction code])</f>
        <v>1222</v>
      </c>
      <c r="BV70" s="26" t="str">
        <f>Signswitch[[#This Row],[Commodity from]]&amp;Signswitch[[#This Row],[Transaction from]]</f>
        <v>52121222</v>
      </c>
      <c r="BW70" s="22" t="s">
        <v>317</v>
      </c>
      <c r="BX70" s="26" t="str">
        <f>_xlfn.XLOOKUP(Signswitch[[#This Row],[Commodity from]],Commodities[Commodity code],Commodities[EnergyCode])</f>
        <v>ZG</v>
      </c>
      <c r="BY70" s="22" t="s">
        <v>426</v>
      </c>
    </row>
    <row r="71" spans="8:77" x14ac:dyDescent="0.45">
      <c r="H71" s="5" t="s">
        <v>357</v>
      </c>
      <c r="I71" s="4" t="s">
        <v>356</v>
      </c>
      <c r="J71" s="9" t="s">
        <v>347</v>
      </c>
      <c r="K71" s="9" t="s">
        <v>1451</v>
      </c>
      <c r="L71" s="23" t="str">
        <f>IFERROR(INDEX(Commodities[[Commodity code]:[Commodity]],MATCH(Commodities[[#This Row],[Parent code]],Commodities[Commodity code],0),2),Commodities[[#This Row],[Commodity]])</f>
        <v>Other oil products</v>
      </c>
      <c r="M71" s="24" t="str">
        <f>IFERROR(INDEX(Commodities[[Commodity code]:[Commodity]],MATCH(INDEX(Commodities[[Commodity]:[Parent code]],MATCH(Commodities[[#This Row],[L1N]],Commodities[Commodity],0),2),Commodities[Commodity code],0),2),Commodities[[#This Row],[L1N]])</f>
        <v>Oil products</v>
      </c>
      <c r="N71" s="24" t="str">
        <f>IFERROR(INDEX(Commodities[[Commodity code]:[Commodity]],MATCH(INDEX(Commodities[[Commodity]:[Parent code]],MATCH(Commodities[[#This Row],[L2N]],Commodities[Commodity],0),2),Commodities[Commodity code],0),2),Commodities[[#This Row],[L2N]])</f>
        <v>Oil</v>
      </c>
      <c r="O71" s="24" t="str">
        <f>IFERROR(INDEX(Commodities[[Commodity code]:[Commodity]],MATCH(INDEX(Commodities[[Commodity]:[Parent code]],MATCH(Commodities[[#This Row],[L3N]],Commodities[Commodity],0),2),Commodities[Commodity code],0),2),Commodities[[#This Row],[L3N]])</f>
        <v>Oil</v>
      </c>
      <c r="P71" s="24" t="str">
        <f>IF(Commodities[[#This Row],[L4N]]=Commodities[[#This Row],[L3N]],Commodities[[#This Row],[L4N]],IF(Commodities[[#This Row],[L3N]]=Commodities[[#This Row],[L2N]],Commodities[[#This Row],[L3N]],IF(Commodities[[#This Row],[L2N]]=Commodities[[#This Row],[L1N]],Commodities[[#This Row],[L2N]],IF(Commodities[[#This Row],[L1N]]=Commodities[[#This Row],[Commodity]],Commodities[[#This Row],[L1N]],Commodities[[#This Row],[Commodity]]))))</f>
        <v>Oil</v>
      </c>
      <c r="Q71" s="24" t="str">
        <f>IF(Commodities[[#This Row],[Level 0]]=Commodities[[#This Row],[Commodity]],Commodities[[#This Row],[Commodity]],IF(Commodities[[#This Row],[Level 0]]=Commodities[[#This Row],[L1N]],Commodities[[#This Row],[Commodity]],IF(Commodities[[#This Row],[Level 0]]=Commodities[[#This Row],[L2N]],Commodities[[#This Row],[L1N]],IF(Commodities[[#This Row],[Level 0]]=Commodities[[#This Row],[L3N]],Commodities[[#This Row],[L2N]],IF(Commodities[[#This Row],[Level 0]]=Commodities[[#This Row],[L4N]],Commodities[[#This Row],[L3N]],Commodities[[#This Row],[L4N]])))))</f>
        <v>Oil products</v>
      </c>
      <c r="R71" s="24" t="str">
        <f>IF(Commodities[[#This Row],[Level 1]]=Commodities[[#This Row],[Commodity]],Commodities[[#This Row],[Commodity]],IF(Commodities[[#This Row],[Level 1]]=Commodities[[#This Row],[L1N]],Commodities[[#This Row],[Commodity]],IF(Commodities[[#This Row],[Level 1]]=Commodities[[#This Row],[L2N]],Commodities[[#This Row],[L1N]],IF(Commodities[[#This Row],[Level 1]]=Commodities[[#This Row],[L3N]],Commodities[[#This Row],[L2N]],IF(Commodities[[#This Row],[Level 1]]=Commodities[[#This Row],[L4N]],Commodities[[#This Row],[L3N]],Commodities[[#This Row],[L4N]])))))</f>
        <v>Other oil products</v>
      </c>
      <c r="S71" s="24" t="str">
        <f>IF(Commodities[[#This Row],[Level 2]]=Commodities[[#This Row],[Commodity]],Commodities[[#This Row],[Commodity]],IF(Commodities[[#This Row],[Level 2]]=Commodities[[#This Row],[L1N]],Commodities[[#This Row],[Commodity]],IF(Commodities[[#This Row],[Level 2]]=Commodities[[#This Row],[L2N]],Commodities[[#This Row],[L1N]],IF(Commodities[[#This Row],[Level 2]]=Commodities[[#This Row],[L3N]],Commodities[[#This Row],[L2N]],IF(Commodities[[#This Row],[Level 2]]=Commodities[[#This Row],[L4N]],Commodities[[#This Row],[L3N]],Commodities[[#This Row],[L4N]])))))</f>
        <v>Paraffin waxes</v>
      </c>
      <c r="T71" s="24" t="str">
        <f>IF(Commodities[[#This Row],[Level 3]]=Commodities[[#This Row],[Commodity]],Commodities[[#This Row],[Commodity]],IF(Commodities[[#This Row],[Level 3]]=Commodities[[#This Row],[L1N]],Commodities[[#This Row],[Commodity]],IF(Commodities[[#This Row],[Level 3]]=Commodities[[#This Row],[L2N]],Commodities[[#This Row],[L1N]],IF(Commodities[[#This Row],[Level 3]]=Commodities[[#This Row],[L3N]],Commodities[[#This Row],[L2N]],IF(Commodities[[#This Row],[Level 3]]=Commodities[[#This Row],[L4N]],Commodities[[#This Row],[L3N]],Commodities[[#This Row],[L4N]])))))</f>
        <v>Paraffin waxes</v>
      </c>
      <c r="U71" s="24" t="str">
        <f>IF(Commodities[[#This Row],[Level 4]]=Commodities[[#This Row],[Commodity]],Commodities[[#This Row],[Commodity]],IF(Commodities[[#This Row],[Level 4]]=Commodities[[#This Row],[L1N]],Commodities[[#This Row],[Commodity]],IF(Commodities[[#This Row],[Level 4]]=Commodities[[#This Row],[L2N]],Commodities[[#This Row],[L1N]],IF(Commodities[[#This Row],[Level 4]]=Commodities[[#This Row],[L3N]],Commodities[[#This Row],[L2N]],IF(Commodities[[#This Row],[Level 4]]=Commodities[[#This Row],[L4N]],Commodities[[#This Row],[L3N]],Commodities[[#This Row],[L4N]])))))</f>
        <v>Paraffin waxes</v>
      </c>
      <c r="Y71" s="4" t="s">
        <v>486</v>
      </c>
      <c r="Z71" s="4" t="s">
        <v>858</v>
      </c>
      <c r="AA71" s="4" t="s">
        <v>858</v>
      </c>
      <c r="AB71" s="4" t="s">
        <v>437</v>
      </c>
      <c r="AC71" s="24" t="str">
        <f>IFERROR(VLOOKUP(Transactions[[#This Row],[Parent code]],Transactions[[Transaction code]:[Transaction name]],2,0),"")</f>
        <v>Manufacturing, construction and non-fuel mining industries (S)</v>
      </c>
      <c r="AD71" s="4" t="s">
        <v>630</v>
      </c>
      <c r="AF71" s="4" t="s">
        <v>642</v>
      </c>
      <c r="AG71" s="4" t="s">
        <v>385</v>
      </c>
      <c r="AK71" s="24" t="str" cm="1">
        <f t="array" ref="AK71">IFERROR(INDEX(Transactions[[Transaction code]:[Transaction name]],_xlfn.XMATCH(Transactions[[#This Row],[Parent code]],Transactions[Transaction name],0),3),Transactions[[#This Row],[Transaction name]])</f>
        <v>Iron and steel (S)</v>
      </c>
      <c r="AL71" s="24" t="str" cm="1">
        <f t="array" ref="AL71">IFERROR(INDEX(Transactions[[Transaction code]:[Transaction name]],_xlfn.XMATCH(INDEX(Transactions[[Transaction name]:[Parent code]],_xlfn.XMATCH(Transactions[[#This Row],[L1N]],Transactions[Transaction name],0),3),Transactions[Transaction code],0),2),Transactions[[#This Row],[L1N]])</f>
        <v>Manufacturing, construction and non-fuel mining industries (S)</v>
      </c>
      <c r="AM71" s="24" t="str" cm="1">
        <f t="array" ref="AM71">IFERROR(INDEX(Transactions[[Transaction code]:[Transaction name]],_xlfn.XMATCH(INDEX(Transactions[[Transaction name]:[Parent code]],_xlfn.XMATCH(Transactions[[#This Row],[L2N]],Transactions[Transaction name],0),3),Transactions[Transaction code],0),2),Transactions[[#This Row],[L2N]])</f>
        <v>Final Energy Consumption (S)</v>
      </c>
      <c r="AN71" s="24" t="str" cm="1">
        <f t="array" ref="AN71">IFERROR(INDEX(Transactions[[Transaction code]:[Transaction name]],_xlfn.XMATCH(INDEX(Transactions[[Transaction name]:[Parent code]],_xlfn.XMATCH(Transactions[[#This Row],[L3N]],Transactions[Transaction name],0),3),Transactions[Transaction code],0),2),Transactions[[#This Row],[L3N]])</f>
        <v>Final consumption (S)</v>
      </c>
      <c r="AO71" s="24" t="str" cm="1">
        <f t="array" ref="AO71">IFERROR(INDEX(Transactions[[Transaction code]:[Transaction name]],_xlfn.XMATCH(INDEX(Transactions[[Transaction name]:[Parent code]],_xlfn.XMATCH(Transactions[[#This Row],[L4N]],Transactions[Transaction name],0),3),Transactions[Transaction code],0),2),Transactions[[#This Row],[L4N]])</f>
        <v>Final consumption (S)</v>
      </c>
      <c r="AP71" s="24" t="str" cm="1">
        <f t="array" ref="AP71">IFERROR(INDEX(Transactions[[Transaction code]:[Transaction name]],_xlfn.XMATCH(INDEX(Transactions[[Transaction name]:[Parent code]],_xlfn.XMATCH(Transactions[[#This Row],[L5N]],Transactions[Transaction name],0),3),Transactions[Transaction code],0),2),Transactions[[#This Row],[L5N]])</f>
        <v>Final consumption (S)</v>
      </c>
      <c r="AQ71" s="24" t="str" cm="1">
        <f t="array" ref="AQ71">IFERROR(INDEX(Transactions[[Transaction code]:[Transaction name]],_xlfn.XMATCH(INDEX(Transactions[[Transaction name]:[Parent code]],_xlfn.XMATCH(Transactions[[#This Row],[L6N]],Transactions[Transaction name],0),3),Transactions[Transaction code],0),2),Transactions[[#This Row],[L6N]])</f>
        <v>Final consumption (S)</v>
      </c>
      <c r="AR71" s="27" t="str">
        <f>IF(Transactions[[#This Row],[L7N]]=Transactions[[#This Row],[L6N]],Transactions[[#This Row],[L7N]],IF(Transactions[[#This Row],[L6N]]=Transactions[[#This Row],[L5N]],Transactions[[#This Row],[L6N]],IF(Transactions[[#This Row],[L5N]]=Transactions[[#This Row],[L4N]],Transactions[[#This Row],[L5N]],IF(Transactions[[#This Row],[L4N]]=Transactions[[#This Row],[L3N]],Transactions[[#This Row],[L4N]],IF(Transactions[[#This Row],[L3N]]=Transactions[[#This Row],[L2N]],Transactions[[#This Row],[L3N]],IF(Transactions[[#This Row],[L2N]]=Transactions[[#This Row],[L1N]],Transactions[[#This Row],[L2N]],IF(Transactions[[#This Row],[L1N]]=Transactions[[#This Row],[Transaction name]],Transactions[[#This Row],[L1N]],Transactions[[#This Row],[Transaction name]])))))))</f>
        <v>Final consumption (S)</v>
      </c>
      <c r="AS71" s="24" t="str">
        <f>IF(Transactions[[#This Row],[Level 0]]=Transactions[[#This Row],[Transaction name]],Transactions[[#This Row],[Transaction name]],IF(Transactions[[#This Row],[Level 0]]=Transactions[[#This Row],[L1N]],Transactions[[#This Row],[Transaction name]],IF(Transactions[[#This Row],[Level 0]]=Transactions[[#This Row],[L2N]],Transactions[[#This Row],[L1N]],IF(Transactions[[#This Row],[Level 0]]=Transactions[[#This Row],[L3N]],Transactions[[#This Row],[L2N]],IF(Transactions[[#This Row],[Level 0]]=Transactions[[#This Row],[L4N]],Transactions[[#This Row],[L3N]],IF(Transactions[[#This Row],[Level 0]]=Transactions[[#This Row],[L5N]],Transactions[[#This Row],[L4N]],IF(Transactions[[#This Row],[Level 0]]=Transactions[[#This Row],[L6N]],Transactions[[#This Row],[L5N]],IF(Transactions[[#This Row],[Level 0]]=Transactions[[#This Row],[L7N]],Transactions[[#This Row],[L6N]],Transactions[[#This Row],[L7N]]))))))))</f>
        <v>Final Energy Consumption (S)</v>
      </c>
      <c r="AT71" s="24" t="str">
        <f>IF(Transactions[[#This Row],[Level 1]]=Transactions[[#This Row],[Transaction name]],Transactions[[#This Row],[Transaction name]],IF(Transactions[[#This Row],[Level 1]]=Transactions[[#This Row],[L1N]],Transactions[[#This Row],[Transaction name]],IF(Transactions[[#This Row],[Level 1]]=Transactions[[#This Row],[L2N]],Transactions[[#This Row],[L1N]],IF(Transactions[[#This Row],[Level 1]]=Transactions[[#This Row],[L3N]],Transactions[[#This Row],[L2N]],IF(Transactions[[#This Row],[Level 1]]=Transactions[[#This Row],[L4N]],Transactions[[#This Row],[L3N]],IF(Transactions[[#This Row],[Level 1]]=Transactions[[#This Row],[L5N]],Transactions[[#This Row],[L4N]],IF(Transactions[[#This Row],[Level 1]]=Transactions[[#This Row],[L6N]],Transactions[[#This Row],[L5N]],IF(Transactions[[#This Row],[Level 1]]=Transactions[[#This Row],[L7N]],Transactions[[#This Row],[L6N]],Transactions[[#This Row],[L7N]]))))))))</f>
        <v>Manufacturing, construction and non-fuel mining industries (S)</v>
      </c>
      <c r="AU71" s="24" t="str">
        <f>IF(Transactions[[#This Row],[Level 2]]=Transactions[[#This Row],[Transaction name]],Transactions[[#This Row],[Transaction name]],IF(Transactions[[#This Row],[Level 2]]=Transactions[[#This Row],[L1N]],Transactions[[#This Row],[Transaction name]],IF(Transactions[[#This Row],[Level 2]]=Transactions[[#This Row],[L2N]],Transactions[[#This Row],[L1N]],IF(Transactions[[#This Row],[Level 2]]=Transactions[[#This Row],[L3N]],Transactions[[#This Row],[L2N]],IF(Transactions[[#This Row],[Level 2]]=Transactions[[#This Row],[L4N]],Transactions[[#This Row],[L3N]],IF(Transactions[[#This Row],[Level 2]]=Transactions[[#This Row],[L5N]],Transactions[[#This Row],[L4N]],IF(Transactions[[#This Row],[Level 2]]=Transactions[[#This Row],[L6N]],Transactions[[#This Row],[L5N]],IF(Transactions[[#This Row],[Level 2]]=Transactions[[#This Row],[L7N]],Transactions[[#This Row],[L6N]],Transactions[[#This Row],[L7N]]))))))))</f>
        <v>Iron and steel (S)</v>
      </c>
      <c r="AV71" s="24" t="str">
        <f>IF(Transactions[[#This Row],[Level 3]]=Transactions[[#This Row],[Transaction name]],Transactions[[#This Row],[Transaction name]],IF(Transactions[[#This Row],[Level 3]]=Transactions[[#This Row],[L1N]],Transactions[[#This Row],[Transaction name]],IF(Transactions[[#This Row],[Level 3]]=Transactions[[#This Row],[L2N]],Transactions[[#This Row],[L1N]],IF(Transactions[[#This Row],[Level 3]]=Transactions[[#This Row],[L3N]],Transactions[[#This Row],[L2N]],IF(Transactions[[#This Row],[Level 3]]=Transactions[[#This Row],[L4N]],Transactions[[#This Row],[L3N]],IF(Transactions[[#This Row],[Level 3]]=Transactions[[#This Row],[L5N]],Transactions[[#This Row],[L4N]],IF(Transactions[[#This Row],[Level 3]]=Transactions[[#This Row],[L6N]],Transactions[[#This Row],[L5N]],IF(Transactions[[#This Row],[Level 3]]=Transactions[[#This Row],[L7N]],Transactions[[#This Row],[L6N]],Transactions[[#This Row],[L7N]]))))))))</f>
        <v>Iron and steel (S)</v>
      </c>
      <c r="AW71" s="24" t="str">
        <f>IF(Transactions[[#This Row],[Level 4]]=Transactions[[#This Row],[Transaction name]],Transactions[[#This Row],[Transaction name]],IF(Transactions[[#This Row],[Level 4]]=Transactions[[#This Row],[L1N]],Transactions[[#This Row],[Transaction name]],IF(Transactions[[#This Row],[Level 4]]=Transactions[[#This Row],[L2N]],Transactions[[#This Row],[L1N]],IF(Transactions[[#This Row],[Level 4]]=Transactions[[#This Row],[L3N]],Transactions[[#This Row],[L2N]],IF(Transactions[[#This Row],[Level 4]]=Transactions[[#This Row],[L4N]],Transactions[[#This Row],[L3N]],IF(Transactions[[#This Row],[Level 4]]=Transactions[[#This Row],[L5N]],Transactions[[#This Row],[L4N]],IF(Transactions[[#This Row],[Level 4]]=Transactions[[#This Row],[L6N]],Transactions[[#This Row],[L5N]],IF(Transactions[[#This Row],[Level 4]]=Transactions[[#This Row],[L7N]],Transactions[[#This Row],[L6N]],Transactions[[#This Row],[L7N]]))))))))</f>
        <v>Iron and steel (S)</v>
      </c>
      <c r="AX71" s="24" t="str">
        <f>IF(Transactions[[#This Row],[Level 5]]=Transactions[[#This Row],[Transaction name]],Transactions[[#This Row],[Transaction name]],IF(Transactions[[#This Row],[Level 5]]=Transactions[[#This Row],[L1N]],Transactions[[#This Row],[Transaction name]],IF(Transactions[[#This Row],[Level 5]]=Transactions[[#This Row],[L2N]],Transactions[[#This Row],[L1N]],IF(Transactions[[#This Row],[Level 5]]=Transactions[[#This Row],[L3N]],Transactions[[#This Row],[L2N]],IF(Transactions[[#This Row],[Level 5]]=Transactions[[#This Row],[L4N]],Transactions[[#This Row],[L3N]],IF(Transactions[[#This Row],[Level 5]]=Transactions[[#This Row],[L5N]],Transactions[[#This Row],[L4N]],IF(Transactions[[#This Row],[Level 5]]=Transactions[[#This Row],[L6N]],Transactions[[#This Row],[L5N]],IF(Transactions[[#This Row],[Level 5]]=Transactions[[#This Row],[L7N]],Transactions[[#This Row],[L6N]],Transactions[[#This Row],[L7N]]))))))))</f>
        <v>Iron and steel (S)</v>
      </c>
      <c r="AY71" s="24" t="str">
        <f>IF(Transactions[[#This Row],[Level 6]]=Transactions[[#This Row],[Transaction name]],Transactions[[#This Row],[Transaction name]],IF(Transactions[[#This Row],[Level 6]]=Transactions[[#This Row],[L1N]],Transactions[[#This Row],[Transaction name]],IF(Transactions[[#This Row],[Level 6]]=Transactions[[#This Row],[L2N]],Transactions[[#This Row],[L1N]],IF(Transactions[[#This Row],[Level 6]]=Transactions[[#This Row],[L3N]],Transactions[[#This Row],[L2N]],IF(Transactions[[#This Row],[Level 6]]=Transactions[[#This Row],[L4N]],Transactions[[#This Row],[L3N]],IF(Transactions[[#This Row],[Level 6]]=Transactions[[#This Row],[L5N]],Transactions[[#This Row],[L4N]],IF(Transactions[[#This Row],[Level 6]]=Transactions[[#This Row],[L6N]],Transactions[[#This Row],[L5N]],IF(Transactions[[#This Row],[Level 6]]=Transactions[[#This Row],[L7N]],Transactions[[#This Row],[L6N]],Transactions[[#This Row],[L7N]]))))))))</f>
        <v>Iron and steel (S)</v>
      </c>
      <c r="BE71" s="26" t="str">
        <f>_xlfn.XLOOKUP(Transformation[[#This Row],[cfrom]],Commodities[Commodity],Commodities[Commodity code])</f>
        <v>4630</v>
      </c>
      <c r="BF71" s="26" t="str">
        <f>_xlfn.XLOOKUP(Transformation[[#This Row],[tfrom]],Transactions[Transaction name],Transactions[Transaction code])</f>
        <v>08821</v>
      </c>
      <c r="BG71" s="26" t="str">
        <f>_xlfn.XLOOKUP(Transformation[[#This Row],[cto]],Commodities[Commodity],Commodities[Commodity code])</f>
        <v>4630</v>
      </c>
      <c r="BH71" s="26" t="str">
        <f>_xlfn.XLOOKUP(Transformation[[#This Row],[tto]],Transactions[Transaction name],Transactions[Transaction code])</f>
        <v>015OPC</v>
      </c>
      <c r="BI71" s="11">
        <v>1</v>
      </c>
      <c r="BJ71" s="4" t="s">
        <v>408</v>
      </c>
      <c r="BK71" s="24" t="str">
        <f>_xlfn.XLOOKUP(Transformation[[#This Row],[Commodity from]],Commodities[Commodity code],Commodities[EnergyCode])</f>
        <v>LP</v>
      </c>
      <c r="BL71" s="4" t="s">
        <v>691</v>
      </c>
      <c r="BM71" s="4" t="s">
        <v>408</v>
      </c>
      <c r="BN71" s="24" t="str">
        <f>_xlfn.XLOOKUP(Transformation[[#This Row],[Commodity to]],Commodities[Commodity code],Commodities[EnergyCode])</f>
        <v>LP</v>
      </c>
      <c r="BO71" s="4" t="s">
        <v>1050</v>
      </c>
      <c r="BP71" s="16" t="s">
        <v>1493</v>
      </c>
      <c r="BQ71" s="33" t="str">
        <f>Transformation[[#This Row],[Commodity from]]&amp;Transformation[[#This Row],[Transaction from]]&amp;Transformation[[#This Row],[Commodity to]]&amp;Transformation[[#This Row],[Transaction to]]</f>
        <v>4630088214630015OPC</v>
      </c>
      <c r="BR71" s="26" t="str">
        <f>Transformation[[#This Row],[crfomid]]&amp;Transformation[[#This Row],[Transaction from]]&amp;"("&amp;Transformation[[#This Row],[Multiplier]]&amp;") -&gt; "&amp;Transformation[[#This Row],[ctoid]]&amp;Transformation[[#This Row],[Transaction to]]</f>
        <v>LP08821(1) -&gt; LP015OPC</v>
      </c>
      <c r="BT71" s="26" t="str">
        <f>_xlfn.XLOOKUP(Signswitch[[#This Row],[Commodity name]],Commodities[Commodity],Commodities[Commodity code])</f>
        <v>5232</v>
      </c>
      <c r="BU71" s="26" t="str">
        <f>_xlfn.XLOOKUP(Signswitch[[#This Row],[Transaction name]],Transactions[Transaction name],Transactions[Transaction code])</f>
        <v>1223</v>
      </c>
      <c r="BV71" s="26" t="str">
        <f>Signswitch[[#This Row],[Commodity from]]&amp;Signswitch[[#This Row],[Transaction from]]</f>
        <v>52321223</v>
      </c>
      <c r="BW71" s="22" t="s">
        <v>306</v>
      </c>
      <c r="BX71" s="26" t="str">
        <f>_xlfn.XLOOKUP(Signswitch[[#This Row],[Commodity from]],Commodities[Commodity code],Commodities[EnergyCode])</f>
        <v>ZJ</v>
      </c>
      <c r="BY71" s="22" t="s">
        <v>422</v>
      </c>
    </row>
    <row r="72" spans="8:77" x14ac:dyDescent="0.45">
      <c r="H72" s="5" t="s">
        <v>369</v>
      </c>
      <c r="I72" s="4" t="s">
        <v>368</v>
      </c>
      <c r="J72" s="9" t="s">
        <v>366</v>
      </c>
      <c r="K72" s="9" t="s">
        <v>1449</v>
      </c>
      <c r="L72" s="23" t="str">
        <f>IFERROR(INDEX(Commodities[[Commodity code]:[Commodity]],MATCH(Commodities[[#This Row],[Parent code]],Commodities[Commodity code],0),2),Commodities[[#This Row],[Commodity]])</f>
        <v>Oil products</v>
      </c>
      <c r="M72" s="24" t="str">
        <f>IFERROR(INDEX(Commodities[[Commodity code]:[Commodity]],MATCH(INDEX(Commodities[[Commodity]:[Parent code]],MATCH(Commodities[[#This Row],[L1N]],Commodities[Commodity],0),2),Commodities[Commodity code],0),2),Commodities[[#This Row],[L1N]])</f>
        <v>Oil</v>
      </c>
      <c r="N72" s="24" t="str">
        <f>IFERROR(INDEX(Commodities[[Commodity code]:[Commodity]],MATCH(INDEX(Commodities[[Commodity]:[Parent code]],MATCH(Commodities[[#This Row],[L2N]],Commodities[Commodity],0),2),Commodities[Commodity code],0),2),Commodities[[#This Row],[L2N]])</f>
        <v>Oil</v>
      </c>
      <c r="O72" s="24" t="str">
        <f>IFERROR(INDEX(Commodities[[Commodity code]:[Commodity]],MATCH(INDEX(Commodities[[Commodity]:[Parent code]],MATCH(Commodities[[#This Row],[L3N]],Commodities[Commodity],0),2),Commodities[Commodity code],0),2),Commodities[[#This Row],[L3N]])</f>
        <v>Oil</v>
      </c>
      <c r="P72" s="24" t="str">
        <f>IF(Commodities[[#This Row],[L4N]]=Commodities[[#This Row],[L3N]],Commodities[[#This Row],[L4N]],IF(Commodities[[#This Row],[L3N]]=Commodities[[#This Row],[L2N]],Commodities[[#This Row],[L3N]],IF(Commodities[[#This Row],[L2N]]=Commodities[[#This Row],[L1N]],Commodities[[#This Row],[L2N]],IF(Commodities[[#This Row],[L1N]]=Commodities[[#This Row],[Commodity]],Commodities[[#This Row],[L1N]],Commodities[[#This Row],[Commodity]]))))</f>
        <v>Oil</v>
      </c>
      <c r="Q72" s="24" t="str">
        <f>IF(Commodities[[#This Row],[Level 0]]=Commodities[[#This Row],[Commodity]],Commodities[[#This Row],[Commodity]],IF(Commodities[[#This Row],[Level 0]]=Commodities[[#This Row],[L1N]],Commodities[[#This Row],[Commodity]],IF(Commodities[[#This Row],[Level 0]]=Commodities[[#This Row],[L2N]],Commodities[[#This Row],[L1N]],IF(Commodities[[#This Row],[Level 0]]=Commodities[[#This Row],[L3N]],Commodities[[#This Row],[L2N]],IF(Commodities[[#This Row],[Level 0]]=Commodities[[#This Row],[L4N]],Commodities[[#This Row],[L3N]],Commodities[[#This Row],[L4N]])))))</f>
        <v>Oil products</v>
      </c>
      <c r="R72" s="24" t="str">
        <f>IF(Commodities[[#This Row],[Level 1]]=Commodities[[#This Row],[Commodity]],Commodities[[#This Row],[Commodity]],IF(Commodities[[#This Row],[Level 1]]=Commodities[[#This Row],[L1N]],Commodities[[#This Row],[Commodity]],IF(Commodities[[#This Row],[Level 1]]=Commodities[[#This Row],[L2N]],Commodities[[#This Row],[L1N]],IF(Commodities[[#This Row],[Level 1]]=Commodities[[#This Row],[L3N]],Commodities[[#This Row],[L2N]],IF(Commodities[[#This Row],[Level 1]]=Commodities[[#This Row],[L4N]],Commodities[[#This Row],[L3N]],Commodities[[#This Row],[L4N]])))))</f>
        <v>Fuel oil</v>
      </c>
      <c r="S72" s="24" t="str">
        <f>IF(Commodities[[#This Row],[Level 2]]=Commodities[[#This Row],[Commodity]],Commodities[[#This Row],[Commodity]],IF(Commodities[[#This Row],[Level 2]]=Commodities[[#This Row],[L1N]],Commodities[[#This Row],[Commodity]],IF(Commodities[[#This Row],[Level 2]]=Commodities[[#This Row],[L2N]],Commodities[[#This Row],[L1N]],IF(Commodities[[#This Row],[Level 2]]=Commodities[[#This Row],[L3N]],Commodities[[#This Row],[L2N]],IF(Commodities[[#This Row],[Level 2]]=Commodities[[#This Row],[L4N]],Commodities[[#This Row],[L3N]],Commodities[[#This Row],[L4N]])))))</f>
        <v>Fuel oil</v>
      </c>
      <c r="T72" s="24" t="str">
        <f>IF(Commodities[[#This Row],[Level 3]]=Commodities[[#This Row],[Commodity]],Commodities[[#This Row],[Commodity]],IF(Commodities[[#This Row],[Level 3]]=Commodities[[#This Row],[L1N]],Commodities[[#This Row],[Commodity]],IF(Commodities[[#This Row],[Level 3]]=Commodities[[#This Row],[L2N]],Commodities[[#This Row],[L1N]],IF(Commodities[[#This Row],[Level 3]]=Commodities[[#This Row],[L3N]],Commodities[[#This Row],[L2N]],IF(Commodities[[#This Row],[Level 3]]=Commodities[[#This Row],[L4N]],Commodities[[#This Row],[L3N]],Commodities[[#This Row],[L4N]])))))</f>
        <v>Fuel oil</v>
      </c>
      <c r="U72" s="24" t="str">
        <f>IF(Commodities[[#This Row],[Level 4]]=Commodities[[#This Row],[Commodity]],Commodities[[#This Row],[Commodity]],IF(Commodities[[#This Row],[Level 4]]=Commodities[[#This Row],[L1N]],Commodities[[#This Row],[Commodity]],IF(Commodities[[#This Row],[Level 4]]=Commodities[[#This Row],[L2N]],Commodities[[#This Row],[L1N]],IF(Commodities[[#This Row],[Level 4]]=Commodities[[#This Row],[L3N]],Commodities[[#This Row],[L2N]],IF(Commodities[[#This Row],[Level 4]]=Commodities[[#This Row],[L4N]],Commodities[[#This Row],[L3N]],Commodities[[#This Row],[L4N]])))))</f>
        <v>Fuel oil</v>
      </c>
      <c r="Y72" s="4" t="s">
        <v>465</v>
      </c>
      <c r="Z72" s="4" t="s">
        <v>861</v>
      </c>
      <c r="AA72" s="4" t="s">
        <v>861</v>
      </c>
      <c r="AB72" s="4" t="s">
        <v>437</v>
      </c>
      <c r="AC72" s="24" t="str">
        <f>IFERROR(VLOOKUP(Transactions[[#This Row],[Parent code]],Transactions[[Transaction code]:[Transaction name]],2,0),"")</f>
        <v>Manufacturing, construction and non-fuel mining industries (S)</v>
      </c>
      <c r="AD72" s="4" t="s">
        <v>630</v>
      </c>
      <c r="AF72" s="4" t="s">
        <v>642</v>
      </c>
      <c r="AG72" s="4" t="s">
        <v>385</v>
      </c>
      <c r="AK72" s="24" t="str" cm="1">
        <f t="array" ref="AK72">IFERROR(INDEX(Transactions[[Transaction code]:[Transaction name]],_xlfn.XMATCH(Transactions[[#This Row],[Parent code]],Transactions[Transaction name],0),3),Transactions[[#This Row],[Transaction name]])</f>
        <v>Machinery (S)</v>
      </c>
      <c r="AL72" s="24" t="str" cm="1">
        <f t="array" ref="AL72">IFERROR(INDEX(Transactions[[Transaction code]:[Transaction name]],_xlfn.XMATCH(INDEX(Transactions[[Transaction name]:[Parent code]],_xlfn.XMATCH(Transactions[[#This Row],[L1N]],Transactions[Transaction name],0),3),Transactions[Transaction code],0),2),Transactions[[#This Row],[L1N]])</f>
        <v>Manufacturing, construction and non-fuel mining industries (S)</v>
      </c>
      <c r="AM72" s="24" t="str" cm="1">
        <f t="array" ref="AM72">IFERROR(INDEX(Transactions[[Transaction code]:[Transaction name]],_xlfn.XMATCH(INDEX(Transactions[[Transaction name]:[Parent code]],_xlfn.XMATCH(Transactions[[#This Row],[L2N]],Transactions[Transaction name],0),3),Transactions[Transaction code],0),2),Transactions[[#This Row],[L2N]])</f>
        <v>Final Energy Consumption (S)</v>
      </c>
      <c r="AN72" s="24" t="str" cm="1">
        <f t="array" ref="AN72">IFERROR(INDEX(Transactions[[Transaction code]:[Transaction name]],_xlfn.XMATCH(INDEX(Transactions[[Transaction name]:[Parent code]],_xlfn.XMATCH(Transactions[[#This Row],[L3N]],Transactions[Transaction name],0),3),Transactions[Transaction code],0),2),Transactions[[#This Row],[L3N]])</f>
        <v>Final consumption (S)</v>
      </c>
      <c r="AO72" s="24" t="str" cm="1">
        <f t="array" ref="AO72">IFERROR(INDEX(Transactions[[Transaction code]:[Transaction name]],_xlfn.XMATCH(INDEX(Transactions[[Transaction name]:[Parent code]],_xlfn.XMATCH(Transactions[[#This Row],[L4N]],Transactions[Transaction name],0),3),Transactions[Transaction code],0),2),Transactions[[#This Row],[L4N]])</f>
        <v>Final consumption (S)</v>
      </c>
      <c r="AP72" s="24" t="str" cm="1">
        <f t="array" ref="AP72">IFERROR(INDEX(Transactions[[Transaction code]:[Transaction name]],_xlfn.XMATCH(INDEX(Transactions[[Transaction name]:[Parent code]],_xlfn.XMATCH(Transactions[[#This Row],[L5N]],Transactions[Transaction name],0),3),Transactions[Transaction code],0),2),Transactions[[#This Row],[L5N]])</f>
        <v>Final consumption (S)</v>
      </c>
      <c r="AQ72" s="24" t="str" cm="1">
        <f t="array" ref="AQ72">IFERROR(INDEX(Transactions[[Transaction code]:[Transaction name]],_xlfn.XMATCH(INDEX(Transactions[[Transaction name]:[Parent code]],_xlfn.XMATCH(Transactions[[#This Row],[L6N]],Transactions[Transaction name],0),3),Transactions[Transaction code],0),2),Transactions[[#This Row],[L6N]])</f>
        <v>Final consumption (S)</v>
      </c>
      <c r="AR72" s="27" t="str">
        <f>IF(Transactions[[#This Row],[L7N]]=Transactions[[#This Row],[L6N]],Transactions[[#This Row],[L7N]],IF(Transactions[[#This Row],[L6N]]=Transactions[[#This Row],[L5N]],Transactions[[#This Row],[L6N]],IF(Transactions[[#This Row],[L5N]]=Transactions[[#This Row],[L4N]],Transactions[[#This Row],[L5N]],IF(Transactions[[#This Row],[L4N]]=Transactions[[#This Row],[L3N]],Transactions[[#This Row],[L4N]],IF(Transactions[[#This Row],[L3N]]=Transactions[[#This Row],[L2N]],Transactions[[#This Row],[L3N]],IF(Transactions[[#This Row],[L2N]]=Transactions[[#This Row],[L1N]],Transactions[[#This Row],[L2N]],IF(Transactions[[#This Row],[L1N]]=Transactions[[#This Row],[Transaction name]],Transactions[[#This Row],[L1N]],Transactions[[#This Row],[Transaction name]])))))))</f>
        <v>Final consumption (S)</v>
      </c>
      <c r="AS72" s="24" t="str">
        <f>IF(Transactions[[#This Row],[Level 0]]=Transactions[[#This Row],[Transaction name]],Transactions[[#This Row],[Transaction name]],IF(Transactions[[#This Row],[Level 0]]=Transactions[[#This Row],[L1N]],Transactions[[#This Row],[Transaction name]],IF(Transactions[[#This Row],[Level 0]]=Transactions[[#This Row],[L2N]],Transactions[[#This Row],[L1N]],IF(Transactions[[#This Row],[Level 0]]=Transactions[[#This Row],[L3N]],Transactions[[#This Row],[L2N]],IF(Transactions[[#This Row],[Level 0]]=Transactions[[#This Row],[L4N]],Transactions[[#This Row],[L3N]],IF(Transactions[[#This Row],[Level 0]]=Transactions[[#This Row],[L5N]],Transactions[[#This Row],[L4N]],IF(Transactions[[#This Row],[Level 0]]=Transactions[[#This Row],[L6N]],Transactions[[#This Row],[L5N]],IF(Transactions[[#This Row],[Level 0]]=Transactions[[#This Row],[L7N]],Transactions[[#This Row],[L6N]],Transactions[[#This Row],[L7N]]))))))))</f>
        <v>Final Energy Consumption (S)</v>
      </c>
      <c r="AT72" s="24" t="str">
        <f>IF(Transactions[[#This Row],[Level 1]]=Transactions[[#This Row],[Transaction name]],Transactions[[#This Row],[Transaction name]],IF(Transactions[[#This Row],[Level 1]]=Transactions[[#This Row],[L1N]],Transactions[[#This Row],[Transaction name]],IF(Transactions[[#This Row],[Level 1]]=Transactions[[#This Row],[L2N]],Transactions[[#This Row],[L1N]],IF(Transactions[[#This Row],[Level 1]]=Transactions[[#This Row],[L3N]],Transactions[[#This Row],[L2N]],IF(Transactions[[#This Row],[Level 1]]=Transactions[[#This Row],[L4N]],Transactions[[#This Row],[L3N]],IF(Transactions[[#This Row],[Level 1]]=Transactions[[#This Row],[L5N]],Transactions[[#This Row],[L4N]],IF(Transactions[[#This Row],[Level 1]]=Transactions[[#This Row],[L6N]],Transactions[[#This Row],[L5N]],IF(Transactions[[#This Row],[Level 1]]=Transactions[[#This Row],[L7N]],Transactions[[#This Row],[L6N]],Transactions[[#This Row],[L7N]]))))))))</f>
        <v>Manufacturing, construction and non-fuel mining industries (S)</v>
      </c>
      <c r="AU72" s="24" t="str">
        <f>IF(Transactions[[#This Row],[Level 2]]=Transactions[[#This Row],[Transaction name]],Transactions[[#This Row],[Transaction name]],IF(Transactions[[#This Row],[Level 2]]=Transactions[[#This Row],[L1N]],Transactions[[#This Row],[Transaction name]],IF(Transactions[[#This Row],[Level 2]]=Transactions[[#This Row],[L2N]],Transactions[[#This Row],[L1N]],IF(Transactions[[#This Row],[Level 2]]=Transactions[[#This Row],[L3N]],Transactions[[#This Row],[L2N]],IF(Transactions[[#This Row],[Level 2]]=Transactions[[#This Row],[L4N]],Transactions[[#This Row],[L3N]],IF(Transactions[[#This Row],[Level 2]]=Transactions[[#This Row],[L5N]],Transactions[[#This Row],[L4N]],IF(Transactions[[#This Row],[Level 2]]=Transactions[[#This Row],[L6N]],Transactions[[#This Row],[L5N]],IF(Transactions[[#This Row],[Level 2]]=Transactions[[#This Row],[L7N]],Transactions[[#This Row],[L6N]],Transactions[[#This Row],[L7N]]))))))))</f>
        <v>Machinery (S)</v>
      </c>
      <c r="AV72" s="24" t="str">
        <f>IF(Transactions[[#This Row],[Level 3]]=Transactions[[#This Row],[Transaction name]],Transactions[[#This Row],[Transaction name]],IF(Transactions[[#This Row],[Level 3]]=Transactions[[#This Row],[L1N]],Transactions[[#This Row],[Transaction name]],IF(Transactions[[#This Row],[Level 3]]=Transactions[[#This Row],[L2N]],Transactions[[#This Row],[L1N]],IF(Transactions[[#This Row],[Level 3]]=Transactions[[#This Row],[L3N]],Transactions[[#This Row],[L2N]],IF(Transactions[[#This Row],[Level 3]]=Transactions[[#This Row],[L4N]],Transactions[[#This Row],[L3N]],IF(Transactions[[#This Row],[Level 3]]=Transactions[[#This Row],[L5N]],Transactions[[#This Row],[L4N]],IF(Transactions[[#This Row],[Level 3]]=Transactions[[#This Row],[L6N]],Transactions[[#This Row],[L5N]],IF(Transactions[[#This Row],[Level 3]]=Transactions[[#This Row],[L7N]],Transactions[[#This Row],[L6N]],Transactions[[#This Row],[L7N]]))))))))</f>
        <v>Machinery (S)</v>
      </c>
      <c r="AW72" s="24" t="str">
        <f>IF(Transactions[[#This Row],[Level 4]]=Transactions[[#This Row],[Transaction name]],Transactions[[#This Row],[Transaction name]],IF(Transactions[[#This Row],[Level 4]]=Transactions[[#This Row],[L1N]],Transactions[[#This Row],[Transaction name]],IF(Transactions[[#This Row],[Level 4]]=Transactions[[#This Row],[L2N]],Transactions[[#This Row],[L1N]],IF(Transactions[[#This Row],[Level 4]]=Transactions[[#This Row],[L3N]],Transactions[[#This Row],[L2N]],IF(Transactions[[#This Row],[Level 4]]=Transactions[[#This Row],[L4N]],Transactions[[#This Row],[L3N]],IF(Transactions[[#This Row],[Level 4]]=Transactions[[#This Row],[L5N]],Transactions[[#This Row],[L4N]],IF(Transactions[[#This Row],[Level 4]]=Transactions[[#This Row],[L6N]],Transactions[[#This Row],[L5N]],IF(Transactions[[#This Row],[Level 4]]=Transactions[[#This Row],[L7N]],Transactions[[#This Row],[L6N]],Transactions[[#This Row],[L7N]]))))))))</f>
        <v>Machinery (S)</v>
      </c>
      <c r="AX72" s="24" t="str">
        <f>IF(Transactions[[#This Row],[Level 5]]=Transactions[[#This Row],[Transaction name]],Transactions[[#This Row],[Transaction name]],IF(Transactions[[#This Row],[Level 5]]=Transactions[[#This Row],[L1N]],Transactions[[#This Row],[Transaction name]],IF(Transactions[[#This Row],[Level 5]]=Transactions[[#This Row],[L2N]],Transactions[[#This Row],[L1N]],IF(Transactions[[#This Row],[Level 5]]=Transactions[[#This Row],[L3N]],Transactions[[#This Row],[L2N]],IF(Transactions[[#This Row],[Level 5]]=Transactions[[#This Row],[L4N]],Transactions[[#This Row],[L3N]],IF(Transactions[[#This Row],[Level 5]]=Transactions[[#This Row],[L5N]],Transactions[[#This Row],[L4N]],IF(Transactions[[#This Row],[Level 5]]=Transactions[[#This Row],[L6N]],Transactions[[#This Row],[L5N]],IF(Transactions[[#This Row],[Level 5]]=Transactions[[#This Row],[L7N]],Transactions[[#This Row],[L6N]],Transactions[[#This Row],[L7N]]))))))))</f>
        <v>Machinery (S)</v>
      </c>
      <c r="AY72" s="24" t="str">
        <f>IF(Transactions[[#This Row],[Level 6]]=Transactions[[#This Row],[Transaction name]],Transactions[[#This Row],[Transaction name]],IF(Transactions[[#This Row],[Level 6]]=Transactions[[#This Row],[L1N]],Transactions[[#This Row],[Transaction name]],IF(Transactions[[#This Row],[Level 6]]=Transactions[[#This Row],[L2N]],Transactions[[#This Row],[L1N]],IF(Transactions[[#This Row],[Level 6]]=Transactions[[#This Row],[L3N]],Transactions[[#This Row],[L2N]],IF(Transactions[[#This Row],[Level 6]]=Transactions[[#This Row],[L4N]],Transactions[[#This Row],[L3N]],IF(Transactions[[#This Row],[Level 6]]=Transactions[[#This Row],[L5N]],Transactions[[#This Row],[L4N]],IF(Transactions[[#This Row],[Level 6]]=Transactions[[#This Row],[L6N]],Transactions[[#This Row],[L5N]],IF(Transactions[[#This Row],[Level 6]]=Transactions[[#This Row],[L7N]],Transactions[[#This Row],[L6N]],Transactions[[#This Row],[L7N]]))))))))</f>
        <v>Machinery (S)</v>
      </c>
      <c r="BE72" s="26" t="str">
        <f>_xlfn.XLOOKUP(Transformation[[#This Row],[cfrom]],Commodities[Commodity],Commodities[Commodity code])</f>
        <v>4652</v>
      </c>
      <c r="BF72" s="26" t="str">
        <f>_xlfn.XLOOKUP(Transformation[[#This Row],[tfrom]],Transactions[Transaction name],Transactions[Transaction code])</f>
        <v>08821</v>
      </c>
      <c r="BG72" s="26" t="str">
        <f>_xlfn.XLOOKUP(Transformation[[#This Row],[cto]],Commodities[Commodity],Commodities[Commodity code])</f>
        <v>4652</v>
      </c>
      <c r="BH72" s="26" t="str">
        <f>_xlfn.XLOOKUP(Transformation[[#This Row],[tto]],Transactions[Transaction name],Transactions[Transaction code])</f>
        <v>015OPC</v>
      </c>
      <c r="BI72" s="11">
        <v>1</v>
      </c>
      <c r="BJ72" s="4" t="s">
        <v>394</v>
      </c>
      <c r="BK72" s="24" t="str">
        <f>_xlfn.XLOOKUP(Transformation[[#This Row],[Commodity from]],Commodities[Commodity code],Commodities[EnergyCode])</f>
        <v>MO</v>
      </c>
      <c r="BL72" s="4" t="s">
        <v>691</v>
      </c>
      <c r="BM72" s="4" t="s">
        <v>394</v>
      </c>
      <c r="BN72" s="24" t="str">
        <f>_xlfn.XLOOKUP(Transformation[[#This Row],[Commodity to]],Commodities[Commodity code],Commodities[EnergyCode])</f>
        <v>MO</v>
      </c>
      <c r="BO72" s="4" t="s">
        <v>1050</v>
      </c>
      <c r="BP72" s="16" t="s">
        <v>1493</v>
      </c>
      <c r="BQ72" s="33" t="str">
        <f>Transformation[[#This Row],[Commodity from]]&amp;Transformation[[#This Row],[Transaction from]]&amp;Transformation[[#This Row],[Commodity to]]&amp;Transformation[[#This Row],[Transaction to]]</f>
        <v>4652088214652015OPC</v>
      </c>
      <c r="BR72" s="26" t="str">
        <f>Transformation[[#This Row],[crfomid]]&amp;Transformation[[#This Row],[Transaction from]]&amp;"("&amp;Transformation[[#This Row],[Multiplier]]&amp;") -&gt; "&amp;Transformation[[#This Row],[ctoid]]&amp;Transformation[[#This Row],[Transaction to]]</f>
        <v>MO08821(1) -&gt; MO015OPC</v>
      </c>
      <c r="BT72" s="26" t="str">
        <f>_xlfn.XLOOKUP(Signswitch[[#This Row],[Commodity name]],Commodities[Commodity],Commodities[Commodity code])</f>
        <v>5222</v>
      </c>
      <c r="BU72" s="26" t="str">
        <f>_xlfn.XLOOKUP(Signswitch[[#This Row],[Transaction name]],Transactions[Transaction name],Transactions[Transaction code])</f>
        <v>1223</v>
      </c>
      <c r="BV72" s="26" t="str">
        <f>Signswitch[[#This Row],[Commodity from]]&amp;Signswitch[[#This Row],[Transaction from]]</f>
        <v>52221223</v>
      </c>
      <c r="BW72" s="22" t="s">
        <v>962</v>
      </c>
      <c r="BX72" s="26" t="str">
        <f>_xlfn.XLOOKUP(Signswitch[[#This Row],[Commodity from]],Commodities[Commodity code],Commodities[EnergyCode])</f>
        <v>ZD</v>
      </c>
      <c r="BY72" s="22" t="s">
        <v>422</v>
      </c>
    </row>
    <row r="73" spans="8:77" x14ac:dyDescent="0.45">
      <c r="H73" s="5" t="s">
        <v>417</v>
      </c>
      <c r="I73" s="4" t="s">
        <v>416</v>
      </c>
      <c r="J73" s="9" t="s">
        <v>366</v>
      </c>
      <c r="K73" s="9" t="s">
        <v>1441</v>
      </c>
      <c r="L73" s="23" t="str">
        <f>IFERROR(INDEX(Commodities[[Commodity code]:[Commodity]],MATCH(Commodities[[#This Row],[Parent code]],Commodities[Commodity code],0),2),Commodities[[#This Row],[Commodity]])</f>
        <v>Oil products</v>
      </c>
      <c r="M73" s="24" t="str">
        <f>IFERROR(INDEX(Commodities[[Commodity code]:[Commodity]],MATCH(INDEX(Commodities[[Commodity]:[Parent code]],MATCH(Commodities[[#This Row],[L1N]],Commodities[Commodity],0),2),Commodities[Commodity code],0),2),Commodities[[#This Row],[L1N]])</f>
        <v>Oil</v>
      </c>
      <c r="N73" s="24" t="str">
        <f>IFERROR(INDEX(Commodities[[Commodity code]:[Commodity]],MATCH(INDEX(Commodities[[Commodity]:[Parent code]],MATCH(Commodities[[#This Row],[L2N]],Commodities[Commodity],0),2),Commodities[Commodity code],0),2),Commodities[[#This Row],[L2N]])</f>
        <v>Oil</v>
      </c>
      <c r="O73" s="24" t="str">
        <f>IFERROR(INDEX(Commodities[[Commodity code]:[Commodity]],MATCH(INDEX(Commodities[[Commodity]:[Parent code]],MATCH(Commodities[[#This Row],[L3N]],Commodities[Commodity],0),2),Commodities[Commodity code],0),2),Commodities[[#This Row],[L3N]])</f>
        <v>Oil</v>
      </c>
      <c r="P73" s="24" t="str">
        <f>IF(Commodities[[#This Row],[L4N]]=Commodities[[#This Row],[L3N]],Commodities[[#This Row],[L4N]],IF(Commodities[[#This Row],[L3N]]=Commodities[[#This Row],[L2N]],Commodities[[#This Row],[L3N]],IF(Commodities[[#This Row],[L2N]]=Commodities[[#This Row],[L1N]],Commodities[[#This Row],[L2N]],IF(Commodities[[#This Row],[L1N]]=Commodities[[#This Row],[Commodity]],Commodities[[#This Row],[L1N]],Commodities[[#This Row],[Commodity]]))))</f>
        <v>Oil</v>
      </c>
      <c r="Q73" s="24" t="str">
        <f>IF(Commodities[[#This Row],[Level 0]]=Commodities[[#This Row],[Commodity]],Commodities[[#This Row],[Commodity]],IF(Commodities[[#This Row],[Level 0]]=Commodities[[#This Row],[L1N]],Commodities[[#This Row],[Commodity]],IF(Commodities[[#This Row],[Level 0]]=Commodities[[#This Row],[L2N]],Commodities[[#This Row],[L1N]],IF(Commodities[[#This Row],[Level 0]]=Commodities[[#This Row],[L3N]],Commodities[[#This Row],[L2N]],IF(Commodities[[#This Row],[Level 0]]=Commodities[[#This Row],[L4N]],Commodities[[#This Row],[L3N]],Commodities[[#This Row],[L4N]])))))</f>
        <v>Oil products</v>
      </c>
      <c r="R73" s="24" t="str">
        <f>IF(Commodities[[#This Row],[Level 1]]=Commodities[[#This Row],[Commodity]],Commodities[[#This Row],[Commodity]],IF(Commodities[[#This Row],[Level 1]]=Commodities[[#This Row],[L1N]],Commodities[[#This Row],[Commodity]],IF(Commodities[[#This Row],[Level 1]]=Commodities[[#This Row],[L2N]],Commodities[[#This Row],[L1N]],IF(Commodities[[#This Row],[Level 1]]=Commodities[[#This Row],[L3N]],Commodities[[#This Row],[L2N]],IF(Commodities[[#This Row],[Level 1]]=Commodities[[#This Row],[L4N]],Commodities[[#This Row],[L3N]],Commodities[[#This Row],[L4N]])))))</f>
        <v>Refinery gas</v>
      </c>
      <c r="S73" s="24" t="str">
        <f>IF(Commodities[[#This Row],[Level 2]]=Commodities[[#This Row],[Commodity]],Commodities[[#This Row],[Commodity]],IF(Commodities[[#This Row],[Level 2]]=Commodities[[#This Row],[L1N]],Commodities[[#This Row],[Commodity]],IF(Commodities[[#This Row],[Level 2]]=Commodities[[#This Row],[L2N]],Commodities[[#This Row],[L1N]],IF(Commodities[[#This Row],[Level 2]]=Commodities[[#This Row],[L3N]],Commodities[[#This Row],[L2N]],IF(Commodities[[#This Row],[Level 2]]=Commodities[[#This Row],[L4N]],Commodities[[#This Row],[L3N]],Commodities[[#This Row],[L4N]])))))</f>
        <v>Refinery gas</v>
      </c>
      <c r="T73" s="24" t="str">
        <f>IF(Commodities[[#This Row],[Level 3]]=Commodities[[#This Row],[Commodity]],Commodities[[#This Row],[Commodity]],IF(Commodities[[#This Row],[Level 3]]=Commodities[[#This Row],[L1N]],Commodities[[#This Row],[Commodity]],IF(Commodities[[#This Row],[Level 3]]=Commodities[[#This Row],[L2N]],Commodities[[#This Row],[L1N]],IF(Commodities[[#This Row],[Level 3]]=Commodities[[#This Row],[L3N]],Commodities[[#This Row],[L2N]],IF(Commodities[[#This Row],[Level 3]]=Commodities[[#This Row],[L4N]],Commodities[[#This Row],[L3N]],Commodities[[#This Row],[L4N]])))))</f>
        <v>Refinery gas</v>
      </c>
      <c r="U73" s="24" t="str">
        <f>IF(Commodities[[#This Row],[Level 4]]=Commodities[[#This Row],[Commodity]],Commodities[[#This Row],[Commodity]],IF(Commodities[[#This Row],[Level 4]]=Commodities[[#This Row],[L1N]],Commodities[[#This Row],[Commodity]],IF(Commodities[[#This Row],[Level 4]]=Commodities[[#This Row],[L2N]],Commodities[[#This Row],[L1N]],IF(Commodities[[#This Row],[Level 4]]=Commodities[[#This Row],[L3N]],Commodities[[#This Row],[L2N]],IF(Commodities[[#This Row],[Level 4]]=Commodities[[#This Row],[L4N]],Commodities[[#This Row],[L3N]],Commodities[[#This Row],[L4N]])))))</f>
        <v>Refinery gas</v>
      </c>
      <c r="Y73" s="4" t="s">
        <v>437</v>
      </c>
      <c r="Z73" s="4" t="s">
        <v>889</v>
      </c>
      <c r="AA73" s="4" t="s">
        <v>889</v>
      </c>
      <c r="AB73" s="4" t="s">
        <v>407</v>
      </c>
      <c r="AC73" s="24" t="str">
        <f>IFERROR(VLOOKUP(Transactions[[#This Row],[Parent code]],Transactions[[Transaction code]:[Transaction name]],2,0),"")</f>
        <v>Final Energy Consumption (S)</v>
      </c>
      <c r="AD73" s="4" t="s">
        <v>630</v>
      </c>
      <c r="AF73" s="4" t="s">
        <v>642</v>
      </c>
      <c r="AG73" s="4" t="s">
        <v>385</v>
      </c>
      <c r="AK73" s="24" t="str" cm="1">
        <f t="array" ref="AK73">IFERROR(INDEX(Transactions[[Transaction code]:[Transaction name]],_xlfn.XMATCH(Transactions[[#This Row],[Parent code]],Transactions[Transaction name],0),3),Transactions[[#This Row],[Transaction name]])</f>
        <v>Manufacturing, construction and non-fuel mining industries (S)</v>
      </c>
      <c r="AL73" s="24" t="str" cm="1">
        <f t="array" ref="AL73">IFERROR(INDEX(Transactions[[Transaction code]:[Transaction name]],_xlfn.XMATCH(INDEX(Transactions[[Transaction name]:[Parent code]],_xlfn.XMATCH(Transactions[[#This Row],[L1N]],Transactions[Transaction name],0),3),Transactions[Transaction code],0),2),Transactions[[#This Row],[L1N]])</f>
        <v>Final Energy Consumption (S)</v>
      </c>
      <c r="AM73" s="24" t="str" cm="1">
        <f t="array" ref="AM73">IFERROR(INDEX(Transactions[[Transaction code]:[Transaction name]],_xlfn.XMATCH(INDEX(Transactions[[Transaction name]:[Parent code]],_xlfn.XMATCH(Transactions[[#This Row],[L2N]],Transactions[Transaction name],0),3),Transactions[Transaction code],0),2),Transactions[[#This Row],[L2N]])</f>
        <v>Final consumption (S)</v>
      </c>
      <c r="AN73" s="24" t="str" cm="1">
        <f t="array" ref="AN73">IFERROR(INDEX(Transactions[[Transaction code]:[Transaction name]],_xlfn.XMATCH(INDEX(Transactions[[Transaction name]:[Parent code]],_xlfn.XMATCH(Transactions[[#This Row],[L3N]],Transactions[Transaction name],0),3),Transactions[Transaction code],0),2),Transactions[[#This Row],[L3N]])</f>
        <v>Final consumption (S)</v>
      </c>
      <c r="AO73" s="24" t="str" cm="1">
        <f t="array" ref="AO73">IFERROR(INDEX(Transactions[[Transaction code]:[Transaction name]],_xlfn.XMATCH(INDEX(Transactions[[Transaction name]:[Parent code]],_xlfn.XMATCH(Transactions[[#This Row],[L4N]],Transactions[Transaction name],0),3),Transactions[Transaction code],0),2),Transactions[[#This Row],[L4N]])</f>
        <v>Final consumption (S)</v>
      </c>
      <c r="AP73" s="24" t="str" cm="1">
        <f t="array" ref="AP73">IFERROR(INDEX(Transactions[[Transaction code]:[Transaction name]],_xlfn.XMATCH(INDEX(Transactions[[Transaction name]:[Parent code]],_xlfn.XMATCH(Transactions[[#This Row],[L5N]],Transactions[Transaction name],0),3),Transactions[Transaction code],0),2),Transactions[[#This Row],[L5N]])</f>
        <v>Final consumption (S)</v>
      </c>
      <c r="AQ73" s="24" t="str" cm="1">
        <f t="array" ref="AQ73">IFERROR(INDEX(Transactions[[Transaction code]:[Transaction name]],_xlfn.XMATCH(INDEX(Transactions[[Transaction name]:[Parent code]],_xlfn.XMATCH(Transactions[[#This Row],[L6N]],Transactions[Transaction name],0),3),Transactions[Transaction code],0),2),Transactions[[#This Row],[L6N]])</f>
        <v>Final consumption (S)</v>
      </c>
      <c r="AR73" s="27" t="str">
        <f>IF(Transactions[[#This Row],[L7N]]=Transactions[[#This Row],[L6N]],Transactions[[#This Row],[L7N]],IF(Transactions[[#This Row],[L6N]]=Transactions[[#This Row],[L5N]],Transactions[[#This Row],[L6N]],IF(Transactions[[#This Row],[L5N]]=Transactions[[#This Row],[L4N]],Transactions[[#This Row],[L5N]],IF(Transactions[[#This Row],[L4N]]=Transactions[[#This Row],[L3N]],Transactions[[#This Row],[L4N]],IF(Transactions[[#This Row],[L3N]]=Transactions[[#This Row],[L2N]],Transactions[[#This Row],[L3N]],IF(Transactions[[#This Row],[L2N]]=Transactions[[#This Row],[L1N]],Transactions[[#This Row],[L2N]],IF(Transactions[[#This Row],[L1N]]=Transactions[[#This Row],[Transaction name]],Transactions[[#This Row],[L1N]],Transactions[[#This Row],[Transaction name]])))))))</f>
        <v>Final consumption (S)</v>
      </c>
      <c r="AS73" s="24" t="str">
        <f>IF(Transactions[[#This Row],[Level 0]]=Transactions[[#This Row],[Transaction name]],Transactions[[#This Row],[Transaction name]],IF(Transactions[[#This Row],[Level 0]]=Transactions[[#This Row],[L1N]],Transactions[[#This Row],[Transaction name]],IF(Transactions[[#This Row],[Level 0]]=Transactions[[#This Row],[L2N]],Transactions[[#This Row],[L1N]],IF(Transactions[[#This Row],[Level 0]]=Transactions[[#This Row],[L3N]],Transactions[[#This Row],[L2N]],IF(Transactions[[#This Row],[Level 0]]=Transactions[[#This Row],[L4N]],Transactions[[#This Row],[L3N]],IF(Transactions[[#This Row],[Level 0]]=Transactions[[#This Row],[L5N]],Transactions[[#This Row],[L4N]],IF(Transactions[[#This Row],[Level 0]]=Transactions[[#This Row],[L6N]],Transactions[[#This Row],[L5N]],IF(Transactions[[#This Row],[Level 0]]=Transactions[[#This Row],[L7N]],Transactions[[#This Row],[L6N]],Transactions[[#This Row],[L7N]]))))))))</f>
        <v>Final Energy Consumption (S)</v>
      </c>
      <c r="AT73" s="24" t="str">
        <f>IF(Transactions[[#This Row],[Level 1]]=Transactions[[#This Row],[Transaction name]],Transactions[[#This Row],[Transaction name]],IF(Transactions[[#This Row],[Level 1]]=Transactions[[#This Row],[L1N]],Transactions[[#This Row],[Transaction name]],IF(Transactions[[#This Row],[Level 1]]=Transactions[[#This Row],[L2N]],Transactions[[#This Row],[L1N]],IF(Transactions[[#This Row],[Level 1]]=Transactions[[#This Row],[L3N]],Transactions[[#This Row],[L2N]],IF(Transactions[[#This Row],[Level 1]]=Transactions[[#This Row],[L4N]],Transactions[[#This Row],[L3N]],IF(Transactions[[#This Row],[Level 1]]=Transactions[[#This Row],[L5N]],Transactions[[#This Row],[L4N]],IF(Transactions[[#This Row],[Level 1]]=Transactions[[#This Row],[L6N]],Transactions[[#This Row],[L5N]],IF(Transactions[[#This Row],[Level 1]]=Transactions[[#This Row],[L7N]],Transactions[[#This Row],[L6N]],Transactions[[#This Row],[L7N]]))))))))</f>
        <v>Manufacturing, construction and non-fuel mining industries (S)</v>
      </c>
      <c r="AU73" s="24" t="str">
        <f>IF(Transactions[[#This Row],[Level 2]]=Transactions[[#This Row],[Transaction name]],Transactions[[#This Row],[Transaction name]],IF(Transactions[[#This Row],[Level 2]]=Transactions[[#This Row],[L1N]],Transactions[[#This Row],[Transaction name]],IF(Transactions[[#This Row],[Level 2]]=Transactions[[#This Row],[L2N]],Transactions[[#This Row],[L1N]],IF(Transactions[[#This Row],[Level 2]]=Transactions[[#This Row],[L3N]],Transactions[[#This Row],[L2N]],IF(Transactions[[#This Row],[Level 2]]=Transactions[[#This Row],[L4N]],Transactions[[#This Row],[L3N]],IF(Transactions[[#This Row],[Level 2]]=Transactions[[#This Row],[L5N]],Transactions[[#This Row],[L4N]],IF(Transactions[[#This Row],[Level 2]]=Transactions[[#This Row],[L6N]],Transactions[[#This Row],[L5N]],IF(Transactions[[#This Row],[Level 2]]=Transactions[[#This Row],[L7N]],Transactions[[#This Row],[L6N]],Transactions[[#This Row],[L7N]]))))))))</f>
        <v>Manufacturing, construction and non-fuel mining industries (S)</v>
      </c>
      <c r="AV73" s="24" t="str">
        <f>IF(Transactions[[#This Row],[Level 3]]=Transactions[[#This Row],[Transaction name]],Transactions[[#This Row],[Transaction name]],IF(Transactions[[#This Row],[Level 3]]=Transactions[[#This Row],[L1N]],Transactions[[#This Row],[Transaction name]],IF(Transactions[[#This Row],[Level 3]]=Transactions[[#This Row],[L2N]],Transactions[[#This Row],[L1N]],IF(Transactions[[#This Row],[Level 3]]=Transactions[[#This Row],[L3N]],Transactions[[#This Row],[L2N]],IF(Transactions[[#This Row],[Level 3]]=Transactions[[#This Row],[L4N]],Transactions[[#This Row],[L3N]],IF(Transactions[[#This Row],[Level 3]]=Transactions[[#This Row],[L5N]],Transactions[[#This Row],[L4N]],IF(Transactions[[#This Row],[Level 3]]=Transactions[[#This Row],[L6N]],Transactions[[#This Row],[L5N]],IF(Transactions[[#This Row],[Level 3]]=Transactions[[#This Row],[L7N]],Transactions[[#This Row],[L6N]],Transactions[[#This Row],[L7N]]))))))))</f>
        <v>Manufacturing, construction and non-fuel mining industries (S)</v>
      </c>
      <c r="AW73" s="24" t="str">
        <f>IF(Transactions[[#This Row],[Level 4]]=Transactions[[#This Row],[Transaction name]],Transactions[[#This Row],[Transaction name]],IF(Transactions[[#This Row],[Level 4]]=Transactions[[#This Row],[L1N]],Transactions[[#This Row],[Transaction name]],IF(Transactions[[#This Row],[Level 4]]=Transactions[[#This Row],[L2N]],Transactions[[#This Row],[L1N]],IF(Transactions[[#This Row],[Level 4]]=Transactions[[#This Row],[L3N]],Transactions[[#This Row],[L2N]],IF(Transactions[[#This Row],[Level 4]]=Transactions[[#This Row],[L4N]],Transactions[[#This Row],[L3N]],IF(Transactions[[#This Row],[Level 4]]=Transactions[[#This Row],[L5N]],Transactions[[#This Row],[L4N]],IF(Transactions[[#This Row],[Level 4]]=Transactions[[#This Row],[L6N]],Transactions[[#This Row],[L5N]],IF(Transactions[[#This Row],[Level 4]]=Transactions[[#This Row],[L7N]],Transactions[[#This Row],[L6N]],Transactions[[#This Row],[L7N]]))))))))</f>
        <v>Manufacturing, construction and non-fuel mining industries (S)</v>
      </c>
      <c r="AX73" s="24" t="str">
        <f>IF(Transactions[[#This Row],[Level 5]]=Transactions[[#This Row],[Transaction name]],Transactions[[#This Row],[Transaction name]],IF(Transactions[[#This Row],[Level 5]]=Transactions[[#This Row],[L1N]],Transactions[[#This Row],[Transaction name]],IF(Transactions[[#This Row],[Level 5]]=Transactions[[#This Row],[L2N]],Transactions[[#This Row],[L1N]],IF(Transactions[[#This Row],[Level 5]]=Transactions[[#This Row],[L3N]],Transactions[[#This Row],[L2N]],IF(Transactions[[#This Row],[Level 5]]=Transactions[[#This Row],[L4N]],Transactions[[#This Row],[L3N]],IF(Transactions[[#This Row],[Level 5]]=Transactions[[#This Row],[L5N]],Transactions[[#This Row],[L4N]],IF(Transactions[[#This Row],[Level 5]]=Transactions[[#This Row],[L6N]],Transactions[[#This Row],[L5N]],IF(Transactions[[#This Row],[Level 5]]=Transactions[[#This Row],[L7N]],Transactions[[#This Row],[L6N]],Transactions[[#This Row],[L7N]]))))))))</f>
        <v>Manufacturing, construction and non-fuel mining industries (S)</v>
      </c>
      <c r="AY73" s="24" t="str">
        <f>IF(Transactions[[#This Row],[Level 6]]=Transactions[[#This Row],[Transaction name]],Transactions[[#This Row],[Transaction name]],IF(Transactions[[#This Row],[Level 6]]=Transactions[[#This Row],[L1N]],Transactions[[#This Row],[Transaction name]],IF(Transactions[[#This Row],[Level 6]]=Transactions[[#This Row],[L2N]],Transactions[[#This Row],[L1N]],IF(Transactions[[#This Row],[Level 6]]=Transactions[[#This Row],[L3N]],Transactions[[#This Row],[L2N]],IF(Transactions[[#This Row],[Level 6]]=Transactions[[#This Row],[L4N]],Transactions[[#This Row],[L3N]],IF(Transactions[[#This Row],[Level 6]]=Transactions[[#This Row],[L5N]],Transactions[[#This Row],[L4N]],IF(Transactions[[#This Row],[Level 6]]=Transactions[[#This Row],[L6N]],Transactions[[#This Row],[L5N]],IF(Transactions[[#This Row],[Level 6]]=Transactions[[#This Row],[L7N]],Transactions[[#This Row],[L6N]],Transactions[[#This Row],[L7N]]))))))))</f>
        <v>Manufacturing, construction and non-fuel mining industries (S)</v>
      </c>
      <c r="BE73" s="26" t="str">
        <f>_xlfn.XLOOKUP(Transformation[[#This Row],[cfrom]],Commodities[Commodity],Commodities[Commodity code])</f>
        <v>6200</v>
      </c>
      <c r="BF73" s="26" t="str">
        <f>_xlfn.XLOOKUP(Transformation[[#This Row],[tfrom]],Transactions[Transaction name],Transactions[Transaction code])</f>
        <v>08821</v>
      </c>
      <c r="BG73" s="26" t="str">
        <f>_xlfn.XLOOKUP(Transformation[[#This Row],[cto]],Commodities[Commodity],Commodities[Commodity code])</f>
        <v>6200</v>
      </c>
      <c r="BH73" s="26" t="str">
        <f>_xlfn.XLOOKUP(Transformation[[#This Row],[tto]],Transactions[Transaction name],Transactions[Transaction code])</f>
        <v>015MSWC</v>
      </c>
      <c r="BI73" s="11">
        <v>1</v>
      </c>
      <c r="BJ73" s="4" t="s">
        <v>288</v>
      </c>
      <c r="BK73" s="24" t="str">
        <f>_xlfn.XLOOKUP(Transformation[[#This Row],[Commodity from]],Commodities[Commodity code],Commodities[EnergyCode])</f>
        <v>MW</v>
      </c>
      <c r="BL73" s="4" t="s">
        <v>691</v>
      </c>
      <c r="BM73" s="4" t="s">
        <v>288</v>
      </c>
      <c r="BN73" s="24" t="str">
        <f>_xlfn.XLOOKUP(Transformation[[#This Row],[Commodity to]],Commodities[Commodity code],Commodities[EnergyCode])</f>
        <v>MW</v>
      </c>
      <c r="BO73" s="4" t="s">
        <v>1138</v>
      </c>
      <c r="BP73" s="16" t="s">
        <v>1493</v>
      </c>
      <c r="BQ73" s="33" t="str">
        <f>Transformation[[#This Row],[Commodity from]]&amp;Transformation[[#This Row],[Transaction from]]&amp;Transformation[[#This Row],[Commodity to]]&amp;Transformation[[#This Row],[Transaction to]]</f>
        <v>6200088216200015MSWC</v>
      </c>
      <c r="BR73" s="26" t="str">
        <f>Transformation[[#This Row],[crfomid]]&amp;Transformation[[#This Row],[Transaction from]]&amp;"("&amp;Transformation[[#This Row],[Multiplier]]&amp;") -&gt; "&amp;Transformation[[#This Row],[ctoid]]&amp;Transformation[[#This Row],[Transaction to]]</f>
        <v>MW08821(1) -&gt; MW015MSWC</v>
      </c>
      <c r="BT73" s="26" t="str">
        <f>_xlfn.XLOOKUP(Signswitch[[#This Row],[Commodity name]],Commodities[Commodity],Commodities[Commodity code])</f>
        <v>5212</v>
      </c>
      <c r="BU73" s="26" t="str">
        <f>_xlfn.XLOOKUP(Signswitch[[#This Row],[Transaction name]],Transactions[Transaction name],Transactions[Transaction code])</f>
        <v>1223</v>
      </c>
      <c r="BV73" s="26" t="str">
        <f>Signswitch[[#This Row],[Commodity from]]&amp;Signswitch[[#This Row],[Transaction from]]</f>
        <v>52121223</v>
      </c>
      <c r="BW73" s="22" t="s">
        <v>317</v>
      </c>
      <c r="BX73" s="26" t="str">
        <f>_xlfn.XLOOKUP(Signswitch[[#This Row],[Commodity from]],Commodities[Commodity code],Commodities[EnergyCode])</f>
        <v>ZG</v>
      </c>
      <c r="BY73" s="22" t="s">
        <v>422</v>
      </c>
    </row>
    <row r="74" spans="8:77" x14ac:dyDescent="0.45">
      <c r="H74" s="5" t="s">
        <v>514</v>
      </c>
      <c r="I74" s="4" t="s">
        <v>513</v>
      </c>
      <c r="J74" s="5" t="s">
        <v>509</v>
      </c>
      <c r="K74" s="5" t="s">
        <v>1426</v>
      </c>
      <c r="L74" s="23" t="str">
        <f>IFERROR(INDEX(Commodities[[Commodity code]:[Commodity]],MATCH(Commodities[[#This Row],[Parent code]],Commodities[Commodity code],0),2),Commodities[[#This Row],[Commodity]])</f>
        <v>Brown coal</v>
      </c>
      <c r="M74" s="24" t="str">
        <f>IFERROR(INDEX(Commodities[[Commodity code]:[Commodity]],MATCH(INDEX(Commodities[[Commodity]:[Parent code]],MATCH(Commodities[[#This Row],[L1N]],Commodities[Commodity],0),2),Commodities[Commodity code],0),2),Commodities[[#This Row],[L1N]])</f>
        <v>Coal</v>
      </c>
      <c r="N74" s="24" t="str">
        <f>IFERROR(INDEX(Commodities[[Commodity code]:[Commodity]],MATCH(INDEX(Commodities[[Commodity]:[Parent code]],MATCH(Commodities[[#This Row],[L2N]],Commodities[Commodity],0),2),Commodities[Commodity code],0),2),Commodities[[#This Row],[L2N]])</f>
        <v>Coal</v>
      </c>
      <c r="O74" s="24" t="str">
        <f>IFERROR(INDEX(Commodities[[Commodity code]:[Commodity]],MATCH(INDEX(Commodities[[Commodity]:[Parent code]],MATCH(Commodities[[#This Row],[L3N]],Commodities[Commodity],0),2),Commodities[Commodity code],0),2),Commodities[[#This Row],[L3N]])</f>
        <v>Coal</v>
      </c>
      <c r="P74" s="24" t="str">
        <f>IF(Commodities[[#This Row],[L4N]]=Commodities[[#This Row],[L3N]],Commodities[[#This Row],[L4N]],IF(Commodities[[#This Row],[L3N]]=Commodities[[#This Row],[L2N]],Commodities[[#This Row],[L3N]],IF(Commodities[[#This Row],[L2N]]=Commodities[[#This Row],[L1N]],Commodities[[#This Row],[L2N]],IF(Commodities[[#This Row],[L1N]]=Commodities[[#This Row],[Commodity]],Commodities[[#This Row],[L1N]],Commodities[[#This Row],[Commodity]]))))</f>
        <v>Coal</v>
      </c>
      <c r="Q74" s="24" t="str">
        <f>IF(Commodities[[#This Row],[Level 0]]=Commodities[[#This Row],[Commodity]],Commodities[[#This Row],[Commodity]],IF(Commodities[[#This Row],[Level 0]]=Commodities[[#This Row],[L1N]],Commodities[[#This Row],[Commodity]],IF(Commodities[[#This Row],[Level 0]]=Commodities[[#This Row],[L2N]],Commodities[[#This Row],[L1N]],IF(Commodities[[#This Row],[Level 0]]=Commodities[[#This Row],[L3N]],Commodities[[#This Row],[L2N]],IF(Commodities[[#This Row],[Level 0]]=Commodities[[#This Row],[L4N]],Commodities[[#This Row],[L3N]],Commodities[[#This Row],[L4N]])))))</f>
        <v>Brown coal</v>
      </c>
      <c r="R74" s="24" t="str">
        <f>IF(Commodities[[#This Row],[Level 1]]=Commodities[[#This Row],[Commodity]],Commodities[[#This Row],[Commodity]],IF(Commodities[[#This Row],[Level 1]]=Commodities[[#This Row],[L1N]],Commodities[[#This Row],[Commodity]],IF(Commodities[[#This Row],[Level 1]]=Commodities[[#This Row],[L2N]],Commodities[[#This Row],[L1N]],IF(Commodities[[#This Row],[Level 1]]=Commodities[[#This Row],[L3N]],Commodities[[#This Row],[L2N]],IF(Commodities[[#This Row],[Level 1]]=Commodities[[#This Row],[L4N]],Commodities[[#This Row],[L3N]],Commodities[[#This Row],[L4N]])))))</f>
        <v>Sub-bituminous coal</v>
      </c>
      <c r="S74" s="24" t="str">
        <f>IF(Commodities[[#This Row],[Level 2]]=Commodities[[#This Row],[Commodity]],Commodities[[#This Row],[Commodity]],IF(Commodities[[#This Row],[Level 2]]=Commodities[[#This Row],[L1N]],Commodities[[#This Row],[Commodity]],IF(Commodities[[#This Row],[Level 2]]=Commodities[[#This Row],[L2N]],Commodities[[#This Row],[L1N]],IF(Commodities[[#This Row],[Level 2]]=Commodities[[#This Row],[L3N]],Commodities[[#This Row],[L2N]],IF(Commodities[[#This Row],[Level 2]]=Commodities[[#This Row],[L4N]],Commodities[[#This Row],[L3N]],Commodities[[#This Row],[L4N]])))))</f>
        <v>Sub-bituminous coal</v>
      </c>
      <c r="T74" s="24" t="str">
        <f>IF(Commodities[[#This Row],[Level 3]]=Commodities[[#This Row],[Commodity]],Commodities[[#This Row],[Commodity]],IF(Commodities[[#This Row],[Level 3]]=Commodities[[#This Row],[L1N]],Commodities[[#This Row],[Commodity]],IF(Commodities[[#This Row],[Level 3]]=Commodities[[#This Row],[L2N]],Commodities[[#This Row],[L1N]],IF(Commodities[[#This Row],[Level 3]]=Commodities[[#This Row],[L3N]],Commodities[[#This Row],[L2N]],IF(Commodities[[#This Row],[Level 3]]=Commodities[[#This Row],[L4N]],Commodities[[#This Row],[L3N]],Commodities[[#This Row],[L4N]])))))</f>
        <v>Sub-bituminous coal</v>
      </c>
      <c r="U74" s="24" t="str">
        <f>IF(Commodities[[#This Row],[Level 4]]=Commodities[[#This Row],[Commodity]],Commodities[[#This Row],[Commodity]],IF(Commodities[[#This Row],[Level 4]]=Commodities[[#This Row],[L1N]],Commodities[[#This Row],[Commodity]],IF(Commodities[[#This Row],[Level 4]]=Commodities[[#This Row],[L2N]],Commodities[[#This Row],[L1N]],IF(Commodities[[#This Row],[Level 4]]=Commodities[[#This Row],[L3N]],Commodities[[#This Row],[L2N]],IF(Commodities[[#This Row],[Level 4]]=Commodities[[#This Row],[L4N]],Commodities[[#This Row],[L3N]],Commodities[[#This Row],[L4N]])))))</f>
        <v>Sub-bituminous coal</v>
      </c>
      <c r="Y74" s="4" t="s">
        <v>462</v>
      </c>
      <c r="Z74" s="4" t="s">
        <v>863</v>
      </c>
      <c r="AA74" s="4" t="s">
        <v>863</v>
      </c>
      <c r="AB74" s="4" t="s">
        <v>437</v>
      </c>
      <c r="AC74" s="24" t="str">
        <f>IFERROR(VLOOKUP(Transactions[[#This Row],[Parent code]],Transactions[[Transaction code]:[Transaction name]],2,0),"")</f>
        <v>Manufacturing, construction and non-fuel mining industries (S)</v>
      </c>
      <c r="AD74" s="4" t="s">
        <v>630</v>
      </c>
      <c r="AF74" s="4" t="s">
        <v>642</v>
      </c>
      <c r="AG74" s="4" t="s">
        <v>385</v>
      </c>
      <c r="AK74" s="24" t="str" cm="1">
        <f t="array" ref="AK74">IFERROR(INDEX(Transactions[[Transaction code]:[Transaction name]],_xlfn.XMATCH(Transactions[[#This Row],[Parent code]],Transactions[Transaction name],0),3),Transactions[[#This Row],[Transaction name]])</f>
        <v>Mining and quarrying (S)</v>
      </c>
      <c r="AL74" s="24" t="str" cm="1">
        <f t="array" ref="AL74">IFERROR(INDEX(Transactions[[Transaction code]:[Transaction name]],_xlfn.XMATCH(INDEX(Transactions[[Transaction name]:[Parent code]],_xlfn.XMATCH(Transactions[[#This Row],[L1N]],Transactions[Transaction name],0),3),Transactions[Transaction code],0),2),Transactions[[#This Row],[L1N]])</f>
        <v>Manufacturing, construction and non-fuel mining industries (S)</v>
      </c>
      <c r="AM74" s="24" t="str" cm="1">
        <f t="array" ref="AM74">IFERROR(INDEX(Transactions[[Transaction code]:[Transaction name]],_xlfn.XMATCH(INDEX(Transactions[[Transaction name]:[Parent code]],_xlfn.XMATCH(Transactions[[#This Row],[L2N]],Transactions[Transaction name],0),3),Transactions[Transaction code],0),2),Transactions[[#This Row],[L2N]])</f>
        <v>Final Energy Consumption (S)</v>
      </c>
      <c r="AN74" s="24" t="str" cm="1">
        <f t="array" ref="AN74">IFERROR(INDEX(Transactions[[Transaction code]:[Transaction name]],_xlfn.XMATCH(INDEX(Transactions[[Transaction name]:[Parent code]],_xlfn.XMATCH(Transactions[[#This Row],[L3N]],Transactions[Transaction name],0),3),Transactions[Transaction code],0),2),Transactions[[#This Row],[L3N]])</f>
        <v>Final consumption (S)</v>
      </c>
      <c r="AO74" s="24" t="str" cm="1">
        <f t="array" ref="AO74">IFERROR(INDEX(Transactions[[Transaction code]:[Transaction name]],_xlfn.XMATCH(INDEX(Transactions[[Transaction name]:[Parent code]],_xlfn.XMATCH(Transactions[[#This Row],[L4N]],Transactions[Transaction name],0),3),Transactions[Transaction code],0),2),Transactions[[#This Row],[L4N]])</f>
        <v>Final consumption (S)</v>
      </c>
      <c r="AP74" s="24" t="str" cm="1">
        <f t="array" ref="AP74">IFERROR(INDEX(Transactions[[Transaction code]:[Transaction name]],_xlfn.XMATCH(INDEX(Transactions[[Transaction name]:[Parent code]],_xlfn.XMATCH(Transactions[[#This Row],[L5N]],Transactions[Transaction name],0),3),Transactions[Transaction code],0),2),Transactions[[#This Row],[L5N]])</f>
        <v>Final consumption (S)</v>
      </c>
      <c r="AQ74" s="24" t="str" cm="1">
        <f t="array" ref="AQ74">IFERROR(INDEX(Transactions[[Transaction code]:[Transaction name]],_xlfn.XMATCH(INDEX(Transactions[[Transaction name]:[Parent code]],_xlfn.XMATCH(Transactions[[#This Row],[L6N]],Transactions[Transaction name],0),3),Transactions[Transaction code],0),2),Transactions[[#This Row],[L6N]])</f>
        <v>Final consumption (S)</v>
      </c>
      <c r="AR74" s="27" t="str">
        <f>IF(Transactions[[#This Row],[L7N]]=Transactions[[#This Row],[L6N]],Transactions[[#This Row],[L7N]],IF(Transactions[[#This Row],[L6N]]=Transactions[[#This Row],[L5N]],Transactions[[#This Row],[L6N]],IF(Transactions[[#This Row],[L5N]]=Transactions[[#This Row],[L4N]],Transactions[[#This Row],[L5N]],IF(Transactions[[#This Row],[L4N]]=Transactions[[#This Row],[L3N]],Transactions[[#This Row],[L4N]],IF(Transactions[[#This Row],[L3N]]=Transactions[[#This Row],[L2N]],Transactions[[#This Row],[L3N]],IF(Transactions[[#This Row],[L2N]]=Transactions[[#This Row],[L1N]],Transactions[[#This Row],[L2N]],IF(Transactions[[#This Row],[L1N]]=Transactions[[#This Row],[Transaction name]],Transactions[[#This Row],[L1N]],Transactions[[#This Row],[Transaction name]])))))))</f>
        <v>Final consumption (S)</v>
      </c>
      <c r="AS74" s="24" t="str">
        <f>IF(Transactions[[#This Row],[Level 0]]=Transactions[[#This Row],[Transaction name]],Transactions[[#This Row],[Transaction name]],IF(Transactions[[#This Row],[Level 0]]=Transactions[[#This Row],[L1N]],Transactions[[#This Row],[Transaction name]],IF(Transactions[[#This Row],[Level 0]]=Transactions[[#This Row],[L2N]],Transactions[[#This Row],[L1N]],IF(Transactions[[#This Row],[Level 0]]=Transactions[[#This Row],[L3N]],Transactions[[#This Row],[L2N]],IF(Transactions[[#This Row],[Level 0]]=Transactions[[#This Row],[L4N]],Transactions[[#This Row],[L3N]],IF(Transactions[[#This Row],[Level 0]]=Transactions[[#This Row],[L5N]],Transactions[[#This Row],[L4N]],IF(Transactions[[#This Row],[Level 0]]=Transactions[[#This Row],[L6N]],Transactions[[#This Row],[L5N]],IF(Transactions[[#This Row],[Level 0]]=Transactions[[#This Row],[L7N]],Transactions[[#This Row],[L6N]],Transactions[[#This Row],[L7N]]))))))))</f>
        <v>Final Energy Consumption (S)</v>
      </c>
      <c r="AT74" s="24" t="str">
        <f>IF(Transactions[[#This Row],[Level 1]]=Transactions[[#This Row],[Transaction name]],Transactions[[#This Row],[Transaction name]],IF(Transactions[[#This Row],[Level 1]]=Transactions[[#This Row],[L1N]],Transactions[[#This Row],[Transaction name]],IF(Transactions[[#This Row],[Level 1]]=Transactions[[#This Row],[L2N]],Transactions[[#This Row],[L1N]],IF(Transactions[[#This Row],[Level 1]]=Transactions[[#This Row],[L3N]],Transactions[[#This Row],[L2N]],IF(Transactions[[#This Row],[Level 1]]=Transactions[[#This Row],[L4N]],Transactions[[#This Row],[L3N]],IF(Transactions[[#This Row],[Level 1]]=Transactions[[#This Row],[L5N]],Transactions[[#This Row],[L4N]],IF(Transactions[[#This Row],[Level 1]]=Transactions[[#This Row],[L6N]],Transactions[[#This Row],[L5N]],IF(Transactions[[#This Row],[Level 1]]=Transactions[[#This Row],[L7N]],Transactions[[#This Row],[L6N]],Transactions[[#This Row],[L7N]]))))))))</f>
        <v>Manufacturing, construction and non-fuel mining industries (S)</v>
      </c>
      <c r="AU74" s="24" t="str">
        <f>IF(Transactions[[#This Row],[Level 2]]=Transactions[[#This Row],[Transaction name]],Transactions[[#This Row],[Transaction name]],IF(Transactions[[#This Row],[Level 2]]=Transactions[[#This Row],[L1N]],Transactions[[#This Row],[Transaction name]],IF(Transactions[[#This Row],[Level 2]]=Transactions[[#This Row],[L2N]],Transactions[[#This Row],[L1N]],IF(Transactions[[#This Row],[Level 2]]=Transactions[[#This Row],[L3N]],Transactions[[#This Row],[L2N]],IF(Transactions[[#This Row],[Level 2]]=Transactions[[#This Row],[L4N]],Transactions[[#This Row],[L3N]],IF(Transactions[[#This Row],[Level 2]]=Transactions[[#This Row],[L5N]],Transactions[[#This Row],[L4N]],IF(Transactions[[#This Row],[Level 2]]=Transactions[[#This Row],[L6N]],Transactions[[#This Row],[L5N]],IF(Transactions[[#This Row],[Level 2]]=Transactions[[#This Row],[L7N]],Transactions[[#This Row],[L6N]],Transactions[[#This Row],[L7N]]))))))))</f>
        <v>Mining and quarrying (S)</v>
      </c>
      <c r="AV74" s="24" t="str">
        <f>IF(Transactions[[#This Row],[Level 3]]=Transactions[[#This Row],[Transaction name]],Transactions[[#This Row],[Transaction name]],IF(Transactions[[#This Row],[Level 3]]=Transactions[[#This Row],[L1N]],Transactions[[#This Row],[Transaction name]],IF(Transactions[[#This Row],[Level 3]]=Transactions[[#This Row],[L2N]],Transactions[[#This Row],[L1N]],IF(Transactions[[#This Row],[Level 3]]=Transactions[[#This Row],[L3N]],Transactions[[#This Row],[L2N]],IF(Transactions[[#This Row],[Level 3]]=Transactions[[#This Row],[L4N]],Transactions[[#This Row],[L3N]],IF(Transactions[[#This Row],[Level 3]]=Transactions[[#This Row],[L5N]],Transactions[[#This Row],[L4N]],IF(Transactions[[#This Row],[Level 3]]=Transactions[[#This Row],[L6N]],Transactions[[#This Row],[L5N]],IF(Transactions[[#This Row],[Level 3]]=Transactions[[#This Row],[L7N]],Transactions[[#This Row],[L6N]],Transactions[[#This Row],[L7N]]))))))))</f>
        <v>Mining and quarrying (S)</v>
      </c>
      <c r="AW74" s="24" t="str">
        <f>IF(Transactions[[#This Row],[Level 4]]=Transactions[[#This Row],[Transaction name]],Transactions[[#This Row],[Transaction name]],IF(Transactions[[#This Row],[Level 4]]=Transactions[[#This Row],[L1N]],Transactions[[#This Row],[Transaction name]],IF(Transactions[[#This Row],[Level 4]]=Transactions[[#This Row],[L2N]],Transactions[[#This Row],[L1N]],IF(Transactions[[#This Row],[Level 4]]=Transactions[[#This Row],[L3N]],Transactions[[#This Row],[L2N]],IF(Transactions[[#This Row],[Level 4]]=Transactions[[#This Row],[L4N]],Transactions[[#This Row],[L3N]],IF(Transactions[[#This Row],[Level 4]]=Transactions[[#This Row],[L5N]],Transactions[[#This Row],[L4N]],IF(Transactions[[#This Row],[Level 4]]=Transactions[[#This Row],[L6N]],Transactions[[#This Row],[L5N]],IF(Transactions[[#This Row],[Level 4]]=Transactions[[#This Row],[L7N]],Transactions[[#This Row],[L6N]],Transactions[[#This Row],[L7N]]))))))))</f>
        <v>Mining and quarrying (S)</v>
      </c>
      <c r="AX74" s="24" t="str">
        <f>IF(Transactions[[#This Row],[Level 5]]=Transactions[[#This Row],[Transaction name]],Transactions[[#This Row],[Transaction name]],IF(Transactions[[#This Row],[Level 5]]=Transactions[[#This Row],[L1N]],Transactions[[#This Row],[Transaction name]],IF(Transactions[[#This Row],[Level 5]]=Transactions[[#This Row],[L2N]],Transactions[[#This Row],[L1N]],IF(Transactions[[#This Row],[Level 5]]=Transactions[[#This Row],[L3N]],Transactions[[#This Row],[L2N]],IF(Transactions[[#This Row],[Level 5]]=Transactions[[#This Row],[L4N]],Transactions[[#This Row],[L3N]],IF(Transactions[[#This Row],[Level 5]]=Transactions[[#This Row],[L5N]],Transactions[[#This Row],[L4N]],IF(Transactions[[#This Row],[Level 5]]=Transactions[[#This Row],[L6N]],Transactions[[#This Row],[L5N]],IF(Transactions[[#This Row],[Level 5]]=Transactions[[#This Row],[L7N]],Transactions[[#This Row],[L6N]],Transactions[[#This Row],[L7N]]))))))))</f>
        <v>Mining and quarrying (S)</v>
      </c>
      <c r="AY74" s="24" t="str">
        <f>IF(Transactions[[#This Row],[Level 6]]=Transactions[[#This Row],[Transaction name]],Transactions[[#This Row],[Transaction name]],IF(Transactions[[#This Row],[Level 6]]=Transactions[[#This Row],[L1N]],Transactions[[#This Row],[Transaction name]],IF(Transactions[[#This Row],[Level 6]]=Transactions[[#This Row],[L2N]],Transactions[[#This Row],[L1N]],IF(Transactions[[#This Row],[Level 6]]=Transactions[[#This Row],[L3N]],Transactions[[#This Row],[L2N]],IF(Transactions[[#This Row],[Level 6]]=Transactions[[#This Row],[L4N]],Transactions[[#This Row],[L3N]],IF(Transactions[[#This Row],[Level 6]]=Transactions[[#This Row],[L5N]],Transactions[[#This Row],[L4N]],IF(Transactions[[#This Row],[Level 6]]=Transactions[[#This Row],[L6N]],Transactions[[#This Row],[L5N]],IF(Transactions[[#This Row],[Level 6]]=Transactions[[#This Row],[L7N]],Transactions[[#This Row],[L6N]],Transactions[[#This Row],[L7N]]))))))))</f>
        <v>Mining and quarrying (S)</v>
      </c>
      <c r="BE74" s="26" t="str">
        <f>_xlfn.XLOOKUP(Transformation[[#This Row],[cfrom]],Commodities[Commodity],Commodities[Commodity code])</f>
        <v>3000</v>
      </c>
      <c r="BF74" s="26" t="str">
        <f>_xlfn.XLOOKUP(Transformation[[#This Row],[tfrom]],Transactions[Transaction name],Transactions[Transaction code])</f>
        <v>08821</v>
      </c>
      <c r="BG74" s="26" t="str">
        <f>_xlfn.XLOOKUP(Transformation[[#This Row],[cto]],Commodities[Commodity],Commodities[Commodity code])</f>
        <v>3000</v>
      </c>
      <c r="BH74" s="26" t="str">
        <f>_xlfn.XLOOKUP(Transformation[[#This Row],[tto]],Transactions[Transaction name],Transactions[Transaction code])</f>
        <v>015NGC</v>
      </c>
      <c r="BI74" s="11">
        <v>1</v>
      </c>
      <c r="BJ74" s="4" t="s">
        <v>446</v>
      </c>
      <c r="BK74" s="24" t="str">
        <f>_xlfn.XLOOKUP(Transformation[[#This Row],[Commodity from]],Commodities[Commodity code],Commodities[EnergyCode])</f>
        <v>NG</v>
      </c>
      <c r="BL74" s="4" t="s">
        <v>691</v>
      </c>
      <c r="BM74" s="4" t="s">
        <v>446</v>
      </c>
      <c r="BN74" s="24" t="str">
        <f>_xlfn.XLOOKUP(Transformation[[#This Row],[Commodity to]],Commodities[Commodity code],Commodities[EnergyCode])</f>
        <v>NG</v>
      </c>
      <c r="BO74" s="4" t="s">
        <v>1233</v>
      </c>
      <c r="BP74" s="16" t="s">
        <v>1493</v>
      </c>
      <c r="BQ74" s="33" t="str">
        <f>Transformation[[#This Row],[Commodity from]]&amp;Transformation[[#This Row],[Transaction from]]&amp;Transformation[[#This Row],[Commodity to]]&amp;Transformation[[#This Row],[Transaction to]]</f>
        <v>3000088213000015NGC</v>
      </c>
      <c r="BR74" s="26" t="str">
        <f>Transformation[[#This Row],[crfomid]]&amp;Transformation[[#This Row],[Transaction from]]&amp;"("&amp;Transformation[[#This Row],[Multiplier]]&amp;") -&gt; "&amp;Transformation[[#This Row],[ctoid]]&amp;Transformation[[#This Row],[Transaction to]]</f>
        <v>NG08821(1) -&gt; NG015NGC</v>
      </c>
      <c r="BT74" s="26" t="str">
        <f>_xlfn.XLOOKUP(Signswitch[[#This Row],[Commodity name]],Commodities[Commodity],Commodities[Commodity code])</f>
        <v>5232</v>
      </c>
      <c r="BU74" s="26" t="str">
        <f>_xlfn.XLOOKUP(Signswitch[[#This Row],[Transaction name]],Transactions[Transaction name],Transactions[Transaction code])</f>
        <v>1224</v>
      </c>
      <c r="BV74" s="26" t="str">
        <f>Signswitch[[#This Row],[Commodity from]]&amp;Signswitch[[#This Row],[Transaction from]]</f>
        <v>52321224</v>
      </c>
      <c r="BW74" s="22" t="s">
        <v>306</v>
      </c>
      <c r="BX74" s="26" t="str">
        <f>_xlfn.XLOOKUP(Signswitch[[#This Row],[Commodity from]],Commodities[Commodity code],Commodities[EnergyCode])</f>
        <v>ZJ</v>
      </c>
      <c r="BY74" s="22" t="s">
        <v>418</v>
      </c>
    </row>
    <row r="75" spans="8:77" x14ac:dyDescent="0.45">
      <c r="H75" s="5" t="s">
        <v>259</v>
      </c>
      <c r="I75" s="4" t="s">
        <v>262</v>
      </c>
      <c r="J75" s="9"/>
      <c r="K75" s="9" t="s">
        <v>1420</v>
      </c>
      <c r="L75" s="23" t="str">
        <f>IFERROR(INDEX(Commodities[[Commodity code]:[Commodity]],MATCH(Commodities[[#This Row],[Parent code]],Commodities[Commodity code],0),2),Commodities[[#This Row],[Commodity]])</f>
        <v>Heat</v>
      </c>
      <c r="M75" s="24" t="str">
        <f>IFERROR(INDEX(Commodities[[Commodity code]:[Commodity]],MATCH(INDEX(Commodities[[Commodity]:[Parent code]],MATCH(Commodities[[#This Row],[L1N]],Commodities[Commodity],0),2),Commodities[Commodity code],0),2),Commodities[[#This Row],[L1N]])</f>
        <v>Heat</v>
      </c>
      <c r="N75" s="24" t="str">
        <f>IFERROR(INDEX(Commodities[[Commodity code]:[Commodity]],MATCH(INDEX(Commodities[[Commodity]:[Parent code]],MATCH(Commodities[[#This Row],[L2N]],Commodities[Commodity],0),2),Commodities[Commodity code],0),2),Commodities[[#This Row],[L2N]])</f>
        <v>Heat</v>
      </c>
      <c r="O75" s="24" t="str">
        <f>IFERROR(INDEX(Commodities[[Commodity code]:[Commodity]],MATCH(INDEX(Commodities[[Commodity]:[Parent code]],MATCH(Commodities[[#This Row],[L3N]],Commodities[Commodity],0),2),Commodities[Commodity code],0),2),Commodities[[#This Row],[L3N]])</f>
        <v>Heat</v>
      </c>
      <c r="P75" s="24" t="str">
        <f>IF(Commodities[[#This Row],[L4N]]=Commodities[[#This Row],[L3N]],Commodities[[#This Row],[L4N]],IF(Commodities[[#This Row],[L3N]]=Commodities[[#This Row],[L2N]],Commodities[[#This Row],[L3N]],IF(Commodities[[#This Row],[L2N]]=Commodities[[#This Row],[L1N]],Commodities[[#This Row],[L2N]],IF(Commodities[[#This Row],[L1N]]=Commodities[[#This Row],[Commodity]],Commodities[[#This Row],[L1N]],Commodities[[#This Row],[Commodity]]))))</f>
        <v>Heat</v>
      </c>
      <c r="Q75" s="24" t="str">
        <f>IF(Commodities[[#This Row],[Level 0]]=Commodities[[#This Row],[Commodity]],Commodities[[#This Row],[Commodity]],IF(Commodities[[#This Row],[Level 0]]=Commodities[[#This Row],[L1N]],Commodities[[#This Row],[Commodity]],IF(Commodities[[#This Row],[Level 0]]=Commodities[[#This Row],[L2N]],Commodities[[#This Row],[L1N]],IF(Commodities[[#This Row],[Level 0]]=Commodities[[#This Row],[L3N]],Commodities[[#This Row],[L2N]],IF(Commodities[[#This Row],[Level 0]]=Commodities[[#This Row],[L4N]],Commodities[[#This Row],[L3N]],Commodities[[#This Row],[L4N]])))))</f>
        <v>Heat</v>
      </c>
      <c r="R75" s="24" t="str">
        <f>IF(Commodities[[#This Row],[Level 1]]=Commodities[[#This Row],[Commodity]],Commodities[[#This Row],[Commodity]],IF(Commodities[[#This Row],[Level 1]]=Commodities[[#This Row],[L1N]],Commodities[[#This Row],[Commodity]],IF(Commodities[[#This Row],[Level 1]]=Commodities[[#This Row],[L2N]],Commodities[[#This Row],[L1N]],IF(Commodities[[#This Row],[Level 1]]=Commodities[[#This Row],[L3N]],Commodities[[#This Row],[L2N]],IF(Commodities[[#This Row],[Level 1]]=Commodities[[#This Row],[L4N]],Commodities[[#This Row],[L3N]],Commodities[[#This Row],[L4N]])))))</f>
        <v>Heat</v>
      </c>
      <c r="S75" s="24" t="str">
        <f>IF(Commodities[[#This Row],[Level 2]]=Commodities[[#This Row],[Commodity]],Commodities[[#This Row],[Commodity]],IF(Commodities[[#This Row],[Level 2]]=Commodities[[#This Row],[L1N]],Commodities[[#This Row],[Commodity]],IF(Commodities[[#This Row],[Level 2]]=Commodities[[#This Row],[L2N]],Commodities[[#This Row],[L1N]],IF(Commodities[[#This Row],[Level 2]]=Commodities[[#This Row],[L3N]],Commodities[[#This Row],[L2N]],IF(Commodities[[#This Row],[Level 2]]=Commodities[[#This Row],[L4N]],Commodities[[#This Row],[L3N]],Commodities[[#This Row],[L4N]])))))</f>
        <v>Heat</v>
      </c>
      <c r="T75" s="24" t="str">
        <f>IF(Commodities[[#This Row],[Level 3]]=Commodities[[#This Row],[Commodity]],Commodities[[#This Row],[Commodity]],IF(Commodities[[#This Row],[Level 3]]=Commodities[[#This Row],[L1N]],Commodities[[#This Row],[Commodity]],IF(Commodities[[#This Row],[Level 3]]=Commodities[[#This Row],[L2N]],Commodities[[#This Row],[L1N]],IF(Commodities[[#This Row],[Level 3]]=Commodities[[#This Row],[L3N]],Commodities[[#This Row],[L2N]],IF(Commodities[[#This Row],[Level 3]]=Commodities[[#This Row],[L4N]],Commodities[[#This Row],[L3N]],Commodities[[#This Row],[L4N]])))))</f>
        <v>Heat</v>
      </c>
      <c r="U75" s="24" t="str">
        <f>IF(Commodities[[#This Row],[Level 4]]=Commodities[[#This Row],[Commodity]],Commodities[[#This Row],[Commodity]],IF(Commodities[[#This Row],[Level 4]]=Commodities[[#This Row],[L1N]],Commodities[[#This Row],[Commodity]],IF(Commodities[[#This Row],[Level 4]]=Commodities[[#This Row],[L2N]],Commodities[[#This Row],[L1N]],IF(Commodities[[#This Row],[Level 4]]=Commodities[[#This Row],[L3N]],Commodities[[#This Row],[L2N]],IF(Commodities[[#This Row],[Level 4]]=Commodities[[#This Row],[L4N]],Commodities[[#This Row],[L3N]],Commodities[[#This Row],[L4N]])))))</f>
        <v>Heat</v>
      </c>
      <c r="Y75" s="4" t="s">
        <v>479</v>
      </c>
      <c r="Z75" s="4" t="s">
        <v>866</v>
      </c>
      <c r="AA75" s="4" t="s">
        <v>866</v>
      </c>
      <c r="AB75" s="4" t="s">
        <v>437</v>
      </c>
      <c r="AC75" s="24" t="str">
        <f>IFERROR(VLOOKUP(Transactions[[#This Row],[Parent code]],Transactions[[Transaction code]:[Transaction name]],2,0),"")</f>
        <v>Manufacturing, construction and non-fuel mining industries (S)</v>
      </c>
      <c r="AD75" s="4" t="s">
        <v>630</v>
      </c>
      <c r="AF75" s="4" t="s">
        <v>642</v>
      </c>
      <c r="AG75" s="4" t="s">
        <v>385</v>
      </c>
      <c r="AK75" s="24" t="str" cm="1">
        <f t="array" ref="AK75">IFERROR(INDEX(Transactions[[Transaction code]:[Transaction name]],_xlfn.XMATCH(Transactions[[#This Row],[Parent code]],Transactions[Transaction name],0),3),Transactions[[#This Row],[Transaction name]])</f>
        <v>Non-ferrous metals (S)</v>
      </c>
      <c r="AL75" s="24" t="str" cm="1">
        <f t="array" ref="AL75">IFERROR(INDEX(Transactions[[Transaction code]:[Transaction name]],_xlfn.XMATCH(INDEX(Transactions[[Transaction name]:[Parent code]],_xlfn.XMATCH(Transactions[[#This Row],[L1N]],Transactions[Transaction name],0),3),Transactions[Transaction code],0),2),Transactions[[#This Row],[L1N]])</f>
        <v>Manufacturing, construction and non-fuel mining industries (S)</v>
      </c>
      <c r="AM75" s="24" t="str" cm="1">
        <f t="array" ref="AM75">IFERROR(INDEX(Transactions[[Transaction code]:[Transaction name]],_xlfn.XMATCH(INDEX(Transactions[[Transaction name]:[Parent code]],_xlfn.XMATCH(Transactions[[#This Row],[L2N]],Transactions[Transaction name],0),3),Transactions[Transaction code],0),2),Transactions[[#This Row],[L2N]])</f>
        <v>Final Energy Consumption (S)</v>
      </c>
      <c r="AN75" s="24" t="str" cm="1">
        <f t="array" ref="AN75">IFERROR(INDEX(Transactions[[Transaction code]:[Transaction name]],_xlfn.XMATCH(INDEX(Transactions[[Transaction name]:[Parent code]],_xlfn.XMATCH(Transactions[[#This Row],[L3N]],Transactions[Transaction name],0),3),Transactions[Transaction code],0),2),Transactions[[#This Row],[L3N]])</f>
        <v>Final consumption (S)</v>
      </c>
      <c r="AO75" s="24" t="str" cm="1">
        <f t="array" ref="AO75">IFERROR(INDEX(Transactions[[Transaction code]:[Transaction name]],_xlfn.XMATCH(INDEX(Transactions[[Transaction name]:[Parent code]],_xlfn.XMATCH(Transactions[[#This Row],[L4N]],Transactions[Transaction name],0),3),Transactions[Transaction code],0),2),Transactions[[#This Row],[L4N]])</f>
        <v>Final consumption (S)</v>
      </c>
      <c r="AP75" s="24" t="str" cm="1">
        <f t="array" ref="AP75">IFERROR(INDEX(Transactions[[Transaction code]:[Transaction name]],_xlfn.XMATCH(INDEX(Transactions[[Transaction name]:[Parent code]],_xlfn.XMATCH(Transactions[[#This Row],[L5N]],Transactions[Transaction name],0),3),Transactions[Transaction code],0),2),Transactions[[#This Row],[L5N]])</f>
        <v>Final consumption (S)</v>
      </c>
      <c r="AQ75" s="24" t="str" cm="1">
        <f t="array" ref="AQ75">IFERROR(INDEX(Transactions[[Transaction code]:[Transaction name]],_xlfn.XMATCH(INDEX(Transactions[[Transaction name]:[Parent code]],_xlfn.XMATCH(Transactions[[#This Row],[L6N]],Transactions[Transaction name],0),3),Transactions[Transaction code],0),2),Transactions[[#This Row],[L6N]])</f>
        <v>Final consumption (S)</v>
      </c>
      <c r="AR75" s="27" t="str">
        <f>IF(Transactions[[#This Row],[L7N]]=Transactions[[#This Row],[L6N]],Transactions[[#This Row],[L7N]],IF(Transactions[[#This Row],[L6N]]=Transactions[[#This Row],[L5N]],Transactions[[#This Row],[L6N]],IF(Transactions[[#This Row],[L5N]]=Transactions[[#This Row],[L4N]],Transactions[[#This Row],[L5N]],IF(Transactions[[#This Row],[L4N]]=Transactions[[#This Row],[L3N]],Transactions[[#This Row],[L4N]],IF(Transactions[[#This Row],[L3N]]=Transactions[[#This Row],[L2N]],Transactions[[#This Row],[L3N]],IF(Transactions[[#This Row],[L2N]]=Transactions[[#This Row],[L1N]],Transactions[[#This Row],[L2N]],IF(Transactions[[#This Row],[L1N]]=Transactions[[#This Row],[Transaction name]],Transactions[[#This Row],[L1N]],Transactions[[#This Row],[Transaction name]])))))))</f>
        <v>Final consumption (S)</v>
      </c>
      <c r="AS75" s="24" t="str">
        <f>IF(Transactions[[#This Row],[Level 0]]=Transactions[[#This Row],[Transaction name]],Transactions[[#This Row],[Transaction name]],IF(Transactions[[#This Row],[Level 0]]=Transactions[[#This Row],[L1N]],Transactions[[#This Row],[Transaction name]],IF(Transactions[[#This Row],[Level 0]]=Transactions[[#This Row],[L2N]],Transactions[[#This Row],[L1N]],IF(Transactions[[#This Row],[Level 0]]=Transactions[[#This Row],[L3N]],Transactions[[#This Row],[L2N]],IF(Transactions[[#This Row],[Level 0]]=Transactions[[#This Row],[L4N]],Transactions[[#This Row],[L3N]],IF(Transactions[[#This Row],[Level 0]]=Transactions[[#This Row],[L5N]],Transactions[[#This Row],[L4N]],IF(Transactions[[#This Row],[Level 0]]=Transactions[[#This Row],[L6N]],Transactions[[#This Row],[L5N]],IF(Transactions[[#This Row],[Level 0]]=Transactions[[#This Row],[L7N]],Transactions[[#This Row],[L6N]],Transactions[[#This Row],[L7N]]))))))))</f>
        <v>Final Energy Consumption (S)</v>
      </c>
      <c r="AT75" s="24" t="str">
        <f>IF(Transactions[[#This Row],[Level 1]]=Transactions[[#This Row],[Transaction name]],Transactions[[#This Row],[Transaction name]],IF(Transactions[[#This Row],[Level 1]]=Transactions[[#This Row],[L1N]],Transactions[[#This Row],[Transaction name]],IF(Transactions[[#This Row],[Level 1]]=Transactions[[#This Row],[L2N]],Transactions[[#This Row],[L1N]],IF(Transactions[[#This Row],[Level 1]]=Transactions[[#This Row],[L3N]],Transactions[[#This Row],[L2N]],IF(Transactions[[#This Row],[Level 1]]=Transactions[[#This Row],[L4N]],Transactions[[#This Row],[L3N]],IF(Transactions[[#This Row],[Level 1]]=Transactions[[#This Row],[L5N]],Transactions[[#This Row],[L4N]],IF(Transactions[[#This Row],[Level 1]]=Transactions[[#This Row],[L6N]],Transactions[[#This Row],[L5N]],IF(Transactions[[#This Row],[Level 1]]=Transactions[[#This Row],[L7N]],Transactions[[#This Row],[L6N]],Transactions[[#This Row],[L7N]]))))))))</f>
        <v>Manufacturing, construction and non-fuel mining industries (S)</v>
      </c>
      <c r="AU75" s="24" t="str">
        <f>IF(Transactions[[#This Row],[Level 2]]=Transactions[[#This Row],[Transaction name]],Transactions[[#This Row],[Transaction name]],IF(Transactions[[#This Row],[Level 2]]=Transactions[[#This Row],[L1N]],Transactions[[#This Row],[Transaction name]],IF(Transactions[[#This Row],[Level 2]]=Transactions[[#This Row],[L2N]],Transactions[[#This Row],[L1N]],IF(Transactions[[#This Row],[Level 2]]=Transactions[[#This Row],[L3N]],Transactions[[#This Row],[L2N]],IF(Transactions[[#This Row],[Level 2]]=Transactions[[#This Row],[L4N]],Transactions[[#This Row],[L3N]],IF(Transactions[[#This Row],[Level 2]]=Transactions[[#This Row],[L5N]],Transactions[[#This Row],[L4N]],IF(Transactions[[#This Row],[Level 2]]=Transactions[[#This Row],[L6N]],Transactions[[#This Row],[L5N]],IF(Transactions[[#This Row],[Level 2]]=Transactions[[#This Row],[L7N]],Transactions[[#This Row],[L6N]],Transactions[[#This Row],[L7N]]))))))))</f>
        <v>Non-ferrous metals (S)</v>
      </c>
      <c r="AV75" s="24" t="str">
        <f>IF(Transactions[[#This Row],[Level 3]]=Transactions[[#This Row],[Transaction name]],Transactions[[#This Row],[Transaction name]],IF(Transactions[[#This Row],[Level 3]]=Transactions[[#This Row],[L1N]],Transactions[[#This Row],[Transaction name]],IF(Transactions[[#This Row],[Level 3]]=Transactions[[#This Row],[L2N]],Transactions[[#This Row],[L1N]],IF(Transactions[[#This Row],[Level 3]]=Transactions[[#This Row],[L3N]],Transactions[[#This Row],[L2N]],IF(Transactions[[#This Row],[Level 3]]=Transactions[[#This Row],[L4N]],Transactions[[#This Row],[L3N]],IF(Transactions[[#This Row],[Level 3]]=Transactions[[#This Row],[L5N]],Transactions[[#This Row],[L4N]],IF(Transactions[[#This Row],[Level 3]]=Transactions[[#This Row],[L6N]],Transactions[[#This Row],[L5N]],IF(Transactions[[#This Row],[Level 3]]=Transactions[[#This Row],[L7N]],Transactions[[#This Row],[L6N]],Transactions[[#This Row],[L7N]]))))))))</f>
        <v>Non-ferrous metals (S)</v>
      </c>
      <c r="AW75" s="24" t="str">
        <f>IF(Transactions[[#This Row],[Level 4]]=Transactions[[#This Row],[Transaction name]],Transactions[[#This Row],[Transaction name]],IF(Transactions[[#This Row],[Level 4]]=Transactions[[#This Row],[L1N]],Transactions[[#This Row],[Transaction name]],IF(Transactions[[#This Row],[Level 4]]=Transactions[[#This Row],[L2N]],Transactions[[#This Row],[L1N]],IF(Transactions[[#This Row],[Level 4]]=Transactions[[#This Row],[L3N]],Transactions[[#This Row],[L2N]],IF(Transactions[[#This Row],[Level 4]]=Transactions[[#This Row],[L4N]],Transactions[[#This Row],[L3N]],IF(Transactions[[#This Row],[Level 4]]=Transactions[[#This Row],[L5N]],Transactions[[#This Row],[L4N]],IF(Transactions[[#This Row],[Level 4]]=Transactions[[#This Row],[L6N]],Transactions[[#This Row],[L5N]],IF(Transactions[[#This Row],[Level 4]]=Transactions[[#This Row],[L7N]],Transactions[[#This Row],[L6N]],Transactions[[#This Row],[L7N]]))))))))</f>
        <v>Non-ferrous metals (S)</v>
      </c>
      <c r="AX75" s="24" t="str">
        <f>IF(Transactions[[#This Row],[Level 5]]=Transactions[[#This Row],[Transaction name]],Transactions[[#This Row],[Transaction name]],IF(Transactions[[#This Row],[Level 5]]=Transactions[[#This Row],[L1N]],Transactions[[#This Row],[Transaction name]],IF(Transactions[[#This Row],[Level 5]]=Transactions[[#This Row],[L2N]],Transactions[[#This Row],[L1N]],IF(Transactions[[#This Row],[Level 5]]=Transactions[[#This Row],[L3N]],Transactions[[#This Row],[L2N]],IF(Transactions[[#This Row],[Level 5]]=Transactions[[#This Row],[L4N]],Transactions[[#This Row],[L3N]],IF(Transactions[[#This Row],[Level 5]]=Transactions[[#This Row],[L5N]],Transactions[[#This Row],[L4N]],IF(Transactions[[#This Row],[Level 5]]=Transactions[[#This Row],[L6N]],Transactions[[#This Row],[L5N]],IF(Transactions[[#This Row],[Level 5]]=Transactions[[#This Row],[L7N]],Transactions[[#This Row],[L6N]],Transactions[[#This Row],[L7N]]))))))))</f>
        <v>Non-ferrous metals (S)</v>
      </c>
      <c r="AY75" s="24" t="str">
        <f>IF(Transactions[[#This Row],[Level 6]]=Transactions[[#This Row],[Transaction name]],Transactions[[#This Row],[Transaction name]],IF(Transactions[[#This Row],[Level 6]]=Transactions[[#This Row],[L1N]],Transactions[[#This Row],[Transaction name]],IF(Transactions[[#This Row],[Level 6]]=Transactions[[#This Row],[L2N]],Transactions[[#This Row],[L1N]],IF(Transactions[[#This Row],[Level 6]]=Transactions[[#This Row],[L3N]],Transactions[[#This Row],[L2N]],IF(Transactions[[#This Row],[Level 6]]=Transactions[[#This Row],[L4N]],Transactions[[#This Row],[L3N]],IF(Transactions[[#This Row],[Level 6]]=Transactions[[#This Row],[L5N]],Transactions[[#This Row],[L4N]],IF(Transactions[[#This Row],[Level 6]]=Transactions[[#This Row],[L6N]],Transactions[[#This Row],[L5N]],IF(Transactions[[#This Row],[Level 6]]=Transactions[[#This Row],[L7N]],Transactions[[#This Row],[L6N]],Transactions[[#This Row],[L7N]]))))))))</f>
        <v>Non-ferrous metals (S)</v>
      </c>
      <c r="BE75" s="26" t="str">
        <f>_xlfn.XLOOKUP(Transformation[[#This Row],[cfrom]],Commodities[Commodity],Commodities[Commodity code])</f>
        <v>4640</v>
      </c>
      <c r="BF75" s="26" t="str">
        <f>_xlfn.XLOOKUP(Transformation[[#This Row],[tfrom]],Transactions[Transaction name],Transactions[Transaction code])</f>
        <v>08821</v>
      </c>
      <c r="BG75" s="26" t="str">
        <f>_xlfn.XLOOKUP(Transformation[[#This Row],[cto]],Commodities[Commodity],Commodities[Commodity code])</f>
        <v>4640</v>
      </c>
      <c r="BH75" s="26" t="str">
        <f>_xlfn.XLOOKUP(Transformation[[#This Row],[tto]],Transactions[Transaction name],Transactions[Transaction code])</f>
        <v>015OPC</v>
      </c>
      <c r="BI75" s="11">
        <v>1</v>
      </c>
      <c r="BJ75" s="4" t="s">
        <v>405</v>
      </c>
      <c r="BK75" s="24" t="str">
        <f>_xlfn.XLOOKUP(Transformation[[#This Row],[Commodity from]],Commodities[Commodity code],Commodities[EnergyCode])</f>
        <v>NP</v>
      </c>
      <c r="BL75" s="4" t="s">
        <v>691</v>
      </c>
      <c r="BM75" s="4" t="s">
        <v>405</v>
      </c>
      <c r="BN75" s="24" t="str">
        <f>_xlfn.XLOOKUP(Transformation[[#This Row],[Commodity to]],Commodities[Commodity code],Commodities[EnergyCode])</f>
        <v>NP</v>
      </c>
      <c r="BO75" s="4" t="s">
        <v>1050</v>
      </c>
      <c r="BP75" s="16" t="s">
        <v>1493</v>
      </c>
      <c r="BQ75" s="33" t="str">
        <f>Transformation[[#This Row],[Commodity from]]&amp;Transformation[[#This Row],[Transaction from]]&amp;Transformation[[#This Row],[Commodity to]]&amp;Transformation[[#This Row],[Transaction to]]</f>
        <v>4640088214640015OPC</v>
      </c>
      <c r="BR75" s="26" t="str">
        <f>Transformation[[#This Row],[crfomid]]&amp;Transformation[[#This Row],[Transaction from]]&amp;"("&amp;Transformation[[#This Row],[Multiplier]]&amp;") -&gt; "&amp;Transformation[[#This Row],[ctoid]]&amp;Transformation[[#This Row],[Transaction to]]</f>
        <v>NP08821(1) -&gt; NP015OPC</v>
      </c>
      <c r="BT75" s="26" t="str">
        <f>_xlfn.XLOOKUP(Signswitch[[#This Row],[Commodity name]],Commodities[Commodity],Commodities[Commodity code])</f>
        <v>5222</v>
      </c>
      <c r="BU75" s="26" t="str">
        <f>_xlfn.XLOOKUP(Signswitch[[#This Row],[Transaction name]],Transactions[Transaction name],Transactions[Transaction code])</f>
        <v>1224</v>
      </c>
      <c r="BV75" s="26" t="str">
        <f>Signswitch[[#This Row],[Commodity from]]&amp;Signswitch[[#This Row],[Transaction from]]</f>
        <v>52221224</v>
      </c>
      <c r="BW75" s="22" t="s">
        <v>962</v>
      </c>
      <c r="BX75" s="26" t="str">
        <f>_xlfn.XLOOKUP(Signswitch[[#This Row],[Commodity from]],Commodities[Commodity code],Commodities[EnergyCode])</f>
        <v>ZD</v>
      </c>
      <c r="BY75" s="22" t="s">
        <v>418</v>
      </c>
    </row>
    <row r="76" spans="8:77" x14ac:dyDescent="0.45">
      <c r="H76" s="4" t="s">
        <v>541</v>
      </c>
      <c r="I76" s="18" t="s">
        <v>1547</v>
      </c>
      <c r="K76" s="4" t="s">
        <v>1420</v>
      </c>
      <c r="L76" s="24" t="str">
        <f>IFERROR(INDEX(Commodities[[Commodity code]:[Commodity]],MATCH(Commodities[[#This Row],[Parent code]],Commodities[Commodity code],0),2),Commodities[[#This Row],[Commodity]])</f>
        <v>Heat (S)</v>
      </c>
      <c r="M76" s="24" t="str">
        <f>IFERROR(INDEX(Commodities[[Commodity code]:[Commodity]],MATCH(INDEX(Commodities[[Commodity]:[Parent code]],MATCH(Commodities[[#This Row],[L1N]],Commodities[Commodity],0),2),Commodities[Commodity code],0),2),Commodities[[#This Row],[L1N]])</f>
        <v>Heat (S)</v>
      </c>
      <c r="N76" s="24" t="str">
        <f>IFERROR(INDEX(Commodities[[Commodity code]:[Commodity]],MATCH(INDEX(Commodities[[Commodity]:[Parent code]],MATCH(Commodities[[#This Row],[L2N]],Commodities[Commodity],0),2),Commodities[Commodity code],0),2),Commodities[[#This Row],[L2N]])</f>
        <v>Heat (S)</v>
      </c>
      <c r="O76" s="24" t="str">
        <f>IFERROR(INDEX(Commodities[[Commodity code]:[Commodity]],MATCH(INDEX(Commodities[[Commodity]:[Parent code]],MATCH(Commodities[[#This Row],[L3N]],Commodities[Commodity],0),2),Commodities[Commodity code],0),2),Commodities[[#This Row],[L3N]])</f>
        <v>Heat (S)</v>
      </c>
      <c r="P76" s="24" t="str">
        <f>IF(Commodities[[#This Row],[L4N]]=Commodities[[#This Row],[L3N]],Commodities[[#This Row],[L4N]],IF(Commodities[[#This Row],[L3N]]=Commodities[[#This Row],[L2N]],Commodities[[#This Row],[L3N]],IF(Commodities[[#This Row],[L2N]]=Commodities[[#This Row],[L1N]],Commodities[[#This Row],[L2N]],IF(Commodities[[#This Row],[L1N]]=Commodities[[#This Row],[Commodity]],Commodities[[#This Row],[L1N]],Commodities[[#This Row],[Commodity]]))))</f>
        <v>Heat (S)</v>
      </c>
      <c r="Q76" s="24" t="str">
        <f>IF(Commodities[[#This Row],[Level 0]]=Commodities[[#This Row],[Commodity]],Commodities[[#This Row],[Commodity]],IF(Commodities[[#This Row],[Level 0]]=Commodities[[#This Row],[L1N]],Commodities[[#This Row],[Commodity]],IF(Commodities[[#This Row],[Level 0]]=Commodities[[#This Row],[L2N]],Commodities[[#This Row],[L1N]],IF(Commodities[[#This Row],[Level 0]]=Commodities[[#This Row],[L3N]],Commodities[[#This Row],[L2N]],IF(Commodities[[#This Row],[Level 0]]=Commodities[[#This Row],[L4N]],Commodities[[#This Row],[L3N]],Commodities[[#This Row],[L4N]])))))</f>
        <v>Heat (S)</v>
      </c>
      <c r="R76" s="24" t="str">
        <f>IF(Commodities[[#This Row],[Level 1]]=Commodities[[#This Row],[Commodity]],Commodities[[#This Row],[Commodity]],IF(Commodities[[#This Row],[Level 1]]=Commodities[[#This Row],[L1N]],Commodities[[#This Row],[Commodity]],IF(Commodities[[#This Row],[Level 1]]=Commodities[[#This Row],[L2N]],Commodities[[#This Row],[L1N]],IF(Commodities[[#This Row],[Level 1]]=Commodities[[#This Row],[L3N]],Commodities[[#This Row],[L2N]],IF(Commodities[[#This Row],[Level 1]]=Commodities[[#This Row],[L4N]],Commodities[[#This Row],[L3N]],Commodities[[#This Row],[L4N]])))))</f>
        <v>Heat (S)</v>
      </c>
      <c r="S76" s="24" t="str">
        <f>IF(Commodities[[#This Row],[Level 2]]=Commodities[[#This Row],[Commodity]],Commodities[[#This Row],[Commodity]],IF(Commodities[[#This Row],[Level 2]]=Commodities[[#This Row],[L1N]],Commodities[[#This Row],[Commodity]],IF(Commodities[[#This Row],[Level 2]]=Commodities[[#This Row],[L2N]],Commodities[[#This Row],[L1N]],IF(Commodities[[#This Row],[Level 2]]=Commodities[[#This Row],[L3N]],Commodities[[#This Row],[L2N]],IF(Commodities[[#This Row],[Level 2]]=Commodities[[#This Row],[L4N]],Commodities[[#This Row],[L3N]],Commodities[[#This Row],[L4N]])))))</f>
        <v>Heat (S)</v>
      </c>
      <c r="T76" s="24" t="str">
        <f>IF(Commodities[[#This Row],[Level 3]]=Commodities[[#This Row],[Commodity]],Commodities[[#This Row],[Commodity]],IF(Commodities[[#This Row],[Level 3]]=Commodities[[#This Row],[L1N]],Commodities[[#This Row],[Commodity]],IF(Commodities[[#This Row],[Level 3]]=Commodities[[#This Row],[L2N]],Commodities[[#This Row],[L1N]],IF(Commodities[[#This Row],[Level 3]]=Commodities[[#This Row],[L3N]],Commodities[[#This Row],[L2N]],IF(Commodities[[#This Row],[Level 3]]=Commodities[[#This Row],[L4N]],Commodities[[#This Row],[L3N]],Commodities[[#This Row],[L4N]])))))</f>
        <v>Heat (S)</v>
      </c>
      <c r="U76" s="24" t="str">
        <f>IF(Commodities[[#This Row],[Level 4]]=Commodities[[#This Row],[Commodity]],Commodities[[#This Row],[Commodity]],IF(Commodities[[#This Row],[Level 4]]=Commodities[[#This Row],[L1N]],Commodities[[#This Row],[Commodity]],IF(Commodities[[#This Row],[Level 4]]=Commodities[[#This Row],[L2N]],Commodities[[#This Row],[L1N]],IF(Commodities[[#This Row],[Level 4]]=Commodities[[#This Row],[L3N]],Commodities[[#This Row],[L2N]],IF(Commodities[[#This Row],[Level 4]]=Commodities[[#This Row],[L4N]],Commodities[[#This Row],[L3N]],Commodities[[#This Row],[L4N]])))))</f>
        <v>Heat (S)</v>
      </c>
      <c r="Y76" s="4" t="s">
        <v>475</v>
      </c>
      <c r="Z76" s="4" t="s">
        <v>867</v>
      </c>
      <c r="AA76" s="4" t="s">
        <v>867</v>
      </c>
      <c r="AB76" s="4" t="s">
        <v>437</v>
      </c>
      <c r="AC76" s="24" t="str">
        <f>IFERROR(VLOOKUP(Transactions[[#This Row],[Parent code]],Transactions[[Transaction code]:[Transaction name]],2,0),"")</f>
        <v>Manufacturing, construction and non-fuel mining industries (S)</v>
      </c>
      <c r="AD76" s="4" t="s">
        <v>630</v>
      </c>
      <c r="AF76" s="4" t="s">
        <v>642</v>
      </c>
      <c r="AG76" s="4" t="s">
        <v>385</v>
      </c>
      <c r="AK76" s="24" t="str" cm="1">
        <f t="array" ref="AK76">IFERROR(INDEX(Transactions[[Transaction code]:[Transaction name]],_xlfn.XMATCH(Transactions[[#This Row],[Parent code]],Transactions[Transaction name],0),3),Transactions[[#This Row],[Transaction name]])</f>
        <v>Non-metallic minerals (S)</v>
      </c>
      <c r="AL76" s="24" t="str" cm="1">
        <f t="array" ref="AL76">IFERROR(INDEX(Transactions[[Transaction code]:[Transaction name]],_xlfn.XMATCH(INDEX(Transactions[[Transaction name]:[Parent code]],_xlfn.XMATCH(Transactions[[#This Row],[L1N]],Transactions[Transaction name],0),3),Transactions[Transaction code],0),2),Transactions[[#This Row],[L1N]])</f>
        <v>Manufacturing, construction and non-fuel mining industries (S)</v>
      </c>
      <c r="AM76" s="24" t="str" cm="1">
        <f t="array" ref="AM76">IFERROR(INDEX(Transactions[[Transaction code]:[Transaction name]],_xlfn.XMATCH(INDEX(Transactions[[Transaction name]:[Parent code]],_xlfn.XMATCH(Transactions[[#This Row],[L2N]],Transactions[Transaction name],0),3),Transactions[Transaction code],0),2),Transactions[[#This Row],[L2N]])</f>
        <v>Final Energy Consumption (S)</v>
      </c>
      <c r="AN76" s="24" t="str" cm="1">
        <f t="array" ref="AN76">IFERROR(INDEX(Transactions[[Transaction code]:[Transaction name]],_xlfn.XMATCH(INDEX(Transactions[[Transaction name]:[Parent code]],_xlfn.XMATCH(Transactions[[#This Row],[L3N]],Transactions[Transaction name],0),3),Transactions[Transaction code],0),2),Transactions[[#This Row],[L3N]])</f>
        <v>Final consumption (S)</v>
      </c>
      <c r="AO76" s="24" t="str" cm="1">
        <f t="array" ref="AO76">IFERROR(INDEX(Transactions[[Transaction code]:[Transaction name]],_xlfn.XMATCH(INDEX(Transactions[[Transaction name]:[Parent code]],_xlfn.XMATCH(Transactions[[#This Row],[L4N]],Transactions[Transaction name],0),3),Transactions[Transaction code],0),2),Transactions[[#This Row],[L4N]])</f>
        <v>Final consumption (S)</v>
      </c>
      <c r="AP76" s="24" t="str" cm="1">
        <f t="array" ref="AP76">IFERROR(INDEX(Transactions[[Transaction code]:[Transaction name]],_xlfn.XMATCH(INDEX(Transactions[[Transaction name]:[Parent code]],_xlfn.XMATCH(Transactions[[#This Row],[L5N]],Transactions[Transaction name],0),3),Transactions[Transaction code],0),2),Transactions[[#This Row],[L5N]])</f>
        <v>Final consumption (S)</v>
      </c>
      <c r="AQ76" s="24" t="str" cm="1">
        <f t="array" ref="AQ76">IFERROR(INDEX(Transactions[[Transaction code]:[Transaction name]],_xlfn.XMATCH(INDEX(Transactions[[Transaction name]:[Parent code]],_xlfn.XMATCH(Transactions[[#This Row],[L6N]],Transactions[Transaction name],0),3),Transactions[Transaction code],0),2),Transactions[[#This Row],[L6N]])</f>
        <v>Final consumption (S)</v>
      </c>
      <c r="AR76" s="27" t="str">
        <f>IF(Transactions[[#This Row],[L7N]]=Transactions[[#This Row],[L6N]],Transactions[[#This Row],[L7N]],IF(Transactions[[#This Row],[L6N]]=Transactions[[#This Row],[L5N]],Transactions[[#This Row],[L6N]],IF(Transactions[[#This Row],[L5N]]=Transactions[[#This Row],[L4N]],Transactions[[#This Row],[L5N]],IF(Transactions[[#This Row],[L4N]]=Transactions[[#This Row],[L3N]],Transactions[[#This Row],[L4N]],IF(Transactions[[#This Row],[L3N]]=Transactions[[#This Row],[L2N]],Transactions[[#This Row],[L3N]],IF(Transactions[[#This Row],[L2N]]=Transactions[[#This Row],[L1N]],Transactions[[#This Row],[L2N]],IF(Transactions[[#This Row],[L1N]]=Transactions[[#This Row],[Transaction name]],Transactions[[#This Row],[L1N]],Transactions[[#This Row],[Transaction name]])))))))</f>
        <v>Final consumption (S)</v>
      </c>
      <c r="AS76" s="24" t="str">
        <f>IF(Transactions[[#This Row],[Level 0]]=Transactions[[#This Row],[Transaction name]],Transactions[[#This Row],[Transaction name]],IF(Transactions[[#This Row],[Level 0]]=Transactions[[#This Row],[L1N]],Transactions[[#This Row],[Transaction name]],IF(Transactions[[#This Row],[Level 0]]=Transactions[[#This Row],[L2N]],Transactions[[#This Row],[L1N]],IF(Transactions[[#This Row],[Level 0]]=Transactions[[#This Row],[L3N]],Transactions[[#This Row],[L2N]],IF(Transactions[[#This Row],[Level 0]]=Transactions[[#This Row],[L4N]],Transactions[[#This Row],[L3N]],IF(Transactions[[#This Row],[Level 0]]=Transactions[[#This Row],[L5N]],Transactions[[#This Row],[L4N]],IF(Transactions[[#This Row],[Level 0]]=Transactions[[#This Row],[L6N]],Transactions[[#This Row],[L5N]],IF(Transactions[[#This Row],[Level 0]]=Transactions[[#This Row],[L7N]],Transactions[[#This Row],[L6N]],Transactions[[#This Row],[L7N]]))))))))</f>
        <v>Final Energy Consumption (S)</v>
      </c>
      <c r="AT76" s="24" t="str">
        <f>IF(Transactions[[#This Row],[Level 1]]=Transactions[[#This Row],[Transaction name]],Transactions[[#This Row],[Transaction name]],IF(Transactions[[#This Row],[Level 1]]=Transactions[[#This Row],[L1N]],Transactions[[#This Row],[Transaction name]],IF(Transactions[[#This Row],[Level 1]]=Transactions[[#This Row],[L2N]],Transactions[[#This Row],[L1N]],IF(Transactions[[#This Row],[Level 1]]=Transactions[[#This Row],[L3N]],Transactions[[#This Row],[L2N]],IF(Transactions[[#This Row],[Level 1]]=Transactions[[#This Row],[L4N]],Transactions[[#This Row],[L3N]],IF(Transactions[[#This Row],[Level 1]]=Transactions[[#This Row],[L5N]],Transactions[[#This Row],[L4N]],IF(Transactions[[#This Row],[Level 1]]=Transactions[[#This Row],[L6N]],Transactions[[#This Row],[L5N]],IF(Transactions[[#This Row],[Level 1]]=Transactions[[#This Row],[L7N]],Transactions[[#This Row],[L6N]],Transactions[[#This Row],[L7N]]))))))))</f>
        <v>Manufacturing, construction and non-fuel mining industries (S)</v>
      </c>
      <c r="AU76" s="24" t="str">
        <f>IF(Transactions[[#This Row],[Level 2]]=Transactions[[#This Row],[Transaction name]],Transactions[[#This Row],[Transaction name]],IF(Transactions[[#This Row],[Level 2]]=Transactions[[#This Row],[L1N]],Transactions[[#This Row],[Transaction name]],IF(Transactions[[#This Row],[Level 2]]=Transactions[[#This Row],[L2N]],Transactions[[#This Row],[L1N]],IF(Transactions[[#This Row],[Level 2]]=Transactions[[#This Row],[L3N]],Transactions[[#This Row],[L2N]],IF(Transactions[[#This Row],[Level 2]]=Transactions[[#This Row],[L4N]],Transactions[[#This Row],[L3N]],IF(Transactions[[#This Row],[Level 2]]=Transactions[[#This Row],[L5N]],Transactions[[#This Row],[L4N]],IF(Transactions[[#This Row],[Level 2]]=Transactions[[#This Row],[L6N]],Transactions[[#This Row],[L5N]],IF(Transactions[[#This Row],[Level 2]]=Transactions[[#This Row],[L7N]],Transactions[[#This Row],[L6N]],Transactions[[#This Row],[L7N]]))))))))</f>
        <v>Non-metallic minerals (S)</v>
      </c>
      <c r="AV76" s="24" t="str">
        <f>IF(Transactions[[#This Row],[Level 3]]=Transactions[[#This Row],[Transaction name]],Transactions[[#This Row],[Transaction name]],IF(Transactions[[#This Row],[Level 3]]=Transactions[[#This Row],[L1N]],Transactions[[#This Row],[Transaction name]],IF(Transactions[[#This Row],[Level 3]]=Transactions[[#This Row],[L2N]],Transactions[[#This Row],[L1N]],IF(Transactions[[#This Row],[Level 3]]=Transactions[[#This Row],[L3N]],Transactions[[#This Row],[L2N]],IF(Transactions[[#This Row],[Level 3]]=Transactions[[#This Row],[L4N]],Transactions[[#This Row],[L3N]],IF(Transactions[[#This Row],[Level 3]]=Transactions[[#This Row],[L5N]],Transactions[[#This Row],[L4N]],IF(Transactions[[#This Row],[Level 3]]=Transactions[[#This Row],[L6N]],Transactions[[#This Row],[L5N]],IF(Transactions[[#This Row],[Level 3]]=Transactions[[#This Row],[L7N]],Transactions[[#This Row],[L6N]],Transactions[[#This Row],[L7N]]))))))))</f>
        <v>Non-metallic minerals (S)</v>
      </c>
      <c r="AW76" s="24" t="str">
        <f>IF(Transactions[[#This Row],[Level 4]]=Transactions[[#This Row],[Transaction name]],Transactions[[#This Row],[Transaction name]],IF(Transactions[[#This Row],[Level 4]]=Transactions[[#This Row],[L1N]],Transactions[[#This Row],[Transaction name]],IF(Transactions[[#This Row],[Level 4]]=Transactions[[#This Row],[L2N]],Transactions[[#This Row],[L1N]],IF(Transactions[[#This Row],[Level 4]]=Transactions[[#This Row],[L3N]],Transactions[[#This Row],[L2N]],IF(Transactions[[#This Row],[Level 4]]=Transactions[[#This Row],[L4N]],Transactions[[#This Row],[L3N]],IF(Transactions[[#This Row],[Level 4]]=Transactions[[#This Row],[L5N]],Transactions[[#This Row],[L4N]],IF(Transactions[[#This Row],[Level 4]]=Transactions[[#This Row],[L6N]],Transactions[[#This Row],[L5N]],IF(Transactions[[#This Row],[Level 4]]=Transactions[[#This Row],[L7N]],Transactions[[#This Row],[L6N]],Transactions[[#This Row],[L7N]]))))))))</f>
        <v>Non-metallic minerals (S)</v>
      </c>
      <c r="AX76" s="24" t="str">
        <f>IF(Transactions[[#This Row],[Level 5]]=Transactions[[#This Row],[Transaction name]],Transactions[[#This Row],[Transaction name]],IF(Transactions[[#This Row],[Level 5]]=Transactions[[#This Row],[L1N]],Transactions[[#This Row],[Transaction name]],IF(Transactions[[#This Row],[Level 5]]=Transactions[[#This Row],[L2N]],Transactions[[#This Row],[L1N]],IF(Transactions[[#This Row],[Level 5]]=Transactions[[#This Row],[L3N]],Transactions[[#This Row],[L2N]],IF(Transactions[[#This Row],[Level 5]]=Transactions[[#This Row],[L4N]],Transactions[[#This Row],[L3N]],IF(Transactions[[#This Row],[Level 5]]=Transactions[[#This Row],[L5N]],Transactions[[#This Row],[L4N]],IF(Transactions[[#This Row],[Level 5]]=Transactions[[#This Row],[L6N]],Transactions[[#This Row],[L5N]],IF(Transactions[[#This Row],[Level 5]]=Transactions[[#This Row],[L7N]],Transactions[[#This Row],[L6N]],Transactions[[#This Row],[L7N]]))))))))</f>
        <v>Non-metallic minerals (S)</v>
      </c>
      <c r="AY76" s="24" t="str">
        <f>IF(Transactions[[#This Row],[Level 6]]=Transactions[[#This Row],[Transaction name]],Transactions[[#This Row],[Transaction name]],IF(Transactions[[#This Row],[Level 6]]=Transactions[[#This Row],[L1N]],Transactions[[#This Row],[Transaction name]],IF(Transactions[[#This Row],[Level 6]]=Transactions[[#This Row],[L2N]],Transactions[[#This Row],[L1N]],IF(Transactions[[#This Row],[Level 6]]=Transactions[[#This Row],[L3N]],Transactions[[#This Row],[L2N]],IF(Transactions[[#This Row],[Level 6]]=Transactions[[#This Row],[L4N]],Transactions[[#This Row],[L3N]],IF(Transactions[[#This Row],[Level 6]]=Transactions[[#This Row],[L5N]],Transactions[[#This Row],[L4N]],IF(Transactions[[#This Row],[Level 6]]=Transactions[[#This Row],[L6N]],Transactions[[#This Row],[L5N]],IF(Transactions[[#This Row],[Level 6]]=Transactions[[#This Row],[L7N]],Transactions[[#This Row],[L6N]],Transactions[[#This Row],[L7N]]))))))))</f>
        <v>Non-metallic minerals (S)</v>
      </c>
      <c r="BE76" s="26" t="str">
        <f>_xlfn.XLOOKUP(Transformation[[#This Row],[cfrom]],Commodities[Commodity],Commodities[Commodity code])</f>
        <v>0350</v>
      </c>
      <c r="BF76" s="26" t="str">
        <f>_xlfn.XLOOKUP(Transformation[[#This Row],[tfrom]],Transactions[Transaction name],Transactions[Transaction code])</f>
        <v>08821</v>
      </c>
      <c r="BG76" s="26" t="str">
        <f>_xlfn.XLOOKUP(Transformation[[#This Row],[cto]],Commodities[Commodity],Commodities[Commodity code])</f>
        <v>0350</v>
      </c>
      <c r="BH76" s="26" t="str">
        <f>_xlfn.XLOOKUP(Transformation[[#This Row],[tto]],Transactions[Transaction name],Transactions[Transaction code])</f>
        <v>015CGC</v>
      </c>
      <c r="BI76" s="11">
        <v>1</v>
      </c>
      <c r="BJ76" s="4" t="s">
        <v>487</v>
      </c>
      <c r="BK76" s="24" t="str">
        <f>_xlfn.XLOOKUP(Transformation[[#This Row],[Commodity from]],Commodities[Commodity code],Commodities[EnergyCode])</f>
        <v>OG</v>
      </c>
      <c r="BL76" s="4" t="s">
        <v>691</v>
      </c>
      <c r="BM76" s="4" t="s">
        <v>487</v>
      </c>
      <c r="BN76" s="24" t="str">
        <f>_xlfn.XLOOKUP(Transformation[[#This Row],[Commodity to]],Commodities[Commodity code],Commodities[EnergyCode])</f>
        <v>OG</v>
      </c>
      <c r="BO76" s="4" t="s">
        <v>1217</v>
      </c>
      <c r="BP76" s="16" t="s">
        <v>1493</v>
      </c>
      <c r="BQ76" s="33" t="str">
        <f>Transformation[[#This Row],[Commodity from]]&amp;Transformation[[#This Row],[Transaction from]]&amp;Transformation[[#This Row],[Commodity to]]&amp;Transformation[[#This Row],[Transaction to]]</f>
        <v>0350088210350015CGC</v>
      </c>
      <c r="BR76" s="26" t="str">
        <f>Transformation[[#This Row],[crfomid]]&amp;Transformation[[#This Row],[Transaction from]]&amp;"("&amp;Transformation[[#This Row],[Multiplier]]&amp;") -&gt; "&amp;Transformation[[#This Row],[ctoid]]&amp;Transformation[[#This Row],[Transaction to]]</f>
        <v>OG08821(1) -&gt; OG015CGC</v>
      </c>
      <c r="BT76" s="26" t="str">
        <f>_xlfn.XLOOKUP(Signswitch[[#This Row],[Commodity name]],Commodities[Commodity],Commodities[Commodity code])</f>
        <v>5212</v>
      </c>
      <c r="BU76" s="26" t="str">
        <f>_xlfn.XLOOKUP(Signswitch[[#This Row],[Transaction name]],Transactions[Transaction name],Transactions[Transaction code])</f>
        <v>1224</v>
      </c>
      <c r="BV76" s="26" t="str">
        <f>Signswitch[[#This Row],[Commodity from]]&amp;Signswitch[[#This Row],[Transaction from]]</f>
        <v>52121224</v>
      </c>
      <c r="BW76" s="22" t="s">
        <v>317</v>
      </c>
      <c r="BX76" s="26" t="str">
        <f>_xlfn.XLOOKUP(Signswitch[[#This Row],[Commodity from]],Commodities[Commodity code],Commodities[EnergyCode])</f>
        <v>ZG</v>
      </c>
      <c r="BY76" s="22" t="s">
        <v>418</v>
      </c>
    </row>
    <row r="77" spans="8:77" x14ac:dyDescent="0.45">
      <c r="H77" s="5" t="s">
        <v>329</v>
      </c>
      <c r="I77" s="4" t="s">
        <v>328</v>
      </c>
      <c r="J77" s="9" t="s">
        <v>325</v>
      </c>
      <c r="K77" s="9" t="s">
        <v>1458</v>
      </c>
      <c r="L77" s="23" t="str">
        <f>IFERROR(INDEX(Commodities[[Commodity code]:[Commodity]],MATCH(Commodities[[#This Row],[Parent code]],Commodities[Commodity code],0),2),Commodities[[#This Row],[Commodity]])</f>
        <v>Solid biofuels</v>
      </c>
      <c r="M77" s="24" t="str">
        <f>IFERROR(INDEX(Commodities[[Commodity code]:[Commodity]],MATCH(INDEX(Commodities[[Commodity]:[Parent code]],MATCH(Commodities[[#This Row],[L1N]],Commodities[Commodity],0),2),Commodities[Commodity code],0),2),Commodities[[#This Row],[L1N]])</f>
        <v>Biofuels</v>
      </c>
      <c r="N77" s="24" t="str">
        <f>IFERROR(INDEX(Commodities[[Commodity code]:[Commodity]],MATCH(INDEX(Commodities[[Commodity]:[Parent code]],MATCH(Commodities[[#This Row],[L2N]],Commodities[Commodity],0),2),Commodities[Commodity code],0),2),Commodities[[#This Row],[L2N]])</f>
        <v>Biofuels</v>
      </c>
      <c r="O77" s="24" t="str">
        <f>IFERROR(INDEX(Commodities[[Commodity code]:[Commodity]],MATCH(INDEX(Commodities[[Commodity]:[Parent code]],MATCH(Commodities[[#This Row],[L3N]],Commodities[Commodity],0),2),Commodities[Commodity code],0),2),Commodities[[#This Row],[L3N]])</f>
        <v>Biofuels</v>
      </c>
      <c r="P77" s="24" t="str">
        <f>IF(Commodities[[#This Row],[L4N]]=Commodities[[#This Row],[L3N]],Commodities[[#This Row],[L4N]],IF(Commodities[[#This Row],[L3N]]=Commodities[[#This Row],[L2N]],Commodities[[#This Row],[L3N]],IF(Commodities[[#This Row],[L2N]]=Commodities[[#This Row],[L1N]],Commodities[[#This Row],[L2N]],IF(Commodities[[#This Row],[L1N]]=Commodities[[#This Row],[Commodity]],Commodities[[#This Row],[L1N]],Commodities[[#This Row],[Commodity]]))))</f>
        <v>Biofuels</v>
      </c>
      <c r="Q77" s="24" t="str">
        <f>IF(Commodities[[#This Row],[Level 0]]=Commodities[[#This Row],[Commodity]],Commodities[[#This Row],[Commodity]],IF(Commodities[[#This Row],[Level 0]]=Commodities[[#This Row],[L1N]],Commodities[[#This Row],[Commodity]],IF(Commodities[[#This Row],[Level 0]]=Commodities[[#This Row],[L2N]],Commodities[[#This Row],[L1N]],IF(Commodities[[#This Row],[Level 0]]=Commodities[[#This Row],[L3N]],Commodities[[#This Row],[L2N]],IF(Commodities[[#This Row],[Level 0]]=Commodities[[#This Row],[L4N]],Commodities[[#This Row],[L3N]],Commodities[[#This Row],[L4N]])))))</f>
        <v>Solid biofuels</v>
      </c>
      <c r="R77" s="24" t="str">
        <f>IF(Commodities[[#This Row],[Level 1]]=Commodities[[#This Row],[Commodity]],Commodities[[#This Row],[Commodity]],IF(Commodities[[#This Row],[Level 1]]=Commodities[[#This Row],[L1N]],Commodities[[#This Row],[Commodity]],IF(Commodities[[#This Row],[Level 1]]=Commodities[[#This Row],[L2N]],Commodities[[#This Row],[L1N]],IF(Commodities[[#This Row],[Level 1]]=Commodities[[#This Row],[L3N]],Commodities[[#This Row],[L2N]],IF(Commodities[[#This Row],[Level 1]]=Commodities[[#This Row],[L4N]],Commodities[[#This Row],[L3N]],Commodities[[#This Row],[L4N]])))))</f>
        <v>Other vegetal material and residues</v>
      </c>
      <c r="S77" s="24" t="str">
        <f>IF(Commodities[[#This Row],[Level 2]]=Commodities[[#This Row],[Commodity]],Commodities[[#This Row],[Commodity]],IF(Commodities[[#This Row],[Level 2]]=Commodities[[#This Row],[L1N]],Commodities[[#This Row],[Commodity]],IF(Commodities[[#This Row],[Level 2]]=Commodities[[#This Row],[L2N]],Commodities[[#This Row],[L1N]],IF(Commodities[[#This Row],[Level 2]]=Commodities[[#This Row],[L3N]],Commodities[[#This Row],[L2N]],IF(Commodities[[#This Row],[Level 2]]=Commodities[[#This Row],[L4N]],Commodities[[#This Row],[L3N]],Commodities[[#This Row],[L4N]])))))</f>
        <v>Other vegetal material and residues</v>
      </c>
      <c r="T77" s="24" t="str">
        <f>IF(Commodities[[#This Row],[Level 3]]=Commodities[[#This Row],[Commodity]],Commodities[[#This Row],[Commodity]],IF(Commodities[[#This Row],[Level 3]]=Commodities[[#This Row],[L1N]],Commodities[[#This Row],[Commodity]],IF(Commodities[[#This Row],[Level 3]]=Commodities[[#This Row],[L2N]],Commodities[[#This Row],[L1N]],IF(Commodities[[#This Row],[Level 3]]=Commodities[[#This Row],[L3N]],Commodities[[#This Row],[L2N]],IF(Commodities[[#This Row],[Level 3]]=Commodities[[#This Row],[L4N]],Commodities[[#This Row],[L3N]],Commodities[[#This Row],[L4N]])))))</f>
        <v>Other vegetal material and residues</v>
      </c>
      <c r="U77" s="24" t="str">
        <f>IF(Commodities[[#This Row],[Level 4]]=Commodities[[#This Row],[Commodity]],Commodities[[#This Row],[Commodity]],IF(Commodities[[#This Row],[Level 4]]=Commodities[[#This Row],[L1N]],Commodities[[#This Row],[Commodity]],IF(Commodities[[#This Row],[Level 4]]=Commodities[[#This Row],[L2N]],Commodities[[#This Row],[L1N]],IF(Commodities[[#This Row],[Level 4]]=Commodities[[#This Row],[L3N]],Commodities[[#This Row],[L2N]],IF(Commodities[[#This Row],[Level 4]]=Commodities[[#This Row],[L4N]],Commodities[[#This Row],[L3N]],Commodities[[#This Row],[L4N]])))))</f>
        <v>Other vegetal material and residues</v>
      </c>
      <c r="Y77" s="4" t="s">
        <v>453</v>
      </c>
      <c r="Z77" s="4" t="s">
        <v>890</v>
      </c>
      <c r="AA77" s="4" t="s">
        <v>890</v>
      </c>
      <c r="AB77" s="4" t="s">
        <v>437</v>
      </c>
      <c r="AC77" s="24" t="str">
        <f>IFERROR(VLOOKUP(Transactions[[#This Row],[Parent code]],Transactions[[Transaction code]:[Transaction name]],2,0),"")</f>
        <v>Manufacturing, construction and non-fuel mining industries (S)</v>
      </c>
      <c r="AD77" s="4" t="s">
        <v>630</v>
      </c>
      <c r="AF77" s="4" t="s">
        <v>642</v>
      </c>
      <c r="AG77" s="4" t="s">
        <v>385</v>
      </c>
      <c r="AK77" s="24" t="str" cm="1">
        <f t="array" ref="AK77">IFERROR(INDEX(Transactions[[Transaction code]:[Transaction name]],_xlfn.XMATCH(Transactions[[#This Row],[Parent code]],Transactions[Transaction name],0),3),Transactions[[#This Row],[Transaction name]])</f>
        <v>Paper, pulp and printing (S)</v>
      </c>
      <c r="AL77" s="24" t="str" cm="1">
        <f t="array" ref="AL77">IFERROR(INDEX(Transactions[[Transaction code]:[Transaction name]],_xlfn.XMATCH(INDEX(Transactions[[Transaction name]:[Parent code]],_xlfn.XMATCH(Transactions[[#This Row],[L1N]],Transactions[Transaction name],0),3),Transactions[Transaction code],0),2),Transactions[[#This Row],[L1N]])</f>
        <v>Manufacturing, construction and non-fuel mining industries (S)</v>
      </c>
      <c r="AM77" s="24" t="str" cm="1">
        <f t="array" ref="AM77">IFERROR(INDEX(Transactions[[Transaction code]:[Transaction name]],_xlfn.XMATCH(INDEX(Transactions[[Transaction name]:[Parent code]],_xlfn.XMATCH(Transactions[[#This Row],[L2N]],Transactions[Transaction name],0),3),Transactions[Transaction code],0),2),Transactions[[#This Row],[L2N]])</f>
        <v>Final Energy Consumption (S)</v>
      </c>
      <c r="AN77" s="24" t="str" cm="1">
        <f t="array" ref="AN77">IFERROR(INDEX(Transactions[[Transaction code]:[Transaction name]],_xlfn.XMATCH(INDEX(Transactions[[Transaction name]:[Parent code]],_xlfn.XMATCH(Transactions[[#This Row],[L3N]],Transactions[Transaction name],0),3),Transactions[Transaction code],0),2),Transactions[[#This Row],[L3N]])</f>
        <v>Final consumption (S)</v>
      </c>
      <c r="AO77" s="24" t="str" cm="1">
        <f t="array" ref="AO77">IFERROR(INDEX(Transactions[[Transaction code]:[Transaction name]],_xlfn.XMATCH(INDEX(Transactions[[Transaction name]:[Parent code]],_xlfn.XMATCH(Transactions[[#This Row],[L4N]],Transactions[Transaction name],0),3),Transactions[Transaction code],0),2),Transactions[[#This Row],[L4N]])</f>
        <v>Final consumption (S)</v>
      </c>
      <c r="AP77" s="24" t="str" cm="1">
        <f t="array" ref="AP77">IFERROR(INDEX(Transactions[[Transaction code]:[Transaction name]],_xlfn.XMATCH(INDEX(Transactions[[Transaction name]:[Parent code]],_xlfn.XMATCH(Transactions[[#This Row],[L5N]],Transactions[Transaction name],0),3),Transactions[Transaction code],0),2),Transactions[[#This Row],[L5N]])</f>
        <v>Final consumption (S)</v>
      </c>
      <c r="AQ77" s="24" t="str" cm="1">
        <f t="array" ref="AQ77">IFERROR(INDEX(Transactions[[Transaction code]:[Transaction name]],_xlfn.XMATCH(INDEX(Transactions[[Transaction name]:[Parent code]],_xlfn.XMATCH(Transactions[[#This Row],[L6N]],Transactions[Transaction name],0),3),Transactions[Transaction code],0),2),Transactions[[#This Row],[L6N]])</f>
        <v>Final consumption (S)</v>
      </c>
      <c r="AR77" s="27" t="str">
        <f>IF(Transactions[[#This Row],[L7N]]=Transactions[[#This Row],[L6N]],Transactions[[#This Row],[L7N]],IF(Transactions[[#This Row],[L6N]]=Transactions[[#This Row],[L5N]],Transactions[[#This Row],[L6N]],IF(Transactions[[#This Row],[L5N]]=Transactions[[#This Row],[L4N]],Transactions[[#This Row],[L5N]],IF(Transactions[[#This Row],[L4N]]=Transactions[[#This Row],[L3N]],Transactions[[#This Row],[L4N]],IF(Transactions[[#This Row],[L3N]]=Transactions[[#This Row],[L2N]],Transactions[[#This Row],[L3N]],IF(Transactions[[#This Row],[L2N]]=Transactions[[#This Row],[L1N]],Transactions[[#This Row],[L2N]],IF(Transactions[[#This Row],[L1N]]=Transactions[[#This Row],[Transaction name]],Transactions[[#This Row],[L1N]],Transactions[[#This Row],[Transaction name]])))))))</f>
        <v>Final consumption (S)</v>
      </c>
      <c r="AS77" s="24" t="str">
        <f>IF(Transactions[[#This Row],[Level 0]]=Transactions[[#This Row],[Transaction name]],Transactions[[#This Row],[Transaction name]],IF(Transactions[[#This Row],[Level 0]]=Transactions[[#This Row],[L1N]],Transactions[[#This Row],[Transaction name]],IF(Transactions[[#This Row],[Level 0]]=Transactions[[#This Row],[L2N]],Transactions[[#This Row],[L1N]],IF(Transactions[[#This Row],[Level 0]]=Transactions[[#This Row],[L3N]],Transactions[[#This Row],[L2N]],IF(Transactions[[#This Row],[Level 0]]=Transactions[[#This Row],[L4N]],Transactions[[#This Row],[L3N]],IF(Transactions[[#This Row],[Level 0]]=Transactions[[#This Row],[L5N]],Transactions[[#This Row],[L4N]],IF(Transactions[[#This Row],[Level 0]]=Transactions[[#This Row],[L6N]],Transactions[[#This Row],[L5N]],IF(Transactions[[#This Row],[Level 0]]=Transactions[[#This Row],[L7N]],Transactions[[#This Row],[L6N]],Transactions[[#This Row],[L7N]]))))))))</f>
        <v>Final Energy Consumption (S)</v>
      </c>
      <c r="AT77" s="24" t="str">
        <f>IF(Transactions[[#This Row],[Level 1]]=Transactions[[#This Row],[Transaction name]],Transactions[[#This Row],[Transaction name]],IF(Transactions[[#This Row],[Level 1]]=Transactions[[#This Row],[L1N]],Transactions[[#This Row],[Transaction name]],IF(Transactions[[#This Row],[Level 1]]=Transactions[[#This Row],[L2N]],Transactions[[#This Row],[L1N]],IF(Transactions[[#This Row],[Level 1]]=Transactions[[#This Row],[L3N]],Transactions[[#This Row],[L2N]],IF(Transactions[[#This Row],[Level 1]]=Transactions[[#This Row],[L4N]],Transactions[[#This Row],[L3N]],IF(Transactions[[#This Row],[Level 1]]=Transactions[[#This Row],[L5N]],Transactions[[#This Row],[L4N]],IF(Transactions[[#This Row],[Level 1]]=Transactions[[#This Row],[L6N]],Transactions[[#This Row],[L5N]],IF(Transactions[[#This Row],[Level 1]]=Transactions[[#This Row],[L7N]],Transactions[[#This Row],[L6N]],Transactions[[#This Row],[L7N]]))))))))</f>
        <v>Manufacturing, construction and non-fuel mining industries (S)</v>
      </c>
      <c r="AU77" s="24" t="str">
        <f>IF(Transactions[[#This Row],[Level 2]]=Transactions[[#This Row],[Transaction name]],Transactions[[#This Row],[Transaction name]],IF(Transactions[[#This Row],[Level 2]]=Transactions[[#This Row],[L1N]],Transactions[[#This Row],[Transaction name]],IF(Transactions[[#This Row],[Level 2]]=Transactions[[#This Row],[L2N]],Transactions[[#This Row],[L1N]],IF(Transactions[[#This Row],[Level 2]]=Transactions[[#This Row],[L3N]],Transactions[[#This Row],[L2N]],IF(Transactions[[#This Row],[Level 2]]=Transactions[[#This Row],[L4N]],Transactions[[#This Row],[L3N]],IF(Transactions[[#This Row],[Level 2]]=Transactions[[#This Row],[L5N]],Transactions[[#This Row],[L4N]],IF(Transactions[[#This Row],[Level 2]]=Transactions[[#This Row],[L6N]],Transactions[[#This Row],[L5N]],IF(Transactions[[#This Row],[Level 2]]=Transactions[[#This Row],[L7N]],Transactions[[#This Row],[L6N]],Transactions[[#This Row],[L7N]]))))))))</f>
        <v>Paper, pulp and printing (S)</v>
      </c>
      <c r="AV77" s="24" t="str">
        <f>IF(Transactions[[#This Row],[Level 3]]=Transactions[[#This Row],[Transaction name]],Transactions[[#This Row],[Transaction name]],IF(Transactions[[#This Row],[Level 3]]=Transactions[[#This Row],[L1N]],Transactions[[#This Row],[Transaction name]],IF(Transactions[[#This Row],[Level 3]]=Transactions[[#This Row],[L2N]],Transactions[[#This Row],[L1N]],IF(Transactions[[#This Row],[Level 3]]=Transactions[[#This Row],[L3N]],Transactions[[#This Row],[L2N]],IF(Transactions[[#This Row],[Level 3]]=Transactions[[#This Row],[L4N]],Transactions[[#This Row],[L3N]],IF(Transactions[[#This Row],[Level 3]]=Transactions[[#This Row],[L5N]],Transactions[[#This Row],[L4N]],IF(Transactions[[#This Row],[Level 3]]=Transactions[[#This Row],[L6N]],Transactions[[#This Row],[L5N]],IF(Transactions[[#This Row],[Level 3]]=Transactions[[#This Row],[L7N]],Transactions[[#This Row],[L6N]],Transactions[[#This Row],[L7N]]))))))))</f>
        <v>Paper, pulp and printing (S)</v>
      </c>
      <c r="AW77" s="24" t="str">
        <f>IF(Transactions[[#This Row],[Level 4]]=Transactions[[#This Row],[Transaction name]],Transactions[[#This Row],[Transaction name]],IF(Transactions[[#This Row],[Level 4]]=Transactions[[#This Row],[L1N]],Transactions[[#This Row],[Transaction name]],IF(Transactions[[#This Row],[Level 4]]=Transactions[[#This Row],[L2N]],Transactions[[#This Row],[L1N]],IF(Transactions[[#This Row],[Level 4]]=Transactions[[#This Row],[L3N]],Transactions[[#This Row],[L2N]],IF(Transactions[[#This Row],[Level 4]]=Transactions[[#This Row],[L4N]],Transactions[[#This Row],[L3N]],IF(Transactions[[#This Row],[Level 4]]=Transactions[[#This Row],[L5N]],Transactions[[#This Row],[L4N]],IF(Transactions[[#This Row],[Level 4]]=Transactions[[#This Row],[L6N]],Transactions[[#This Row],[L5N]],IF(Transactions[[#This Row],[Level 4]]=Transactions[[#This Row],[L7N]],Transactions[[#This Row],[L6N]],Transactions[[#This Row],[L7N]]))))))))</f>
        <v>Paper, pulp and printing (S)</v>
      </c>
      <c r="AX77" s="24" t="str">
        <f>IF(Transactions[[#This Row],[Level 5]]=Transactions[[#This Row],[Transaction name]],Transactions[[#This Row],[Transaction name]],IF(Transactions[[#This Row],[Level 5]]=Transactions[[#This Row],[L1N]],Transactions[[#This Row],[Transaction name]],IF(Transactions[[#This Row],[Level 5]]=Transactions[[#This Row],[L2N]],Transactions[[#This Row],[L1N]],IF(Transactions[[#This Row],[Level 5]]=Transactions[[#This Row],[L3N]],Transactions[[#This Row],[L2N]],IF(Transactions[[#This Row],[Level 5]]=Transactions[[#This Row],[L4N]],Transactions[[#This Row],[L3N]],IF(Transactions[[#This Row],[Level 5]]=Transactions[[#This Row],[L5N]],Transactions[[#This Row],[L4N]],IF(Transactions[[#This Row],[Level 5]]=Transactions[[#This Row],[L6N]],Transactions[[#This Row],[L5N]],IF(Transactions[[#This Row],[Level 5]]=Transactions[[#This Row],[L7N]],Transactions[[#This Row],[L6N]],Transactions[[#This Row],[L7N]]))))))))</f>
        <v>Paper, pulp and printing (S)</v>
      </c>
      <c r="AY77" s="24" t="str">
        <f>IF(Transactions[[#This Row],[Level 6]]=Transactions[[#This Row],[Transaction name]],Transactions[[#This Row],[Transaction name]],IF(Transactions[[#This Row],[Level 6]]=Transactions[[#This Row],[L1N]],Transactions[[#This Row],[Transaction name]],IF(Transactions[[#This Row],[Level 6]]=Transactions[[#This Row],[L2N]],Transactions[[#This Row],[L1N]],IF(Transactions[[#This Row],[Level 6]]=Transactions[[#This Row],[L3N]],Transactions[[#This Row],[L2N]],IF(Transactions[[#This Row],[Level 6]]=Transactions[[#This Row],[L4N]],Transactions[[#This Row],[L3N]],IF(Transactions[[#This Row],[Level 6]]=Transactions[[#This Row],[L5N]],Transactions[[#This Row],[L4N]],IF(Transactions[[#This Row],[Level 6]]=Transactions[[#This Row],[L6N]],Transactions[[#This Row],[L5N]],IF(Transactions[[#This Row],[Level 6]]=Transactions[[#This Row],[L7N]],Transactions[[#This Row],[L6N]],Transactions[[#This Row],[L7N]]))))))))</f>
        <v>Paper, pulp and printing (S)</v>
      </c>
      <c r="BE77" s="26" t="str">
        <f>_xlfn.XLOOKUP(Transformation[[#This Row],[cfrom]],Commodities[Commodity],Commodities[Commodity code])</f>
        <v>4500</v>
      </c>
      <c r="BF77" s="26" t="str">
        <f>_xlfn.XLOOKUP(Transformation[[#This Row],[tfrom]],Transactions[Transaction name],Transactions[Transaction code])</f>
        <v>08821</v>
      </c>
      <c r="BG77" s="26" t="str">
        <f>_xlfn.XLOOKUP(Transformation[[#This Row],[cto]],Commodities[Commodity],Commodities[Commodity code])</f>
        <v>4500</v>
      </c>
      <c r="BH77" s="26" t="str">
        <f>_xlfn.XLOOKUP(Transformation[[#This Row],[tto]],Transactions[Transaction name],Transactions[Transaction code])</f>
        <v>015COC</v>
      </c>
      <c r="BI77" s="31">
        <v>1</v>
      </c>
      <c r="BJ77" s="22" t="s">
        <v>424</v>
      </c>
      <c r="BK77" s="26" t="str">
        <f>_xlfn.XLOOKUP(Transformation[[#This Row],[Commodity from]],Commodities[Commodity code],Commodities[EnergyCode])</f>
        <v>OH</v>
      </c>
      <c r="BL77" s="22" t="s">
        <v>691</v>
      </c>
      <c r="BM77" s="22" t="s">
        <v>424</v>
      </c>
      <c r="BN77" s="26" t="str">
        <f>_xlfn.XLOOKUP(Transformation[[#This Row],[Commodity to]],Commodities[Commodity code],Commodities[EnergyCode])</f>
        <v>OH</v>
      </c>
      <c r="BO77" s="4" t="s">
        <v>1225</v>
      </c>
      <c r="BP77" s="22" t="s">
        <v>1493</v>
      </c>
      <c r="BQ77" s="33" t="str">
        <f>Transformation[[#This Row],[Commodity from]]&amp;Transformation[[#This Row],[Transaction from]]&amp;Transformation[[#This Row],[Commodity to]]&amp;Transformation[[#This Row],[Transaction to]]</f>
        <v>4500088214500015COC</v>
      </c>
      <c r="BR77" s="26" t="str">
        <f>Transformation[[#This Row],[crfomid]]&amp;Transformation[[#This Row],[Transaction from]]&amp;"("&amp;Transformation[[#This Row],[Multiplier]]&amp;") -&gt; "&amp;Transformation[[#This Row],[ctoid]]&amp;Transformation[[#This Row],[Transaction to]]</f>
        <v>OH08821(1) -&gt; OH015COC</v>
      </c>
      <c r="BT77" s="26" t="str">
        <f>_xlfn.XLOOKUP(Signswitch[[#This Row],[Commodity name]],Commodities[Commodity],Commodities[Commodity code])</f>
        <v>5232</v>
      </c>
      <c r="BU77" s="26" t="str">
        <f>_xlfn.XLOOKUP(Signswitch[[#This Row],[Transaction name]],Transactions[Transaction name],Transactions[Transaction code])</f>
        <v>1226</v>
      </c>
      <c r="BV77" s="26" t="str">
        <f>Signswitch[[#This Row],[Commodity from]]&amp;Signswitch[[#This Row],[Transaction from]]</f>
        <v>52321226</v>
      </c>
      <c r="BW77" s="22" t="s">
        <v>306</v>
      </c>
      <c r="BX77" s="26" t="str">
        <f>_xlfn.XLOOKUP(Signswitch[[#This Row],[Commodity from]],Commodities[Commodity code],Commodities[EnergyCode])</f>
        <v>ZJ</v>
      </c>
      <c r="BY77" s="22" t="s">
        <v>414</v>
      </c>
    </row>
    <row r="78" spans="8:77" x14ac:dyDescent="0.45">
      <c r="H78" s="5" t="s">
        <v>242</v>
      </c>
      <c r="I78" s="4" t="s">
        <v>241</v>
      </c>
      <c r="J78" s="9"/>
      <c r="K78" s="9" t="s">
        <v>242</v>
      </c>
      <c r="L78" s="23" t="str">
        <f>IFERROR(INDEX(Commodities[[Commodity code]:[Commodity]],MATCH(Commodities[[#This Row],[Parent code]],Commodities[Commodity code],0),2),Commodities[[#This Row],[Commodity]])</f>
        <v>Falling Water</v>
      </c>
      <c r="M78" s="24" t="str">
        <f>IFERROR(INDEX(Commodities[[Commodity code]:[Commodity]],MATCH(INDEX(Commodities[[Commodity]:[Parent code]],MATCH(Commodities[[#This Row],[L1N]],Commodities[Commodity],0),2),Commodities[Commodity code],0),2),Commodities[[#This Row],[L1N]])</f>
        <v>Falling Water</v>
      </c>
      <c r="N78" s="24" t="str">
        <f>IFERROR(INDEX(Commodities[[Commodity code]:[Commodity]],MATCH(INDEX(Commodities[[Commodity]:[Parent code]],MATCH(Commodities[[#This Row],[L2N]],Commodities[Commodity],0),2),Commodities[Commodity code],0),2),Commodities[[#This Row],[L2N]])</f>
        <v>Falling Water</v>
      </c>
      <c r="O78" s="24" t="str">
        <f>IFERROR(INDEX(Commodities[[Commodity code]:[Commodity]],MATCH(INDEX(Commodities[[Commodity]:[Parent code]],MATCH(Commodities[[#This Row],[L3N]],Commodities[Commodity],0),2),Commodities[Commodity code],0),2),Commodities[[#This Row],[L3N]])</f>
        <v>Falling Water</v>
      </c>
      <c r="P78" s="24" t="str">
        <f>IF(Commodities[[#This Row],[L4N]]=Commodities[[#This Row],[L3N]],Commodities[[#This Row],[L4N]],IF(Commodities[[#This Row],[L3N]]=Commodities[[#This Row],[L2N]],Commodities[[#This Row],[L3N]],IF(Commodities[[#This Row],[L2N]]=Commodities[[#This Row],[L1N]],Commodities[[#This Row],[L2N]],IF(Commodities[[#This Row],[L1N]]=Commodities[[#This Row],[Commodity]],Commodities[[#This Row],[L1N]],Commodities[[#This Row],[Commodity]]))))</f>
        <v>Falling Water</v>
      </c>
      <c r="Q78" s="24" t="str">
        <f>IF(Commodities[[#This Row],[Level 0]]=Commodities[[#This Row],[Commodity]],Commodities[[#This Row],[Commodity]],IF(Commodities[[#This Row],[Level 0]]=Commodities[[#This Row],[L1N]],Commodities[[#This Row],[Commodity]],IF(Commodities[[#This Row],[Level 0]]=Commodities[[#This Row],[L2N]],Commodities[[#This Row],[L1N]],IF(Commodities[[#This Row],[Level 0]]=Commodities[[#This Row],[L3N]],Commodities[[#This Row],[L2N]],IF(Commodities[[#This Row],[Level 0]]=Commodities[[#This Row],[L4N]],Commodities[[#This Row],[L3N]],Commodities[[#This Row],[L4N]])))))</f>
        <v>Falling Water</v>
      </c>
      <c r="R78" s="24" t="str">
        <f>IF(Commodities[[#This Row],[Level 1]]=Commodities[[#This Row],[Commodity]],Commodities[[#This Row],[Commodity]],IF(Commodities[[#This Row],[Level 1]]=Commodities[[#This Row],[L1N]],Commodities[[#This Row],[Commodity]],IF(Commodities[[#This Row],[Level 1]]=Commodities[[#This Row],[L2N]],Commodities[[#This Row],[L1N]],IF(Commodities[[#This Row],[Level 1]]=Commodities[[#This Row],[L3N]],Commodities[[#This Row],[L2N]],IF(Commodities[[#This Row],[Level 1]]=Commodities[[#This Row],[L4N]],Commodities[[#This Row],[L3N]],Commodities[[#This Row],[L4N]])))))</f>
        <v>Falling Water</v>
      </c>
      <c r="S78" s="24" t="str">
        <f>IF(Commodities[[#This Row],[Level 2]]=Commodities[[#This Row],[Commodity]],Commodities[[#This Row],[Commodity]],IF(Commodities[[#This Row],[Level 2]]=Commodities[[#This Row],[L1N]],Commodities[[#This Row],[Commodity]],IF(Commodities[[#This Row],[Level 2]]=Commodities[[#This Row],[L2N]],Commodities[[#This Row],[L1N]],IF(Commodities[[#This Row],[Level 2]]=Commodities[[#This Row],[L3N]],Commodities[[#This Row],[L2N]],IF(Commodities[[#This Row],[Level 2]]=Commodities[[#This Row],[L4N]],Commodities[[#This Row],[L3N]],Commodities[[#This Row],[L4N]])))))</f>
        <v>Falling Water</v>
      </c>
      <c r="T78" s="24" t="str">
        <f>IF(Commodities[[#This Row],[Level 3]]=Commodities[[#This Row],[Commodity]],Commodities[[#This Row],[Commodity]],IF(Commodities[[#This Row],[Level 3]]=Commodities[[#This Row],[L1N]],Commodities[[#This Row],[Commodity]],IF(Commodities[[#This Row],[Level 3]]=Commodities[[#This Row],[L2N]],Commodities[[#This Row],[L1N]],IF(Commodities[[#This Row],[Level 3]]=Commodities[[#This Row],[L3N]],Commodities[[#This Row],[L2N]],IF(Commodities[[#This Row],[Level 3]]=Commodities[[#This Row],[L4N]],Commodities[[#This Row],[L3N]],Commodities[[#This Row],[L4N]])))))</f>
        <v>Falling Water</v>
      </c>
      <c r="U78" s="24" t="str">
        <f>IF(Commodities[[#This Row],[Level 4]]=Commodities[[#This Row],[Commodity]],Commodities[[#This Row],[Commodity]],IF(Commodities[[#This Row],[Level 4]]=Commodities[[#This Row],[L1N]],Commodities[[#This Row],[Commodity]],IF(Commodities[[#This Row],[Level 4]]=Commodities[[#This Row],[L2N]],Commodities[[#This Row],[L1N]],IF(Commodities[[#This Row],[Level 4]]=Commodities[[#This Row],[L3N]],Commodities[[#This Row],[L2N]],IF(Commodities[[#This Row],[Level 4]]=Commodities[[#This Row],[L4N]],Commodities[[#This Row],[L3N]],Commodities[[#This Row],[L4N]])))))</f>
        <v>Falling Water</v>
      </c>
      <c r="Y78" s="4" t="s">
        <v>445</v>
      </c>
      <c r="Z78" s="4" t="s">
        <v>879</v>
      </c>
      <c r="AA78" s="4" t="s">
        <v>879</v>
      </c>
      <c r="AB78" s="4" t="s">
        <v>437</v>
      </c>
      <c r="AC78" s="24" t="str">
        <f>IFERROR(VLOOKUP(Transactions[[#This Row],[Parent code]],Transactions[[Transaction code]:[Transaction name]],2,0),"")</f>
        <v>Manufacturing, construction and non-fuel mining industries (S)</v>
      </c>
      <c r="AD78" s="4" t="s">
        <v>630</v>
      </c>
      <c r="AF78" s="4" t="s">
        <v>642</v>
      </c>
      <c r="AG78" s="4" t="s">
        <v>385</v>
      </c>
      <c r="AK78" s="24" t="str" cm="1">
        <f t="array" ref="AK78">IFERROR(INDEX(Transactions[[Transaction code]:[Transaction name]],_xlfn.XMATCH(Transactions[[#This Row],[Parent code]],Transactions[Transaction name],0),3),Transactions[[#This Row],[Transaction name]])</f>
        <v>Textile and leather (S)</v>
      </c>
      <c r="AL78" s="24" t="str" cm="1">
        <f t="array" ref="AL78">IFERROR(INDEX(Transactions[[Transaction code]:[Transaction name]],_xlfn.XMATCH(INDEX(Transactions[[Transaction name]:[Parent code]],_xlfn.XMATCH(Transactions[[#This Row],[L1N]],Transactions[Transaction name],0),3),Transactions[Transaction code],0),2),Transactions[[#This Row],[L1N]])</f>
        <v>Manufacturing, construction and non-fuel mining industries (S)</v>
      </c>
      <c r="AM78" s="24" t="str" cm="1">
        <f t="array" ref="AM78">IFERROR(INDEX(Transactions[[Transaction code]:[Transaction name]],_xlfn.XMATCH(INDEX(Transactions[[Transaction name]:[Parent code]],_xlfn.XMATCH(Transactions[[#This Row],[L2N]],Transactions[Transaction name],0),3),Transactions[Transaction code],0),2),Transactions[[#This Row],[L2N]])</f>
        <v>Final Energy Consumption (S)</v>
      </c>
      <c r="AN78" s="24" t="str" cm="1">
        <f t="array" ref="AN78">IFERROR(INDEX(Transactions[[Transaction code]:[Transaction name]],_xlfn.XMATCH(INDEX(Transactions[[Transaction name]:[Parent code]],_xlfn.XMATCH(Transactions[[#This Row],[L3N]],Transactions[Transaction name],0),3),Transactions[Transaction code],0),2),Transactions[[#This Row],[L3N]])</f>
        <v>Final consumption (S)</v>
      </c>
      <c r="AO78" s="24" t="str" cm="1">
        <f t="array" ref="AO78">IFERROR(INDEX(Transactions[[Transaction code]:[Transaction name]],_xlfn.XMATCH(INDEX(Transactions[[Transaction name]:[Parent code]],_xlfn.XMATCH(Transactions[[#This Row],[L4N]],Transactions[Transaction name],0),3),Transactions[Transaction code],0),2),Transactions[[#This Row],[L4N]])</f>
        <v>Final consumption (S)</v>
      </c>
      <c r="AP78" s="24" t="str" cm="1">
        <f t="array" ref="AP78">IFERROR(INDEX(Transactions[[Transaction code]:[Transaction name]],_xlfn.XMATCH(INDEX(Transactions[[Transaction name]:[Parent code]],_xlfn.XMATCH(Transactions[[#This Row],[L5N]],Transactions[Transaction name],0),3),Transactions[Transaction code],0),2),Transactions[[#This Row],[L5N]])</f>
        <v>Final consumption (S)</v>
      </c>
      <c r="AQ78" s="24" t="str" cm="1">
        <f t="array" ref="AQ78">IFERROR(INDEX(Transactions[[Transaction code]:[Transaction name]],_xlfn.XMATCH(INDEX(Transactions[[Transaction name]:[Parent code]],_xlfn.XMATCH(Transactions[[#This Row],[L6N]],Transactions[Transaction name],0),3),Transactions[Transaction code],0),2),Transactions[[#This Row],[L6N]])</f>
        <v>Final consumption (S)</v>
      </c>
      <c r="AR78" s="28" t="str">
        <f>IF(Transactions[[#This Row],[L7N]]=Transactions[[#This Row],[L6N]],Transactions[[#This Row],[L7N]],IF(Transactions[[#This Row],[L6N]]=Transactions[[#This Row],[L5N]],Transactions[[#This Row],[L6N]],IF(Transactions[[#This Row],[L5N]]=Transactions[[#This Row],[L4N]],Transactions[[#This Row],[L5N]],IF(Transactions[[#This Row],[L4N]]=Transactions[[#This Row],[L3N]],Transactions[[#This Row],[L4N]],IF(Transactions[[#This Row],[L3N]]=Transactions[[#This Row],[L2N]],Transactions[[#This Row],[L3N]],IF(Transactions[[#This Row],[L2N]]=Transactions[[#This Row],[L1N]],Transactions[[#This Row],[L2N]],IF(Transactions[[#This Row],[L1N]]=Transactions[[#This Row],[Transaction name]],Transactions[[#This Row],[L1N]],Transactions[[#This Row],[Transaction name]])))))))</f>
        <v>Final consumption (S)</v>
      </c>
      <c r="AS78" s="24" t="str">
        <f>IF(Transactions[[#This Row],[Level 0]]=Transactions[[#This Row],[Transaction name]],Transactions[[#This Row],[Transaction name]],IF(Transactions[[#This Row],[Level 0]]=Transactions[[#This Row],[L1N]],Transactions[[#This Row],[Transaction name]],IF(Transactions[[#This Row],[Level 0]]=Transactions[[#This Row],[L2N]],Transactions[[#This Row],[L1N]],IF(Transactions[[#This Row],[Level 0]]=Transactions[[#This Row],[L3N]],Transactions[[#This Row],[L2N]],IF(Transactions[[#This Row],[Level 0]]=Transactions[[#This Row],[L4N]],Transactions[[#This Row],[L3N]],IF(Transactions[[#This Row],[Level 0]]=Transactions[[#This Row],[L5N]],Transactions[[#This Row],[L4N]],IF(Transactions[[#This Row],[Level 0]]=Transactions[[#This Row],[L6N]],Transactions[[#This Row],[L5N]],IF(Transactions[[#This Row],[Level 0]]=Transactions[[#This Row],[L7N]],Transactions[[#This Row],[L6N]],Transactions[[#This Row],[L7N]]))))))))</f>
        <v>Final Energy Consumption (S)</v>
      </c>
      <c r="AT78" s="24" t="str">
        <f>IF(Transactions[[#This Row],[Level 1]]=Transactions[[#This Row],[Transaction name]],Transactions[[#This Row],[Transaction name]],IF(Transactions[[#This Row],[Level 1]]=Transactions[[#This Row],[L1N]],Transactions[[#This Row],[Transaction name]],IF(Transactions[[#This Row],[Level 1]]=Transactions[[#This Row],[L2N]],Transactions[[#This Row],[L1N]],IF(Transactions[[#This Row],[Level 1]]=Transactions[[#This Row],[L3N]],Transactions[[#This Row],[L2N]],IF(Transactions[[#This Row],[Level 1]]=Transactions[[#This Row],[L4N]],Transactions[[#This Row],[L3N]],IF(Transactions[[#This Row],[Level 1]]=Transactions[[#This Row],[L5N]],Transactions[[#This Row],[L4N]],IF(Transactions[[#This Row],[Level 1]]=Transactions[[#This Row],[L6N]],Transactions[[#This Row],[L5N]],IF(Transactions[[#This Row],[Level 1]]=Transactions[[#This Row],[L7N]],Transactions[[#This Row],[L6N]],Transactions[[#This Row],[L7N]]))))))))</f>
        <v>Manufacturing, construction and non-fuel mining industries (S)</v>
      </c>
      <c r="AU78" s="24" t="str">
        <f>IF(Transactions[[#This Row],[Level 2]]=Transactions[[#This Row],[Transaction name]],Transactions[[#This Row],[Transaction name]],IF(Transactions[[#This Row],[Level 2]]=Transactions[[#This Row],[L1N]],Transactions[[#This Row],[Transaction name]],IF(Transactions[[#This Row],[Level 2]]=Transactions[[#This Row],[L2N]],Transactions[[#This Row],[L1N]],IF(Transactions[[#This Row],[Level 2]]=Transactions[[#This Row],[L3N]],Transactions[[#This Row],[L2N]],IF(Transactions[[#This Row],[Level 2]]=Transactions[[#This Row],[L4N]],Transactions[[#This Row],[L3N]],IF(Transactions[[#This Row],[Level 2]]=Transactions[[#This Row],[L5N]],Transactions[[#This Row],[L4N]],IF(Transactions[[#This Row],[Level 2]]=Transactions[[#This Row],[L6N]],Transactions[[#This Row],[L5N]],IF(Transactions[[#This Row],[Level 2]]=Transactions[[#This Row],[L7N]],Transactions[[#This Row],[L6N]],Transactions[[#This Row],[L7N]]))))))))</f>
        <v>Textile and leather (S)</v>
      </c>
      <c r="AV78" s="24" t="str">
        <f>IF(Transactions[[#This Row],[Level 3]]=Transactions[[#This Row],[Transaction name]],Transactions[[#This Row],[Transaction name]],IF(Transactions[[#This Row],[Level 3]]=Transactions[[#This Row],[L1N]],Transactions[[#This Row],[Transaction name]],IF(Transactions[[#This Row],[Level 3]]=Transactions[[#This Row],[L2N]],Transactions[[#This Row],[L1N]],IF(Transactions[[#This Row],[Level 3]]=Transactions[[#This Row],[L3N]],Transactions[[#This Row],[L2N]],IF(Transactions[[#This Row],[Level 3]]=Transactions[[#This Row],[L4N]],Transactions[[#This Row],[L3N]],IF(Transactions[[#This Row],[Level 3]]=Transactions[[#This Row],[L5N]],Transactions[[#This Row],[L4N]],IF(Transactions[[#This Row],[Level 3]]=Transactions[[#This Row],[L6N]],Transactions[[#This Row],[L5N]],IF(Transactions[[#This Row],[Level 3]]=Transactions[[#This Row],[L7N]],Transactions[[#This Row],[L6N]],Transactions[[#This Row],[L7N]]))))))))</f>
        <v>Textile and leather (S)</v>
      </c>
      <c r="AW78" s="24" t="str">
        <f>IF(Transactions[[#This Row],[Level 4]]=Transactions[[#This Row],[Transaction name]],Transactions[[#This Row],[Transaction name]],IF(Transactions[[#This Row],[Level 4]]=Transactions[[#This Row],[L1N]],Transactions[[#This Row],[Transaction name]],IF(Transactions[[#This Row],[Level 4]]=Transactions[[#This Row],[L2N]],Transactions[[#This Row],[L1N]],IF(Transactions[[#This Row],[Level 4]]=Transactions[[#This Row],[L3N]],Transactions[[#This Row],[L2N]],IF(Transactions[[#This Row],[Level 4]]=Transactions[[#This Row],[L4N]],Transactions[[#This Row],[L3N]],IF(Transactions[[#This Row],[Level 4]]=Transactions[[#This Row],[L5N]],Transactions[[#This Row],[L4N]],IF(Transactions[[#This Row],[Level 4]]=Transactions[[#This Row],[L6N]],Transactions[[#This Row],[L5N]],IF(Transactions[[#This Row],[Level 4]]=Transactions[[#This Row],[L7N]],Transactions[[#This Row],[L6N]],Transactions[[#This Row],[L7N]]))))))))</f>
        <v>Textile and leather (S)</v>
      </c>
      <c r="AX78" s="24" t="str">
        <f>IF(Transactions[[#This Row],[Level 5]]=Transactions[[#This Row],[Transaction name]],Transactions[[#This Row],[Transaction name]],IF(Transactions[[#This Row],[Level 5]]=Transactions[[#This Row],[L1N]],Transactions[[#This Row],[Transaction name]],IF(Transactions[[#This Row],[Level 5]]=Transactions[[#This Row],[L2N]],Transactions[[#This Row],[L1N]],IF(Transactions[[#This Row],[Level 5]]=Transactions[[#This Row],[L3N]],Transactions[[#This Row],[L2N]],IF(Transactions[[#This Row],[Level 5]]=Transactions[[#This Row],[L4N]],Transactions[[#This Row],[L3N]],IF(Transactions[[#This Row],[Level 5]]=Transactions[[#This Row],[L5N]],Transactions[[#This Row],[L4N]],IF(Transactions[[#This Row],[Level 5]]=Transactions[[#This Row],[L6N]],Transactions[[#This Row],[L5N]],IF(Transactions[[#This Row],[Level 5]]=Transactions[[#This Row],[L7N]],Transactions[[#This Row],[L6N]],Transactions[[#This Row],[L7N]]))))))))</f>
        <v>Textile and leather (S)</v>
      </c>
      <c r="AY78" s="24" t="str">
        <f>IF(Transactions[[#This Row],[Level 6]]=Transactions[[#This Row],[Transaction name]],Transactions[[#This Row],[Transaction name]],IF(Transactions[[#This Row],[Level 6]]=Transactions[[#This Row],[L1N]],Transactions[[#This Row],[Transaction name]],IF(Transactions[[#This Row],[Level 6]]=Transactions[[#This Row],[L2N]],Transactions[[#This Row],[L1N]],IF(Transactions[[#This Row],[Level 6]]=Transactions[[#This Row],[L3N]],Transactions[[#This Row],[L2N]],IF(Transactions[[#This Row],[Level 6]]=Transactions[[#This Row],[L4N]],Transactions[[#This Row],[L3N]],IF(Transactions[[#This Row],[Level 6]]=Transactions[[#This Row],[L5N]],Transactions[[#This Row],[L4N]],IF(Transactions[[#This Row],[Level 6]]=Transactions[[#This Row],[L6N]],Transactions[[#This Row],[L5N]],IF(Transactions[[#This Row],[Level 6]]=Transactions[[#This Row],[L7N]],Transactions[[#This Row],[L6N]],Transactions[[#This Row],[L7N]]))))))))</f>
        <v>Textile and leather (S)</v>
      </c>
      <c r="BE78" s="26" t="str">
        <f>_xlfn.XLOOKUP(Transformation[[#This Row],[cfrom]],Commodities[Commodity],Commodities[Commodity code])</f>
        <v>0311</v>
      </c>
      <c r="BF78" s="26" t="str">
        <f>_xlfn.XLOOKUP(Transformation[[#This Row],[tfrom]],Transactions[Transaction name],Transactions[Transaction code])</f>
        <v>08821</v>
      </c>
      <c r="BG78" s="26" t="str">
        <f>_xlfn.XLOOKUP(Transformation[[#This Row],[cto]],Commodities[Commodity],Commodities[Commodity code])</f>
        <v>0311</v>
      </c>
      <c r="BH78" s="26" t="str">
        <f>_xlfn.XLOOKUP(Transformation[[#This Row],[tto]],Transactions[Transaction name],Transactions[Transaction code])</f>
        <v>015CSC</v>
      </c>
      <c r="BI78" s="11">
        <v>1</v>
      </c>
      <c r="BJ78" s="4" t="s">
        <v>500</v>
      </c>
      <c r="BK78" s="24" t="str">
        <f>_xlfn.XLOOKUP(Transformation[[#This Row],[Commodity from]],Commodities[Commodity code],Commodities[EnergyCode])</f>
        <v>OK</v>
      </c>
      <c r="BL78" s="4" t="s">
        <v>691</v>
      </c>
      <c r="BM78" s="4" t="s">
        <v>500</v>
      </c>
      <c r="BN78" s="24" t="str">
        <f>_xlfn.XLOOKUP(Transformation[[#This Row],[Commodity to]],Commodities[Commodity code],Commodities[EnergyCode])</f>
        <v>OK</v>
      </c>
      <c r="BO78" s="4" t="s">
        <v>1209</v>
      </c>
      <c r="BP78" s="16" t="s">
        <v>1493</v>
      </c>
      <c r="BQ78" s="33" t="str">
        <f>Transformation[[#This Row],[Commodity from]]&amp;Transformation[[#This Row],[Transaction from]]&amp;Transformation[[#This Row],[Commodity to]]&amp;Transformation[[#This Row],[Transaction to]]</f>
        <v>0311088210311015CSC</v>
      </c>
      <c r="BR78" s="26" t="str">
        <f>Transformation[[#This Row],[crfomid]]&amp;Transformation[[#This Row],[Transaction from]]&amp;"("&amp;Transformation[[#This Row],[Multiplier]]&amp;") -&gt; "&amp;Transformation[[#This Row],[ctoid]]&amp;Transformation[[#This Row],[Transaction to]]</f>
        <v>OK08821(1) -&gt; OK015CSC</v>
      </c>
      <c r="BT78" s="26" t="str">
        <f>_xlfn.XLOOKUP(Signswitch[[#This Row],[Commodity name]],Commodities[Commodity],Commodities[Commodity code])</f>
        <v>5222</v>
      </c>
      <c r="BU78" s="26" t="str">
        <f>_xlfn.XLOOKUP(Signswitch[[#This Row],[Transaction name]],Transactions[Transaction name],Transactions[Transaction code])</f>
        <v>1226</v>
      </c>
      <c r="BV78" s="26" t="str">
        <f>Signswitch[[#This Row],[Commodity from]]&amp;Signswitch[[#This Row],[Transaction from]]</f>
        <v>52221226</v>
      </c>
      <c r="BW78" s="22" t="s">
        <v>962</v>
      </c>
      <c r="BX78" s="26" t="str">
        <f>_xlfn.XLOOKUP(Signswitch[[#This Row],[Commodity from]],Commodities[Commodity code],Commodities[EnergyCode])</f>
        <v>ZD</v>
      </c>
      <c r="BY78" s="22" t="s">
        <v>414</v>
      </c>
    </row>
    <row r="79" spans="8:77" x14ac:dyDescent="0.45">
      <c r="H79" s="5" t="s">
        <v>364</v>
      </c>
      <c r="I79" s="4" t="s">
        <v>363</v>
      </c>
      <c r="J79" s="9" t="s">
        <v>347</v>
      </c>
      <c r="K79" s="14" t="s">
        <v>1486</v>
      </c>
      <c r="L79" s="23" t="str">
        <f>IFERROR(INDEX(Commodities[[Commodity code]:[Commodity]],MATCH(Commodities[[#This Row],[Parent code]],Commodities[Commodity code],0),2),Commodities[[#This Row],[Commodity]])</f>
        <v>Other oil products</v>
      </c>
      <c r="M79" s="24" t="str">
        <f>IFERROR(INDEX(Commodities[[Commodity code]:[Commodity]],MATCH(INDEX(Commodities[[Commodity]:[Parent code]],MATCH(Commodities[[#This Row],[L1N]],Commodities[Commodity],0),2),Commodities[Commodity code],0),2),Commodities[[#This Row],[L1N]])</f>
        <v>Oil products</v>
      </c>
      <c r="N79" s="24" t="str">
        <f>IFERROR(INDEX(Commodities[[Commodity code]:[Commodity]],MATCH(INDEX(Commodities[[Commodity]:[Parent code]],MATCH(Commodities[[#This Row],[L2N]],Commodities[Commodity],0),2),Commodities[Commodity code],0),2),Commodities[[#This Row],[L2N]])</f>
        <v>Oil</v>
      </c>
      <c r="O79" s="24" t="str">
        <f>IFERROR(INDEX(Commodities[[Commodity code]:[Commodity]],MATCH(INDEX(Commodities[[Commodity]:[Parent code]],MATCH(Commodities[[#This Row],[L3N]],Commodities[Commodity],0),2),Commodities[Commodity code],0),2),Commodities[[#This Row],[L3N]])</f>
        <v>Oil</v>
      </c>
      <c r="P79" s="24" t="str">
        <f>IF(Commodities[[#This Row],[L4N]]=Commodities[[#This Row],[L3N]],Commodities[[#This Row],[L4N]],IF(Commodities[[#This Row],[L3N]]=Commodities[[#This Row],[L2N]],Commodities[[#This Row],[L3N]],IF(Commodities[[#This Row],[L2N]]=Commodities[[#This Row],[L1N]],Commodities[[#This Row],[L2N]],IF(Commodities[[#This Row],[L1N]]=Commodities[[#This Row],[Commodity]],Commodities[[#This Row],[L1N]],Commodities[[#This Row],[Commodity]]))))</f>
        <v>Oil</v>
      </c>
      <c r="Q79" s="24" t="str">
        <f>IF(Commodities[[#This Row],[Level 0]]=Commodities[[#This Row],[Commodity]],Commodities[[#This Row],[Commodity]],IF(Commodities[[#This Row],[Level 0]]=Commodities[[#This Row],[L1N]],Commodities[[#This Row],[Commodity]],IF(Commodities[[#This Row],[Level 0]]=Commodities[[#This Row],[L2N]],Commodities[[#This Row],[L1N]],IF(Commodities[[#This Row],[Level 0]]=Commodities[[#This Row],[L3N]],Commodities[[#This Row],[L2N]],IF(Commodities[[#This Row],[Level 0]]=Commodities[[#This Row],[L4N]],Commodities[[#This Row],[L3N]],Commodities[[#This Row],[L4N]])))))</f>
        <v>Oil products</v>
      </c>
      <c r="R79" s="24" t="str">
        <f>IF(Commodities[[#This Row],[Level 1]]=Commodities[[#This Row],[Commodity]],Commodities[[#This Row],[Commodity]],IF(Commodities[[#This Row],[Level 1]]=Commodities[[#This Row],[L1N]],Commodities[[#This Row],[Commodity]],IF(Commodities[[#This Row],[Level 1]]=Commodities[[#This Row],[L2N]],Commodities[[#This Row],[L1N]],IF(Commodities[[#This Row],[Level 1]]=Commodities[[#This Row],[L3N]],Commodities[[#This Row],[L2N]],IF(Commodities[[#This Row],[Level 1]]=Commodities[[#This Row],[L4N]],Commodities[[#This Row],[L3N]],Commodities[[#This Row],[L4N]])))))</f>
        <v>Other oil products</v>
      </c>
      <c r="S79" s="24" t="str">
        <f>IF(Commodities[[#This Row],[Level 2]]=Commodities[[#This Row],[Commodity]],Commodities[[#This Row],[Commodity]],IF(Commodities[[#This Row],[Level 2]]=Commodities[[#This Row],[L1N]],Commodities[[#This Row],[Commodity]],IF(Commodities[[#This Row],[Level 2]]=Commodities[[#This Row],[L2N]],Commodities[[#This Row],[L1N]],IF(Commodities[[#This Row],[Level 2]]=Commodities[[#This Row],[L3N]],Commodities[[#This Row],[L2N]],IF(Commodities[[#This Row],[Level 2]]=Commodities[[#This Row],[L4N]],Commodities[[#This Row],[L3N]],Commodities[[#This Row],[L4N]])))))</f>
        <v>White spirit</v>
      </c>
      <c r="T79" s="24" t="str">
        <f>IF(Commodities[[#This Row],[Level 3]]=Commodities[[#This Row],[Commodity]],Commodities[[#This Row],[Commodity]],IF(Commodities[[#This Row],[Level 3]]=Commodities[[#This Row],[L1N]],Commodities[[#This Row],[Commodity]],IF(Commodities[[#This Row],[Level 3]]=Commodities[[#This Row],[L2N]],Commodities[[#This Row],[L1N]],IF(Commodities[[#This Row],[Level 3]]=Commodities[[#This Row],[L3N]],Commodities[[#This Row],[L2N]],IF(Commodities[[#This Row],[Level 3]]=Commodities[[#This Row],[L4N]],Commodities[[#This Row],[L3N]],Commodities[[#This Row],[L4N]])))))</f>
        <v>White spirit</v>
      </c>
      <c r="U79" s="24" t="str">
        <f>IF(Commodities[[#This Row],[Level 4]]=Commodities[[#This Row],[Commodity]],Commodities[[#This Row],[Commodity]],IF(Commodities[[#This Row],[Level 4]]=Commodities[[#This Row],[L1N]],Commodities[[#This Row],[Commodity]],IF(Commodities[[#This Row],[Level 4]]=Commodities[[#This Row],[L2N]],Commodities[[#This Row],[L1N]],IF(Commodities[[#This Row],[Level 4]]=Commodities[[#This Row],[L3N]],Commodities[[#This Row],[L2N]],IF(Commodities[[#This Row],[Level 4]]=Commodities[[#This Row],[L4N]],Commodities[[#This Row],[L3N]],Commodities[[#This Row],[L4N]])))))</f>
        <v>White spirit</v>
      </c>
      <c r="Y79" s="4" t="s">
        <v>470</v>
      </c>
      <c r="Z79" s="4" t="s">
        <v>884</v>
      </c>
      <c r="AA79" s="4" t="s">
        <v>884</v>
      </c>
      <c r="AB79" s="4" t="s">
        <v>437</v>
      </c>
      <c r="AC79" s="24" t="str">
        <f>IFERROR(VLOOKUP(Transactions[[#This Row],[Parent code]],Transactions[[Transaction code]:[Transaction name]],2,0),"")</f>
        <v>Manufacturing, construction and non-fuel mining industries (S)</v>
      </c>
      <c r="AD79" s="4" t="s">
        <v>630</v>
      </c>
      <c r="AF79" s="4" t="s">
        <v>642</v>
      </c>
      <c r="AG79" s="4" t="s">
        <v>385</v>
      </c>
      <c r="AK79" s="24" t="str" cm="1">
        <f t="array" ref="AK79">IFERROR(INDEX(Transactions[[Transaction code]:[Transaction name]],_xlfn.XMATCH(Transactions[[#This Row],[Parent code]],Transactions[Transaction name],0),3),Transactions[[#This Row],[Transaction name]])</f>
        <v>Transport equipment (S)</v>
      </c>
      <c r="AL79" s="24" t="str" cm="1">
        <f t="array" ref="AL79">IFERROR(INDEX(Transactions[[Transaction code]:[Transaction name]],_xlfn.XMATCH(INDEX(Transactions[[Transaction name]:[Parent code]],_xlfn.XMATCH(Transactions[[#This Row],[L1N]],Transactions[Transaction name],0),3),Transactions[Transaction code],0),2),Transactions[[#This Row],[L1N]])</f>
        <v>Manufacturing, construction and non-fuel mining industries (S)</v>
      </c>
      <c r="AM79" s="24" t="str" cm="1">
        <f t="array" ref="AM79">IFERROR(INDEX(Transactions[[Transaction code]:[Transaction name]],_xlfn.XMATCH(INDEX(Transactions[[Transaction name]:[Parent code]],_xlfn.XMATCH(Transactions[[#This Row],[L2N]],Transactions[Transaction name],0),3),Transactions[Transaction code],0),2),Transactions[[#This Row],[L2N]])</f>
        <v>Final Energy Consumption (S)</v>
      </c>
      <c r="AN79" s="24" t="str" cm="1">
        <f t="array" ref="AN79">IFERROR(INDEX(Transactions[[Transaction code]:[Transaction name]],_xlfn.XMATCH(INDEX(Transactions[[Transaction name]:[Parent code]],_xlfn.XMATCH(Transactions[[#This Row],[L3N]],Transactions[Transaction name],0),3),Transactions[Transaction code],0),2),Transactions[[#This Row],[L3N]])</f>
        <v>Final consumption (S)</v>
      </c>
      <c r="AO79" s="24" t="str" cm="1">
        <f t="array" ref="AO79">IFERROR(INDEX(Transactions[[Transaction code]:[Transaction name]],_xlfn.XMATCH(INDEX(Transactions[[Transaction name]:[Parent code]],_xlfn.XMATCH(Transactions[[#This Row],[L4N]],Transactions[Transaction name],0),3),Transactions[Transaction code],0),2),Transactions[[#This Row],[L4N]])</f>
        <v>Final consumption (S)</v>
      </c>
      <c r="AP79" s="24" t="str" cm="1">
        <f t="array" ref="AP79">IFERROR(INDEX(Transactions[[Transaction code]:[Transaction name]],_xlfn.XMATCH(INDEX(Transactions[[Transaction name]:[Parent code]],_xlfn.XMATCH(Transactions[[#This Row],[L5N]],Transactions[Transaction name],0),3),Transactions[Transaction code],0),2),Transactions[[#This Row],[L5N]])</f>
        <v>Final consumption (S)</v>
      </c>
      <c r="AQ79" s="24" t="str" cm="1">
        <f t="array" ref="AQ79">IFERROR(INDEX(Transactions[[Transaction code]:[Transaction name]],_xlfn.XMATCH(INDEX(Transactions[[Transaction name]:[Parent code]],_xlfn.XMATCH(Transactions[[#This Row],[L6N]],Transactions[Transaction name],0),3),Transactions[Transaction code],0),2),Transactions[[#This Row],[L6N]])</f>
        <v>Final consumption (S)</v>
      </c>
      <c r="AR79" s="28" t="str">
        <f>IF(Transactions[[#This Row],[L7N]]=Transactions[[#This Row],[L6N]],Transactions[[#This Row],[L7N]],IF(Transactions[[#This Row],[L6N]]=Transactions[[#This Row],[L5N]],Transactions[[#This Row],[L6N]],IF(Transactions[[#This Row],[L5N]]=Transactions[[#This Row],[L4N]],Transactions[[#This Row],[L5N]],IF(Transactions[[#This Row],[L4N]]=Transactions[[#This Row],[L3N]],Transactions[[#This Row],[L4N]],IF(Transactions[[#This Row],[L3N]]=Transactions[[#This Row],[L2N]],Transactions[[#This Row],[L3N]],IF(Transactions[[#This Row],[L2N]]=Transactions[[#This Row],[L1N]],Transactions[[#This Row],[L2N]],IF(Transactions[[#This Row],[L1N]]=Transactions[[#This Row],[Transaction name]],Transactions[[#This Row],[L1N]],Transactions[[#This Row],[Transaction name]])))))))</f>
        <v>Final consumption (S)</v>
      </c>
      <c r="AS79" s="24" t="str">
        <f>IF(Transactions[[#This Row],[Level 0]]=Transactions[[#This Row],[Transaction name]],Transactions[[#This Row],[Transaction name]],IF(Transactions[[#This Row],[Level 0]]=Transactions[[#This Row],[L1N]],Transactions[[#This Row],[Transaction name]],IF(Transactions[[#This Row],[Level 0]]=Transactions[[#This Row],[L2N]],Transactions[[#This Row],[L1N]],IF(Transactions[[#This Row],[Level 0]]=Transactions[[#This Row],[L3N]],Transactions[[#This Row],[L2N]],IF(Transactions[[#This Row],[Level 0]]=Transactions[[#This Row],[L4N]],Transactions[[#This Row],[L3N]],IF(Transactions[[#This Row],[Level 0]]=Transactions[[#This Row],[L5N]],Transactions[[#This Row],[L4N]],IF(Transactions[[#This Row],[Level 0]]=Transactions[[#This Row],[L6N]],Transactions[[#This Row],[L5N]],IF(Transactions[[#This Row],[Level 0]]=Transactions[[#This Row],[L7N]],Transactions[[#This Row],[L6N]],Transactions[[#This Row],[L7N]]))))))))</f>
        <v>Final Energy Consumption (S)</v>
      </c>
      <c r="AT79" s="24" t="str">
        <f>IF(Transactions[[#This Row],[Level 1]]=Transactions[[#This Row],[Transaction name]],Transactions[[#This Row],[Transaction name]],IF(Transactions[[#This Row],[Level 1]]=Transactions[[#This Row],[L1N]],Transactions[[#This Row],[Transaction name]],IF(Transactions[[#This Row],[Level 1]]=Transactions[[#This Row],[L2N]],Transactions[[#This Row],[L1N]],IF(Transactions[[#This Row],[Level 1]]=Transactions[[#This Row],[L3N]],Transactions[[#This Row],[L2N]],IF(Transactions[[#This Row],[Level 1]]=Transactions[[#This Row],[L4N]],Transactions[[#This Row],[L3N]],IF(Transactions[[#This Row],[Level 1]]=Transactions[[#This Row],[L5N]],Transactions[[#This Row],[L4N]],IF(Transactions[[#This Row],[Level 1]]=Transactions[[#This Row],[L6N]],Transactions[[#This Row],[L5N]],IF(Transactions[[#This Row],[Level 1]]=Transactions[[#This Row],[L7N]],Transactions[[#This Row],[L6N]],Transactions[[#This Row],[L7N]]))))))))</f>
        <v>Manufacturing, construction and non-fuel mining industries (S)</v>
      </c>
      <c r="AU79" s="24" t="str">
        <f>IF(Transactions[[#This Row],[Level 2]]=Transactions[[#This Row],[Transaction name]],Transactions[[#This Row],[Transaction name]],IF(Transactions[[#This Row],[Level 2]]=Transactions[[#This Row],[L1N]],Transactions[[#This Row],[Transaction name]],IF(Transactions[[#This Row],[Level 2]]=Transactions[[#This Row],[L2N]],Transactions[[#This Row],[L1N]],IF(Transactions[[#This Row],[Level 2]]=Transactions[[#This Row],[L3N]],Transactions[[#This Row],[L2N]],IF(Transactions[[#This Row],[Level 2]]=Transactions[[#This Row],[L4N]],Transactions[[#This Row],[L3N]],IF(Transactions[[#This Row],[Level 2]]=Transactions[[#This Row],[L5N]],Transactions[[#This Row],[L4N]],IF(Transactions[[#This Row],[Level 2]]=Transactions[[#This Row],[L6N]],Transactions[[#This Row],[L5N]],IF(Transactions[[#This Row],[Level 2]]=Transactions[[#This Row],[L7N]],Transactions[[#This Row],[L6N]],Transactions[[#This Row],[L7N]]))))))))</f>
        <v>Transport equipment (S)</v>
      </c>
      <c r="AV79" s="24" t="str">
        <f>IF(Transactions[[#This Row],[Level 3]]=Transactions[[#This Row],[Transaction name]],Transactions[[#This Row],[Transaction name]],IF(Transactions[[#This Row],[Level 3]]=Transactions[[#This Row],[L1N]],Transactions[[#This Row],[Transaction name]],IF(Transactions[[#This Row],[Level 3]]=Transactions[[#This Row],[L2N]],Transactions[[#This Row],[L1N]],IF(Transactions[[#This Row],[Level 3]]=Transactions[[#This Row],[L3N]],Transactions[[#This Row],[L2N]],IF(Transactions[[#This Row],[Level 3]]=Transactions[[#This Row],[L4N]],Transactions[[#This Row],[L3N]],IF(Transactions[[#This Row],[Level 3]]=Transactions[[#This Row],[L5N]],Transactions[[#This Row],[L4N]],IF(Transactions[[#This Row],[Level 3]]=Transactions[[#This Row],[L6N]],Transactions[[#This Row],[L5N]],IF(Transactions[[#This Row],[Level 3]]=Transactions[[#This Row],[L7N]],Transactions[[#This Row],[L6N]],Transactions[[#This Row],[L7N]]))))))))</f>
        <v>Transport equipment (S)</v>
      </c>
      <c r="AW79" s="24" t="str">
        <f>IF(Transactions[[#This Row],[Level 4]]=Transactions[[#This Row],[Transaction name]],Transactions[[#This Row],[Transaction name]],IF(Transactions[[#This Row],[Level 4]]=Transactions[[#This Row],[L1N]],Transactions[[#This Row],[Transaction name]],IF(Transactions[[#This Row],[Level 4]]=Transactions[[#This Row],[L2N]],Transactions[[#This Row],[L1N]],IF(Transactions[[#This Row],[Level 4]]=Transactions[[#This Row],[L3N]],Transactions[[#This Row],[L2N]],IF(Transactions[[#This Row],[Level 4]]=Transactions[[#This Row],[L4N]],Transactions[[#This Row],[L3N]],IF(Transactions[[#This Row],[Level 4]]=Transactions[[#This Row],[L5N]],Transactions[[#This Row],[L4N]],IF(Transactions[[#This Row],[Level 4]]=Transactions[[#This Row],[L6N]],Transactions[[#This Row],[L5N]],IF(Transactions[[#This Row],[Level 4]]=Transactions[[#This Row],[L7N]],Transactions[[#This Row],[L6N]],Transactions[[#This Row],[L7N]]))))))))</f>
        <v>Transport equipment (S)</v>
      </c>
      <c r="AX79" s="24" t="str">
        <f>IF(Transactions[[#This Row],[Level 5]]=Transactions[[#This Row],[Transaction name]],Transactions[[#This Row],[Transaction name]],IF(Transactions[[#This Row],[Level 5]]=Transactions[[#This Row],[L1N]],Transactions[[#This Row],[Transaction name]],IF(Transactions[[#This Row],[Level 5]]=Transactions[[#This Row],[L2N]],Transactions[[#This Row],[L1N]],IF(Transactions[[#This Row],[Level 5]]=Transactions[[#This Row],[L3N]],Transactions[[#This Row],[L2N]],IF(Transactions[[#This Row],[Level 5]]=Transactions[[#This Row],[L4N]],Transactions[[#This Row],[L3N]],IF(Transactions[[#This Row],[Level 5]]=Transactions[[#This Row],[L5N]],Transactions[[#This Row],[L4N]],IF(Transactions[[#This Row],[Level 5]]=Transactions[[#This Row],[L6N]],Transactions[[#This Row],[L5N]],IF(Transactions[[#This Row],[Level 5]]=Transactions[[#This Row],[L7N]],Transactions[[#This Row],[L6N]],Transactions[[#This Row],[L7N]]))))))))</f>
        <v>Transport equipment (S)</v>
      </c>
      <c r="AY79" s="24" t="str">
        <f>IF(Transactions[[#This Row],[Level 6]]=Transactions[[#This Row],[Transaction name]],Transactions[[#This Row],[Transaction name]],IF(Transactions[[#This Row],[Level 6]]=Transactions[[#This Row],[L1N]],Transactions[[#This Row],[Transaction name]],IF(Transactions[[#This Row],[Level 6]]=Transactions[[#This Row],[L2N]],Transactions[[#This Row],[L1N]],IF(Transactions[[#This Row],[Level 6]]=Transactions[[#This Row],[L3N]],Transactions[[#This Row],[L2N]],IF(Transactions[[#This Row],[Level 6]]=Transactions[[#This Row],[L4N]],Transactions[[#This Row],[L3N]],IF(Transactions[[#This Row],[Level 6]]=Transactions[[#This Row],[L5N]],Transactions[[#This Row],[L4N]],IF(Transactions[[#This Row],[Level 6]]=Transactions[[#This Row],[L6N]],Transactions[[#This Row],[L5N]],IF(Transactions[[#This Row],[Level 6]]=Transactions[[#This Row],[L7N]],Transactions[[#This Row],[L6N]],Transactions[[#This Row],[L7N]]))))))))</f>
        <v>Transport equipment (S)</v>
      </c>
      <c r="BE79" s="26" t="str">
        <f>_xlfn.XLOOKUP(Transformation[[#This Row],[cfrom]],Commodities[Commodity],Commodities[Commodity code])</f>
        <v>5290</v>
      </c>
      <c r="BF79" s="26" t="str">
        <f>_xlfn.XLOOKUP(Transformation[[#This Row],[tfrom]],Transactions[Transaction name],Transactions[Transaction code])</f>
        <v>08821</v>
      </c>
      <c r="BG79" s="26" t="str">
        <f>_xlfn.XLOOKUP(Transformation[[#This Row],[cto]],Commodities[Commodity],Commodities[Commodity code])</f>
        <v>5290</v>
      </c>
      <c r="BH79" s="26" t="str">
        <f>_xlfn.XLOOKUP(Transformation[[#This Row],[tto]],Transactions[Transaction name],Transactions[Transaction code])</f>
        <v>015BLC</v>
      </c>
      <c r="BI79" s="11">
        <v>1</v>
      </c>
      <c r="BJ79" s="4" t="s">
        <v>301</v>
      </c>
      <c r="BK79" s="24" t="str">
        <f>_xlfn.XLOOKUP(Transformation[[#This Row],[Commodity from]],Commodities[Commodity code],Commodities[EnergyCode])</f>
        <v>OL</v>
      </c>
      <c r="BL79" s="4" t="s">
        <v>691</v>
      </c>
      <c r="BM79" s="4" t="s">
        <v>301</v>
      </c>
      <c r="BN79" s="24" t="str">
        <f>_xlfn.XLOOKUP(Transformation[[#This Row],[Commodity to]],Commodities[Commodity code],Commodities[EnergyCode])</f>
        <v>OL</v>
      </c>
      <c r="BO79" s="4" t="s">
        <v>1074</v>
      </c>
      <c r="BP79" s="16" t="s">
        <v>1493</v>
      </c>
      <c r="BQ79" s="33" t="str">
        <f>Transformation[[#This Row],[Commodity from]]&amp;Transformation[[#This Row],[Transaction from]]&amp;Transformation[[#This Row],[Commodity to]]&amp;Transformation[[#This Row],[Transaction to]]</f>
        <v>5290088215290015BLC</v>
      </c>
      <c r="BR79" s="26" t="str">
        <f>Transformation[[#This Row],[crfomid]]&amp;Transformation[[#This Row],[Transaction from]]&amp;"("&amp;Transformation[[#This Row],[Multiplier]]&amp;") -&gt; "&amp;Transformation[[#This Row],[ctoid]]&amp;Transformation[[#This Row],[Transaction to]]</f>
        <v>OL08821(1) -&gt; OL015BLC</v>
      </c>
      <c r="BT79" s="26" t="str">
        <f>_xlfn.XLOOKUP(Signswitch[[#This Row],[Commodity name]],Commodities[Commodity],Commodities[Commodity code])</f>
        <v>5212</v>
      </c>
      <c r="BU79" s="26" t="str">
        <f>_xlfn.XLOOKUP(Signswitch[[#This Row],[Transaction name]],Transactions[Transaction name],Transactions[Transaction code])</f>
        <v>1226</v>
      </c>
      <c r="BV79" s="26" t="str">
        <f>Signswitch[[#This Row],[Commodity from]]&amp;Signswitch[[#This Row],[Transaction from]]</f>
        <v>52121226</v>
      </c>
      <c r="BW79" s="22" t="s">
        <v>317</v>
      </c>
      <c r="BX79" s="26" t="str">
        <f>_xlfn.XLOOKUP(Signswitch[[#This Row],[Commodity from]],Commodities[Commodity code],Commodities[EnergyCode])</f>
        <v>ZG</v>
      </c>
      <c r="BY79" s="22" t="s">
        <v>414</v>
      </c>
    </row>
    <row r="80" spans="8:77" x14ac:dyDescent="0.45">
      <c r="H80" s="5" t="s">
        <v>313</v>
      </c>
      <c r="I80" s="4" t="s">
        <v>962</v>
      </c>
      <c r="J80" s="9" t="s">
        <v>312</v>
      </c>
      <c r="K80" s="14" t="s">
        <v>1478</v>
      </c>
      <c r="L80" s="23" t="str">
        <f>IFERROR(INDEX(Commodities[[Commodity code]:[Commodity]],MATCH(Commodities[[#This Row],[Parent code]],Commodities[Commodity code],0),2),Commodities[[#This Row],[Commodity]])</f>
        <v>Biodiesels</v>
      </c>
      <c r="M80" s="24" t="str">
        <f>IFERROR(INDEX(Commodities[[Commodity code]:[Commodity]],MATCH(INDEX(Commodities[[Commodity]:[Parent code]],MATCH(Commodities[[#This Row],[L1N]],Commodities[Commodity],0),2),Commodities[Commodity code],0),2),Commodities[[#This Row],[L1N]])</f>
        <v>Liquid biofuels</v>
      </c>
      <c r="N80" s="24" t="str">
        <f>IFERROR(INDEX(Commodities[[Commodity code]:[Commodity]],MATCH(INDEX(Commodities[[Commodity]:[Parent code]],MATCH(Commodities[[#This Row],[L2N]],Commodities[Commodity],0),2),Commodities[Commodity code],0),2),Commodities[[#This Row],[L2N]])</f>
        <v>Biofuels</v>
      </c>
      <c r="O80" s="24" t="str">
        <f>IFERROR(INDEX(Commodities[[Commodity code]:[Commodity]],MATCH(INDEX(Commodities[[Commodity]:[Parent code]],MATCH(Commodities[[#This Row],[L3N]],Commodities[Commodity],0),2),Commodities[Commodity code],0),2),Commodities[[#This Row],[L3N]])</f>
        <v>Biofuels</v>
      </c>
      <c r="P80" s="24" t="str">
        <f>IF(Commodities[[#This Row],[L4N]]=Commodities[[#This Row],[L3N]],Commodities[[#This Row],[L4N]],IF(Commodities[[#This Row],[L3N]]=Commodities[[#This Row],[L2N]],Commodities[[#This Row],[L3N]],IF(Commodities[[#This Row],[L2N]]=Commodities[[#This Row],[L1N]],Commodities[[#This Row],[L2N]],IF(Commodities[[#This Row],[L1N]]=Commodities[[#This Row],[Commodity]],Commodities[[#This Row],[L1N]],Commodities[[#This Row],[Commodity]]))))</f>
        <v>Biofuels</v>
      </c>
      <c r="Q80" s="24" t="str">
        <f>IF(Commodities[[#This Row],[Level 0]]=Commodities[[#This Row],[Commodity]],Commodities[[#This Row],[Commodity]],IF(Commodities[[#This Row],[Level 0]]=Commodities[[#This Row],[L1N]],Commodities[[#This Row],[Commodity]],IF(Commodities[[#This Row],[Level 0]]=Commodities[[#This Row],[L2N]],Commodities[[#This Row],[L1N]],IF(Commodities[[#This Row],[Level 0]]=Commodities[[#This Row],[L3N]],Commodities[[#This Row],[L2N]],IF(Commodities[[#This Row],[Level 0]]=Commodities[[#This Row],[L4N]],Commodities[[#This Row],[L3N]],Commodities[[#This Row],[L4N]])))))</f>
        <v>Liquid biofuels</v>
      </c>
      <c r="R80" s="24" t="str">
        <f>IF(Commodities[[#This Row],[Level 1]]=Commodities[[#This Row],[Commodity]],Commodities[[#This Row],[Commodity]],IF(Commodities[[#This Row],[Level 1]]=Commodities[[#This Row],[L1N]],Commodities[[#This Row],[Commodity]],IF(Commodities[[#This Row],[Level 1]]=Commodities[[#This Row],[L2N]],Commodities[[#This Row],[L1N]],IF(Commodities[[#This Row],[Level 1]]=Commodities[[#This Row],[L3N]],Commodities[[#This Row],[L2N]],IF(Commodities[[#This Row],[Level 1]]=Commodities[[#This Row],[L4N]],Commodities[[#This Row],[L3N]],Commodities[[#This Row],[L4N]])))))</f>
        <v>Biodiesels</v>
      </c>
      <c r="S80" s="24" t="str">
        <f>IF(Commodities[[#This Row],[Level 2]]=Commodities[[#This Row],[Commodity]],Commodities[[#This Row],[Commodity]],IF(Commodities[[#This Row],[Level 2]]=Commodities[[#This Row],[L1N]],Commodities[[#This Row],[Commodity]],IF(Commodities[[#This Row],[Level 2]]=Commodities[[#This Row],[L2N]],Commodities[[#This Row],[L1N]],IF(Commodities[[#This Row],[Level 2]]=Commodities[[#This Row],[L3N]],Commodities[[#This Row],[L2N]],IF(Commodities[[#This Row],[Level 2]]=Commodities[[#This Row],[L4N]],Commodities[[#This Row],[L3N]],Commodities[[#This Row],[L4N]])))))</f>
        <v>Conventional biodiesel</v>
      </c>
      <c r="T80" s="24" t="str">
        <f>IF(Commodities[[#This Row],[Level 3]]=Commodities[[#This Row],[Commodity]],Commodities[[#This Row],[Commodity]],IF(Commodities[[#This Row],[Level 3]]=Commodities[[#This Row],[L1N]],Commodities[[#This Row],[Commodity]],IF(Commodities[[#This Row],[Level 3]]=Commodities[[#This Row],[L2N]],Commodities[[#This Row],[L1N]],IF(Commodities[[#This Row],[Level 3]]=Commodities[[#This Row],[L3N]],Commodities[[#This Row],[L2N]],IF(Commodities[[#This Row],[Level 3]]=Commodities[[#This Row],[L4N]],Commodities[[#This Row],[L3N]],Commodities[[#This Row],[L4N]])))))</f>
        <v>Conventional biodiesel</v>
      </c>
      <c r="U80" s="24" t="str">
        <f>IF(Commodities[[#This Row],[Level 4]]=Commodities[[#This Row],[Commodity]],Commodities[[#This Row],[Commodity]],IF(Commodities[[#This Row],[Level 4]]=Commodities[[#This Row],[L1N]],Commodities[[#This Row],[Commodity]],IF(Commodities[[#This Row],[Level 4]]=Commodities[[#This Row],[L2N]],Commodities[[#This Row],[L1N]],IF(Commodities[[#This Row],[Level 4]]=Commodities[[#This Row],[L3N]],Commodities[[#This Row],[L2N]],IF(Commodities[[#This Row],[Level 4]]=Commodities[[#This Row],[L4N]],Commodities[[#This Row],[L3N]],Commodities[[#This Row],[L4N]])))))</f>
        <v>Conventional biodiesel</v>
      </c>
      <c r="Y80" s="4" t="s">
        <v>449</v>
      </c>
      <c r="Z80" s="4" t="s">
        <v>886</v>
      </c>
      <c r="AA80" s="4" t="s">
        <v>886</v>
      </c>
      <c r="AB80" s="4" t="s">
        <v>437</v>
      </c>
      <c r="AC80" s="24" t="str">
        <f>IFERROR(VLOOKUP(Transactions[[#This Row],[Parent code]],Transactions[[Transaction code]:[Transaction name]],2,0),"")</f>
        <v>Manufacturing, construction and non-fuel mining industries (S)</v>
      </c>
      <c r="AD80" s="4" t="s">
        <v>630</v>
      </c>
      <c r="AF80" s="4" t="s">
        <v>642</v>
      </c>
      <c r="AG80" s="4" t="s">
        <v>385</v>
      </c>
      <c r="AK80" s="24" t="str" cm="1">
        <f t="array" ref="AK80">IFERROR(INDEX(Transactions[[Transaction code]:[Transaction name]],_xlfn.XMATCH(Transactions[[#This Row],[Parent code]],Transactions[Transaction name],0),3),Transactions[[#This Row],[Transaction name]])</f>
        <v>Wood and wood products (S)</v>
      </c>
      <c r="AL80" s="24" t="str" cm="1">
        <f t="array" ref="AL80">IFERROR(INDEX(Transactions[[Transaction code]:[Transaction name]],_xlfn.XMATCH(INDEX(Transactions[[Transaction name]:[Parent code]],_xlfn.XMATCH(Transactions[[#This Row],[L1N]],Transactions[Transaction name],0),3),Transactions[Transaction code],0),2),Transactions[[#This Row],[L1N]])</f>
        <v>Manufacturing, construction and non-fuel mining industries (S)</v>
      </c>
      <c r="AM80" s="24" t="str" cm="1">
        <f t="array" ref="AM80">IFERROR(INDEX(Transactions[[Transaction code]:[Transaction name]],_xlfn.XMATCH(INDEX(Transactions[[Transaction name]:[Parent code]],_xlfn.XMATCH(Transactions[[#This Row],[L2N]],Transactions[Transaction name],0),3),Transactions[Transaction code],0),2),Transactions[[#This Row],[L2N]])</f>
        <v>Final Energy Consumption (S)</v>
      </c>
      <c r="AN80" s="24" t="str" cm="1">
        <f t="array" ref="AN80">IFERROR(INDEX(Transactions[[Transaction code]:[Transaction name]],_xlfn.XMATCH(INDEX(Transactions[[Transaction name]:[Parent code]],_xlfn.XMATCH(Transactions[[#This Row],[L3N]],Transactions[Transaction name],0),3),Transactions[Transaction code],0),2),Transactions[[#This Row],[L3N]])</f>
        <v>Final consumption (S)</v>
      </c>
      <c r="AO80" s="24" t="str" cm="1">
        <f t="array" ref="AO80">IFERROR(INDEX(Transactions[[Transaction code]:[Transaction name]],_xlfn.XMATCH(INDEX(Transactions[[Transaction name]:[Parent code]],_xlfn.XMATCH(Transactions[[#This Row],[L4N]],Transactions[Transaction name],0),3),Transactions[Transaction code],0),2),Transactions[[#This Row],[L4N]])</f>
        <v>Final consumption (S)</v>
      </c>
      <c r="AP80" s="24" t="str" cm="1">
        <f t="array" ref="AP80">IFERROR(INDEX(Transactions[[Transaction code]:[Transaction name]],_xlfn.XMATCH(INDEX(Transactions[[Transaction name]:[Parent code]],_xlfn.XMATCH(Transactions[[#This Row],[L5N]],Transactions[Transaction name],0),3),Transactions[Transaction code],0),2),Transactions[[#This Row],[L5N]])</f>
        <v>Final consumption (S)</v>
      </c>
      <c r="AQ80" s="24" t="str" cm="1">
        <f t="array" ref="AQ80">IFERROR(INDEX(Transactions[[Transaction code]:[Transaction name]],_xlfn.XMATCH(INDEX(Transactions[[Transaction name]:[Parent code]],_xlfn.XMATCH(Transactions[[#This Row],[L6N]],Transactions[Transaction name],0),3),Transactions[Transaction code],0),2),Transactions[[#This Row],[L6N]])</f>
        <v>Final consumption (S)</v>
      </c>
      <c r="AR80" s="28" t="str">
        <f>IF(Transactions[[#This Row],[L7N]]=Transactions[[#This Row],[L6N]],Transactions[[#This Row],[L7N]],IF(Transactions[[#This Row],[L6N]]=Transactions[[#This Row],[L5N]],Transactions[[#This Row],[L6N]],IF(Transactions[[#This Row],[L5N]]=Transactions[[#This Row],[L4N]],Transactions[[#This Row],[L5N]],IF(Transactions[[#This Row],[L4N]]=Transactions[[#This Row],[L3N]],Transactions[[#This Row],[L4N]],IF(Transactions[[#This Row],[L3N]]=Transactions[[#This Row],[L2N]],Transactions[[#This Row],[L3N]],IF(Transactions[[#This Row],[L2N]]=Transactions[[#This Row],[L1N]],Transactions[[#This Row],[L2N]],IF(Transactions[[#This Row],[L1N]]=Transactions[[#This Row],[Transaction name]],Transactions[[#This Row],[L1N]],Transactions[[#This Row],[Transaction name]])))))))</f>
        <v>Final consumption (S)</v>
      </c>
      <c r="AS80" s="24" t="str">
        <f>IF(Transactions[[#This Row],[Level 0]]=Transactions[[#This Row],[Transaction name]],Transactions[[#This Row],[Transaction name]],IF(Transactions[[#This Row],[Level 0]]=Transactions[[#This Row],[L1N]],Transactions[[#This Row],[Transaction name]],IF(Transactions[[#This Row],[Level 0]]=Transactions[[#This Row],[L2N]],Transactions[[#This Row],[L1N]],IF(Transactions[[#This Row],[Level 0]]=Transactions[[#This Row],[L3N]],Transactions[[#This Row],[L2N]],IF(Transactions[[#This Row],[Level 0]]=Transactions[[#This Row],[L4N]],Transactions[[#This Row],[L3N]],IF(Transactions[[#This Row],[Level 0]]=Transactions[[#This Row],[L5N]],Transactions[[#This Row],[L4N]],IF(Transactions[[#This Row],[Level 0]]=Transactions[[#This Row],[L6N]],Transactions[[#This Row],[L5N]],IF(Transactions[[#This Row],[Level 0]]=Transactions[[#This Row],[L7N]],Transactions[[#This Row],[L6N]],Transactions[[#This Row],[L7N]]))))))))</f>
        <v>Final Energy Consumption (S)</v>
      </c>
      <c r="AT80" s="24" t="str">
        <f>IF(Transactions[[#This Row],[Level 1]]=Transactions[[#This Row],[Transaction name]],Transactions[[#This Row],[Transaction name]],IF(Transactions[[#This Row],[Level 1]]=Transactions[[#This Row],[L1N]],Transactions[[#This Row],[Transaction name]],IF(Transactions[[#This Row],[Level 1]]=Transactions[[#This Row],[L2N]],Transactions[[#This Row],[L1N]],IF(Transactions[[#This Row],[Level 1]]=Transactions[[#This Row],[L3N]],Transactions[[#This Row],[L2N]],IF(Transactions[[#This Row],[Level 1]]=Transactions[[#This Row],[L4N]],Transactions[[#This Row],[L3N]],IF(Transactions[[#This Row],[Level 1]]=Transactions[[#This Row],[L5N]],Transactions[[#This Row],[L4N]],IF(Transactions[[#This Row],[Level 1]]=Transactions[[#This Row],[L6N]],Transactions[[#This Row],[L5N]],IF(Transactions[[#This Row],[Level 1]]=Transactions[[#This Row],[L7N]],Transactions[[#This Row],[L6N]],Transactions[[#This Row],[L7N]]))))))))</f>
        <v>Manufacturing, construction and non-fuel mining industries (S)</v>
      </c>
      <c r="AU80" s="24" t="str">
        <f>IF(Transactions[[#This Row],[Level 2]]=Transactions[[#This Row],[Transaction name]],Transactions[[#This Row],[Transaction name]],IF(Transactions[[#This Row],[Level 2]]=Transactions[[#This Row],[L1N]],Transactions[[#This Row],[Transaction name]],IF(Transactions[[#This Row],[Level 2]]=Transactions[[#This Row],[L2N]],Transactions[[#This Row],[L1N]],IF(Transactions[[#This Row],[Level 2]]=Transactions[[#This Row],[L3N]],Transactions[[#This Row],[L2N]],IF(Transactions[[#This Row],[Level 2]]=Transactions[[#This Row],[L4N]],Transactions[[#This Row],[L3N]],IF(Transactions[[#This Row],[Level 2]]=Transactions[[#This Row],[L5N]],Transactions[[#This Row],[L4N]],IF(Transactions[[#This Row],[Level 2]]=Transactions[[#This Row],[L6N]],Transactions[[#This Row],[L5N]],IF(Transactions[[#This Row],[Level 2]]=Transactions[[#This Row],[L7N]],Transactions[[#This Row],[L6N]],Transactions[[#This Row],[L7N]]))))))))</f>
        <v>Wood and wood products (S)</v>
      </c>
      <c r="AV80" s="24" t="str">
        <f>IF(Transactions[[#This Row],[Level 3]]=Transactions[[#This Row],[Transaction name]],Transactions[[#This Row],[Transaction name]],IF(Transactions[[#This Row],[Level 3]]=Transactions[[#This Row],[L1N]],Transactions[[#This Row],[Transaction name]],IF(Transactions[[#This Row],[Level 3]]=Transactions[[#This Row],[L2N]],Transactions[[#This Row],[L1N]],IF(Transactions[[#This Row],[Level 3]]=Transactions[[#This Row],[L3N]],Transactions[[#This Row],[L2N]],IF(Transactions[[#This Row],[Level 3]]=Transactions[[#This Row],[L4N]],Transactions[[#This Row],[L3N]],IF(Transactions[[#This Row],[Level 3]]=Transactions[[#This Row],[L5N]],Transactions[[#This Row],[L4N]],IF(Transactions[[#This Row],[Level 3]]=Transactions[[#This Row],[L6N]],Transactions[[#This Row],[L5N]],IF(Transactions[[#This Row],[Level 3]]=Transactions[[#This Row],[L7N]],Transactions[[#This Row],[L6N]],Transactions[[#This Row],[L7N]]))))))))</f>
        <v>Wood and wood products (S)</v>
      </c>
      <c r="AW80" s="24" t="str">
        <f>IF(Transactions[[#This Row],[Level 4]]=Transactions[[#This Row],[Transaction name]],Transactions[[#This Row],[Transaction name]],IF(Transactions[[#This Row],[Level 4]]=Transactions[[#This Row],[L1N]],Transactions[[#This Row],[Transaction name]],IF(Transactions[[#This Row],[Level 4]]=Transactions[[#This Row],[L2N]],Transactions[[#This Row],[L1N]],IF(Transactions[[#This Row],[Level 4]]=Transactions[[#This Row],[L3N]],Transactions[[#This Row],[L2N]],IF(Transactions[[#This Row],[Level 4]]=Transactions[[#This Row],[L4N]],Transactions[[#This Row],[L3N]],IF(Transactions[[#This Row],[Level 4]]=Transactions[[#This Row],[L5N]],Transactions[[#This Row],[L4N]],IF(Transactions[[#This Row],[Level 4]]=Transactions[[#This Row],[L6N]],Transactions[[#This Row],[L5N]],IF(Transactions[[#This Row],[Level 4]]=Transactions[[#This Row],[L7N]],Transactions[[#This Row],[L6N]],Transactions[[#This Row],[L7N]]))))))))</f>
        <v>Wood and wood products (S)</v>
      </c>
      <c r="AX80" s="24" t="str">
        <f>IF(Transactions[[#This Row],[Level 5]]=Transactions[[#This Row],[Transaction name]],Transactions[[#This Row],[Transaction name]],IF(Transactions[[#This Row],[Level 5]]=Transactions[[#This Row],[L1N]],Transactions[[#This Row],[Transaction name]],IF(Transactions[[#This Row],[Level 5]]=Transactions[[#This Row],[L2N]],Transactions[[#This Row],[L1N]],IF(Transactions[[#This Row],[Level 5]]=Transactions[[#This Row],[L3N]],Transactions[[#This Row],[L2N]],IF(Transactions[[#This Row],[Level 5]]=Transactions[[#This Row],[L4N]],Transactions[[#This Row],[L3N]],IF(Transactions[[#This Row],[Level 5]]=Transactions[[#This Row],[L5N]],Transactions[[#This Row],[L4N]],IF(Transactions[[#This Row],[Level 5]]=Transactions[[#This Row],[L6N]],Transactions[[#This Row],[L5N]],IF(Transactions[[#This Row],[Level 5]]=Transactions[[#This Row],[L7N]],Transactions[[#This Row],[L6N]],Transactions[[#This Row],[L7N]]))))))))</f>
        <v>Wood and wood products (S)</v>
      </c>
      <c r="AY80" s="24" t="str">
        <f>IF(Transactions[[#This Row],[Level 6]]=Transactions[[#This Row],[Transaction name]],Transactions[[#This Row],[Transaction name]],IF(Transactions[[#This Row],[Level 6]]=Transactions[[#This Row],[L1N]],Transactions[[#This Row],[Transaction name]],IF(Transactions[[#This Row],[Level 6]]=Transactions[[#This Row],[L2N]],Transactions[[#This Row],[L1N]],IF(Transactions[[#This Row],[Level 6]]=Transactions[[#This Row],[L3N]],Transactions[[#This Row],[L2N]],IF(Transactions[[#This Row],[Level 6]]=Transactions[[#This Row],[L4N]],Transactions[[#This Row],[L3N]],IF(Transactions[[#This Row],[Level 6]]=Transactions[[#This Row],[L5N]],Transactions[[#This Row],[L4N]],IF(Transactions[[#This Row],[Level 6]]=Transactions[[#This Row],[L6N]],Transactions[[#This Row],[L5N]],IF(Transactions[[#This Row],[Level 6]]=Transactions[[#This Row],[L7N]],Transactions[[#This Row],[L6N]],Transactions[[#This Row],[L7N]]))))))))</f>
        <v>Wood and wood products (S)</v>
      </c>
      <c r="BE80" s="26" t="str">
        <f>_xlfn.XLOOKUP(Transformation[[#This Row],[cfrom]],Commodities[Commodity],Commodities[Commodity code])</f>
        <v>2000</v>
      </c>
      <c r="BF80" s="26" t="str">
        <f>_xlfn.XLOOKUP(Transformation[[#This Row],[tfrom]],Transactions[Transaction name],Transactions[Transaction code])</f>
        <v>08821</v>
      </c>
      <c r="BG80" s="26" t="str">
        <f>_xlfn.XLOOKUP(Transformation[[#This Row],[cto]],Commodities[Commodity],Commodities[Commodity code])</f>
        <v>2000</v>
      </c>
      <c r="BH80" s="26" t="str">
        <f>_xlfn.XLOOKUP(Transformation[[#This Row],[tto]],Transactions[Transaction name],Transactions[Transaction code])</f>
        <v>015SHC</v>
      </c>
      <c r="BI80" s="11">
        <v>1</v>
      </c>
      <c r="BJ80" s="4" t="s">
        <v>450</v>
      </c>
      <c r="BK80" s="24" t="str">
        <f>_xlfn.XLOOKUP(Transformation[[#This Row],[Commodity from]],Commodities[Commodity code],Commodities[EnergyCode])</f>
        <v>OS</v>
      </c>
      <c r="BL80" s="4" t="s">
        <v>691</v>
      </c>
      <c r="BM80" s="4" t="s">
        <v>450</v>
      </c>
      <c r="BN80" s="24" t="str">
        <f>_xlfn.XLOOKUP(Transformation[[#This Row],[Commodity to]],Commodities[Commodity code],Commodities[EnergyCode])</f>
        <v>OS</v>
      </c>
      <c r="BO80" s="4" t="s">
        <v>1193</v>
      </c>
      <c r="BP80" s="16" t="s">
        <v>1493</v>
      </c>
      <c r="BQ80" s="33" t="str">
        <f>Transformation[[#This Row],[Commodity from]]&amp;Transformation[[#This Row],[Transaction from]]&amp;Transformation[[#This Row],[Commodity to]]&amp;Transformation[[#This Row],[Transaction to]]</f>
        <v>2000088212000015SHC</v>
      </c>
      <c r="BR80" s="26" t="str">
        <f>Transformation[[#This Row],[crfomid]]&amp;Transformation[[#This Row],[Transaction from]]&amp;"("&amp;Transformation[[#This Row],[Multiplier]]&amp;") -&gt; "&amp;Transformation[[#This Row],[ctoid]]&amp;Transformation[[#This Row],[Transaction to]]</f>
        <v>OS08821(1) -&gt; OS015SHC</v>
      </c>
      <c r="BT80" s="26" t="str">
        <f>_xlfn.XLOOKUP(Signswitch[[#This Row],[Commodity name]],Commodities[Commodity],Commodities[Commodity code])</f>
        <v>5232</v>
      </c>
      <c r="BU80" s="26" t="str">
        <f>_xlfn.XLOOKUP(Signswitch[[#This Row],[Transaction name]],Transactions[Transaction name],Transactions[Transaction code])</f>
        <v>1225</v>
      </c>
      <c r="BV80" s="26" t="str">
        <f>Signswitch[[#This Row],[Commodity from]]&amp;Signswitch[[#This Row],[Transaction from]]</f>
        <v>52321225</v>
      </c>
      <c r="BW80" s="22" t="s">
        <v>306</v>
      </c>
      <c r="BX80" s="26" t="str">
        <f>_xlfn.XLOOKUP(Signswitch[[#This Row],[Commodity from]],Commodities[Commodity code],Commodities[EnergyCode])</f>
        <v>ZJ</v>
      </c>
      <c r="BY80" s="22" t="s">
        <v>906</v>
      </c>
    </row>
    <row r="81" spans="8:77" x14ac:dyDescent="0.45">
      <c r="H81" s="5" t="s">
        <v>318</v>
      </c>
      <c r="I81" s="4" t="s">
        <v>317</v>
      </c>
      <c r="J81" s="9" t="s">
        <v>316</v>
      </c>
      <c r="K81" s="14" t="s">
        <v>1479</v>
      </c>
      <c r="L81" s="23" t="str">
        <f>IFERROR(INDEX(Commodities[[Commodity code]:[Commodity]],MATCH(Commodities[[#This Row],[Parent code]],Commodities[Commodity code],0),2),Commodities[[#This Row],[Commodity]])</f>
        <v>Biogasoline</v>
      </c>
      <c r="M81" s="24" t="str">
        <f>IFERROR(INDEX(Commodities[[Commodity code]:[Commodity]],MATCH(INDEX(Commodities[[Commodity]:[Parent code]],MATCH(Commodities[[#This Row],[L1N]],Commodities[Commodity],0),2),Commodities[Commodity code],0),2),Commodities[[#This Row],[L1N]])</f>
        <v>Liquid biofuels</v>
      </c>
      <c r="N81" s="24" t="str">
        <f>IFERROR(INDEX(Commodities[[Commodity code]:[Commodity]],MATCH(INDEX(Commodities[[Commodity]:[Parent code]],MATCH(Commodities[[#This Row],[L2N]],Commodities[Commodity],0),2),Commodities[Commodity code],0),2),Commodities[[#This Row],[L2N]])</f>
        <v>Biofuels</v>
      </c>
      <c r="O81" s="24" t="str">
        <f>IFERROR(INDEX(Commodities[[Commodity code]:[Commodity]],MATCH(INDEX(Commodities[[Commodity]:[Parent code]],MATCH(Commodities[[#This Row],[L3N]],Commodities[Commodity],0),2),Commodities[Commodity code],0),2),Commodities[[#This Row],[L3N]])</f>
        <v>Biofuels</v>
      </c>
      <c r="P81" s="24" t="str">
        <f>IF(Commodities[[#This Row],[L4N]]=Commodities[[#This Row],[L3N]],Commodities[[#This Row],[L4N]],IF(Commodities[[#This Row],[L3N]]=Commodities[[#This Row],[L2N]],Commodities[[#This Row],[L3N]],IF(Commodities[[#This Row],[L2N]]=Commodities[[#This Row],[L1N]],Commodities[[#This Row],[L2N]],IF(Commodities[[#This Row],[L1N]]=Commodities[[#This Row],[Commodity]],Commodities[[#This Row],[L1N]],Commodities[[#This Row],[Commodity]]))))</f>
        <v>Biofuels</v>
      </c>
      <c r="Q81" s="24" t="str">
        <f>IF(Commodities[[#This Row],[Level 0]]=Commodities[[#This Row],[Commodity]],Commodities[[#This Row],[Commodity]],IF(Commodities[[#This Row],[Level 0]]=Commodities[[#This Row],[L1N]],Commodities[[#This Row],[Commodity]],IF(Commodities[[#This Row],[Level 0]]=Commodities[[#This Row],[L2N]],Commodities[[#This Row],[L1N]],IF(Commodities[[#This Row],[Level 0]]=Commodities[[#This Row],[L3N]],Commodities[[#This Row],[L2N]],IF(Commodities[[#This Row],[Level 0]]=Commodities[[#This Row],[L4N]],Commodities[[#This Row],[L3N]],Commodities[[#This Row],[L4N]])))))</f>
        <v>Liquid biofuels</v>
      </c>
      <c r="R81" s="24" t="str">
        <f>IF(Commodities[[#This Row],[Level 1]]=Commodities[[#This Row],[Commodity]],Commodities[[#This Row],[Commodity]],IF(Commodities[[#This Row],[Level 1]]=Commodities[[#This Row],[L1N]],Commodities[[#This Row],[Commodity]],IF(Commodities[[#This Row],[Level 1]]=Commodities[[#This Row],[L2N]],Commodities[[#This Row],[L1N]],IF(Commodities[[#This Row],[Level 1]]=Commodities[[#This Row],[L3N]],Commodities[[#This Row],[L2N]],IF(Commodities[[#This Row],[Level 1]]=Commodities[[#This Row],[L4N]],Commodities[[#This Row],[L3N]],Commodities[[#This Row],[L4N]])))))</f>
        <v>Biogasoline</v>
      </c>
      <c r="S81" s="24" t="str">
        <f>IF(Commodities[[#This Row],[Level 2]]=Commodities[[#This Row],[Commodity]],Commodities[[#This Row],[Commodity]],IF(Commodities[[#This Row],[Level 2]]=Commodities[[#This Row],[L1N]],Commodities[[#This Row],[Commodity]],IF(Commodities[[#This Row],[Level 2]]=Commodities[[#This Row],[L2N]],Commodities[[#This Row],[L1N]],IF(Commodities[[#This Row],[Level 2]]=Commodities[[#This Row],[L3N]],Commodities[[#This Row],[L2N]],IF(Commodities[[#This Row],[Level 2]]=Commodities[[#This Row],[L4N]],Commodities[[#This Row],[L3N]],Commodities[[#This Row],[L4N]])))))</f>
        <v>Conventional biogasoline</v>
      </c>
      <c r="T81" s="24" t="str">
        <f>IF(Commodities[[#This Row],[Level 3]]=Commodities[[#This Row],[Commodity]],Commodities[[#This Row],[Commodity]],IF(Commodities[[#This Row],[Level 3]]=Commodities[[#This Row],[L1N]],Commodities[[#This Row],[Commodity]],IF(Commodities[[#This Row],[Level 3]]=Commodities[[#This Row],[L2N]],Commodities[[#This Row],[L1N]],IF(Commodities[[#This Row],[Level 3]]=Commodities[[#This Row],[L3N]],Commodities[[#This Row],[L2N]],IF(Commodities[[#This Row],[Level 3]]=Commodities[[#This Row],[L4N]],Commodities[[#This Row],[L3N]],Commodities[[#This Row],[L4N]])))))</f>
        <v>Conventional biogasoline</v>
      </c>
      <c r="U81" s="24" t="str">
        <f>IF(Commodities[[#This Row],[Level 4]]=Commodities[[#This Row],[Commodity]],Commodities[[#This Row],[Commodity]],IF(Commodities[[#This Row],[Level 4]]=Commodities[[#This Row],[L1N]],Commodities[[#This Row],[Commodity]],IF(Commodities[[#This Row],[Level 4]]=Commodities[[#This Row],[L2N]],Commodities[[#This Row],[L1N]],IF(Commodities[[#This Row],[Level 4]]=Commodities[[#This Row],[L3N]],Commodities[[#This Row],[L2N]],IF(Commodities[[#This Row],[Level 4]]=Commodities[[#This Row],[L4N]],Commodities[[#This Row],[L3N]],Commodities[[#This Row],[L4N]])))))</f>
        <v>Conventional biogasoline</v>
      </c>
      <c r="Y81" s="4" t="s">
        <v>404</v>
      </c>
      <c r="Z81" s="4" t="s">
        <v>887</v>
      </c>
      <c r="AA81" s="4" t="s">
        <v>887</v>
      </c>
      <c r="AB81" s="4" t="s">
        <v>392</v>
      </c>
      <c r="AC81" s="24" t="str">
        <f>IFERROR(VLOOKUP(Transactions[[#This Row],[Parent code]],Transactions[[Transaction code]:[Transaction name]],2,0),"")</f>
        <v>Other Consumption (S)</v>
      </c>
      <c r="AD81" s="4" t="s">
        <v>630</v>
      </c>
      <c r="AF81" s="4" t="s">
        <v>642</v>
      </c>
      <c r="AG81" s="4" t="s">
        <v>385</v>
      </c>
      <c r="AK81" s="24" t="str" cm="1">
        <f t="array" ref="AK81">IFERROR(INDEX(Transactions[[Transaction code]:[Transaction name]],_xlfn.XMATCH(Transactions[[#This Row],[Parent code]],Transactions[Transaction name],0),3),Transactions[[#This Row],[Transaction name]])</f>
        <v>Agriculture, forestry and fishing (S)</v>
      </c>
      <c r="AL81" s="24" t="str" cm="1">
        <f t="array" ref="AL81">IFERROR(INDEX(Transactions[[Transaction code]:[Transaction name]],_xlfn.XMATCH(INDEX(Transactions[[Transaction name]:[Parent code]],_xlfn.XMATCH(Transactions[[#This Row],[L1N]],Transactions[Transaction name],0),3),Transactions[Transaction code],0),2),Transactions[[#This Row],[L1N]])</f>
        <v>Other Consumption (S)</v>
      </c>
      <c r="AM81" s="24" t="str" cm="1">
        <f t="array" ref="AM81">IFERROR(INDEX(Transactions[[Transaction code]:[Transaction name]],_xlfn.XMATCH(INDEX(Transactions[[Transaction name]:[Parent code]],_xlfn.XMATCH(Transactions[[#This Row],[L2N]],Transactions[Transaction name],0),3),Transactions[Transaction code],0),2),Transactions[[#This Row],[L2N]])</f>
        <v>Final Energy Consumption (S)</v>
      </c>
      <c r="AN81" s="24" t="str" cm="1">
        <f t="array" ref="AN81">IFERROR(INDEX(Transactions[[Transaction code]:[Transaction name]],_xlfn.XMATCH(INDEX(Transactions[[Transaction name]:[Parent code]],_xlfn.XMATCH(Transactions[[#This Row],[L3N]],Transactions[Transaction name],0),3),Transactions[Transaction code],0),2),Transactions[[#This Row],[L3N]])</f>
        <v>Final consumption (S)</v>
      </c>
      <c r="AO81" s="24" t="str" cm="1">
        <f t="array" ref="AO81">IFERROR(INDEX(Transactions[[Transaction code]:[Transaction name]],_xlfn.XMATCH(INDEX(Transactions[[Transaction name]:[Parent code]],_xlfn.XMATCH(Transactions[[#This Row],[L4N]],Transactions[Transaction name],0),3),Transactions[Transaction code],0),2),Transactions[[#This Row],[L4N]])</f>
        <v>Final consumption (S)</v>
      </c>
      <c r="AP81" s="24" t="str" cm="1">
        <f t="array" ref="AP81">IFERROR(INDEX(Transactions[[Transaction code]:[Transaction name]],_xlfn.XMATCH(INDEX(Transactions[[Transaction name]:[Parent code]],_xlfn.XMATCH(Transactions[[#This Row],[L5N]],Transactions[Transaction name],0),3),Transactions[Transaction code],0),2),Transactions[[#This Row],[L5N]])</f>
        <v>Final consumption (S)</v>
      </c>
      <c r="AQ81" s="24" t="str" cm="1">
        <f t="array" ref="AQ81">IFERROR(INDEX(Transactions[[Transaction code]:[Transaction name]],_xlfn.XMATCH(INDEX(Transactions[[Transaction name]:[Parent code]],_xlfn.XMATCH(Transactions[[#This Row],[L6N]],Transactions[Transaction name],0),3),Transactions[Transaction code],0),2),Transactions[[#This Row],[L6N]])</f>
        <v>Final consumption (S)</v>
      </c>
      <c r="AR81" s="28" t="str">
        <f>IF(Transactions[[#This Row],[L7N]]=Transactions[[#This Row],[L6N]],Transactions[[#This Row],[L7N]],IF(Transactions[[#This Row],[L6N]]=Transactions[[#This Row],[L5N]],Transactions[[#This Row],[L6N]],IF(Transactions[[#This Row],[L5N]]=Transactions[[#This Row],[L4N]],Transactions[[#This Row],[L5N]],IF(Transactions[[#This Row],[L4N]]=Transactions[[#This Row],[L3N]],Transactions[[#This Row],[L4N]],IF(Transactions[[#This Row],[L3N]]=Transactions[[#This Row],[L2N]],Transactions[[#This Row],[L3N]],IF(Transactions[[#This Row],[L2N]]=Transactions[[#This Row],[L1N]],Transactions[[#This Row],[L2N]],IF(Transactions[[#This Row],[L1N]]=Transactions[[#This Row],[Transaction name]],Transactions[[#This Row],[L1N]],Transactions[[#This Row],[Transaction name]])))))))</f>
        <v>Final consumption (S)</v>
      </c>
      <c r="AS81" s="24" t="str">
        <f>IF(Transactions[[#This Row],[Level 0]]=Transactions[[#This Row],[Transaction name]],Transactions[[#This Row],[Transaction name]],IF(Transactions[[#This Row],[Level 0]]=Transactions[[#This Row],[L1N]],Transactions[[#This Row],[Transaction name]],IF(Transactions[[#This Row],[Level 0]]=Transactions[[#This Row],[L2N]],Transactions[[#This Row],[L1N]],IF(Transactions[[#This Row],[Level 0]]=Transactions[[#This Row],[L3N]],Transactions[[#This Row],[L2N]],IF(Transactions[[#This Row],[Level 0]]=Transactions[[#This Row],[L4N]],Transactions[[#This Row],[L3N]],IF(Transactions[[#This Row],[Level 0]]=Transactions[[#This Row],[L5N]],Transactions[[#This Row],[L4N]],IF(Transactions[[#This Row],[Level 0]]=Transactions[[#This Row],[L6N]],Transactions[[#This Row],[L5N]],IF(Transactions[[#This Row],[Level 0]]=Transactions[[#This Row],[L7N]],Transactions[[#This Row],[L6N]],Transactions[[#This Row],[L7N]]))))))))</f>
        <v>Final Energy Consumption (S)</v>
      </c>
      <c r="AT81" s="24" t="str">
        <f>IF(Transactions[[#This Row],[Level 1]]=Transactions[[#This Row],[Transaction name]],Transactions[[#This Row],[Transaction name]],IF(Transactions[[#This Row],[Level 1]]=Transactions[[#This Row],[L1N]],Transactions[[#This Row],[Transaction name]],IF(Transactions[[#This Row],[Level 1]]=Transactions[[#This Row],[L2N]],Transactions[[#This Row],[L1N]],IF(Transactions[[#This Row],[Level 1]]=Transactions[[#This Row],[L3N]],Transactions[[#This Row],[L2N]],IF(Transactions[[#This Row],[Level 1]]=Transactions[[#This Row],[L4N]],Transactions[[#This Row],[L3N]],IF(Transactions[[#This Row],[Level 1]]=Transactions[[#This Row],[L5N]],Transactions[[#This Row],[L4N]],IF(Transactions[[#This Row],[Level 1]]=Transactions[[#This Row],[L6N]],Transactions[[#This Row],[L5N]],IF(Transactions[[#This Row],[Level 1]]=Transactions[[#This Row],[L7N]],Transactions[[#This Row],[L6N]],Transactions[[#This Row],[L7N]]))))))))</f>
        <v>Other Consumption (S)</v>
      </c>
      <c r="AU81" s="24" t="str">
        <f>IF(Transactions[[#This Row],[Level 2]]=Transactions[[#This Row],[Transaction name]],Transactions[[#This Row],[Transaction name]],IF(Transactions[[#This Row],[Level 2]]=Transactions[[#This Row],[L1N]],Transactions[[#This Row],[Transaction name]],IF(Transactions[[#This Row],[Level 2]]=Transactions[[#This Row],[L2N]],Transactions[[#This Row],[L1N]],IF(Transactions[[#This Row],[Level 2]]=Transactions[[#This Row],[L3N]],Transactions[[#This Row],[L2N]],IF(Transactions[[#This Row],[Level 2]]=Transactions[[#This Row],[L4N]],Transactions[[#This Row],[L3N]],IF(Transactions[[#This Row],[Level 2]]=Transactions[[#This Row],[L5N]],Transactions[[#This Row],[L4N]],IF(Transactions[[#This Row],[Level 2]]=Transactions[[#This Row],[L6N]],Transactions[[#This Row],[L5N]],IF(Transactions[[#This Row],[Level 2]]=Transactions[[#This Row],[L7N]],Transactions[[#This Row],[L6N]],Transactions[[#This Row],[L7N]]))))))))</f>
        <v>Agriculture, forestry and fishing (S)</v>
      </c>
      <c r="AV81" s="24" t="str">
        <f>IF(Transactions[[#This Row],[Level 3]]=Transactions[[#This Row],[Transaction name]],Transactions[[#This Row],[Transaction name]],IF(Transactions[[#This Row],[Level 3]]=Transactions[[#This Row],[L1N]],Transactions[[#This Row],[Transaction name]],IF(Transactions[[#This Row],[Level 3]]=Transactions[[#This Row],[L2N]],Transactions[[#This Row],[L1N]],IF(Transactions[[#This Row],[Level 3]]=Transactions[[#This Row],[L3N]],Transactions[[#This Row],[L2N]],IF(Transactions[[#This Row],[Level 3]]=Transactions[[#This Row],[L4N]],Transactions[[#This Row],[L3N]],IF(Transactions[[#This Row],[Level 3]]=Transactions[[#This Row],[L5N]],Transactions[[#This Row],[L4N]],IF(Transactions[[#This Row],[Level 3]]=Transactions[[#This Row],[L6N]],Transactions[[#This Row],[L5N]],IF(Transactions[[#This Row],[Level 3]]=Transactions[[#This Row],[L7N]],Transactions[[#This Row],[L6N]],Transactions[[#This Row],[L7N]]))))))))</f>
        <v>Agriculture, forestry and fishing (S)</v>
      </c>
      <c r="AW81" s="24" t="str">
        <f>IF(Transactions[[#This Row],[Level 4]]=Transactions[[#This Row],[Transaction name]],Transactions[[#This Row],[Transaction name]],IF(Transactions[[#This Row],[Level 4]]=Transactions[[#This Row],[L1N]],Transactions[[#This Row],[Transaction name]],IF(Transactions[[#This Row],[Level 4]]=Transactions[[#This Row],[L2N]],Transactions[[#This Row],[L1N]],IF(Transactions[[#This Row],[Level 4]]=Transactions[[#This Row],[L3N]],Transactions[[#This Row],[L2N]],IF(Transactions[[#This Row],[Level 4]]=Transactions[[#This Row],[L4N]],Transactions[[#This Row],[L3N]],IF(Transactions[[#This Row],[Level 4]]=Transactions[[#This Row],[L5N]],Transactions[[#This Row],[L4N]],IF(Transactions[[#This Row],[Level 4]]=Transactions[[#This Row],[L6N]],Transactions[[#This Row],[L5N]],IF(Transactions[[#This Row],[Level 4]]=Transactions[[#This Row],[L7N]],Transactions[[#This Row],[L6N]],Transactions[[#This Row],[L7N]]))))))))</f>
        <v>Agriculture, forestry and fishing (S)</v>
      </c>
      <c r="AX81" s="24" t="str">
        <f>IF(Transactions[[#This Row],[Level 5]]=Transactions[[#This Row],[Transaction name]],Transactions[[#This Row],[Transaction name]],IF(Transactions[[#This Row],[Level 5]]=Transactions[[#This Row],[L1N]],Transactions[[#This Row],[Transaction name]],IF(Transactions[[#This Row],[Level 5]]=Transactions[[#This Row],[L2N]],Transactions[[#This Row],[L1N]],IF(Transactions[[#This Row],[Level 5]]=Transactions[[#This Row],[L3N]],Transactions[[#This Row],[L2N]],IF(Transactions[[#This Row],[Level 5]]=Transactions[[#This Row],[L4N]],Transactions[[#This Row],[L3N]],IF(Transactions[[#This Row],[Level 5]]=Transactions[[#This Row],[L5N]],Transactions[[#This Row],[L4N]],IF(Transactions[[#This Row],[Level 5]]=Transactions[[#This Row],[L6N]],Transactions[[#This Row],[L5N]],IF(Transactions[[#This Row],[Level 5]]=Transactions[[#This Row],[L7N]],Transactions[[#This Row],[L6N]],Transactions[[#This Row],[L7N]]))))))))</f>
        <v>Agriculture, forestry and fishing (S)</v>
      </c>
      <c r="AY81" s="24" t="str">
        <f>IF(Transactions[[#This Row],[Level 6]]=Transactions[[#This Row],[Transaction name]],Transactions[[#This Row],[Transaction name]],IF(Transactions[[#This Row],[Level 6]]=Transactions[[#This Row],[L1N]],Transactions[[#This Row],[Transaction name]],IF(Transactions[[#This Row],[Level 6]]=Transactions[[#This Row],[L2N]],Transactions[[#This Row],[L1N]],IF(Transactions[[#This Row],[Level 6]]=Transactions[[#This Row],[L3N]],Transactions[[#This Row],[L2N]],IF(Transactions[[#This Row],[Level 6]]=Transactions[[#This Row],[L4N]],Transactions[[#This Row],[L3N]],IF(Transactions[[#This Row],[Level 6]]=Transactions[[#This Row],[L5N]],Transactions[[#This Row],[L4N]],IF(Transactions[[#This Row],[Level 6]]=Transactions[[#This Row],[L6N]],Transactions[[#This Row],[L5N]],IF(Transactions[[#This Row],[Level 6]]=Transactions[[#This Row],[L7N]],Transactions[[#This Row],[L6N]],Transactions[[#This Row],[L7N]]))))))))</f>
        <v>Agriculture, forestry and fishing (S)</v>
      </c>
      <c r="BE81" s="26" t="str">
        <f>_xlfn.XLOOKUP(Transformation[[#This Row],[cfrom]],Commodities[Commodity],Commodities[Commodity code])</f>
        <v>4694</v>
      </c>
      <c r="BF81" s="26" t="str">
        <f>_xlfn.XLOOKUP(Transformation[[#This Row],[tfrom]],Transactions[Transaction name],Transactions[Transaction code])</f>
        <v>08821</v>
      </c>
      <c r="BG81" s="26" t="str">
        <f>_xlfn.XLOOKUP(Transformation[[#This Row],[cto]],Commodities[Commodity],Commodities[Commodity code])</f>
        <v>4694</v>
      </c>
      <c r="BH81" s="26" t="str">
        <f>_xlfn.XLOOKUP(Transformation[[#This Row],[tto]],Transactions[Transaction name],Transactions[Transaction code])</f>
        <v>015OPC</v>
      </c>
      <c r="BI81" s="11">
        <v>1</v>
      </c>
      <c r="BJ81" s="4" t="s">
        <v>353</v>
      </c>
      <c r="BK81" s="24" t="str">
        <f>_xlfn.XLOOKUP(Transformation[[#This Row],[Commodity from]],Commodities[Commodity code],Commodities[EnergyCode])</f>
        <v>PK</v>
      </c>
      <c r="BL81" s="4" t="s">
        <v>691</v>
      </c>
      <c r="BM81" s="4" t="s">
        <v>353</v>
      </c>
      <c r="BN81" s="24" t="str">
        <f>_xlfn.XLOOKUP(Transformation[[#This Row],[Commodity to]],Commodities[Commodity code],Commodities[EnergyCode])</f>
        <v>PK</v>
      </c>
      <c r="BO81" s="4" t="s">
        <v>1050</v>
      </c>
      <c r="BP81" s="16" t="s">
        <v>1493</v>
      </c>
      <c r="BQ81" s="33" t="str">
        <f>Transformation[[#This Row],[Commodity from]]&amp;Transformation[[#This Row],[Transaction from]]&amp;Transformation[[#This Row],[Commodity to]]&amp;Transformation[[#This Row],[Transaction to]]</f>
        <v>4694088214694015OPC</v>
      </c>
      <c r="BR81" s="26" t="str">
        <f>Transformation[[#This Row],[crfomid]]&amp;Transformation[[#This Row],[Transaction from]]&amp;"("&amp;Transformation[[#This Row],[Multiplier]]&amp;") -&gt; "&amp;Transformation[[#This Row],[ctoid]]&amp;Transformation[[#This Row],[Transaction to]]</f>
        <v>PK08821(1) -&gt; PK015OPC</v>
      </c>
      <c r="BT81" s="26" t="str">
        <f>_xlfn.XLOOKUP(Signswitch[[#This Row],[Commodity name]],Commodities[Commodity],Commodities[Commodity code])</f>
        <v>5222</v>
      </c>
      <c r="BU81" s="26" t="str">
        <f>_xlfn.XLOOKUP(Signswitch[[#This Row],[Transaction name]],Transactions[Transaction name],Transactions[Transaction code])</f>
        <v>1225</v>
      </c>
      <c r="BV81" s="26" t="str">
        <f>Signswitch[[#This Row],[Commodity from]]&amp;Signswitch[[#This Row],[Transaction from]]</f>
        <v>52221225</v>
      </c>
      <c r="BW81" s="22" t="s">
        <v>962</v>
      </c>
      <c r="BX81" s="26" t="str">
        <f>_xlfn.XLOOKUP(Signswitch[[#This Row],[Commodity from]],Commodities[Commodity code],Commodities[EnergyCode])</f>
        <v>ZD</v>
      </c>
      <c r="BY81" s="22" t="s">
        <v>906</v>
      </c>
    </row>
    <row r="82" spans="8:77" x14ac:dyDescent="0.45">
      <c r="H82" s="5" t="s">
        <v>307</v>
      </c>
      <c r="I82" s="4" t="s">
        <v>306</v>
      </c>
      <c r="J82" s="9" t="s">
        <v>305</v>
      </c>
      <c r="K82" s="14" t="s">
        <v>1477</v>
      </c>
      <c r="L82" s="23" t="str">
        <f>IFERROR(INDEX(Commodities[[Commodity code]:[Commodity]],MATCH(Commodities[[#This Row],[Parent code]],Commodities[Commodity code],0),2),Commodities[[#This Row],[Commodity]])</f>
        <v>Bio jet kerosene</v>
      </c>
      <c r="M82" s="24" t="str">
        <f>IFERROR(INDEX(Commodities[[Commodity code]:[Commodity]],MATCH(INDEX(Commodities[[Commodity]:[Parent code]],MATCH(Commodities[[#This Row],[L1N]],Commodities[Commodity],0),2),Commodities[Commodity code],0),2),Commodities[[#This Row],[L1N]])</f>
        <v>Liquid biofuels</v>
      </c>
      <c r="N82" s="24" t="str">
        <f>IFERROR(INDEX(Commodities[[Commodity code]:[Commodity]],MATCH(INDEX(Commodities[[Commodity]:[Parent code]],MATCH(Commodities[[#This Row],[L2N]],Commodities[Commodity],0),2),Commodities[Commodity code],0),2),Commodities[[#This Row],[L2N]])</f>
        <v>Biofuels</v>
      </c>
      <c r="O82" s="24" t="str">
        <f>IFERROR(INDEX(Commodities[[Commodity code]:[Commodity]],MATCH(INDEX(Commodities[[Commodity]:[Parent code]],MATCH(Commodities[[#This Row],[L3N]],Commodities[Commodity],0),2),Commodities[Commodity code],0),2),Commodities[[#This Row],[L3N]])</f>
        <v>Biofuels</v>
      </c>
      <c r="P82" s="24" t="str">
        <f>IF(Commodities[[#This Row],[L4N]]=Commodities[[#This Row],[L3N]],Commodities[[#This Row],[L4N]],IF(Commodities[[#This Row],[L3N]]=Commodities[[#This Row],[L2N]],Commodities[[#This Row],[L3N]],IF(Commodities[[#This Row],[L2N]]=Commodities[[#This Row],[L1N]],Commodities[[#This Row],[L2N]],IF(Commodities[[#This Row],[L1N]]=Commodities[[#This Row],[Commodity]],Commodities[[#This Row],[L1N]],Commodities[[#This Row],[Commodity]]))))</f>
        <v>Biofuels</v>
      </c>
      <c r="Q82" s="24" t="str">
        <f>IF(Commodities[[#This Row],[Level 0]]=Commodities[[#This Row],[Commodity]],Commodities[[#This Row],[Commodity]],IF(Commodities[[#This Row],[Level 0]]=Commodities[[#This Row],[L1N]],Commodities[[#This Row],[Commodity]],IF(Commodities[[#This Row],[Level 0]]=Commodities[[#This Row],[L2N]],Commodities[[#This Row],[L1N]],IF(Commodities[[#This Row],[Level 0]]=Commodities[[#This Row],[L3N]],Commodities[[#This Row],[L2N]],IF(Commodities[[#This Row],[Level 0]]=Commodities[[#This Row],[L4N]],Commodities[[#This Row],[L3N]],Commodities[[#This Row],[L4N]])))))</f>
        <v>Liquid biofuels</v>
      </c>
      <c r="R82" s="24" t="str">
        <f>IF(Commodities[[#This Row],[Level 1]]=Commodities[[#This Row],[Commodity]],Commodities[[#This Row],[Commodity]],IF(Commodities[[#This Row],[Level 1]]=Commodities[[#This Row],[L1N]],Commodities[[#This Row],[Commodity]],IF(Commodities[[#This Row],[Level 1]]=Commodities[[#This Row],[L2N]],Commodities[[#This Row],[L1N]],IF(Commodities[[#This Row],[Level 1]]=Commodities[[#This Row],[L3N]],Commodities[[#This Row],[L2N]],IF(Commodities[[#This Row],[Level 1]]=Commodities[[#This Row],[L4N]],Commodities[[#This Row],[L3N]],Commodities[[#This Row],[L4N]])))))</f>
        <v>Bio jet kerosene</v>
      </c>
      <c r="S82" s="24" t="str">
        <f>IF(Commodities[[#This Row],[Level 2]]=Commodities[[#This Row],[Commodity]],Commodities[[#This Row],[Commodity]],IF(Commodities[[#This Row],[Level 2]]=Commodities[[#This Row],[L1N]],Commodities[[#This Row],[Commodity]],IF(Commodities[[#This Row],[Level 2]]=Commodities[[#This Row],[L2N]],Commodities[[#This Row],[L1N]],IF(Commodities[[#This Row],[Level 2]]=Commodities[[#This Row],[L3N]],Commodities[[#This Row],[L2N]],IF(Commodities[[#This Row],[Level 2]]=Commodities[[#This Row],[L4N]],Commodities[[#This Row],[L3N]],Commodities[[#This Row],[L4N]])))))</f>
        <v>Conventional Bio jet kerosene</v>
      </c>
      <c r="T82" s="24" t="str">
        <f>IF(Commodities[[#This Row],[Level 3]]=Commodities[[#This Row],[Commodity]],Commodities[[#This Row],[Commodity]],IF(Commodities[[#This Row],[Level 3]]=Commodities[[#This Row],[L1N]],Commodities[[#This Row],[Commodity]],IF(Commodities[[#This Row],[Level 3]]=Commodities[[#This Row],[L2N]],Commodities[[#This Row],[L1N]],IF(Commodities[[#This Row],[Level 3]]=Commodities[[#This Row],[L3N]],Commodities[[#This Row],[L2N]],IF(Commodities[[#This Row],[Level 3]]=Commodities[[#This Row],[L4N]],Commodities[[#This Row],[L3N]],Commodities[[#This Row],[L4N]])))))</f>
        <v>Conventional Bio jet kerosene</v>
      </c>
      <c r="U82" s="24" t="str">
        <f>IF(Commodities[[#This Row],[Level 4]]=Commodities[[#This Row],[Commodity]],Commodities[[#This Row],[Commodity]],IF(Commodities[[#This Row],[Level 4]]=Commodities[[#This Row],[L1N]],Commodities[[#This Row],[Commodity]],IF(Commodities[[#This Row],[Level 4]]=Commodities[[#This Row],[L2N]],Commodities[[#This Row],[L1N]],IF(Commodities[[#This Row],[Level 4]]=Commodities[[#This Row],[L3N]],Commodities[[#This Row],[L2N]],IF(Commodities[[#This Row],[Level 4]]=Commodities[[#This Row],[L4N]],Commodities[[#This Row],[L3N]],Commodities[[#This Row],[L4N]])))))</f>
        <v>Conventional Bio jet kerosene</v>
      </c>
      <c r="Y82" s="4" t="s">
        <v>401</v>
      </c>
      <c r="Z82" s="4" t="s">
        <v>840</v>
      </c>
      <c r="AA82" s="4" t="s">
        <v>840</v>
      </c>
      <c r="AB82" s="4" t="s">
        <v>392</v>
      </c>
      <c r="AC82" s="24" t="str">
        <f>IFERROR(VLOOKUP(Transactions[[#This Row],[Parent code]],Transactions[[Transaction code]:[Transaction name]],2,0),"")</f>
        <v>Other Consumption (S)</v>
      </c>
      <c r="AD82" s="4" t="s">
        <v>630</v>
      </c>
      <c r="AF82" s="4" t="s">
        <v>642</v>
      </c>
      <c r="AG82" s="4" t="s">
        <v>385</v>
      </c>
      <c r="AK82" s="24" t="str" cm="1">
        <f t="array" ref="AK82">IFERROR(INDEX(Transactions[[Transaction code]:[Transaction name]],_xlfn.XMATCH(Transactions[[#This Row],[Parent code]],Transactions[Transaction name],0),3),Transactions[[#This Row],[Transaction name]])</f>
        <v>Commerce and public services (S)</v>
      </c>
      <c r="AL82" s="24" t="str" cm="1">
        <f t="array" ref="AL82">IFERROR(INDEX(Transactions[[Transaction code]:[Transaction name]],_xlfn.XMATCH(INDEX(Transactions[[Transaction name]:[Parent code]],_xlfn.XMATCH(Transactions[[#This Row],[L1N]],Transactions[Transaction name],0),3),Transactions[Transaction code],0),2),Transactions[[#This Row],[L1N]])</f>
        <v>Other Consumption (S)</v>
      </c>
      <c r="AM82" s="24" t="str" cm="1">
        <f t="array" ref="AM82">IFERROR(INDEX(Transactions[[Transaction code]:[Transaction name]],_xlfn.XMATCH(INDEX(Transactions[[Transaction name]:[Parent code]],_xlfn.XMATCH(Transactions[[#This Row],[L2N]],Transactions[Transaction name],0),3),Transactions[Transaction code],0),2),Transactions[[#This Row],[L2N]])</f>
        <v>Final Energy Consumption (S)</v>
      </c>
      <c r="AN82" s="24" t="str" cm="1">
        <f t="array" ref="AN82">IFERROR(INDEX(Transactions[[Transaction code]:[Transaction name]],_xlfn.XMATCH(INDEX(Transactions[[Transaction name]:[Parent code]],_xlfn.XMATCH(Transactions[[#This Row],[L3N]],Transactions[Transaction name],0),3),Transactions[Transaction code],0),2),Transactions[[#This Row],[L3N]])</f>
        <v>Final consumption (S)</v>
      </c>
      <c r="AO82" s="24" t="str" cm="1">
        <f t="array" ref="AO82">IFERROR(INDEX(Transactions[[Transaction code]:[Transaction name]],_xlfn.XMATCH(INDEX(Transactions[[Transaction name]:[Parent code]],_xlfn.XMATCH(Transactions[[#This Row],[L4N]],Transactions[Transaction name],0),3),Transactions[Transaction code],0),2),Transactions[[#This Row],[L4N]])</f>
        <v>Final consumption (S)</v>
      </c>
      <c r="AP82" s="24" t="str" cm="1">
        <f t="array" ref="AP82">IFERROR(INDEX(Transactions[[Transaction code]:[Transaction name]],_xlfn.XMATCH(INDEX(Transactions[[Transaction name]:[Parent code]],_xlfn.XMATCH(Transactions[[#This Row],[L5N]],Transactions[Transaction name],0),3),Transactions[Transaction code],0),2),Transactions[[#This Row],[L5N]])</f>
        <v>Final consumption (S)</v>
      </c>
      <c r="AQ82" s="24" t="str" cm="1">
        <f t="array" ref="AQ82">IFERROR(INDEX(Transactions[[Transaction code]:[Transaction name]],_xlfn.XMATCH(INDEX(Transactions[[Transaction name]:[Parent code]],_xlfn.XMATCH(Transactions[[#This Row],[L6N]],Transactions[Transaction name],0),3),Transactions[Transaction code],0),2),Transactions[[#This Row],[L6N]])</f>
        <v>Final consumption (S)</v>
      </c>
      <c r="AR82" s="28" t="str">
        <f>IF(Transactions[[#This Row],[L7N]]=Transactions[[#This Row],[L6N]],Transactions[[#This Row],[L7N]],IF(Transactions[[#This Row],[L6N]]=Transactions[[#This Row],[L5N]],Transactions[[#This Row],[L6N]],IF(Transactions[[#This Row],[L5N]]=Transactions[[#This Row],[L4N]],Transactions[[#This Row],[L5N]],IF(Transactions[[#This Row],[L4N]]=Transactions[[#This Row],[L3N]],Transactions[[#This Row],[L4N]],IF(Transactions[[#This Row],[L3N]]=Transactions[[#This Row],[L2N]],Transactions[[#This Row],[L3N]],IF(Transactions[[#This Row],[L2N]]=Transactions[[#This Row],[L1N]],Transactions[[#This Row],[L2N]],IF(Transactions[[#This Row],[L1N]]=Transactions[[#This Row],[Transaction name]],Transactions[[#This Row],[L1N]],Transactions[[#This Row],[Transaction name]])))))))</f>
        <v>Final consumption (S)</v>
      </c>
      <c r="AS82" s="24" t="str">
        <f>IF(Transactions[[#This Row],[Level 0]]=Transactions[[#This Row],[Transaction name]],Transactions[[#This Row],[Transaction name]],IF(Transactions[[#This Row],[Level 0]]=Transactions[[#This Row],[L1N]],Transactions[[#This Row],[Transaction name]],IF(Transactions[[#This Row],[Level 0]]=Transactions[[#This Row],[L2N]],Transactions[[#This Row],[L1N]],IF(Transactions[[#This Row],[Level 0]]=Transactions[[#This Row],[L3N]],Transactions[[#This Row],[L2N]],IF(Transactions[[#This Row],[Level 0]]=Transactions[[#This Row],[L4N]],Transactions[[#This Row],[L3N]],IF(Transactions[[#This Row],[Level 0]]=Transactions[[#This Row],[L5N]],Transactions[[#This Row],[L4N]],IF(Transactions[[#This Row],[Level 0]]=Transactions[[#This Row],[L6N]],Transactions[[#This Row],[L5N]],IF(Transactions[[#This Row],[Level 0]]=Transactions[[#This Row],[L7N]],Transactions[[#This Row],[L6N]],Transactions[[#This Row],[L7N]]))))))))</f>
        <v>Final Energy Consumption (S)</v>
      </c>
      <c r="AT82" s="24" t="str">
        <f>IF(Transactions[[#This Row],[Level 1]]=Transactions[[#This Row],[Transaction name]],Transactions[[#This Row],[Transaction name]],IF(Transactions[[#This Row],[Level 1]]=Transactions[[#This Row],[L1N]],Transactions[[#This Row],[Transaction name]],IF(Transactions[[#This Row],[Level 1]]=Transactions[[#This Row],[L2N]],Transactions[[#This Row],[L1N]],IF(Transactions[[#This Row],[Level 1]]=Transactions[[#This Row],[L3N]],Transactions[[#This Row],[L2N]],IF(Transactions[[#This Row],[Level 1]]=Transactions[[#This Row],[L4N]],Transactions[[#This Row],[L3N]],IF(Transactions[[#This Row],[Level 1]]=Transactions[[#This Row],[L5N]],Transactions[[#This Row],[L4N]],IF(Transactions[[#This Row],[Level 1]]=Transactions[[#This Row],[L6N]],Transactions[[#This Row],[L5N]],IF(Transactions[[#This Row],[Level 1]]=Transactions[[#This Row],[L7N]],Transactions[[#This Row],[L6N]],Transactions[[#This Row],[L7N]]))))))))</f>
        <v>Other Consumption (S)</v>
      </c>
      <c r="AU82" s="24" t="str">
        <f>IF(Transactions[[#This Row],[Level 2]]=Transactions[[#This Row],[Transaction name]],Transactions[[#This Row],[Transaction name]],IF(Transactions[[#This Row],[Level 2]]=Transactions[[#This Row],[L1N]],Transactions[[#This Row],[Transaction name]],IF(Transactions[[#This Row],[Level 2]]=Transactions[[#This Row],[L2N]],Transactions[[#This Row],[L1N]],IF(Transactions[[#This Row],[Level 2]]=Transactions[[#This Row],[L3N]],Transactions[[#This Row],[L2N]],IF(Transactions[[#This Row],[Level 2]]=Transactions[[#This Row],[L4N]],Transactions[[#This Row],[L3N]],IF(Transactions[[#This Row],[Level 2]]=Transactions[[#This Row],[L5N]],Transactions[[#This Row],[L4N]],IF(Transactions[[#This Row],[Level 2]]=Transactions[[#This Row],[L6N]],Transactions[[#This Row],[L5N]],IF(Transactions[[#This Row],[Level 2]]=Transactions[[#This Row],[L7N]],Transactions[[#This Row],[L6N]],Transactions[[#This Row],[L7N]]))))))))</f>
        <v>Commerce and public services (S)</v>
      </c>
      <c r="AV82" s="24" t="str">
        <f>IF(Transactions[[#This Row],[Level 3]]=Transactions[[#This Row],[Transaction name]],Transactions[[#This Row],[Transaction name]],IF(Transactions[[#This Row],[Level 3]]=Transactions[[#This Row],[L1N]],Transactions[[#This Row],[Transaction name]],IF(Transactions[[#This Row],[Level 3]]=Transactions[[#This Row],[L2N]],Transactions[[#This Row],[L1N]],IF(Transactions[[#This Row],[Level 3]]=Transactions[[#This Row],[L3N]],Transactions[[#This Row],[L2N]],IF(Transactions[[#This Row],[Level 3]]=Transactions[[#This Row],[L4N]],Transactions[[#This Row],[L3N]],IF(Transactions[[#This Row],[Level 3]]=Transactions[[#This Row],[L5N]],Transactions[[#This Row],[L4N]],IF(Transactions[[#This Row],[Level 3]]=Transactions[[#This Row],[L6N]],Transactions[[#This Row],[L5N]],IF(Transactions[[#This Row],[Level 3]]=Transactions[[#This Row],[L7N]],Transactions[[#This Row],[L6N]],Transactions[[#This Row],[L7N]]))))))))</f>
        <v>Commerce and public services (S)</v>
      </c>
      <c r="AW82" s="24" t="str">
        <f>IF(Transactions[[#This Row],[Level 4]]=Transactions[[#This Row],[Transaction name]],Transactions[[#This Row],[Transaction name]],IF(Transactions[[#This Row],[Level 4]]=Transactions[[#This Row],[L1N]],Transactions[[#This Row],[Transaction name]],IF(Transactions[[#This Row],[Level 4]]=Transactions[[#This Row],[L2N]],Transactions[[#This Row],[L1N]],IF(Transactions[[#This Row],[Level 4]]=Transactions[[#This Row],[L3N]],Transactions[[#This Row],[L2N]],IF(Transactions[[#This Row],[Level 4]]=Transactions[[#This Row],[L4N]],Transactions[[#This Row],[L3N]],IF(Transactions[[#This Row],[Level 4]]=Transactions[[#This Row],[L5N]],Transactions[[#This Row],[L4N]],IF(Transactions[[#This Row],[Level 4]]=Transactions[[#This Row],[L6N]],Transactions[[#This Row],[L5N]],IF(Transactions[[#This Row],[Level 4]]=Transactions[[#This Row],[L7N]],Transactions[[#This Row],[L6N]],Transactions[[#This Row],[L7N]]))))))))</f>
        <v>Commerce and public services (S)</v>
      </c>
      <c r="AX82" s="24" t="str">
        <f>IF(Transactions[[#This Row],[Level 5]]=Transactions[[#This Row],[Transaction name]],Transactions[[#This Row],[Transaction name]],IF(Transactions[[#This Row],[Level 5]]=Transactions[[#This Row],[L1N]],Transactions[[#This Row],[Transaction name]],IF(Transactions[[#This Row],[Level 5]]=Transactions[[#This Row],[L2N]],Transactions[[#This Row],[L1N]],IF(Transactions[[#This Row],[Level 5]]=Transactions[[#This Row],[L3N]],Transactions[[#This Row],[L2N]],IF(Transactions[[#This Row],[Level 5]]=Transactions[[#This Row],[L4N]],Transactions[[#This Row],[L3N]],IF(Transactions[[#This Row],[Level 5]]=Transactions[[#This Row],[L5N]],Transactions[[#This Row],[L4N]],IF(Transactions[[#This Row],[Level 5]]=Transactions[[#This Row],[L6N]],Transactions[[#This Row],[L5N]],IF(Transactions[[#This Row],[Level 5]]=Transactions[[#This Row],[L7N]],Transactions[[#This Row],[L6N]],Transactions[[#This Row],[L7N]]))))))))</f>
        <v>Commerce and public services (S)</v>
      </c>
      <c r="AY82" s="24" t="str">
        <f>IF(Transactions[[#This Row],[Level 6]]=Transactions[[#This Row],[Transaction name]],Transactions[[#This Row],[Transaction name]],IF(Transactions[[#This Row],[Level 6]]=Transactions[[#This Row],[L1N]],Transactions[[#This Row],[Transaction name]],IF(Transactions[[#This Row],[Level 6]]=Transactions[[#This Row],[L2N]],Transactions[[#This Row],[L1N]],IF(Transactions[[#This Row],[Level 6]]=Transactions[[#This Row],[L3N]],Transactions[[#This Row],[L2N]],IF(Transactions[[#This Row],[Level 6]]=Transactions[[#This Row],[L4N]],Transactions[[#This Row],[L3N]],IF(Transactions[[#This Row],[Level 6]]=Transactions[[#This Row],[L5N]],Transactions[[#This Row],[L4N]],IF(Transactions[[#This Row],[Level 6]]=Transactions[[#This Row],[L6N]],Transactions[[#This Row],[L5N]],IF(Transactions[[#This Row],[Level 6]]=Transactions[[#This Row],[L7N]],Transactions[[#This Row],[L6N]],Transactions[[#This Row],[L7N]]))))))))</f>
        <v>Commerce and public services (S)</v>
      </c>
      <c r="BE82" s="26" t="str">
        <f>_xlfn.XLOOKUP(Transformation[[#This Row],[cfrom]],Commodities[Commodity],Commodities[Commodity code])</f>
        <v>4699</v>
      </c>
      <c r="BF82" s="26" t="str">
        <f>_xlfn.XLOOKUP(Transformation[[#This Row],[tfrom]],Transactions[Transaction name],Transactions[Transaction code])</f>
        <v>08821</v>
      </c>
      <c r="BG82" s="26" t="str">
        <f>_xlfn.XLOOKUP(Transformation[[#This Row],[cto]],Commodities[Commodity],Commodities[Commodity code])</f>
        <v>4699</v>
      </c>
      <c r="BH82" s="26" t="str">
        <f>_xlfn.XLOOKUP(Transformation[[#This Row],[tto]],Transactions[Transaction name],Transactions[Transaction code])</f>
        <v>015OPC</v>
      </c>
      <c r="BI82" s="11">
        <v>1</v>
      </c>
      <c r="BJ82" s="4" t="s">
        <v>348</v>
      </c>
      <c r="BK82" s="24" t="str">
        <f>_xlfn.XLOOKUP(Transformation[[#This Row],[Commodity from]],Commodities[Commodity code],Commodities[EnergyCode])</f>
        <v>PP</v>
      </c>
      <c r="BL82" s="4" t="s">
        <v>691</v>
      </c>
      <c r="BM82" s="4" t="s">
        <v>348</v>
      </c>
      <c r="BN82" s="24" t="str">
        <f>_xlfn.XLOOKUP(Transformation[[#This Row],[Commodity to]],Commodities[Commodity code],Commodities[EnergyCode])</f>
        <v>PP</v>
      </c>
      <c r="BO82" s="4" t="s">
        <v>1050</v>
      </c>
      <c r="BP82" s="16" t="s">
        <v>1493</v>
      </c>
      <c r="BQ82" s="33" t="str">
        <f>Transformation[[#This Row],[Commodity from]]&amp;Transformation[[#This Row],[Transaction from]]&amp;Transformation[[#This Row],[Commodity to]]&amp;Transformation[[#This Row],[Transaction to]]</f>
        <v>4699088214699015OPC</v>
      </c>
      <c r="BR82" s="26" t="str">
        <f>Transformation[[#This Row],[crfomid]]&amp;Transformation[[#This Row],[Transaction from]]&amp;"("&amp;Transformation[[#This Row],[Multiplier]]&amp;") -&gt; "&amp;Transformation[[#This Row],[ctoid]]&amp;Transformation[[#This Row],[Transaction to]]</f>
        <v>PP08821(1) -&gt; PP015OPC</v>
      </c>
      <c r="BT82" s="26" t="str">
        <f>_xlfn.XLOOKUP(Signswitch[[#This Row],[Commodity name]],Commodities[Commodity],Commodities[Commodity code])</f>
        <v>5212</v>
      </c>
      <c r="BU82" s="26" t="str">
        <f>_xlfn.XLOOKUP(Signswitch[[#This Row],[Transaction name]],Transactions[Transaction name],Transactions[Transaction code])</f>
        <v>1225</v>
      </c>
      <c r="BV82" s="26" t="str">
        <f>Signswitch[[#This Row],[Commodity from]]&amp;Signswitch[[#This Row],[Transaction from]]</f>
        <v>52121225</v>
      </c>
      <c r="BW82" s="22" t="s">
        <v>317</v>
      </c>
      <c r="BX82" s="26" t="str">
        <f>_xlfn.XLOOKUP(Signswitch[[#This Row],[Commodity from]],Commodities[Commodity code],Commodities[EnergyCode])</f>
        <v>ZG</v>
      </c>
      <c r="BY82" s="22" t="s">
        <v>906</v>
      </c>
    </row>
    <row r="83" spans="8:77" x14ac:dyDescent="0.45">
      <c r="H83" s="6" t="s">
        <v>506</v>
      </c>
      <c r="I83" s="4" t="s">
        <v>534</v>
      </c>
      <c r="L83" s="24" t="str">
        <f>IFERROR(INDEX(Commodities[[Commodity code]:[Commodity]],MATCH(Commodities[[#This Row],[Parent code]],Commodities[Commodity code],0),2),Commodities[[#This Row],[Commodity]])</f>
        <v>Coal</v>
      </c>
      <c r="M83" s="24" t="str">
        <f>IFERROR(INDEX(Commodities[[Commodity code]:[Commodity]],MATCH(INDEX(Commodities[[Commodity]:[Parent code]],MATCH(Commodities[[#This Row],[L1N]],Commodities[Commodity],0),2),Commodities[Commodity code],0),2),Commodities[[#This Row],[L1N]])</f>
        <v>Coal</v>
      </c>
      <c r="N83" s="24" t="str">
        <f>IFERROR(INDEX(Commodities[[Commodity code]:[Commodity]],MATCH(INDEX(Commodities[[Commodity]:[Parent code]],MATCH(Commodities[[#This Row],[L2N]],Commodities[Commodity],0),2),Commodities[Commodity code],0),2),Commodities[[#This Row],[L2N]])</f>
        <v>Coal</v>
      </c>
      <c r="O83" s="24" t="str">
        <f>IFERROR(INDEX(Commodities[[Commodity code]:[Commodity]],MATCH(INDEX(Commodities[[Commodity]:[Parent code]],MATCH(Commodities[[#This Row],[L3N]],Commodities[Commodity],0),2),Commodities[Commodity code],0),2),Commodities[[#This Row],[L3N]])</f>
        <v>Coal</v>
      </c>
      <c r="P83" s="24" t="str">
        <f>IF(Commodities[[#This Row],[L4N]]=Commodities[[#This Row],[L3N]],Commodities[[#This Row],[L4N]],IF(Commodities[[#This Row],[L3N]]=Commodities[[#This Row],[L2N]],Commodities[[#This Row],[L3N]],IF(Commodities[[#This Row],[L2N]]=Commodities[[#This Row],[L1N]],Commodities[[#This Row],[L2N]],IF(Commodities[[#This Row],[L1N]]=Commodities[[#This Row],[Commodity]],Commodities[[#This Row],[L1N]],Commodities[[#This Row],[Commodity]]))))</f>
        <v>Coal</v>
      </c>
      <c r="Q83" s="24" t="str">
        <f>IF(Commodities[[#This Row],[Level 0]]=Commodities[[#This Row],[Commodity]],Commodities[[#This Row],[Commodity]],IF(Commodities[[#This Row],[Level 0]]=Commodities[[#This Row],[L1N]],Commodities[[#This Row],[Commodity]],IF(Commodities[[#This Row],[Level 0]]=Commodities[[#This Row],[L2N]],Commodities[[#This Row],[L1N]],IF(Commodities[[#This Row],[Level 0]]=Commodities[[#This Row],[L3N]],Commodities[[#This Row],[L2N]],IF(Commodities[[#This Row],[Level 0]]=Commodities[[#This Row],[L4N]],Commodities[[#This Row],[L3N]],Commodities[[#This Row],[L4N]])))))</f>
        <v>Coal</v>
      </c>
      <c r="R83" s="24" t="str">
        <f>IF(Commodities[[#This Row],[Level 1]]=Commodities[[#This Row],[Commodity]],Commodities[[#This Row],[Commodity]],IF(Commodities[[#This Row],[Level 1]]=Commodities[[#This Row],[L1N]],Commodities[[#This Row],[Commodity]],IF(Commodities[[#This Row],[Level 1]]=Commodities[[#This Row],[L2N]],Commodities[[#This Row],[L1N]],IF(Commodities[[#This Row],[Level 1]]=Commodities[[#This Row],[L3N]],Commodities[[#This Row],[L2N]],IF(Commodities[[#This Row],[Level 1]]=Commodities[[#This Row],[L4N]],Commodities[[#This Row],[L3N]],Commodities[[#This Row],[L4N]])))))</f>
        <v>Coal</v>
      </c>
      <c r="S83" s="24" t="str">
        <f>IF(Commodities[[#This Row],[Level 2]]=Commodities[[#This Row],[Commodity]],Commodities[[#This Row],[Commodity]],IF(Commodities[[#This Row],[Level 2]]=Commodities[[#This Row],[L1N]],Commodities[[#This Row],[Commodity]],IF(Commodities[[#This Row],[Level 2]]=Commodities[[#This Row],[L2N]],Commodities[[#This Row],[L1N]],IF(Commodities[[#This Row],[Level 2]]=Commodities[[#This Row],[L3N]],Commodities[[#This Row],[L2N]],IF(Commodities[[#This Row],[Level 2]]=Commodities[[#This Row],[L4N]],Commodities[[#This Row],[L3N]],Commodities[[#This Row],[L4N]])))))</f>
        <v>Coal</v>
      </c>
      <c r="T83" s="24" t="str">
        <f>IF(Commodities[[#This Row],[Level 3]]=Commodities[[#This Row],[Commodity]],Commodities[[#This Row],[Commodity]],IF(Commodities[[#This Row],[Level 3]]=Commodities[[#This Row],[L1N]],Commodities[[#This Row],[Commodity]],IF(Commodities[[#This Row],[Level 3]]=Commodities[[#This Row],[L2N]],Commodities[[#This Row],[L1N]],IF(Commodities[[#This Row],[Level 3]]=Commodities[[#This Row],[L3N]],Commodities[[#This Row],[L2N]],IF(Commodities[[#This Row],[Level 3]]=Commodities[[#This Row],[L4N]],Commodities[[#This Row],[L3N]],Commodities[[#This Row],[L4N]])))))</f>
        <v>Coal</v>
      </c>
      <c r="U83" s="24" t="str">
        <f>IF(Commodities[[#This Row],[Level 4]]=Commodities[[#This Row],[Commodity]],Commodities[[#This Row],[Commodity]],IF(Commodities[[#This Row],[Level 4]]=Commodities[[#This Row],[L1N]],Commodities[[#This Row],[Commodity]],IF(Commodities[[#This Row],[Level 4]]=Commodities[[#This Row],[L2N]],Commodities[[#This Row],[L1N]],IF(Commodities[[#This Row],[Level 4]]=Commodities[[#This Row],[L3N]],Commodities[[#This Row],[L2N]],IF(Commodities[[#This Row],[Level 4]]=Commodities[[#This Row],[L4N]],Commodities[[#This Row],[L3N]],Commodities[[#This Row],[L4N]])))))</f>
        <v>Coal</v>
      </c>
      <c r="Y83" s="4" t="s">
        <v>397</v>
      </c>
      <c r="Z83" s="4" t="s">
        <v>853</v>
      </c>
      <c r="AA83" s="4" t="s">
        <v>853</v>
      </c>
      <c r="AB83" s="4" t="s">
        <v>392</v>
      </c>
      <c r="AC83" s="24" t="str">
        <f>IFERROR(VLOOKUP(Transactions[[#This Row],[Parent code]],Transactions[[Transaction code]:[Transaction name]],2,0),"")</f>
        <v>Other Consumption (S)</v>
      </c>
      <c r="AD83" s="4" t="s">
        <v>630</v>
      </c>
      <c r="AF83" s="4" t="s">
        <v>642</v>
      </c>
      <c r="AG83" s="4" t="s">
        <v>385</v>
      </c>
      <c r="AK83" s="24" t="str" cm="1">
        <f t="array" ref="AK83">IFERROR(INDEX(Transactions[[Transaction code]:[Transaction name]],_xlfn.XMATCH(Transactions[[#This Row],[Parent code]],Transactions[Transaction name],0),3),Transactions[[#This Row],[Transaction name]])</f>
        <v>Households (S)</v>
      </c>
      <c r="AL83" s="24" t="str" cm="1">
        <f t="array" ref="AL83">IFERROR(INDEX(Transactions[[Transaction code]:[Transaction name]],_xlfn.XMATCH(INDEX(Transactions[[Transaction name]:[Parent code]],_xlfn.XMATCH(Transactions[[#This Row],[L1N]],Transactions[Transaction name],0),3),Transactions[Transaction code],0),2),Transactions[[#This Row],[L1N]])</f>
        <v>Other Consumption (S)</v>
      </c>
      <c r="AM83" s="24" t="str" cm="1">
        <f t="array" ref="AM83">IFERROR(INDEX(Transactions[[Transaction code]:[Transaction name]],_xlfn.XMATCH(INDEX(Transactions[[Transaction name]:[Parent code]],_xlfn.XMATCH(Transactions[[#This Row],[L2N]],Transactions[Transaction name],0),3),Transactions[Transaction code],0),2),Transactions[[#This Row],[L2N]])</f>
        <v>Final Energy Consumption (S)</v>
      </c>
      <c r="AN83" s="24" t="str" cm="1">
        <f t="array" ref="AN83">IFERROR(INDEX(Transactions[[Transaction code]:[Transaction name]],_xlfn.XMATCH(INDEX(Transactions[[Transaction name]:[Parent code]],_xlfn.XMATCH(Transactions[[#This Row],[L3N]],Transactions[Transaction name],0),3),Transactions[Transaction code],0),2),Transactions[[#This Row],[L3N]])</f>
        <v>Final consumption (S)</v>
      </c>
      <c r="AO83" s="24" t="str" cm="1">
        <f t="array" ref="AO83">IFERROR(INDEX(Transactions[[Transaction code]:[Transaction name]],_xlfn.XMATCH(INDEX(Transactions[[Transaction name]:[Parent code]],_xlfn.XMATCH(Transactions[[#This Row],[L4N]],Transactions[Transaction name],0),3),Transactions[Transaction code],0),2),Transactions[[#This Row],[L4N]])</f>
        <v>Final consumption (S)</v>
      </c>
      <c r="AP83" s="24" t="str" cm="1">
        <f t="array" ref="AP83">IFERROR(INDEX(Transactions[[Transaction code]:[Transaction name]],_xlfn.XMATCH(INDEX(Transactions[[Transaction name]:[Parent code]],_xlfn.XMATCH(Transactions[[#This Row],[L5N]],Transactions[Transaction name],0),3),Transactions[Transaction code],0),2),Transactions[[#This Row],[L5N]])</f>
        <v>Final consumption (S)</v>
      </c>
      <c r="AQ83" s="24" t="str" cm="1">
        <f t="array" ref="AQ83">IFERROR(INDEX(Transactions[[Transaction code]:[Transaction name]],_xlfn.XMATCH(INDEX(Transactions[[Transaction name]:[Parent code]],_xlfn.XMATCH(Transactions[[#This Row],[L6N]],Transactions[Transaction name],0),3),Transactions[Transaction code],0),2),Transactions[[#This Row],[L6N]])</f>
        <v>Final consumption (S)</v>
      </c>
      <c r="AR83" s="28" t="str">
        <f>IF(Transactions[[#This Row],[L7N]]=Transactions[[#This Row],[L6N]],Transactions[[#This Row],[L7N]],IF(Transactions[[#This Row],[L6N]]=Transactions[[#This Row],[L5N]],Transactions[[#This Row],[L6N]],IF(Transactions[[#This Row],[L5N]]=Transactions[[#This Row],[L4N]],Transactions[[#This Row],[L5N]],IF(Transactions[[#This Row],[L4N]]=Transactions[[#This Row],[L3N]],Transactions[[#This Row],[L4N]],IF(Transactions[[#This Row],[L3N]]=Transactions[[#This Row],[L2N]],Transactions[[#This Row],[L3N]],IF(Transactions[[#This Row],[L2N]]=Transactions[[#This Row],[L1N]],Transactions[[#This Row],[L2N]],IF(Transactions[[#This Row],[L1N]]=Transactions[[#This Row],[Transaction name]],Transactions[[#This Row],[L1N]],Transactions[[#This Row],[Transaction name]])))))))</f>
        <v>Final consumption (S)</v>
      </c>
      <c r="AS83" s="24" t="str">
        <f>IF(Transactions[[#This Row],[Level 0]]=Transactions[[#This Row],[Transaction name]],Transactions[[#This Row],[Transaction name]],IF(Transactions[[#This Row],[Level 0]]=Transactions[[#This Row],[L1N]],Transactions[[#This Row],[Transaction name]],IF(Transactions[[#This Row],[Level 0]]=Transactions[[#This Row],[L2N]],Transactions[[#This Row],[L1N]],IF(Transactions[[#This Row],[Level 0]]=Transactions[[#This Row],[L3N]],Transactions[[#This Row],[L2N]],IF(Transactions[[#This Row],[Level 0]]=Transactions[[#This Row],[L4N]],Transactions[[#This Row],[L3N]],IF(Transactions[[#This Row],[Level 0]]=Transactions[[#This Row],[L5N]],Transactions[[#This Row],[L4N]],IF(Transactions[[#This Row],[Level 0]]=Transactions[[#This Row],[L6N]],Transactions[[#This Row],[L5N]],IF(Transactions[[#This Row],[Level 0]]=Transactions[[#This Row],[L7N]],Transactions[[#This Row],[L6N]],Transactions[[#This Row],[L7N]]))))))))</f>
        <v>Final Energy Consumption (S)</v>
      </c>
      <c r="AT83" s="24" t="str">
        <f>IF(Transactions[[#This Row],[Level 1]]=Transactions[[#This Row],[Transaction name]],Transactions[[#This Row],[Transaction name]],IF(Transactions[[#This Row],[Level 1]]=Transactions[[#This Row],[L1N]],Transactions[[#This Row],[Transaction name]],IF(Transactions[[#This Row],[Level 1]]=Transactions[[#This Row],[L2N]],Transactions[[#This Row],[L1N]],IF(Transactions[[#This Row],[Level 1]]=Transactions[[#This Row],[L3N]],Transactions[[#This Row],[L2N]],IF(Transactions[[#This Row],[Level 1]]=Transactions[[#This Row],[L4N]],Transactions[[#This Row],[L3N]],IF(Transactions[[#This Row],[Level 1]]=Transactions[[#This Row],[L5N]],Transactions[[#This Row],[L4N]],IF(Transactions[[#This Row],[Level 1]]=Transactions[[#This Row],[L6N]],Transactions[[#This Row],[L5N]],IF(Transactions[[#This Row],[Level 1]]=Transactions[[#This Row],[L7N]],Transactions[[#This Row],[L6N]],Transactions[[#This Row],[L7N]]))))))))</f>
        <v>Other Consumption (S)</v>
      </c>
      <c r="AU83" s="24" t="str">
        <f>IF(Transactions[[#This Row],[Level 2]]=Transactions[[#This Row],[Transaction name]],Transactions[[#This Row],[Transaction name]],IF(Transactions[[#This Row],[Level 2]]=Transactions[[#This Row],[L1N]],Transactions[[#This Row],[Transaction name]],IF(Transactions[[#This Row],[Level 2]]=Transactions[[#This Row],[L2N]],Transactions[[#This Row],[L1N]],IF(Transactions[[#This Row],[Level 2]]=Transactions[[#This Row],[L3N]],Transactions[[#This Row],[L2N]],IF(Transactions[[#This Row],[Level 2]]=Transactions[[#This Row],[L4N]],Transactions[[#This Row],[L3N]],IF(Transactions[[#This Row],[Level 2]]=Transactions[[#This Row],[L5N]],Transactions[[#This Row],[L4N]],IF(Transactions[[#This Row],[Level 2]]=Transactions[[#This Row],[L6N]],Transactions[[#This Row],[L5N]],IF(Transactions[[#This Row],[Level 2]]=Transactions[[#This Row],[L7N]],Transactions[[#This Row],[L6N]],Transactions[[#This Row],[L7N]]))))))))</f>
        <v>Households (S)</v>
      </c>
      <c r="AV83" s="24" t="str">
        <f>IF(Transactions[[#This Row],[Level 3]]=Transactions[[#This Row],[Transaction name]],Transactions[[#This Row],[Transaction name]],IF(Transactions[[#This Row],[Level 3]]=Transactions[[#This Row],[L1N]],Transactions[[#This Row],[Transaction name]],IF(Transactions[[#This Row],[Level 3]]=Transactions[[#This Row],[L2N]],Transactions[[#This Row],[L1N]],IF(Transactions[[#This Row],[Level 3]]=Transactions[[#This Row],[L3N]],Transactions[[#This Row],[L2N]],IF(Transactions[[#This Row],[Level 3]]=Transactions[[#This Row],[L4N]],Transactions[[#This Row],[L3N]],IF(Transactions[[#This Row],[Level 3]]=Transactions[[#This Row],[L5N]],Transactions[[#This Row],[L4N]],IF(Transactions[[#This Row],[Level 3]]=Transactions[[#This Row],[L6N]],Transactions[[#This Row],[L5N]],IF(Transactions[[#This Row],[Level 3]]=Transactions[[#This Row],[L7N]],Transactions[[#This Row],[L6N]],Transactions[[#This Row],[L7N]]))))))))</f>
        <v>Households (S)</v>
      </c>
      <c r="AW83" s="24" t="str">
        <f>IF(Transactions[[#This Row],[Level 4]]=Transactions[[#This Row],[Transaction name]],Transactions[[#This Row],[Transaction name]],IF(Transactions[[#This Row],[Level 4]]=Transactions[[#This Row],[L1N]],Transactions[[#This Row],[Transaction name]],IF(Transactions[[#This Row],[Level 4]]=Transactions[[#This Row],[L2N]],Transactions[[#This Row],[L1N]],IF(Transactions[[#This Row],[Level 4]]=Transactions[[#This Row],[L3N]],Transactions[[#This Row],[L2N]],IF(Transactions[[#This Row],[Level 4]]=Transactions[[#This Row],[L4N]],Transactions[[#This Row],[L3N]],IF(Transactions[[#This Row],[Level 4]]=Transactions[[#This Row],[L5N]],Transactions[[#This Row],[L4N]],IF(Transactions[[#This Row],[Level 4]]=Transactions[[#This Row],[L6N]],Transactions[[#This Row],[L5N]],IF(Transactions[[#This Row],[Level 4]]=Transactions[[#This Row],[L7N]],Transactions[[#This Row],[L6N]],Transactions[[#This Row],[L7N]]))))))))</f>
        <v>Households (S)</v>
      </c>
      <c r="AX83" s="24" t="str">
        <f>IF(Transactions[[#This Row],[Level 5]]=Transactions[[#This Row],[Transaction name]],Transactions[[#This Row],[Transaction name]],IF(Transactions[[#This Row],[Level 5]]=Transactions[[#This Row],[L1N]],Transactions[[#This Row],[Transaction name]],IF(Transactions[[#This Row],[Level 5]]=Transactions[[#This Row],[L2N]],Transactions[[#This Row],[L1N]],IF(Transactions[[#This Row],[Level 5]]=Transactions[[#This Row],[L3N]],Transactions[[#This Row],[L2N]],IF(Transactions[[#This Row],[Level 5]]=Transactions[[#This Row],[L4N]],Transactions[[#This Row],[L3N]],IF(Transactions[[#This Row],[Level 5]]=Transactions[[#This Row],[L5N]],Transactions[[#This Row],[L4N]],IF(Transactions[[#This Row],[Level 5]]=Transactions[[#This Row],[L6N]],Transactions[[#This Row],[L5N]],IF(Transactions[[#This Row],[Level 5]]=Transactions[[#This Row],[L7N]],Transactions[[#This Row],[L6N]],Transactions[[#This Row],[L7N]]))))))))</f>
        <v>Households (S)</v>
      </c>
      <c r="AY83" s="24" t="str">
        <f>IF(Transactions[[#This Row],[Level 6]]=Transactions[[#This Row],[Transaction name]],Transactions[[#This Row],[Transaction name]],IF(Transactions[[#This Row],[Level 6]]=Transactions[[#This Row],[L1N]],Transactions[[#This Row],[Transaction name]],IF(Transactions[[#This Row],[Level 6]]=Transactions[[#This Row],[L2N]],Transactions[[#This Row],[L1N]],IF(Transactions[[#This Row],[Level 6]]=Transactions[[#This Row],[L3N]],Transactions[[#This Row],[L2N]],IF(Transactions[[#This Row],[Level 6]]=Transactions[[#This Row],[L4N]],Transactions[[#This Row],[L3N]],IF(Transactions[[#This Row],[Level 6]]=Transactions[[#This Row],[L5N]],Transactions[[#This Row],[L4N]],IF(Transactions[[#This Row],[Level 6]]=Transactions[[#This Row],[L6N]],Transactions[[#This Row],[L5N]],IF(Transactions[[#This Row],[Level 6]]=Transactions[[#This Row],[L7N]],Transactions[[#This Row],[L6N]],Transactions[[#This Row],[L7N]]))))))))</f>
        <v>Households (S)</v>
      </c>
      <c r="BE83" s="26" t="str">
        <f>_xlfn.XLOOKUP(Transformation[[#This Row],[cfrom]],Commodities[Commodity],Commodities[Commodity code])</f>
        <v>1100</v>
      </c>
      <c r="BF83" s="26" t="str">
        <f>_xlfn.XLOOKUP(Transformation[[#This Row],[tfrom]],Transactions[Transaction name],Transactions[Transaction code])</f>
        <v>08821</v>
      </c>
      <c r="BG83" s="26" t="str">
        <f>_xlfn.XLOOKUP(Transformation[[#This Row],[cto]],Commodities[Commodity],Commodities[Commodity code])</f>
        <v>1100</v>
      </c>
      <c r="BH83" s="26" t="str">
        <f>_xlfn.XLOOKUP(Transformation[[#This Row],[tto]],Transactions[Transaction name],Transactions[Transaction code])</f>
        <v>015PTC</v>
      </c>
      <c r="BI83" s="11">
        <v>1</v>
      </c>
      <c r="BJ83" s="4" t="s">
        <v>459</v>
      </c>
      <c r="BK83" s="24" t="str">
        <f>_xlfn.XLOOKUP(Transformation[[#This Row],[Commodity from]],Commodities[Commodity code],Commodities[EnergyCode])</f>
        <v>PT</v>
      </c>
      <c r="BL83" s="4" t="s">
        <v>691</v>
      </c>
      <c r="BM83" s="4" t="s">
        <v>459</v>
      </c>
      <c r="BN83" s="24" t="str">
        <f>_xlfn.XLOOKUP(Transformation[[#This Row],[Commodity to]],Commodities[Commodity code],Commodities[EnergyCode])</f>
        <v>PT</v>
      </c>
      <c r="BO83" s="4" t="s">
        <v>1201</v>
      </c>
      <c r="BP83" s="16" t="s">
        <v>1493</v>
      </c>
      <c r="BQ83" s="33" t="str">
        <f>Transformation[[#This Row],[Commodity from]]&amp;Transformation[[#This Row],[Transaction from]]&amp;Transformation[[#This Row],[Commodity to]]&amp;Transformation[[#This Row],[Transaction to]]</f>
        <v>1100088211100015PTC</v>
      </c>
      <c r="BR83" s="26" t="str">
        <f>Transformation[[#This Row],[crfomid]]&amp;Transformation[[#This Row],[Transaction from]]&amp;"("&amp;Transformation[[#This Row],[Multiplier]]&amp;") -&gt; "&amp;Transformation[[#This Row],[ctoid]]&amp;Transformation[[#This Row],[Transaction to]]</f>
        <v>PT08821(1) -&gt; PT015PTC</v>
      </c>
      <c r="BT83" s="26" t="str">
        <f>_xlfn.XLOOKUP(Signswitch[[#This Row],[Commodity name]],Commodities[Commodity],Commodities[Commodity code])</f>
        <v>5232</v>
      </c>
      <c r="BU83" s="26" t="str">
        <f>_xlfn.XLOOKUP(Signswitch[[#This Row],[Transaction name]],Transactions[Transaction name],Transactions[Transaction code])</f>
        <v>123</v>
      </c>
      <c r="BV83" s="26" t="str">
        <f>Signswitch[[#This Row],[Commodity from]]&amp;Signswitch[[#This Row],[Transaction from]]</f>
        <v>5232123</v>
      </c>
      <c r="BW83" s="22" t="s">
        <v>306</v>
      </c>
      <c r="BX83" s="26" t="str">
        <f>_xlfn.XLOOKUP(Signswitch[[#This Row],[Commodity from]],Commodities[Commodity code],Commodities[EnergyCode])</f>
        <v>ZJ</v>
      </c>
      <c r="BY83" s="22" t="s">
        <v>700</v>
      </c>
    </row>
    <row r="84" spans="8:77" x14ac:dyDescent="0.45">
      <c r="H84" s="9" t="s">
        <v>518</v>
      </c>
      <c r="I84" s="4" t="s">
        <v>526</v>
      </c>
      <c r="J84" s="5" t="s">
        <v>525</v>
      </c>
      <c r="K84" s="13"/>
      <c r="L84" s="23" t="str">
        <f>IFERROR(INDEX(Commodities[[Commodity code]:[Commodity]],MATCH(Commodities[[#This Row],[Parent code]],Commodities[Commodity code],0),2),Commodities[[#This Row],[Commodity]])</f>
        <v>Hard coal</v>
      </c>
      <c r="M84" s="24" t="str">
        <f>IFERROR(INDEX(Commodities[[Commodity code]:[Commodity]],MATCH(INDEX(Commodities[[Commodity]:[Parent code]],MATCH(Commodities[[#This Row],[L1N]],Commodities[Commodity],0),2),Commodities[Commodity code],0),2),Commodities[[#This Row],[L1N]])</f>
        <v>Coal</v>
      </c>
      <c r="N84" s="24" t="str">
        <f>IFERROR(INDEX(Commodities[[Commodity code]:[Commodity]],MATCH(INDEX(Commodities[[Commodity]:[Parent code]],MATCH(Commodities[[#This Row],[L2N]],Commodities[Commodity],0),2),Commodities[Commodity code],0),2),Commodities[[#This Row],[L2N]])</f>
        <v>Coal</v>
      </c>
      <c r="O84" s="24" t="str">
        <f>IFERROR(INDEX(Commodities[[Commodity code]:[Commodity]],MATCH(INDEX(Commodities[[Commodity]:[Parent code]],MATCH(Commodities[[#This Row],[L3N]],Commodities[Commodity],0),2),Commodities[Commodity code],0),2),Commodities[[#This Row],[L3N]])</f>
        <v>Coal</v>
      </c>
      <c r="P84" s="24" t="str">
        <f>IF(Commodities[[#This Row],[L4N]]=Commodities[[#This Row],[L3N]],Commodities[[#This Row],[L4N]],IF(Commodities[[#This Row],[L3N]]=Commodities[[#This Row],[L2N]],Commodities[[#This Row],[L3N]],IF(Commodities[[#This Row],[L2N]]=Commodities[[#This Row],[L1N]],Commodities[[#This Row],[L2N]],IF(Commodities[[#This Row],[L1N]]=Commodities[[#This Row],[Commodity]],Commodities[[#This Row],[L1N]],Commodities[[#This Row],[Commodity]]))))</f>
        <v>Coal</v>
      </c>
      <c r="Q84" s="24" t="str">
        <f>IF(Commodities[[#This Row],[Level 0]]=Commodities[[#This Row],[Commodity]],Commodities[[#This Row],[Commodity]],IF(Commodities[[#This Row],[Level 0]]=Commodities[[#This Row],[L1N]],Commodities[[#This Row],[Commodity]],IF(Commodities[[#This Row],[Level 0]]=Commodities[[#This Row],[L2N]],Commodities[[#This Row],[L1N]],IF(Commodities[[#This Row],[Level 0]]=Commodities[[#This Row],[L3N]],Commodities[[#This Row],[L2N]],IF(Commodities[[#This Row],[Level 0]]=Commodities[[#This Row],[L4N]],Commodities[[#This Row],[L3N]],Commodities[[#This Row],[L4N]])))))</f>
        <v>Hard coal</v>
      </c>
      <c r="R84" s="24" t="str">
        <f>IF(Commodities[[#This Row],[Level 1]]=Commodities[[#This Row],[Commodity]],Commodities[[#This Row],[Commodity]],IF(Commodities[[#This Row],[Level 1]]=Commodities[[#This Row],[L1N]],Commodities[[#This Row],[Commodity]],IF(Commodities[[#This Row],[Level 1]]=Commodities[[#This Row],[L2N]],Commodities[[#This Row],[L1N]],IF(Commodities[[#This Row],[Level 1]]=Commodities[[#This Row],[L3N]],Commodities[[#This Row],[L2N]],IF(Commodities[[#This Row],[Level 1]]=Commodities[[#This Row],[L4N]],Commodities[[#This Row],[L3N]],Commodities[[#This Row],[L4N]])))))</f>
        <v>Bituminous coal</v>
      </c>
      <c r="S84" s="24" t="str">
        <f>IF(Commodities[[#This Row],[Level 2]]=Commodities[[#This Row],[Commodity]],Commodities[[#This Row],[Commodity]],IF(Commodities[[#This Row],[Level 2]]=Commodities[[#This Row],[L1N]],Commodities[[#This Row],[Commodity]],IF(Commodities[[#This Row],[Level 2]]=Commodities[[#This Row],[L2N]],Commodities[[#This Row],[L1N]],IF(Commodities[[#This Row],[Level 2]]=Commodities[[#This Row],[L3N]],Commodities[[#This Row],[L2N]],IF(Commodities[[#This Row],[Level 2]]=Commodities[[#This Row],[L4N]],Commodities[[#This Row],[L3N]],Commodities[[#This Row],[L4N]])))))</f>
        <v>Bituminous coal</v>
      </c>
      <c r="T84" s="24" t="str">
        <f>IF(Commodities[[#This Row],[Level 3]]=Commodities[[#This Row],[Commodity]],Commodities[[#This Row],[Commodity]],IF(Commodities[[#This Row],[Level 3]]=Commodities[[#This Row],[L1N]],Commodities[[#This Row],[Commodity]],IF(Commodities[[#This Row],[Level 3]]=Commodities[[#This Row],[L2N]],Commodities[[#This Row],[L1N]],IF(Commodities[[#This Row],[Level 3]]=Commodities[[#This Row],[L3N]],Commodities[[#This Row],[L2N]],IF(Commodities[[#This Row],[Level 3]]=Commodities[[#This Row],[L4N]],Commodities[[#This Row],[L3N]],Commodities[[#This Row],[L4N]])))))</f>
        <v>Bituminous coal</v>
      </c>
      <c r="U84" s="24" t="str">
        <f>IF(Commodities[[#This Row],[Level 4]]=Commodities[[#This Row],[Commodity]],Commodities[[#This Row],[Commodity]],IF(Commodities[[#This Row],[Level 4]]=Commodities[[#This Row],[L1N]],Commodities[[#This Row],[Commodity]],IF(Commodities[[#This Row],[Level 4]]=Commodities[[#This Row],[L2N]],Commodities[[#This Row],[L1N]],IF(Commodities[[#This Row],[Level 4]]=Commodities[[#This Row],[L3N]],Commodities[[#This Row],[L2N]],IF(Commodities[[#This Row],[Level 4]]=Commodities[[#This Row],[L4N]],Commodities[[#This Row],[L3N]],Commodities[[#This Row],[L4N]])))))</f>
        <v>Bituminous coal</v>
      </c>
      <c r="Y84" s="4" t="s">
        <v>392</v>
      </c>
      <c r="Z84" s="4" t="s">
        <v>869</v>
      </c>
      <c r="AA84" s="4" t="s">
        <v>869</v>
      </c>
      <c r="AB84" s="4" t="s">
        <v>407</v>
      </c>
      <c r="AC84" s="24" t="str">
        <f>IFERROR(VLOOKUP(Transactions[[#This Row],[Parent code]],Transactions[[Transaction code]:[Transaction name]],2,0),"")</f>
        <v>Final Energy Consumption (S)</v>
      </c>
      <c r="AD84" s="4" t="s">
        <v>630</v>
      </c>
      <c r="AF84" s="4" t="s">
        <v>642</v>
      </c>
      <c r="AG84" s="4" t="s">
        <v>385</v>
      </c>
      <c r="AK84" s="24" t="str" cm="1">
        <f t="array" ref="AK84">IFERROR(INDEX(Transactions[[Transaction code]:[Transaction name]],_xlfn.XMATCH(Transactions[[#This Row],[Parent code]],Transactions[Transaction name],0),3),Transactions[[#This Row],[Transaction name]])</f>
        <v>Other Consumption (S)</v>
      </c>
      <c r="AL84" s="24" t="str" cm="1">
        <f t="array" ref="AL84">IFERROR(INDEX(Transactions[[Transaction code]:[Transaction name]],_xlfn.XMATCH(INDEX(Transactions[[Transaction name]:[Parent code]],_xlfn.XMATCH(Transactions[[#This Row],[L1N]],Transactions[Transaction name],0),3),Transactions[Transaction code],0),2),Transactions[[#This Row],[L1N]])</f>
        <v>Final Energy Consumption (S)</v>
      </c>
      <c r="AM84" s="24" t="str" cm="1">
        <f t="array" ref="AM84">IFERROR(INDEX(Transactions[[Transaction code]:[Transaction name]],_xlfn.XMATCH(INDEX(Transactions[[Transaction name]:[Parent code]],_xlfn.XMATCH(Transactions[[#This Row],[L2N]],Transactions[Transaction name],0),3),Transactions[Transaction code],0),2),Transactions[[#This Row],[L2N]])</f>
        <v>Final consumption (S)</v>
      </c>
      <c r="AN84" s="24" t="str" cm="1">
        <f t="array" ref="AN84">IFERROR(INDEX(Transactions[[Transaction code]:[Transaction name]],_xlfn.XMATCH(INDEX(Transactions[[Transaction name]:[Parent code]],_xlfn.XMATCH(Transactions[[#This Row],[L3N]],Transactions[Transaction name],0),3),Transactions[Transaction code],0),2),Transactions[[#This Row],[L3N]])</f>
        <v>Final consumption (S)</v>
      </c>
      <c r="AO84" s="24" t="str" cm="1">
        <f t="array" ref="AO84">IFERROR(INDEX(Transactions[[Transaction code]:[Transaction name]],_xlfn.XMATCH(INDEX(Transactions[[Transaction name]:[Parent code]],_xlfn.XMATCH(Transactions[[#This Row],[L4N]],Transactions[Transaction name],0),3),Transactions[Transaction code],0),2),Transactions[[#This Row],[L4N]])</f>
        <v>Final consumption (S)</v>
      </c>
      <c r="AP84" s="24" t="str" cm="1">
        <f t="array" ref="AP84">IFERROR(INDEX(Transactions[[Transaction code]:[Transaction name]],_xlfn.XMATCH(INDEX(Transactions[[Transaction name]:[Parent code]],_xlfn.XMATCH(Transactions[[#This Row],[L5N]],Transactions[Transaction name],0),3),Transactions[Transaction code],0),2),Transactions[[#This Row],[L5N]])</f>
        <v>Final consumption (S)</v>
      </c>
      <c r="AQ84" s="24" t="str" cm="1">
        <f t="array" ref="AQ84">IFERROR(INDEX(Transactions[[Transaction code]:[Transaction name]],_xlfn.XMATCH(INDEX(Transactions[[Transaction name]:[Parent code]],_xlfn.XMATCH(Transactions[[#This Row],[L6N]],Transactions[Transaction name],0),3),Transactions[Transaction code],0),2),Transactions[[#This Row],[L6N]])</f>
        <v>Final consumption (S)</v>
      </c>
      <c r="AR84" s="27" t="str">
        <f>IF(Transactions[[#This Row],[L7N]]=Transactions[[#This Row],[L6N]],Transactions[[#This Row],[L7N]],IF(Transactions[[#This Row],[L6N]]=Transactions[[#This Row],[L5N]],Transactions[[#This Row],[L6N]],IF(Transactions[[#This Row],[L5N]]=Transactions[[#This Row],[L4N]],Transactions[[#This Row],[L5N]],IF(Transactions[[#This Row],[L4N]]=Transactions[[#This Row],[L3N]],Transactions[[#This Row],[L4N]],IF(Transactions[[#This Row],[L3N]]=Transactions[[#This Row],[L2N]],Transactions[[#This Row],[L3N]],IF(Transactions[[#This Row],[L2N]]=Transactions[[#This Row],[L1N]],Transactions[[#This Row],[L2N]],IF(Transactions[[#This Row],[L1N]]=Transactions[[#This Row],[Transaction name]],Transactions[[#This Row],[L1N]],Transactions[[#This Row],[Transaction name]])))))))</f>
        <v>Final consumption (S)</v>
      </c>
      <c r="AS84" s="24" t="str">
        <f>IF(Transactions[[#This Row],[Level 0]]=Transactions[[#This Row],[Transaction name]],Transactions[[#This Row],[Transaction name]],IF(Transactions[[#This Row],[Level 0]]=Transactions[[#This Row],[L1N]],Transactions[[#This Row],[Transaction name]],IF(Transactions[[#This Row],[Level 0]]=Transactions[[#This Row],[L2N]],Transactions[[#This Row],[L1N]],IF(Transactions[[#This Row],[Level 0]]=Transactions[[#This Row],[L3N]],Transactions[[#This Row],[L2N]],IF(Transactions[[#This Row],[Level 0]]=Transactions[[#This Row],[L4N]],Transactions[[#This Row],[L3N]],IF(Transactions[[#This Row],[Level 0]]=Transactions[[#This Row],[L5N]],Transactions[[#This Row],[L4N]],IF(Transactions[[#This Row],[Level 0]]=Transactions[[#This Row],[L6N]],Transactions[[#This Row],[L5N]],IF(Transactions[[#This Row],[Level 0]]=Transactions[[#This Row],[L7N]],Transactions[[#This Row],[L6N]],Transactions[[#This Row],[L7N]]))))))))</f>
        <v>Final Energy Consumption (S)</v>
      </c>
      <c r="AT84" s="24" t="str">
        <f>IF(Transactions[[#This Row],[Level 1]]=Transactions[[#This Row],[Transaction name]],Transactions[[#This Row],[Transaction name]],IF(Transactions[[#This Row],[Level 1]]=Transactions[[#This Row],[L1N]],Transactions[[#This Row],[Transaction name]],IF(Transactions[[#This Row],[Level 1]]=Transactions[[#This Row],[L2N]],Transactions[[#This Row],[L1N]],IF(Transactions[[#This Row],[Level 1]]=Transactions[[#This Row],[L3N]],Transactions[[#This Row],[L2N]],IF(Transactions[[#This Row],[Level 1]]=Transactions[[#This Row],[L4N]],Transactions[[#This Row],[L3N]],IF(Transactions[[#This Row],[Level 1]]=Transactions[[#This Row],[L5N]],Transactions[[#This Row],[L4N]],IF(Transactions[[#This Row],[Level 1]]=Transactions[[#This Row],[L6N]],Transactions[[#This Row],[L5N]],IF(Transactions[[#This Row],[Level 1]]=Transactions[[#This Row],[L7N]],Transactions[[#This Row],[L6N]],Transactions[[#This Row],[L7N]]))))))))</f>
        <v>Other Consumption (S)</v>
      </c>
      <c r="AU84" s="24" t="str">
        <f>IF(Transactions[[#This Row],[Level 2]]=Transactions[[#This Row],[Transaction name]],Transactions[[#This Row],[Transaction name]],IF(Transactions[[#This Row],[Level 2]]=Transactions[[#This Row],[L1N]],Transactions[[#This Row],[Transaction name]],IF(Transactions[[#This Row],[Level 2]]=Transactions[[#This Row],[L2N]],Transactions[[#This Row],[L1N]],IF(Transactions[[#This Row],[Level 2]]=Transactions[[#This Row],[L3N]],Transactions[[#This Row],[L2N]],IF(Transactions[[#This Row],[Level 2]]=Transactions[[#This Row],[L4N]],Transactions[[#This Row],[L3N]],IF(Transactions[[#This Row],[Level 2]]=Transactions[[#This Row],[L5N]],Transactions[[#This Row],[L4N]],IF(Transactions[[#This Row],[Level 2]]=Transactions[[#This Row],[L6N]],Transactions[[#This Row],[L5N]],IF(Transactions[[#This Row],[Level 2]]=Transactions[[#This Row],[L7N]],Transactions[[#This Row],[L6N]],Transactions[[#This Row],[L7N]]))))))))</f>
        <v>Other Consumption (S)</v>
      </c>
      <c r="AV84" s="24" t="str">
        <f>IF(Transactions[[#This Row],[Level 3]]=Transactions[[#This Row],[Transaction name]],Transactions[[#This Row],[Transaction name]],IF(Transactions[[#This Row],[Level 3]]=Transactions[[#This Row],[L1N]],Transactions[[#This Row],[Transaction name]],IF(Transactions[[#This Row],[Level 3]]=Transactions[[#This Row],[L2N]],Transactions[[#This Row],[L1N]],IF(Transactions[[#This Row],[Level 3]]=Transactions[[#This Row],[L3N]],Transactions[[#This Row],[L2N]],IF(Transactions[[#This Row],[Level 3]]=Transactions[[#This Row],[L4N]],Transactions[[#This Row],[L3N]],IF(Transactions[[#This Row],[Level 3]]=Transactions[[#This Row],[L5N]],Transactions[[#This Row],[L4N]],IF(Transactions[[#This Row],[Level 3]]=Transactions[[#This Row],[L6N]],Transactions[[#This Row],[L5N]],IF(Transactions[[#This Row],[Level 3]]=Transactions[[#This Row],[L7N]],Transactions[[#This Row],[L6N]],Transactions[[#This Row],[L7N]]))))))))</f>
        <v>Other Consumption (S)</v>
      </c>
      <c r="AW84" s="24" t="str">
        <f>IF(Transactions[[#This Row],[Level 4]]=Transactions[[#This Row],[Transaction name]],Transactions[[#This Row],[Transaction name]],IF(Transactions[[#This Row],[Level 4]]=Transactions[[#This Row],[L1N]],Transactions[[#This Row],[Transaction name]],IF(Transactions[[#This Row],[Level 4]]=Transactions[[#This Row],[L2N]],Transactions[[#This Row],[L1N]],IF(Transactions[[#This Row],[Level 4]]=Transactions[[#This Row],[L3N]],Transactions[[#This Row],[L2N]],IF(Transactions[[#This Row],[Level 4]]=Transactions[[#This Row],[L4N]],Transactions[[#This Row],[L3N]],IF(Transactions[[#This Row],[Level 4]]=Transactions[[#This Row],[L5N]],Transactions[[#This Row],[L4N]],IF(Transactions[[#This Row],[Level 4]]=Transactions[[#This Row],[L6N]],Transactions[[#This Row],[L5N]],IF(Transactions[[#This Row],[Level 4]]=Transactions[[#This Row],[L7N]],Transactions[[#This Row],[L6N]],Transactions[[#This Row],[L7N]]))))))))</f>
        <v>Other Consumption (S)</v>
      </c>
      <c r="AX84" s="24" t="str">
        <f>IF(Transactions[[#This Row],[Level 5]]=Transactions[[#This Row],[Transaction name]],Transactions[[#This Row],[Transaction name]],IF(Transactions[[#This Row],[Level 5]]=Transactions[[#This Row],[L1N]],Transactions[[#This Row],[Transaction name]],IF(Transactions[[#This Row],[Level 5]]=Transactions[[#This Row],[L2N]],Transactions[[#This Row],[L1N]],IF(Transactions[[#This Row],[Level 5]]=Transactions[[#This Row],[L3N]],Transactions[[#This Row],[L2N]],IF(Transactions[[#This Row],[Level 5]]=Transactions[[#This Row],[L4N]],Transactions[[#This Row],[L3N]],IF(Transactions[[#This Row],[Level 5]]=Transactions[[#This Row],[L5N]],Transactions[[#This Row],[L4N]],IF(Transactions[[#This Row],[Level 5]]=Transactions[[#This Row],[L6N]],Transactions[[#This Row],[L5N]],IF(Transactions[[#This Row],[Level 5]]=Transactions[[#This Row],[L7N]],Transactions[[#This Row],[L6N]],Transactions[[#This Row],[L7N]]))))))))</f>
        <v>Other Consumption (S)</v>
      </c>
      <c r="AY84" s="24" t="str">
        <f>IF(Transactions[[#This Row],[Level 6]]=Transactions[[#This Row],[Transaction name]],Transactions[[#This Row],[Transaction name]],IF(Transactions[[#This Row],[Level 6]]=Transactions[[#This Row],[L1N]],Transactions[[#This Row],[Transaction name]],IF(Transactions[[#This Row],[Level 6]]=Transactions[[#This Row],[L2N]],Transactions[[#This Row],[L1N]],IF(Transactions[[#This Row],[Level 6]]=Transactions[[#This Row],[L3N]],Transactions[[#This Row],[L2N]],IF(Transactions[[#This Row],[Level 6]]=Transactions[[#This Row],[L4N]],Transactions[[#This Row],[L3N]],IF(Transactions[[#This Row],[Level 6]]=Transactions[[#This Row],[L5N]],Transactions[[#This Row],[L4N]],IF(Transactions[[#This Row],[Level 6]]=Transactions[[#This Row],[L6N]],Transactions[[#This Row],[L5N]],IF(Transactions[[#This Row],[Level 6]]=Transactions[[#This Row],[L7N]],Transactions[[#This Row],[L6N]],Transactions[[#This Row],[L7N]]))))))))</f>
        <v>Other Consumption (S)</v>
      </c>
      <c r="BE84" s="26" t="str">
        <f>_xlfn.XLOOKUP(Transformation[[#This Row],[cfrom]],Commodities[Commodity],Commodities[Commodity code])</f>
        <v>5140</v>
      </c>
      <c r="BF84" s="26" t="str">
        <f>_xlfn.XLOOKUP(Transformation[[#This Row],[tfrom]],Transactions[Transaction name],Transactions[Transaction code])</f>
        <v>08821</v>
      </c>
      <c r="BG84" s="26" t="str">
        <f>_xlfn.XLOOKUP(Transformation[[#This Row],[cto]],Commodities[Commodity],Commodities[Commodity code])</f>
        <v>5140</v>
      </c>
      <c r="BH84" s="26" t="str">
        <f>_xlfn.XLOOKUP(Transformation[[#This Row],[tto]],Transactions[Transaction name],Transactions[Transaction code])</f>
        <v>015BSC</v>
      </c>
      <c r="BI84" s="11">
        <v>1</v>
      </c>
      <c r="BJ84" s="4" t="s">
        <v>330</v>
      </c>
      <c r="BK84" s="24" t="str">
        <f>_xlfn.XLOOKUP(Transformation[[#This Row],[Commodity from]],Commodities[Commodity code],Commodities[EnergyCode])</f>
        <v>PU</v>
      </c>
      <c r="BL84" s="4" t="s">
        <v>691</v>
      </c>
      <c r="BM84" s="4" t="s">
        <v>330</v>
      </c>
      <c r="BN84" s="24" t="str">
        <f>_xlfn.XLOOKUP(Transformation[[#This Row],[Commodity to]],Commodities[Commodity code],Commodities[EnergyCode])</f>
        <v>PU</v>
      </c>
      <c r="BO84" s="4" t="s">
        <v>1122</v>
      </c>
      <c r="BP84" s="16" t="s">
        <v>1493</v>
      </c>
      <c r="BQ84" s="33" t="str">
        <f>Transformation[[#This Row],[Commodity from]]&amp;Transformation[[#This Row],[Transaction from]]&amp;Transformation[[#This Row],[Commodity to]]&amp;Transformation[[#This Row],[Transaction to]]</f>
        <v>5140088215140015BSC</v>
      </c>
      <c r="BR84" s="26" t="str">
        <f>Transformation[[#This Row],[crfomid]]&amp;Transformation[[#This Row],[Transaction from]]&amp;"("&amp;Transformation[[#This Row],[Multiplier]]&amp;") -&gt; "&amp;Transformation[[#This Row],[ctoid]]&amp;Transformation[[#This Row],[Transaction to]]</f>
        <v>PU08821(1) -&gt; PU015BSC</v>
      </c>
      <c r="BT84" s="26" t="str">
        <f>_xlfn.XLOOKUP(Signswitch[[#This Row],[Commodity name]],Commodities[Commodity],Commodities[Commodity code])</f>
        <v>5222</v>
      </c>
      <c r="BU84" s="26" t="str">
        <f>_xlfn.XLOOKUP(Signswitch[[#This Row],[Transaction name]],Transactions[Transaction name],Transactions[Transaction code])</f>
        <v>123</v>
      </c>
      <c r="BV84" s="26" t="str">
        <f>Signswitch[[#This Row],[Commodity from]]&amp;Signswitch[[#This Row],[Transaction from]]</f>
        <v>5222123</v>
      </c>
      <c r="BW84" s="22" t="s">
        <v>962</v>
      </c>
      <c r="BX84" s="26" t="str">
        <f>_xlfn.XLOOKUP(Signswitch[[#This Row],[Commodity from]],Commodities[Commodity code],Commodities[EnergyCode])</f>
        <v>ZD</v>
      </c>
      <c r="BY84" s="22" t="s">
        <v>700</v>
      </c>
    </row>
    <row r="85" spans="8:77" x14ac:dyDescent="0.45">
      <c r="H85" s="9" t="s">
        <v>466</v>
      </c>
      <c r="I85" s="4" t="s">
        <v>507</v>
      </c>
      <c r="J85" s="9" t="s">
        <v>506</v>
      </c>
      <c r="K85" s="9"/>
      <c r="L85" s="23" t="str">
        <f>IFERROR(INDEX(Commodities[[Commodity code]:[Commodity]],MATCH(Commodities[[#This Row],[Parent code]],Commodities[Commodity code],0),2),Commodities[[#This Row],[Commodity]])</f>
        <v>Coal</v>
      </c>
      <c r="M85" s="24" t="str">
        <f>IFERROR(INDEX(Commodities[[Commodity code]:[Commodity]],MATCH(INDEX(Commodities[[Commodity]:[Parent code]],MATCH(Commodities[[#This Row],[L1N]],Commodities[Commodity],0),2),Commodities[Commodity code],0),2),Commodities[[#This Row],[L1N]])</f>
        <v>Coal</v>
      </c>
      <c r="N85" s="24" t="str">
        <f>IFERROR(INDEX(Commodities[[Commodity code]:[Commodity]],MATCH(INDEX(Commodities[[Commodity]:[Parent code]],MATCH(Commodities[[#This Row],[L2N]],Commodities[Commodity],0),2),Commodities[Commodity code],0),2),Commodities[[#This Row],[L2N]])</f>
        <v>Coal</v>
      </c>
      <c r="O85" s="24" t="str">
        <f>IFERROR(INDEX(Commodities[[Commodity code]:[Commodity]],MATCH(INDEX(Commodities[[Commodity]:[Parent code]],MATCH(Commodities[[#This Row],[L3N]],Commodities[Commodity],0),2),Commodities[Commodity code],0),2),Commodities[[#This Row],[L3N]])</f>
        <v>Coal</v>
      </c>
      <c r="P85" s="24" t="str">
        <f>IF(Commodities[[#This Row],[L4N]]=Commodities[[#This Row],[L3N]],Commodities[[#This Row],[L4N]],IF(Commodities[[#This Row],[L3N]]=Commodities[[#This Row],[L2N]],Commodities[[#This Row],[L3N]],IF(Commodities[[#This Row],[L2N]]=Commodities[[#This Row],[L1N]],Commodities[[#This Row],[L2N]],IF(Commodities[[#This Row],[L1N]]=Commodities[[#This Row],[Commodity]],Commodities[[#This Row],[L1N]],Commodities[[#This Row],[Commodity]]))))</f>
        <v>Coal</v>
      </c>
      <c r="Q85" s="24" t="str">
        <f>IF(Commodities[[#This Row],[Level 0]]=Commodities[[#This Row],[Commodity]],Commodities[[#This Row],[Commodity]],IF(Commodities[[#This Row],[Level 0]]=Commodities[[#This Row],[L1N]],Commodities[[#This Row],[Commodity]],IF(Commodities[[#This Row],[Level 0]]=Commodities[[#This Row],[L2N]],Commodities[[#This Row],[L1N]],IF(Commodities[[#This Row],[Level 0]]=Commodities[[#This Row],[L3N]],Commodities[[#This Row],[L2N]],IF(Commodities[[#This Row],[Level 0]]=Commodities[[#This Row],[L4N]],Commodities[[#This Row],[L3N]],Commodities[[#This Row],[L4N]])))))</f>
        <v>Coal products</v>
      </c>
      <c r="R85" s="24" t="str">
        <f>IF(Commodities[[#This Row],[Level 1]]=Commodities[[#This Row],[Commodity]],Commodities[[#This Row],[Commodity]],IF(Commodities[[#This Row],[Level 1]]=Commodities[[#This Row],[L1N]],Commodities[[#This Row],[Commodity]],IF(Commodities[[#This Row],[Level 1]]=Commodities[[#This Row],[L2N]],Commodities[[#This Row],[L1N]],IF(Commodities[[#This Row],[Level 1]]=Commodities[[#This Row],[L3N]],Commodities[[#This Row],[L2N]],IF(Commodities[[#This Row],[Level 1]]=Commodities[[#This Row],[L4N]],Commodities[[#This Row],[L3N]],Commodities[[#This Row],[L4N]])))))</f>
        <v>Coal products</v>
      </c>
      <c r="S85" s="24" t="str">
        <f>IF(Commodities[[#This Row],[Level 2]]=Commodities[[#This Row],[Commodity]],Commodities[[#This Row],[Commodity]],IF(Commodities[[#This Row],[Level 2]]=Commodities[[#This Row],[L1N]],Commodities[[#This Row],[Commodity]],IF(Commodities[[#This Row],[Level 2]]=Commodities[[#This Row],[L2N]],Commodities[[#This Row],[L1N]],IF(Commodities[[#This Row],[Level 2]]=Commodities[[#This Row],[L3N]],Commodities[[#This Row],[L2N]],IF(Commodities[[#This Row],[Level 2]]=Commodities[[#This Row],[L4N]],Commodities[[#This Row],[L3N]],Commodities[[#This Row],[L4N]])))))</f>
        <v>Coal products</v>
      </c>
      <c r="T85" s="24" t="str">
        <f>IF(Commodities[[#This Row],[Level 3]]=Commodities[[#This Row],[Commodity]],Commodities[[#This Row],[Commodity]],IF(Commodities[[#This Row],[Level 3]]=Commodities[[#This Row],[L1N]],Commodities[[#This Row],[Commodity]],IF(Commodities[[#This Row],[Level 3]]=Commodities[[#This Row],[L2N]],Commodities[[#This Row],[L1N]],IF(Commodities[[#This Row],[Level 3]]=Commodities[[#This Row],[L3N]],Commodities[[#This Row],[L2N]],IF(Commodities[[#This Row],[Level 3]]=Commodities[[#This Row],[L4N]],Commodities[[#This Row],[L3N]],Commodities[[#This Row],[L4N]])))))</f>
        <v>Coal products</v>
      </c>
      <c r="U85" s="24" t="str">
        <f>IF(Commodities[[#This Row],[Level 4]]=Commodities[[#This Row],[Commodity]],Commodities[[#This Row],[Commodity]],IF(Commodities[[#This Row],[Level 4]]=Commodities[[#This Row],[L1N]],Commodities[[#This Row],[Commodity]],IF(Commodities[[#This Row],[Level 4]]=Commodities[[#This Row],[L2N]],Commodities[[#This Row],[L1N]],IF(Commodities[[#This Row],[Level 4]]=Commodities[[#This Row],[L3N]],Commodities[[#This Row],[L2N]],IF(Commodities[[#This Row],[Level 4]]=Commodities[[#This Row],[L4N]],Commodities[[#This Row],[L3N]],Commodities[[#This Row],[L4N]])))))</f>
        <v>Coal products</v>
      </c>
      <c r="Y85" s="4" t="s">
        <v>393</v>
      </c>
      <c r="Z85" s="4" t="s">
        <v>903</v>
      </c>
      <c r="AA85" s="4" t="s">
        <v>903</v>
      </c>
      <c r="AB85" s="4" t="s">
        <v>392</v>
      </c>
      <c r="AC85" s="24" t="str">
        <f>IFERROR(VLOOKUP(Transactions[[#This Row],[Parent code]],Transactions[[Transaction code]:[Transaction name]],2,0),"")</f>
        <v>Other Consumption (S)</v>
      </c>
      <c r="AD85" s="4" t="s">
        <v>630</v>
      </c>
      <c r="AF85" s="4" t="s">
        <v>642</v>
      </c>
      <c r="AG85" s="4" t="s">
        <v>385</v>
      </c>
      <c r="AK85" s="24" t="str" cm="1">
        <f t="array" ref="AK85">IFERROR(INDEX(Transactions[[Transaction code]:[Transaction name]],_xlfn.XMATCH(Transactions[[#This Row],[Parent code]],Transactions[Transaction name],0),3),Transactions[[#This Row],[Transaction name]])</f>
        <v>Other consumption n.e.s. (S)</v>
      </c>
      <c r="AL85" s="24" t="str" cm="1">
        <f t="array" ref="AL85">IFERROR(INDEX(Transactions[[Transaction code]:[Transaction name]],_xlfn.XMATCH(INDEX(Transactions[[Transaction name]:[Parent code]],_xlfn.XMATCH(Transactions[[#This Row],[L1N]],Transactions[Transaction name],0),3),Transactions[Transaction code],0),2),Transactions[[#This Row],[L1N]])</f>
        <v>Other Consumption (S)</v>
      </c>
      <c r="AM85" s="24" t="str" cm="1">
        <f t="array" ref="AM85">IFERROR(INDEX(Transactions[[Transaction code]:[Transaction name]],_xlfn.XMATCH(INDEX(Transactions[[Transaction name]:[Parent code]],_xlfn.XMATCH(Transactions[[#This Row],[L2N]],Transactions[Transaction name],0),3),Transactions[Transaction code],0),2),Transactions[[#This Row],[L2N]])</f>
        <v>Final Energy Consumption (S)</v>
      </c>
      <c r="AN85" s="24" t="str" cm="1">
        <f t="array" ref="AN85">IFERROR(INDEX(Transactions[[Transaction code]:[Transaction name]],_xlfn.XMATCH(INDEX(Transactions[[Transaction name]:[Parent code]],_xlfn.XMATCH(Transactions[[#This Row],[L3N]],Transactions[Transaction name],0),3),Transactions[Transaction code],0),2),Transactions[[#This Row],[L3N]])</f>
        <v>Final consumption (S)</v>
      </c>
      <c r="AO85" s="24" t="str" cm="1">
        <f t="array" ref="AO85">IFERROR(INDEX(Transactions[[Transaction code]:[Transaction name]],_xlfn.XMATCH(INDEX(Transactions[[Transaction name]:[Parent code]],_xlfn.XMATCH(Transactions[[#This Row],[L4N]],Transactions[Transaction name],0),3),Transactions[Transaction code],0),2),Transactions[[#This Row],[L4N]])</f>
        <v>Final consumption (S)</v>
      </c>
      <c r="AP85" s="24" t="str" cm="1">
        <f t="array" ref="AP85">IFERROR(INDEX(Transactions[[Transaction code]:[Transaction name]],_xlfn.XMATCH(INDEX(Transactions[[Transaction name]:[Parent code]],_xlfn.XMATCH(Transactions[[#This Row],[L5N]],Transactions[Transaction name],0),3),Transactions[Transaction code],0),2),Transactions[[#This Row],[L5N]])</f>
        <v>Final consumption (S)</v>
      </c>
      <c r="AQ85" s="24" t="str" cm="1">
        <f t="array" ref="AQ85">IFERROR(INDEX(Transactions[[Transaction code]:[Transaction name]],_xlfn.XMATCH(INDEX(Transactions[[Transaction name]:[Parent code]],_xlfn.XMATCH(Transactions[[#This Row],[L6N]],Transactions[Transaction name],0),3),Transactions[Transaction code],0),2),Transactions[[#This Row],[L6N]])</f>
        <v>Final consumption (S)</v>
      </c>
      <c r="AR85" s="27" t="str">
        <f>IF(Transactions[[#This Row],[L7N]]=Transactions[[#This Row],[L6N]],Transactions[[#This Row],[L7N]],IF(Transactions[[#This Row],[L6N]]=Transactions[[#This Row],[L5N]],Transactions[[#This Row],[L6N]],IF(Transactions[[#This Row],[L5N]]=Transactions[[#This Row],[L4N]],Transactions[[#This Row],[L5N]],IF(Transactions[[#This Row],[L4N]]=Transactions[[#This Row],[L3N]],Transactions[[#This Row],[L4N]],IF(Transactions[[#This Row],[L3N]]=Transactions[[#This Row],[L2N]],Transactions[[#This Row],[L3N]],IF(Transactions[[#This Row],[L2N]]=Transactions[[#This Row],[L1N]],Transactions[[#This Row],[L2N]],IF(Transactions[[#This Row],[L1N]]=Transactions[[#This Row],[Transaction name]],Transactions[[#This Row],[L1N]],Transactions[[#This Row],[Transaction name]])))))))</f>
        <v>Final consumption (S)</v>
      </c>
      <c r="AS85" s="24" t="str">
        <f>IF(Transactions[[#This Row],[Level 0]]=Transactions[[#This Row],[Transaction name]],Transactions[[#This Row],[Transaction name]],IF(Transactions[[#This Row],[Level 0]]=Transactions[[#This Row],[L1N]],Transactions[[#This Row],[Transaction name]],IF(Transactions[[#This Row],[Level 0]]=Transactions[[#This Row],[L2N]],Transactions[[#This Row],[L1N]],IF(Transactions[[#This Row],[Level 0]]=Transactions[[#This Row],[L3N]],Transactions[[#This Row],[L2N]],IF(Transactions[[#This Row],[Level 0]]=Transactions[[#This Row],[L4N]],Transactions[[#This Row],[L3N]],IF(Transactions[[#This Row],[Level 0]]=Transactions[[#This Row],[L5N]],Transactions[[#This Row],[L4N]],IF(Transactions[[#This Row],[Level 0]]=Transactions[[#This Row],[L6N]],Transactions[[#This Row],[L5N]],IF(Transactions[[#This Row],[Level 0]]=Transactions[[#This Row],[L7N]],Transactions[[#This Row],[L6N]],Transactions[[#This Row],[L7N]]))))))))</f>
        <v>Final Energy Consumption (S)</v>
      </c>
      <c r="AT85" s="24" t="str">
        <f>IF(Transactions[[#This Row],[Level 1]]=Transactions[[#This Row],[Transaction name]],Transactions[[#This Row],[Transaction name]],IF(Transactions[[#This Row],[Level 1]]=Transactions[[#This Row],[L1N]],Transactions[[#This Row],[Transaction name]],IF(Transactions[[#This Row],[Level 1]]=Transactions[[#This Row],[L2N]],Transactions[[#This Row],[L1N]],IF(Transactions[[#This Row],[Level 1]]=Transactions[[#This Row],[L3N]],Transactions[[#This Row],[L2N]],IF(Transactions[[#This Row],[Level 1]]=Transactions[[#This Row],[L4N]],Transactions[[#This Row],[L3N]],IF(Transactions[[#This Row],[Level 1]]=Transactions[[#This Row],[L5N]],Transactions[[#This Row],[L4N]],IF(Transactions[[#This Row],[Level 1]]=Transactions[[#This Row],[L6N]],Transactions[[#This Row],[L5N]],IF(Transactions[[#This Row],[Level 1]]=Transactions[[#This Row],[L7N]],Transactions[[#This Row],[L6N]],Transactions[[#This Row],[L7N]]))))))))</f>
        <v>Other Consumption (S)</v>
      </c>
      <c r="AU85" s="24" t="str">
        <f>IF(Transactions[[#This Row],[Level 2]]=Transactions[[#This Row],[Transaction name]],Transactions[[#This Row],[Transaction name]],IF(Transactions[[#This Row],[Level 2]]=Transactions[[#This Row],[L1N]],Transactions[[#This Row],[Transaction name]],IF(Transactions[[#This Row],[Level 2]]=Transactions[[#This Row],[L2N]],Transactions[[#This Row],[L1N]],IF(Transactions[[#This Row],[Level 2]]=Transactions[[#This Row],[L3N]],Transactions[[#This Row],[L2N]],IF(Transactions[[#This Row],[Level 2]]=Transactions[[#This Row],[L4N]],Transactions[[#This Row],[L3N]],IF(Transactions[[#This Row],[Level 2]]=Transactions[[#This Row],[L5N]],Transactions[[#This Row],[L4N]],IF(Transactions[[#This Row],[Level 2]]=Transactions[[#This Row],[L6N]],Transactions[[#This Row],[L5N]],IF(Transactions[[#This Row],[Level 2]]=Transactions[[#This Row],[L7N]],Transactions[[#This Row],[L6N]],Transactions[[#This Row],[L7N]]))))))))</f>
        <v>Other consumption n.e.s. (S)</v>
      </c>
      <c r="AV85" s="24" t="str">
        <f>IF(Transactions[[#This Row],[Level 3]]=Transactions[[#This Row],[Transaction name]],Transactions[[#This Row],[Transaction name]],IF(Transactions[[#This Row],[Level 3]]=Transactions[[#This Row],[L1N]],Transactions[[#This Row],[Transaction name]],IF(Transactions[[#This Row],[Level 3]]=Transactions[[#This Row],[L2N]],Transactions[[#This Row],[L1N]],IF(Transactions[[#This Row],[Level 3]]=Transactions[[#This Row],[L3N]],Transactions[[#This Row],[L2N]],IF(Transactions[[#This Row],[Level 3]]=Transactions[[#This Row],[L4N]],Transactions[[#This Row],[L3N]],IF(Transactions[[#This Row],[Level 3]]=Transactions[[#This Row],[L5N]],Transactions[[#This Row],[L4N]],IF(Transactions[[#This Row],[Level 3]]=Transactions[[#This Row],[L6N]],Transactions[[#This Row],[L5N]],IF(Transactions[[#This Row],[Level 3]]=Transactions[[#This Row],[L7N]],Transactions[[#This Row],[L6N]],Transactions[[#This Row],[L7N]]))))))))</f>
        <v>Other consumption n.e.s. (S)</v>
      </c>
      <c r="AW85" s="24" t="str">
        <f>IF(Transactions[[#This Row],[Level 4]]=Transactions[[#This Row],[Transaction name]],Transactions[[#This Row],[Transaction name]],IF(Transactions[[#This Row],[Level 4]]=Transactions[[#This Row],[L1N]],Transactions[[#This Row],[Transaction name]],IF(Transactions[[#This Row],[Level 4]]=Transactions[[#This Row],[L2N]],Transactions[[#This Row],[L1N]],IF(Transactions[[#This Row],[Level 4]]=Transactions[[#This Row],[L3N]],Transactions[[#This Row],[L2N]],IF(Transactions[[#This Row],[Level 4]]=Transactions[[#This Row],[L4N]],Transactions[[#This Row],[L3N]],IF(Transactions[[#This Row],[Level 4]]=Transactions[[#This Row],[L5N]],Transactions[[#This Row],[L4N]],IF(Transactions[[#This Row],[Level 4]]=Transactions[[#This Row],[L6N]],Transactions[[#This Row],[L5N]],IF(Transactions[[#This Row],[Level 4]]=Transactions[[#This Row],[L7N]],Transactions[[#This Row],[L6N]],Transactions[[#This Row],[L7N]]))))))))</f>
        <v>Other consumption n.e.s. (S)</v>
      </c>
      <c r="AX85" s="24" t="str">
        <f>IF(Transactions[[#This Row],[Level 5]]=Transactions[[#This Row],[Transaction name]],Transactions[[#This Row],[Transaction name]],IF(Transactions[[#This Row],[Level 5]]=Transactions[[#This Row],[L1N]],Transactions[[#This Row],[Transaction name]],IF(Transactions[[#This Row],[Level 5]]=Transactions[[#This Row],[L2N]],Transactions[[#This Row],[L1N]],IF(Transactions[[#This Row],[Level 5]]=Transactions[[#This Row],[L3N]],Transactions[[#This Row],[L2N]],IF(Transactions[[#This Row],[Level 5]]=Transactions[[#This Row],[L4N]],Transactions[[#This Row],[L3N]],IF(Transactions[[#This Row],[Level 5]]=Transactions[[#This Row],[L5N]],Transactions[[#This Row],[L4N]],IF(Transactions[[#This Row],[Level 5]]=Transactions[[#This Row],[L6N]],Transactions[[#This Row],[L5N]],IF(Transactions[[#This Row],[Level 5]]=Transactions[[#This Row],[L7N]],Transactions[[#This Row],[L6N]],Transactions[[#This Row],[L7N]]))))))))</f>
        <v>Other consumption n.e.s. (S)</v>
      </c>
      <c r="AY85" s="24" t="str">
        <f>IF(Transactions[[#This Row],[Level 6]]=Transactions[[#This Row],[Transaction name]],Transactions[[#This Row],[Transaction name]],IF(Transactions[[#This Row],[Level 6]]=Transactions[[#This Row],[L1N]],Transactions[[#This Row],[Transaction name]],IF(Transactions[[#This Row],[Level 6]]=Transactions[[#This Row],[L2N]],Transactions[[#This Row],[L1N]],IF(Transactions[[#This Row],[Level 6]]=Transactions[[#This Row],[L3N]],Transactions[[#This Row],[L2N]],IF(Transactions[[#This Row],[Level 6]]=Transactions[[#This Row],[L4N]],Transactions[[#This Row],[L3N]],IF(Transactions[[#This Row],[Level 6]]=Transactions[[#This Row],[L5N]],Transactions[[#This Row],[L4N]],IF(Transactions[[#This Row],[Level 6]]=Transactions[[#This Row],[L6N]],Transactions[[#This Row],[L5N]],IF(Transactions[[#This Row],[Level 6]]=Transactions[[#This Row],[L7N]],Transactions[[#This Row],[L6N]],Transactions[[#This Row],[L7N]]))))))))</f>
        <v>Other consumption n.e.s. (S)</v>
      </c>
      <c r="BE85" s="26" t="str">
        <f>_xlfn.XLOOKUP(Transformation[[#This Row],[cfrom]],Commodities[Commodity],Commodities[Commodity code])</f>
        <v>4680</v>
      </c>
      <c r="BF85" s="26" t="str">
        <f>_xlfn.XLOOKUP(Transformation[[#This Row],[tfrom]],Transactions[Transaction name],Transactions[Transaction code])</f>
        <v>08821</v>
      </c>
      <c r="BG85" s="26" t="str">
        <f>_xlfn.XLOOKUP(Transformation[[#This Row],[cto]],Commodities[Commodity],Commodities[Commodity code])</f>
        <v>4680</v>
      </c>
      <c r="BH85" s="26" t="str">
        <f>_xlfn.XLOOKUP(Transformation[[#This Row],[tto]],Transactions[Transaction name],Transactions[Transaction code])</f>
        <v>015FOC</v>
      </c>
      <c r="BI85" s="11">
        <v>1</v>
      </c>
      <c r="BJ85" s="4" t="s">
        <v>368</v>
      </c>
      <c r="BK85" s="24" t="str">
        <f>_xlfn.XLOOKUP(Transformation[[#This Row],[Commodity from]],Commodities[Commodity code],Commodities[EnergyCode])</f>
        <v>RF</v>
      </c>
      <c r="BL85" s="4" t="s">
        <v>691</v>
      </c>
      <c r="BM85" s="4" t="s">
        <v>368</v>
      </c>
      <c r="BN85" s="24" t="str">
        <f>_xlfn.XLOOKUP(Transformation[[#This Row],[Commodity to]],Commodities[Commodity code],Commodities[EnergyCode])</f>
        <v>RF</v>
      </c>
      <c r="BO85" s="4" t="s">
        <v>1026</v>
      </c>
      <c r="BP85" s="16" t="s">
        <v>1493</v>
      </c>
      <c r="BQ85" s="33" t="str">
        <f>Transformation[[#This Row],[Commodity from]]&amp;Transformation[[#This Row],[Transaction from]]&amp;Transformation[[#This Row],[Commodity to]]&amp;Transformation[[#This Row],[Transaction to]]</f>
        <v>4680088214680015FOC</v>
      </c>
      <c r="BR85" s="26" t="str">
        <f>Transformation[[#This Row],[crfomid]]&amp;Transformation[[#This Row],[Transaction from]]&amp;"("&amp;Transformation[[#This Row],[Multiplier]]&amp;") -&gt; "&amp;Transformation[[#This Row],[ctoid]]&amp;Transformation[[#This Row],[Transaction to]]</f>
        <v>RF08821(1) -&gt; RF015FOC</v>
      </c>
      <c r="BT85" s="26" t="str">
        <f>_xlfn.XLOOKUP(Signswitch[[#This Row],[Commodity name]],Commodities[Commodity],Commodities[Commodity code])</f>
        <v>5212</v>
      </c>
      <c r="BU85" s="26" t="str">
        <f>_xlfn.XLOOKUP(Signswitch[[#This Row],[Transaction name]],Transactions[Transaction name],Transactions[Transaction code])</f>
        <v>123</v>
      </c>
      <c r="BV85" s="26" t="str">
        <f>Signswitch[[#This Row],[Commodity from]]&amp;Signswitch[[#This Row],[Transaction from]]</f>
        <v>5212123</v>
      </c>
      <c r="BW85" s="22" t="s">
        <v>317</v>
      </c>
      <c r="BX85" s="26" t="str">
        <f>_xlfn.XLOOKUP(Signswitch[[#This Row],[Commodity from]],Commodities[Commodity code],Commodities[EnergyCode])</f>
        <v>ZG</v>
      </c>
      <c r="BY85" s="22" t="s">
        <v>700</v>
      </c>
    </row>
    <row r="86" spans="8:77" x14ac:dyDescent="0.45">
      <c r="H86" s="9" t="s">
        <v>496</v>
      </c>
      <c r="I86" s="4" t="s">
        <v>504</v>
      </c>
      <c r="J86" s="9" t="s">
        <v>466</v>
      </c>
      <c r="K86" s="14"/>
      <c r="L86" s="23" t="str">
        <f>IFERROR(INDEX(Commodities[[Commodity code]:[Commodity]],MATCH(Commodities[[#This Row],[Parent code]],Commodities[Commodity code],0),2),Commodities[[#This Row],[Commodity]])</f>
        <v>Coal products</v>
      </c>
      <c r="M86" s="24" t="str">
        <f>IFERROR(INDEX(Commodities[[Commodity code]:[Commodity]],MATCH(INDEX(Commodities[[Commodity]:[Parent code]],MATCH(Commodities[[#This Row],[L1N]],Commodities[Commodity],0),2),Commodities[Commodity code],0),2),Commodities[[#This Row],[L1N]])</f>
        <v>Coal</v>
      </c>
      <c r="N86" s="24" t="str">
        <f>IFERROR(INDEX(Commodities[[Commodity code]:[Commodity]],MATCH(INDEX(Commodities[[Commodity]:[Parent code]],MATCH(Commodities[[#This Row],[L2N]],Commodities[Commodity],0),2),Commodities[Commodity code],0),2),Commodities[[#This Row],[L2N]])</f>
        <v>Coal</v>
      </c>
      <c r="O86" s="24" t="str">
        <f>IFERROR(INDEX(Commodities[[Commodity code]:[Commodity]],MATCH(INDEX(Commodities[[Commodity]:[Parent code]],MATCH(Commodities[[#This Row],[L3N]],Commodities[Commodity],0),2),Commodities[Commodity code],0),2),Commodities[[#This Row],[L3N]])</f>
        <v>Coal</v>
      </c>
      <c r="P86" s="24" t="str">
        <f>IF(Commodities[[#This Row],[L4N]]=Commodities[[#This Row],[L3N]],Commodities[[#This Row],[L4N]],IF(Commodities[[#This Row],[L3N]]=Commodities[[#This Row],[L2N]],Commodities[[#This Row],[L3N]],IF(Commodities[[#This Row],[L2N]]=Commodities[[#This Row],[L1N]],Commodities[[#This Row],[L2N]],IF(Commodities[[#This Row],[L1N]]=Commodities[[#This Row],[Commodity]],Commodities[[#This Row],[L1N]],Commodities[[#This Row],[Commodity]]))))</f>
        <v>Coal</v>
      </c>
      <c r="Q86" s="24" t="str">
        <f>IF(Commodities[[#This Row],[Level 0]]=Commodities[[#This Row],[Commodity]],Commodities[[#This Row],[Commodity]],IF(Commodities[[#This Row],[Level 0]]=Commodities[[#This Row],[L1N]],Commodities[[#This Row],[Commodity]],IF(Commodities[[#This Row],[Level 0]]=Commodities[[#This Row],[L2N]],Commodities[[#This Row],[L1N]],IF(Commodities[[#This Row],[Level 0]]=Commodities[[#This Row],[L3N]],Commodities[[#This Row],[L2N]],IF(Commodities[[#This Row],[Level 0]]=Commodities[[#This Row],[L4N]],Commodities[[#This Row],[L3N]],Commodities[[#This Row],[L4N]])))))</f>
        <v>Coal products</v>
      </c>
      <c r="R86" s="24" t="str">
        <f>IF(Commodities[[#This Row],[Level 1]]=Commodities[[#This Row],[Commodity]],Commodities[[#This Row],[Commodity]],IF(Commodities[[#This Row],[Level 1]]=Commodities[[#This Row],[L1N]],Commodities[[#This Row],[Commodity]],IF(Commodities[[#This Row],[Level 1]]=Commodities[[#This Row],[L2N]],Commodities[[#This Row],[L1N]],IF(Commodities[[#This Row],[Level 1]]=Commodities[[#This Row],[L3N]],Commodities[[#This Row],[L2N]],IF(Commodities[[#This Row],[Level 1]]=Commodities[[#This Row],[L4N]],Commodities[[#This Row],[L3N]],Commodities[[#This Row],[L4N]])))))</f>
        <v>Coal coke</v>
      </c>
      <c r="S86" s="24" t="str">
        <f>IF(Commodities[[#This Row],[Level 2]]=Commodities[[#This Row],[Commodity]],Commodities[[#This Row],[Commodity]],IF(Commodities[[#This Row],[Level 2]]=Commodities[[#This Row],[L1N]],Commodities[[#This Row],[Commodity]],IF(Commodities[[#This Row],[Level 2]]=Commodities[[#This Row],[L2N]],Commodities[[#This Row],[L1N]],IF(Commodities[[#This Row],[Level 2]]=Commodities[[#This Row],[L3N]],Commodities[[#This Row],[L2N]],IF(Commodities[[#This Row],[Level 2]]=Commodities[[#This Row],[L4N]],Commodities[[#This Row],[L3N]],Commodities[[#This Row],[L4N]])))))</f>
        <v>Coal coke</v>
      </c>
      <c r="T86" s="24" t="str">
        <f>IF(Commodities[[#This Row],[Level 3]]=Commodities[[#This Row],[Commodity]],Commodities[[#This Row],[Commodity]],IF(Commodities[[#This Row],[Level 3]]=Commodities[[#This Row],[L1N]],Commodities[[#This Row],[Commodity]],IF(Commodities[[#This Row],[Level 3]]=Commodities[[#This Row],[L2N]],Commodities[[#This Row],[L1N]],IF(Commodities[[#This Row],[Level 3]]=Commodities[[#This Row],[L3N]],Commodities[[#This Row],[L2N]],IF(Commodities[[#This Row],[Level 3]]=Commodities[[#This Row],[L4N]],Commodities[[#This Row],[L3N]],Commodities[[#This Row],[L4N]])))))</f>
        <v>Coal coke</v>
      </c>
      <c r="U86" s="24" t="str">
        <f>IF(Commodities[[#This Row],[Level 4]]=Commodities[[#This Row],[Commodity]],Commodities[[#This Row],[Commodity]],IF(Commodities[[#This Row],[Level 4]]=Commodities[[#This Row],[L1N]],Commodities[[#This Row],[Commodity]],IF(Commodities[[#This Row],[Level 4]]=Commodities[[#This Row],[L2N]],Commodities[[#This Row],[L1N]],IF(Commodities[[#This Row],[Level 4]]=Commodities[[#This Row],[L3N]],Commodities[[#This Row],[L2N]],IF(Commodities[[#This Row],[Level 4]]=Commodities[[#This Row],[L4N]],Commodities[[#This Row],[L3N]],Commodities[[#This Row],[L4N]])))))</f>
        <v>Coal coke</v>
      </c>
      <c r="Y86" s="4" t="s">
        <v>423</v>
      </c>
      <c r="Z86" s="4" t="s">
        <v>842</v>
      </c>
      <c r="AA86" s="4" t="s">
        <v>842</v>
      </c>
      <c r="AB86" s="4" t="s">
        <v>410</v>
      </c>
      <c r="AC86" s="24" t="str">
        <f>IFERROR(VLOOKUP(Transactions[[#This Row],[Parent code]],Transactions[[Transaction code]:[Transaction name]],2,0),"")</f>
        <v>Transport (S)</v>
      </c>
      <c r="AD86" s="4" t="s">
        <v>630</v>
      </c>
      <c r="AF86" s="4" t="s">
        <v>642</v>
      </c>
      <c r="AG86" s="4" t="s">
        <v>385</v>
      </c>
      <c r="AK86" s="24" t="str" cm="1">
        <f t="array" ref="AK86">IFERROR(INDEX(Transactions[[Transaction code]:[Transaction name]],_xlfn.XMATCH(Transactions[[#This Row],[Parent code]],Transactions[Transaction name],0),3),Transactions[[#This Row],[Transaction name]])</f>
        <v>Domestic aviation (S)</v>
      </c>
      <c r="AL86" s="24" t="str" cm="1">
        <f t="array" ref="AL86">IFERROR(INDEX(Transactions[[Transaction code]:[Transaction name]],_xlfn.XMATCH(INDEX(Transactions[[Transaction name]:[Parent code]],_xlfn.XMATCH(Transactions[[#This Row],[L1N]],Transactions[Transaction name],0),3),Transactions[Transaction code],0),2),Transactions[[#This Row],[L1N]])</f>
        <v>Transport (S)</v>
      </c>
      <c r="AM86" s="24" t="str" cm="1">
        <f t="array" ref="AM86">IFERROR(INDEX(Transactions[[Transaction code]:[Transaction name]],_xlfn.XMATCH(INDEX(Transactions[[Transaction name]:[Parent code]],_xlfn.XMATCH(Transactions[[#This Row],[L2N]],Transactions[Transaction name],0),3),Transactions[Transaction code],0),2),Transactions[[#This Row],[L2N]])</f>
        <v>Final Energy Consumption (S)</v>
      </c>
      <c r="AN86" s="24" t="str" cm="1">
        <f t="array" ref="AN86">IFERROR(INDEX(Transactions[[Transaction code]:[Transaction name]],_xlfn.XMATCH(INDEX(Transactions[[Transaction name]:[Parent code]],_xlfn.XMATCH(Transactions[[#This Row],[L3N]],Transactions[Transaction name],0),3),Transactions[Transaction code],0),2),Transactions[[#This Row],[L3N]])</f>
        <v>Final consumption (S)</v>
      </c>
      <c r="AO86" s="24" t="str" cm="1">
        <f t="array" ref="AO86">IFERROR(INDEX(Transactions[[Transaction code]:[Transaction name]],_xlfn.XMATCH(INDEX(Transactions[[Transaction name]:[Parent code]],_xlfn.XMATCH(Transactions[[#This Row],[L4N]],Transactions[Transaction name],0),3),Transactions[Transaction code],0),2),Transactions[[#This Row],[L4N]])</f>
        <v>Final consumption (S)</v>
      </c>
      <c r="AP86" s="24" t="str" cm="1">
        <f t="array" ref="AP86">IFERROR(INDEX(Transactions[[Transaction code]:[Transaction name]],_xlfn.XMATCH(INDEX(Transactions[[Transaction name]:[Parent code]],_xlfn.XMATCH(Transactions[[#This Row],[L5N]],Transactions[Transaction name],0),3),Transactions[Transaction code],0),2),Transactions[[#This Row],[L5N]])</f>
        <v>Final consumption (S)</v>
      </c>
      <c r="AQ86" s="24" t="str" cm="1">
        <f t="array" ref="AQ86">IFERROR(INDEX(Transactions[[Transaction code]:[Transaction name]],_xlfn.XMATCH(INDEX(Transactions[[Transaction name]:[Parent code]],_xlfn.XMATCH(Transactions[[#This Row],[L6N]],Transactions[Transaction name],0),3),Transactions[Transaction code],0),2),Transactions[[#This Row],[L6N]])</f>
        <v>Final consumption (S)</v>
      </c>
      <c r="AR86" s="27" t="str">
        <f>IF(Transactions[[#This Row],[L7N]]=Transactions[[#This Row],[L6N]],Transactions[[#This Row],[L7N]],IF(Transactions[[#This Row],[L6N]]=Transactions[[#This Row],[L5N]],Transactions[[#This Row],[L6N]],IF(Transactions[[#This Row],[L5N]]=Transactions[[#This Row],[L4N]],Transactions[[#This Row],[L5N]],IF(Transactions[[#This Row],[L4N]]=Transactions[[#This Row],[L3N]],Transactions[[#This Row],[L4N]],IF(Transactions[[#This Row],[L3N]]=Transactions[[#This Row],[L2N]],Transactions[[#This Row],[L3N]],IF(Transactions[[#This Row],[L2N]]=Transactions[[#This Row],[L1N]],Transactions[[#This Row],[L2N]],IF(Transactions[[#This Row],[L1N]]=Transactions[[#This Row],[Transaction name]],Transactions[[#This Row],[L1N]],Transactions[[#This Row],[Transaction name]])))))))</f>
        <v>Final consumption (S)</v>
      </c>
      <c r="AS86" s="24" t="str">
        <f>IF(Transactions[[#This Row],[Level 0]]=Transactions[[#This Row],[Transaction name]],Transactions[[#This Row],[Transaction name]],IF(Transactions[[#This Row],[Level 0]]=Transactions[[#This Row],[L1N]],Transactions[[#This Row],[Transaction name]],IF(Transactions[[#This Row],[Level 0]]=Transactions[[#This Row],[L2N]],Transactions[[#This Row],[L1N]],IF(Transactions[[#This Row],[Level 0]]=Transactions[[#This Row],[L3N]],Transactions[[#This Row],[L2N]],IF(Transactions[[#This Row],[Level 0]]=Transactions[[#This Row],[L4N]],Transactions[[#This Row],[L3N]],IF(Transactions[[#This Row],[Level 0]]=Transactions[[#This Row],[L5N]],Transactions[[#This Row],[L4N]],IF(Transactions[[#This Row],[Level 0]]=Transactions[[#This Row],[L6N]],Transactions[[#This Row],[L5N]],IF(Transactions[[#This Row],[Level 0]]=Transactions[[#This Row],[L7N]],Transactions[[#This Row],[L6N]],Transactions[[#This Row],[L7N]]))))))))</f>
        <v>Final Energy Consumption (S)</v>
      </c>
      <c r="AT86" s="24" t="str">
        <f>IF(Transactions[[#This Row],[Level 1]]=Transactions[[#This Row],[Transaction name]],Transactions[[#This Row],[Transaction name]],IF(Transactions[[#This Row],[Level 1]]=Transactions[[#This Row],[L1N]],Transactions[[#This Row],[Transaction name]],IF(Transactions[[#This Row],[Level 1]]=Transactions[[#This Row],[L2N]],Transactions[[#This Row],[L1N]],IF(Transactions[[#This Row],[Level 1]]=Transactions[[#This Row],[L3N]],Transactions[[#This Row],[L2N]],IF(Transactions[[#This Row],[Level 1]]=Transactions[[#This Row],[L4N]],Transactions[[#This Row],[L3N]],IF(Transactions[[#This Row],[Level 1]]=Transactions[[#This Row],[L5N]],Transactions[[#This Row],[L4N]],IF(Transactions[[#This Row],[Level 1]]=Transactions[[#This Row],[L6N]],Transactions[[#This Row],[L5N]],IF(Transactions[[#This Row],[Level 1]]=Transactions[[#This Row],[L7N]],Transactions[[#This Row],[L6N]],Transactions[[#This Row],[L7N]]))))))))</f>
        <v>Transport (S)</v>
      </c>
      <c r="AU86" s="24" t="str">
        <f>IF(Transactions[[#This Row],[Level 2]]=Transactions[[#This Row],[Transaction name]],Transactions[[#This Row],[Transaction name]],IF(Transactions[[#This Row],[Level 2]]=Transactions[[#This Row],[L1N]],Transactions[[#This Row],[Transaction name]],IF(Transactions[[#This Row],[Level 2]]=Transactions[[#This Row],[L2N]],Transactions[[#This Row],[L1N]],IF(Transactions[[#This Row],[Level 2]]=Transactions[[#This Row],[L3N]],Transactions[[#This Row],[L2N]],IF(Transactions[[#This Row],[Level 2]]=Transactions[[#This Row],[L4N]],Transactions[[#This Row],[L3N]],IF(Transactions[[#This Row],[Level 2]]=Transactions[[#This Row],[L5N]],Transactions[[#This Row],[L4N]],IF(Transactions[[#This Row],[Level 2]]=Transactions[[#This Row],[L6N]],Transactions[[#This Row],[L5N]],IF(Transactions[[#This Row],[Level 2]]=Transactions[[#This Row],[L7N]],Transactions[[#This Row],[L6N]],Transactions[[#This Row],[L7N]]))))))))</f>
        <v>Domestic aviation (S)</v>
      </c>
      <c r="AV86" s="24" t="str">
        <f>IF(Transactions[[#This Row],[Level 3]]=Transactions[[#This Row],[Transaction name]],Transactions[[#This Row],[Transaction name]],IF(Transactions[[#This Row],[Level 3]]=Transactions[[#This Row],[L1N]],Transactions[[#This Row],[Transaction name]],IF(Transactions[[#This Row],[Level 3]]=Transactions[[#This Row],[L2N]],Transactions[[#This Row],[L1N]],IF(Transactions[[#This Row],[Level 3]]=Transactions[[#This Row],[L3N]],Transactions[[#This Row],[L2N]],IF(Transactions[[#This Row],[Level 3]]=Transactions[[#This Row],[L4N]],Transactions[[#This Row],[L3N]],IF(Transactions[[#This Row],[Level 3]]=Transactions[[#This Row],[L5N]],Transactions[[#This Row],[L4N]],IF(Transactions[[#This Row],[Level 3]]=Transactions[[#This Row],[L6N]],Transactions[[#This Row],[L5N]],IF(Transactions[[#This Row],[Level 3]]=Transactions[[#This Row],[L7N]],Transactions[[#This Row],[L6N]],Transactions[[#This Row],[L7N]]))))))))</f>
        <v>Domestic aviation (S)</v>
      </c>
      <c r="AW86" s="24" t="str">
        <f>IF(Transactions[[#This Row],[Level 4]]=Transactions[[#This Row],[Transaction name]],Transactions[[#This Row],[Transaction name]],IF(Transactions[[#This Row],[Level 4]]=Transactions[[#This Row],[L1N]],Transactions[[#This Row],[Transaction name]],IF(Transactions[[#This Row],[Level 4]]=Transactions[[#This Row],[L2N]],Transactions[[#This Row],[L1N]],IF(Transactions[[#This Row],[Level 4]]=Transactions[[#This Row],[L3N]],Transactions[[#This Row],[L2N]],IF(Transactions[[#This Row],[Level 4]]=Transactions[[#This Row],[L4N]],Transactions[[#This Row],[L3N]],IF(Transactions[[#This Row],[Level 4]]=Transactions[[#This Row],[L5N]],Transactions[[#This Row],[L4N]],IF(Transactions[[#This Row],[Level 4]]=Transactions[[#This Row],[L6N]],Transactions[[#This Row],[L5N]],IF(Transactions[[#This Row],[Level 4]]=Transactions[[#This Row],[L7N]],Transactions[[#This Row],[L6N]],Transactions[[#This Row],[L7N]]))))))))</f>
        <v>Domestic aviation (S)</v>
      </c>
      <c r="AX86" s="24" t="str">
        <f>IF(Transactions[[#This Row],[Level 5]]=Transactions[[#This Row],[Transaction name]],Transactions[[#This Row],[Transaction name]],IF(Transactions[[#This Row],[Level 5]]=Transactions[[#This Row],[L1N]],Transactions[[#This Row],[Transaction name]],IF(Transactions[[#This Row],[Level 5]]=Transactions[[#This Row],[L2N]],Transactions[[#This Row],[L1N]],IF(Transactions[[#This Row],[Level 5]]=Transactions[[#This Row],[L3N]],Transactions[[#This Row],[L2N]],IF(Transactions[[#This Row],[Level 5]]=Transactions[[#This Row],[L4N]],Transactions[[#This Row],[L3N]],IF(Transactions[[#This Row],[Level 5]]=Transactions[[#This Row],[L5N]],Transactions[[#This Row],[L4N]],IF(Transactions[[#This Row],[Level 5]]=Transactions[[#This Row],[L6N]],Transactions[[#This Row],[L5N]],IF(Transactions[[#This Row],[Level 5]]=Transactions[[#This Row],[L7N]],Transactions[[#This Row],[L6N]],Transactions[[#This Row],[L7N]]))))))))</f>
        <v>Domestic aviation (S)</v>
      </c>
      <c r="AY86" s="24" t="str">
        <f>IF(Transactions[[#This Row],[Level 6]]=Transactions[[#This Row],[Transaction name]],Transactions[[#This Row],[Transaction name]],IF(Transactions[[#This Row],[Level 6]]=Transactions[[#This Row],[L1N]],Transactions[[#This Row],[Transaction name]],IF(Transactions[[#This Row],[Level 6]]=Transactions[[#This Row],[L2N]],Transactions[[#This Row],[L1N]],IF(Transactions[[#This Row],[Level 6]]=Transactions[[#This Row],[L3N]],Transactions[[#This Row],[L2N]],IF(Transactions[[#This Row],[Level 6]]=Transactions[[#This Row],[L4N]],Transactions[[#This Row],[L3N]],IF(Transactions[[#This Row],[Level 6]]=Transactions[[#This Row],[L5N]],Transactions[[#This Row],[L4N]],IF(Transactions[[#This Row],[Level 6]]=Transactions[[#This Row],[L6N]],Transactions[[#This Row],[L5N]],IF(Transactions[[#This Row],[Level 6]]=Transactions[[#This Row],[L7N]],Transactions[[#This Row],[L6N]],Transactions[[#This Row],[L7N]]))))))))</f>
        <v>Domestic aviation (S)</v>
      </c>
      <c r="BE86" s="26" t="str">
        <f>_xlfn.XLOOKUP(Transformation[[#This Row],[cfrom]],Commodities[Commodity],Commodities[Commodity code])</f>
        <v>4610</v>
      </c>
      <c r="BF86" s="26" t="str">
        <f>_xlfn.XLOOKUP(Transformation[[#This Row],[tfrom]],Transactions[Transaction name],Transactions[Transaction code])</f>
        <v>08821</v>
      </c>
      <c r="BG86" s="26" t="str">
        <f>_xlfn.XLOOKUP(Transformation[[#This Row],[cto]],Commodities[Commodity],Commodities[Commodity code])</f>
        <v>4610</v>
      </c>
      <c r="BH86" s="26" t="str">
        <f>_xlfn.XLOOKUP(Transformation[[#This Row],[tto]],Transactions[Transaction name],Transactions[Transaction code])</f>
        <v>015OPC</v>
      </c>
      <c r="BI86" s="11">
        <v>1</v>
      </c>
      <c r="BJ86" s="4" t="s">
        <v>416</v>
      </c>
      <c r="BK86" s="24" t="str">
        <f>_xlfn.XLOOKUP(Transformation[[#This Row],[Commodity from]],Commodities[Commodity code],Commodities[EnergyCode])</f>
        <v>RG</v>
      </c>
      <c r="BL86" s="4" t="s">
        <v>691</v>
      </c>
      <c r="BM86" s="4" t="s">
        <v>416</v>
      </c>
      <c r="BN86" s="24" t="str">
        <f>_xlfn.XLOOKUP(Transformation[[#This Row],[Commodity to]],Commodities[Commodity code],Commodities[EnergyCode])</f>
        <v>RG</v>
      </c>
      <c r="BO86" s="4" t="s">
        <v>1050</v>
      </c>
      <c r="BP86" s="16" t="s">
        <v>1493</v>
      </c>
      <c r="BQ86" s="33" t="str">
        <f>Transformation[[#This Row],[Commodity from]]&amp;Transformation[[#This Row],[Transaction from]]&amp;Transformation[[#This Row],[Commodity to]]&amp;Transformation[[#This Row],[Transaction to]]</f>
        <v>4610088214610015OPC</v>
      </c>
      <c r="BR86" s="26" t="str">
        <f>Transformation[[#This Row],[crfomid]]&amp;Transformation[[#This Row],[Transaction from]]&amp;"("&amp;Transformation[[#This Row],[Multiplier]]&amp;") -&gt; "&amp;Transformation[[#This Row],[ctoid]]&amp;Transformation[[#This Row],[Transaction to]]</f>
        <v>RG08821(1) -&gt; RG015OPC</v>
      </c>
      <c r="BT86" s="26" t="str">
        <f>_xlfn.XLOOKUP(Signswitch[[#This Row],[Commodity name]],Commodities[Commodity],Commodities[Commodity code])</f>
        <v>5232</v>
      </c>
      <c r="BU86" s="26" t="str">
        <f>_xlfn.XLOOKUP(Signswitch[[#This Row],[Transaction name]],Transactions[Transaction name],Transactions[Transaction code])</f>
        <v>1232</v>
      </c>
      <c r="BV86" s="26" t="str">
        <f>Signswitch[[#This Row],[Commodity from]]&amp;Signswitch[[#This Row],[Transaction from]]</f>
        <v>52321232</v>
      </c>
      <c r="BW86" s="22" t="s">
        <v>306</v>
      </c>
      <c r="BX86" s="26" t="str">
        <f>_xlfn.XLOOKUP(Signswitch[[#This Row],[Commodity from]],Commodities[Commodity code],Commodities[EnergyCode])</f>
        <v>ZJ</v>
      </c>
      <c r="BY86" s="22" t="s">
        <v>403</v>
      </c>
    </row>
    <row r="87" spans="8:77" x14ac:dyDescent="0.45">
      <c r="H87" s="9" t="s">
        <v>471</v>
      </c>
      <c r="I87" s="4" t="s">
        <v>480</v>
      </c>
      <c r="J87" s="9" t="s">
        <v>466</v>
      </c>
      <c r="K87" s="14"/>
      <c r="L87" s="23" t="str">
        <f>IFERROR(INDEX(Commodities[[Commodity code]:[Commodity]],MATCH(Commodities[[#This Row],[Parent code]],Commodities[Commodity code],0),2),Commodities[[#This Row],[Commodity]])</f>
        <v>Coal products</v>
      </c>
      <c r="M87" s="24" t="str">
        <f>IFERROR(INDEX(Commodities[[Commodity code]:[Commodity]],MATCH(INDEX(Commodities[[Commodity]:[Parent code]],MATCH(Commodities[[#This Row],[L1N]],Commodities[Commodity],0),2),Commodities[Commodity code],0),2),Commodities[[#This Row],[L1N]])</f>
        <v>Coal</v>
      </c>
      <c r="N87" s="24" t="str">
        <f>IFERROR(INDEX(Commodities[[Commodity code]:[Commodity]],MATCH(INDEX(Commodities[[Commodity]:[Parent code]],MATCH(Commodities[[#This Row],[L2N]],Commodities[Commodity],0),2),Commodities[Commodity code],0),2),Commodities[[#This Row],[L2N]])</f>
        <v>Coal</v>
      </c>
      <c r="O87" s="24" t="str">
        <f>IFERROR(INDEX(Commodities[[Commodity code]:[Commodity]],MATCH(INDEX(Commodities[[Commodity]:[Parent code]],MATCH(Commodities[[#This Row],[L3N]],Commodities[Commodity],0),2),Commodities[Commodity code],0),2),Commodities[[#This Row],[L3N]])</f>
        <v>Coal</v>
      </c>
      <c r="P87" s="24" t="str">
        <f>IF(Commodities[[#This Row],[L4N]]=Commodities[[#This Row],[L3N]],Commodities[[#This Row],[L4N]],IF(Commodities[[#This Row],[L3N]]=Commodities[[#This Row],[L2N]],Commodities[[#This Row],[L3N]],IF(Commodities[[#This Row],[L2N]]=Commodities[[#This Row],[L1N]],Commodities[[#This Row],[L2N]],IF(Commodities[[#This Row],[L1N]]=Commodities[[#This Row],[Commodity]],Commodities[[#This Row],[L1N]],Commodities[[#This Row],[Commodity]]))))</f>
        <v>Coal</v>
      </c>
      <c r="Q87" s="24" t="str">
        <f>IF(Commodities[[#This Row],[Level 0]]=Commodities[[#This Row],[Commodity]],Commodities[[#This Row],[Commodity]],IF(Commodities[[#This Row],[Level 0]]=Commodities[[#This Row],[L1N]],Commodities[[#This Row],[Commodity]],IF(Commodities[[#This Row],[Level 0]]=Commodities[[#This Row],[L2N]],Commodities[[#This Row],[L1N]],IF(Commodities[[#This Row],[Level 0]]=Commodities[[#This Row],[L3N]],Commodities[[#This Row],[L2N]],IF(Commodities[[#This Row],[Level 0]]=Commodities[[#This Row],[L4N]],Commodities[[#This Row],[L3N]],Commodities[[#This Row],[L4N]])))))</f>
        <v>Coal products</v>
      </c>
      <c r="R87" s="24" t="str">
        <f>IF(Commodities[[#This Row],[Level 1]]=Commodities[[#This Row],[Commodity]],Commodities[[#This Row],[Commodity]],IF(Commodities[[#This Row],[Level 1]]=Commodities[[#This Row],[L1N]],Commodities[[#This Row],[Commodity]],IF(Commodities[[#This Row],[Level 1]]=Commodities[[#This Row],[L2N]],Commodities[[#This Row],[L1N]],IF(Commodities[[#This Row],[Level 1]]=Commodities[[#This Row],[L3N]],Commodities[[#This Row],[L2N]],IF(Commodities[[#This Row],[Level 1]]=Commodities[[#This Row],[L4N]],Commodities[[#This Row],[L3N]],Commodities[[#This Row],[L4N]])))))</f>
        <v>Recovered gases</v>
      </c>
      <c r="S87" s="24" t="str">
        <f>IF(Commodities[[#This Row],[Level 2]]=Commodities[[#This Row],[Commodity]],Commodities[[#This Row],[Commodity]],IF(Commodities[[#This Row],[Level 2]]=Commodities[[#This Row],[L1N]],Commodities[[#This Row],[Commodity]],IF(Commodities[[#This Row],[Level 2]]=Commodities[[#This Row],[L2N]],Commodities[[#This Row],[L1N]],IF(Commodities[[#This Row],[Level 2]]=Commodities[[#This Row],[L3N]],Commodities[[#This Row],[L2N]],IF(Commodities[[#This Row],[Level 2]]=Commodities[[#This Row],[L4N]],Commodities[[#This Row],[L3N]],Commodities[[#This Row],[L4N]])))))</f>
        <v>Recovered gases</v>
      </c>
      <c r="T87" s="24" t="str">
        <f>IF(Commodities[[#This Row],[Level 3]]=Commodities[[#This Row],[Commodity]],Commodities[[#This Row],[Commodity]],IF(Commodities[[#This Row],[Level 3]]=Commodities[[#This Row],[L1N]],Commodities[[#This Row],[Commodity]],IF(Commodities[[#This Row],[Level 3]]=Commodities[[#This Row],[L2N]],Commodities[[#This Row],[L1N]],IF(Commodities[[#This Row],[Level 3]]=Commodities[[#This Row],[L3N]],Commodities[[#This Row],[L2N]],IF(Commodities[[#This Row],[Level 3]]=Commodities[[#This Row],[L4N]],Commodities[[#This Row],[L3N]],Commodities[[#This Row],[L4N]])))))</f>
        <v>Recovered gases</v>
      </c>
      <c r="U87" s="24" t="str">
        <f>IF(Commodities[[#This Row],[Level 4]]=Commodities[[#This Row],[Commodity]],Commodities[[#This Row],[Commodity]],IF(Commodities[[#This Row],[Level 4]]=Commodities[[#This Row],[L1N]],Commodities[[#This Row],[Commodity]],IF(Commodities[[#This Row],[Level 4]]=Commodities[[#This Row],[L2N]],Commodities[[#This Row],[L1N]],IF(Commodities[[#This Row],[Level 4]]=Commodities[[#This Row],[L3N]],Commodities[[#This Row],[L2N]],IF(Commodities[[#This Row],[Level 4]]=Commodities[[#This Row],[L4N]],Commodities[[#This Row],[L3N]],Commodities[[#This Row],[L4N]])))))</f>
        <v>Recovered gases</v>
      </c>
      <c r="Y87" s="4" t="s">
        <v>419</v>
      </c>
      <c r="Z87" s="4" t="s">
        <v>843</v>
      </c>
      <c r="AA87" s="4" t="s">
        <v>843</v>
      </c>
      <c r="AB87" s="4" t="s">
        <v>410</v>
      </c>
      <c r="AC87" s="24" t="str">
        <f>IFERROR(VLOOKUP(Transactions[[#This Row],[Parent code]],Transactions[[Transaction code]:[Transaction name]],2,0),"")</f>
        <v>Transport (S)</v>
      </c>
      <c r="AD87" s="4" t="s">
        <v>630</v>
      </c>
      <c r="AF87" s="4" t="s">
        <v>642</v>
      </c>
      <c r="AG87" s="4" t="s">
        <v>385</v>
      </c>
      <c r="AK87" s="24" t="str" cm="1">
        <f t="array" ref="AK87">IFERROR(INDEX(Transactions[[Transaction code]:[Transaction name]],_xlfn.XMATCH(Transactions[[#This Row],[Parent code]],Transactions[Transaction name],0),3),Transactions[[#This Row],[Transaction name]])</f>
        <v>Domestic navigation (S)</v>
      </c>
      <c r="AL87" s="24" t="str" cm="1">
        <f t="array" ref="AL87">IFERROR(INDEX(Transactions[[Transaction code]:[Transaction name]],_xlfn.XMATCH(INDEX(Transactions[[Transaction name]:[Parent code]],_xlfn.XMATCH(Transactions[[#This Row],[L1N]],Transactions[Transaction name],0),3),Transactions[Transaction code],0),2),Transactions[[#This Row],[L1N]])</f>
        <v>Transport (S)</v>
      </c>
      <c r="AM87" s="24" t="str" cm="1">
        <f t="array" ref="AM87">IFERROR(INDEX(Transactions[[Transaction code]:[Transaction name]],_xlfn.XMATCH(INDEX(Transactions[[Transaction name]:[Parent code]],_xlfn.XMATCH(Transactions[[#This Row],[L2N]],Transactions[Transaction name],0),3),Transactions[Transaction code],0),2),Transactions[[#This Row],[L2N]])</f>
        <v>Final Energy Consumption (S)</v>
      </c>
      <c r="AN87" s="24" t="str" cm="1">
        <f t="array" ref="AN87">IFERROR(INDEX(Transactions[[Transaction code]:[Transaction name]],_xlfn.XMATCH(INDEX(Transactions[[Transaction name]:[Parent code]],_xlfn.XMATCH(Transactions[[#This Row],[L3N]],Transactions[Transaction name],0),3),Transactions[Transaction code],0),2),Transactions[[#This Row],[L3N]])</f>
        <v>Final consumption (S)</v>
      </c>
      <c r="AO87" s="24" t="str" cm="1">
        <f t="array" ref="AO87">IFERROR(INDEX(Transactions[[Transaction code]:[Transaction name]],_xlfn.XMATCH(INDEX(Transactions[[Transaction name]:[Parent code]],_xlfn.XMATCH(Transactions[[#This Row],[L4N]],Transactions[Transaction name],0),3),Transactions[Transaction code],0),2),Transactions[[#This Row],[L4N]])</f>
        <v>Final consumption (S)</v>
      </c>
      <c r="AP87" s="24" t="str" cm="1">
        <f t="array" ref="AP87">IFERROR(INDEX(Transactions[[Transaction code]:[Transaction name]],_xlfn.XMATCH(INDEX(Transactions[[Transaction name]:[Parent code]],_xlfn.XMATCH(Transactions[[#This Row],[L5N]],Transactions[Transaction name],0),3),Transactions[Transaction code],0),2),Transactions[[#This Row],[L5N]])</f>
        <v>Final consumption (S)</v>
      </c>
      <c r="AQ87" s="24" t="str" cm="1">
        <f t="array" ref="AQ87">IFERROR(INDEX(Transactions[[Transaction code]:[Transaction name]],_xlfn.XMATCH(INDEX(Transactions[[Transaction name]:[Parent code]],_xlfn.XMATCH(Transactions[[#This Row],[L6N]],Transactions[Transaction name],0),3),Transactions[Transaction code],0),2),Transactions[[#This Row],[L6N]])</f>
        <v>Final consumption (S)</v>
      </c>
      <c r="AR87" s="27" t="str">
        <f>IF(Transactions[[#This Row],[L7N]]=Transactions[[#This Row],[L6N]],Transactions[[#This Row],[L7N]],IF(Transactions[[#This Row],[L6N]]=Transactions[[#This Row],[L5N]],Transactions[[#This Row],[L6N]],IF(Transactions[[#This Row],[L5N]]=Transactions[[#This Row],[L4N]],Transactions[[#This Row],[L5N]],IF(Transactions[[#This Row],[L4N]]=Transactions[[#This Row],[L3N]],Transactions[[#This Row],[L4N]],IF(Transactions[[#This Row],[L3N]]=Transactions[[#This Row],[L2N]],Transactions[[#This Row],[L3N]],IF(Transactions[[#This Row],[L2N]]=Transactions[[#This Row],[L1N]],Transactions[[#This Row],[L2N]],IF(Transactions[[#This Row],[L1N]]=Transactions[[#This Row],[Transaction name]],Transactions[[#This Row],[L1N]],Transactions[[#This Row],[Transaction name]])))))))</f>
        <v>Final consumption (S)</v>
      </c>
      <c r="AS87" s="24" t="str">
        <f>IF(Transactions[[#This Row],[Level 0]]=Transactions[[#This Row],[Transaction name]],Transactions[[#This Row],[Transaction name]],IF(Transactions[[#This Row],[Level 0]]=Transactions[[#This Row],[L1N]],Transactions[[#This Row],[Transaction name]],IF(Transactions[[#This Row],[Level 0]]=Transactions[[#This Row],[L2N]],Transactions[[#This Row],[L1N]],IF(Transactions[[#This Row],[Level 0]]=Transactions[[#This Row],[L3N]],Transactions[[#This Row],[L2N]],IF(Transactions[[#This Row],[Level 0]]=Transactions[[#This Row],[L4N]],Transactions[[#This Row],[L3N]],IF(Transactions[[#This Row],[Level 0]]=Transactions[[#This Row],[L5N]],Transactions[[#This Row],[L4N]],IF(Transactions[[#This Row],[Level 0]]=Transactions[[#This Row],[L6N]],Transactions[[#This Row],[L5N]],IF(Transactions[[#This Row],[Level 0]]=Transactions[[#This Row],[L7N]],Transactions[[#This Row],[L6N]],Transactions[[#This Row],[L7N]]))))))))</f>
        <v>Final Energy Consumption (S)</v>
      </c>
      <c r="AT87" s="24" t="str">
        <f>IF(Transactions[[#This Row],[Level 1]]=Transactions[[#This Row],[Transaction name]],Transactions[[#This Row],[Transaction name]],IF(Transactions[[#This Row],[Level 1]]=Transactions[[#This Row],[L1N]],Transactions[[#This Row],[Transaction name]],IF(Transactions[[#This Row],[Level 1]]=Transactions[[#This Row],[L2N]],Transactions[[#This Row],[L1N]],IF(Transactions[[#This Row],[Level 1]]=Transactions[[#This Row],[L3N]],Transactions[[#This Row],[L2N]],IF(Transactions[[#This Row],[Level 1]]=Transactions[[#This Row],[L4N]],Transactions[[#This Row],[L3N]],IF(Transactions[[#This Row],[Level 1]]=Transactions[[#This Row],[L5N]],Transactions[[#This Row],[L4N]],IF(Transactions[[#This Row],[Level 1]]=Transactions[[#This Row],[L6N]],Transactions[[#This Row],[L5N]],IF(Transactions[[#This Row],[Level 1]]=Transactions[[#This Row],[L7N]],Transactions[[#This Row],[L6N]],Transactions[[#This Row],[L7N]]))))))))</f>
        <v>Transport (S)</v>
      </c>
      <c r="AU87" s="24" t="str">
        <f>IF(Transactions[[#This Row],[Level 2]]=Transactions[[#This Row],[Transaction name]],Transactions[[#This Row],[Transaction name]],IF(Transactions[[#This Row],[Level 2]]=Transactions[[#This Row],[L1N]],Transactions[[#This Row],[Transaction name]],IF(Transactions[[#This Row],[Level 2]]=Transactions[[#This Row],[L2N]],Transactions[[#This Row],[L1N]],IF(Transactions[[#This Row],[Level 2]]=Transactions[[#This Row],[L3N]],Transactions[[#This Row],[L2N]],IF(Transactions[[#This Row],[Level 2]]=Transactions[[#This Row],[L4N]],Transactions[[#This Row],[L3N]],IF(Transactions[[#This Row],[Level 2]]=Transactions[[#This Row],[L5N]],Transactions[[#This Row],[L4N]],IF(Transactions[[#This Row],[Level 2]]=Transactions[[#This Row],[L6N]],Transactions[[#This Row],[L5N]],IF(Transactions[[#This Row],[Level 2]]=Transactions[[#This Row],[L7N]],Transactions[[#This Row],[L6N]],Transactions[[#This Row],[L7N]]))))))))</f>
        <v>Domestic navigation (S)</v>
      </c>
      <c r="AV87" s="24" t="str">
        <f>IF(Transactions[[#This Row],[Level 3]]=Transactions[[#This Row],[Transaction name]],Transactions[[#This Row],[Transaction name]],IF(Transactions[[#This Row],[Level 3]]=Transactions[[#This Row],[L1N]],Transactions[[#This Row],[Transaction name]],IF(Transactions[[#This Row],[Level 3]]=Transactions[[#This Row],[L2N]],Transactions[[#This Row],[L1N]],IF(Transactions[[#This Row],[Level 3]]=Transactions[[#This Row],[L3N]],Transactions[[#This Row],[L2N]],IF(Transactions[[#This Row],[Level 3]]=Transactions[[#This Row],[L4N]],Transactions[[#This Row],[L3N]],IF(Transactions[[#This Row],[Level 3]]=Transactions[[#This Row],[L5N]],Transactions[[#This Row],[L4N]],IF(Transactions[[#This Row],[Level 3]]=Transactions[[#This Row],[L6N]],Transactions[[#This Row],[L5N]],IF(Transactions[[#This Row],[Level 3]]=Transactions[[#This Row],[L7N]],Transactions[[#This Row],[L6N]],Transactions[[#This Row],[L7N]]))))))))</f>
        <v>Domestic navigation (S)</v>
      </c>
      <c r="AW87" s="24" t="str">
        <f>IF(Transactions[[#This Row],[Level 4]]=Transactions[[#This Row],[Transaction name]],Transactions[[#This Row],[Transaction name]],IF(Transactions[[#This Row],[Level 4]]=Transactions[[#This Row],[L1N]],Transactions[[#This Row],[Transaction name]],IF(Transactions[[#This Row],[Level 4]]=Transactions[[#This Row],[L2N]],Transactions[[#This Row],[L1N]],IF(Transactions[[#This Row],[Level 4]]=Transactions[[#This Row],[L3N]],Transactions[[#This Row],[L2N]],IF(Transactions[[#This Row],[Level 4]]=Transactions[[#This Row],[L4N]],Transactions[[#This Row],[L3N]],IF(Transactions[[#This Row],[Level 4]]=Transactions[[#This Row],[L5N]],Transactions[[#This Row],[L4N]],IF(Transactions[[#This Row],[Level 4]]=Transactions[[#This Row],[L6N]],Transactions[[#This Row],[L5N]],IF(Transactions[[#This Row],[Level 4]]=Transactions[[#This Row],[L7N]],Transactions[[#This Row],[L6N]],Transactions[[#This Row],[L7N]]))))))))</f>
        <v>Domestic navigation (S)</v>
      </c>
      <c r="AX87" s="24" t="str">
        <f>IF(Transactions[[#This Row],[Level 5]]=Transactions[[#This Row],[Transaction name]],Transactions[[#This Row],[Transaction name]],IF(Transactions[[#This Row],[Level 5]]=Transactions[[#This Row],[L1N]],Transactions[[#This Row],[Transaction name]],IF(Transactions[[#This Row],[Level 5]]=Transactions[[#This Row],[L2N]],Transactions[[#This Row],[L1N]],IF(Transactions[[#This Row],[Level 5]]=Transactions[[#This Row],[L3N]],Transactions[[#This Row],[L2N]],IF(Transactions[[#This Row],[Level 5]]=Transactions[[#This Row],[L4N]],Transactions[[#This Row],[L3N]],IF(Transactions[[#This Row],[Level 5]]=Transactions[[#This Row],[L5N]],Transactions[[#This Row],[L4N]],IF(Transactions[[#This Row],[Level 5]]=Transactions[[#This Row],[L6N]],Transactions[[#This Row],[L5N]],IF(Transactions[[#This Row],[Level 5]]=Transactions[[#This Row],[L7N]],Transactions[[#This Row],[L6N]],Transactions[[#This Row],[L7N]]))))))))</f>
        <v>Domestic navigation (S)</v>
      </c>
      <c r="AY87" s="24" t="str">
        <f>IF(Transactions[[#This Row],[Level 6]]=Transactions[[#This Row],[Transaction name]],Transactions[[#This Row],[Transaction name]],IF(Transactions[[#This Row],[Level 6]]=Transactions[[#This Row],[L1N]],Transactions[[#This Row],[Transaction name]],IF(Transactions[[#This Row],[Level 6]]=Transactions[[#This Row],[L2N]],Transactions[[#This Row],[L1N]],IF(Transactions[[#This Row],[Level 6]]=Transactions[[#This Row],[L3N]],Transactions[[#This Row],[L2N]],IF(Transactions[[#This Row],[Level 6]]=Transactions[[#This Row],[L4N]],Transactions[[#This Row],[L3N]],IF(Transactions[[#This Row],[Level 6]]=Transactions[[#This Row],[L5N]],Transactions[[#This Row],[L4N]],IF(Transactions[[#This Row],[Level 6]]=Transactions[[#This Row],[L6N]],Transactions[[#This Row],[L5N]],IF(Transactions[[#This Row],[Level 6]]=Transactions[[#This Row],[L7N]],Transactions[[#This Row],[L6N]],Transactions[[#This Row],[L7N]]))))))))</f>
        <v>Domestic navigation (S)</v>
      </c>
      <c r="BE87" s="26" t="str">
        <f>_xlfn.XLOOKUP(Transformation[[#This Row],[cfrom]],Commodities[Commodity],Commodities[Commodity code])</f>
        <v>5150</v>
      </c>
      <c r="BF87" s="26" t="str">
        <f>_xlfn.XLOOKUP(Transformation[[#This Row],[tfrom]],Transactions[Transaction name],Transactions[Transaction code])</f>
        <v>08821</v>
      </c>
      <c r="BG87" s="26" t="str">
        <f>_xlfn.XLOOKUP(Transformation[[#This Row],[cto]],Commodities[Commodity],Commodities[Commodity code])</f>
        <v>5150</v>
      </c>
      <c r="BH87" s="26" t="str">
        <f>_xlfn.XLOOKUP(Transformation[[#This Row],[tto]],Transactions[Transaction name],Transactions[Transaction code])</f>
        <v>015BSC</v>
      </c>
      <c r="BI87" s="11">
        <v>1</v>
      </c>
      <c r="BJ87" s="4" t="s">
        <v>328</v>
      </c>
      <c r="BK87" s="24" t="str">
        <f>_xlfn.XLOOKUP(Transformation[[#This Row],[Commodity from]],Commodities[Commodity code],Commodities[EnergyCode])</f>
        <v>VW</v>
      </c>
      <c r="BL87" s="4" t="s">
        <v>691</v>
      </c>
      <c r="BM87" s="4" t="s">
        <v>328</v>
      </c>
      <c r="BN87" s="24" t="str">
        <f>_xlfn.XLOOKUP(Transformation[[#This Row],[Commodity to]],Commodities[Commodity code],Commodities[EnergyCode])</f>
        <v>VW</v>
      </c>
      <c r="BO87" s="4" t="s">
        <v>1122</v>
      </c>
      <c r="BP87" s="16" t="s">
        <v>1493</v>
      </c>
      <c r="BQ87" s="33" t="str">
        <f>Transformation[[#This Row],[Commodity from]]&amp;Transformation[[#This Row],[Transaction from]]&amp;Transformation[[#This Row],[Commodity to]]&amp;Transformation[[#This Row],[Transaction to]]</f>
        <v>5150088215150015BSC</v>
      </c>
      <c r="BR87" s="26" t="str">
        <f>Transformation[[#This Row],[crfomid]]&amp;Transformation[[#This Row],[Transaction from]]&amp;"("&amp;Transformation[[#This Row],[Multiplier]]&amp;") -&gt; "&amp;Transformation[[#This Row],[ctoid]]&amp;Transformation[[#This Row],[Transaction to]]</f>
        <v>VW08821(1) -&gt; VW015BSC</v>
      </c>
      <c r="BT87" s="26" t="str">
        <f>_xlfn.XLOOKUP(Signswitch[[#This Row],[Commodity name]],Commodities[Commodity],Commodities[Commodity code])</f>
        <v>5222</v>
      </c>
      <c r="BU87" s="26" t="str">
        <f>_xlfn.XLOOKUP(Signswitch[[#This Row],[Transaction name]],Transactions[Transaction name],Transactions[Transaction code])</f>
        <v>1232</v>
      </c>
      <c r="BV87" s="26" t="str">
        <f>Signswitch[[#This Row],[Commodity from]]&amp;Signswitch[[#This Row],[Transaction from]]</f>
        <v>52221232</v>
      </c>
      <c r="BW87" s="22" t="s">
        <v>962</v>
      </c>
      <c r="BX87" s="26" t="str">
        <f>_xlfn.XLOOKUP(Signswitch[[#This Row],[Commodity from]],Commodities[Commodity code],Commodities[EnergyCode])</f>
        <v>ZD</v>
      </c>
      <c r="BY87" s="22" t="s">
        <v>403</v>
      </c>
    </row>
    <row r="88" spans="8:77" x14ac:dyDescent="0.45">
      <c r="H88" s="9" t="s">
        <v>454</v>
      </c>
      <c r="I88" s="4" t="s">
        <v>463</v>
      </c>
      <c r="J88" s="9"/>
      <c r="K88" s="9"/>
      <c r="L88" s="23" t="str">
        <f>IFERROR(INDEX(Commodities[[Commodity code]:[Commodity]],MATCH(Commodities[[#This Row],[Parent code]],Commodities[Commodity code],0),2),Commodities[[#This Row],[Commodity]])</f>
        <v>Peat and peat products</v>
      </c>
      <c r="M88" s="24" t="str">
        <f>IFERROR(INDEX(Commodities[[Commodity code]:[Commodity]],MATCH(INDEX(Commodities[[Commodity]:[Parent code]],MATCH(Commodities[[#This Row],[L1N]],Commodities[Commodity],0),2),Commodities[Commodity code],0),2),Commodities[[#This Row],[L1N]])</f>
        <v>Peat and peat products</v>
      </c>
      <c r="N88" s="24" t="str">
        <f>IFERROR(INDEX(Commodities[[Commodity code]:[Commodity]],MATCH(INDEX(Commodities[[Commodity]:[Parent code]],MATCH(Commodities[[#This Row],[L2N]],Commodities[Commodity],0),2),Commodities[Commodity code],0),2),Commodities[[#This Row],[L2N]])</f>
        <v>Peat and peat products</v>
      </c>
      <c r="O88" s="24" t="str">
        <f>IFERROR(INDEX(Commodities[[Commodity code]:[Commodity]],MATCH(INDEX(Commodities[[Commodity]:[Parent code]],MATCH(Commodities[[#This Row],[L3N]],Commodities[Commodity],0),2),Commodities[Commodity code],0),2),Commodities[[#This Row],[L3N]])</f>
        <v>Peat and peat products</v>
      </c>
      <c r="P88" s="24" t="str">
        <f>IF(Commodities[[#This Row],[L4N]]=Commodities[[#This Row],[L3N]],Commodities[[#This Row],[L4N]],IF(Commodities[[#This Row],[L3N]]=Commodities[[#This Row],[L2N]],Commodities[[#This Row],[L3N]],IF(Commodities[[#This Row],[L2N]]=Commodities[[#This Row],[L1N]],Commodities[[#This Row],[L2N]],IF(Commodities[[#This Row],[L1N]]=Commodities[[#This Row],[Commodity]],Commodities[[#This Row],[L1N]],Commodities[[#This Row],[Commodity]]))))</f>
        <v>Peat and peat products</v>
      </c>
      <c r="Q88" s="24" t="str">
        <f>IF(Commodities[[#This Row],[Level 0]]=Commodities[[#This Row],[Commodity]],Commodities[[#This Row],[Commodity]],IF(Commodities[[#This Row],[Level 0]]=Commodities[[#This Row],[L1N]],Commodities[[#This Row],[Commodity]],IF(Commodities[[#This Row],[Level 0]]=Commodities[[#This Row],[L2N]],Commodities[[#This Row],[L1N]],IF(Commodities[[#This Row],[Level 0]]=Commodities[[#This Row],[L3N]],Commodities[[#This Row],[L2N]],IF(Commodities[[#This Row],[Level 0]]=Commodities[[#This Row],[L4N]],Commodities[[#This Row],[L3N]],Commodities[[#This Row],[L4N]])))))</f>
        <v>Peat and peat products</v>
      </c>
      <c r="R88" s="24" t="str">
        <f>IF(Commodities[[#This Row],[Level 1]]=Commodities[[#This Row],[Commodity]],Commodities[[#This Row],[Commodity]],IF(Commodities[[#This Row],[Level 1]]=Commodities[[#This Row],[L1N]],Commodities[[#This Row],[Commodity]],IF(Commodities[[#This Row],[Level 1]]=Commodities[[#This Row],[L2N]],Commodities[[#This Row],[L1N]],IF(Commodities[[#This Row],[Level 1]]=Commodities[[#This Row],[L3N]],Commodities[[#This Row],[L2N]],IF(Commodities[[#This Row],[Level 1]]=Commodities[[#This Row],[L4N]],Commodities[[#This Row],[L3N]],Commodities[[#This Row],[L4N]])))))</f>
        <v>Peat and peat products</v>
      </c>
      <c r="S88" s="24" t="str">
        <f>IF(Commodities[[#This Row],[Level 2]]=Commodities[[#This Row],[Commodity]],Commodities[[#This Row],[Commodity]],IF(Commodities[[#This Row],[Level 2]]=Commodities[[#This Row],[L1N]],Commodities[[#This Row],[Commodity]],IF(Commodities[[#This Row],[Level 2]]=Commodities[[#This Row],[L2N]],Commodities[[#This Row],[L1N]],IF(Commodities[[#This Row],[Level 2]]=Commodities[[#This Row],[L3N]],Commodities[[#This Row],[L2N]],IF(Commodities[[#This Row],[Level 2]]=Commodities[[#This Row],[L4N]],Commodities[[#This Row],[L3N]],Commodities[[#This Row],[L4N]])))))</f>
        <v>Peat and peat products</v>
      </c>
      <c r="T88" s="24" t="str">
        <f>IF(Commodities[[#This Row],[Level 3]]=Commodities[[#This Row],[Commodity]],Commodities[[#This Row],[Commodity]],IF(Commodities[[#This Row],[Level 3]]=Commodities[[#This Row],[L1N]],Commodities[[#This Row],[Commodity]],IF(Commodities[[#This Row],[Level 3]]=Commodities[[#This Row],[L2N]],Commodities[[#This Row],[L1N]],IF(Commodities[[#This Row],[Level 3]]=Commodities[[#This Row],[L3N]],Commodities[[#This Row],[L2N]],IF(Commodities[[#This Row],[Level 3]]=Commodities[[#This Row],[L4N]],Commodities[[#This Row],[L3N]],Commodities[[#This Row],[L4N]])))))</f>
        <v>Peat and peat products</v>
      </c>
      <c r="U88" s="24" t="str">
        <f>IF(Commodities[[#This Row],[Level 4]]=Commodities[[#This Row],[Commodity]],Commodities[[#This Row],[Commodity]],IF(Commodities[[#This Row],[Level 4]]=Commodities[[#This Row],[L1N]],Commodities[[#This Row],[Commodity]],IF(Commodities[[#This Row],[Level 4]]=Commodities[[#This Row],[L2N]],Commodities[[#This Row],[L1N]],IF(Commodities[[#This Row],[Level 4]]=Commodities[[#This Row],[L3N]],Commodities[[#This Row],[L2N]],IF(Commodities[[#This Row],[Level 4]]=Commodities[[#This Row],[L4N]],Commodities[[#This Row],[L3N]],Commodities[[#This Row],[L4N]])))))</f>
        <v>Peat and peat products</v>
      </c>
      <c r="Y88" s="4" t="s">
        <v>415</v>
      </c>
      <c r="Z88" s="4" t="s">
        <v>873</v>
      </c>
      <c r="AA88" s="4" t="s">
        <v>873</v>
      </c>
      <c r="AB88" s="4" t="s">
        <v>410</v>
      </c>
      <c r="AC88" s="24" t="str">
        <f>IFERROR(VLOOKUP(Transactions[[#This Row],[Parent code]],Transactions[[Transaction code]:[Transaction name]],2,0),"")</f>
        <v>Transport (S)</v>
      </c>
      <c r="AD88" s="4" t="s">
        <v>630</v>
      </c>
      <c r="AF88" s="4" t="s">
        <v>642</v>
      </c>
      <c r="AG88" s="4" t="s">
        <v>385</v>
      </c>
      <c r="AK88" s="24" t="str" cm="1">
        <f t="array" ref="AK88">IFERROR(INDEX(Transactions[[Transaction code]:[Transaction name]],_xlfn.XMATCH(Transactions[[#This Row],[Parent code]],Transactions[Transaction name],0),3),Transactions[[#This Row],[Transaction name]])</f>
        <v>Pipeline transport (S)</v>
      </c>
      <c r="AL88" s="24" t="str" cm="1">
        <f t="array" ref="AL88">IFERROR(INDEX(Transactions[[Transaction code]:[Transaction name]],_xlfn.XMATCH(INDEX(Transactions[[Transaction name]:[Parent code]],_xlfn.XMATCH(Transactions[[#This Row],[L1N]],Transactions[Transaction name],0),3),Transactions[Transaction code],0),2),Transactions[[#This Row],[L1N]])</f>
        <v>Transport (S)</v>
      </c>
      <c r="AM88" s="24" t="str" cm="1">
        <f t="array" ref="AM88">IFERROR(INDEX(Transactions[[Transaction code]:[Transaction name]],_xlfn.XMATCH(INDEX(Transactions[[Transaction name]:[Parent code]],_xlfn.XMATCH(Transactions[[#This Row],[L2N]],Transactions[Transaction name],0),3),Transactions[Transaction code],0),2),Transactions[[#This Row],[L2N]])</f>
        <v>Final Energy Consumption (S)</v>
      </c>
      <c r="AN88" s="24" t="str" cm="1">
        <f t="array" ref="AN88">IFERROR(INDEX(Transactions[[Transaction code]:[Transaction name]],_xlfn.XMATCH(INDEX(Transactions[[Transaction name]:[Parent code]],_xlfn.XMATCH(Transactions[[#This Row],[L3N]],Transactions[Transaction name],0),3),Transactions[Transaction code],0),2),Transactions[[#This Row],[L3N]])</f>
        <v>Final consumption (S)</v>
      </c>
      <c r="AO88" s="24" t="str" cm="1">
        <f t="array" ref="AO88">IFERROR(INDEX(Transactions[[Transaction code]:[Transaction name]],_xlfn.XMATCH(INDEX(Transactions[[Transaction name]:[Parent code]],_xlfn.XMATCH(Transactions[[#This Row],[L4N]],Transactions[Transaction name],0),3),Transactions[Transaction code],0),2),Transactions[[#This Row],[L4N]])</f>
        <v>Final consumption (S)</v>
      </c>
      <c r="AP88" s="24" t="str" cm="1">
        <f t="array" ref="AP88">IFERROR(INDEX(Transactions[[Transaction code]:[Transaction name]],_xlfn.XMATCH(INDEX(Transactions[[Transaction name]:[Parent code]],_xlfn.XMATCH(Transactions[[#This Row],[L5N]],Transactions[Transaction name],0),3),Transactions[Transaction code],0),2),Transactions[[#This Row],[L5N]])</f>
        <v>Final consumption (S)</v>
      </c>
      <c r="AQ88" s="24" t="str" cm="1">
        <f t="array" ref="AQ88">IFERROR(INDEX(Transactions[[Transaction code]:[Transaction name]],_xlfn.XMATCH(INDEX(Transactions[[Transaction name]:[Parent code]],_xlfn.XMATCH(Transactions[[#This Row],[L6N]],Transactions[Transaction name],0),3),Transactions[Transaction code],0),2),Transactions[[#This Row],[L6N]])</f>
        <v>Final consumption (S)</v>
      </c>
      <c r="AR88" s="27" t="str">
        <f>IF(Transactions[[#This Row],[L7N]]=Transactions[[#This Row],[L6N]],Transactions[[#This Row],[L7N]],IF(Transactions[[#This Row],[L6N]]=Transactions[[#This Row],[L5N]],Transactions[[#This Row],[L6N]],IF(Transactions[[#This Row],[L5N]]=Transactions[[#This Row],[L4N]],Transactions[[#This Row],[L5N]],IF(Transactions[[#This Row],[L4N]]=Transactions[[#This Row],[L3N]],Transactions[[#This Row],[L4N]],IF(Transactions[[#This Row],[L3N]]=Transactions[[#This Row],[L2N]],Transactions[[#This Row],[L3N]],IF(Transactions[[#This Row],[L2N]]=Transactions[[#This Row],[L1N]],Transactions[[#This Row],[L2N]],IF(Transactions[[#This Row],[L1N]]=Transactions[[#This Row],[Transaction name]],Transactions[[#This Row],[L1N]],Transactions[[#This Row],[Transaction name]])))))))</f>
        <v>Final consumption (S)</v>
      </c>
      <c r="AS88" s="24" t="str">
        <f>IF(Transactions[[#This Row],[Level 0]]=Transactions[[#This Row],[Transaction name]],Transactions[[#This Row],[Transaction name]],IF(Transactions[[#This Row],[Level 0]]=Transactions[[#This Row],[L1N]],Transactions[[#This Row],[Transaction name]],IF(Transactions[[#This Row],[Level 0]]=Transactions[[#This Row],[L2N]],Transactions[[#This Row],[L1N]],IF(Transactions[[#This Row],[Level 0]]=Transactions[[#This Row],[L3N]],Transactions[[#This Row],[L2N]],IF(Transactions[[#This Row],[Level 0]]=Transactions[[#This Row],[L4N]],Transactions[[#This Row],[L3N]],IF(Transactions[[#This Row],[Level 0]]=Transactions[[#This Row],[L5N]],Transactions[[#This Row],[L4N]],IF(Transactions[[#This Row],[Level 0]]=Transactions[[#This Row],[L6N]],Transactions[[#This Row],[L5N]],IF(Transactions[[#This Row],[Level 0]]=Transactions[[#This Row],[L7N]],Transactions[[#This Row],[L6N]],Transactions[[#This Row],[L7N]]))))))))</f>
        <v>Final Energy Consumption (S)</v>
      </c>
      <c r="AT88" s="24" t="str">
        <f>IF(Transactions[[#This Row],[Level 1]]=Transactions[[#This Row],[Transaction name]],Transactions[[#This Row],[Transaction name]],IF(Transactions[[#This Row],[Level 1]]=Transactions[[#This Row],[L1N]],Transactions[[#This Row],[Transaction name]],IF(Transactions[[#This Row],[Level 1]]=Transactions[[#This Row],[L2N]],Transactions[[#This Row],[L1N]],IF(Transactions[[#This Row],[Level 1]]=Transactions[[#This Row],[L3N]],Transactions[[#This Row],[L2N]],IF(Transactions[[#This Row],[Level 1]]=Transactions[[#This Row],[L4N]],Transactions[[#This Row],[L3N]],IF(Transactions[[#This Row],[Level 1]]=Transactions[[#This Row],[L5N]],Transactions[[#This Row],[L4N]],IF(Transactions[[#This Row],[Level 1]]=Transactions[[#This Row],[L6N]],Transactions[[#This Row],[L5N]],IF(Transactions[[#This Row],[Level 1]]=Transactions[[#This Row],[L7N]],Transactions[[#This Row],[L6N]],Transactions[[#This Row],[L7N]]))))))))</f>
        <v>Transport (S)</v>
      </c>
      <c r="AU88" s="24" t="str">
        <f>IF(Transactions[[#This Row],[Level 2]]=Transactions[[#This Row],[Transaction name]],Transactions[[#This Row],[Transaction name]],IF(Transactions[[#This Row],[Level 2]]=Transactions[[#This Row],[L1N]],Transactions[[#This Row],[Transaction name]],IF(Transactions[[#This Row],[Level 2]]=Transactions[[#This Row],[L2N]],Transactions[[#This Row],[L1N]],IF(Transactions[[#This Row],[Level 2]]=Transactions[[#This Row],[L3N]],Transactions[[#This Row],[L2N]],IF(Transactions[[#This Row],[Level 2]]=Transactions[[#This Row],[L4N]],Transactions[[#This Row],[L3N]],IF(Transactions[[#This Row],[Level 2]]=Transactions[[#This Row],[L5N]],Transactions[[#This Row],[L4N]],IF(Transactions[[#This Row],[Level 2]]=Transactions[[#This Row],[L6N]],Transactions[[#This Row],[L5N]],IF(Transactions[[#This Row],[Level 2]]=Transactions[[#This Row],[L7N]],Transactions[[#This Row],[L6N]],Transactions[[#This Row],[L7N]]))))))))</f>
        <v>Pipeline transport (S)</v>
      </c>
      <c r="AV88" s="24" t="str">
        <f>IF(Transactions[[#This Row],[Level 3]]=Transactions[[#This Row],[Transaction name]],Transactions[[#This Row],[Transaction name]],IF(Transactions[[#This Row],[Level 3]]=Transactions[[#This Row],[L1N]],Transactions[[#This Row],[Transaction name]],IF(Transactions[[#This Row],[Level 3]]=Transactions[[#This Row],[L2N]],Transactions[[#This Row],[L1N]],IF(Transactions[[#This Row],[Level 3]]=Transactions[[#This Row],[L3N]],Transactions[[#This Row],[L2N]],IF(Transactions[[#This Row],[Level 3]]=Transactions[[#This Row],[L4N]],Transactions[[#This Row],[L3N]],IF(Transactions[[#This Row],[Level 3]]=Transactions[[#This Row],[L5N]],Transactions[[#This Row],[L4N]],IF(Transactions[[#This Row],[Level 3]]=Transactions[[#This Row],[L6N]],Transactions[[#This Row],[L5N]],IF(Transactions[[#This Row],[Level 3]]=Transactions[[#This Row],[L7N]],Transactions[[#This Row],[L6N]],Transactions[[#This Row],[L7N]]))))))))</f>
        <v>Pipeline transport (S)</v>
      </c>
      <c r="AW88" s="24" t="str">
        <f>IF(Transactions[[#This Row],[Level 4]]=Transactions[[#This Row],[Transaction name]],Transactions[[#This Row],[Transaction name]],IF(Transactions[[#This Row],[Level 4]]=Transactions[[#This Row],[L1N]],Transactions[[#This Row],[Transaction name]],IF(Transactions[[#This Row],[Level 4]]=Transactions[[#This Row],[L2N]],Transactions[[#This Row],[L1N]],IF(Transactions[[#This Row],[Level 4]]=Transactions[[#This Row],[L3N]],Transactions[[#This Row],[L2N]],IF(Transactions[[#This Row],[Level 4]]=Transactions[[#This Row],[L4N]],Transactions[[#This Row],[L3N]],IF(Transactions[[#This Row],[Level 4]]=Transactions[[#This Row],[L5N]],Transactions[[#This Row],[L4N]],IF(Transactions[[#This Row],[Level 4]]=Transactions[[#This Row],[L6N]],Transactions[[#This Row],[L5N]],IF(Transactions[[#This Row],[Level 4]]=Transactions[[#This Row],[L7N]],Transactions[[#This Row],[L6N]],Transactions[[#This Row],[L7N]]))))))))</f>
        <v>Pipeline transport (S)</v>
      </c>
      <c r="AX88" s="24" t="str">
        <f>IF(Transactions[[#This Row],[Level 5]]=Transactions[[#This Row],[Transaction name]],Transactions[[#This Row],[Transaction name]],IF(Transactions[[#This Row],[Level 5]]=Transactions[[#This Row],[L1N]],Transactions[[#This Row],[Transaction name]],IF(Transactions[[#This Row],[Level 5]]=Transactions[[#This Row],[L2N]],Transactions[[#This Row],[L1N]],IF(Transactions[[#This Row],[Level 5]]=Transactions[[#This Row],[L3N]],Transactions[[#This Row],[L2N]],IF(Transactions[[#This Row],[Level 5]]=Transactions[[#This Row],[L4N]],Transactions[[#This Row],[L3N]],IF(Transactions[[#This Row],[Level 5]]=Transactions[[#This Row],[L5N]],Transactions[[#This Row],[L4N]],IF(Transactions[[#This Row],[Level 5]]=Transactions[[#This Row],[L6N]],Transactions[[#This Row],[L5N]],IF(Transactions[[#This Row],[Level 5]]=Transactions[[#This Row],[L7N]],Transactions[[#This Row],[L6N]],Transactions[[#This Row],[L7N]]))))))))</f>
        <v>Pipeline transport (S)</v>
      </c>
      <c r="AY88" s="24" t="str">
        <f>IF(Transactions[[#This Row],[Level 6]]=Transactions[[#This Row],[Transaction name]],Transactions[[#This Row],[Transaction name]],IF(Transactions[[#This Row],[Level 6]]=Transactions[[#This Row],[L1N]],Transactions[[#This Row],[Transaction name]],IF(Transactions[[#This Row],[Level 6]]=Transactions[[#This Row],[L2N]],Transactions[[#This Row],[L1N]],IF(Transactions[[#This Row],[Level 6]]=Transactions[[#This Row],[L3N]],Transactions[[#This Row],[L2N]],IF(Transactions[[#This Row],[Level 6]]=Transactions[[#This Row],[L4N]],Transactions[[#This Row],[L3N]],IF(Transactions[[#This Row],[Level 6]]=Transactions[[#This Row],[L5N]],Transactions[[#This Row],[L4N]],IF(Transactions[[#This Row],[Level 6]]=Transactions[[#This Row],[L6N]],Transactions[[#This Row],[L5N]],IF(Transactions[[#This Row],[Level 6]]=Transactions[[#This Row],[L7N]],Transactions[[#This Row],[L6N]],Transactions[[#This Row],[L7N]]))))))))</f>
        <v>Pipeline transport (S)</v>
      </c>
      <c r="BE88" s="26" t="str">
        <f>_xlfn.XLOOKUP(Transformation[[#This Row],[cfrom]],Commodities[Commodity],Commodities[Commodity code])</f>
        <v>8000</v>
      </c>
      <c r="BF88" s="26" t="str">
        <f>_xlfn.XLOOKUP(Transformation[[#This Row],[tfrom]],Transactions[Transaction name],Transactions[Transaction code])</f>
        <v>015HC</v>
      </c>
      <c r="BG88" s="26" t="str">
        <f>_xlfn.XLOOKUP(Transformation[[#This Row],[cto]],Commodities[Commodity],Commodities[Commodity code])</f>
        <v>8000</v>
      </c>
      <c r="BH88" s="26" t="str">
        <f>_xlfn.XLOOKUP(Transformation[[#This Row],[tto]],Transactions[Transaction name],Transactions[Transaction code])</f>
        <v>01</v>
      </c>
      <c r="BI88" s="31">
        <v>1</v>
      </c>
      <c r="BJ88" s="22" t="s">
        <v>262</v>
      </c>
      <c r="BK88" s="26" t="str">
        <f>_xlfn.XLOOKUP(Transformation[[#This Row],[Commodity from]],Commodities[Commodity code],Commodities[EnergyCode])</f>
        <v>ST</v>
      </c>
      <c r="BL88" s="22" t="s">
        <v>650</v>
      </c>
      <c r="BM88" s="22" t="s">
        <v>262</v>
      </c>
      <c r="BN88" s="26" t="str">
        <f>_xlfn.XLOOKUP(Transformation[[#This Row],[Commodity to]],Commodities[Commodity code],Commodities[EnergyCode])</f>
        <v>ST</v>
      </c>
      <c r="BO88" s="22" t="s">
        <v>383</v>
      </c>
      <c r="BP88" s="22" t="s">
        <v>1673</v>
      </c>
      <c r="BQ88" s="33" t="str">
        <f>Transformation[[#This Row],[Commodity from]]&amp;Transformation[[#This Row],[Transaction from]]&amp;Transformation[[#This Row],[Commodity to]]&amp;Transformation[[#This Row],[Transaction to]]</f>
        <v>8000015HC800001</v>
      </c>
      <c r="BR88" s="26" t="str">
        <f>Transformation[[#This Row],[crfomid]]&amp;Transformation[[#This Row],[Transaction from]]&amp;"("&amp;Transformation[[#This Row],[Multiplier]]&amp;") -&gt; "&amp;Transformation[[#This Row],[ctoid]]&amp;Transformation[[#This Row],[Transaction to]]</f>
        <v>ST015HC(1) -&gt; ST01</v>
      </c>
      <c r="BT88" s="26" t="str">
        <f>_xlfn.XLOOKUP(Signswitch[[#This Row],[Commodity name]],Commodities[Commodity],Commodities[Commodity code])</f>
        <v>5212</v>
      </c>
      <c r="BU88" s="26" t="str">
        <f>_xlfn.XLOOKUP(Signswitch[[#This Row],[Transaction name]],Transactions[Transaction name],Transactions[Transaction code])</f>
        <v>1232</v>
      </c>
      <c r="BV88" s="26" t="str">
        <f>Signswitch[[#This Row],[Commodity from]]&amp;Signswitch[[#This Row],[Transaction from]]</f>
        <v>52121232</v>
      </c>
      <c r="BW88" s="22" t="s">
        <v>317</v>
      </c>
      <c r="BX88" s="26" t="str">
        <f>_xlfn.XLOOKUP(Signswitch[[#This Row],[Commodity from]],Commodities[Commodity code],Commodities[EnergyCode])</f>
        <v>ZG</v>
      </c>
      <c r="BY88" s="22" t="s">
        <v>403</v>
      </c>
    </row>
    <row r="89" spans="8:77" x14ac:dyDescent="0.45">
      <c r="H89" s="9" t="s">
        <v>420</v>
      </c>
      <c r="I89" s="4" t="s">
        <v>443</v>
      </c>
      <c r="J89" s="9"/>
      <c r="K89" s="9"/>
      <c r="L89" s="23" t="str">
        <f>IFERROR(INDEX(Commodities[[Commodity code]:[Commodity]],MATCH(Commodities[[#This Row],[Parent code]],Commodities[Commodity code],0),2),Commodities[[#This Row],[Commodity]])</f>
        <v>Oil</v>
      </c>
      <c r="M89" s="24" t="str">
        <f>IFERROR(INDEX(Commodities[[Commodity code]:[Commodity]],MATCH(INDEX(Commodities[[Commodity]:[Parent code]],MATCH(Commodities[[#This Row],[L1N]],Commodities[Commodity],0),2),Commodities[Commodity code],0),2),Commodities[[#This Row],[L1N]])</f>
        <v>Oil</v>
      </c>
      <c r="N89" s="24" t="str">
        <f>IFERROR(INDEX(Commodities[[Commodity code]:[Commodity]],MATCH(INDEX(Commodities[[Commodity]:[Parent code]],MATCH(Commodities[[#This Row],[L2N]],Commodities[Commodity],0),2),Commodities[Commodity code],0),2),Commodities[[#This Row],[L2N]])</f>
        <v>Oil</v>
      </c>
      <c r="O89" s="24" t="str">
        <f>IFERROR(INDEX(Commodities[[Commodity code]:[Commodity]],MATCH(INDEX(Commodities[[Commodity]:[Parent code]],MATCH(Commodities[[#This Row],[L3N]],Commodities[Commodity],0),2),Commodities[Commodity code],0),2),Commodities[[#This Row],[L3N]])</f>
        <v>Oil</v>
      </c>
      <c r="P89" s="24" t="str">
        <f>IF(Commodities[[#This Row],[L4N]]=Commodities[[#This Row],[L3N]],Commodities[[#This Row],[L4N]],IF(Commodities[[#This Row],[L3N]]=Commodities[[#This Row],[L2N]],Commodities[[#This Row],[L3N]],IF(Commodities[[#This Row],[L2N]]=Commodities[[#This Row],[L1N]],Commodities[[#This Row],[L2N]],IF(Commodities[[#This Row],[L1N]]=Commodities[[#This Row],[Commodity]],Commodities[[#This Row],[L1N]],Commodities[[#This Row],[Commodity]]))))</f>
        <v>Oil</v>
      </c>
      <c r="Q89" s="24" t="str">
        <f>IF(Commodities[[#This Row],[Level 0]]=Commodities[[#This Row],[Commodity]],Commodities[[#This Row],[Commodity]],IF(Commodities[[#This Row],[Level 0]]=Commodities[[#This Row],[L1N]],Commodities[[#This Row],[Commodity]],IF(Commodities[[#This Row],[Level 0]]=Commodities[[#This Row],[L2N]],Commodities[[#This Row],[L1N]],IF(Commodities[[#This Row],[Level 0]]=Commodities[[#This Row],[L3N]],Commodities[[#This Row],[L2N]],IF(Commodities[[#This Row],[Level 0]]=Commodities[[#This Row],[L4N]],Commodities[[#This Row],[L3N]],Commodities[[#This Row],[L4N]])))))</f>
        <v>Oil</v>
      </c>
      <c r="R89" s="24" t="str">
        <f>IF(Commodities[[#This Row],[Level 1]]=Commodities[[#This Row],[Commodity]],Commodities[[#This Row],[Commodity]],IF(Commodities[[#This Row],[Level 1]]=Commodities[[#This Row],[L1N]],Commodities[[#This Row],[Commodity]],IF(Commodities[[#This Row],[Level 1]]=Commodities[[#This Row],[L2N]],Commodities[[#This Row],[L1N]],IF(Commodities[[#This Row],[Level 1]]=Commodities[[#This Row],[L3N]],Commodities[[#This Row],[L2N]],IF(Commodities[[#This Row],[Level 1]]=Commodities[[#This Row],[L4N]],Commodities[[#This Row],[L3N]],Commodities[[#This Row],[L4N]])))))</f>
        <v>Oil</v>
      </c>
      <c r="S89" s="24" t="str">
        <f>IF(Commodities[[#This Row],[Level 2]]=Commodities[[#This Row],[Commodity]],Commodities[[#This Row],[Commodity]],IF(Commodities[[#This Row],[Level 2]]=Commodities[[#This Row],[L1N]],Commodities[[#This Row],[Commodity]],IF(Commodities[[#This Row],[Level 2]]=Commodities[[#This Row],[L2N]],Commodities[[#This Row],[L1N]],IF(Commodities[[#This Row],[Level 2]]=Commodities[[#This Row],[L3N]],Commodities[[#This Row],[L2N]],IF(Commodities[[#This Row],[Level 2]]=Commodities[[#This Row],[L4N]],Commodities[[#This Row],[L3N]],Commodities[[#This Row],[L4N]])))))</f>
        <v>Oil</v>
      </c>
      <c r="T89" s="24" t="str">
        <f>IF(Commodities[[#This Row],[Level 3]]=Commodities[[#This Row],[Commodity]],Commodities[[#This Row],[Commodity]],IF(Commodities[[#This Row],[Level 3]]=Commodities[[#This Row],[L1N]],Commodities[[#This Row],[Commodity]],IF(Commodities[[#This Row],[Level 3]]=Commodities[[#This Row],[L2N]],Commodities[[#This Row],[L1N]],IF(Commodities[[#This Row],[Level 3]]=Commodities[[#This Row],[L3N]],Commodities[[#This Row],[L2N]],IF(Commodities[[#This Row],[Level 3]]=Commodities[[#This Row],[L4N]],Commodities[[#This Row],[L3N]],Commodities[[#This Row],[L4N]])))))</f>
        <v>Oil</v>
      </c>
      <c r="U89" s="24" t="str">
        <f>IF(Commodities[[#This Row],[Level 4]]=Commodities[[#This Row],[Commodity]],Commodities[[#This Row],[Commodity]],IF(Commodities[[#This Row],[Level 4]]=Commodities[[#This Row],[L1N]],Commodities[[#This Row],[Commodity]],IF(Commodities[[#This Row],[Level 4]]=Commodities[[#This Row],[L2N]],Commodities[[#This Row],[L1N]],IF(Commodities[[#This Row],[Level 4]]=Commodities[[#This Row],[L3N]],Commodities[[#This Row],[L2N]],IF(Commodities[[#This Row],[Level 4]]=Commodities[[#This Row],[L4N]],Commodities[[#This Row],[L3N]],Commodities[[#This Row],[L4N]])))))</f>
        <v>Oil</v>
      </c>
      <c r="Y89" s="4" t="s">
        <v>427</v>
      </c>
      <c r="Z89" s="4" t="s">
        <v>875</v>
      </c>
      <c r="AA89" s="4" t="s">
        <v>875</v>
      </c>
      <c r="AB89" s="4" t="s">
        <v>410</v>
      </c>
      <c r="AC89" s="24" t="str">
        <f>IFERROR(VLOOKUP(Transactions[[#This Row],[Parent code]],Transactions[[Transaction code]:[Transaction name]],2,0),"")</f>
        <v>Transport (S)</v>
      </c>
      <c r="AD89" s="4" t="s">
        <v>630</v>
      </c>
      <c r="AF89" s="4" t="s">
        <v>642</v>
      </c>
      <c r="AG89" s="4" t="s">
        <v>385</v>
      </c>
      <c r="AK89" s="24" t="str" cm="1">
        <f t="array" ref="AK89">IFERROR(INDEX(Transactions[[Transaction code]:[Transaction name]],_xlfn.XMATCH(Transactions[[#This Row],[Parent code]],Transactions[Transaction name],0),3),Transactions[[#This Row],[Transaction name]])</f>
        <v>Rail (S)</v>
      </c>
      <c r="AL89" s="24" t="str" cm="1">
        <f t="array" ref="AL89">IFERROR(INDEX(Transactions[[Transaction code]:[Transaction name]],_xlfn.XMATCH(INDEX(Transactions[[Transaction name]:[Parent code]],_xlfn.XMATCH(Transactions[[#This Row],[L1N]],Transactions[Transaction name],0),3),Transactions[Transaction code],0),2),Transactions[[#This Row],[L1N]])</f>
        <v>Transport (S)</v>
      </c>
      <c r="AM89" s="24" t="str" cm="1">
        <f t="array" ref="AM89">IFERROR(INDEX(Transactions[[Transaction code]:[Transaction name]],_xlfn.XMATCH(INDEX(Transactions[[Transaction name]:[Parent code]],_xlfn.XMATCH(Transactions[[#This Row],[L2N]],Transactions[Transaction name],0),3),Transactions[Transaction code],0),2),Transactions[[#This Row],[L2N]])</f>
        <v>Final Energy Consumption (S)</v>
      </c>
      <c r="AN89" s="24" t="str" cm="1">
        <f t="array" ref="AN89">IFERROR(INDEX(Transactions[[Transaction code]:[Transaction name]],_xlfn.XMATCH(INDEX(Transactions[[Transaction name]:[Parent code]],_xlfn.XMATCH(Transactions[[#This Row],[L3N]],Transactions[Transaction name],0),3),Transactions[Transaction code],0),2),Transactions[[#This Row],[L3N]])</f>
        <v>Final consumption (S)</v>
      </c>
      <c r="AO89" s="24" t="str" cm="1">
        <f t="array" ref="AO89">IFERROR(INDEX(Transactions[[Transaction code]:[Transaction name]],_xlfn.XMATCH(INDEX(Transactions[[Transaction name]:[Parent code]],_xlfn.XMATCH(Transactions[[#This Row],[L4N]],Transactions[Transaction name],0),3),Transactions[Transaction code],0),2),Transactions[[#This Row],[L4N]])</f>
        <v>Final consumption (S)</v>
      </c>
      <c r="AP89" s="24" t="str" cm="1">
        <f t="array" ref="AP89">IFERROR(INDEX(Transactions[[Transaction code]:[Transaction name]],_xlfn.XMATCH(INDEX(Transactions[[Transaction name]:[Parent code]],_xlfn.XMATCH(Transactions[[#This Row],[L5N]],Transactions[Transaction name],0),3),Transactions[Transaction code],0),2),Transactions[[#This Row],[L5N]])</f>
        <v>Final consumption (S)</v>
      </c>
      <c r="AQ89" s="24" t="str" cm="1">
        <f t="array" ref="AQ89">IFERROR(INDEX(Transactions[[Transaction code]:[Transaction name]],_xlfn.XMATCH(INDEX(Transactions[[Transaction name]:[Parent code]],_xlfn.XMATCH(Transactions[[#This Row],[L6N]],Transactions[Transaction name],0),3),Transactions[Transaction code],0),2),Transactions[[#This Row],[L6N]])</f>
        <v>Final consumption (S)</v>
      </c>
      <c r="AR89" s="27" t="str">
        <f>IF(Transactions[[#This Row],[L7N]]=Transactions[[#This Row],[L6N]],Transactions[[#This Row],[L7N]],IF(Transactions[[#This Row],[L6N]]=Transactions[[#This Row],[L5N]],Transactions[[#This Row],[L6N]],IF(Transactions[[#This Row],[L5N]]=Transactions[[#This Row],[L4N]],Transactions[[#This Row],[L5N]],IF(Transactions[[#This Row],[L4N]]=Transactions[[#This Row],[L3N]],Transactions[[#This Row],[L4N]],IF(Transactions[[#This Row],[L3N]]=Transactions[[#This Row],[L2N]],Transactions[[#This Row],[L3N]],IF(Transactions[[#This Row],[L2N]]=Transactions[[#This Row],[L1N]],Transactions[[#This Row],[L2N]],IF(Transactions[[#This Row],[L1N]]=Transactions[[#This Row],[Transaction name]],Transactions[[#This Row],[L1N]],Transactions[[#This Row],[Transaction name]])))))))</f>
        <v>Final consumption (S)</v>
      </c>
      <c r="AS89" s="24" t="str">
        <f>IF(Transactions[[#This Row],[Level 0]]=Transactions[[#This Row],[Transaction name]],Transactions[[#This Row],[Transaction name]],IF(Transactions[[#This Row],[Level 0]]=Transactions[[#This Row],[L1N]],Transactions[[#This Row],[Transaction name]],IF(Transactions[[#This Row],[Level 0]]=Transactions[[#This Row],[L2N]],Transactions[[#This Row],[L1N]],IF(Transactions[[#This Row],[Level 0]]=Transactions[[#This Row],[L3N]],Transactions[[#This Row],[L2N]],IF(Transactions[[#This Row],[Level 0]]=Transactions[[#This Row],[L4N]],Transactions[[#This Row],[L3N]],IF(Transactions[[#This Row],[Level 0]]=Transactions[[#This Row],[L5N]],Transactions[[#This Row],[L4N]],IF(Transactions[[#This Row],[Level 0]]=Transactions[[#This Row],[L6N]],Transactions[[#This Row],[L5N]],IF(Transactions[[#This Row],[Level 0]]=Transactions[[#This Row],[L7N]],Transactions[[#This Row],[L6N]],Transactions[[#This Row],[L7N]]))))))))</f>
        <v>Final Energy Consumption (S)</v>
      </c>
      <c r="AT89" s="24" t="str">
        <f>IF(Transactions[[#This Row],[Level 1]]=Transactions[[#This Row],[Transaction name]],Transactions[[#This Row],[Transaction name]],IF(Transactions[[#This Row],[Level 1]]=Transactions[[#This Row],[L1N]],Transactions[[#This Row],[Transaction name]],IF(Transactions[[#This Row],[Level 1]]=Transactions[[#This Row],[L2N]],Transactions[[#This Row],[L1N]],IF(Transactions[[#This Row],[Level 1]]=Transactions[[#This Row],[L3N]],Transactions[[#This Row],[L2N]],IF(Transactions[[#This Row],[Level 1]]=Transactions[[#This Row],[L4N]],Transactions[[#This Row],[L3N]],IF(Transactions[[#This Row],[Level 1]]=Transactions[[#This Row],[L5N]],Transactions[[#This Row],[L4N]],IF(Transactions[[#This Row],[Level 1]]=Transactions[[#This Row],[L6N]],Transactions[[#This Row],[L5N]],IF(Transactions[[#This Row],[Level 1]]=Transactions[[#This Row],[L7N]],Transactions[[#This Row],[L6N]],Transactions[[#This Row],[L7N]]))))))))</f>
        <v>Transport (S)</v>
      </c>
      <c r="AU89" s="24" t="str">
        <f>IF(Transactions[[#This Row],[Level 2]]=Transactions[[#This Row],[Transaction name]],Transactions[[#This Row],[Transaction name]],IF(Transactions[[#This Row],[Level 2]]=Transactions[[#This Row],[L1N]],Transactions[[#This Row],[Transaction name]],IF(Transactions[[#This Row],[Level 2]]=Transactions[[#This Row],[L2N]],Transactions[[#This Row],[L1N]],IF(Transactions[[#This Row],[Level 2]]=Transactions[[#This Row],[L3N]],Transactions[[#This Row],[L2N]],IF(Transactions[[#This Row],[Level 2]]=Transactions[[#This Row],[L4N]],Transactions[[#This Row],[L3N]],IF(Transactions[[#This Row],[Level 2]]=Transactions[[#This Row],[L5N]],Transactions[[#This Row],[L4N]],IF(Transactions[[#This Row],[Level 2]]=Transactions[[#This Row],[L6N]],Transactions[[#This Row],[L5N]],IF(Transactions[[#This Row],[Level 2]]=Transactions[[#This Row],[L7N]],Transactions[[#This Row],[L6N]],Transactions[[#This Row],[L7N]]))))))))</f>
        <v>Rail (S)</v>
      </c>
      <c r="AV89" s="24" t="str">
        <f>IF(Transactions[[#This Row],[Level 3]]=Transactions[[#This Row],[Transaction name]],Transactions[[#This Row],[Transaction name]],IF(Transactions[[#This Row],[Level 3]]=Transactions[[#This Row],[L1N]],Transactions[[#This Row],[Transaction name]],IF(Transactions[[#This Row],[Level 3]]=Transactions[[#This Row],[L2N]],Transactions[[#This Row],[L1N]],IF(Transactions[[#This Row],[Level 3]]=Transactions[[#This Row],[L3N]],Transactions[[#This Row],[L2N]],IF(Transactions[[#This Row],[Level 3]]=Transactions[[#This Row],[L4N]],Transactions[[#This Row],[L3N]],IF(Transactions[[#This Row],[Level 3]]=Transactions[[#This Row],[L5N]],Transactions[[#This Row],[L4N]],IF(Transactions[[#This Row],[Level 3]]=Transactions[[#This Row],[L6N]],Transactions[[#This Row],[L5N]],IF(Transactions[[#This Row],[Level 3]]=Transactions[[#This Row],[L7N]],Transactions[[#This Row],[L6N]],Transactions[[#This Row],[L7N]]))))))))</f>
        <v>Rail (S)</v>
      </c>
      <c r="AW89" s="24" t="str">
        <f>IF(Transactions[[#This Row],[Level 4]]=Transactions[[#This Row],[Transaction name]],Transactions[[#This Row],[Transaction name]],IF(Transactions[[#This Row],[Level 4]]=Transactions[[#This Row],[L1N]],Transactions[[#This Row],[Transaction name]],IF(Transactions[[#This Row],[Level 4]]=Transactions[[#This Row],[L2N]],Transactions[[#This Row],[L1N]],IF(Transactions[[#This Row],[Level 4]]=Transactions[[#This Row],[L3N]],Transactions[[#This Row],[L2N]],IF(Transactions[[#This Row],[Level 4]]=Transactions[[#This Row],[L4N]],Transactions[[#This Row],[L3N]],IF(Transactions[[#This Row],[Level 4]]=Transactions[[#This Row],[L5N]],Transactions[[#This Row],[L4N]],IF(Transactions[[#This Row],[Level 4]]=Transactions[[#This Row],[L6N]],Transactions[[#This Row],[L5N]],IF(Transactions[[#This Row],[Level 4]]=Transactions[[#This Row],[L7N]],Transactions[[#This Row],[L6N]],Transactions[[#This Row],[L7N]]))))))))</f>
        <v>Rail (S)</v>
      </c>
      <c r="AX89" s="24" t="str">
        <f>IF(Transactions[[#This Row],[Level 5]]=Transactions[[#This Row],[Transaction name]],Transactions[[#This Row],[Transaction name]],IF(Transactions[[#This Row],[Level 5]]=Transactions[[#This Row],[L1N]],Transactions[[#This Row],[Transaction name]],IF(Transactions[[#This Row],[Level 5]]=Transactions[[#This Row],[L2N]],Transactions[[#This Row],[L1N]],IF(Transactions[[#This Row],[Level 5]]=Transactions[[#This Row],[L3N]],Transactions[[#This Row],[L2N]],IF(Transactions[[#This Row],[Level 5]]=Transactions[[#This Row],[L4N]],Transactions[[#This Row],[L3N]],IF(Transactions[[#This Row],[Level 5]]=Transactions[[#This Row],[L5N]],Transactions[[#This Row],[L4N]],IF(Transactions[[#This Row],[Level 5]]=Transactions[[#This Row],[L6N]],Transactions[[#This Row],[L5N]],IF(Transactions[[#This Row],[Level 5]]=Transactions[[#This Row],[L7N]],Transactions[[#This Row],[L6N]],Transactions[[#This Row],[L7N]]))))))))</f>
        <v>Rail (S)</v>
      </c>
      <c r="AY89" s="24" t="str">
        <f>IF(Transactions[[#This Row],[Level 6]]=Transactions[[#This Row],[Transaction name]],Transactions[[#This Row],[Transaction name]],IF(Transactions[[#This Row],[Level 6]]=Transactions[[#This Row],[L1N]],Transactions[[#This Row],[Transaction name]],IF(Transactions[[#This Row],[Level 6]]=Transactions[[#This Row],[L2N]],Transactions[[#This Row],[L1N]],IF(Transactions[[#This Row],[Level 6]]=Transactions[[#This Row],[L3N]],Transactions[[#This Row],[L2N]],IF(Transactions[[#This Row],[Level 6]]=Transactions[[#This Row],[L4N]],Transactions[[#This Row],[L3N]],IF(Transactions[[#This Row],[Level 6]]=Transactions[[#This Row],[L5N]],Transactions[[#This Row],[L4N]],IF(Transactions[[#This Row],[Level 6]]=Transactions[[#This Row],[L6N]],Transactions[[#This Row],[L5N]],IF(Transactions[[#This Row],[Level 6]]=Transactions[[#This Row],[L7N]],Transactions[[#This Row],[L6N]],Transactions[[#This Row],[L7N]]))))))))</f>
        <v>Rail (S)</v>
      </c>
      <c r="BE89" s="26" t="str">
        <f>_xlfn.XLOOKUP(Transformation[[#This Row],[cfrom]],Commodities[Commodity],Commodities[Commodity code])</f>
        <v>7000</v>
      </c>
      <c r="BF89" s="26" t="str">
        <f>_xlfn.XLOOKUP(Transformation[[#This Row],[tfrom]],Transactions[Transaction name],Transactions[Transaction code])</f>
        <v>015GC</v>
      </c>
      <c r="BG89" s="26" t="str">
        <f>_xlfn.XLOOKUP(Transformation[[#This Row],[cto]],Commodities[Commodity],Commodities[Commodity code])</f>
        <v>8000</v>
      </c>
      <c r="BH89" s="26" t="str">
        <f>_xlfn.XLOOKUP(Transformation[[#This Row],[tto]],Transactions[Transaction name],Transactions[Transaction code])</f>
        <v>015GC</v>
      </c>
      <c r="BI89" s="31">
        <v>-10</v>
      </c>
      <c r="BJ89" s="22" t="s">
        <v>544</v>
      </c>
      <c r="BK89" s="26" t="str">
        <f>_xlfn.XLOOKUP(Transformation[[#This Row],[Commodity from]],Commodities[Commodity code],Commodities[EnergyCode])</f>
        <v>EL</v>
      </c>
      <c r="BL89" s="22" t="s">
        <v>649</v>
      </c>
      <c r="BM89" s="22" t="s">
        <v>262</v>
      </c>
      <c r="BN89" s="26" t="str">
        <f>_xlfn.XLOOKUP(Transformation[[#This Row],[Commodity to]],Commodities[Commodity code],Commodities[EnergyCode])</f>
        <v>ST</v>
      </c>
      <c r="BO89" s="22" t="s">
        <v>649</v>
      </c>
      <c r="BP89" s="22" t="s">
        <v>1552</v>
      </c>
      <c r="BQ89" s="33" t="str">
        <f>Transformation[[#This Row],[Commodity from]]&amp;Transformation[[#This Row],[Transaction from]]&amp;Transformation[[#This Row],[Commodity to]]&amp;Transformation[[#This Row],[Transaction to]]</f>
        <v>7000015GC8000015GC</v>
      </c>
      <c r="BR89" s="26" t="str">
        <f>Transformation[[#This Row],[crfomid]]&amp;Transformation[[#This Row],[Transaction from]]&amp;"("&amp;Transformation[[#This Row],[Multiplier]]&amp;") -&gt; "&amp;Transformation[[#This Row],[ctoid]]&amp;Transformation[[#This Row],[Transaction to]]</f>
        <v>EL015GC(-10) -&gt; ST015GC</v>
      </c>
      <c r="BT89" s="26" t="str">
        <f>_xlfn.XLOOKUP(Signswitch[[#This Row],[Commodity name]],Commodities[Commodity],Commodities[Commodity code])</f>
        <v>5232</v>
      </c>
      <c r="BU89" s="26" t="str">
        <f>_xlfn.XLOOKUP(Signswitch[[#This Row],[Transaction name]],Transactions[Transaction name],Transactions[Transaction code])</f>
        <v>1235</v>
      </c>
      <c r="BV89" s="26" t="str">
        <f>Signswitch[[#This Row],[Commodity from]]&amp;Signswitch[[#This Row],[Transaction from]]</f>
        <v>52321235</v>
      </c>
      <c r="BW89" s="22" t="s">
        <v>306</v>
      </c>
      <c r="BX89" s="26" t="str">
        <f>_xlfn.XLOOKUP(Signswitch[[#This Row],[Commodity from]],Commodities[Commodity code],Commodities[EnergyCode])</f>
        <v>ZJ</v>
      </c>
      <c r="BY89" s="22" t="s">
        <v>400</v>
      </c>
    </row>
    <row r="90" spans="8:77" x14ac:dyDescent="0.45">
      <c r="H90" s="9" t="s">
        <v>366</v>
      </c>
      <c r="I90" s="4" t="s">
        <v>421</v>
      </c>
      <c r="J90" s="9" t="s">
        <v>420</v>
      </c>
      <c r="K90" s="9"/>
      <c r="L90" s="23" t="str">
        <f>IFERROR(INDEX(Commodities[[Commodity code]:[Commodity]],MATCH(Commodities[[#This Row],[Parent code]],Commodities[Commodity code],0),2),Commodities[[#This Row],[Commodity]])</f>
        <v>Oil</v>
      </c>
      <c r="M90" s="24" t="str">
        <f>IFERROR(INDEX(Commodities[[Commodity code]:[Commodity]],MATCH(INDEX(Commodities[[Commodity]:[Parent code]],MATCH(Commodities[[#This Row],[L1N]],Commodities[Commodity],0),2),Commodities[Commodity code],0),2),Commodities[[#This Row],[L1N]])</f>
        <v>Oil</v>
      </c>
      <c r="N90" s="24" t="str">
        <f>IFERROR(INDEX(Commodities[[Commodity code]:[Commodity]],MATCH(INDEX(Commodities[[Commodity]:[Parent code]],MATCH(Commodities[[#This Row],[L2N]],Commodities[Commodity],0),2),Commodities[Commodity code],0),2),Commodities[[#This Row],[L2N]])</f>
        <v>Oil</v>
      </c>
      <c r="O90" s="24" t="str">
        <f>IFERROR(INDEX(Commodities[[Commodity code]:[Commodity]],MATCH(INDEX(Commodities[[Commodity]:[Parent code]],MATCH(Commodities[[#This Row],[L3N]],Commodities[Commodity],0),2),Commodities[Commodity code],0),2),Commodities[[#This Row],[L3N]])</f>
        <v>Oil</v>
      </c>
      <c r="P90" s="24" t="str">
        <f>IF(Commodities[[#This Row],[L4N]]=Commodities[[#This Row],[L3N]],Commodities[[#This Row],[L4N]],IF(Commodities[[#This Row],[L3N]]=Commodities[[#This Row],[L2N]],Commodities[[#This Row],[L3N]],IF(Commodities[[#This Row],[L2N]]=Commodities[[#This Row],[L1N]],Commodities[[#This Row],[L2N]],IF(Commodities[[#This Row],[L1N]]=Commodities[[#This Row],[Commodity]],Commodities[[#This Row],[L1N]],Commodities[[#This Row],[Commodity]]))))</f>
        <v>Oil</v>
      </c>
      <c r="Q90" s="24" t="str">
        <f>IF(Commodities[[#This Row],[Level 0]]=Commodities[[#This Row],[Commodity]],Commodities[[#This Row],[Commodity]],IF(Commodities[[#This Row],[Level 0]]=Commodities[[#This Row],[L1N]],Commodities[[#This Row],[Commodity]],IF(Commodities[[#This Row],[Level 0]]=Commodities[[#This Row],[L2N]],Commodities[[#This Row],[L1N]],IF(Commodities[[#This Row],[Level 0]]=Commodities[[#This Row],[L3N]],Commodities[[#This Row],[L2N]],IF(Commodities[[#This Row],[Level 0]]=Commodities[[#This Row],[L4N]],Commodities[[#This Row],[L3N]],Commodities[[#This Row],[L4N]])))))</f>
        <v>Oil products</v>
      </c>
      <c r="R90" s="24" t="str">
        <f>IF(Commodities[[#This Row],[Level 1]]=Commodities[[#This Row],[Commodity]],Commodities[[#This Row],[Commodity]],IF(Commodities[[#This Row],[Level 1]]=Commodities[[#This Row],[L1N]],Commodities[[#This Row],[Commodity]],IF(Commodities[[#This Row],[Level 1]]=Commodities[[#This Row],[L2N]],Commodities[[#This Row],[L1N]],IF(Commodities[[#This Row],[Level 1]]=Commodities[[#This Row],[L3N]],Commodities[[#This Row],[L2N]],IF(Commodities[[#This Row],[Level 1]]=Commodities[[#This Row],[L4N]],Commodities[[#This Row],[L3N]],Commodities[[#This Row],[L4N]])))))</f>
        <v>Oil products</v>
      </c>
      <c r="S90" s="24" t="str">
        <f>IF(Commodities[[#This Row],[Level 2]]=Commodities[[#This Row],[Commodity]],Commodities[[#This Row],[Commodity]],IF(Commodities[[#This Row],[Level 2]]=Commodities[[#This Row],[L1N]],Commodities[[#This Row],[Commodity]],IF(Commodities[[#This Row],[Level 2]]=Commodities[[#This Row],[L2N]],Commodities[[#This Row],[L1N]],IF(Commodities[[#This Row],[Level 2]]=Commodities[[#This Row],[L3N]],Commodities[[#This Row],[L2N]],IF(Commodities[[#This Row],[Level 2]]=Commodities[[#This Row],[L4N]],Commodities[[#This Row],[L3N]],Commodities[[#This Row],[L4N]])))))</f>
        <v>Oil products</v>
      </c>
      <c r="T90" s="24" t="str">
        <f>IF(Commodities[[#This Row],[Level 3]]=Commodities[[#This Row],[Commodity]],Commodities[[#This Row],[Commodity]],IF(Commodities[[#This Row],[Level 3]]=Commodities[[#This Row],[L1N]],Commodities[[#This Row],[Commodity]],IF(Commodities[[#This Row],[Level 3]]=Commodities[[#This Row],[L2N]],Commodities[[#This Row],[L1N]],IF(Commodities[[#This Row],[Level 3]]=Commodities[[#This Row],[L3N]],Commodities[[#This Row],[L2N]],IF(Commodities[[#This Row],[Level 3]]=Commodities[[#This Row],[L4N]],Commodities[[#This Row],[L3N]],Commodities[[#This Row],[L4N]])))))</f>
        <v>Oil products</v>
      </c>
      <c r="U90" s="24" t="str">
        <f>IF(Commodities[[#This Row],[Level 4]]=Commodities[[#This Row],[Commodity]],Commodities[[#This Row],[Commodity]],IF(Commodities[[#This Row],[Level 4]]=Commodities[[#This Row],[L1N]],Commodities[[#This Row],[Commodity]],IF(Commodities[[#This Row],[Level 4]]=Commodities[[#This Row],[L2N]],Commodities[[#This Row],[L1N]],IF(Commodities[[#This Row],[Level 4]]=Commodities[[#This Row],[L3N]],Commodities[[#This Row],[L2N]],IF(Commodities[[#This Row],[Level 4]]=Commodities[[#This Row],[L4N]],Commodities[[#This Row],[L3N]],Commodities[[#This Row],[L4N]])))))</f>
        <v>Oil products</v>
      </c>
      <c r="Y90" s="4" t="s">
        <v>431</v>
      </c>
      <c r="Z90" s="4" t="s">
        <v>876</v>
      </c>
      <c r="AA90" s="4" t="s">
        <v>876</v>
      </c>
      <c r="AB90" s="4" t="s">
        <v>410</v>
      </c>
      <c r="AC90" s="24" t="str">
        <f>IFERROR(VLOOKUP(Transactions[[#This Row],[Parent code]],Transactions[[Transaction code]:[Transaction name]],2,0),"")</f>
        <v>Transport (S)</v>
      </c>
      <c r="AD90" s="4" t="s">
        <v>630</v>
      </c>
      <c r="AF90" s="4" t="s">
        <v>642</v>
      </c>
      <c r="AG90" s="4" t="s">
        <v>385</v>
      </c>
      <c r="AK90" s="24" t="str" cm="1">
        <f t="array" ref="AK90">IFERROR(INDEX(Transactions[[Transaction code]:[Transaction name]],_xlfn.XMATCH(Transactions[[#This Row],[Parent code]],Transactions[Transaction name],0),3),Transactions[[#This Row],[Transaction name]])</f>
        <v>Road (S)</v>
      </c>
      <c r="AL90" s="24" t="str" cm="1">
        <f t="array" ref="AL90">IFERROR(INDEX(Transactions[[Transaction code]:[Transaction name]],_xlfn.XMATCH(INDEX(Transactions[[Transaction name]:[Parent code]],_xlfn.XMATCH(Transactions[[#This Row],[L1N]],Transactions[Transaction name],0),3),Transactions[Transaction code],0),2),Transactions[[#This Row],[L1N]])</f>
        <v>Transport (S)</v>
      </c>
      <c r="AM90" s="24" t="str" cm="1">
        <f t="array" ref="AM90">IFERROR(INDEX(Transactions[[Transaction code]:[Transaction name]],_xlfn.XMATCH(INDEX(Transactions[[Transaction name]:[Parent code]],_xlfn.XMATCH(Transactions[[#This Row],[L2N]],Transactions[Transaction name],0),3),Transactions[Transaction code],0),2),Transactions[[#This Row],[L2N]])</f>
        <v>Final Energy Consumption (S)</v>
      </c>
      <c r="AN90" s="24" t="str" cm="1">
        <f t="array" ref="AN90">IFERROR(INDEX(Transactions[[Transaction code]:[Transaction name]],_xlfn.XMATCH(INDEX(Transactions[[Transaction name]:[Parent code]],_xlfn.XMATCH(Transactions[[#This Row],[L3N]],Transactions[Transaction name],0),3),Transactions[Transaction code],0),2),Transactions[[#This Row],[L3N]])</f>
        <v>Final consumption (S)</v>
      </c>
      <c r="AO90" s="24" t="str" cm="1">
        <f t="array" ref="AO90">IFERROR(INDEX(Transactions[[Transaction code]:[Transaction name]],_xlfn.XMATCH(INDEX(Transactions[[Transaction name]:[Parent code]],_xlfn.XMATCH(Transactions[[#This Row],[L4N]],Transactions[Transaction name],0),3),Transactions[Transaction code],0),2),Transactions[[#This Row],[L4N]])</f>
        <v>Final consumption (S)</v>
      </c>
      <c r="AP90" s="24" t="str" cm="1">
        <f t="array" ref="AP90">IFERROR(INDEX(Transactions[[Transaction code]:[Transaction name]],_xlfn.XMATCH(INDEX(Transactions[[Transaction name]:[Parent code]],_xlfn.XMATCH(Transactions[[#This Row],[L5N]],Transactions[Transaction name],0),3),Transactions[Transaction code],0),2),Transactions[[#This Row],[L5N]])</f>
        <v>Final consumption (S)</v>
      </c>
      <c r="AQ90" s="24" t="str" cm="1">
        <f t="array" ref="AQ90">IFERROR(INDEX(Transactions[[Transaction code]:[Transaction name]],_xlfn.XMATCH(INDEX(Transactions[[Transaction name]:[Parent code]],_xlfn.XMATCH(Transactions[[#This Row],[L6N]],Transactions[Transaction name],0),3),Transactions[Transaction code],0),2),Transactions[[#This Row],[L6N]])</f>
        <v>Final consumption (S)</v>
      </c>
      <c r="AR90" s="27" t="str">
        <f>IF(Transactions[[#This Row],[L7N]]=Transactions[[#This Row],[L6N]],Transactions[[#This Row],[L7N]],IF(Transactions[[#This Row],[L6N]]=Transactions[[#This Row],[L5N]],Transactions[[#This Row],[L6N]],IF(Transactions[[#This Row],[L5N]]=Transactions[[#This Row],[L4N]],Transactions[[#This Row],[L5N]],IF(Transactions[[#This Row],[L4N]]=Transactions[[#This Row],[L3N]],Transactions[[#This Row],[L4N]],IF(Transactions[[#This Row],[L3N]]=Transactions[[#This Row],[L2N]],Transactions[[#This Row],[L3N]],IF(Transactions[[#This Row],[L2N]]=Transactions[[#This Row],[L1N]],Transactions[[#This Row],[L2N]],IF(Transactions[[#This Row],[L1N]]=Transactions[[#This Row],[Transaction name]],Transactions[[#This Row],[L1N]],Transactions[[#This Row],[Transaction name]])))))))</f>
        <v>Final consumption (S)</v>
      </c>
      <c r="AS90" s="24" t="str">
        <f>IF(Transactions[[#This Row],[Level 0]]=Transactions[[#This Row],[Transaction name]],Transactions[[#This Row],[Transaction name]],IF(Transactions[[#This Row],[Level 0]]=Transactions[[#This Row],[L1N]],Transactions[[#This Row],[Transaction name]],IF(Transactions[[#This Row],[Level 0]]=Transactions[[#This Row],[L2N]],Transactions[[#This Row],[L1N]],IF(Transactions[[#This Row],[Level 0]]=Transactions[[#This Row],[L3N]],Transactions[[#This Row],[L2N]],IF(Transactions[[#This Row],[Level 0]]=Transactions[[#This Row],[L4N]],Transactions[[#This Row],[L3N]],IF(Transactions[[#This Row],[Level 0]]=Transactions[[#This Row],[L5N]],Transactions[[#This Row],[L4N]],IF(Transactions[[#This Row],[Level 0]]=Transactions[[#This Row],[L6N]],Transactions[[#This Row],[L5N]],IF(Transactions[[#This Row],[Level 0]]=Transactions[[#This Row],[L7N]],Transactions[[#This Row],[L6N]],Transactions[[#This Row],[L7N]]))))))))</f>
        <v>Final Energy Consumption (S)</v>
      </c>
      <c r="AT90" s="24" t="str">
        <f>IF(Transactions[[#This Row],[Level 1]]=Transactions[[#This Row],[Transaction name]],Transactions[[#This Row],[Transaction name]],IF(Transactions[[#This Row],[Level 1]]=Transactions[[#This Row],[L1N]],Transactions[[#This Row],[Transaction name]],IF(Transactions[[#This Row],[Level 1]]=Transactions[[#This Row],[L2N]],Transactions[[#This Row],[L1N]],IF(Transactions[[#This Row],[Level 1]]=Transactions[[#This Row],[L3N]],Transactions[[#This Row],[L2N]],IF(Transactions[[#This Row],[Level 1]]=Transactions[[#This Row],[L4N]],Transactions[[#This Row],[L3N]],IF(Transactions[[#This Row],[Level 1]]=Transactions[[#This Row],[L5N]],Transactions[[#This Row],[L4N]],IF(Transactions[[#This Row],[Level 1]]=Transactions[[#This Row],[L6N]],Transactions[[#This Row],[L5N]],IF(Transactions[[#This Row],[Level 1]]=Transactions[[#This Row],[L7N]],Transactions[[#This Row],[L6N]],Transactions[[#This Row],[L7N]]))))))))</f>
        <v>Transport (S)</v>
      </c>
      <c r="AU90" s="24" t="str">
        <f>IF(Transactions[[#This Row],[Level 2]]=Transactions[[#This Row],[Transaction name]],Transactions[[#This Row],[Transaction name]],IF(Transactions[[#This Row],[Level 2]]=Transactions[[#This Row],[L1N]],Transactions[[#This Row],[Transaction name]],IF(Transactions[[#This Row],[Level 2]]=Transactions[[#This Row],[L2N]],Transactions[[#This Row],[L1N]],IF(Transactions[[#This Row],[Level 2]]=Transactions[[#This Row],[L3N]],Transactions[[#This Row],[L2N]],IF(Transactions[[#This Row],[Level 2]]=Transactions[[#This Row],[L4N]],Transactions[[#This Row],[L3N]],IF(Transactions[[#This Row],[Level 2]]=Transactions[[#This Row],[L5N]],Transactions[[#This Row],[L4N]],IF(Transactions[[#This Row],[Level 2]]=Transactions[[#This Row],[L6N]],Transactions[[#This Row],[L5N]],IF(Transactions[[#This Row],[Level 2]]=Transactions[[#This Row],[L7N]],Transactions[[#This Row],[L6N]],Transactions[[#This Row],[L7N]]))))))))</f>
        <v>Road (S)</v>
      </c>
      <c r="AV90" s="24" t="str">
        <f>IF(Transactions[[#This Row],[Level 3]]=Transactions[[#This Row],[Transaction name]],Transactions[[#This Row],[Transaction name]],IF(Transactions[[#This Row],[Level 3]]=Transactions[[#This Row],[L1N]],Transactions[[#This Row],[Transaction name]],IF(Transactions[[#This Row],[Level 3]]=Transactions[[#This Row],[L2N]],Transactions[[#This Row],[L1N]],IF(Transactions[[#This Row],[Level 3]]=Transactions[[#This Row],[L3N]],Transactions[[#This Row],[L2N]],IF(Transactions[[#This Row],[Level 3]]=Transactions[[#This Row],[L4N]],Transactions[[#This Row],[L3N]],IF(Transactions[[#This Row],[Level 3]]=Transactions[[#This Row],[L5N]],Transactions[[#This Row],[L4N]],IF(Transactions[[#This Row],[Level 3]]=Transactions[[#This Row],[L6N]],Transactions[[#This Row],[L5N]],IF(Transactions[[#This Row],[Level 3]]=Transactions[[#This Row],[L7N]],Transactions[[#This Row],[L6N]],Transactions[[#This Row],[L7N]]))))))))</f>
        <v>Road (S)</v>
      </c>
      <c r="AW90" s="24" t="str">
        <f>IF(Transactions[[#This Row],[Level 4]]=Transactions[[#This Row],[Transaction name]],Transactions[[#This Row],[Transaction name]],IF(Transactions[[#This Row],[Level 4]]=Transactions[[#This Row],[L1N]],Transactions[[#This Row],[Transaction name]],IF(Transactions[[#This Row],[Level 4]]=Transactions[[#This Row],[L2N]],Transactions[[#This Row],[L1N]],IF(Transactions[[#This Row],[Level 4]]=Transactions[[#This Row],[L3N]],Transactions[[#This Row],[L2N]],IF(Transactions[[#This Row],[Level 4]]=Transactions[[#This Row],[L4N]],Transactions[[#This Row],[L3N]],IF(Transactions[[#This Row],[Level 4]]=Transactions[[#This Row],[L5N]],Transactions[[#This Row],[L4N]],IF(Transactions[[#This Row],[Level 4]]=Transactions[[#This Row],[L6N]],Transactions[[#This Row],[L5N]],IF(Transactions[[#This Row],[Level 4]]=Transactions[[#This Row],[L7N]],Transactions[[#This Row],[L6N]],Transactions[[#This Row],[L7N]]))))))))</f>
        <v>Road (S)</v>
      </c>
      <c r="AX90" s="24" t="str">
        <f>IF(Transactions[[#This Row],[Level 5]]=Transactions[[#This Row],[Transaction name]],Transactions[[#This Row],[Transaction name]],IF(Transactions[[#This Row],[Level 5]]=Transactions[[#This Row],[L1N]],Transactions[[#This Row],[Transaction name]],IF(Transactions[[#This Row],[Level 5]]=Transactions[[#This Row],[L2N]],Transactions[[#This Row],[L1N]],IF(Transactions[[#This Row],[Level 5]]=Transactions[[#This Row],[L3N]],Transactions[[#This Row],[L2N]],IF(Transactions[[#This Row],[Level 5]]=Transactions[[#This Row],[L4N]],Transactions[[#This Row],[L3N]],IF(Transactions[[#This Row],[Level 5]]=Transactions[[#This Row],[L5N]],Transactions[[#This Row],[L4N]],IF(Transactions[[#This Row],[Level 5]]=Transactions[[#This Row],[L6N]],Transactions[[#This Row],[L5N]],IF(Transactions[[#This Row],[Level 5]]=Transactions[[#This Row],[L7N]],Transactions[[#This Row],[L6N]],Transactions[[#This Row],[L7N]]))))))))</f>
        <v>Road (S)</v>
      </c>
      <c r="AY90" s="24" t="str">
        <f>IF(Transactions[[#This Row],[Level 6]]=Transactions[[#This Row],[Transaction name]],Transactions[[#This Row],[Transaction name]],IF(Transactions[[#This Row],[Level 6]]=Transactions[[#This Row],[L1N]],Transactions[[#This Row],[Transaction name]],IF(Transactions[[#This Row],[Level 6]]=Transactions[[#This Row],[L2N]],Transactions[[#This Row],[L1N]],IF(Transactions[[#This Row],[Level 6]]=Transactions[[#This Row],[L3N]],Transactions[[#This Row],[L2N]],IF(Transactions[[#This Row],[Level 6]]=Transactions[[#This Row],[L4N]],Transactions[[#This Row],[L3N]],IF(Transactions[[#This Row],[Level 6]]=Transactions[[#This Row],[L5N]],Transactions[[#This Row],[L4N]],IF(Transactions[[#This Row],[Level 6]]=Transactions[[#This Row],[L6N]],Transactions[[#This Row],[L5N]],IF(Transactions[[#This Row],[Level 6]]=Transactions[[#This Row],[L7N]],Transactions[[#This Row],[L6N]],Transactions[[#This Row],[L7N]]))))))))</f>
        <v>Road (S)</v>
      </c>
      <c r="BE90" s="26" t="str">
        <f>_xlfn.XLOOKUP(Transformation[[#This Row],[cfrom]],Commodities[Commodity],Commodities[Commodity code])</f>
        <v>8000</v>
      </c>
      <c r="BF90" s="26" t="str">
        <f>_xlfn.XLOOKUP(Transformation[[#This Row],[tfrom]],Transactions[Transaction name],Transactions[Transaction code])</f>
        <v>015GC</v>
      </c>
      <c r="BG90" s="26" t="str">
        <f>_xlfn.XLOOKUP(Transformation[[#This Row],[cto]],Commodities[Commodity],Commodities[Commodity code])</f>
        <v>8000</v>
      </c>
      <c r="BH90" s="26" t="str">
        <f>_xlfn.XLOOKUP(Transformation[[#This Row],[tto]],Transactions[Transaction name],Transactions[Transaction code])</f>
        <v>01</v>
      </c>
      <c r="BI90" s="31">
        <v>2</v>
      </c>
      <c r="BJ90" s="22" t="s">
        <v>262</v>
      </c>
      <c r="BK90" s="26" t="str">
        <f>_xlfn.XLOOKUP(Transformation[[#This Row],[Commodity from]],Commodities[Commodity code],Commodities[EnergyCode])</f>
        <v>ST</v>
      </c>
      <c r="BL90" s="22" t="s">
        <v>649</v>
      </c>
      <c r="BM90" s="22" t="s">
        <v>262</v>
      </c>
      <c r="BN90" s="26" t="str">
        <f>_xlfn.XLOOKUP(Transformation[[#This Row],[Commodity to]],Commodities[Commodity code],Commodities[EnergyCode])</f>
        <v>ST</v>
      </c>
      <c r="BO90" s="22" t="s">
        <v>383</v>
      </c>
      <c r="BP90" s="22" t="s">
        <v>1670</v>
      </c>
      <c r="BQ90" s="33" t="str">
        <f>Transformation[[#This Row],[Commodity from]]&amp;Transformation[[#This Row],[Transaction from]]&amp;Transformation[[#This Row],[Commodity to]]&amp;Transformation[[#This Row],[Transaction to]]</f>
        <v>8000015GC800001</v>
      </c>
      <c r="BR90" s="26" t="str">
        <f>Transformation[[#This Row],[crfomid]]&amp;Transformation[[#This Row],[Transaction from]]&amp;"("&amp;Transformation[[#This Row],[Multiplier]]&amp;") -&gt; "&amp;Transformation[[#This Row],[ctoid]]&amp;Transformation[[#This Row],[Transaction to]]</f>
        <v>ST015GC(2) -&gt; ST01</v>
      </c>
      <c r="BT90" s="26" t="str">
        <f>_xlfn.XLOOKUP(Signswitch[[#This Row],[Commodity name]],Commodities[Commodity],Commodities[Commodity code])</f>
        <v>5222</v>
      </c>
      <c r="BU90" s="26" t="str">
        <f>_xlfn.XLOOKUP(Signswitch[[#This Row],[Transaction name]],Transactions[Transaction name],Transactions[Transaction code])</f>
        <v>1235</v>
      </c>
      <c r="BV90" s="26" t="str">
        <f>Signswitch[[#This Row],[Commodity from]]&amp;Signswitch[[#This Row],[Transaction from]]</f>
        <v>52221235</v>
      </c>
      <c r="BW90" s="22" t="s">
        <v>962</v>
      </c>
      <c r="BX90" s="26" t="str">
        <f>_xlfn.XLOOKUP(Signswitch[[#This Row],[Commodity from]],Commodities[Commodity code],Commodities[EnergyCode])</f>
        <v>ZD</v>
      </c>
      <c r="BY90" s="22" t="s">
        <v>400</v>
      </c>
    </row>
    <row r="91" spans="8:77" x14ac:dyDescent="0.45">
      <c r="H91" s="9" t="s">
        <v>389</v>
      </c>
      <c r="I91" s="4" t="s">
        <v>402</v>
      </c>
      <c r="J91" s="9" t="s">
        <v>366</v>
      </c>
      <c r="K91" s="9"/>
      <c r="L91" s="23" t="str">
        <f>IFERROR(INDEX(Commodities[[Commodity code]:[Commodity]],MATCH(Commodities[[#This Row],[Parent code]],Commodities[Commodity code],0),2),Commodities[[#This Row],[Commodity]])</f>
        <v>Oil products</v>
      </c>
      <c r="M91" s="24" t="str">
        <f>IFERROR(INDEX(Commodities[[Commodity code]:[Commodity]],MATCH(INDEX(Commodities[[Commodity]:[Parent code]],MATCH(Commodities[[#This Row],[L1N]],Commodities[Commodity],0),2),Commodities[Commodity code],0),2),Commodities[[#This Row],[L1N]])</f>
        <v>Oil</v>
      </c>
      <c r="N91" s="24" t="str">
        <f>IFERROR(INDEX(Commodities[[Commodity code]:[Commodity]],MATCH(INDEX(Commodities[[Commodity]:[Parent code]],MATCH(Commodities[[#This Row],[L2N]],Commodities[Commodity],0),2),Commodities[Commodity code],0),2),Commodities[[#This Row],[L2N]])</f>
        <v>Oil</v>
      </c>
      <c r="O91" s="24" t="str">
        <f>IFERROR(INDEX(Commodities[[Commodity code]:[Commodity]],MATCH(INDEX(Commodities[[Commodity]:[Parent code]],MATCH(Commodities[[#This Row],[L3N]],Commodities[Commodity],0),2),Commodities[Commodity code],0),2),Commodities[[#This Row],[L3N]])</f>
        <v>Oil</v>
      </c>
      <c r="P91" s="24" t="str">
        <f>IF(Commodities[[#This Row],[L4N]]=Commodities[[#This Row],[L3N]],Commodities[[#This Row],[L4N]],IF(Commodities[[#This Row],[L3N]]=Commodities[[#This Row],[L2N]],Commodities[[#This Row],[L3N]],IF(Commodities[[#This Row],[L2N]]=Commodities[[#This Row],[L1N]],Commodities[[#This Row],[L2N]],IF(Commodities[[#This Row],[L1N]]=Commodities[[#This Row],[Commodity]],Commodities[[#This Row],[L1N]],Commodities[[#This Row],[Commodity]]))))</f>
        <v>Oil</v>
      </c>
      <c r="Q91" s="24" t="str">
        <f>IF(Commodities[[#This Row],[Level 0]]=Commodities[[#This Row],[Commodity]],Commodities[[#This Row],[Commodity]],IF(Commodities[[#This Row],[Level 0]]=Commodities[[#This Row],[L1N]],Commodities[[#This Row],[Commodity]],IF(Commodities[[#This Row],[Level 0]]=Commodities[[#This Row],[L2N]],Commodities[[#This Row],[L1N]],IF(Commodities[[#This Row],[Level 0]]=Commodities[[#This Row],[L3N]],Commodities[[#This Row],[L2N]],IF(Commodities[[#This Row],[Level 0]]=Commodities[[#This Row],[L4N]],Commodities[[#This Row],[L3N]],Commodities[[#This Row],[L4N]])))))</f>
        <v>Oil products</v>
      </c>
      <c r="R91" s="24" t="str">
        <f>IF(Commodities[[#This Row],[Level 1]]=Commodities[[#This Row],[Commodity]],Commodities[[#This Row],[Commodity]],IF(Commodities[[#This Row],[Level 1]]=Commodities[[#This Row],[L1N]],Commodities[[#This Row],[Commodity]],IF(Commodities[[#This Row],[Level 1]]=Commodities[[#This Row],[L2N]],Commodities[[#This Row],[L1N]],IF(Commodities[[#This Row],[Level 1]]=Commodities[[#This Row],[L3N]],Commodities[[#This Row],[L2N]],IF(Commodities[[#This Row],[Level 1]]=Commodities[[#This Row],[L4N]],Commodities[[#This Row],[L3N]],Commodities[[#This Row],[L4N]])))))</f>
        <v>Gasolines</v>
      </c>
      <c r="S91" s="24" t="str">
        <f>IF(Commodities[[#This Row],[Level 2]]=Commodities[[#This Row],[Commodity]],Commodities[[#This Row],[Commodity]],IF(Commodities[[#This Row],[Level 2]]=Commodities[[#This Row],[L1N]],Commodities[[#This Row],[Commodity]],IF(Commodities[[#This Row],[Level 2]]=Commodities[[#This Row],[L2N]],Commodities[[#This Row],[L1N]],IF(Commodities[[#This Row],[Level 2]]=Commodities[[#This Row],[L3N]],Commodities[[#This Row],[L2N]],IF(Commodities[[#This Row],[Level 2]]=Commodities[[#This Row],[L4N]],Commodities[[#This Row],[L3N]],Commodities[[#This Row],[L4N]])))))</f>
        <v>Gasolines</v>
      </c>
      <c r="T91" s="24" t="str">
        <f>IF(Commodities[[#This Row],[Level 3]]=Commodities[[#This Row],[Commodity]],Commodities[[#This Row],[Commodity]],IF(Commodities[[#This Row],[Level 3]]=Commodities[[#This Row],[L1N]],Commodities[[#This Row],[Commodity]],IF(Commodities[[#This Row],[Level 3]]=Commodities[[#This Row],[L2N]],Commodities[[#This Row],[L1N]],IF(Commodities[[#This Row],[Level 3]]=Commodities[[#This Row],[L3N]],Commodities[[#This Row],[L2N]],IF(Commodities[[#This Row],[Level 3]]=Commodities[[#This Row],[L4N]],Commodities[[#This Row],[L3N]],Commodities[[#This Row],[L4N]])))))</f>
        <v>Gasolines</v>
      </c>
      <c r="U91" s="24" t="str">
        <f>IF(Commodities[[#This Row],[Level 4]]=Commodities[[#This Row],[Commodity]],Commodities[[#This Row],[Commodity]],IF(Commodities[[#This Row],[Level 4]]=Commodities[[#This Row],[L1N]],Commodities[[#This Row],[Commodity]],IF(Commodities[[#This Row],[Level 4]]=Commodities[[#This Row],[L2N]],Commodities[[#This Row],[L1N]],IF(Commodities[[#This Row],[Level 4]]=Commodities[[#This Row],[L3N]],Commodities[[#This Row],[L2N]],IF(Commodities[[#This Row],[Level 4]]=Commodities[[#This Row],[L4N]],Commodities[[#This Row],[L3N]],Commodities[[#This Row],[L4N]])))))</f>
        <v>Gasolines</v>
      </c>
      <c r="Y91" s="4" t="s">
        <v>410</v>
      </c>
      <c r="Z91" s="4" t="s">
        <v>883</v>
      </c>
      <c r="AA91" s="4" t="s">
        <v>883</v>
      </c>
      <c r="AB91" s="4" t="s">
        <v>407</v>
      </c>
      <c r="AC91" s="24" t="str">
        <f>IFERROR(VLOOKUP(Transactions[[#This Row],[Parent code]],Transactions[[Transaction code]:[Transaction name]],2,0),"")</f>
        <v>Final Energy Consumption (S)</v>
      </c>
      <c r="AD91" s="4" t="s">
        <v>630</v>
      </c>
      <c r="AF91" s="4" t="s">
        <v>642</v>
      </c>
      <c r="AG91" s="4" t="s">
        <v>385</v>
      </c>
      <c r="AK91" s="24" t="str" cm="1">
        <f t="array" ref="AK91">IFERROR(INDEX(Transactions[[Transaction code]:[Transaction name]],_xlfn.XMATCH(Transactions[[#This Row],[Parent code]],Transactions[Transaction name],0),3),Transactions[[#This Row],[Transaction name]])</f>
        <v>Transport (S)</v>
      </c>
      <c r="AL91" s="24" t="str" cm="1">
        <f t="array" ref="AL91">IFERROR(INDEX(Transactions[[Transaction code]:[Transaction name]],_xlfn.XMATCH(INDEX(Transactions[[Transaction name]:[Parent code]],_xlfn.XMATCH(Transactions[[#This Row],[L1N]],Transactions[Transaction name],0),3),Transactions[Transaction code],0),2),Transactions[[#This Row],[L1N]])</f>
        <v>Final Energy Consumption (S)</v>
      </c>
      <c r="AM91" s="24" t="str" cm="1">
        <f t="array" ref="AM91">IFERROR(INDEX(Transactions[[Transaction code]:[Transaction name]],_xlfn.XMATCH(INDEX(Transactions[[Transaction name]:[Parent code]],_xlfn.XMATCH(Transactions[[#This Row],[L2N]],Transactions[Transaction name],0),3),Transactions[Transaction code],0),2),Transactions[[#This Row],[L2N]])</f>
        <v>Final consumption (S)</v>
      </c>
      <c r="AN91" s="24" t="str" cm="1">
        <f t="array" ref="AN91">IFERROR(INDEX(Transactions[[Transaction code]:[Transaction name]],_xlfn.XMATCH(INDEX(Transactions[[Transaction name]:[Parent code]],_xlfn.XMATCH(Transactions[[#This Row],[L3N]],Transactions[Transaction name],0),3),Transactions[Transaction code],0),2),Transactions[[#This Row],[L3N]])</f>
        <v>Final consumption (S)</v>
      </c>
      <c r="AO91" s="24" t="str" cm="1">
        <f t="array" ref="AO91">IFERROR(INDEX(Transactions[[Transaction code]:[Transaction name]],_xlfn.XMATCH(INDEX(Transactions[[Transaction name]:[Parent code]],_xlfn.XMATCH(Transactions[[#This Row],[L4N]],Transactions[Transaction name],0),3),Transactions[Transaction code],0),2),Transactions[[#This Row],[L4N]])</f>
        <v>Final consumption (S)</v>
      </c>
      <c r="AP91" s="24" t="str" cm="1">
        <f t="array" ref="AP91">IFERROR(INDEX(Transactions[[Transaction code]:[Transaction name]],_xlfn.XMATCH(INDEX(Transactions[[Transaction name]:[Parent code]],_xlfn.XMATCH(Transactions[[#This Row],[L5N]],Transactions[Transaction name],0),3),Transactions[Transaction code],0),2),Transactions[[#This Row],[L5N]])</f>
        <v>Final consumption (S)</v>
      </c>
      <c r="AQ91" s="24" t="str" cm="1">
        <f t="array" ref="AQ91">IFERROR(INDEX(Transactions[[Transaction code]:[Transaction name]],_xlfn.XMATCH(INDEX(Transactions[[Transaction name]:[Parent code]],_xlfn.XMATCH(Transactions[[#This Row],[L6N]],Transactions[Transaction name],0),3),Transactions[Transaction code],0),2),Transactions[[#This Row],[L6N]])</f>
        <v>Final consumption (S)</v>
      </c>
      <c r="AR91" s="27" t="str">
        <f>IF(Transactions[[#This Row],[L7N]]=Transactions[[#This Row],[L6N]],Transactions[[#This Row],[L7N]],IF(Transactions[[#This Row],[L6N]]=Transactions[[#This Row],[L5N]],Transactions[[#This Row],[L6N]],IF(Transactions[[#This Row],[L5N]]=Transactions[[#This Row],[L4N]],Transactions[[#This Row],[L5N]],IF(Transactions[[#This Row],[L4N]]=Transactions[[#This Row],[L3N]],Transactions[[#This Row],[L4N]],IF(Transactions[[#This Row],[L3N]]=Transactions[[#This Row],[L2N]],Transactions[[#This Row],[L3N]],IF(Transactions[[#This Row],[L2N]]=Transactions[[#This Row],[L1N]],Transactions[[#This Row],[L2N]],IF(Transactions[[#This Row],[L1N]]=Transactions[[#This Row],[Transaction name]],Transactions[[#This Row],[L1N]],Transactions[[#This Row],[Transaction name]])))))))</f>
        <v>Final consumption (S)</v>
      </c>
      <c r="AS91" s="24" t="str">
        <f>IF(Transactions[[#This Row],[Level 0]]=Transactions[[#This Row],[Transaction name]],Transactions[[#This Row],[Transaction name]],IF(Transactions[[#This Row],[Level 0]]=Transactions[[#This Row],[L1N]],Transactions[[#This Row],[Transaction name]],IF(Transactions[[#This Row],[Level 0]]=Transactions[[#This Row],[L2N]],Transactions[[#This Row],[L1N]],IF(Transactions[[#This Row],[Level 0]]=Transactions[[#This Row],[L3N]],Transactions[[#This Row],[L2N]],IF(Transactions[[#This Row],[Level 0]]=Transactions[[#This Row],[L4N]],Transactions[[#This Row],[L3N]],IF(Transactions[[#This Row],[Level 0]]=Transactions[[#This Row],[L5N]],Transactions[[#This Row],[L4N]],IF(Transactions[[#This Row],[Level 0]]=Transactions[[#This Row],[L6N]],Transactions[[#This Row],[L5N]],IF(Transactions[[#This Row],[Level 0]]=Transactions[[#This Row],[L7N]],Transactions[[#This Row],[L6N]],Transactions[[#This Row],[L7N]]))))))))</f>
        <v>Final Energy Consumption (S)</v>
      </c>
      <c r="AT91" s="24" t="str">
        <f>IF(Transactions[[#This Row],[Level 1]]=Transactions[[#This Row],[Transaction name]],Transactions[[#This Row],[Transaction name]],IF(Transactions[[#This Row],[Level 1]]=Transactions[[#This Row],[L1N]],Transactions[[#This Row],[Transaction name]],IF(Transactions[[#This Row],[Level 1]]=Transactions[[#This Row],[L2N]],Transactions[[#This Row],[L1N]],IF(Transactions[[#This Row],[Level 1]]=Transactions[[#This Row],[L3N]],Transactions[[#This Row],[L2N]],IF(Transactions[[#This Row],[Level 1]]=Transactions[[#This Row],[L4N]],Transactions[[#This Row],[L3N]],IF(Transactions[[#This Row],[Level 1]]=Transactions[[#This Row],[L5N]],Transactions[[#This Row],[L4N]],IF(Transactions[[#This Row],[Level 1]]=Transactions[[#This Row],[L6N]],Transactions[[#This Row],[L5N]],IF(Transactions[[#This Row],[Level 1]]=Transactions[[#This Row],[L7N]],Transactions[[#This Row],[L6N]],Transactions[[#This Row],[L7N]]))))))))</f>
        <v>Transport (S)</v>
      </c>
      <c r="AU91" s="24" t="str">
        <f>IF(Transactions[[#This Row],[Level 2]]=Transactions[[#This Row],[Transaction name]],Transactions[[#This Row],[Transaction name]],IF(Transactions[[#This Row],[Level 2]]=Transactions[[#This Row],[L1N]],Transactions[[#This Row],[Transaction name]],IF(Transactions[[#This Row],[Level 2]]=Transactions[[#This Row],[L2N]],Transactions[[#This Row],[L1N]],IF(Transactions[[#This Row],[Level 2]]=Transactions[[#This Row],[L3N]],Transactions[[#This Row],[L2N]],IF(Transactions[[#This Row],[Level 2]]=Transactions[[#This Row],[L4N]],Transactions[[#This Row],[L3N]],IF(Transactions[[#This Row],[Level 2]]=Transactions[[#This Row],[L5N]],Transactions[[#This Row],[L4N]],IF(Transactions[[#This Row],[Level 2]]=Transactions[[#This Row],[L6N]],Transactions[[#This Row],[L5N]],IF(Transactions[[#This Row],[Level 2]]=Transactions[[#This Row],[L7N]],Transactions[[#This Row],[L6N]],Transactions[[#This Row],[L7N]]))))))))</f>
        <v>Transport (S)</v>
      </c>
      <c r="AV91" s="24" t="str">
        <f>IF(Transactions[[#This Row],[Level 3]]=Transactions[[#This Row],[Transaction name]],Transactions[[#This Row],[Transaction name]],IF(Transactions[[#This Row],[Level 3]]=Transactions[[#This Row],[L1N]],Transactions[[#This Row],[Transaction name]],IF(Transactions[[#This Row],[Level 3]]=Transactions[[#This Row],[L2N]],Transactions[[#This Row],[L1N]],IF(Transactions[[#This Row],[Level 3]]=Transactions[[#This Row],[L3N]],Transactions[[#This Row],[L2N]],IF(Transactions[[#This Row],[Level 3]]=Transactions[[#This Row],[L4N]],Transactions[[#This Row],[L3N]],IF(Transactions[[#This Row],[Level 3]]=Transactions[[#This Row],[L5N]],Transactions[[#This Row],[L4N]],IF(Transactions[[#This Row],[Level 3]]=Transactions[[#This Row],[L6N]],Transactions[[#This Row],[L5N]],IF(Transactions[[#This Row],[Level 3]]=Transactions[[#This Row],[L7N]],Transactions[[#This Row],[L6N]],Transactions[[#This Row],[L7N]]))))))))</f>
        <v>Transport (S)</v>
      </c>
      <c r="AW91" s="24" t="str">
        <f>IF(Transactions[[#This Row],[Level 4]]=Transactions[[#This Row],[Transaction name]],Transactions[[#This Row],[Transaction name]],IF(Transactions[[#This Row],[Level 4]]=Transactions[[#This Row],[L1N]],Transactions[[#This Row],[Transaction name]],IF(Transactions[[#This Row],[Level 4]]=Transactions[[#This Row],[L2N]],Transactions[[#This Row],[L1N]],IF(Transactions[[#This Row],[Level 4]]=Transactions[[#This Row],[L3N]],Transactions[[#This Row],[L2N]],IF(Transactions[[#This Row],[Level 4]]=Transactions[[#This Row],[L4N]],Transactions[[#This Row],[L3N]],IF(Transactions[[#This Row],[Level 4]]=Transactions[[#This Row],[L5N]],Transactions[[#This Row],[L4N]],IF(Transactions[[#This Row],[Level 4]]=Transactions[[#This Row],[L6N]],Transactions[[#This Row],[L5N]],IF(Transactions[[#This Row],[Level 4]]=Transactions[[#This Row],[L7N]],Transactions[[#This Row],[L6N]],Transactions[[#This Row],[L7N]]))))))))</f>
        <v>Transport (S)</v>
      </c>
      <c r="AX91" s="24" t="str">
        <f>IF(Transactions[[#This Row],[Level 5]]=Transactions[[#This Row],[Transaction name]],Transactions[[#This Row],[Transaction name]],IF(Transactions[[#This Row],[Level 5]]=Transactions[[#This Row],[L1N]],Transactions[[#This Row],[Transaction name]],IF(Transactions[[#This Row],[Level 5]]=Transactions[[#This Row],[L2N]],Transactions[[#This Row],[L1N]],IF(Transactions[[#This Row],[Level 5]]=Transactions[[#This Row],[L3N]],Transactions[[#This Row],[L2N]],IF(Transactions[[#This Row],[Level 5]]=Transactions[[#This Row],[L4N]],Transactions[[#This Row],[L3N]],IF(Transactions[[#This Row],[Level 5]]=Transactions[[#This Row],[L5N]],Transactions[[#This Row],[L4N]],IF(Transactions[[#This Row],[Level 5]]=Transactions[[#This Row],[L6N]],Transactions[[#This Row],[L5N]],IF(Transactions[[#This Row],[Level 5]]=Transactions[[#This Row],[L7N]],Transactions[[#This Row],[L6N]],Transactions[[#This Row],[L7N]]))))))))</f>
        <v>Transport (S)</v>
      </c>
      <c r="AY91" s="24" t="str">
        <f>IF(Transactions[[#This Row],[Level 6]]=Transactions[[#This Row],[Transaction name]],Transactions[[#This Row],[Transaction name]],IF(Transactions[[#This Row],[Level 6]]=Transactions[[#This Row],[L1N]],Transactions[[#This Row],[Transaction name]],IF(Transactions[[#This Row],[Level 6]]=Transactions[[#This Row],[L2N]],Transactions[[#This Row],[L1N]],IF(Transactions[[#This Row],[Level 6]]=Transactions[[#This Row],[L3N]],Transactions[[#This Row],[L2N]],IF(Transactions[[#This Row],[Level 6]]=Transactions[[#This Row],[L4N]],Transactions[[#This Row],[L3N]],IF(Transactions[[#This Row],[Level 6]]=Transactions[[#This Row],[L5N]],Transactions[[#This Row],[L4N]],IF(Transactions[[#This Row],[Level 6]]=Transactions[[#This Row],[L6N]],Transactions[[#This Row],[L5N]],IF(Transactions[[#This Row],[Level 6]]=Transactions[[#This Row],[L7N]],Transactions[[#This Row],[L6N]],Transactions[[#This Row],[L7N]]))))))))</f>
        <v>Transport (S)</v>
      </c>
      <c r="BE91" s="26" t="str">
        <f>_xlfn.XLOOKUP(Transformation[[#This Row],[cfrom]],Commodities[Commodity],Commodities[Commodity code])</f>
        <v>7000</v>
      </c>
      <c r="BF91" s="26" t="str">
        <f>_xlfn.XLOOKUP(Transformation[[#This Row],[tfrom]],Transactions[Transaction name],Transactions[Transaction code])</f>
        <v>015NC</v>
      </c>
      <c r="BG91" s="26" t="str">
        <f>_xlfn.XLOOKUP(Transformation[[#This Row],[cto]],Commodities[Commodity],Commodities[Commodity code])</f>
        <v>9101</v>
      </c>
      <c r="BH91" s="26" t="str">
        <f>_xlfn.XLOOKUP(Transformation[[#This Row],[tto]],Transactions[Transaction name],Transactions[Transaction code])</f>
        <v>015NC</v>
      </c>
      <c r="BI91" s="11">
        <v>-3</v>
      </c>
      <c r="BJ91" s="4" t="s">
        <v>544</v>
      </c>
      <c r="BK91" s="26" t="str">
        <f>_xlfn.XLOOKUP(Transformation[[#This Row],[Commodity from]],Commodities[Commodity code],Commodities[EnergyCode])</f>
        <v>EL</v>
      </c>
      <c r="BL91" s="22" t="s">
        <v>651</v>
      </c>
      <c r="BM91" s="22" t="s">
        <v>256</v>
      </c>
      <c r="BN91" s="26" t="str">
        <f>_xlfn.XLOOKUP(Transformation[[#This Row],[Commodity to]],Commodities[Commodity code],Commodities[EnergyCode])</f>
        <v>EN</v>
      </c>
      <c r="BO91" s="4" t="s">
        <v>651</v>
      </c>
      <c r="BP91" s="22" t="s">
        <v>1551</v>
      </c>
      <c r="BQ91" s="33" t="str">
        <f>Transformation[[#This Row],[Commodity from]]&amp;Transformation[[#This Row],[Transaction from]]&amp;Transformation[[#This Row],[Commodity to]]&amp;Transformation[[#This Row],[Transaction to]]</f>
        <v>7000015NC9101015NC</v>
      </c>
      <c r="BR91" s="26" t="str">
        <f>Transformation[[#This Row],[crfomid]]&amp;Transformation[[#This Row],[Transaction from]]&amp;"("&amp;Transformation[[#This Row],[Multiplier]]&amp;") -&gt; "&amp;Transformation[[#This Row],[ctoid]]&amp;Transformation[[#This Row],[Transaction to]]</f>
        <v>EL015NC(-3) -&gt; EN015NC</v>
      </c>
      <c r="BT91" s="26" t="str">
        <f>_xlfn.XLOOKUP(Signswitch[[#This Row],[Commodity name]],Commodities[Commodity],Commodities[Commodity code])</f>
        <v>5212</v>
      </c>
      <c r="BU91" s="26" t="str">
        <f>_xlfn.XLOOKUP(Signswitch[[#This Row],[Transaction name]],Transactions[Transaction name],Transactions[Transaction code])</f>
        <v>1235</v>
      </c>
      <c r="BV91" s="26" t="str">
        <f>Signswitch[[#This Row],[Commodity from]]&amp;Signswitch[[#This Row],[Transaction from]]</f>
        <v>52121235</v>
      </c>
      <c r="BW91" s="22" t="s">
        <v>317</v>
      </c>
      <c r="BX91" s="26" t="str">
        <f>_xlfn.XLOOKUP(Signswitch[[#This Row],[Commodity from]],Commodities[Commodity code],Commodities[EnergyCode])</f>
        <v>ZG</v>
      </c>
      <c r="BY91" s="22" t="s">
        <v>400</v>
      </c>
    </row>
    <row r="92" spans="8:77" x14ac:dyDescent="0.45">
      <c r="H92" s="9" t="s">
        <v>376</v>
      </c>
      <c r="I92" s="4" t="s">
        <v>384</v>
      </c>
      <c r="J92" s="9" t="s">
        <v>366</v>
      </c>
      <c r="K92" s="9"/>
      <c r="L92" s="23" t="str">
        <f>IFERROR(INDEX(Commodities[[Commodity code]:[Commodity]],MATCH(Commodities[[#This Row],[Parent code]],Commodities[Commodity code],0),2),Commodities[[#This Row],[Commodity]])</f>
        <v>Oil products</v>
      </c>
      <c r="M92" s="24" t="str">
        <f>IFERROR(INDEX(Commodities[[Commodity code]:[Commodity]],MATCH(INDEX(Commodities[[Commodity]:[Parent code]],MATCH(Commodities[[#This Row],[L1N]],Commodities[Commodity],0),2),Commodities[Commodity code],0),2),Commodities[[#This Row],[L1N]])</f>
        <v>Oil</v>
      </c>
      <c r="N92" s="24" t="str">
        <f>IFERROR(INDEX(Commodities[[Commodity code]:[Commodity]],MATCH(INDEX(Commodities[[Commodity]:[Parent code]],MATCH(Commodities[[#This Row],[L2N]],Commodities[Commodity],0),2),Commodities[Commodity code],0),2),Commodities[[#This Row],[L2N]])</f>
        <v>Oil</v>
      </c>
      <c r="O92" s="24" t="str">
        <f>IFERROR(INDEX(Commodities[[Commodity code]:[Commodity]],MATCH(INDEX(Commodities[[Commodity]:[Parent code]],MATCH(Commodities[[#This Row],[L3N]],Commodities[Commodity],0),2),Commodities[Commodity code],0),2),Commodities[[#This Row],[L3N]])</f>
        <v>Oil</v>
      </c>
      <c r="P92" s="24" t="str">
        <f>IF(Commodities[[#This Row],[L4N]]=Commodities[[#This Row],[L3N]],Commodities[[#This Row],[L4N]],IF(Commodities[[#This Row],[L3N]]=Commodities[[#This Row],[L2N]],Commodities[[#This Row],[L3N]],IF(Commodities[[#This Row],[L2N]]=Commodities[[#This Row],[L1N]],Commodities[[#This Row],[L2N]],IF(Commodities[[#This Row],[L1N]]=Commodities[[#This Row],[Commodity]],Commodities[[#This Row],[L1N]],Commodities[[#This Row],[Commodity]]))))</f>
        <v>Oil</v>
      </c>
      <c r="Q92" s="24" t="str">
        <f>IF(Commodities[[#This Row],[Level 0]]=Commodities[[#This Row],[Commodity]],Commodities[[#This Row],[Commodity]],IF(Commodities[[#This Row],[Level 0]]=Commodities[[#This Row],[L1N]],Commodities[[#This Row],[Commodity]],IF(Commodities[[#This Row],[Level 0]]=Commodities[[#This Row],[L2N]],Commodities[[#This Row],[L1N]],IF(Commodities[[#This Row],[Level 0]]=Commodities[[#This Row],[L3N]],Commodities[[#This Row],[L2N]],IF(Commodities[[#This Row],[Level 0]]=Commodities[[#This Row],[L4N]],Commodities[[#This Row],[L3N]],Commodities[[#This Row],[L4N]])))))</f>
        <v>Oil products</v>
      </c>
      <c r="R92" s="24" t="str">
        <f>IF(Commodities[[#This Row],[Level 1]]=Commodities[[#This Row],[Commodity]],Commodities[[#This Row],[Commodity]],IF(Commodities[[#This Row],[Level 1]]=Commodities[[#This Row],[L1N]],Commodities[[#This Row],[Commodity]],IF(Commodities[[#This Row],[Level 1]]=Commodities[[#This Row],[L2N]],Commodities[[#This Row],[L1N]],IF(Commodities[[#This Row],[Level 1]]=Commodities[[#This Row],[L3N]],Commodities[[#This Row],[L2N]],IF(Commodities[[#This Row],[Level 1]]=Commodities[[#This Row],[L4N]],Commodities[[#This Row],[L3N]],Commodities[[#This Row],[L4N]])))))</f>
        <v>Kerosenes</v>
      </c>
      <c r="S92" s="24" t="str">
        <f>IF(Commodities[[#This Row],[Level 2]]=Commodities[[#This Row],[Commodity]],Commodities[[#This Row],[Commodity]],IF(Commodities[[#This Row],[Level 2]]=Commodities[[#This Row],[L1N]],Commodities[[#This Row],[Commodity]],IF(Commodities[[#This Row],[Level 2]]=Commodities[[#This Row],[L2N]],Commodities[[#This Row],[L1N]],IF(Commodities[[#This Row],[Level 2]]=Commodities[[#This Row],[L3N]],Commodities[[#This Row],[L2N]],IF(Commodities[[#This Row],[Level 2]]=Commodities[[#This Row],[L4N]],Commodities[[#This Row],[L3N]],Commodities[[#This Row],[L4N]])))))</f>
        <v>Kerosenes</v>
      </c>
      <c r="T92" s="24" t="str">
        <f>IF(Commodities[[#This Row],[Level 3]]=Commodities[[#This Row],[Commodity]],Commodities[[#This Row],[Commodity]],IF(Commodities[[#This Row],[Level 3]]=Commodities[[#This Row],[L1N]],Commodities[[#This Row],[Commodity]],IF(Commodities[[#This Row],[Level 3]]=Commodities[[#This Row],[L2N]],Commodities[[#This Row],[L1N]],IF(Commodities[[#This Row],[Level 3]]=Commodities[[#This Row],[L3N]],Commodities[[#This Row],[L2N]],IF(Commodities[[#This Row],[Level 3]]=Commodities[[#This Row],[L4N]],Commodities[[#This Row],[L3N]],Commodities[[#This Row],[L4N]])))))</f>
        <v>Kerosenes</v>
      </c>
      <c r="U92" s="24" t="str">
        <f>IF(Commodities[[#This Row],[Level 4]]=Commodities[[#This Row],[Commodity]],Commodities[[#This Row],[Commodity]],IF(Commodities[[#This Row],[Level 4]]=Commodities[[#This Row],[L1N]],Commodities[[#This Row],[Commodity]],IF(Commodities[[#This Row],[Level 4]]=Commodities[[#This Row],[L2N]],Commodities[[#This Row],[L1N]],IF(Commodities[[#This Row],[Level 4]]=Commodities[[#This Row],[L3N]],Commodities[[#This Row],[L2N]],IF(Commodities[[#This Row],[Level 4]]=Commodities[[#This Row],[L4N]],Commodities[[#This Row],[L3N]],Commodities[[#This Row],[L4N]])))))</f>
        <v>Kerosenes</v>
      </c>
      <c r="Y92" s="4" t="s">
        <v>411</v>
      </c>
      <c r="Z92" s="4" t="s">
        <v>904</v>
      </c>
      <c r="AA92" s="4" t="s">
        <v>904</v>
      </c>
      <c r="AB92" s="4" t="s">
        <v>410</v>
      </c>
      <c r="AC92" s="24" t="str">
        <f>IFERROR(VLOOKUP(Transactions[[#This Row],[Parent code]],Transactions[[Transaction code]:[Transaction name]],2,0),"")</f>
        <v>Transport (S)</v>
      </c>
      <c r="AD92" s="4" t="s">
        <v>630</v>
      </c>
      <c r="AF92" s="4" t="s">
        <v>642</v>
      </c>
      <c r="AG92" s="4" t="s">
        <v>385</v>
      </c>
      <c r="AK92" s="24" t="str" cm="1">
        <f t="array" ref="AK92">IFERROR(INDEX(Transactions[[Transaction code]:[Transaction name]],_xlfn.XMATCH(Transactions[[#This Row],[Parent code]],Transactions[Transaction name],0),3),Transactions[[#This Row],[Transaction name]])</f>
        <v>Transport n.e.s. (S)</v>
      </c>
      <c r="AL92" s="24" t="str" cm="1">
        <f t="array" ref="AL92">IFERROR(INDEX(Transactions[[Transaction code]:[Transaction name]],_xlfn.XMATCH(INDEX(Transactions[[Transaction name]:[Parent code]],_xlfn.XMATCH(Transactions[[#This Row],[L1N]],Transactions[Transaction name],0),3),Transactions[Transaction code],0),2),Transactions[[#This Row],[L1N]])</f>
        <v>Transport (S)</v>
      </c>
      <c r="AM92" s="24" t="str" cm="1">
        <f t="array" ref="AM92">IFERROR(INDEX(Transactions[[Transaction code]:[Transaction name]],_xlfn.XMATCH(INDEX(Transactions[[Transaction name]:[Parent code]],_xlfn.XMATCH(Transactions[[#This Row],[L2N]],Transactions[Transaction name],0),3),Transactions[Transaction code],0),2),Transactions[[#This Row],[L2N]])</f>
        <v>Final Energy Consumption (S)</v>
      </c>
      <c r="AN92" s="24" t="str" cm="1">
        <f t="array" ref="AN92">IFERROR(INDEX(Transactions[[Transaction code]:[Transaction name]],_xlfn.XMATCH(INDEX(Transactions[[Transaction name]:[Parent code]],_xlfn.XMATCH(Transactions[[#This Row],[L3N]],Transactions[Transaction name],0),3),Transactions[Transaction code],0),2),Transactions[[#This Row],[L3N]])</f>
        <v>Final consumption (S)</v>
      </c>
      <c r="AO92" s="24" t="str" cm="1">
        <f t="array" ref="AO92">IFERROR(INDEX(Transactions[[Transaction code]:[Transaction name]],_xlfn.XMATCH(INDEX(Transactions[[Transaction name]:[Parent code]],_xlfn.XMATCH(Transactions[[#This Row],[L4N]],Transactions[Transaction name],0),3),Transactions[Transaction code],0),2),Transactions[[#This Row],[L4N]])</f>
        <v>Final consumption (S)</v>
      </c>
      <c r="AP92" s="24" t="str" cm="1">
        <f t="array" ref="AP92">IFERROR(INDEX(Transactions[[Transaction code]:[Transaction name]],_xlfn.XMATCH(INDEX(Transactions[[Transaction name]:[Parent code]],_xlfn.XMATCH(Transactions[[#This Row],[L5N]],Transactions[Transaction name],0),3),Transactions[Transaction code],0),2),Transactions[[#This Row],[L5N]])</f>
        <v>Final consumption (S)</v>
      </c>
      <c r="AQ92" s="24" t="str" cm="1">
        <f t="array" ref="AQ92">IFERROR(INDEX(Transactions[[Transaction code]:[Transaction name]],_xlfn.XMATCH(INDEX(Transactions[[Transaction name]:[Parent code]],_xlfn.XMATCH(Transactions[[#This Row],[L6N]],Transactions[Transaction name],0),3),Transactions[Transaction code],0),2),Transactions[[#This Row],[L6N]])</f>
        <v>Final consumption (S)</v>
      </c>
      <c r="AR92" s="27" t="str">
        <f>IF(Transactions[[#This Row],[L7N]]=Transactions[[#This Row],[L6N]],Transactions[[#This Row],[L7N]],IF(Transactions[[#This Row],[L6N]]=Transactions[[#This Row],[L5N]],Transactions[[#This Row],[L6N]],IF(Transactions[[#This Row],[L5N]]=Transactions[[#This Row],[L4N]],Transactions[[#This Row],[L5N]],IF(Transactions[[#This Row],[L4N]]=Transactions[[#This Row],[L3N]],Transactions[[#This Row],[L4N]],IF(Transactions[[#This Row],[L3N]]=Transactions[[#This Row],[L2N]],Transactions[[#This Row],[L3N]],IF(Transactions[[#This Row],[L2N]]=Transactions[[#This Row],[L1N]],Transactions[[#This Row],[L2N]],IF(Transactions[[#This Row],[L1N]]=Transactions[[#This Row],[Transaction name]],Transactions[[#This Row],[L1N]],Transactions[[#This Row],[Transaction name]])))))))</f>
        <v>Final consumption (S)</v>
      </c>
      <c r="AS92" s="24" t="str">
        <f>IF(Transactions[[#This Row],[Level 0]]=Transactions[[#This Row],[Transaction name]],Transactions[[#This Row],[Transaction name]],IF(Transactions[[#This Row],[Level 0]]=Transactions[[#This Row],[L1N]],Transactions[[#This Row],[Transaction name]],IF(Transactions[[#This Row],[Level 0]]=Transactions[[#This Row],[L2N]],Transactions[[#This Row],[L1N]],IF(Transactions[[#This Row],[Level 0]]=Transactions[[#This Row],[L3N]],Transactions[[#This Row],[L2N]],IF(Transactions[[#This Row],[Level 0]]=Transactions[[#This Row],[L4N]],Transactions[[#This Row],[L3N]],IF(Transactions[[#This Row],[Level 0]]=Transactions[[#This Row],[L5N]],Transactions[[#This Row],[L4N]],IF(Transactions[[#This Row],[Level 0]]=Transactions[[#This Row],[L6N]],Transactions[[#This Row],[L5N]],IF(Transactions[[#This Row],[Level 0]]=Transactions[[#This Row],[L7N]],Transactions[[#This Row],[L6N]],Transactions[[#This Row],[L7N]]))))))))</f>
        <v>Final Energy Consumption (S)</v>
      </c>
      <c r="AT92" s="24" t="str">
        <f>IF(Transactions[[#This Row],[Level 1]]=Transactions[[#This Row],[Transaction name]],Transactions[[#This Row],[Transaction name]],IF(Transactions[[#This Row],[Level 1]]=Transactions[[#This Row],[L1N]],Transactions[[#This Row],[Transaction name]],IF(Transactions[[#This Row],[Level 1]]=Transactions[[#This Row],[L2N]],Transactions[[#This Row],[L1N]],IF(Transactions[[#This Row],[Level 1]]=Transactions[[#This Row],[L3N]],Transactions[[#This Row],[L2N]],IF(Transactions[[#This Row],[Level 1]]=Transactions[[#This Row],[L4N]],Transactions[[#This Row],[L3N]],IF(Transactions[[#This Row],[Level 1]]=Transactions[[#This Row],[L5N]],Transactions[[#This Row],[L4N]],IF(Transactions[[#This Row],[Level 1]]=Transactions[[#This Row],[L6N]],Transactions[[#This Row],[L5N]],IF(Transactions[[#This Row],[Level 1]]=Transactions[[#This Row],[L7N]],Transactions[[#This Row],[L6N]],Transactions[[#This Row],[L7N]]))))))))</f>
        <v>Transport (S)</v>
      </c>
      <c r="AU92" s="24" t="str">
        <f>IF(Transactions[[#This Row],[Level 2]]=Transactions[[#This Row],[Transaction name]],Transactions[[#This Row],[Transaction name]],IF(Transactions[[#This Row],[Level 2]]=Transactions[[#This Row],[L1N]],Transactions[[#This Row],[Transaction name]],IF(Transactions[[#This Row],[Level 2]]=Transactions[[#This Row],[L2N]],Transactions[[#This Row],[L1N]],IF(Transactions[[#This Row],[Level 2]]=Transactions[[#This Row],[L3N]],Transactions[[#This Row],[L2N]],IF(Transactions[[#This Row],[Level 2]]=Transactions[[#This Row],[L4N]],Transactions[[#This Row],[L3N]],IF(Transactions[[#This Row],[Level 2]]=Transactions[[#This Row],[L5N]],Transactions[[#This Row],[L4N]],IF(Transactions[[#This Row],[Level 2]]=Transactions[[#This Row],[L6N]],Transactions[[#This Row],[L5N]],IF(Transactions[[#This Row],[Level 2]]=Transactions[[#This Row],[L7N]],Transactions[[#This Row],[L6N]],Transactions[[#This Row],[L7N]]))))))))</f>
        <v>Transport n.e.s. (S)</v>
      </c>
      <c r="AV92" s="24" t="str">
        <f>IF(Transactions[[#This Row],[Level 3]]=Transactions[[#This Row],[Transaction name]],Transactions[[#This Row],[Transaction name]],IF(Transactions[[#This Row],[Level 3]]=Transactions[[#This Row],[L1N]],Transactions[[#This Row],[Transaction name]],IF(Transactions[[#This Row],[Level 3]]=Transactions[[#This Row],[L2N]],Transactions[[#This Row],[L1N]],IF(Transactions[[#This Row],[Level 3]]=Transactions[[#This Row],[L3N]],Transactions[[#This Row],[L2N]],IF(Transactions[[#This Row],[Level 3]]=Transactions[[#This Row],[L4N]],Transactions[[#This Row],[L3N]],IF(Transactions[[#This Row],[Level 3]]=Transactions[[#This Row],[L5N]],Transactions[[#This Row],[L4N]],IF(Transactions[[#This Row],[Level 3]]=Transactions[[#This Row],[L6N]],Transactions[[#This Row],[L5N]],IF(Transactions[[#This Row],[Level 3]]=Transactions[[#This Row],[L7N]],Transactions[[#This Row],[L6N]],Transactions[[#This Row],[L7N]]))))))))</f>
        <v>Transport n.e.s. (S)</v>
      </c>
      <c r="AW92" s="24" t="str">
        <f>IF(Transactions[[#This Row],[Level 4]]=Transactions[[#This Row],[Transaction name]],Transactions[[#This Row],[Transaction name]],IF(Transactions[[#This Row],[Level 4]]=Transactions[[#This Row],[L1N]],Transactions[[#This Row],[Transaction name]],IF(Transactions[[#This Row],[Level 4]]=Transactions[[#This Row],[L2N]],Transactions[[#This Row],[L1N]],IF(Transactions[[#This Row],[Level 4]]=Transactions[[#This Row],[L3N]],Transactions[[#This Row],[L2N]],IF(Transactions[[#This Row],[Level 4]]=Transactions[[#This Row],[L4N]],Transactions[[#This Row],[L3N]],IF(Transactions[[#This Row],[Level 4]]=Transactions[[#This Row],[L5N]],Transactions[[#This Row],[L4N]],IF(Transactions[[#This Row],[Level 4]]=Transactions[[#This Row],[L6N]],Transactions[[#This Row],[L5N]],IF(Transactions[[#This Row],[Level 4]]=Transactions[[#This Row],[L7N]],Transactions[[#This Row],[L6N]],Transactions[[#This Row],[L7N]]))))))))</f>
        <v>Transport n.e.s. (S)</v>
      </c>
      <c r="AX92" s="24" t="str">
        <f>IF(Transactions[[#This Row],[Level 5]]=Transactions[[#This Row],[Transaction name]],Transactions[[#This Row],[Transaction name]],IF(Transactions[[#This Row],[Level 5]]=Transactions[[#This Row],[L1N]],Transactions[[#This Row],[Transaction name]],IF(Transactions[[#This Row],[Level 5]]=Transactions[[#This Row],[L2N]],Transactions[[#This Row],[L1N]],IF(Transactions[[#This Row],[Level 5]]=Transactions[[#This Row],[L3N]],Transactions[[#This Row],[L2N]],IF(Transactions[[#This Row],[Level 5]]=Transactions[[#This Row],[L4N]],Transactions[[#This Row],[L3N]],IF(Transactions[[#This Row],[Level 5]]=Transactions[[#This Row],[L5N]],Transactions[[#This Row],[L4N]],IF(Transactions[[#This Row],[Level 5]]=Transactions[[#This Row],[L6N]],Transactions[[#This Row],[L5N]],IF(Transactions[[#This Row],[Level 5]]=Transactions[[#This Row],[L7N]],Transactions[[#This Row],[L6N]],Transactions[[#This Row],[L7N]]))))))))</f>
        <v>Transport n.e.s. (S)</v>
      </c>
      <c r="AY92" s="24" t="str">
        <f>IF(Transactions[[#This Row],[Level 6]]=Transactions[[#This Row],[Transaction name]],Transactions[[#This Row],[Transaction name]],IF(Transactions[[#This Row],[Level 6]]=Transactions[[#This Row],[L1N]],Transactions[[#This Row],[Transaction name]],IF(Transactions[[#This Row],[Level 6]]=Transactions[[#This Row],[L2N]],Transactions[[#This Row],[L1N]],IF(Transactions[[#This Row],[Level 6]]=Transactions[[#This Row],[L3N]],Transactions[[#This Row],[L2N]],IF(Transactions[[#This Row],[Level 6]]=Transactions[[#This Row],[L4N]],Transactions[[#This Row],[L3N]],IF(Transactions[[#This Row],[Level 6]]=Transactions[[#This Row],[L5N]],Transactions[[#This Row],[L4N]],IF(Transactions[[#This Row],[Level 6]]=Transactions[[#This Row],[L6N]],Transactions[[#This Row],[L5N]],IF(Transactions[[#This Row],[Level 6]]=Transactions[[#This Row],[L7N]],Transactions[[#This Row],[L6N]],Transactions[[#This Row],[L7N]]))))))))</f>
        <v>Transport n.e.s. (S)</v>
      </c>
      <c r="BE92" s="26" t="str">
        <f>_xlfn.XLOOKUP(Transformation[[#This Row],[cfrom]],Commodities[Commodity],Commodities[Commodity code])</f>
        <v>8000</v>
      </c>
      <c r="BF92" s="26" t="str">
        <f>_xlfn.XLOOKUP(Transformation[[#This Row],[tfrom]],Transactions[Transaction name],Transactions[Transaction code])</f>
        <v>015NC</v>
      </c>
      <c r="BG92" s="26" t="str">
        <f>_xlfn.XLOOKUP(Transformation[[#This Row],[cto]],Commodities[Commodity],Commodities[Commodity code])</f>
        <v>9101</v>
      </c>
      <c r="BH92" s="26" t="str">
        <f>_xlfn.XLOOKUP(Transformation[[#This Row],[tto]],Transactions[Transaction name],Transactions[Transaction code])</f>
        <v>015NC</v>
      </c>
      <c r="BI92" s="11">
        <v>-1</v>
      </c>
      <c r="BJ92" s="4" t="s">
        <v>262</v>
      </c>
      <c r="BK92" s="24" t="str">
        <f>_xlfn.XLOOKUP(Transformation[[#This Row],[Commodity from]],Commodities[Commodity code],Commodities[EnergyCode])</f>
        <v>ST</v>
      </c>
      <c r="BL92" s="4" t="s">
        <v>651</v>
      </c>
      <c r="BM92" s="4" t="s">
        <v>256</v>
      </c>
      <c r="BN92" s="24" t="str">
        <f>_xlfn.XLOOKUP(Transformation[[#This Row],[Commodity to]],Commodities[Commodity code],Commodities[EnergyCode])</f>
        <v>EN</v>
      </c>
      <c r="BO92" s="4" t="s">
        <v>651</v>
      </c>
      <c r="BP92" s="16" t="s">
        <v>1493</v>
      </c>
      <c r="BQ92" s="33" t="str">
        <f>Transformation[[#This Row],[Commodity from]]&amp;Transformation[[#This Row],[Transaction from]]&amp;Transformation[[#This Row],[Commodity to]]&amp;Transformation[[#This Row],[Transaction to]]</f>
        <v>8000015NC9101015NC</v>
      </c>
      <c r="BR92" s="26" t="str">
        <f>Transformation[[#This Row],[crfomid]]&amp;Transformation[[#This Row],[Transaction from]]&amp;"("&amp;Transformation[[#This Row],[Multiplier]]&amp;") -&gt; "&amp;Transformation[[#This Row],[ctoid]]&amp;Transformation[[#This Row],[Transaction to]]</f>
        <v>ST015NC(-1) -&gt; EN015NC</v>
      </c>
      <c r="BT92" s="26" t="str">
        <f>_xlfn.XLOOKUP(Signswitch[[#This Row],[Commodity name]],Commodities[Commodity],Commodities[Commodity code])</f>
        <v>5232</v>
      </c>
      <c r="BU92" s="26" t="str">
        <f>_xlfn.XLOOKUP(Signswitch[[#This Row],[Transaction name]],Transactions[Transaction name],Transactions[Transaction code])</f>
        <v>1231</v>
      </c>
      <c r="BV92" s="26" t="str">
        <f>Signswitch[[#This Row],[Commodity from]]&amp;Signswitch[[#This Row],[Transaction from]]</f>
        <v>52321231</v>
      </c>
      <c r="BW92" s="22" t="s">
        <v>306</v>
      </c>
      <c r="BX92" s="26" t="str">
        <f>_xlfn.XLOOKUP(Signswitch[[#This Row],[Commodity from]],Commodities[Commodity code],Commodities[EnergyCode])</f>
        <v>ZJ</v>
      </c>
      <c r="BY92" s="22" t="s">
        <v>396</v>
      </c>
    </row>
    <row r="93" spans="8:77" x14ac:dyDescent="0.45">
      <c r="H93" s="9" t="s">
        <v>297</v>
      </c>
      <c r="I93" s="4" t="s">
        <v>345</v>
      </c>
      <c r="J93" s="9"/>
      <c r="K93" s="9"/>
      <c r="L93" s="23" t="str">
        <f>IFERROR(INDEX(Commodities[[Commodity code]:[Commodity]],MATCH(Commodities[[#This Row],[Parent code]],Commodities[Commodity code],0),2),Commodities[[#This Row],[Commodity]])</f>
        <v>Biofuels</v>
      </c>
      <c r="M93" s="24" t="str">
        <f>IFERROR(INDEX(Commodities[[Commodity code]:[Commodity]],MATCH(INDEX(Commodities[[Commodity]:[Parent code]],MATCH(Commodities[[#This Row],[L1N]],Commodities[Commodity],0),2),Commodities[Commodity code],0),2),Commodities[[#This Row],[L1N]])</f>
        <v>Biofuels</v>
      </c>
      <c r="N93" s="24" t="str">
        <f>IFERROR(INDEX(Commodities[[Commodity code]:[Commodity]],MATCH(INDEX(Commodities[[Commodity]:[Parent code]],MATCH(Commodities[[#This Row],[L2N]],Commodities[Commodity],0),2),Commodities[Commodity code],0),2),Commodities[[#This Row],[L2N]])</f>
        <v>Biofuels</v>
      </c>
      <c r="O93" s="24" t="str">
        <f>IFERROR(INDEX(Commodities[[Commodity code]:[Commodity]],MATCH(INDEX(Commodities[[Commodity]:[Parent code]],MATCH(Commodities[[#This Row],[L3N]],Commodities[Commodity],0),2),Commodities[Commodity code],0),2),Commodities[[#This Row],[L3N]])</f>
        <v>Biofuels</v>
      </c>
      <c r="P93" s="24" t="str">
        <f>IF(Commodities[[#This Row],[L4N]]=Commodities[[#This Row],[L3N]],Commodities[[#This Row],[L4N]],IF(Commodities[[#This Row],[L3N]]=Commodities[[#This Row],[L2N]],Commodities[[#This Row],[L3N]],IF(Commodities[[#This Row],[L2N]]=Commodities[[#This Row],[L1N]],Commodities[[#This Row],[L2N]],IF(Commodities[[#This Row],[L1N]]=Commodities[[#This Row],[Commodity]],Commodities[[#This Row],[L1N]],Commodities[[#This Row],[Commodity]]))))</f>
        <v>Biofuels</v>
      </c>
      <c r="Q93" s="24" t="str">
        <f>IF(Commodities[[#This Row],[Level 0]]=Commodities[[#This Row],[Commodity]],Commodities[[#This Row],[Commodity]],IF(Commodities[[#This Row],[Level 0]]=Commodities[[#This Row],[L1N]],Commodities[[#This Row],[Commodity]],IF(Commodities[[#This Row],[Level 0]]=Commodities[[#This Row],[L2N]],Commodities[[#This Row],[L1N]],IF(Commodities[[#This Row],[Level 0]]=Commodities[[#This Row],[L3N]],Commodities[[#This Row],[L2N]],IF(Commodities[[#This Row],[Level 0]]=Commodities[[#This Row],[L4N]],Commodities[[#This Row],[L3N]],Commodities[[#This Row],[L4N]])))))</f>
        <v>Biofuels</v>
      </c>
      <c r="R93" s="24" t="str">
        <f>IF(Commodities[[#This Row],[Level 1]]=Commodities[[#This Row],[Commodity]],Commodities[[#This Row],[Commodity]],IF(Commodities[[#This Row],[Level 1]]=Commodities[[#This Row],[L1N]],Commodities[[#This Row],[Commodity]],IF(Commodities[[#This Row],[Level 1]]=Commodities[[#This Row],[L2N]],Commodities[[#This Row],[L1N]],IF(Commodities[[#This Row],[Level 1]]=Commodities[[#This Row],[L3N]],Commodities[[#This Row],[L2N]],IF(Commodities[[#This Row],[Level 1]]=Commodities[[#This Row],[L4N]],Commodities[[#This Row],[L3N]],Commodities[[#This Row],[L4N]])))))</f>
        <v>Biofuels</v>
      </c>
      <c r="S93" s="24" t="str">
        <f>IF(Commodities[[#This Row],[Level 2]]=Commodities[[#This Row],[Commodity]],Commodities[[#This Row],[Commodity]],IF(Commodities[[#This Row],[Level 2]]=Commodities[[#This Row],[L1N]],Commodities[[#This Row],[Commodity]],IF(Commodities[[#This Row],[Level 2]]=Commodities[[#This Row],[L2N]],Commodities[[#This Row],[L1N]],IF(Commodities[[#This Row],[Level 2]]=Commodities[[#This Row],[L3N]],Commodities[[#This Row],[L2N]],IF(Commodities[[#This Row],[Level 2]]=Commodities[[#This Row],[L4N]],Commodities[[#This Row],[L3N]],Commodities[[#This Row],[L4N]])))))</f>
        <v>Biofuels</v>
      </c>
      <c r="T93" s="24" t="str">
        <f>IF(Commodities[[#This Row],[Level 3]]=Commodities[[#This Row],[Commodity]],Commodities[[#This Row],[Commodity]],IF(Commodities[[#This Row],[Level 3]]=Commodities[[#This Row],[L1N]],Commodities[[#This Row],[Commodity]],IF(Commodities[[#This Row],[Level 3]]=Commodities[[#This Row],[L2N]],Commodities[[#This Row],[L1N]],IF(Commodities[[#This Row],[Level 3]]=Commodities[[#This Row],[L3N]],Commodities[[#This Row],[L2N]],IF(Commodities[[#This Row],[Level 3]]=Commodities[[#This Row],[L4N]],Commodities[[#This Row],[L3N]],Commodities[[#This Row],[L4N]])))))</f>
        <v>Biofuels</v>
      </c>
      <c r="U93" s="24" t="str">
        <f>IF(Commodities[[#This Row],[Level 4]]=Commodities[[#This Row],[Commodity]],Commodities[[#This Row],[Commodity]],IF(Commodities[[#This Row],[Level 4]]=Commodities[[#This Row],[L1N]],Commodities[[#This Row],[Commodity]],IF(Commodities[[#This Row],[Level 4]]=Commodities[[#This Row],[L2N]],Commodities[[#This Row],[L1N]],IF(Commodities[[#This Row],[Level 4]]=Commodities[[#This Row],[L3N]],Commodities[[#This Row],[L2N]],IF(Commodities[[#This Row],[Level 4]]=Commodities[[#This Row],[L4N]],Commodities[[#This Row],[L3N]],Commodities[[#This Row],[L4N]])))))</f>
        <v>Biofuels</v>
      </c>
      <c r="Y93" s="4" t="s">
        <v>388</v>
      </c>
      <c r="Z93" s="4" t="s">
        <v>865</v>
      </c>
      <c r="AA93" s="4" t="s">
        <v>865</v>
      </c>
      <c r="AB93" s="4" t="s">
        <v>386</v>
      </c>
      <c r="AC93" s="24" t="str">
        <f>IFERROR(VLOOKUP(Transactions[[#This Row],[Parent code]],Transactions[[Transaction code]:[Transaction name]],2,0),"")</f>
        <v>Final consumption (S)</v>
      </c>
      <c r="AD93" s="4" t="s">
        <v>630</v>
      </c>
      <c r="AF93" s="4" t="s">
        <v>642</v>
      </c>
      <c r="AG93" s="4" t="s">
        <v>385</v>
      </c>
      <c r="AK93" s="24" t="str" cm="1">
        <f t="array" ref="AK93">IFERROR(INDEX(Transactions[[Transaction code]:[Transaction name]],_xlfn.XMATCH(Transactions[[#This Row],[Parent code]],Transactions[Transaction name],0),3),Transactions[[#This Row],[Transaction name]])</f>
        <v>Non-energy use (S)</v>
      </c>
      <c r="AL93" s="24" t="str" cm="1">
        <f t="array" ref="AL93">IFERROR(INDEX(Transactions[[Transaction code]:[Transaction name]],_xlfn.XMATCH(INDEX(Transactions[[Transaction name]:[Parent code]],_xlfn.XMATCH(Transactions[[#This Row],[L1N]],Transactions[Transaction name],0),3),Transactions[Transaction code],0),2),Transactions[[#This Row],[L1N]])</f>
        <v>Final consumption (S)</v>
      </c>
      <c r="AM93" s="24" t="str" cm="1">
        <f t="array" ref="AM93">IFERROR(INDEX(Transactions[[Transaction code]:[Transaction name]],_xlfn.XMATCH(INDEX(Transactions[[Transaction name]:[Parent code]],_xlfn.XMATCH(Transactions[[#This Row],[L2N]],Transactions[Transaction name],0),3),Transactions[Transaction code],0),2),Transactions[[#This Row],[L2N]])</f>
        <v>Final consumption (S)</v>
      </c>
      <c r="AN93" s="24" t="str" cm="1">
        <f t="array" ref="AN93">IFERROR(INDEX(Transactions[[Transaction code]:[Transaction name]],_xlfn.XMATCH(INDEX(Transactions[[Transaction name]:[Parent code]],_xlfn.XMATCH(Transactions[[#This Row],[L3N]],Transactions[Transaction name],0),3),Transactions[Transaction code],0),2),Transactions[[#This Row],[L3N]])</f>
        <v>Final consumption (S)</v>
      </c>
      <c r="AO93" s="24" t="str" cm="1">
        <f t="array" ref="AO93">IFERROR(INDEX(Transactions[[Transaction code]:[Transaction name]],_xlfn.XMATCH(INDEX(Transactions[[Transaction name]:[Parent code]],_xlfn.XMATCH(Transactions[[#This Row],[L4N]],Transactions[Transaction name],0),3),Transactions[Transaction code],0),2),Transactions[[#This Row],[L4N]])</f>
        <v>Final consumption (S)</v>
      </c>
      <c r="AP93" s="24" t="str" cm="1">
        <f t="array" ref="AP93">IFERROR(INDEX(Transactions[[Transaction code]:[Transaction name]],_xlfn.XMATCH(INDEX(Transactions[[Transaction name]:[Parent code]],_xlfn.XMATCH(Transactions[[#This Row],[L5N]],Transactions[Transaction name],0),3),Transactions[Transaction code],0),2),Transactions[[#This Row],[L5N]])</f>
        <v>Final consumption (S)</v>
      </c>
      <c r="AQ93" s="24" t="str" cm="1">
        <f t="array" ref="AQ93">IFERROR(INDEX(Transactions[[Transaction code]:[Transaction name]],_xlfn.XMATCH(INDEX(Transactions[[Transaction name]:[Parent code]],_xlfn.XMATCH(Transactions[[#This Row],[L6N]],Transactions[Transaction name],0),3),Transactions[Transaction code],0),2),Transactions[[#This Row],[L6N]])</f>
        <v>Final consumption (S)</v>
      </c>
      <c r="AR93" s="27" t="str">
        <f>IF(Transactions[[#This Row],[L7N]]=Transactions[[#This Row],[L6N]],Transactions[[#This Row],[L7N]],IF(Transactions[[#This Row],[L6N]]=Transactions[[#This Row],[L5N]],Transactions[[#This Row],[L6N]],IF(Transactions[[#This Row],[L5N]]=Transactions[[#This Row],[L4N]],Transactions[[#This Row],[L5N]],IF(Transactions[[#This Row],[L4N]]=Transactions[[#This Row],[L3N]],Transactions[[#This Row],[L4N]],IF(Transactions[[#This Row],[L3N]]=Transactions[[#This Row],[L2N]],Transactions[[#This Row],[L3N]],IF(Transactions[[#This Row],[L2N]]=Transactions[[#This Row],[L1N]],Transactions[[#This Row],[L2N]],IF(Transactions[[#This Row],[L1N]]=Transactions[[#This Row],[Transaction name]],Transactions[[#This Row],[L1N]],Transactions[[#This Row],[Transaction name]])))))))</f>
        <v>Final consumption (S)</v>
      </c>
      <c r="AS93" s="24" t="str">
        <f>IF(Transactions[[#This Row],[Level 0]]=Transactions[[#This Row],[Transaction name]],Transactions[[#This Row],[Transaction name]],IF(Transactions[[#This Row],[Level 0]]=Transactions[[#This Row],[L1N]],Transactions[[#This Row],[Transaction name]],IF(Transactions[[#This Row],[Level 0]]=Transactions[[#This Row],[L2N]],Transactions[[#This Row],[L1N]],IF(Transactions[[#This Row],[Level 0]]=Transactions[[#This Row],[L3N]],Transactions[[#This Row],[L2N]],IF(Transactions[[#This Row],[Level 0]]=Transactions[[#This Row],[L4N]],Transactions[[#This Row],[L3N]],IF(Transactions[[#This Row],[Level 0]]=Transactions[[#This Row],[L5N]],Transactions[[#This Row],[L4N]],IF(Transactions[[#This Row],[Level 0]]=Transactions[[#This Row],[L6N]],Transactions[[#This Row],[L5N]],IF(Transactions[[#This Row],[Level 0]]=Transactions[[#This Row],[L7N]],Transactions[[#This Row],[L6N]],Transactions[[#This Row],[L7N]]))))))))</f>
        <v>Non-energy use (S)</v>
      </c>
      <c r="AT93" s="24" t="str">
        <f>IF(Transactions[[#This Row],[Level 1]]=Transactions[[#This Row],[Transaction name]],Transactions[[#This Row],[Transaction name]],IF(Transactions[[#This Row],[Level 1]]=Transactions[[#This Row],[L1N]],Transactions[[#This Row],[Transaction name]],IF(Transactions[[#This Row],[Level 1]]=Transactions[[#This Row],[L2N]],Transactions[[#This Row],[L1N]],IF(Transactions[[#This Row],[Level 1]]=Transactions[[#This Row],[L3N]],Transactions[[#This Row],[L2N]],IF(Transactions[[#This Row],[Level 1]]=Transactions[[#This Row],[L4N]],Transactions[[#This Row],[L3N]],IF(Transactions[[#This Row],[Level 1]]=Transactions[[#This Row],[L5N]],Transactions[[#This Row],[L4N]],IF(Transactions[[#This Row],[Level 1]]=Transactions[[#This Row],[L6N]],Transactions[[#This Row],[L5N]],IF(Transactions[[#This Row],[Level 1]]=Transactions[[#This Row],[L7N]],Transactions[[#This Row],[L6N]],Transactions[[#This Row],[L7N]]))))))))</f>
        <v>Non-energy use (S)</v>
      </c>
      <c r="AU93" s="24" t="str">
        <f>IF(Transactions[[#This Row],[Level 2]]=Transactions[[#This Row],[Transaction name]],Transactions[[#This Row],[Transaction name]],IF(Transactions[[#This Row],[Level 2]]=Transactions[[#This Row],[L1N]],Transactions[[#This Row],[Transaction name]],IF(Transactions[[#This Row],[Level 2]]=Transactions[[#This Row],[L2N]],Transactions[[#This Row],[L1N]],IF(Transactions[[#This Row],[Level 2]]=Transactions[[#This Row],[L3N]],Transactions[[#This Row],[L2N]],IF(Transactions[[#This Row],[Level 2]]=Transactions[[#This Row],[L4N]],Transactions[[#This Row],[L3N]],IF(Transactions[[#This Row],[Level 2]]=Transactions[[#This Row],[L5N]],Transactions[[#This Row],[L4N]],IF(Transactions[[#This Row],[Level 2]]=Transactions[[#This Row],[L6N]],Transactions[[#This Row],[L5N]],IF(Transactions[[#This Row],[Level 2]]=Transactions[[#This Row],[L7N]],Transactions[[#This Row],[L6N]],Transactions[[#This Row],[L7N]]))))))))</f>
        <v>Non-energy use (S)</v>
      </c>
      <c r="AV93" s="24" t="str">
        <f>IF(Transactions[[#This Row],[Level 3]]=Transactions[[#This Row],[Transaction name]],Transactions[[#This Row],[Transaction name]],IF(Transactions[[#This Row],[Level 3]]=Transactions[[#This Row],[L1N]],Transactions[[#This Row],[Transaction name]],IF(Transactions[[#This Row],[Level 3]]=Transactions[[#This Row],[L2N]],Transactions[[#This Row],[L1N]],IF(Transactions[[#This Row],[Level 3]]=Transactions[[#This Row],[L3N]],Transactions[[#This Row],[L2N]],IF(Transactions[[#This Row],[Level 3]]=Transactions[[#This Row],[L4N]],Transactions[[#This Row],[L3N]],IF(Transactions[[#This Row],[Level 3]]=Transactions[[#This Row],[L5N]],Transactions[[#This Row],[L4N]],IF(Transactions[[#This Row],[Level 3]]=Transactions[[#This Row],[L6N]],Transactions[[#This Row],[L5N]],IF(Transactions[[#This Row],[Level 3]]=Transactions[[#This Row],[L7N]],Transactions[[#This Row],[L6N]],Transactions[[#This Row],[L7N]]))))))))</f>
        <v>Non-energy use (S)</v>
      </c>
      <c r="AW93" s="24" t="str">
        <f>IF(Transactions[[#This Row],[Level 4]]=Transactions[[#This Row],[Transaction name]],Transactions[[#This Row],[Transaction name]],IF(Transactions[[#This Row],[Level 4]]=Transactions[[#This Row],[L1N]],Transactions[[#This Row],[Transaction name]],IF(Transactions[[#This Row],[Level 4]]=Transactions[[#This Row],[L2N]],Transactions[[#This Row],[L1N]],IF(Transactions[[#This Row],[Level 4]]=Transactions[[#This Row],[L3N]],Transactions[[#This Row],[L2N]],IF(Transactions[[#This Row],[Level 4]]=Transactions[[#This Row],[L4N]],Transactions[[#This Row],[L3N]],IF(Transactions[[#This Row],[Level 4]]=Transactions[[#This Row],[L5N]],Transactions[[#This Row],[L4N]],IF(Transactions[[#This Row],[Level 4]]=Transactions[[#This Row],[L6N]],Transactions[[#This Row],[L5N]],IF(Transactions[[#This Row],[Level 4]]=Transactions[[#This Row],[L7N]],Transactions[[#This Row],[L6N]],Transactions[[#This Row],[L7N]]))))))))</f>
        <v>Non-energy use (S)</v>
      </c>
      <c r="AX93" s="24" t="str">
        <f>IF(Transactions[[#This Row],[Level 5]]=Transactions[[#This Row],[Transaction name]],Transactions[[#This Row],[Transaction name]],IF(Transactions[[#This Row],[Level 5]]=Transactions[[#This Row],[L1N]],Transactions[[#This Row],[Transaction name]],IF(Transactions[[#This Row],[Level 5]]=Transactions[[#This Row],[L2N]],Transactions[[#This Row],[L1N]],IF(Transactions[[#This Row],[Level 5]]=Transactions[[#This Row],[L3N]],Transactions[[#This Row],[L2N]],IF(Transactions[[#This Row],[Level 5]]=Transactions[[#This Row],[L4N]],Transactions[[#This Row],[L3N]],IF(Transactions[[#This Row],[Level 5]]=Transactions[[#This Row],[L5N]],Transactions[[#This Row],[L4N]],IF(Transactions[[#This Row],[Level 5]]=Transactions[[#This Row],[L6N]],Transactions[[#This Row],[L5N]],IF(Transactions[[#This Row],[Level 5]]=Transactions[[#This Row],[L7N]],Transactions[[#This Row],[L6N]],Transactions[[#This Row],[L7N]]))))))))</f>
        <v>Non-energy use (S)</v>
      </c>
      <c r="AY93" s="24" t="str">
        <f>IF(Transactions[[#This Row],[Level 6]]=Transactions[[#This Row],[Transaction name]],Transactions[[#This Row],[Transaction name]],IF(Transactions[[#This Row],[Level 6]]=Transactions[[#This Row],[L1N]],Transactions[[#This Row],[Transaction name]],IF(Transactions[[#This Row],[Level 6]]=Transactions[[#This Row],[L2N]],Transactions[[#This Row],[L1N]],IF(Transactions[[#This Row],[Level 6]]=Transactions[[#This Row],[L3N]],Transactions[[#This Row],[L2N]],IF(Transactions[[#This Row],[Level 6]]=Transactions[[#This Row],[L4N]],Transactions[[#This Row],[L3N]],IF(Transactions[[#This Row],[Level 6]]=Transactions[[#This Row],[L5N]],Transactions[[#This Row],[L4N]],IF(Transactions[[#This Row],[Level 6]]=Transactions[[#This Row],[L6N]],Transactions[[#This Row],[L5N]],IF(Transactions[[#This Row],[Level 6]]=Transactions[[#This Row],[L7N]],Transactions[[#This Row],[L6N]],Transactions[[#This Row],[L7N]]))))))))</f>
        <v>Non-energy use (S)</v>
      </c>
      <c r="BE93" s="26" t="str">
        <f>_xlfn.XLOOKUP(Transformation[[#This Row],[cfrom]],Commodities[Commodity],Commodities[Commodity code])</f>
        <v>8000</v>
      </c>
      <c r="BF93" s="26" t="str">
        <f>_xlfn.XLOOKUP(Transformation[[#This Row],[tfrom]],Transactions[Transaction name],Transactions[Transaction code])</f>
        <v>015NC</v>
      </c>
      <c r="BG93" s="26" t="str">
        <f>_xlfn.XLOOKUP(Transformation[[#This Row],[cto]],Commodities[Commodity],Commodities[Commodity code])</f>
        <v>9101</v>
      </c>
      <c r="BH93" s="26" t="str">
        <f>_xlfn.XLOOKUP(Transformation[[#This Row],[tto]],Transactions[Transaction name],Transactions[Transaction code])</f>
        <v>01</v>
      </c>
      <c r="BI93" s="11">
        <v>1</v>
      </c>
      <c r="BJ93" s="4" t="s">
        <v>262</v>
      </c>
      <c r="BK93" s="24" t="str">
        <f>_xlfn.XLOOKUP(Transformation[[#This Row],[Commodity from]],Commodities[Commodity code],Commodities[EnergyCode])</f>
        <v>ST</v>
      </c>
      <c r="BL93" s="4" t="s">
        <v>651</v>
      </c>
      <c r="BM93" s="4" t="s">
        <v>256</v>
      </c>
      <c r="BN93" s="24" t="str">
        <f>_xlfn.XLOOKUP(Transformation[[#This Row],[Commodity to]],Commodities[Commodity code],Commodities[EnergyCode])</f>
        <v>EN</v>
      </c>
      <c r="BO93" s="4" t="s">
        <v>383</v>
      </c>
      <c r="BP93" s="18" t="s">
        <v>1551</v>
      </c>
      <c r="BQ93" s="33" t="str">
        <f>Transformation[[#This Row],[Commodity from]]&amp;Transformation[[#This Row],[Transaction from]]&amp;Transformation[[#This Row],[Commodity to]]&amp;Transformation[[#This Row],[Transaction to]]</f>
        <v>8000015NC910101</v>
      </c>
      <c r="BR93" s="26" t="str">
        <f>Transformation[[#This Row],[crfomid]]&amp;Transformation[[#This Row],[Transaction from]]&amp;"("&amp;Transformation[[#This Row],[Multiplier]]&amp;") -&gt; "&amp;Transformation[[#This Row],[ctoid]]&amp;Transformation[[#This Row],[Transaction to]]</f>
        <v>ST015NC(1) -&gt; EN01</v>
      </c>
      <c r="BT93" s="26" t="str">
        <f>_xlfn.XLOOKUP(Signswitch[[#This Row],[Commodity name]],Commodities[Commodity],Commodities[Commodity code])</f>
        <v>5222</v>
      </c>
      <c r="BU93" s="26" t="str">
        <f>_xlfn.XLOOKUP(Signswitch[[#This Row],[Transaction name]],Transactions[Transaction name],Transactions[Transaction code])</f>
        <v>1231</v>
      </c>
      <c r="BV93" s="26" t="str">
        <f>Signswitch[[#This Row],[Commodity from]]&amp;Signswitch[[#This Row],[Transaction from]]</f>
        <v>52221231</v>
      </c>
      <c r="BW93" s="22" t="s">
        <v>962</v>
      </c>
      <c r="BX93" s="26" t="str">
        <f>_xlfn.XLOOKUP(Signswitch[[#This Row],[Commodity from]],Commodities[Commodity code],Commodities[EnergyCode])</f>
        <v>ZD</v>
      </c>
      <c r="BY93" s="22" t="s">
        <v>396</v>
      </c>
    </row>
    <row r="94" spans="8:77" x14ac:dyDescent="0.45">
      <c r="H94" s="9" t="s">
        <v>325</v>
      </c>
      <c r="I94" s="4" t="s">
        <v>342</v>
      </c>
      <c r="J94" s="9" t="s">
        <v>297</v>
      </c>
      <c r="K94" s="9"/>
      <c r="L94" s="23" t="str">
        <f>IFERROR(INDEX(Commodities[[Commodity code]:[Commodity]],MATCH(Commodities[[#This Row],[Parent code]],Commodities[Commodity code],0),2),Commodities[[#This Row],[Commodity]])</f>
        <v>Biofuels</v>
      </c>
      <c r="M94" s="24" t="str">
        <f>IFERROR(INDEX(Commodities[[Commodity code]:[Commodity]],MATCH(INDEX(Commodities[[Commodity]:[Parent code]],MATCH(Commodities[[#This Row],[L1N]],Commodities[Commodity],0),2),Commodities[Commodity code],0),2),Commodities[[#This Row],[L1N]])</f>
        <v>Biofuels</v>
      </c>
      <c r="N94" s="24" t="str">
        <f>IFERROR(INDEX(Commodities[[Commodity code]:[Commodity]],MATCH(INDEX(Commodities[[Commodity]:[Parent code]],MATCH(Commodities[[#This Row],[L2N]],Commodities[Commodity],0),2),Commodities[Commodity code],0),2),Commodities[[#This Row],[L2N]])</f>
        <v>Biofuels</v>
      </c>
      <c r="O94" s="24" t="str">
        <f>IFERROR(INDEX(Commodities[[Commodity code]:[Commodity]],MATCH(INDEX(Commodities[[Commodity]:[Parent code]],MATCH(Commodities[[#This Row],[L3N]],Commodities[Commodity],0),2),Commodities[Commodity code],0),2),Commodities[[#This Row],[L3N]])</f>
        <v>Biofuels</v>
      </c>
      <c r="P94" s="24" t="str">
        <f>IF(Commodities[[#This Row],[L4N]]=Commodities[[#This Row],[L3N]],Commodities[[#This Row],[L4N]],IF(Commodities[[#This Row],[L3N]]=Commodities[[#This Row],[L2N]],Commodities[[#This Row],[L3N]],IF(Commodities[[#This Row],[L2N]]=Commodities[[#This Row],[L1N]],Commodities[[#This Row],[L2N]],IF(Commodities[[#This Row],[L1N]]=Commodities[[#This Row],[Commodity]],Commodities[[#This Row],[L1N]],Commodities[[#This Row],[Commodity]]))))</f>
        <v>Biofuels</v>
      </c>
      <c r="Q94" s="24" t="str">
        <f>IF(Commodities[[#This Row],[Level 0]]=Commodities[[#This Row],[Commodity]],Commodities[[#This Row],[Commodity]],IF(Commodities[[#This Row],[Level 0]]=Commodities[[#This Row],[L1N]],Commodities[[#This Row],[Commodity]],IF(Commodities[[#This Row],[Level 0]]=Commodities[[#This Row],[L2N]],Commodities[[#This Row],[L1N]],IF(Commodities[[#This Row],[Level 0]]=Commodities[[#This Row],[L3N]],Commodities[[#This Row],[L2N]],IF(Commodities[[#This Row],[Level 0]]=Commodities[[#This Row],[L4N]],Commodities[[#This Row],[L3N]],Commodities[[#This Row],[L4N]])))))</f>
        <v>Solid biofuels</v>
      </c>
      <c r="R94" s="24" t="str">
        <f>IF(Commodities[[#This Row],[Level 1]]=Commodities[[#This Row],[Commodity]],Commodities[[#This Row],[Commodity]],IF(Commodities[[#This Row],[Level 1]]=Commodities[[#This Row],[L1N]],Commodities[[#This Row],[Commodity]],IF(Commodities[[#This Row],[Level 1]]=Commodities[[#This Row],[L2N]],Commodities[[#This Row],[L1N]],IF(Commodities[[#This Row],[Level 1]]=Commodities[[#This Row],[L3N]],Commodities[[#This Row],[L2N]],IF(Commodities[[#This Row],[Level 1]]=Commodities[[#This Row],[L4N]],Commodities[[#This Row],[L3N]],Commodities[[#This Row],[L4N]])))))</f>
        <v>Solid biofuels</v>
      </c>
      <c r="S94" s="24" t="str">
        <f>IF(Commodities[[#This Row],[Level 2]]=Commodities[[#This Row],[Commodity]],Commodities[[#This Row],[Commodity]],IF(Commodities[[#This Row],[Level 2]]=Commodities[[#This Row],[L1N]],Commodities[[#This Row],[Commodity]],IF(Commodities[[#This Row],[Level 2]]=Commodities[[#This Row],[L2N]],Commodities[[#This Row],[L1N]],IF(Commodities[[#This Row],[Level 2]]=Commodities[[#This Row],[L3N]],Commodities[[#This Row],[L2N]],IF(Commodities[[#This Row],[Level 2]]=Commodities[[#This Row],[L4N]],Commodities[[#This Row],[L3N]],Commodities[[#This Row],[L4N]])))))</f>
        <v>Solid biofuels</v>
      </c>
      <c r="T94" s="24" t="str">
        <f>IF(Commodities[[#This Row],[Level 3]]=Commodities[[#This Row],[Commodity]],Commodities[[#This Row],[Commodity]],IF(Commodities[[#This Row],[Level 3]]=Commodities[[#This Row],[L1N]],Commodities[[#This Row],[Commodity]],IF(Commodities[[#This Row],[Level 3]]=Commodities[[#This Row],[L2N]],Commodities[[#This Row],[L1N]],IF(Commodities[[#This Row],[Level 3]]=Commodities[[#This Row],[L3N]],Commodities[[#This Row],[L2N]],IF(Commodities[[#This Row],[Level 3]]=Commodities[[#This Row],[L4N]],Commodities[[#This Row],[L3N]],Commodities[[#This Row],[L4N]])))))</f>
        <v>Solid biofuels</v>
      </c>
      <c r="U94" s="24" t="str">
        <f>IF(Commodities[[#This Row],[Level 4]]=Commodities[[#This Row],[Commodity]],Commodities[[#This Row],[Commodity]],IF(Commodities[[#This Row],[Level 4]]=Commodities[[#This Row],[L1N]],Commodities[[#This Row],[Commodity]],IF(Commodities[[#This Row],[Level 4]]=Commodities[[#This Row],[L2N]],Commodities[[#This Row],[L1N]],IF(Commodities[[#This Row],[Level 4]]=Commodities[[#This Row],[L3N]],Commodities[[#This Row],[L2N]],IF(Commodities[[#This Row],[Level 4]]=Commodities[[#This Row],[L4N]],Commodities[[#This Row],[L3N]],Commodities[[#This Row],[L4N]])))))</f>
        <v>Solid biofuels</v>
      </c>
      <c r="Y94" s="5" t="s">
        <v>138</v>
      </c>
      <c r="Z94" s="4" t="s">
        <v>137</v>
      </c>
      <c r="AA94" s="4" t="s">
        <v>137</v>
      </c>
      <c r="AB94" s="6" t="s">
        <v>134</v>
      </c>
      <c r="AC94" s="24" t="str">
        <f>IFERROR(VLOOKUP(Transactions[[#This Row],[Parent code]],Transactions[[Transaction code]:[Transaction name]],2,0),"")</f>
        <v>Flared and vented</v>
      </c>
      <c r="AD94" s="4" t="s">
        <v>732</v>
      </c>
      <c r="AF94" s="4" t="s">
        <v>642</v>
      </c>
      <c r="AG94" s="4" t="s">
        <v>1</v>
      </c>
      <c r="AH94" s="4" t="s">
        <v>696</v>
      </c>
      <c r="AK94" s="24" t="str" cm="1">
        <f t="array" ref="AK94">IFERROR(INDEX(Transactions[[Transaction code]:[Transaction name]],_xlfn.XMATCH(Transactions[[#This Row],[Parent code]],Transactions[Transaction name],0),3),Transactions[[#This Row],[Transaction name]])</f>
        <v>Flared</v>
      </c>
      <c r="AL94" s="24" t="str" cm="1">
        <f t="array" ref="AL94">IFERROR(INDEX(Transactions[[Transaction code]:[Transaction name]],_xlfn.XMATCH(INDEX(Transactions[[Transaction name]:[Parent code]],_xlfn.XMATCH(Transactions[[#This Row],[L1N]],Transactions[Transaction name],0),3),Transactions[Transaction code],0),2),Transactions[[#This Row],[L1N]])</f>
        <v>Flared and vented</v>
      </c>
      <c r="AM94" s="24" t="str" cm="1">
        <f t="array" ref="AM94">IFERROR(INDEX(Transactions[[Transaction code]:[Transaction name]],_xlfn.XMATCH(INDEX(Transactions[[Transaction name]:[Parent code]],_xlfn.XMATCH(Transactions[[#This Row],[L2N]],Transactions[Transaction name],0),3),Transactions[Transaction code],0),2),Transactions[[#This Row],[L2N]])</f>
        <v>Flared and vented</v>
      </c>
      <c r="AN94" s="24" t="str" cm="1">
        <f t="array" ref="AN94">IFERROR(INDEX(Transactions[[Transaction code]:[Transaction name]],_xlfn.XMATCH(INDEX(Transactions[[Transaction name]:[Parent code]],_xlfn.XMATCH(Transactions[[#This Row],[L3N]],Transactions[Transaction name],0),3),Transactions[Transaction code],0),2),Transactions[[#This Row],[L3N]])</f>
        <v>Flared and vented</v>
      </c>
      <c r="AO94" s="24" t="str" cm="1">
        <f t="array" ref="AO94">IFERROR(INDEX(Transactions[[Transaction code]:[Transaction name]],_xlfn.XMATCH(INDEX(Transactions[[Transaction name]:[Parent code]],_xlfn.XMATCH(Transactions[[#This Row],[L4N]],Transactions[Transaction name],0),3),Transactions[Transaction code],0),2),Transactions[[#This Row],[L4N]])</f>
        <v>Flared and vented</v>
      </c>
      <c r="AP94" s="24" t="str" cm="1">
        <f t="array" ref="AP94">IFERROR(INDEX(Transactions[[Transaction code]:[Transaction name]],_xlfn.XMATCH(INDEX(Transactions[[Transaction name]:[Parent code]],_xlfn.XMATCH(Transactions[[#This Row],[L5N]],Transactions[Transaction name],0),3),Transactions[Transaction code],0),2),Transactions[[#This Row],[L5N]])</f>
        <v>Flared and vented</v>
      </c>
      <c r="AQ94" s="24" t="str" cm="1">
        <f t="array" ref="AQ94">IFERROR(INDEX(Transactions[[Transaction code]:[Transaction name]],_xlfn.XMATCH(INDEX(Transactions[[Transaction name]:[Parent code]],_xlfn.XMATCH(Transactions[[#This Row],[L6N]],Transactions[Transaction name],0),3),Transactions[Transaction code],0),2),Transactions[[#This Row],[L6N]])</f>
        <v>Flared and vented</v>
      </c>
      <c r="AR94" s="27" t="str">
        <f>IF(Transactions[[#This Row],[L7N]]=Transactions[[#This Row],[L6N]],Transactions[[#This Row],[L7N]],IF(Transactions[[#This Row],[L6N]]=Transactions[[#This Row],[L5N]],Transactions[[#This Row],[L6N]],IF(Transactions[[#This Row],[L5N]]=Transactions[[#This Row],[L4N]],Transactions[[#This Row],[L5N]],IF(Transactions[[#This Row],[L4N]]=Transactions[[#This Row],[L3N]],Transactions[[#This Row],[L4N]],IF(Transactions[[#This Row],[L3N]]=Transactions[[#This Row],[L2N]],Transactions[[#This Row],[L3N]],IF(Transactions[[#This Row],[L2N]]=Transactions[[#This Row],[L1N]],Transactions[[#This Row],[L2N]],IF(Transactions[[#This Row],[L1N]]=Transactions[[#This Row],[Transaction name]],Transactions[[#This Row],[L1N]],Transactions[[#This Row],[Transaction name]])))))))</f>
        <v>Flared and vented</v>
      </c>
      <c r="AS94" s="24" t="str">
        <f>IF(Transactions[[#This Row],[Level 0]]=Transactions[[#This Row],[Transaction name]],Transactions[[#This Row],[Transaction name]],IF(Transactions[[#This Row],[Level 0]]=Transactions[[#This Row],[L1N]],Transactions[[#This Row],[Transaction name]],IF(Transactions[[#This Row],[Level 0]]=Transactions[[#This Row],[L2N]],Transactions[[#This Row],[L1N]],IF(Transactions[[#This Row],[Level 0]]=Transactions[[#This Row],[L3N]],Transactions[[#This Row],[L2N]],IF(Transactions[[#This Row],[Level 0]]=Transactions[[#This Row],[L4N]],Transactions[[#This Row],[L3N]],IF(Transactions[[#This Row],[Level 0]]=Transactions[[#This Row],[L5N]],Transactions[[#This Row],[L4N]],IF(Transactions[[#This Row],[Level 0]]=Transactions[[#This Row],[L6N]],Transactions[[#This Row],[L5N]],IF(Transactions[[#This Row],[Level 0]]=Transactions[[#This Row],[L7N]],Transactions[[#This Row],[L6N]],Transactions[[#This Row],[L7N]]))))))))</f>
        <v>Flared</v>
      </c>
      <c r="AT94" s="24" t="str">
        <f>IF(Transactions[[#This Row],[Level 1]]=Transactions[[#This Row],[Transaction name]],Transactions[[#This Row],[Transaction name]],IF(Transactions[[#This Row],[Level 1]]=Transactions[[#This Row],[L1N]],Transactions[[#This Row],[Transaction name]],IF(Transactions[[#This Row],[Level 1]]=Transactions[[#This Row],[L2N]],Transactions[[#This Row],[L1N]],IF(Transactions[[#This Row],[Level 1]]=Transactions[[#This Row],[L3N]],Transactions[[#This Row],[L2N]],IF(Transactions[[#This Row],[Level 1]]=Transactions[[#This Row],[L4N]],Transactions[[#This Row],[L3N]],IF(Transactions[[#This Row],[Level 1]]=Transactions[[#This Row],[L5N]],Transactions[[#This Row],[L4N]],IF(Transactions[[#This Row],[Level 1]]=Transactions[[#This Row],[L6N]],Transactions[[#This Row],[L5N]],IF(Transactions[[#This Row],[Level 1]]=Transactions[[#This Row],[L7N]],Transactions[[#This Row],[L6N]],Transactions[[#This Row],[L7N]]))))))))</f>
        <v>Flared</v>
      </c>
      <c r="AU94" s="24" t="str">
        <f>IF(Transactions[[#This Row],[Level 2]]=Transactions[[#This Row],[Transaction name]],Transactions[[#This Row],[Transaction name]],IF(Transactions[[#This Row],[Level 2]]=Transactions[[#This Row],[L1N]],Transactions[[#This Row],[Transaction name]],IF(Transactions[[#This Row],[Level 2]]=Transactions[[#This Row],[L2N]],Transactions[[#This Row],[L1N]],IF(Transactions[[#This Row],[Level 2]]=Transactions[[#This Row],[L3N]],Transactions[[#This Row],[L2N]],IF(Transactions[[#This Row],[Level 2]]=Transactions[[#This Row],[L4N]],Transactions[[#This Row],[L3N]],IF(Transactions[[#This Row],[Level 2]]=Transactions[[#This Row],[L5N]],Transactions[[#This Row],[L4N]],IF(Transactions[[#This Row],[Level 2]]=Transactions[[#This Row],[L6N]],Transactions[[#This Row],[L5N]],IF(Transactions[[#This Row],[Level 2]]=Transactions[[#This Row],[L7N]],Transactions[[#This Row],[L6N]],Transactions[[#This Row],[L7N]]))))))))</f>
        <v>Flared</v>
      </c>
      <c r="AV94" s="24" t="str">
        <f>IF(Transactions[[#This Row],[Level 3]]=Transactions[[#This Row],[Transaction name]],Transactions[[#This Row],[Transaction name]],IF(Transactions[[#This Row],[Level 3]]=Transactions[[#This Row],[L1N]],Transactions[[#This Row],[Transaction name]],IF(Transactions[[#This Row],[Level 3]]=Transactions[[#This Row],[L2N]],Transactions[[#This Row],[L1N]],IF(Transactions[[#This Row],[Level 3]]=Transactions[[#This Row],[L3N]],Transactions[[#This Row],[L2N]],IF(Transactions[[#This Row],[Level 3]]=Transactions[[#This Row],[L4N]],Transactions[[#This Row],[L3N]],IF(Transactions[[#This Row],[Level 3]]=Transactions[[#This Row],[L5N]],Transactions[[#This Row],[L4N]],IF(Transactions[[#This Row],[Level 3]]=Transactions[[#This Row],[L6N]],Transactions[[#This Row],[L5N]],IF(Transactions[[#This Row],[Level 3]]=Transactions[[#This Row],[L7N]],Transactions[[#This Row],[L6N]],Transactions[[#This Row],[L7N]]))))))))</f>
        <v>Flared</v>
      </c>
      <c r="AW94" s="24" t="str">
        <f>IF(Transactions[[#This Row],[Level 4]]=Transactions[[#This Row],[Transaction name]],Transactions[[#This Row],[Transaction name]],IF(Transactions[[#This Row],[Level 4]]=Transactions[[#This Row],[L1N]],Transactions[[#This Row],[Transaction name]],IF(Transactions[[#This Row],[Level 4]]=Transactions[[#This Row],[L2N]],Transactions[[#This Row],[L1N]],IF(Transactions[[#This Row],[Level 4]]=Transactions[[#This Row],[L3N]],Transactions[[#This Row],[L2N]],IF(Transactions[[#This Row],[Level 4]]=Transactions[[#This Row],[L4N]],Transactions[[#This Row],[L3N]],IF(Transactions[[#This Row],[Level 4]]=Transactions[[#This Row],[L5N]],Transactions[[#This Row],[L4N]],IF(Transactions[[#This Row],[Level 4]]=Transactions[[#This Row],[L6N]],Transactions[[#This Row],[L5N]],IF(Transactions[[#This Row],[Level 4]]=Transactions[[#This Row],[L7N]],Transactions[[#This Row],[L6N]],Transactions[[#This Row],[L7N]]))))))))</f>
        <v>Flared</v>
      </c>
      <c r="AX94" s="24" t="str">
        <f>IF(Transactions[[#This Row],[Level 5]]=Transactions[[#This Row],[Transaction name]],Transactions[[#This Row],[Transaction name]],IF(Transactions[[#This Row],[Level 5]]=Transactions[[#This Row],[L1N]],Transactions[[#This Row],[Transaction name]],IF(Transactions[[#This Row],[Level 5]]=Transactions[[#This Row],[L2N]],Transactions[[#This Row],[L1N]],IF(Transactions[[#This Row],[Level 5]]=Transactions[[#This Row],[L3N]],Transactions[[#This Row],[L2N]],IF(Transactions[[#This Row],[Level 5]]=Transactions[[#This Row],[L4N]],Transactions[[#This Row],[L3N]],IF(Transactions[[#This Row],[Level 5]]=Transactions[[#This Row],[L5N]],Transactions[[#This Row],[L4N]],IF(Transactions[[#This Row],[Level 5]]=Transactions[[#This Row],[L6N]],Transactions[[#This Row],[L5N]],IF(Transactions[[#This Row],[Level 5]]=Transactions[[#This Row],[L7N]],Transactions[[#This Row],[L6N]],Transactions[[#This Row],[L7N]]))))))))</f>
        <v>Flared</v>
      </c>
      <c r="AY94" s="24" t="str">
        <f>IF(Transactions[[#This Row],[Level 6]]=Transactions[[#This Row],[Transaction name]],Transactions[[#This Row],[Transaction name]],IF(Transactions[[#This Row],[Level 6]]=Transactions[[#This Row],[L1N]],Transactions[[#This Row],[Transaction name]],IF(Transactions[[#This Row],[Level 6]]=Transactions[[#This Row],[L2N]],Transactions[[#This Row],[L1N]],IF(Transactions[[#This Row],[Level 6]]=Transactions[[#This Row],[L3N]],Transactions[[#This Row],[L2N]],IF(Transactions[[#This Row],[Level 6]]=Transactions[[#This Row],[L4N]],Transactions[[#This Row],[L3N]],IF(Transactions[[#This Row],[Level 6]]=Transactions[[#This Row],[L5N]],Transactions[[#This Row],[L4N]],IF(Transactions[[#This Row],[Level 6]]=Transactions[[#This Row],[L6N]],Transactions[[#This Row],[L5N]],IF(Transactions[[#This Row],[Level 6]]=Transactions[[#This Row],[L7N]],Transactions[[#This Row],[L6N]],Transactions[[#This Row],[L7N]]))))))))</f>
        <v>Flared</v>
      </c>
      <c r="BE94" s="26" t="str">
        <f>_xlfn.XLOOKUP(Transformation[[#This Row],[cfrom]],Commodities[Commodity],Commodities[Commodity code])</f>
        <v>7000</v>
      </c>
      <c r="BF94" s="26" t="str">
        <f>_xlfn.XLOOKUP(Transformation[[#This Row],[tfrom]],Transactions[Transaction name],Transactions[Transaction code])</f>
        <v>015STC</v>
      </c>
      <c r="BG94" s="26" t="str">
        <f>_xlfn.XLOOKUP(Transformation[[#This Row],[cto]],Commodities[Commodity],Commodities[Commodity code])</f>
        <v>8000</v>
      </c>
      <c r="BH94" s="26" t="str">
        <f>_xlfn.XLOOKUP(Transformation[[#This Row],[tto]],Transactions[Transaction name],Transactions[Transaction code])</f>
        <v>015STC</v>
      </c>
      <c r="BI94" s="11">
        <v>-3</v>
      </c>
      <c r="BJ94" s="4" t="s">
        <v>544</v>
      </c>
      <c r="BK94" s="24" t="str">
        <f>_xlfn.XLOOKUP(Transformation[[#This Row],[Commodity from]],Commodities[Commodity code],Commodities[EnergyCode])</f>
        <v>EL</v>
      </c>
      <c r="BL94" s="4" t="s">
        <v>1298</v>
      </c>
      <c r="BM94" s="22" t="s">
        <v>262</v>
      </c>
      <c r="BN94" s="24" t="str">
        <f>_xlfn.XLOOKUP(Transformation[[#This Row],[Commodity to]],Commodities[Commodity code],Commodities[EnergyCode])</f>
        <v>ST</v>
      </c>
      <c r="BO94" s="4" t="s">
        <v>1298</v>
      </c>
      <c r="BP94" s="16" t="s">
        <v>1493</v>
      </c>
      <c r="BQ94" s="33" t="str">
        <f>Transformation[[#This Row],[Commodity from]]&amp;Transformation[[#This Row],[Transaction from]]&amp;Transformation[[#This Row],[Commodity to]]&amp;Transformation[[#This Row],[Transaction to]]</f>
        <v>7000015STC8000015STC</v>
      </c>
      <c r="BR94" s="26" t="str">
        <f>Transformation[[#This Row],[crfomid]]&amp;Transformation[[#This Row],[Transaction from]]&amp;"("&amp;Transformation[[#This Row],[Multiplier]]&amp;") -&gt; "&amp;Transformation[[#This Row],[ctoid]]&amp;Transformation[[#This Row],[Transaction to]]</f>
        <v>EL015STC(-3) -&gt; ST015STC</v>
      </c>
      <c r="BT94" s="26" t="str">
        <f>_xlfn.XLOOKUP(Signswitch[[#This Row],[Commodity name]],Commodities[Commodity],Commodities[Commodity code])</f>
        <v>5212</v>
      </c>
      <c r="BU94" s="26" t="str">
        <f>_xlfn.XLOOKUP(Signswitch[[#This Row],[Transaction name]],Transactions[Transaction name],Transactions[Transaction code])</f>
        <v>1231</v>
      </c>
      <c r="BV94" s="26" t="str">
        <f>Signswitch[[#This Row],[Commodity from]]&amp;Signswitch[[#This Row],[Transaction from]]</f>
        <v>52121231</v>
      </c>
      <c r="BW94" s="22" t="s">
        <v>317</v>
      </c>
      <c r="BX94" s="26" t="str">
        <f>_xlfn.XLOOKUP(Signswitch[[#This Row],[Commodity from]],Commodities[Commodity code],Commodities[EnergyCode])</f>
        <v>ZG</v>
      </c>
      <c r="BY94" s="22" t="s">
        <v>396</v>
      </c>
    </row>
    <row r="95" spans="8:77" x14ac:dyDescent="0.45">
      <c r="H95" s="9" t="s">
        <v>300</v>
      </c>
      <c r="I95" s="4" t="s">
        <v>323</v>
      </c>
      <c r="J95" s="9" t="s">
        <v>297</v>
      </c>
      <c r="K95" s="9"/>
      <c r="L95" s="23" t="str">
        <f>IFERROR(INDEX(Commodities[[Commodity code]:[Commodity]],MATCH(Commodities[[#This Row],[Parent code]],Commodities[Commodity code],0),2),Commodities[[#This Row],[Commodity]])</f>
        <v>Biofuels</v>
      </c>
      <c r="M95" s="24" t="str">
        <f>IFERROR(INDEX(Commodities[[Commodity code]:[Commodity]],MATCH(INDEX(Commodities[[Commodity]:[Parent code]],MATCH(Commodities[[#This Row],[L1N]],Commodities[Commodity],0),2),Commodities[Commodity code],0),2),Commodities[[#This Row],[L1N]])</f>
        <v>Biofuels</v>
      </c>
      <c r="N95" s="24" t="str">
        <f>IFERROR(INDEX(Commodities[[Commodity code]:[Commodity]],MATCH(INDEX(Commodities[[Commodity]:[Parent code]],MATCH(Commodities[[#This Row],[L2N]],Commodities[Commodity],0),2),Commodities[Commodity code],0),2),Commodities[[#This Row],[L2N]])</f>
        <v>Biofuels</v>
      </c>
      <c r="O95" s="24" t="str">
        <f>IFERROR(INDEX(Commodities[[Commodity code]:[Commodity]],MATCH(INDEX(Commodities[[Commodity]:[Parent code]],MATCH(Commodities[[#This Row],[L3N]],Commodities[Commodity],0),2),Commodities[Commodity code],0),2),Commodities[[#This Row],[L3N]])</f>
        <v>Biofuels</v>
      </c>
      <c r="P95" s="24" t="str">
        <f>IF(Commodities[[#This Row],[L4N]]=Commodities[[#This Row],[L3N]],Commodities[[#This Row],[L4N]],IF(Commodities[[#This Row],[L3N]]=Commodities[[#This Row],[L2N]],Commodities[[#This Row],[L3N]],IF(Commodities[[#This Row],[L2N]]=Commodities[[#This Row],[L1N]],Commodities[[#This Row],[L2N]],IF(Commodities[[#This Row],[L1N]]=Commodities[[#This Row],[Commodity]],Commodities[[#This Row],[L1N]],Commodities[[#This Row],[Commodity]]))))</f>
        <v>Biofuels</v>
      </c>
      <c r="Q95" s="24" t="str">
        <f>IF(Commodities[[#This Row],[Level 0]]=Commodities[[#This Row],[Commodity]],Commodities[[#This Row],[Commodity]],IF(Commodities[[#This Row],[Level 0]]=Commodities[[#This Row],[L1N]],Commodities[[#This Row],[Commodity]],IF(Commodities[[#This Row],[Level 0]]=Commodities[[#This Row],[L2N]],Commodities[[#This Row],[L1N]],IF(Commodities[[#This Row],[Level 0]]=Commodities[[#This Row],[L3N]],Commodities[[#This Row],[L2N]],IF(Commodities[[#This Row],[Level 0]]=Commodities[[#This Row],[L4N]],Commodities[[#This Row],[L3N]],Commodities[[#This Row],[L4N]])))))</f>
        <v>Liquid biofuels</v>
      </c>
      <c r="R95" s="24" t="str">
        <f>IF(Commodities[[#This Row],[Level 1]]=Commodities[[#This Row],[Commodity]],Commodities[[#This Row],[Commodity]],IF(Commodities[[#This Row],[Level 1]]=Commodities[[#This Row],[L1N]],Commodities[[#This Row],[Commodity]],IF(Commodities[[#This Row],[Level 1]]=Commodities[[#This Row],[L2N]],Commodities[[#This Row],[L1N]],IF(Commodities[[#This Row],[Level 1]]=Commodities[[#This Row],[L3N]],Commodities[[#This Row],[L2N]],IF(Commodities[[#This Row],[Level 1]]=Commodities[[#This Row],[L4N]],Commodities[[#This Row],[L3N]],Commodities[[#This Row],[L4N]])))))</f>
        <v>Liquid biofuels</v>
      </c>
      <c r="S95" s="24" t="str">
        <f>IF(Commodities[[#This Row],[Level 2]]=Commodities[[#This Row],[Commodity]],Commodities[[#This Row],[Commodity]],IF(Commodities[[#This Row],[Level 2]]=Commodities[[#This Row],[L1N]],Commodities[[#This Row],[Commodity]],IF(Commodities[[#This Row],[Level 2]]=Commodities[[#This Row],[L2N]],Commodities[[#This Row],[L1N]],IF(Commodities[[#This Row],[Level 2]]=Commodities[[#This Row],[L3N]],Commodities[[#This Row],[L2N]],IF(Commodities[[#This Row],[Level 2]]=Commodities[[#This Row],[L4N]],Commodities[[#This Row],[L3N]],Commodities[[#This Row],[L4N]])))))</f>
        <v>Liquid biofuels</v>
      </c>
      <c r="T95" s="24" t="str">
        <f>IF(Commodities[[#This Row],[Level 3]]=Commodities[[#This Row],[Commodity]],Commodities[[#This Row],[Commodity]],IF(Commodities[[#This Row],[Level 3]]=Commodities[[#This Row],[L1N]],Commodities[[#This Row],[Commodity]],IF(Commodities[[#This Row],[Level 3]]=Commodities[[#This Row],[L2N]],Commodities[[#This Row],[L1N]],IF(Commodities[[#This Row],[Level 3]]=Commodities[[#This Row],[L3N]],Commodities[[#This Row],[L2N]],IF(Commodities[[#This Row],[Level 3]]=Commodities[[#This Row],[L4N]],Commodities[[#This Row],[L3N]],Commodities[[#This Row],[L4N]])))))</f>
        <v>Liquid biofuels</v>
      </c>
      <c r="U95" s="24" t="str">
        <f>IF(Commodities[[#This Row],[Level 4]]=Commodities[[#This Row],[Commodity]],Commodities[[#This Row],[Commodity]],IF(Commodities[[#This Row],[Level 4]]=Commodities[[#This Row],[L1N]],Commodities[[#This Row],[Commodity]],IF(Commodities[[#This Row],[Level 4]]=Commodities[[#This Row],[L2N]],Commodities[[#This Row],[L1N]],IF(Commodities[[#This Row],[Level 4]]=Commodities[[#This Row],[L3N]],Commodities[[#This Row],[L2N]],IF(Commodities[[#This Row],[Level 4]]=Commodities[[#This Row],[L4N]],Commodities[[#This Row],[L3N]],Commodities[[#This Row],[L4N]])))))</f>
        <v>Liquid biofuels</v>
      </c>
      <c r="Y95" s="5" t="s">
        <v>134</v>
      </c>
      <c r="Z95" s="4" t="s">
        <v>139</v>
      </c>
      <c r="AA95" s="4" t="s">
        <v>139</v>
      </c>
      <c r="AC95" s="24" t="str">
        <f>IFERROR(VLOOKUP(Transactions[[#This Row],[Parent code]],Transactions[[Transaction code]:[Transaction name]],2,0),"")</f>
        <v/>
      </c>
      <c r="AD95" s="4" t="s">
        <v>732</v>
      </c>
      <c r="AF95" s="4" t="s">
        <v>642</v>
      </c>
      <c r="AG95" s="4" t="s">
        <v>1</v>
      </c>
      <c r="AH95" s="4" t="s">
        <v>696</v>
      </c>
      <c r="AK95" s="24" t="str" cm="1">
        <f t="array" ref="AK95">IFERROR(INDEX(Transactions[[Transaction code]:[Transaction name]],_xlfn.XMATCH(Transactions[[#This Row],[Parent code]],Transactions[Transaction name],0),3),Transactions[[#This Row],[Transaction name]])</f>
        <v>Flared and vented</v>
      </c>
      <c r="AL95" s="24" t="str" cm="1">
        <f t="array" ref="AL95">IFERROR(INDEX(Transactions[[Transaction code]:[Transaction name]],_xlfn.XMATCH(INDEX(Transactions[[Transaction name]:[Parent code]],_xlfn.XMATCH(Transactions[[#This Row],[L1N]],Transactions[Transaction name],0),3),Transactions[Transaction code],0),2),Transactions[[#This Row],[L1N]])</f>
        <v>Flared and vented</v>
      </c>
      <c r="AM95" s="24" t="str" cm="1">
        <f t="array" ref="AM95">IFERROR(INDEX(Transactions[[Transaction code]:[Transaction name]],_xlfn.XMATCH(INDEX(Transactions[[Transaction name]:[Parent code]],_xlfn.XMATCH(Transactions[[#This Row],[L2N]],Transactions[Transaction name],0),3),Transactions[Transaction code],0),2),Transactions[[#This Row],[L2N]])</f>
        <v>Flared and vented</v>
      </c>
      <c r="AN95" s="24" t="str" cm="1">
        <f t="array" ref="AN95">IFERROR(INDEX(Transactions[[Transaction code]:[Transaction name]],_xlfn.XMATCH(INDEX(Transactions[[Transaction name]:[Parent code]],_xlfn.XMATCH(Transactions[[#This Row],[L3N]],Transactions[Transaction name],0),3),Transactions[Transaction code],0),2),Transactions[[#This Row],[L3N]])</f>
        <v>Flared and vented</v>
      </c>
      <c r="AO95" s="24" t="str" cm="1">
        <f t="array" ref="AO95">IFERROR(INDEX(Transactions[[Transaction code]:[Transaction name]],_xlfn.XMATCH(INDEX(Transactions[[Transaction name]:[Parent code]],_xlfn.XMATCH(Transactions[[#This Row],[L4N]],Transactions[Transaction name],0),3),Transactions[Transaction code],0),2),Transactions[[#This Row],[L4N]])</f>
        <v>Flared and vented</v>
      </c>
      <c r="AP95" s="24" t="str" cm="1">
        <f t="array" ref="AP95">IFERROR(INDEX(Transactions[[Transaction code]:[Transaction name]],_xlfn.XMATCH(INDEX(Transactions[[Transaction name]:[Parent code]],_xlfn.XMATCH(Transactions[[#This Row],[L5N]],Transactions[Transaction name],0),3),Transactions[Transaction code],0),2),Transactions[[#This Row],[L5N]])</f>
        <v>Flared and vented</v>
      </c>
      <c r="AQ95" s="24" t="str" cm="1">
        <f t="array" ref="AQ95">IFERROR(INDEX(Transactions[[Transaction code]:[Transaction name]],_xlfn.XMATCH(INDEX(Transactions[[Transaction name]:[Parent code]],_xlfn.XMATCH(Transactions[[#This Row],[L6N]],Transactions[Transaction name],0),3),Transactions[Transaction code],0),2),Transactions[[#This Row],[L6N]])</f>
        <v>Flared and vented</v>
      </c>
      <c r="AR95" s="27" t="str">
        <f>IF(Transactions[[#This Row],[L7N]]=Transactions[[#This Row],[L6N]],Transactions[[#This Row],[L7N]],IF(Transactions[[#This Row],[L6N]]=Transactions[[#This Row],[L5N]],Transactions[[#This Row],[L6N]],IF(Transactions[[#This Row],[L5N]]=Transactions[[#This Row],[L4N]],Transactions[[#This Row],[L5N]],IF(Transactions[[#This Row],[L4N]]=Transactions[[#This Row],[L3N]],Transactions[[#This Row],[L4N]],IF(Transactions[[#This Row],[L3N]]=Transactions[[#This Row],[L2N]],Transactions[[#This Row],[L3N]],IF(Transactions[[#This Row],[L2N]]=Transactions[[#This Row],[L1N]],Transactions[[#This Row],[L2N]],IF(Transactions[[#This Row],[L1N]]=Transactions[[#This Row],[Transaction name]],Transactions[[#This Row],[L1N]],Transactions[[#This Row],[Transaction name]])))))))</f>
        <v>Flared and vented</v>
      </c>
      <c r="AS95" s="24" t="str">
        <f>IF(Transactions[[#This Row],[Level 0]]=Transactions[[#This Row],[Transaction name]],Transactions[[#This Row],[Transaction name]],IF(Transactions[[#This Row],[Level 0]]=Transactions[[#This Row],[L1N]],Transactions[[#This Row],[Transaction name]],IF(Transactions[[#This Row],[Level 0]]=Transactions[[#This Row],[L2N]],Transactions[[#This Row],[L1N]],IF(Transactions[[#This Row],[Level 0]]=Transactions[[#This Row],[L3N]],Transactions[[#This Row],[L2N]],IF(Transactions[[#This Row],[Level 0]]=Transactions[[#This Row],[L4N]],Transactions[[#This Row],[L3N]],IF(Transactions[[#This Row],[Level 0]]=Transactions[[#This Row],[L5N]],Transactions[[#This Row],[L4N]],IF(Transactions[[#This Row],[Level 0]]=Transactions[[#This Row],[L6N]],Transactions[[#This Row],[L5N]],IF(Transactions[[#This Row],[Level 0]]=Transactions[[#This Row],[L7N]],Transactions[[#This Row],[L6N]],Transactions[[#This Row],[L7N]]))))))))</f>
        <v>Flared and vented</v>
      </c>
      <c r="AT95" s="24" t="str">
        <f>IF(Transactions[[#This Row],[Level 1]]=Transactions[[#This Row],[Transaction name]],Transactions[[#This Row],[Transaction name]],IF(Transactions[[#This Row],[Level 1]]=Transactions[[#This Row],[L1N]],Transactions[[#This Row],[Transaction name]],IF(Transactions[[#This Row],[Level 1]]=Transactions[[#This Row],[L2N]],Transactions[[#This Row],[L1N]],IF(Transactions[[#This Row],[Level 1]]=Transactions[[#This Row],[L3N]],Transactions[[#This Row],[L2N]],IF(Transactions[[#This Row],[Level 1]]=Transactions[[#This Row],[L4N]],Transactions[[#This Row],[L3N]],IF(Transactions[[#This Row],[Level 1]]=Transactions[[#This Row],[L5N]],Transactions[[#This Row],[L4N]],IF(Transactions[[#This Row],[Level 1]]=Transactions[[#This Row],[L6N]],Transactions[[#This Row],[L5N]],IF(Transactions[[#This Row],[Level 1]]=Transactions[[#This Row],[L7N]],Transactions[[#This Row],[L6N]],Transactions[[#This Row],[L7N]]))))))))</f>
        <v>Flared and vented</v>
      </c>
      <c r="AU95" s="24" t="str">
        <f>IF(Transactions[[#This Row],[Level 2]]=Transactions[[#This Row],[Transaction name]],Transactions[[#This Row],[Transaction name]],IF(Transactions[[#This Row],[Level 2]]=Transactions[[#This Row],[L1N]],Transactions[[#This Row],[Transaction name]],IF(Transactions[[#This Row],[Level 2]]=Transactions[[#This Row],[L2N]],Transactions[[#This Row],[L1N]],IF(Transactions[[#This Row],[Level 2]]=Transactions[[#This Row],[L3N]],Transactions[[#This Row],[L2N]],IF(Transactions[[#This Row],[Level 2]]=Transactions[[#This Row],[L4N]],Transactions[[#This Row],[L3N]],IF(Transactions[[#This Row],[Level 2]]=Transactions[[#This Row],[L5N]],Transactions[[#This Row],[L4N]],IF(Transactions[[#This Row],[Level 2]]=Transactions[[#This Row],[L6N]],Transactions[[#This Row],[L5N]],IF(Transactions[[#This Row],[Level 2]]=Transactions[[#This Row],[L7N]],Transactions[[#This Row],[L6N]],Transactions[[#This Row],[L7N]]))))))))</f>
        <v>Flared and vented</v>
      </c>
      <c r="AV95" s="24" t="str">
        <f>IF(Transactions[[#This Row],[Level 3]]=Transactions[[#This Row],[Transaction name]],Transactions[[#This Row],[Transaction name]],IF(Transactions[[#This Row],[Level 3]]=Transactions[[#This Row],[L1N]],Transactions[[#This Row],[Transaction name]],IF(Transactions[[#This Row],[Level 3]]=Transactions[[#This Row],[L2N]],Transactions[[#This Row],[L1N]],IF(Transactions[[#This Row],[Level 3]]=Transactions[[#This Row],[L3N]],Transactions[[#This Row],[L2N]],IF(Transactions[[#This Row],[Level 3]]=Transactions[[#This Row],[L4N]],Transactions[[#This Row],[L3N]],IF(Transactions[[#This Row],[Level 3]]=Transactions[[#This Row],[L5N]],Transactions[[#This Row],[L4N]],IF(Transactions[[#This Row],[Level 3]]=Transactions[[#This Row],[L6N]],Transactions[[#This Row],[L5N]],IF(Transactions[[#This Row],[Level 3]]=Transactions[[#This Row],[L7N]],Transactions[[#This Row],[L6N]],Transactions[[#This Row],[L7N]]))))))))</f>
        <v>Flared and vented</v>
      </c>
      <c r="AW95" s="24" t="str">
        <f>IF(Transactions[[#This Row],[Level 4]]=Transactions[[#This Row],[Transaction name]],Transactions[[#This Row],[Transaction name]],IF(Transactions[[#This Row],[Level 4]]=Transactions[[#This Row],[L1N]],Transactions[[#This Row],[Transaction name]],IF(Transactions[[#This Row],[Level 4]]=Transactions[[#This Row],[L2N]],Transactions[[#This Row],[L1N]],IF(Transactions[[#This Row],[Level 4]]=Transactions[[#This Row],[L3N]],Transactions[[#This Row],[L2N]],IF(Transactions[[#This Row],[Level 4]]=Transactions[[#This Row],[L4N]],Transactions[[#This Row],[L3N]],IF(Transactions[[#This Row],[Level 4]]=Transactions[[#This Row],[L5N]],Transactions[[#This Row],[L4N]],IF(Transactions[[#This Row],[Level 4]]=Transactions[[#This Row],[L6N]],Transactions[[#This Row],[L5N]],IF(Transactions[[#This Row],[Level 4]]=Transactions[[#This Row],[L7N]],Transactions[[#This Row],[L6N]],Transactions[[#This Row],[L7N]]))))))))</f>
        <v>Flared and vented</v>
      </c>
      <c r="AX95" s="24" t="str">
        <f>IF(Transactions[[#This Row],[Level 5]]=Transactions[[#This Row],[Transaction name]],Transactions[[#This Row],[Transaction name]],IF(Transactions[[#This Row],[Level 5]]=Transactions[[#This Row],[L1N]],Transactions[[#This Row],[Transaction name]],IF(Transactions[[#This Row],[Level 5]]=Transactions[[#This Row],[L2N]],Transactions[[#This Row],[L1N]],IF(Transactions[[#This Row],[Level 5]]=Transactions[[#This Row],[L3N]],Transactions[[#This Row],[L2N]],IF(Transactions[[#This Row],[Level 5]]=Transactions[[#This Row],[L4N]],Transactions[[#This Row],[L3N]],IF(Transactions[[#This Row],[Level 5]]=Transactions[[#This Row],[L5N]],Transactions[[#This Row],[L4N]],IF(Transactions[[#This Row],[Level 5]]=Transactions[[#This Row],[L6N]],Transactions[[#This Row],[L5N]],IF(Transactions[[#This Row],[Level 5]]=Transactions[[#This Row],[L7N]],Transactions[[#This Row],[L6N]],Transactions[[#This Row],[L7N]]))))))))</f>
        <v>Flared and vented</v>
      </c>
      <c r="AY95" s="24" t="str">
        <f>IF(Transactions[[#This Row],[Level 6]]=Transactions[[#This Row],[Transaction name]],Transactions[[#This Row],[Transaction name]],IF(Transactions[[#This Row],[Level 6]]=Transactions[[#This Row],[L1N]],Transactions[[#This Row],[Transaction name]],IF(Transactions[[#This Row],[Level 6]]=Transactions[[#This Row],[L2N]],Transactions[[#This Row],[L1N]],IF(Transactions[[#This Row],[Level 6]]=Transactions[[#This Row],[L3N]],Transactions[[#This Row],[L2N]],IF(Transactions[[#This Row],[Level 6]]=Transactions[[#This Row],[L4N]],Transactions[[#This Row],[L3N]],IF(Transactions[[#This Row],[Level 6]]=Transactions[[#This Row],[L5N]],Transactions[[#This Row],[L4N]],IF(Transactions[[#This Row],[Level 6]]=Transactions[[#This Row],[L6N]],Transactions[[#This Row],[L5N]],IF(Transactions[[#This Row],[Level 6]]=Transactions[[#This Row],[L7N]],Transactions[[#This Row],[L6N]],Transactions[[#This Row],[L7N]]))))))))</f>
        <v>Flared and vented</v>
      </c>
      <c r="BE95" s="26" t="str">
        <f>_xlfn.XLOOKUP(Transformation[[#This Row],[cfrom]],Commodities[Commodity],Commodities[Commodity code])</f>
        <v>7000</v>
      </c>
      <c r="BF95" s="26" t="str">
        <f>_xlfn.XLOOKUP(Transformation[[#This Row],[tfrom]],Transactions[Transaction name],Transactions[Transaction code])</f>
        <v>015STC</v>
      </c>
      <c r="BG95" s="26" t="str">
        <f>_xlfn.XLOOKUP(Transformation[[#This Row],[cto]],Commodities[Commodity],Commodities[Commodity code])</f>
        <v>8000</v>
      </c>
      <c r="BH95" s="26" t="str">
        <f>_xlfn.XLOOKUP(Transformation[[#This Row],[tto]],Transactions[Transaction name],Transactions[Transaction code])</f>
        <v>01</v>
      </c>
      <c r="BI95" s="31">
        <v>3</v>
      </c>
      <c r="BJ95" s="22" t="s">
        <v>544</v>
      </c>
      <c r="BK95" s="26" t="str">
        <f>_xlfn.XLOOKUP(Transformation[[#This Row],[Commodity from]],Commodities[Commodity code],Commodities[EnergyCode])</f>
        <v>EL</v>
      </c>
      <c r="BL95" s="22" t="s">
        <v>1298</v>
      </c>
      <c r="BM95" s="22" t="s">
        <v>262</v>
      </c>
      <c r="BN95" s="26" t="str">
        <f>_xlfn.XLOOKUP(Transformation[[#This Row],[Commodity to]],Commodities[Commodity code],Commodities[EnergyCode])</f>
        <v>ST</v>
      </c>
      <c r="BO95" s="22" t="s">
        <v>383</v>
      </c>
      <c r="BP95" s="22" t="s">
        <v>1671</v>
      </c>
      <c r="BQ95" s="33" t="str">
        <f>Transformation[[#This Row],[Commodity from]]&amp;Transformation[[#This Row],[Transaction from]]&amp;Transformation[[#This Row],[Commodity to]]&amp;Transformation[[#This Row],[Transaction to]]</f>
        <v>7000015STC800001</v>
      </c>
      <c r="BR95" s="26" t="str">
        <f>Transformation[[#This Row],[crfomid]]&amp;Transformation[[#This Row],[Transaction from]]&amp;"("&amp;Transformation[[#This Row],[Multiplier]]&amp;") -&gt; "&amp;Transformation[[#This Row],[ctoid]]&amp;Transformation[[#This Row],[Transaction to]]</f>
        <v>EL015STC(3) -&gt; ST01</v>
      </c>
      <c r="BT95" s="26" t="str">
        <f>_xlfn.XLOOKUP(Signswitch[[#This Row],[Commodity name]],Commodities[Commodity],Commodities[Commodity code])</f>
        <v>5232</v>
      </c>
      <c r="BU95" s="26" t="str">
        <f>_xlfn.XLOOKUP(Signswitch[[#This Row],[Transaction name]],Transactions[Transaction name],Transactions[Transaction code])</f>
        <v>1234</v>
      </c>
      <c r="BV95" s="26" t="str">
        <f>Signswitch[[#This Row],[Commodity from]]&amp;Signswitch[[#This Row],[Transaction from]]</f>
        <v>52321234</v>
      </c>
      <c r="BW95" s="22" t="s">
        <v>306</v>
      </c>
      <c r="BX95" s="26" t="str">
        <f>_xlfn.XLOOKUP(Signswitch[[#This Row],[Commodity from]],Commodities[Commodity code],Commodities[EnergyCode])</f>
        <v>ZJ</v>
      </c>
      <c r="BY95" s="22" t="s">
        <v>907</v>
      </c>
    </row>
    <row r="96" spans="8:77" x14ac:dyDescent="0.45">
      <c r="H96" s="9" t="s">
        <v>287</v>
      </c>
      <c r="I96" s="4" t="s">
        <v>295</v>
      </c>
      <c r="J96" s="9"/>
      <c r="K96" s="9"/>
      <c r="L96" s="23" t="str">
        <f>IFERROR(INDEX(Commodities[[Commodity code]:[Commodity]],MATCH(Commodities[[#This Row],[Parent code]],Commodities[Commodity code],0),2),Commodities[[#This Row],[Commodity]])</f>
        <v>Waste</v>
      </c>
      <c r="M96" s="24" t="str">
        <f>IFERROR(INDEX(Commodities[[Commodity code]:[Commodity]],MATCH(INDEX(Commodities[[Commodity]:[Parent code]],MATCH(Commodities[[#This Row],[L1N]],Commodities[Commodity],0),2),Commodities[Commodity code],0),2),Commodities[[#This Row],[L1N]])</f>
        <v>Waste</v>
      </c>
      <c r="N96" s="24" t="str">
        <f>IFERROR(INDEX(Commodities[[Commodity code]:[Commodity]],MATCH(INDEX(Commodities[[Commodity]:[Parent code]],MATCH(Commodities[[#This Row],[L2N]],Commodities[Commodity],0),2),Commodities[Commodity code],0),2),Commodities[[#This Row],[L2N]])</f>
        <v>Waste</v>
      </c>
      <c r="O96" s="24" t="str">
        <f>IFERROR(INDEX(Commodities[[Commodity code]:[Commodity]],MATCH(INDEX(Commodities[[Commodity]:[Parent code]],MATCH(Commodities[[#This Row],[L3N]],Commodities[Commodity],0),2),Commodities[Commodity code],0),2),Commodities[[#This Row],[L3N]])</f>
        <v>Waste</v>
      </c>
      <c r="P96" s="24" t="str">
        <f>IF(Commodities[[#This Row],[L4N]]=Commodities[[#This Row],[L3N]],Commodities[[#This Row],[L4N]],IF(Commodities[[#This Row],[L3N]]=Commodities[[#This Row],[L2N]],Commodities[[#This Row],[L3N]],IF(Commodities[[#This Row],[L2N]]=Commodities[[#This Row],[L1N]],Commodities[[#This Row],[L2N]],IF(Commodities[[#This Row],[L1N]]=Commodities[[#This Row],[Commodity]],Commodities[[#This Row],[L1N]],Commodities[[#This Row],[Commodity]]))))</f>
        <v>Waste</v>
      </c>
      <c r="Q96" s="24" t="str">
        <f>IF(Commodities[[#This Row],[Level 0]]=Commodities[[#This Row],[Commodity]],Commodities[[#This Row],[Commodity]],IF(Commodities[[#This Row],[Level 0]]=Commodities[[#This Row],[L1N]],Commodities[[#This Row],[Commodity]],IF(Commodities[[#This Row],[Level 0]]=Commodities[[#This Row],[L2N]],Commodities[[#This Row],[L1N]],IF(Commodities[[#This Row],[Level 0]]=Commodities[[#This Row],[L3N]],Commodities[[#This Row],[L2N]],IF(Commodities[[#This Row],[Level 0]]=Commodities[[#This Row],[L4N]],Commodities[[#This Row],[L3N]],Commodities[[#This Row],[L4N]])))))</f>
        <v>Waste</v>
      </c>
      <c r="R96" s="24" t="str">
        <f>IF(Commodities[[#This Row],[Level 1]]=Commodities[[#This Row],[Commodity]],Commodities[[#This Row],[Commodity]],IF(Commodities[[#This Row],[Level 1]]=Commodities[[#This Row],[L1N]],Commodities[[#This Row],[Commodity]],IF(Commodities[[#This Row],[Level 1]]=Commodities[[#This Row],[L2N]],Commodities[[#This Row],[L1N]],IF(Commodities[[#This Row],[Level 1]]=Commodities[[#This Row],[L3N]],Commodities[[#This Row],[L2N]],IF(Commodities[[#This Row],[Level 1]]=Commodities[[#This Row],[L4N]],Commodities[[#This Row],[L3N]],Commodities[[#This Row],[L4N]])))))</f>
        <v>Waste</v>
      </c>
      <c r="S96" s="24" t="str">
        <f>IF(Commodities[[#This Row],[Level 2]]=Commodities[[#This Row],[Commodity]],Commodities[[#This Row],[Commodity]],IF(Commodities[[#This Row],[Level 2]]=Commodities[[#This Row],[L1N]],Commodities[[#This Row],[Commodity]],IF(Commodities[[#This Row],[Level 2]]=Commodities[[#This Row],[L2N]],Commodities[[#This Row],[L1N]],IF(Commodities[[#This Row],[Level 2]]=Commodities[[#This Row],[L3N]],Commodities[[#This Row],[L2N]],IF(Commodities[[#This Row],[Level 2]]=Commodities[[#This Row],[L4N]],Commodities[[#This Row],[L3N]],Commodities[[#This Row],[L4N]])))))</f>
        <v>Waste</v>
      </c>
      <c r="T96" s="24" t="str">
        <f>IF(Commodities[[#This Row],[Level 3]]=Commodities[[#This Row],[Commodity]],Commodities[[#This Row],[Commodity]],IF(Commodities[[#This Row],[Level 3]]=Commodities[[#This Row],[L1N]],Commodities[[#This Row],[Commodity]],IF(Commodities[[#This Row],[Level 3]]=Commodities[[#This Row],[L2N]],Commodities[[#This Row],[L1N]],IF(Commodities[[#This Row],[Level 3]]=Commodities[[#This Row],[L3N]],Commodities[[#This Row],[L2N]],IF(Commodities[[#This Row],[Level 3]]=Commodities[[#This Row],[L4N]],Commodities[[#This Row],[L3N]],Commodities[[#This Row],[L4N]])))))</f>
        <v>Waste</v>
      </c>
      <c r="U96" s="24" t="str">
        <f>IF(Commodities[[#This Row],[Level 4]]=Commodities[[#This Row],[Commodity]],Commodities[[#This Row],[Commodity]],IF(Commodities[[#This Row],[Level 4]]=Commodities[[#This Row],[L1N]],Commodities[[#This Row],[Commodity]],IF(Commodities[[#This Row],[Level 4]]=Commodities[[#This Row],[L2N]],Commodities[[#This Row],[L1N]],IF(Commodities[[#This Row],[Level 4]]=Commodities[[#This Row],[L3N]],Commodities[[#This Row],[L2N]],IF(Commodities[[#This Row],[Level 4]]=Commodities[[#This Row],[L4N]],Commodities[[#This Row],[L3N]],Commodities[[#This Row],[L4N]])))))</f>
        <v>Waste</v>
      </c>
      <c r="Y96" s="5" t="s">
        <v>136</v>
      </c>
      <c r="Z96" s="4" t="s">
        <v>135</v>
      </c>
      <c r="AA96" s="4" t="s">
        <v>135</v>
      </c>
      <c r="AB96" s="6" t="s">
        <v>134</v>
      </c>
      <c r="AC96" s="24" t="str">
        <f>IFERROR(VLOOKUP(Transactions[[#This Row],[Parent code]],Transactions[[Transaction code]:[Transaction name]],2,0),"")</f>
        <v>Flared and vented</v>
      </c>
      <c r="AD96" s="4" t="s">
        <v>732</v>
      </c>
      <c r="AF96" s="4" t="s">
        <v>642</v>
      </c>
      <c r="AG96" s="4" t="s">
        <v>1</v>
      </c>
      <c r="AH96" s="4" t="s">
        <v>696</v>
      </c>
      <c r="AK96" s="24" t="str" cm="1">
        <f t="array" ref="AK96">IFERROR(INDEX(Transactions[[Transaction code]:[Transaction name]],_xlfn.XMATCH(Transactions[[#This Row],[Parent code]],Transactions[Transaction name],0),3),Transactions[[#This Row],[Transaction name]])</f>
        <v>Vented</v>
      </c>
      <c r="AL96" s="24" t="str" cm="1">
        <f t="array" ref="AL96">IFERROR(INDEX(Transactions[[Transaction code]:[Transaction name]],_xlfn.XMATCH(INDEX(Transactions[[Transaction name]:[Parent code]],_xlfn.XMATCH(Transactions[[#This Row],[L1N]],Transactions[Transaction name],0),3),Transactions[Transaction code],0),2),Transactions[[#This Row],[L1N]])</f>
        <v>Flared and vented</v>
      </c>
      <c r="AM96" s="24" t="str" cm="1">
        <f t="array" ref="AM96">IFERROR(INDEX(Transactions[[Transaction code]:[Transaction name]],_xlfn.XMATCH(INDEX(Transactions[[Transaction name]:[Parent code]],_xlfn.XMATCH(Transactions[[#This Row],[L2N]],Transactions[Transaction name],0),3),Transactions[Transaction code],0),2),Transactions[[#This Row],[L2N]])</f>
        <v>Flared and vented</v>
      </c>
      <c r="AN96" s="24" t="str" cm="1">
        <f t="array" ref="AN96">IFERROR(INDEX(Transactions[[Transaction code]:[Transaction name]],_xlfn.XMATCH(INDEX(Transactions[[Transaction name]:[Parent code]],_xlfn.XMATCH(Transactions[[#This Row],[L3N]],Transactions[Transaction name],0),3),Transactions[Transaction code],0),2),Transactions[[#This Row],[L3N]])</f>
        <v>Flared and vented</v>
      </c>
      <c r="AO96" s="24" t="str" cm="1">
        <f t="array" ref="AO96">IFERROR(INDEX(Transactions[[Transaction code]:[Transaction name]],_xlfn.XMATCH(INDEX(Transactions[[Transaction name]:[Parent code]],_xlfn.XMATCH(Transactions[[#This Row],[L4N]],Transactions[Transaction name],0),3),Transactions[Transaction code],0),2),Transactions[[#This Row],[L4N]])</f>
        <v>Flared and vented</v>
      </c>
      <c r="AP96" s="24" t="str" cm="1">
        <f t="array" ref="AP96">IFERROR(INDEX(Transactions[[Transaction code]:[Transaction name]],_xlfn.XMATCH(INDEX(Transactions[[Transaction name]:[Parent code]],_xlfn.XMATCH(Transactions[[#This Row],[L5N]],Transactions[Transaction name],0),3),Transactions[Transaction code],0),2),Transactions[[#This Row],[L5N]])</f>
        <v>Flared and vented</v>
      </c>
      <c r="AQ96" s="24" t="str" cm="1">
        <f t="array" ref="AQ96">IFERROR(INDEX(Transactions[[Transaction code]:[Transaction name]],_xlfn.XMATCH(INDEX(Transactions[[Transaction name]:[Parent code]],_xlfn.XMATCH(Transactions[[#This Row],[L6N]],Transactions[Transaction name],0),3),Transactions[Transaction code],0),2),Transactions[[#This Row],[L6N]])</f>
        <v>Flared and vented</v>
      </c>
      <c r="AR96" s="27" t="str">
        <f>IF(Transactions[[#This Row],[L7N]]=Transactions[[#This Row],[L6N]],Transactions[[#This Row],[L7N]],IF(Transactions[[#This Row],[L6N]]=Transactions[[#This Row],[L5N]],Transactions[[#This Row],[L6N]],IF(Transactions[[#This Row],[L5N]]=Transactions[[#This Row],[L4N]],Transactions[[#This Row],[L5N]],IF(Transactions[[#This Row],[L4N]]=Transactions[[#This Row],[L3N]],Transactions[[#This Row],[L4N]],IF(Transactions[[#This Row],[L3N]]=Transactions[[#This Row],[L2N]],Transactions[[#This Row],[L3N]],IF(Transactions[[#This Row],[L2N]]=Transactions[[#This Row],[L1N]],Transactions[[#This Row],[L2N]],IF(Transactions[[#This Row],[L1N]]=Transactions[[#This Row],[Transaction name]],Transactions[[#This Row],[L1N]],Transactions[[#This Row],[Transaction name]])))))))</f>
        <v>Flared and vented</v>
      </c>
      <c r="AS96" s="24" t="str">
        <f>IF(Transactions[[#This Row],[Level 0]]=Transactions[[#This Row],[Transaction name]],Transactions[[#This Row],[Transaction name]],IF(Transactions[[#This Row],[Level 0]]=Transactions[[#This Row],[L1N]],Transactions[[#This Row],[Transaction name]],IF(Transactions[[#This Row],[Level 0]]=Transactions[[#This Row],[L2N]],Transactions[[#This Row],[L1N]],IF(Transactions[[#This Row],[Level 0]]=Transactions[[#This Row],[L3N]],Transactions[[#This Row],[L2N]],IF(Transactions[[#This Row],[Level 0]]=Transactions[[#This Row],[L4N]],Transactions[[#This Row],[L3N]],IF(Transactions[[#This Row],[Level 0]]=Transactions[[#This Row],[L5N]],Transactions[[#This Row],[L4N]],IF(Transactions[[#This Row],[Level 0]]=Transactions[[#This Row],[L6N]],Transactions[[#This Row],[L5N]],IF(Transactions[[#This Row],[Level 0]]=Transactions[[#This Row],[L7N]],Transactions[[#This Row],[L6N]],Transactions[[#This Row],[L7N]]))))))))</f>
        <v>Vented</v>
      </c>
      <c r="AT96" s="24" t="str">
        <f>IF(Transactions[[#This Row],[Level 1]]=Transactions[[#This Row],[Transaction name]],Transactions[[#This Row],[Transaction name]],IF(Transactions[[#This Row],[Level 1]]=Transactions[[#This Row],[L1N]],Transactions[[#This Row],[Transaction name]],IF(Transactions[[#This Row],[Level 1]]=Transactions[[#This Row],[L2N]],Transactions[[#This Row],[L1N]],IF(Transactions[[#This Row],[Level 1]]=Transactions[[#This Row],[L3N]],Transactions[[#This Row],[L2N]],IF(Transactions[[#This Row],[Level 1]]=Transactions[[#This Row],[L4N]],Transactions[[#This Row],[L3N]],IF(Transactions[[#This Row],[Level 1]]=Transactions[[#This Row],[L5N]],Transactions[[#This Row],[L4N]],IF(Transactions[[#This Row],[Level 1]]=Transactions[[#This Row],[L6N]],Transactions[[#This Row],[L5N]],IF(Transactions[[#This Row],[Level 1]]=Transactions[[#This Row],[L7N]],Transactions[[#This Row],[L6N]],Transactions[[#This Row],[L7N]]))))))))</f>
        <v>Vented</v>
      </c>
      <c r="AU96" s="24" t="str">
        <f>IF(Transactions[[#This Row],[Level 2]]=Transactions[[#This Row],[Transaction name]],Transactions[[#This Row],[Transaction name]],IF(Transactions[[#This Row],[Level 2]]=Transactions[[#This Row],[L1N]],Transactions[[#This Row],[Transaction name]],IF(Transactions[[#This Row],[Level 2]]=Transactions[[#This Row],[L2N]],Transactions[[#This Row],[L1N]],IF(Transactions[[#This Row],[Level 2]]=Transactions[[#This Row],[L3N]],Transactions[[#This Row],[L2N]],IF(Transactions[[#This Row],[Level 2]]=Transactions[[#This Row],[L4N]],Transactions[[#This Row],[L3N]],IF(Transactions[[#This Row],[Level 2]]=Transactions[[#This Row],[L5N]],Transactions[[#This Row],[L4N]],IF(Transactions[[#This Row],[Level 2]]=Transactions[[#This Row],[L6N]],Transactions[[#This Row],[L5N]],IF(Transactions[[#This Row],[Level 2]]=Transactions[[#This Row],[L7N]],Transactions[[#This Row],[L6N]],Transactions[[#This Row],[L7N]]))))))))</f>
        <v>Vented</v>
      </c>
      <c r="AV96" s="24" t="str">
        <f>IF(Transactions[[#This Row],[Level 3]]=Transactions[[#This Row],[Transaction name]],Transactions[[#This Row],[Transaction name]],IF(Transactions[[#This Row],[Level 3]]=Transactions[[#This Row],[L1N]],Transactions[[#This Row],[Transaction name]],IF(Transactions[[#This Row],[Level 3]]=Transactions[[#This Row],[L2N]],Transactions[[#This Row],[L1N]],IF(Transactions[[#This Row],[Level 3]]=Transactions[[#This Row],[L3N]],Transactions[[#This Row],[L2N]],IF(Transactions[[#This Row],[Level 3]]=Transactions[[#This Row],[L4N]],Transactions[[#This Row],[L3N]],IF(Transactions[[#This Row],[Level 3]]=Transactions[[#This Row],[L5N]],Transactions[[#This Row],[L4N]],IF(Transactions[[#This Row],[Level 3]]=Transactions[[#This Row],[L6N]],Transactions[[#This Row],[L5N]],IF(Transactions[[#This Row],[Level 3]]=Transactions[[#This Row],[L7N]],Transactions[[#This Row],[L6N]],Transactions[[#This Row],[L7N]]))))))))</f>
        <v>Vented</v>
      </c>
      <c r="AW96" s="24" t="str">
        <f>IF(Transactions[[#This Row],[Level 4]]=Transactions[[#This Row],[Transaction name]],Transactions[[#This Row],[Transaction name]],IF(Transactions[[#This Row],[Level 4]]=Transactions[[#This Row],[L1N]],Transactions[[#This Row],[Transaction name]],IF(Transactions[[#This Row],[Level 4]]=Transactions[[#This Row],[L2N]],Transactions[[#This Row],[L1N]],IF(Transactions[[#This Row],[Level 4]]=Transactions[[#This Row],[L3N]],Transactions[[#This Row],[L2N]],IF(Transactions[[#This Row],[Level 4]]=Transactions[[#This Row],[L4N]],Transactions[[#This Row],[L3N]],IF(Transactions[[#This Row],[Level 4]]=Transactions[[#This Row],[L5N]],Transactions[[#This Row],[L4N]],IF(Transactions[[#This Row],[Level 4]]=Transactions[[#This Row],[L6N]],Transactions[[#This Row],[L5N]],IF(Transactions[[#This Row],[Level 4]]=Transactions[[#This Row],[L7N]],Transactions[[#This Row],[L6N]],Transactions[[#This Row],[L7N]]))))))))</f>
        <v>Vented</v>
      </c>
      <c r="AX96" s="24" t="str">
        <f>IF(Transactions[[#This Row],[Level 5]]=Transactions[[#This Row],[Transaction name]],Transactions[[#This Row],[Transaction name]],IF(Transactions[[#This Row],[Level 5]]=Transactions[[#This Row],[L1N]],Transactions[[#This Row],[Transaction name]],IF(Transactions[[#This Row],[Level 5]]=Transactions[[#This Row],[L2N]],Transactions[[#This Row],[L1N]],IF(Transactions[[#This Row],[Level 5]]=Transactions[[#This Row],[L3N]],Transactions[[#This Row],[L2N]],IF(Transactions[[#This Row],[Level 5]]=Transactions[[#This Row],[L4N]],Transactions[[#This Row],[L3N]],IF(Transactions[[#This Row],[Level 5]]=Transactions[[#This Row],[L5N]],Transactions[[#This Row],[L4N]],IF(Transactions[[#This Row],[Level 5]]=Transactions[[#This Row],[L6N]],Transactions[[#This Row],[L5N]],IF(Transactions[[#This Row],[Level 5]]=Transactions[[#This Row],[L7N]],Transactions[[#This Row],[L6N]],Transactions[[#This Row],[L7N]]))))))))</f>
        <v>Vented</v>
      </c>
      <c r="AY96" s="24" t="str">
        <f>IF(Transactions[[#This Row],[Level 6]]=Transactions[[#This Row],[Transaction name]],Transactions[[#This Row],[Transaction name]],IF(Transactions[[#This Row],[Level 6]]=Transactions[[#This Row],[L1N]],Transactions[[#This Row],[Transaction name]],IF(Transactions[[#This Row],[Level 6]]=Transactions[[#This Row],[L2N]],Transactions[[#This Row],[L1N]],IF(Transactions[[#This Row],[Level 6]]=Transactions[[#This Row],[L3N]],Transactions[[#This Row],[L2N]],IF(Transactions[[#This Row],[Level 6]]=Transactions[[#This Row],[L4N]],Transactions[[#This Row],[L3N]],IF(Transactions[[#This Row],[Level 6]]=Transactions[[#This Row],[L5N]],Transactions[[#This Row],[L4N]],IF(Transactions[[#This Row],[Level 6]]=Transactions[[#This Row],[L6N]],Transactions[[#This Row],[L5N]],IF(Transactions[[#This Row],[Level 6]]=Transactions[[#This Row],[L7N]],Transactions[[#This Row],[L6N]],Transactions[[#This Row],[L7N]]))))))))</f>
        <v>Vented</v>
      </c>
      <c r="BE96" s="26" t="str">
        <f>_xlfn.XLOOKUP(Transformation[[#This Row],[cfrom]],Commodities[Commodity],Commodities[Commodity code])</f>
        <v>7000T</v>
      </c>
      <c r="BF96" s="26" t="str">
        <f>_xlfn.XLOOKUP(Transformation[[#This Row],[tfrom]],Transactions[Transaction name],Transactions[Transaction code])</f>
        <v>01BS</v>
      </c>
      <c r="BG96" s="26" t="str">
        <f>_xlfn.XLOOKUP(Transformation[[#This Row],[cto]],Commodities[Commodity],Commodities[Commodity code])</f>
        <v>7000T</v>
      </c>
      <c r="BH96" s="26" t="str">
        <f>_xlfn.XLOOKUP(Transformation[[#This Row],[tto]],Transactions[Transaction name],Transactions[Transaction code])</f>
        <v>01SBFO</v>
      </c>
      <c r="BI96" s="17">
        <v>-1</v>
      </c>
      <c r="BJ96" s="16" t="s">
        <v>269</v>
      </c>
      <c r="BK96" s="34" t="str">
        <f>_xlfn.XLOOKUP(Transformation[[#This Row],[Commodity from]],Commodities[Commodity code],Commodities[EnergyCode])</f>
        <v>ET</v>
      </c>
      <c r="BL96" s="16" t="s">
        <v>815</v>
      </c>
      <c r="BM96" s="16" t="s">
        <v>269</v>
      </c>
      <c r="BN96" s="34" t="str">
        <f>_xlfn.XLOOKUP(Transformation[[#This Row],[Commodity to]],Commodities[Commodity code],Commodities[EnergyCode])</f>
        <v>ET</v>
      </c>
      <c r="BO96" s="16" t="s">
        <v>1490</v>
      </c>
      <c r="BP96" s="16" t="s">
        <v>1492</v>
      </c>
      <c r="BQ96" s="33" t="str">
        <f>Transformation[[#This Row],[Commodity from]]&amp;Transformation[[#This Row],[Transaction from]]&amp;Transformation[[#This Row],[Commodity to]]&amp;Transformation[[#This Row],[Transaction to]]</f>
        <v>7000T01BS7000T01SBFO</v>
      </c>
      <c r="BR96" s="26" t="str">
        <f>Transformation[[#This Row],[crfomid]]&amp;Transformation[[#This Row],[Transaction from]]&amp;"("&amp;Transformation[[#This Row],[Multiplier]]&amp;") -&gt; "&amp;Transformation[[#This Row],[ctoid]]&amp;Transformation[[#This Row],[Transaction to]]</f>
        <v>ET01BS(-1) -&gt; ET01SBFO</v>
      </c>
      <c r="BT96" s="26" t="str">
        <f>_xlfn.XLOOKUP(Signswitch[[#This Row],[Commodity name]],Commodities[Commodity],Commodities[Commodity code])</f>
        <v>5222</v>
      </c>
      <c r="BU96" s="26" t="str">
        <f>_xlfn.XLOOKUP(Signswitch[[#This Row],[Transaction name]],Transactions[Transaction name],Transactions[Transaction code])</f>
        <v>1234</v>
      </c>
      <c r="BV96" s="26" t="str">
        <f>Signswitch[[#This Row],[Commodity from]]&amp;Signswitch[[#This Row],[Transaction from]]</f>
        <v>52221234</v>
      </c>
      <c r="BW96" s="22" t="s">
        <v>962</v>
      </c>
      <c r="BX96" s="26" t="str">
        <f>_xlfn.XLOOKUP(Signswitch[[#This Row],[Commodity from]],Commodities[Commodity code],Commodities[EnergyCode])</f>
        <v>ZD</v>
      </c>
      <c r="BY96" s="22" t="s">
        <v>907</v>
      </c>
    </row>
    <row r="97" spans="8:77" x14ac:dyDescent="0.45">
      <c r="H97" s="4" t="s">
        <v>578</v>
      </c>
      <c r="I97" s="4" t="s">
        <v>577</v>
      </c>
      <c r="L97" s="24" t="str">
        <f>IFERROR(INDEX(Commodities[[Commodity code]:[Commodity]],MATCH(Commodities[[#This Row],[Parent code]],Commodities[Commodity code],0),2),Commodities[[#This Row],[Commodity]])</f>
        <v>Primary coal and peat</v>
      </c>
      <c r="M97" s="24" t="str">
        <f>IFERROR(INDEX(Commodities[[Commodity code]:[Commodity]],MATCH(INDEX(Commodities[[Commodity]:[Parent code]],MATCH(Commodities[[#This Row],[L1N]],Commodities[Commodity],0),2),Commodities[Commodity code],0),2),Commodities[[#This Row],[L1N]])</f>
        <v>Primary coal and peat</v>
      </c>
      <c r="N97" s="24" t="str">
        <f>IFERROR(INDEX(Commodities[[Commodity code]:[Commodity]],MATCH(INDEX(Commodities[[Commodity]:[Parent code]],MATCH(Commodities[[#This Row],[L2N]],Commodities[Commodity],0),2),Commodities[Commodity code],0),2),Commodities[[#This Row],[L2N]])</f>
        <v>Primary coal and peat</v>
      </c>
      <c r="O97" s="24" t="str">
        <f>IFERROR(INDEX(Commodities[[Commodity code]:[Commodity]],MATCH(INDEX(Commodities[[Commodity]:[Parent code]],MATCH(Commodities[[#This Row],[L3N]],Commodities[Commodity],0),2),Commodities[Commodity code],0),2),Commodities[[#This Row],[L3N]])</f>
        <v>Primary coal and peat</v>
      </c>
      <c r="P97" s="24" t="str">
        <f>IF(Commodities[[#This Row],[L4N]]=Commodities[[#This Row],[L3N]],Commodities[[#This Row],[L4N]],IF(Commodities[[#This Row],[L3N]]=Commodities[[#This Row],[L2N]],Commodities[[#This Row],[L3N]],IF(Commodities[[#This Row],[L2N]]=Commodities[[#This Row],[L1N]],Commodities[[#This Row],[L2N]],IF(Commodities[[#This Row],[L1N]]=Commodities[[#This Row],[Commodity]],Commodities[[#This Row],[L1N]],Commodities[[#This Row],[Commodity]]))))</f>
        <v>Primary coal and peat</v>
      </c>
      <c r="Q97" s="24" t="str">
        <f>IF(Commodities[[#This Row],[Level 0]]=Commodities[[#This Row],[Commodity]],Commodities[[#This Row],[Commodity]],IF(Commodities[[#This Row],[Level 0]]=Commodities[[#This Row],[L1N]],Commodities[[#This Row],[Commodity]],IF(Commodities[[#This Row],[Level 0]]=Commodities[[#This Row],[L2N]],Commodities[[#This Row],[L1N]],IF(Commodities[[#This Row],[Level 0]]=Commodities[[#This Row],[L3N]],Commodities[[#This Row],[L2N]],IF(Commodities[[#This Row],[Level 0]]=Commodities[[#This Row],[L4N]],Commodities[[#This Row],[L3N]],Commodities[[#This Row],[L4N]])))))</f>
        <v>Primary coal and peat</v>
      </c>
      <c r="R97" s="24" t="str">
        <f>IF(Commodities[[#This Row],[Level 1]]=Commodities[[#This Row],[Commodity]],Commodities[[#This Row],[Commodity]],IF(Commodities[[#This Row],[Level 1]]=Commodities[[#This Row],[L1N]],Commodities[[#This Row],[Commodity]],IF(Commodities[[#This Row],[Level 1]]=Commodities[[#This Row],[L2N]],Commodities[[#This Row],[L1N]],IF(Commodities[[#This Row],[Level 1]]=Commodities[[#This Row],[L3N]],Commodities[[#This Row],[L2N]],IF(Commodities[[#This Row],[Level 1]]=Commodities[[#This Row],[L4N]],Commodities[[#This Row],[L3N]],Commodities[[#This Row],[L4N]])))))</f>
        <v>Primary coal and peat</v>
      </c>
      <c r="S97" s="24" t="str">
        <f>IF(Commodities[[#This Row],[Level 2]]=Commodities[[#This Row],[Commodity]],Commodities[[#This Row],[Commodity]],IF(Commodities[[#This Row],[Level 2]]=Commodities[[#This Row],[L1N]],Commodities[[#This Row],[Commodity]],IF(Commodities[[#This Row],[Level 2]]=Commodities[[#This Row],[L2N]],Commodities[[#This Row],[L1N]],IF(Commodities[[#This Row],[Level 2]]=Commodities[[#This Row],[L3N]],Commodities[[#This Row],[L2N]],IF(Commodities[[#This Row],[Level 2]]=Commodities[[#This Row],[L4N]],Commodities[[#This Row],[L3N]],Commodities[[#This Row],[L4N]])))))</f>
        <v>Primary coal and peat</v>
      </c>
      <c r="T97" s="24" t="str">
        <f>IF(Commodities[[#This Row],[Level 3]]=Commodities[[#This Row],[Commodity]],Commodities[[#This Row],[Commodity]],IF(Commodities[[#This Row],[Level 3]]=Commodities[[#This Row],[L1N]],Commodities[[#This Row],[Commodity]],IF(Commodities[[#This Row],[Level 3]]=Commodities[[#This Row],[L2N]],Commodities[[#This Row],[L1N]],IF(Commodities[[#This Row],[Level 3]]=Commodities[[#This Row],[L3N]],Commodities[[#This Row],[L2N]],IF(Commodities[[#This Row],[Level 3]]=Commodities[[#This Row],[L4N]],Commodities[[#This Row],[L3N]],Commodities[[#This Row],[L4N]])))))</f>
        <v>Primary coal and peat</v>
      </c>
      <c r="U97" s="24" t="str">
        <f>IF(Commodities[[#This Row],[Level 4]]=Commodities[[#This Row],[Commodity]],Commodities[[#This Row],[Commodity]],IF(Commodities[[#This Row],[Level 4]]=Commodities[[#This Row],[L1N]],Commodities[[#This Row],[Commodity]],IF(Commodities[[#This Row],[Level 4]]=Commodities[[#This Row],[L2N]],Commodities[[#This Row],[L1N]],IF(Commodities[[#This Row],[Level 4]]=Commodities[[#This Row],[L3N]],Commodities[[#This Row],[L2N]],IF(Commodities[[#This Row],[Level 4]]=Commodities[[#This Row],[L4N]],Commodities[[#This Row],[L3N]],Commodities[[#This Row],[L4N]])))))</f>
        <v>Primary coal and peat</v>
      </c>
      <c r="Y97" s="4" t="s">
        <v>620</v>
      </c>
      <c r="Z97" s="4" t="s">
        <v>851</v>
      </c>
      <c r="AA97" s="4" t="s">
        <v>851</v>
      </c>
      <c r="AC97" s="24" t="str">
        <f>IFERROR(VLOOKUP(Transactions[[#This Row],[Parent code]],Transactions[[Transaction code]:[Transaction name]],2,0),"")</f>
        <v/>
      </c>
      <c r="AD97" s="4" t="s">
        <v>189</v>
      </c>
      <c r="AF97" s="4" t="s">
        <v>642</v>
      </c>
      <c r="AG97" s="4" t="s">
        <v>385</v>
      </c>
      <c r="AK97" s="24" t="str" cm="1">
        <f t="array" ref="AK97">IFERROR(INDEX(Transactions[[Transaction code]:[Transaction name]],_xlfn.XMATCH(Transactions[[#This Row],[Parent code]],Transactions[Transaction name],0),3),Transactions[[#This Row],[Transaction name]])</f>
        <v>Gas works (S)</v>
      </c>
      <c r="AL97" s="24" t="str" cm="1">
        <f t="array" ref="AL97">IFERROR(INDEX(Transactions[[Transaction code]:[Transaction name]],_xlfn.XMATCH(INDEX(Transactions[[Transaction name]:[Parent code]],_xlfn.XMATCH(Transactions[[#This Row],[L1N]],Transactions[Transaction name],0),3),Transactions[Transaction code],0),2),Transactions[[#This Row],[L1N]])</f>
        <v>Gas works (S)</v>
      </c>
      <c r="AM97" s="24" t="str" cm="1">
        <f t="array" ref="AM97">IFERROR(INDEX(Transactions[[Transaction code]:[Transaction name]],_xlfn.XMATCH(INDEX(Transactions[[Transaction name]:[Parent code]],_xlfn.XMATCH(Transactions[[#This Row],[L2N]],Transactions[Transaction name],0),3),Transactions[Transaction code],0),2),Transactions[[#This Row],[L2N]])</f>
        <v>Gas works (S)</v>
      </c>
      <c r="AN97" s="24" t="str" cm="1">
        <f t="array" ref="AN97">IFERROR(INDEX(Transactions[[Transaction code]:[Transaction name]],_xlfn.XMATCH(INDEX(Transactions[[Transaction name]:[Parent code]],_xlfn.XMATCH(Transactions[[#This Row],[L3N]],Transactions[Transaction name],0),3),Transactions[Transaction code],0),2),Transactions[[#This Row],[L3N]])</f>
        <v>Gas works (S)</v>
      </c>
      <c r="AO97" s="24" t="str" cm="1">
        <f t="array" ref="AO97">IFERROR(INDEX(Transactions[[Transaction code]:[Transaction name]],_xlfn.XMATCH(INDEX(Transactions[[Transaction name]:[Parent code]],_xlfn.XMATCH(Transactions[[#This Row],[L4N]],Transactions[Transaction name],0),3),Transactions[Transaction code],0),2),Transactions[[#This Row],[L4N]])</f>
        <v>Gas works (S)</v>
      </c>
      <c r="AP97" s="24" t="str" cm="1">
        <f t="array" ref="AP97">IFERROR(INDEX(Transactions[[Transaction code]:[Transaction name]],_xlfn.XMATCH(INDEX(Transactions[[Transaction name]:[Parent code]],_xlfn.XMATCH(Transactions[[#This Row],[L5N]],Transactions[Transaction name],0),3),Transactions[Transaction code],0),2),Transactions[[#This Row],[L5N]])</f>
        <v>Gas works (S)</v>
      </c>
      <c r="AQ97" s="24" t="str" cm="1">
        <f t="array" ref="AQ97">IFERROR(INDEX(Transactions[[Transaction code]:[Transaction name]],_xlfn.XMATCH(INDEX(Transactions[[Transaction name]:[Parent code]],_xlfn.XMATCH(Transactions[[#This Row],[L6N]],Transactions[Transaction name],0),3),Transactions[Transaction code],0),2),Transactions[[#This Row],[L6N]])</f>
        <v>Gas works (S)</v>
      </c>
      <c r="AR97" s="27" t="str">
        <f>IF(Transactions[[#This Row],[L7N]]=Transactions[[#This Row],[L6N]],Transactions[[#This Row],[L7N]],IF(Transactions[[#This Row],[L6N]]=Transactions[[#This Row],[L5N]],Transactions[[#This Row],[L6N]],IF(Transactions[[#This Row],[L5N]]=Transactions[[#This Row],[L4N]],Transactions[[#This Row],[L5N]],IF(Transactions[[#This Row],[L4N]]=Transactions[[#This Row],[L3N]],Transactions[[#This Row],[L4N]],IF(Transactions[[#This Row],[L3N]]=Transactions[[#This Row],[L2N]],Transactions[[#This Row],[L3N]],IF(Transactions[[#This Row],[L2N]]=Transactions[[#This Row],[L1N]],Transactions[[#This Row],[L2N]],IF(Transactions[[#This Row],[L1N]]=Transactions[[#This Row],[Transaction name]],Transactions[[#This Row],[L1N]],Transactions[[#This Row],[Transaction name]])))))))</f>
        <v>Gas works (S)</v>
      </c>
      <c r="AS97" s="24" t="str">
        <f>IF(Transactions[[#This Row],[Level 0]]=Transactions[[#This Row],[Transaction name]],Transactions[[#This Row],[Transaction name]],IF(Transactions[[#This Row],[Level 0]]=Transactions[[#This Row],[L1N]],Transactions[[#This Row],[Transaction name]],IF(Transactions[[#This Row],[Level 0]]=Transactions[[#This Row],[L2N]],Transactions[[#This Row],[L1N]],IF(Transactions[[#This Row],[Level 0]]=Transactions[[#This Row],[L3N]],Transactions[[#This Row],[L2N]],IF(Transactions[[#This Row],[Level 0]]=Transactions[[#This Row],[L4N]],Transactions[[#This Row],[L3N]],IF(Transactions[[#This Row],[Level 0]]=Transactions[[#This Row],[L5N]],Transactions[[#This Row],[L4N]],IF(Transactions[[#This Row],[Level 0]]=Transactions[[#This Row],[L6N]],Transactions[[#This Row],[L5N]],IF(Transactions[[#This Row],[Level 0]]=Transactions[[#This Row],[L7N]],Transactions[[#This Row],[L6N]],Transactions[[#This Row],[L7N]]))))))))</f>
        <v>Gas works (S)</v>
      </c>
      <c r="AT97" s="24" t="str">
        <f>IF(Transactions[[#This Row],[Level 1]]=Transactions[[#This Row],[Transaction name]],Transactions[[#This Row],[Transaction name]],IF(Transactions[[#This Row],[Level 1]]=Transactions[[#This Row],[L1N]],Transactions[[#This Row],[Transaction name]],IF(Transactions[[#This Row],[Level 1]]=Transactions[[#This Row],[L2N]],Transactions[[#This Row],[L1N]],IF(Transactions[[#This Row],[Level 1]]=Transactions[[#This Row],[L3N]],Transactions[[#This Row],[L2N]],IF(Transactions[[#This Row],[Level 1]]=Transactions[[#This Row],[L4N]],Transactions[[#This Row],[L3N]],IF(Transactions[[#This Row],[Level 1]]=Transactions[[#This Row],[L5N]],Transactions[[#This Row],[L4N]],IF(Transactions[[#This Row],[Level 1]]=Transactions[[#This Row],[L6N]],Transactions[[#This Row],[L5N]],IF(Transactions[[#This Row],[Level 1]]=Transactions[[#This Row],[L7N]],Transactions[[#This Row],[L6N]],Transactions[[#This Row],[L7N]]))))))))</f>
        <v>Gas works (S)</v>
      </c>
      <c r="AU97" s="24" t="str">
        <f>IF(Transactions[[#This Row],[Level 2]]=Transactions[[#This Row],[Transaction name]],Transactions[[#This Row],[Transaction name]],IF(Transactions[[#This Row],[Level 2]]=Transactions[[#This Row],[L1N]],Transactions[[#This Row],[Transaction name]],IF(Transactions[[#This Row],[Level 2]]=Transactions[[#This Row],[L2N]],Transactions[[#This Row],[L1N]],IF(Transactions[[#This Row],[Level 2]]=Transactions[[#This Row],[L3N]],Transactions[[#This Row],[L2N]],IF(Transactions[[#This Row],[Level 2]]=Transactions[[#This Row],[L4N]],Transactions[[#This Row],[L3N]],IF(Transactions[[#This Row],[Level 2]]=Transactions[[#This Row],[L5N]],Transactions[[#This Row],[L4N]],IF(Transactions[[#This Row],[Level 2]]=Transactions[[#This Row],[L6N]],Transactions[[#This Row],[L5N]],IF(Transactions[[#This Row],[Level 2]]=Transactions[[#This Row],[L7N]],Transactions[[#This Row],[L6N]],Transactions[[#This Row],[L7N]]))))))))</f>
        <v>Gas works (S)</v>
      </c>
      <c r="AV97" s="24" t="str">
        <f>IF(Transactions[[#This Row],[Level 3]]=Transactions[[#This Row],[Transaction name]],Transactions[[#This Row],[Transaction name]],IF(Transactions[[#This Row],[Level 3]]=Transactions[[#This Row],[L1N]],Transactions[[#This Row],[Transaction name]],IF(Transactions[[#This Row],[Level 3]]=Transactions[[#This Row],[L2N]],Transactions[[#This Row],[L1N]],IF(Transactions[[#This Row],[Level 3]]=Transactions[[#This Row],[L3N]],Transactions[[#This Row],[L2N]],IF(Transactions[[#This Row],[Level 3]]=Transactions[[#This Row],[L4N]],Transactions[[#This Row],[L3N]],IF(Transactions[[#This Row],[Level 3]]=Transactions[[#This Row],[L5N]],Transactions[[#This Row],[L4N]],IF(Transactions[[#This Row],[Level 3]]=Transactions[[#This Row],[L6N]],Transactions[[#This Row],[L5N]],IF(Transactions[[#This Row],[Level 3]]=Transactions[[#This Row],[L7N]],Transactions[[#This Row],[L6N]],Transactions[[#This Row],[L7N]]))))))))</f>
        <v>Gas works (S)</v>
      </c>
      <c r="AW97" s="24" t="str">
        <f>IF(Transactions[[#This Row],[Level 4]]=Transactions[[#This Row],[Transaction name]],Transactions[[#This Row],[Transaction name]],IF(Transactions[[#This Row],[Level 4]]=Transactions[[#This Row],[L1N]],Transactions[[#This Row],[Transaction name]],IF(Transactions[[#This Row],[Level 4]]=Transactions[[#This Row],[L2N]],Transactions[[#This Row],[L1N]],IF(Transactions[[#This Row],[Level 4]]=Transactions[[#This Row],[L3N]],Transactions[[#This Row],[L2N]],IF(Transactions[[#This Row],[Level 4]]=Transactions[[#This Row],[L4N]],Transactions[[#This Row],[L3N]],IF(Transactions[[#This Row],[Level 4]]=Transactions[[#This Row],[L5N]],Transactions[[#This Row],[L4N]],IF(Transactions[[#This Row],[Level 4]]=Transactions[[#This Row],[L6N]],Transactions[[#This Row],[L5N]],IF(Transactions[[#This Row],[Level 4]]=Transactions[[#This Row],[L7N]],Transactions[[#This Row],[L6N]],Transactions[[#This Row],[L7N]]))))))))</f>
        <v>Gas works (S)</v>
      </c>
      <c r="AX97" s="24" t="str">
        <f>IF(Transactions[[#This Row],[Level 5]]=Transactions[[#This Row],[Transaction name]],Transactions[[#This Row],[Transaction name]],IF(Transactions[[#This Row],[Level 5]]=Transactions[[#This Row],[L1N]],Transactions[[#This Row],[Transaction name]],IF(Transactions[[#This Row],[Level 5]]=Transactions[[#This Row],[L2N]],Transactions[[#This Row],[L1N]],IF(Transactions[[#This Row],[Level 5]]=Transactions[[#This Row],[L3N]],Transactions[[#This Row],[L2N]],IF(Transactions[[#This Row],[Level 5]]=Transactions[[#This Row],[L4N]],Transactions[[#This Row],[L3N]],IF(Transactions[[#This Row],[Level 5]]=Transactions[[#This Row],[L5N]],Transactions[[#This Row],[L4N]],IF(Transactions[[#This Row],[Level 5]]=Transactions[[#This Row],[L6N]],Transactions[[#This Row],[L5N]],IF(Transactions[[#This Row],[Level 5]]=Transactions[[#This Row],[L7N]],Transactions[[#This Row],[L6N]],Transactions[[#This Row],[L7N]]))))))))</f>
        <v>Gas works (S)</v>
      </c>
      <c r="AY97" s="24" t="str">
        <f>IF(Transactions[[#This Row],[Level 6]]=Transactions[[#This Row],[Transaction name]],Transactions[[#This Row],[Transaction name]],IF(Transactions[[#This Row],[Level 6]]=Transactions[[#This Row],[L1N]],Transactions[[#This Row],[Transaction name]],IF(Transactions[[#This Row],[Level 6]]=Transactions[[#This Row],[L2N]],Transactions[[#This Row],[L1N]],IF(Transactions[[#This Row],[Level 6]]=Transactions[[#This Row],[L3N]],Transactions[[#This Row],[L2N]],IF(Transactions[[#This Row],[Level 6]]=Transactions[[#This Row],[L4N]],Transactions[[#This Row],[L3N]],IF(Transactions[[#This Row],[Level 6]]=Transactions[[#This Row],[L5N]],Transactions[[#This Row],[L4N]],IF(Transactions[[#This Row],[Level 6]]=Transactions[[#This Row],[L6N]],Transactions[[#This Row],[L5N]],IF(Transactions[[#This Row],[Level 6]]=Transactions[[#This Row],[L7N]],Transactions[[#This Row],[L6N]],Transactions[[#This Row],[L7N]]))))))))</f>
        <v>Gas works (S)</v>
      </c>
      <c r="BE97" s="26" t="str">
        <f>_xlfn.XLOOKUP(Transformation[[#This Row],[cfrom]],Commodities[Commodity],Commodities[Commodity code])</f>
        <v>8000T</v>
      </c>
      <c r="BF97" s="26" t="str">
        <f>_xlfn.XLOOKUP(Transformation[[#This Row],[tfrom]],Transactions[Transaction name],Transactions[Transaction code])</f>
        <v>01BS</v>
      </c>
      <c r="BG97" s="26" t="str">
        <f>_xlfn.XLOOKUP(Transformation[[#This Row],[cto]],Commodities[Commodity],Commodities[Commodity code])</f>
        <v>8000T</v>
      </c>
      <c r="BH97" s="26" t="str">
        <f>_xlfn.XLOOKUP(Transformation[[#This Row],[tto]],Transactions[Transaction name],Transactions[Transaction code])</f>
        <v>01SBFO</v>
      </c>
      <c r="BI97" s="17">
        <v>-1</v>
      </c>
      <c r="BJ97" s="16" t="s">
        <v>260</v>
      </c>
      <c r="BK97" s="34" t="str">
        <f>_xlfn.XLOOKUP(Transformation[[#This Row],[Commodity from]],Commodities[Commodity code],Commodities[EnergyCode])</f>
        <v>HF</v>
      </c>
      <c r="BL97" s="16" t="s">
        <v>815</v>
      </c>
      <c r="BM97" s="16" t="s">
        <v>260</v>
      </c>
      <c r="BN97" s="34" t="str">
        <f>_xlfn.XLOOKUP(Transformation[[#This Row],[Commodity to]],Commodities[Commodity code],Commodities[EnergyCode])</f>
        <v>HF</v>
      </c>
      <c r="BO97" s="16" t="s">
        <v>1490</v>
      </c>
      <c r="BP97" s="16" t="s">
        <v>1492</v>
      </c>
      <c r="BQ97" s="33" t="str">
        <f>Transformation[[#This Row],[Commodity from]]&amp;Transformation[[#This Row],[Transaction from]]&amp;Transformation[[#This Row],[Commodity to]]&amp;Transformation[[#This Row],[Transaction to]]</f>
        <v>8000T01BS8000T01SBFO</v>
      </c>
      <c r="BR97" s="26" t="str">
        <f>Transformation[[#This Row],[crfomid]]&amp;Transformation[[#This Row],[Transaction from]]&amp;"("&amp;Transformation[[#This Row],[Multiplier]]&amp;") -&gt; "&amp;Transformation[[#This Row],[ctoid]]&amp;Transformation[[#This Row],[Transaction to]]</f>
        <v>HF01BS(-1) -&gt; HF01SBFO</v>
      </c>
      <c r="BT97" s="26" t="str">
        <f>_xlfn.XLOOKUP(Signswitch[[#This Row],[Commodity name]],Commodities[Commodity],Commodities[Commodity code])</f>
        <v>5212</v>
      </c>
      <c r="BU97" s="26" t="str">
        <f>_xlfn.XLOOKUP(Signswitch[[#This Row],[Transaction name]],Transactions[Transaction name],Transactions[Transaction code])</f>
        <v>1234</v>
      </c>
      <c r="BV97" s="26" t="str">
        <f>Signswitch[[#This Row],[Commodity from]]&amp;Signswitch[[#This Row],[Transaction from]]</f>
        <v>52121234</v>
      </c>
      <c r="BW97" s="22" t="s">
        <v>317</v>
      </c>
      <c r="BX97" s="26" t="str">
        <f>_xlfn.XLOOKUP(Signswitch[[#This Row],[Commodity from]],Commodities[Commodity code],Commodities[EnergyCode])</f>
        <v>ZG</v>
      </c>
      <c r="BY97" s="22" t="s">
        <v>907</v>
      </c>
    </row>
    <row r="98" spans="8:77" x14ac:dyDescent="0.45">
      <c r="H98" s="4" t="s">
        <v>572</v>
      </c>
      <c r="I98" s="4" t="s">
        <v>571</v>
      </c>
      <c r="L98" s="24" t="str">
        <f>IFERROR(INDEX(Commodities[[Commodity code]:[Commodity]],MATCH(Commodities[[#This Row],[Parent code]],Commodities[Commodity code],0),2),Commodities[[#This Row],[Commodity]])</f>
        <v>Coal and peat products</v>
      </c>
      <c r="M98" s="24" t="str">
        <f>IFERROR(INDEX(Commodities[[Commodity code]:[Commodity]],MATCH(INDEX(Commodities[[Commodity]:[Parent code]],MATCH(Commodities[[#This Row],[L1N]],Commodities[Commodity],0),2),Commodities[Commodity code],0),2),Commodities[[#This Row],[L1N]])</f>
        <v>Coal and peat products</v>
      </c>
      <c r="N98" s="24" t="str">
        <f>IFERROR(INDEX(Commodities[[Commodity code]:[Commodity]],MATCH(INDEX(Commodities[[Commodity]:[Parent code]],MATCH(Commodities[[#This Row],[L2N]],Commodities[Commodity],0),2),Commodities[Commodity code],0),2),Commodities[[#This Row],[L2N]])</f>
        <v>Coal and peat products</v>
      </c>
      <c r="O98" s="24" t="str">
        <f>IFERROR(INDEX(Commodities[[Commodity code]:[Commodity]],MATCH(INDEX(Commodities[[Commodity]:[Parent code]],MATCH(Commodities[[#This Row],[L3N]],Commodities[Commodity],0),2),Commodities[Commodity code],0),2),Commodities[[#This Row],[L3N]])</f>
        <v>Coal and peat products</v>
      </c>
      <c r="P98" s="24" t="str">
        <f>IF(Commodities[[#This Row],[L4N]]=Commodities[[#This Row],[L3N]],Commodities[[#This Row],[L4N]],IF(Commodities[[#This Row],[L3N]]=Commodities[[#This Row],[L2N]],Commodities[[#This Row],[L3N]],IF(Commodities[[#This Row],[L2N]]=Commodities[[#This Row],[L1N]],Commodities[[#This Row],[L2N]],IF(Commodities[[#This Row],[L1N]]=Commodities[[#This Row],[Commodity]],Commodities[[#This Row],[L1N]],Commodities[[#This Row],[Commodity]]))))</f>
        <v>Coal and peat products</v>
      </c>
      <c r="Q98" s="24" t="str">
        <f>IF(Commodities[[#This Row],[Level 0]]=Commodities[[#This Row],[Commodity]],Commodities[[#This Row],[Commodity]],IF(Commodities[[#This Row],[Level 0]]=Commodities[[#This Row],[L1N]],Commodities[[#This Row],[Commodity]],IF(Commodities[[#This Row],[Level 0]]=Commodities[[#This Row],[L2N]],Commodities[[#This Row],[L1N]],IF(Commodities[[#This Row],[Level 0]]=Commodities[[#This Row],[L3N]],Commodities[[#This Row],[L2N]],IF(Commodities[[#This Row],[Level 0]]=Commodities[[#This Row],[L4N]],Commodities[[#This Row],[L3N]],Commodities[[#This Row],[L4N]])))))</f>
        <v>Coal and peat products</v>
      </c>
      <c r="R98" s="24" t="str">
        <f>IF(Commodities[[#This Row],[Level 1]]=Commodities[[#This Row],[Commodity]],Commodities[[#This Row],[Commodity]],IF(Commodities[[#This Row],[Level 1]]=Commodities[[#This Row],[L1N]],Commodities[[#This Row],[Commodity]],IF(Commodities[[#This Row],[Level 1]]=Commodities[[#This Row],[L2N]],Commodities[[#This Row],[L1N]],IF(Commodities[[#This Row],[Level 1]]=Commodities[[#This Row],[L3N]],Commodities[[#This Row],[L2N]],IF(Commodities[[#This Row],[Level 1]]=Commodities[[#This Row],[L4N]],Commodities[[#This Row],[L3N]],Commodities[[#This Row],[L4N]])))))</f>
        <v>Coal and peat products</v>
      </c>
      <c r="S98" s="24" t="str">
        <f>IF(Commodities[[#This Row],[Level 2]]=Commodities[[#This Row],[Commodity]],Commodities[[#This Row],[Commodity]],IF(Commodities[[#This Row],[Level 2]]=Commodities[[#This Row],[L1N]],Commodities[[#This Row],[Commodity]],IF(Commodities[[#This Row],[Level 2]]=Commodities[[#This Row],[L2N]],Commodities[[#This Row],[L1N]],IF(Commodities[[#This Row],[Level 2]]=Commodities[[#This Row],[L3N]],Commodities[[#This Row],[L2N]],IF(Commodities[[#This Row],[Level 2]]=Commodities[[#This Row],[L4N]],Commodities[[#This Row],[L3N]],Commodities[[#This Row],[L4N]])))))</f>
        <v>Coal and peat products</v>
      </c>
      <c r="T98" s="24" t="str">
        <f>IF(Commodities[[#This Row],[Level 3]]=Commodities[[#This Row],[Commodity]],Commodities[[#This Row],[Commodity]],IF(Commodities[[#This Row],[Level 3]]=Commodities[[#This Row],[L1N]],Commodities[[#This Row],[Commodity]],IF(Commodities[[#This Row],[Level 3]]=Commodities[[#This Row],[L2N]],Commodities[[#This Row],[L1N]],IF(Commodities[[#This Row],[Level 3]]=Commodities[[#This Row],[L3N]],Commodities[[#This Row],[L2N]],IF(Commodities[[#This Row],[Level 3]]=Commodities[[#This Row],[L4N]],Commodities[[#This Row],[L3N]],Commodities[[#This Row],[L4N]])))))</f>
        <v>Coal and peat products</v>
      </c>
      <c r="U98" s="24" t="str">
        <f>IF(Commodities[[#This Row],[Level 4]]=Commodities[[#This Row],[Commodity]],Commodities[[#This Row],[Commodity]],IF(Commodities[[#This Row],[Level 4]]=Commodities[[#This Row],[L1N]],Commodities[[#This Row],[Commodity]],IF(Commodities[[#This Row],[Level 4]]=Commodities[[#This Row],[L2N]],Commodities[[#This Row],[L1N]],IF(Commodities[[#This Row],[Level 4]]=Commodities[[#This Row],[L3N]],Commodities[[#This Row],[L2N]],IF(Commodities[[#This Row],[Level 4]]=Commodities[[#This Row],[L4N]],Commodities[[#This Row],[L3N]],Commodities[[#This Row],[L4N]])))))</f>
        <v>Coal and peat products</v>
      </c>
      <c r="Y98" s="5" t="s">
        <v>4</v>
      </c>
      <c r="Z98" s="4" t="s">
        <v>3</v>
      </c>
      <c r="AA98" s="4" t="s">
        <v>3</v>
      </c>
      <c r="AC98" s="24" t="str">
        <f>IFERROR(VLOOKUP(Transactions[[#This Row],[Parent code]],Transactions[[Transaction code]:[Transaction name]],2,0),"")</f>
        <v/>
      </c>
      <c r="AD98" s="4" t="s">
        <v>731</v>
      </c>
      <c r="AF98" s="4" t="s">
        <v>642</v>
      </c>
      <c r="AG98" s="4" t="s">
        <v>1</v>
      </c>
      <c r="AH98" s="4" t="s">
        <v>696</v>
      </c>
      <c r="AK98" s="24" t="str" cm="1">
        <f t="array" ref="AK98">IFERROR(INDEX(Transactions[[Transaction code]:[Transaction name]],_xlfn.XMATCH(Transactions[[#This Row],[Parent code]],Transactions[Transaction name],0),3),Transactions[[#This Row],[Transaction name]])</f>
        <v>Gross refinery output</v>
      </c>
      <c r="AL98" s="24" t="str" cm="1">
        <f t="array" ref="AL98">IFERROR(INDEX(Transactions[[Transaction code]:[Transaction name]],_xlfn.XMATCH(INDEX(Transactions[[Transaction name]:[Parent code]],_xlfn.XMATCH(Transactions[[#This Row],[L1N]],Transactions[Transaction name],0),3),Transactions[Transaction code],0),2),Transactions[[#This Row],[L1N]])</f>
        <v>Gross refinery output</v>
      </c>
      <c r="AM98" s="24" t="str" cm="1">
        <f t="array" ref="AM98">IFERROR(INDEX(Transactions[[Transaction code]:[Transaction name]],_xlfn.XMATCH(INDEX(Transactions[[Transaction name]:[Parent code]],_xlfn.XMATCH(Transactions[[#This Row],[L2N]],Transactions[Transaction name],0),3),Transactions[Transaction code],0),2),Transactions[[#This Row],[L2N]])</f>
        <v>Gross refinery output</v>
      </c>
      <c r="AN98" s="24" t="str" cm="1">
        <f t="array" ref="AN98">IFERROR(INDEX(Transactions[[Transaction code]:[Transaction name]],_xlfn.XMATCH(INDEX(Transactions[[Transaction name]:[Parent code]],_xlfn.XMATCH(Transactions[[#This Row],[L3N]],Transactions[Transaction name],0),3),Transactions[Transaction code],0),2),Transactions[[#This Row],[L3N]])</f>
        <v>Gross refinery output</v>
      </c>
      <c r="AO98" s="24" t="str" cm="1">
        <f t="array" ref="AO98">IFERROR(INDEX(Transactions[[Transaction code]:[Transaction name]],_xlfn.XMATCH(INDEX(Transactions[[Transaction name]:[Parent code]],_xlfn.XMATCH(Transactions[[#This Row],[L4N]],Transactions[Transaction name],0),3),Transactions[Transaction code],0),2),Transactions[[#This Row],[L4N]])</f>
        <v>Gross refinery output</v>
      </c>
      <c r="AP98" s="24" t="str" cm="1">
        <f t="array" ref="AP98">IFERROR(INDEX(Transactions[[Transaction code]:[Transaction name]],_xlfn.XMATCH(INDEX(Transactions[[Transaction name]:[Parent code]],_xlfn.XMATCH(Transactions[[#This Row],[L5N]],Transactions[Transaction name],0),3),Transactions[Transaction code],0),2),Transactions[[#This Row],[L5N]])</f>
        <v>Gross refinery output</v>
      </c>
      <c r="AQ98" s="24" t="str" cm="1">
        <f t="array" ref="AQ98">IFERROR(INDEX(Transactions[[Transaction code]:[Transaction name]],_xlfn.XMATCH(INDEX(Transactions[[Transaction name]:[Parent code]],_xlfn.XMATCH(Transactions[[#This Row],[L6N]],Transactions[Transaction name],0),3),Transactions[Transaction code],0),2),Transactions[[#This Row],[L6N]])</f>
        <v>Gross refinery output</v>
      </c>
      <c r="AR98" s="27" t="str">
        <f>IF(Transactions[[#This Row],[L7N]]=Transactions[[#This Row],[L6N]],Transactions[[#This Row],[L7N]],IF(Transactions[[#This Row],[L6N]]=Transactions[[#This Row],[L5N]],Transactions[[#This Row],[L6N]],IF(Transactions[[#This Row],[L5N]]=Transactions[[#This Row],[L4N]],Transactions[[#This Row],[L5N]],IF(Transactions[[#This Row],[L4N]]=Transactions[[#This Row],[L3N]],Transactions[[#This Row],[L4N]],IF(Transactions[[#This Row],[L3N]]=Transactions[[#This Row],[L2N]],Transactions[[#This Row],[L3N]],IF(Transactions[[#This Row],[L2N]]=Transactions[[#This Row],[L1N]],Transactions[[#This Row],[L2N]],IF(Transactions[[#This Row],[L1N]]=Transactions[[#This Row],[Transaction name]],Transactions[[#This Row],[L1N]],Transactions[[#This Row],[Transaction name]])))))))</f>
        <v>Gross refinery output</v>
      </c>
      <c r="AS98" s="24" t="str">
        <f>IF(Transactions[[#This Row],[Level 0]]=Transactions[[#This Row],[Transaction name]],Transactions[[#This Row],[Transaction name]],IF(Transactions[[#This Row],[Level 0]]=Transactions[[#This Row],[L1N]],Transactions[[#This Row],[Transaction name]],IF(Transactions[[#This Row],[Level 0]]=Transactions[[#This Row],[L2N]],Transactions[[#This Row],[L1N]],IF(Transactions[[#This Row],[Level 0]]=Transactions[[#This Row],[L3N]],Transactions[[#This Row],[L2N]],IF(Transactions[[#This Row],[Level 0]]=Transactions[[#This Row],[L4N]],Transactions[[#This Row],[L3N]],IF(Transactions[[#This Row],[Level 0]]=Transactions[[#This Row],[L5N]],Transactions[[#This Row],[L4N]],IF(Transactions[[#This Row],[Level 0]]=Transactions[[#This Row],[L6N]],Transactions[[#This Row],[L5N]],IF(Transactions[[#This Row],[Level 0]]=Transactions[[#This Row],[L7N]],Transactions[[#This Row],[L6N]],Transactions[[#This Row],[L7N]]))))))))</f>
        <v>Gross refinery output</v>
      </c>
      <c r="AT98" s="24" t="str">
        <f>IF(Transactions[[#This Row],[Level 1]]=Transactions[[#This Row],[Transaction name]],Transactions[[#This Row],[Transaction name]],IF(Transactions[[#This Row],[Level 1]]=Transactions[[#This Row],[L1N]],Transactions[[#This Row],[Transaction name]],IF(Transactions[[#This Row],[Level 1]]=Transactions[[#This Row],[L2N]],Transactions[[#This Row],[L1N]],IF(Transactions[[#This Row],[Level 1]]=Transactions[[#This Row],[L3N]],Transactions[[#This Row],[L2N]],IF(Transactions[[#This Row],[Level 1]]=Transactions[[#This Row],[L4N]],Transactions[[#This Row],[L3N]],IF(Transactions[[#This Row],[Level 1]]=Transactions[[#This Row],[L5N]],Transactions[[#This Row],[L4N]],IF(Transactions[[#This Row],[Level 1]]=Transactions[[#This Row],[L6N]],Transactions[[#This Row],[L5N]],IF(Transactions[[#This Row],[Level 1]]=Transactions[[#This Row],[L7N]],Transactions[[#This Row],[L6N]],Transactions[[#This Row],[L7N]]))))))))</f>
        <v>Gross refinery output</v>
      </c>
      <c r="AU98" s="24" t="str">
        <f>IF(Transactions[[#This Row],[Level 2]]=Transactions[[#This Row],[Transaction name]],Transactions[[#This Row],[Transaction name]],IF(Transactions[[#This Row],[Level 2]]=Transactions[[#This Row],[L1N]],Transactions[[#This Row],[Transaction name]],IF(Transactions[[#This Row],[Level 2]]=Transactions[[#This Row],[L2N]],Transactions[[#This Row],[L1N]],IF(Transactions[[#This Row],[Level 2]]=Transactions[[#This Row],[L3N]],Transactions[[#This Row],[L2N]],IF(Transactions[[#This Row],[Level 2]]=Transactions[[#This Row],[L4N]],Transactions[[#This Row],[L3N]],IF(Transactions[[#This Row],[Level 2]]=Transactions[[#This Row],[L5N]],Transactions[[#This Row],[L4N]],IF(Transactions[[#This Row],[Level 2]]=Transactions[[#This Row],[L6N]],Transactions[[#This Row],[L5N]],IF(Transactions[[#This Row],[Level 2]]=Transactions[[#This Row],[L7N]],Transactions[[#This Row],[L6N]],Transactions[[#This Row],[L7N]]))))))))</f>
        <v>Gross refinery output</v>
      </c>
      <c r="AV98" s="24" t="str">
        <f>IF(Transactions[[#This Row],[Level 3]]=Transactions[[#This Row],[Transaction name]],Transactions[[#This Row],[Transaction name]],IF(Transactions[[#This Row],[Level 3]]=Transactions[[#This Row],[L1N]],Transactions[[#This Row],[Transaction name]],IF(Transactions[[#This Row],[Level 3]]=Transactions[[#This Row],[L2N]],Transactions[[#This Row],[L1N]],IF(Transactions[[#This Row],[Level 3]]=Transactions[[#This Row],[L3N]],Transactions[[#This Row],[L2N]],IF(Transactions[[#This Row],[Level 3]]=Transactions[[#This Row],[L4N]],Transactions[[#This Row],[L3N]],IF(Transactions[[#This Row],[Level 3]]=Transactions[[#This Row],[L5N]],Transactions[[#This Row],[L4N]],IF(Transactions[[#This Row],[Level 3]]=Transactions[[#This Row],[L6N]],Transactions[[#This Row],[L5N]],IF(Transactions[[#This Row],[Level 3]]=Transactions[[#This Row],[L7N]],Transactions[[#This Row],[L6N]],Transactions[[#This Row],[L7N]]))))))))</f>
        <v>Gross refinery output</v>
      </c>
      <c r="AW98" s="24" t="str">
        <f>IF(Transactions[[#This Row],[Level 4]]=Transactions[[#This Row],[Transaction name]],Transactions[[#This Row],[Transaction name]],IF(Transactions[[#This Row],[Level 4]]=Transactions[[#This Row],[L1N]],Transactions[[#This Row],[Transaction name]],IF(Transactions[[#This Row],[Level 4]]=Transactions[[#This Row],[L2N]],Transactions[[#This Row],[L1N]],IF(Transactions[[#This Row],[Level 4]]=Transactions[[#This Row],[L3N]],Transactions[[#This Row],[L2N]],IF(Transactions[[#This Row],[Level 4]]=Transactions[[#This Row],[L4N]],Transactions[[#This Row],[L3N]],IF(Transactions[[#This Row],[Level 4]]=Transactions[[#This Row],[L5N]],Transactions[[#This Row],[L4N]],IF(Transactions[[#This Row],[Level 4]]=Transactions[[#This Row],[L6N]],Transactions[[#This Row],[L5N]],IF(Transactions[[#This Row],[Level 4]]=Transactions[[#This Row],[L7N]],Transactions[[#This Row],[L6N]],Transactions[[#This Row],[L7N]]))))))))</f>
        <v>Gross refinery output</v>
      </c>
      <c r="AX98" s="24" t="str">
        <f>IF(Transactions[[#This Row],[Level 5]]=Transactions[[#This Row],[Transaction name]],Transactions[[#This Row],[Transaction name]],IF(Transactions[[#This Row],[Level 5]]=Transactions[[#This Row],[L1N]],Transactions[[#This Row],[Transaction name]],IF(Transactions[[#This Row],[Level 5]]=Transactions[[#This Row],[L2N]],Transactions[[#This Row],[L1N]],IF(Transactions[[#This Row],[Level 5]]=Transactions[[#This Row],[L3N]],Transactions[[#This Row],[L2N]],IF(Transactions[[#This Row],[Level 5]]=Transactions[[#This Row],[L4N]],Transactions[[#This Row],[L3N]],IF(Transactions[[#This Row],[Level 5]]=Transactions[[#This Row],[L5N]],Transactions[[#This Row],[L4N]],IF(Transactions[[#This Row],[Level 5]]=Transactions[[#This Row],[L6N]],Transactions[[#This Row],[L5N]],IF(Transactions[[#This Row],[Level 5]]=Transactions[[#This Row],[L7N]],Transactions[[#This Row],[L6N]],Transactions[[#This Row],[L7N]]))))))))</f>
        <v>Gross refinery output</v>
      </c>
      <c r="AY98" s="24" t="str">
        <f>IF(Transactions[[#This Row],[Level 6]]=Transactions[[#This Row],[Transaction name]],Transactions[[#This Row],[Transaction name]],IF(Transactions[[#This Row],[Level 6]]=Transactions[[#This Row],[L1N]],Transactions[[#This Row],[Transaction name]],IF(Transactions[[#This Row],[Level 6]]=Transactions[[#This Row],[L2N]],Transactions[[#This Row],[L1N]],IF(Transactions[[#This Row],[Level 6]]=Transactions[[#This Row],[L3N]],Transactions[[#This Row],[L2N]],IF(Transactions[[#This Row],[Level 6]]=Transactions[[#This Row],[L4N]],Transactions[[#This Row],[L3N]],IF(Transactions[[#This Row],[Level 6]]=Transactions[[#This Row],[L5N]],Transactions[[#This Row],[L4N]],IF(Transactions[[#This Row],[Level 6]]=Transactions[[#This Row],[L6N]],Transactions[[#This Row],[L5N]],IF(Transactions[[#This Row],[Level 6]]=Transactions[[#This Row],[L7N]],Transactions[[#This Row],[L6N]],Transactions[[#This Row],[L7N]]))))))))</f>
        <v>Gross refinery output</v>
      </c>
      <c r="BE98" s="26" t="str">
        <f>_xlfn.XLOOKUP(Transformation[[#This Row],[cfrom]],Commodities[Commodity],Commodities[Commodity code])</f>
        <v>7000T</v>
      </c>
      <c r="BF98" s="26" t="str">
        <f>_xlfn.XLOOKUP(Transformation[[#This Row],[tfrom]],Transactions[Transaction name],Transactions[Transaction code])</f>
        <v>01SBF</v>
      </c>
      <c r="BG98" s="26" t="str">
        <f>_xlfn.XLOOKUP(Transformation[[#This Row],[cto]],Commodities[Commodity],Commodities[Commodity code])</f>
        <v>7000</v>
      </c>
      <c r="BH98" s="26" t="str">
        <f>_xlfn.XLOOKUP(Transformation[[#This Row],[tto]],Transactions[Transaction name],Transactions[Transaction code])</f>
        <v>01SBFO</v>
      </c>
      <c r="BI98" s="17">
        <v>1</v>
      </c>
      <c r="BJ98" s="16" t="s">
        <v>269</v>
      </c>
      <c r="BK98" s="34" t="str">
        <f>_xlfn.XLOOKUP(Transformation[[#This Row],[Commodity from]],Commodities[Commodity code],Commodities[EnergyCode])</f>
        <v>ET</v>
      </c>
      <c r="BL98" s="16" t="s">
        <v>813</v>
      </c>
      <c r="BM98" s="16" t="s">
        <v>544</v>
      </c>
      <c r="BN98" s="34" t="str">
        <f>_xlfn.XLOOKUP(Transformation[[#This Row],[Commodity to]],Commodities[Commodity code],Commodities[EnergyCode])</f>
        <v>EL</v>
      </c>
      <c r="BO98" s="16" t="s">
        <v>1490</v>
      </c>
      <c r="BP98" s="16" t="s">
        <v>1491</v>
      </c>
      <c r="BQ98" s="33" t="str">
        <f>Transformation[[#This Row],[Commodity from]]&amp;Transformation[[#This Row],[Transaction from]]&amp;Transformation[[#This Row],[Commodity to]]&amp;Transformation[[#This Row],[Transaction to]]</f>
        <v>7000T01SBF700001SBFO</v>
      </c>
      <c r="BR98" s="26" t="str">
        <f>Transformation[[#This Row],[crfomid]]&amp;Transformation[[#This Row],[Transaction from]]&amp;"("&amp;Transformation[[#This Row],[Multiplier]]&amp;") -&gt; "&amp;Transformation[[#This Row],[ctoid]]&amp;Transformation[[#This Row],[Transaction to]]</f>
        <v>ET01SBF(1) -&gt; EL01SBFO</v>
      </c>
      <c r="BT98" s="26" t="str">
        <f>_xlfn.XLOOKUP(Signswitch[[#This Row],[Commodity name]],Commodities[Commodity],Commodities[Commodity code])</f>
        <v>5232</v>
      </c>
      <c r="BU98" s="26" t="str">
        <f>_xlfn.XLOOKUP(Signswitch[[#This Row],[Transaction name]],Transactions[Transaction name],Transactions[Transaction code])</f>
        <v>11</v>
      </c>
      <c r="BV98" s="26" t="str">
        <f>Signswitch[[#This Row],[Commodity from]]&amp;Signswitch[[#This Row],[Transaction from]]</f>
        <v>523211</v>
      </c>
      <c r="BW98" s="22" t="s">
        <v>306</v>
      </c>
      <c r="BX98" s="26" t="str">
        <f>_xlfn.XLOOKUP(Signswitch[[#This Row],[Commodity from]],Commodities[Commodity code],Commodities[EnergyCode])</f>
        <v>ZJ</v>
      </c>
      <c r="BY98" s="22" t="s">
        <v>130</v>
      </c>
    </row>
    <row r="99" spans="8:77" x14ac:dyDescent="0.45">
      <c r="H99" s="4" t="s">
        <v>565</v>
      </c>
      <c r="I99" s="4" t="s">
        <v>564</v>
      </c>
      <c r="L99" s="24" t="str">
        <f>IFERROR(INDEX(Commodities[[Commodity code]:[Commodity]],MATCH(Commodities[[#This Row],[Parent code]],Commodities[Commodity code],0),2),Commodities[[#This Row],[Commodity]])</f>
        <v>Primary Oil</v>
      </c>
      <c r="M99" s="24" t="str">
        <f>IFERROR(INDEX(Commodities[[Commodity code]:[Commodity]],MATCH(INDEX(Commodities[[Commodity]:[Parent code]],MATCH(Commodities[[#This Row],[L1N]],Commodities[Commodity],0),2),Commodities[Commodity code],0),2),Commodities[[#This Row],[L1N]])</f>
        <v>Primary Oil</v>
      </c>
      <c r="N99" s="24" t="str">
        <f>IFERROR(INDEX(Commodities[[Commodity code]:[Commodity]],MATCH(INDEX(Commodities[[Commodity]:[Parent code]],MATCH(Commodities[[#This Row],[L2N]],Commodities[Commodity],0),2),Commodities[Commodity code],0),2),Commodities[[#This Row],[L2N]])</f>
        <v>Primary Oil</v>
      </c>
      <c r="O99" s="24" t="str">
        <f>IFERROR(INDEX(Commodities[[Commodity code]:[Commodity]],MATCH(INDEX(Commodities[[Commodity]:[Parent code]],MATCH(Commodities[[#This Row],[L3N]],Commodities[Commodity],0),2),Commodities[Commodity code],0),2),Commodities[[#This Row],[L3N]])</f>
        <v>Primary Oil</v>
      </c>
      <c r="P99" s="24" t="str">
        <f>IF(Commodities[[#This Row],[L4N]]=Commodities[[#This Row],[L3N]],Commodities[[#This Row],[L4N]],IF(Commodities[[#This Row],[L3N]]=Commodities[[#This Row],[L2N]],Commodities[[#This Row],[L3N]],IF(Commodities[[#This Row],[L2N]]=Commodities[[#This Row],[L1N]],Commodities[[#This Row],[L2N]],IF(Commodities[[#This Row],[L1N]]=Commodities[[#This Row],[Commodity]],Commodities[[#This Row],[L1N]],Commodities[[#This Row],[Commodity]]))))</f>
        <v>Primary Oil</v>
      </c>
      <c r="Q99" s="24" t="str">
        <f>IF(Commodities[[#This Row],[Level 0]]=Commodities[[#This Row],[Commodity]],Commodities[[#This Row],[Commodity]],IF(Commodities[[#This Row],[Level 0]]=Commodities[[#This Row],[L1N]],Commodities[[#This Row],[Commodity]],IF(Commodities[[#This Row],[Level 0]]=Commodities[[#This Row],[L2N]],Commodities[[#This Row],[L1N]],IF(Commodities[[#This Row],[Level 0]]=Commodities[[#This Row],[L3N]],Commodities[[#This Row],[L2N]],IF(Commodities[[#This Row],[Level 0]]=Commodities[[#This Row],[L4N]],Commodities[[#This Row],[L3N]],Commodities[[#This Row],[L4N]])))))</f>
        <v>Primary Oil</v>
      </c>
      <c r="R99" s="24" t="str">
        <f>IF(Commodities[[#This Row],[Level 1]]=Commodities[[#This Row],[Commodity]],Commodities[[#This Row],[Commodity]],IF(Commodities[[#This Row],[Level 1]]=Commodities[[#This Row],[L1N]],Commodities[[#This Row],[Commodity]],IF(Commodities[[#This Row],[Level 1]]=Commodities[[#This Row],[L2N]],Commodities[[#This Row],[L1N]],IF(Commodities[[#This Row],[Level 1]]=Commodities[[#This Row],[L3N]],Commodities[[#This Row],[L2N]],IF(Commodities[[#This Row],[Level 1]]=Commodities[[#This Row],[L4N]],Commodities[[#This Row],[L3N]],Commodities[[#This Row],[L4N]])))))</f>
        <v>Primary Oil</v>
      </c>
      <c r="S99" s="24" t="str">
        <f>IF(Commodities[[#This Row],[Level 2]]=Commodities[[#This Row],[Commodity]],Commodities[[#This Row],[Commodity]],IF(Commodities[[#This Row],[Level 2]]=Commodities[[#This Row],[L1N]],Commodities[[#This Row],[Commodity]],IF(Commodities[[#This Row],[Level 2]]=Commodities[[#This Row],[L2N]],Commodities[[#This Row],[L1N]],IF(Commodities[[#This Row],[Level 2]]=Commodities[[#This Row],[L3N]],Commodities[[#This Row],[L2N]],IF(Commodities[[#This Row],[Level 2]]=Commodities[[#This Row],[L4N]],Commodities[[#This Row],[L3N]],Commodities[[#This Row],[L4N]])))))</f>
        <v>Primary Oil</v>
      </c>
      <c r="T99" s="24" t="str">
        <f>IF(Commodities[[#This Row],[Level 3]]=Commodities[[#This Row],[Commodity]],Commodities[[#This Row],[Commodity]],IF(Commodities[[#This Row],[Level 3]]=Commodities[[#This Row],[L1N]],Commodities[[#This Row],[Commodity]],IF(Commodities[[#This Row],[Level 3]]=Commodities[[#This Row],[L2N]],Commodities[[#This Row],[L1N]],IF(Commodities[[#This Row],[Level 3]]=Commodities[[#This Row],[L3N]],Commodities[[#This Row],[L2N]],IF(Commodities[[#This Row],[Level 3]]=Commodities[[#This Row],[L4N]],Commodities[[#This Row],[L3N]],Commodities[[#This Row],[L4N]])))))</f>
        <v>Primary Oil</v>
      </c>
      <c r="U99" s="24" t="str">
        <f>IF(Commodities[[#This Row],[Level 4]]=Commodities[[#This Row],[Commodity]],Commodities[[#This Row],[Commodity]],IF(Commodities[[#This Row],[Level 4]]=Commodities[[#This Row],[L1N]],Commodities[[#This Row],[Commodity]],IF(Commodities[[#This Row],[Level 4]]=Commodities[[#This Row],[L2N]],Commodities[[#This Row],[L1N]],IF(Commodities[[#This Row],[Level 4]]=Commodities[[#This Row],[L3N]],Commodities[[#This Row],[L2N]],IF(Commodities[[#This Row],[Level 4]]=Commodities[[#This Row],[L4N]],Commodities[[#This Row],[L3N]],Commodities[[#This Row],[L4N]])))))</f>
        <v>Primary Oil</v>
      </c>
      <c r="Y99" s="4" t="s">
        <v>619</v>
      </c>
      <c r="Z99" s="4" t="s">
        <v>852</v>
      </c>
      <c r="AA99" s="4" t="s">
        <v>852</v>
      </c>
      <c r="AC99" s="24" t="str">
        <f>IFERROR(VLOOKUP(Transactions[[#This Row],[Parent code]],Transactions[[Transaction code]:[Transaction name]],2,0),"")</f>
        <v/>
      </c>
      <c r="AD99" s="4" t="s">
        <v>189</v>
      </c>
      <c r="AF99" s="4" t="s">
        <v>642</v>
      </c>
      <c r="AG99" s="4" t="s">
        <v>385</v>
      </c>
      <c r="AK99" s="24" t="str" cm="1">
        <f t="array" ref="AK99">IFERROR(INDEX(Transactions[[Transaction code]:[Transaction name]],_xlfn.XMATCH(Transactions[[#This Row],[Parent code]],Transactions[Transaction name],0),3),Transactions[[#This Row],[Transaction name]])</f>
        <v>Heat plants (S)</v>
      </c>
      <c r="AL99" s="24" t="str" cm="1">
        <f t="array" ref="AL99">IFERROR(INDEX(Transactions[[Transaction code]:[Transaction name]],_xlfn.XMATCH(INDEX(Transactions[[Transaction name]:[Parent code]],_xlfn.XMATCH(Transactions[[#This Row],[L1N]],Transactions[Transaction name],0),3),Transactions[Transaction code],0),2),Transactions[[#This Row],[L1N]])</f>
        <v>Heat plants (S)</v>
      </c>
      <c r="AM99" s="24" t="str" cm="1">
        <f t="array" ref="AM99">IFERROR(INDEX(Transactions[[Transaction code]:[Transaction name]],_xlfn.XMATCH(INDEX(Transactions[[Transaction name]:[Parent code]],_xlfn.XMATCH(Transactions[[#This Row],[L2N]],Transactions[Transaction name],0),3),Transactions[Transaction code],0),2),Transactions[[#This Row],[L2N]])</f>
        <v>Heat plants (S)</v>
      </c>
      <c r="AN99" s="24" t="str" cm="1">
        <f t="array" ref="AN99">IFERROR(INDEX(Transactions[[Transaction code]:[Transaction name]],_xlfn.XMATCH(INDEX(Transactions[[Transaction name]:[Parent code]],_xlfn.XMATCH(Transactions[[#This Row],[L3N]],Transactions[Transaction name],0),3),Transactions[Transaction code],0),2),Transactions[[#This Row],[L3N]])</f>
        <v>Heat plants (S)</v>
      </c>
      <c r="AO99" s="24" t="str" cm="1">
        <f t="array" ref="AO99">IFERROR(INDEX(Transactions[[Transaction code]:[Transaction name]],_xlfn.XMATCH(INDEX(Transactions[[Transaction name]:[Parent code]],_xlfn.XMATCH(Transactions[[#This Row],[L4N]],Transactions[Transaction name],0),3),Transactions[Transaction code],0),2),Transactions[[#This Row],[L4N]])</f>
        <v>Heat plants (S)</v>
      </c>
      <c r="AP99" s="24" t="str" cm="1">
        <f t="array" ref="AP99">IFERROR(INDEX(Transactions[[Transaction code]:[Transaction name]],_xlfn.XMATCH(INDEX(Transactions[[Transaction name]:[Parent code]],_xlfn.XMATCH(Transactions[[#This Row],[L5N]],Transactions[Transaction name],0),3),Transactions[Transaction code],0),2),Transactions[[#This Row],[L5N]])</f>
        <v>Heat plants (S)</v>
      </c>
      <c r="AQ99" s="24" t="str" cm="1">
        <f t="array" ref="AQ99">IFERROR(INDEX(Transactions[[Transaction code]:[Transaction name]],_xlfn.XMATCH(INDEX(Transactions[[Transaction name]:[Parent code]],_xlfn.XMATCH(Transactions[[#This Row],[L6N]],Transactions[Transaction name],0),3),Transactions[Transaction code],0),2),Transactions[[#This Row],[L6N]])</f>
        <v>Heat plants (S)</v>
      </c>
      <c r="AR99" s="27" t="str">
        <f>IF(Transactions[[#This Row],[L7N]]=Transactions[[#This Row],[L6N]],Transactions[[#This Row],[L7N]],IF(Transactions[[#This Row],[L6N]]=Transactions[[#This Row],[L5N]],Transactions[[#This Row],[L6N]],IF(Transactions[[#This Row],[L5N]]=Transactions[[#This Row],[L4N]],Transactions[[#This Row],[L5N]],IF(Transactions[[#This Row],[L4N]]=Transactions[[#This Row],[L3N]],Transactions[[#This Row],[L4N]],IF(Transactions[[#This Row],[L3N]]=Transactions[[#This Row],[L2N]],Transactions[[#This Row],[L3N]],IF(Transactions[[#This Row],[L2N]]=Transactions[[#This Row],[L1N]],Transactions[[#This Row],[L2N]],IF(Transactions[[#This Row],[L1N]]=Transactions[[#This Row],[Transaction name]],Transactions[[#This Row],[L1N]],Transactions[[#This Row],[Transaction name]])))))))</f>
        <v>Heat plants (S)</v>
      </c>
      <c r="AS99" s="24" t="str">
        <f>IF(Transactions[[#This Row],[Level 0]]=Transactions[[#This Row],[Transaction name]],Transactions[[#This Row],[Transaction name]],IF(Transactions[[#This Row],[Level 0]]=Transactions[[#This Row],[L1N]],Transactions[[#This Row],[Transaction name]],IF(Transactions[[#This Row],[Level 0]]=Transactions[[#This Row],[L2N]],Transactions[[#This Row],[L1N]],IF(Transactions[[#This Row],[Level 0]]=Transactions[[#This Row],[L3N]],Transactions[[#This Row],[L2N]],IF(Transactions[[#This Row],[Level 0]]=Transactions[[#This Row],[L4N]],Transactions[[#This Row],[L3N]],IF(Transactions[[#This Row],[Level 0]]=Transactions[[#This Row],[L5N]],Transactions[[#This Row],[L4N]],IF(Transactions[[#This Row],[Level 0]]=Transactions[[#This Row],[L6N]],Transactions[[#This Row],[L5N]],IF(Transactions[[#This Row],[Level 0]]=Transactions[[#This Row],[L7N]],Transactions[[#This Row],[L6N]],Transactions[[#This Row],[L7N]]))))))))</f>
        <v>Heat plants (S)</v>
      </c>
      <c r="AT99" s="24" t="str">
        <f>IF(Transactions[[#This Row],[Level 1]]=Transactions[[#This Row],[Transaction name]],Transactions[[#This Row],[Transaction name]],IF(Transactions[[#This Row],[Level 1]]=Transactions[[#This Row],[L1N]],Transactions[[#This Row],[Transaction name]],IF(Transactions[[#This Row],[Level 1]]=Transactions[[#This Row],[L2N]],Transactions[[#This Row],[L1N]],IF(Transactions[[#This Row],[Level 1]]=Transactions[[#This Row],[L3N]],Transactions[[#This Row],[L2N]],IF(Transactions[[#This Row],[Level 1]]=Transactions[[#This Row],[L4N]],Transactions[[#This Row],[L3N]],IF(Transactions[[#This Row],[Level 1]]=Transactions[[#This Row],[L5N]],Transactions[[#This Row],[L4N]],IF(Transactions[[#This Row],[Level 1]]=Transactions[[#This Row],[L6N]],Transactions[[#This Row],[L5N]],IF(Transactions[[#This Row],[Level 1]]=Transactions[[#This Row],[L7N]],Transactions[[#This Row],[L6N]],Transactions[[#This Row],[L7N]]))))))))</f>
        <v>Heat plants (S)</v>
      </c>
      <c r="AU99" s="24" t="str">
        <f>IF(Transactions[[#This Row],[Level 2]]=Transactions[[#This Row],[Transaction name]],Transactions[[#This Row],[Transaction name]],IF(Transactions[[#This Row],[Level 2]]=Transactions[[#This Row],[L1N]],Transactions[[#This Row],[Transaction name]],IF(Transactions[[#This Row],[Level 2]]=Transactions[[#This Row],[L2N]],Transactions[[#This Row],[L1N]],IF(Transactions[[#This Row],[Level 2]]=Transactions[[#This Row],[L3N]],Transactions[[#This Row],[L2N]],IF(Transactions[[#This Row],[Level 2]]=Transactions[[#This Row],[L4N]],Transactions[[#This Row],[L3N]],IF(Transactions[[#This Row],[Level 2]]=Transactions[[#This Row],[L5N]],Transactions[[#This Row],[L4N]],IF(Transactions[[#This Row],[Level 2]]=Transactions[[#This Row],[L6N]],Transactions[[#This Row],[L5N]],IF(Transactions[[#This Row],[Level 2]]=Transactions[[#This Row],[L7N]],Transactions[[#This Row],[L6N]],Transactions[[#This Row],[L7N]]))))))))</f>
        <v>Heat plants (S)</v>
      </c>
      <c r="AV99" s="24" t="str">
        <f>IF(Transactions[[#This Row],[Level 3]]=Transactions[[#This Row],[Transaction name]],Transactions[[#This Row],[Transaction name]],IF(Transactions[[#This Row],[Level 3]]=Transactions[[#This Row],[L1N]],Transactions[[#This Row],[Transaction name]],IF(Transactions[[#This Row],[Level 3]]=Transactions[[#This Row],[L2N]],Transactions[[#This Row],[L1N]],IF(Transactions[[#This Row],[Level 3]]=Transactions[[#This Row],[L3N]],Transactions[[#This Row],[L2N]],IF(Transactions[[#This Row],[Level 3]]=Transactions[[#This Row],[L4N]],Transactions[[#This Row],[L3N]],IF(Transactions[[#This Row],[Level 3]]=Transactions[[#This Row],[L5N]],Transactions[[#This Row],[L4N]],IF(Transactions[[#This Row],[Level 3]]=Transactions[[#This Row],[L6N]],Transactions[[#This Row],[L5N]],IF(Transactions[[#This Row],[Level 3]]=Transactions[[#This Row],[L7N]],Transactions[[#This Row],[L6N]],Transactions[[#This Row],[L7N]]))))))))</f>
        <v>Heat plants (S)</v>
      </c>
      <c r="AW99" s="24" t="str">
        <f>IF(Transactions[[#This Row],[Level 4]]=Transactions[[#This Row],[Transaction name]],Transactions[[#This Row],[Transaction name]],IF(Transactions[[#This Row],[Level 4]]=Transactions[[#This Row],[L1N]],Transactions[[#This Row],[Transaction name]],IF(Transactions[[#This Row],[Level 4]]=Transactions[[#This Row],[L2N]],Transactions[[#This Row],[L1N]],IF(Transactions[[#This Row],[Level 4]]=Transactions[[#This Row],[L3N]],Transactions[[#This Row],[L2N]],IF(Transactions[[#This Row],[Level 4]]=Transactions[[#This Row],[L4N]],Transactions[[#This Row],[L3N]],IF(Transactions[[#This Row],[Level 4]]=Transactions[[#This Row],[L5N]],Transactions[[#This Row],[L4N]],IF(Transactions[[#This Row],[Level 4]]=Transactions[[#This Row],[L6N]],Transactions[[#This Row],[L5N]],IF(Transactions[[#This Row],[Level 4]]=Transactions[[#This Row],[L7N]],Transactions[[#This Row],[L6N]],Transactions[[#This Row],[L7N]]))))))))</f>
        <v>Heat plants (S)</v>
      </c>
      <c r="AX99" s="24" t="str">
        <f>IF(Transactions[[#This Row],[Level 5]]=Transactions[[#This Row],[Transaction name]],Transactions[[#This Row],[Transaction name]],IF(Transactions[[#This Row],[Level 5]]=Transactions[[#This Row],[L1N]],Transactions[[#This Row],[Transaction name]],IF(Transactions[[#This Row],[Level 5]]=Transactions[[#This Row],[L2N]],Transactions[[#This Row],[L1N]],IF(Transactions[[#This Row],[Level 5]]=Transactions[[#This Row],[L3N]],Transactions[[#This Row],[L2N]],IF(Transactions[[#This Row],[Level 5]]=Transactions[[#This Row],[L4N]],Transactions[[#This Row],[L3N]],IF(Transactions[[#This Row],[Level 5]]=Transactions[[#This Row],[L5N]],Transactions[[#This Row],[L4N]],IF(Transactions[[#This Row],[Level 5]]=Transactions[[#This Row],[L6N]],Transactions[[#This Row],[L5N]],IF(Transactions[[#This Row],[Level 5]]=Transactions[[#This Row],[L7N]],Transactions[[#This Row],[L6N]],Transactions[[#This Row],[L7N]]))))))))</f>
        <v>Heat plants (S)</v>
      </c>
      <c r="AY99" s="24" t="str">
        <f>IF(Transactions[[#This Row],[Level 6]]=Transactions[[#This Row],[Transaction name]],Transactions[[#This Row],[Transaction name]],IF(Transactions[[#This Row],[Level 6]]=Transactions[[#This Row],[L1N]],Transactions[[#This Row],[Transaction name]],IF(Transactions[[#This Row],[Level 6]]=Transactions[[#This Row],[L2N]],Transactions[[#This Row],[L1N]],IF(Transactions[[#This Row],[Level 6]]=Transactions[[#This Row],[L3N]],Transactions[[#This Row],[L2N]],IF(Transactions[[#This Row],[Level 6]]=Transactions[[#This Row],[L4N]],Transactions[[#This Row],[L3N]],IF(Transactions[[#This Row],[Level 6]]=Transactions[[#This Row],[L5N]],Transactions[[#This Row],[L4N]],IF(Transactions[[#This Row],[Level 6]]=Transactions[[#This Row],[L6N]],Transactions[[#This Row],[L5N]],IF(Transactions[[#This Row],[Level 6]]=Transactions[[#This Row],[L7N]],Transactions[[#This Row],[L6N]],Transactions[[#This Row],[L7N]]))))))))</f>
        <v>Heat plants (S)</v>
      </c>
      <c r="BE99" s="26" t="str">
        <f>_xlfn.XLOOKUP(Transformation[[#This Row],[cfrom]],Commodities[Commodity],Commodities[Commodity code])</f>
        <v>8000T</v>
      </c>
      <c r="BF99" s="26" t="str">
        <f>_xlfn.XLOOKUP(Transformation[[#This Row],[tfrom]],Transactions[Transaction name],Transactions[Transaction code])</f>
        <v>01SBF</v>
      </c>
      <c r="BG99" s="26" t="str">
        <f>_xlfn.XLOOKUP(Transformation[[#This Row],[cto]],Commodities[Commodity],Commodities[Commodity code])</f>
        <v>8000</v>
      </c>
      <c r="BH99" s="26" t="str">
        <f>_xlfn.XLOOKUP(Transformation[[#This Row],[tto]],Transactions[Transaction name],Transactions[Transaction code])</f>
        <v>01SBFO</v>
      </c>
      <c r="BI99" s="17">
        <v>1</v>
      </c>
      <c r="BJ99" s="16" t="s">
        <v>260</v>
      </c>
      <c r="BK99" s="34" t="str">
        <f>_xlfn.XLOOKUP(Transformation[[#This Row],[Commodity from]],Commodities[Commodity code],Commodities[EnergyCode])</f>
        <v>HF</v>
      </c>
      <c r="BL99" s="16" t="s">
        <v>813</v>
      </c>
      <c r="BM99" s="16" t="s">
        <v>262</v>
      </c>
      <c r="BN99" s="34" t="str">
        <f>_xlfn.XLOOKUP(Transformation[[#This Row],[Commodity to]],Commodities[Commodity code],Commodities[EnergyCode])</f>
        <v>ST</v>
      </c>
      <c r="BO99" s="16" t="s">
        <v>1490</v>
      </c>
      <c r="BP99" s="16" t="s">
        <v>1491</v>
      </c>
      <c r="BQ99" s="33" t="str">
        <f>Transformation[[#This Row],[Commodity from]]&amp;Transformation[[#This Row],[Transaction from]]&amp;Transformation[[#This Row],[Commodity to]]&amp;Transformation[[#This Row],[Transaction to]]</f>
        <v>8000T01SBF800001SBFO</v>
      </c>
      <c r="BR99" s="26" t="str">
        <f>Transformation[[#This Row],[crfomid]]&amp;Transformation[[#This Row],[Transaction from]]&amp;"("&amp;Transformation[[#This Row],[Multiplier]]&amp;") -&gt; "&amp;Transformation[[#This Row],[ctoid]]&amp;Transformation[[#This Row],[Transaction to]]</f>
        <v>HF01SBF(1) -&gt; ST01SBFO</v>
      </c>
      <c r="BT99" s="26" t="str">
        <f>_xlfn.XLOOKUP(Signswitch[[#This Row],[Commodity name]],Commodities[Commodity],Commodities[Commodity code])</f>
        <v>5222</v>
      </c>
      <c r="BU99" s="26" t="str">
        <f>_xlfn.XLOOKUP(Signswitch[[#This Row],[Transaction name]],Transactions[Transaction name],Transactions[Transaction code])</f>
        <v>11</v>
      </c>
      <c r="BV99" s="26" t="str">
        <f>Signswitch[[#This Row],[Commodity from]]&amp;Signswitch[[#This Row],[Transaction from]]</f>
        <v>522211</v>
      </c>
      <c r="BW99" s="22" t="s">
        <v>962</v>
      </c>
      <c r="BX99" s="26" t="str">
        <f>_xlfn.XLOOKUP(Signswitch[[#This Row],[Commodity from]],Commodities[Commodity code],Commodities[EnergyCode])</f>
        <v>ZD</v>
      </c>
      <c r="BY99" s="22" t="s">
        <v>130</v>
      </c>
    </row>
    <row r="100" spans="8:77" x14ac:dyDescent="0.45">
      <c r="H100" s="4" t="s">
        <v>560</v>
      </c>
      <c r="I100" s="18" t="s">
        <v>1545</v>
      </c>
      <c r="L100" s="24" t="str">
        <f>IFERROR(INDEX(Commodities[[Commodity code]:[Commodity]],MATCH(Commodities[[#This Row],[Parent code]],Commodities[Commodity code],0),2),Commodities[[#This Row],[Commodity]])</f>
        <v>Oil Products (S)</v>
      </c>
      <c r="M100" s="24" t="str">
        <f>IFERROR(INDEX(Commodities[[Commodity code]:[Commodity]],MATCH(INDEX(Commodities[[Commodity]:[Parent code]],MATCH(Commodities[[#This Row],[L1N]],Commodities[Commodity],0),2),Commodities[Commodity code],0),2),Commodities[[#This Row],[L1N]])</f>
        <v>Oil Products (S)</v>
      </c>
      <c r="N100" s="24" t="str">
        <f>IFERROR(INDEX(Commodities[[Commodity code]:[Commodity]],MATCH(INDEX(Commodities[[Commodity]:[Parent code]],MATCH(Commodities[[#This Row],[L2N]],Commodities[Commodity],0),2),Commodities[Commodity code],0),2),Commodities[[#This Row],[L2N]])</f>
        <v>Oil Products (S)</v>
      </c>
      <c r="O100" s="24" t="str">
        <f>IFERROR(INDEX(Commodities[[Commodity code]:[Commodity]],MATCH(INDEX(Commodities[[Commodity]:[Parent code]],MATCH(Commodities[[#This Row],[L3N]],Commodities[Commodity],0),2),Commodities[Commodity code],0),2),Commodities[[#This Row],[L3N]])</f>
        <v>Oil Products (S)</v>
      </c>
      <c r="P100" s="24" t="str">
        <f>IF(Commodities[[#This Row],[L4N]]=Commodities[[#This Row],[L3N]],Commodities[[#This Row],[L4N]],IF(Commodities[[#This Row],[L3N]]=Commodities[[#This Row],[L2N]],Commodities[[#This Row],[L3N]],IF(Commodities[[#This Row],[L2N]]=Commodities[[#This Row],[L1N]],Commodities[[#This Row],[L2N]],IF(Commodities[[#This Row],[L1N]]=Commodities[[#This Row],[Commodity]],Commodities[[#This Row],[L1N]],Commodities[[#This Row],[Commodity]]))))</f>
        <v>Oil Products (S)</v>
      </c>
      <c r="Q100" s="24" t="str">
        <f>IF(Commodities[[#This Row],[Level 0]]=Commodities[[#This Row],[Commodity]],Commodities[[#This Row],[Commodity]],IF(Commodities[[#This Row],[Level 0]]=Commodities[[#This Row],[L1N]],Commodities[[#This Row],[Commodity]],IF(Commodities[[#This Row],[Level 0]]=Commodities[[#This Row],[L2N]],Commodities[[#This Row],[L1N]],IF(Commodities[[#This Row],[Level 0]]=Commodities[[#This Row],[L3N]],Commodities[[#This Row],[L2N]],IF(Commodities[[#This Row],[Level 0]]=Commodities[[#This Row],[L4N]],Commodities[[#This Row],[L3N]],Commodities[[#This Row],[L4N]])))))</f>
        <v>Oil Products (S)</v>
      </c>
      <c r="R100" s="24" t="str">
        <f>IF(Commodities[[#This Row],[Level 1]]=Commodities[[#This Row],[Commodity]],Commodities[[#This Row],[Commodity]],IF(Commodities[[#This Row],[Level 1]]=Commodities[[#This Row],[L1N]],Commodities[[#This Row],[Commodity]],IF(Commodities[[#This Row],[Level 1]]=Commodities[[#This Row],[L2N]],Commodities[[#This Row],[L1N]],IF(Commodities[[#This Row],[Level 1]]=Commodities[[#This Row],[L3N]],Commodities[[#This Row],[L2N]],IF(Commodities[[#This Row],[Level 1]]=Commodities[[#This Row],[L4N]],Commodities[[#This Row],[L3N]],Commodities[[#This Row],[L4N]])))))</f>
        <v>Oil Products (S)</v>
      </c>
      <c r="S100" s="24" t="str">
        <f>IF(Commodities[[#This Row],[Level 2]]=Commodities[[#This Row],[Commodity]],Commodities[[#This Row],[Commodity]],IF(Commodities[[#This Row],[Level 2]]=Commodities[[#This Row],[L1N]],Commodities[[#This Row],[Commodity]],IF(Commodities[[#This Row],[Level 2]]=Commodities[[#This Row],[L2N]],Commodities[[#This Row],[L1N]],IF(Commodities[[#This Row],[Level 2]]=Commodities[[#This Row],[L3N]],Commodities[[#This Row],[L2N]],IF(Commodities[[#This Row],[Level 2]]=Commodities[[#This Row],[L4N]],Commodities[[#This Row],[L3N]],Commodities[[#This Row],[L4N]])))))</f>
        <v>Oil Products (S)</v>
      </c>
      <c r="T100" s="24" t="str">
        <f>IF(Commodities[[#This Row],[Level 3]]=Commodities[[#This Row],[Commodity]],Commodities[[#This Row],[Commodity]],IF(Commodities[[#This Row],[Level 3]]=Commodities[[#This Row],[L1N]],Commodities[[#This Row],[Commodity]],IF(Commodities[[#This Row],[Level 3]]=Commodities[[#This Row],[L2N]],Commodities[[#This Row],[L1N]],IF(Commodities[[#This Row],[Level 3]]=Commodities[[#This Row],[L3N]],Commodities[[#This Row],[L2N]],IF(Commodities[[#This Row],[Level 3]]=Commodities[[#This Row],[L4N]],Commodities[[#This Row],[L3N]],Commodities[[#This Row],[L4N]])))))</f>
        <v>Oil Products (S)</v>
      </c>
      <c r="U100" s="24" t="str">
        <f>IF(Commodities[[#This Row],[Level 4]]=Commodities[[#This Row],[Commodity]],Commodities[[#This Row],[Commodity]],IF(Commodities[[#This Row],[Level 4]]=Commodities[[#This Row],[L1N]],Commodities[[#This Row],[Commodity]],IF(Commodities[[#This Row],[Level 4]]=Commodities[[#This Row],[L2N]],Commodities[[#This Row],[L1N]],IF(Commodities[[#This Row],[Level 4]]=Commodities[[#This Row],[L3N]],Commodities[[#This Row],[L2N]],IF(Commodities[[#This Row],[Level 4]]=Commodities[[#This Row],[L4N]],Commodities[[#This Row],[L3N]],Commodities[[#This Row],[L4N]])))))</f>
        <v>Oil Products (S)</v>
      </c>
      <c r="Y100" s="5" t="s">
        <v>12</v>
      </c>
      <c r="Z100" s="4" t="s">
        <v>1008</v>
      </c>
      <c r="AA100" s="4" t="s">
        <v>1008</v>
      </c>
      <c r="AB100" s="6" t="s">
        <v>10</v>
      </c>
      <c r="AC100" s="24" t="str">
        <f>IFERROR(VLOOKUP(Transactions[[#This Row],[Parent code]],Transactions[[Transaction code]:[Transaction name]],2,0),"")</f>
        <v>IC Electricity plants</v>
      </c>
      <c r="AD100" s="4" t="s">
        <v>632</v>
      </c>
      <c r="AE100" s="4" t="s">
        <v>632</v>
      </c>
      <c r="AF100" s="4" t="s">
        <v>642</v>
      </c>
      <c r="AG100" s="4" t="s">
        <v>1</v>
      </c>
      <c r="AH100" s="4" t="s">
        <v>696</v>
      </c>
      <c r="AK100" s="24" t="str" cm="1">
        <f t="array" ref="AK100">IFERROR(INDEX(Transactions[[Transaction code]:[Transaction name]],_xlfn.XMATCH(Transactions[[#This Row],[Parent code]],Transactions[Transaction name],0),3),Transactions[[#This Row],[Transaction name]])</f>
        <v>IC Autoproducers</v>
      </c>
      <c r="AL100" s="24" t="str" cm="1">
        <f t="array" ref="AL100">IFERROR(INDEX(Transactions[[Transaction code]:[Transaction name]],_xlfn.XMATCH(INDEX(Transactions[[Transaction name]:[Parent code]],_xlfn.XMATCH(Transactions[[#This Row],[L1N]],Transactions[Transaction name],0),3),Transactions[Transaction code],0),2),Transactions[[#This Row],[L1N]])</f>
        <v>IC Electricity plants</v>
      </c>
      <c r="AM100" s="24" t="str" cm="1">
        <f t="array" ref="AM100">IFERROR(INDEX(Transactions[[Transaction code]:[Transaction name]],_xlfn.XMATCH(INDEX(Transactions[[Transaction name]:[Parent code]],_xlfn.XMATCH(Transactions[[#This Row],[L2N]],Transactions[Transaction name],0),3),Transactions[Transaction code],0),2),Transactions[[#This Row],[L2N]])</f>
        <v>IC Electricity plants</v>
      </c>
      <c r="AN100" s="24" t="str" cm="1">
        <f t="array" ref="AN100">IFERROR(INDEX(Transactions[[Transaction code]:[Transaction name]],_xlfn.XMATCH(INDEX(Transactions[[Transaction name]:[Parent code]],_xlfn.XMATCH(Transactions[[#This Row],[L3N]],Transactions[Transaction name],0),3),Transactions[Transaction code],0),2),Transactions[[#This Row],[L3N]])</f>
        <v>IC Electricity plants</v>
      </c>
      <c r="AO100" s="24" t="str" cm="1">
        <f t="array" ref="AO100">IFERROR(INDEX(Transactions[[Transaction code]:[Transaction name]],_xlfn.XMATCH(INDEX(Transactions[[Transaction name]:[Parent code]],_xlfn.XMATCH(Transactions[[#This Row],[L4N]],Transactions[Transaction name],0),3),Transactions[Transaction code],0),2),Transactions[[#This Row],[L4N]])</f>
        <v>IC Electricity plants</v>
      </c>
      <c r="AP100" s="24" t="str" cm="1">
        <f t="array" ref="AP100">IFERROR(INDEX(Transactions[[Transaction code]:[Transaction name]],_xlfn.XMATCH(INDEX(Transactions[[Transaction name]:[Parent code]],_xlfn.XMATCH(Transactions[[#This Row],[L5N]],Transactions[Transaction name],0),3),Transactions[Transaction code],0),2),Transactions[[#This Row],[L5N]])</f>
        <v>IC Electricity plants</v>
      </c>
      <c r="AQ100" s="24" t="str" cm="1">
        <f t="array" ref="AQ100">IFERROR(INDEX(Transactions[[Transaction code]:[Transaction name]],_xlfn.XMATCH(INDEX(Transactions[[Transaction name]:[Parent code]],_xlfn.XMATCH(Transactions[[#This Row],[L6N]],Transactions[Transaction name],0),3),Transactions[Transaction code],0),2),Transactions[[#This Row],[L6N]])</f>
        <v>IC Electricity plants</v>
      </c>
      <c r="AR100" s="27" t="str">
        <f>IF(Transactions[[#This Row],[L7N]]=Transactions[[#This Row],[L6N]],Transactions[[#This Row],[L7N]],IF(Transactions[[#This Row],[L6N]]=Transactions[[#This Row],[L5N]],Transactions[[#This Row],[L6N]],IF(Transactions[[#This Row],[L5N]]=Transactions[[#This Row],[L4N]],Transactions[[#This Row],[L5N]],IF(Transactions[[#This Row],[L4N]]=Transactions[[#This Row],[L3N]],Transactions[[#This Row],[L4N]],IF(Transactions[[#This Row],[L3N]]=Transactions[[#This Row],[L2N]],Transactions[[#This Row],[L3N]],IF(Transactions[[#This Row],[L2N]]=Transactions[[#This Row],[L1N]],Transactions[[#This Row],[L2N]],IF(Transactions[[#This Row],[L1N]]=Transactions[[#This Row],[Transaction name]],Transactions[[#This Row],[L1N]],Transactions[[#This Row],[Transaction name]])))))))</f>
        <v>IC Electricity plants</v>
      </c>
      <c r="AS100" s="24" t="str">
        <f>IF(Transactions[[#This Row],[Level 0]]=Transactions[[#This Row],[Transaction name]],Transactions[[#This Row],[Transaction name]],IF(Transactions[[#This Row],[Level 0]]=Transactions[[#This Row],[L1N]],Transactions[[#This Row],[Transaction name]],IF(Transactions[[#This Row],[Level 0]]=Transactions[[#This Row],[L2N]],Transactions[[#This Row],[L1N]],IF(Transactions[[#This Row],[Level 0]]=Transactions[[#This Row],[L3N]],Transactions[[#This Row],[L2N]],IF(Transactions[[#This Row],[Level 0]]=Transactions[[#This Row],[L4N]],Transactions[[#This Row],[L3N]],IF(Transactions[[#This Row],[Level 0]]=Transactions[[#This Row],[L5N]],Transactions[[#This Row],[L4N]],IF(Transactions[[#This Row],[Level 0]]=Transactions[[#This Row],[L6N]],Transactions[[#This Row],[L5N]],IF(Transactions[[#This Row],[Level 0]]=Transactions[[#This Row],[L7N]],Transactions[[#This Row],[L6N]],Transactions[[#This Row],[L7N]]))))))))</f>
        <v>IC Autoproducers</v>
      </c>
      <c r="AT100" s="24" t="str">
        <f>IF(Transactions[[#This Row],[Level 1]]=Transactions[[#This Row],[Transaction name]],Transactions[[#This Row],[Transaction name]],IF(Transactions[[#This Row],[Level 1]]=Transactions[[#This Row],[L1N]],Transactions[[#This Row],[Transaction name]],IF(Transactions[[#This Row],[Level 1]]=Transactions[[#This Row],[L2N]],Transactions[[#This Row],[L1N]],IF(Transactions[[#This Row],[Level 1]]=Transactions[[#This Row],[L3N]],Transactions[[#This Row],[L2N]],IF(Transactions[[#This Row],[Level 1]]=Transactions[[#This Row],[L4N]],Transactions[[#This Row],[L3N]],IF(Transactions[[#This Row],[Level 1]]=Transactions[[#This Row],[L5N]],Transactions[[#This Row],[L4N]],IF(Transactions[[#This Row],[Level 1]]=Transactions[[#This Row],[L6N]],Transactions[[#This Row],[L5N]],IF(Transactions[[#This Row],[Level 1]]=Transactions[[#This Row],[L7N]],Transactions[[#This Row],[L6N]],Transactions[[#This Row],[L7N]]))))))))</f>
        <v>IC Autoproducers</v>
      </c>
      <c r="AU100" s="24" t="str">
        <f>IF(Transactions[[#This Row],[Level 2]]=Transactions[[#This Row],[Transaction name]],Transactions[[#This Row],[Transaction name]],IF(Transactions[[#This Row],[Level 2]]=Transactions[[#This Row],[L1N]],Transactions[[#This Row],[Transaction name]],IF(Transactions[[#This Row],[Level 2]]=Transactions[[#This Row],[L2N]],Transactions[[#This Row],[L1N]],IF(Transactions[[#This Row],[Level 2]]=Transactions[[#This Row],[L3N]],Transactions[[#This Row],[L2N]],IF(Transactions[[#This Row],[Level 2]]=Transactions[[#This Row],[L4N]],Transactions[[#This Row],[L3N]],IF(Transactions[[#This Row],[Level 2]]=Transactions[[#This Row],[L5N]],Transactions[[#This Row],[L4N]],IF(Transactions[[#This Row],[Level 2]]=Transactions[[#This Row],[L6N]],Transactions[[#This Row],[L5N]],IF(Transactions[[#This Row],[Level 2]]=Transactions[[#This Row],[L7N]],Transactions[[#This Row],[L6N]],Transactions[[#This Row],[L7N]]))))))))</f>
        <v>IC Autoproducers</v>
      </c>
      <c r="AV100" s="24" t="str">
        <f>IF(Transactions[[#This Row],[Level 3]]=Transactions[[#This Row],[Transaction name]],Transactions[[#This Row],[Transaction name]],IF(Transactions[[#This Row],[Level 3]]=Transactions[[#This Row],[L1N]],Transactions[[#This Row],[Transaction name]],IF(Transactions[[#This Row],[Level 3]]=Transactions[[#This Row],[L2N]],Transactions[[#This Row],[L1N]],IF(Transactions[[#This Row],[Level 3]]=Transactions[[#This Row],[L3N]],Transactions[[#This Row],[L2N]],IF(Transactions[[#This Row],[Level 3]]=Transactions[[#This Row],[L4N]],Transactions[[#This Row],[L3N]],IF(Transactions[[#This Row],[Level 3]]=Transactions[[#This Row],[L5N]],Transactions[[#This Row],[L4N]],IF(Transactions[[#This Row],[Level 3]]=Transactions[[#This Row],[L6N]],Transactions[[#This Row],[L5N]],IF(Transactions[[#This Row],[Level 3]]=Transactions[[#This Row],[L7N]],Transactions[[#This Row],[L6N]],Transactions[[#This Row],[L7N]]))))))))</f>
        <v>IC Autoproducers</v>
      </c>
      <c r="AW100" s="24" t="str">
        <f>IF(Transactions[[#This Row],[Level 4]]=Transactions[[#This Row],[Transaction name]],Transactions[[#This Row],[Transaction name]],IF(Transactions[[#This Row],[Level 4]]=Transactions[[#This Row],[L1N]],Transactions[[#This Row],[Transaction name]],IF(Transactions[[#This Row],[Level 4]]=Transactions[[#This Row],[L2N]],Transactions[[#This Row],[L1N]],IF(Transactions[[#This Row],[Level 4]]=Transactions[[#This Row],[L3N]],Transactions[[#This Row],[L2N]],IF(Transactions[[#This Row],[Level 4]]=Transactions[[#This Row],[L4N]],Transactions[[#This Row],[L3N]],IF(Transactions[[#This Row],[Level 4]]=Transactions[[#This Row],[L5N]],Transactions[[#This Row],[L4N]],IF(Transactions[[#This Row],[Level 4]]=Transactions[[#This Row],[L6N]],Transactions[[#This Row],[L5N]],IF(Transactions[[#This Row],[Level 4]]=Transactions[[#This Row],[L7N]],Transactions[[#This Row],[L6N]],Transactions[[#This Row],[L7N]]))))))))</f>
        <v>IC Autoproducers</v>
      </c>
      <c r="AX100" s="24" t="str">
        <f>IF(Transactions[[#This Row],[Level 5]]=Transactions[[#This Row],[Transaction name]],Transactions[[#This Row],[Transaction name]],IF(Transactions[[#This Row],[Level 5]]=Transactions[[#This Row],[L1N]],Transactions[[#This Row],[Transaction name]],IF(Transactions[[#This Row],[Level 5]]=Transactions[[#This Row],[L2N]],Transactions[[#This Row],[L1N]],IF(Transactions[[#This Row],[Level 5]]=Transactions[[#This Row],[L3N]],Transactions[[#This Row],[L2N]],IF(Transactions[[#This Row],[Level 5]]=Transactions[[#This Row],[L4N]],Transactions[[#This Row],[L3N]],IF(Transactions[[#This Row],[Level 5]]=Transactions[[#This Row],[L5N]],Transactions[[#This Row],[L4N]],IF(Transactions[[#This Row],[Level 5]]=Transactions[[#This Row],[L6N]],Transactions[[#This Row],[L5N]],IF(Transactions[[#This Row],[Level 5]]=Transactions[[#This Row],[L7N]],Transactions[[#This Row],[L6N]],Transactions[[#This Row],[L7N]]))))))))</f>
        <v>IC Autoproducers</v>
      </c>
      <c r="AY100" s="24" t="str">
        <f>IF(Transactions[[#This Row],[Level 6]]=Transactions[[#This Row],[Transaction name]],Transactions[[#This Row],[Transaction name]],IF(Transactions[[#This Row],[Level 6]]=Transactions[[#This Row],[L1N]],Transactions[[#This Row],[Transaction name]],IF(Transactions[[#This Row],[Level 6]]=Transactions[[#This Row],[L2N]],Transactions[[#This Row],[L1N]],IF(Transactions[[#This Row],[Level 6]]=Transactions[[#This Row],[L3N]],Transactions[[#This Row],[L2N]],IF(Transactions[[#This Row],[Level 6]]=Transactions[[#This Row],[L4N]],Transactions[[#This Row],[L3N]],IF(Transactions[[#This Row],[Level 6]]=Transactions[[#This Row],[L5N]],Transactions[[#This Row],[L4N]],IF(Transactions[[#This Row],[Level 6]]=Transactions[[#This Row],[L6N]],Transactions[[#This Row],[L5N]],IF(Transactions[[#This Row],[Level 6]]=Transactions[[#This Row],[L7N]],Transactions[[#This Row],[L6N]],Transactions[[#This Row],[L7N]]))))))))</f>
        <v>IC Autoproducers</v>
      </c>
      <c r="BE100" s="26" t="str">
        <f>_xlfn.XLOOKUP(Transformation[[#This Row],[cfrom]],Commodities[Commodity],Commodities[Commodity code])</f>
        <v>8000</v>
      </c>
      <c r="BF100" s="26" t="str">
        <f>_xlfn.XLOOKUP(Transformation[[#This Row],[tfrom]],Transactions[Transaction name],Transactions[Transaction code])</f>
        <v>016HE</v>
      </c>
      <c r="BG100" s="26" t="str">
        <f>_xlfn.XLOOKUP(Transformation[[#This Row],[cto]],Commodities[Commodity],Commodities[Commodity code])</f>
        <v>8000</v>
      </c>
      <c r="BH100" s="26" t="str">
        <f>_xlfn.XLOOKUP(Transformation[[#This Row],[tto]],Transactions[Transaction name],Transactions[Transaction code])</f>
        <v>01</v>
      </c>
      <c r="BI100" s="31">
        <v>1</v>
      </c>
      <c r="BJ100" s="22" t="s">
        <v>262</v>
      </c>
      <c r="BK100" s="26" t="str">
        <f>_xlfn.XLOOKUP(Transformation[[#This Row],[Commodity from]],Commodities[Commodity code],Commodities[EnergyCode])</f>
        <v>ST</v>
      </c>
      <c r="BL100" s="22" t="s">
        <v>686</v>
      </c>
      <c r="BM100" s="22" t="s">
        <v>262</v>
      </c>
      <c r="BN100" s="26" t="str">
        <f>_xlfn.XLOOKUP(Transformation[[#This Row],[Commodity to]],Commodities[Commodity code],Commodities[EnergyCode])</f>
        <v>ST</v>
      </c>
      <c r="BO100" s="22" t="s">
        <v>383</v>
      </c>
      <c r="BP100" s="22" t="s">
        <v>1673</v>
      </c>
      <c r="BQ100" s="33" t="str">
        <f>Transformation[[#This Row],[Commodity from]]&amp;Transformation[[#This Row],[Transaction from]]&amp;Transformation[[#This Row],[Commodity to]]&amp;Transformation[[#This Row],[Transaction to]]</f>
        <v>8000016HE800001</v>
      </c>
      <c r="BR100" s="26" t="str">
        <f>Transformation[[#This Row],[crfomid]]&amp;Transformation[[#This Row],[Transaction from]]&amp;"("&amp;Transformation[[#This Row],[Multiplier]]&amp;") -&gt; "&amp;Transformation[[#This Row],[ctoid]]&amp;Transformation[[#This Row],[Transaction to]]</f>
        <v>ST016HE(1) -&gt; ST01</v>
      </c>
      <c r="BT100" s="26" t="str">
        <f>_xlfn.XLOOKUP(Signswitch[[#This Row],[Commodity name]],Commodities[Commodity],Commodities[Commodity code])</f>
        <v>5212</v>
      </c>
      <c r="BU100" s="26" t="str">
        <f>_xlfn.XLOOKUP(Signswitch[[#This Row],[Transaction name]],Transactions[Transaction name],Transactions[Transaction code])</f>
        <v>11</v>
      </c>
      <c r="BV100" s="26" t="str">
        <f>Signswitch[[#This Row],[Commodity from]]&amp;Signswitch[[#This Row],[Transaction from]]</f>
        <v>521211</v>
      </c>
      <c r="BW100" s="22" t="s">
        <v>317</v>
      </c>
      <c r="BX100" s="26" t="str">
        <f>_xlfn.XLOOKUP(Signswitch[[#This Row],[Commodity from]],Commodities[Commodity code],Commodities[EnergyCode])</f>
        <v>ZG</v>
      </c>
      <c r="BY100" s="22" t="s">
        <v>130</v>
      </c>
    </row>
    <row r="101" spans="8:77" x14ac:dyDescent="0.45">
      <c r="H101" s="4" t="s">
        <v>552</v>
      </c>
      <c r="I101" s="4" t="s">
        <v>551</v>
      </c>
      <c r="L101" s="24" t="str">
        <f>IFERROR(INDEX(Commodities[[Commodity code]:[Commodity]],MATCH(Commodities[[#This Row],[Parent code]],Commodities[Commodity code],0),2),Commodities[[#This Row],[Commodity]])</f>
        <v>Biofuels and waste</v>
      </c>
      <c r="M101" s="24" t="str">
        <f>IFERROR(INDEX(Commodities[[Commodity code]:[Commodity]],MATCH(INDEX(Commodities[[Commodity]:[Parent code]],MATCH(Commodities[[#This Row],[L1N]],Commodities[Commodity],0),2),Commodities[Commodity code],0),2),Commodities[[#This Row],[L1N]])</f>
        <v>Biofuels and waste</v>
      </c>
      <c r="N101" s="24" t="str">
        <f>IFERROR(INDEX(Commodities[[Commodity code]:[Commodity]],MATCH(INDEX(Commodities[[Commodity]:[Parent code]],MATCH(Commodities[[#This Row],[L2N]],Commodities[Commodity],0),2),Commodities[Commodity code],0),2),Commodities[[#This Row],[L2N]])</f>
        <v>Biofuels and waste</v>
      </c>
      <c r="O101" s="24" t="str">
        <f>IFERROR(INDEX(Commodities[[Commodity code]:[Commodity]],MATCH(INDEX(Commodities[[Commodity]:[Parent code]],MATCH(Commodities[[#This Row],[L3N]],Commodities[Commodity],0),2),Commodities[Commodity code],0),2),Commodities[[#This Row],[L3N]])</f>
        <v>Biofuels and waste</v>
      </c>
      <c r="P101" s="24" t="str">
        <f>IF(Commodities[[#This Row],[L4N]]=Commodities[[#This Row],[L3N]],Commodities[[#This Row],[L4N]],IF(Commodities[[#This Row],[L3N]]=Commodities[[#This Row],[L2N]],Commodities[[#This Row],[L3N]],IF(Commodities[[#This Row],[L2N]]=Commodities[[#This Row],[L1N]],Commodities[[#This Row],[L2N]],IF(Commodities[[#This Row],[L1N]]=Commodities[[#This Row],[Commodity]],Commodities[[#This Row],[L1N]],Commodities[[#This Row],[Commodity]]))))</f>
        <v>Biofuels and waste</v>
      </c>
      <c r="Q101" s="24" t="str">
        <f>IF(Commodities[[#This Row],[Level 0]]=Commodities[[#This Row],[Commodity]],Commodities[[#This Row],[Commodity]],IF(Commodities[[#This Row],[Level 0]]=Commodities[[#This Row],[L1N]],Commodities[[#This Row],[Commodity]],IF(Commodities[[#This Row],[Level 0]]=Commodities[[#This Row],[L2N]],Commodities[[#This Row],[L1N]],IF(Commodities[[#This Row],[Level 0]]=Commodities[[#This Row],[L3N]],Commodities[[#This Row],[L2N]],IF(Commodities[[#This Row],[Level 0]]=Commodities[[#This Row],[L4N]],Commodities[[#This Row],[L3N]],Commodities[[#This Row],[L4N]])))))</f>
        <v>Biofuels and waste</v>
      </c>
      <c r="R101" s="24" t="str">
        <f>IF(Commodities[[#This Row],[Level 1]]=Commodities[[#This Row],[Commodity]],Commodities[[#This Row],[Commodity]],IF(Commodities[[#This Row],[Level 1]]=Commodities[[#This Row],[L1N]],Commodities[[#This Row],[Commodity]],IF(Commodities[[#This Row],[Level 1]]=Commodities[[#This Row],[L2N]],Commodities[[#This Row],[L1N]],IF(Commodities[[#This Row],[Level 1]]=Commodities[[#This Row],[L3N]],Commodities[[#This Row],[L2N]],IF(Commodities[[#This Row],[Level 1]]=Commodities[[#This Row],[L4N]],Commodities[[#This Row],[L3N]],Commodities[[#This Row],[L4N]])))))</f>
        <v>Biofuels and waste</v>
      </c>
      <c r="S101" s="24" t="str">
        <f>IF(Commodities[[#This Row],[Level 2]]=Commodities[[#This Row],[Commodity]],Commodities[[#This Row],[Commodity]],IF(Commodities[[#This Row],[Level 2]]=Commodities[[#This Row],[L1N]],Commodities[[#This Row],[Commodity]],IF(Commodities[[#This Row],[Level 2]]=Commodities[[#This Row],[L2N]],Commodities[[#This Row],[L1N]],IF(Commodities[[#This Row],[Level 2]]=Commodities[[#This Row],[L3N]],Commodities[[#This Row],[L2N]],IF(Commodities[[#This Row],[Level 2]]=Commodities[[#This Row],[L4N]],Commodities[[#This Row],[L3N]],Commodities[[#This Row],[L4N]])))))</f>
        <v>Biofuels and waste</v>
      </c>
      <c r="T101" s="24" t="str">
        <f>IF(Commodities[[#This Row],[Level 3]]=Commodities[[#This Row],[Commodity]],Commodities[[#This Row],[Commodity]],IF(Commodities[[#This Row],[Level 3]]=Commodities[[#This Row],[L1N]],Commodities[[#This Row],[Commodity]],IF(Commodities[[#This Row],[Level 3]]=Commodities[[#This Row],[L2N]],Commodities[[#This Row],[L1N]],IF(Commodities[[#This Row],[Level 3]]=Commodities[[#This Row],[L3N]],Commodities[[#This Row],[L2N]],IF(Commodities[[#This Row],[Level 3]]=Commodities[[#This Row],[L4N]],Commodities[[#This Row],[L3N]],Commodities[[#This Row],[L4N]])))))</f>
        <v>Biofuels and waste</v>
      </c>
      <c r="U101" s="24" t="str">
        <f>IF(Commodities[[#This Row],[Level 4]]=Commodities[[#This Row],[Commodity]],Commodities[[#This Row],[Commodity]],IF(Commodities[[#This Row],[Level 4]]=Commodities[[#This Row],[L1N]],Commodities[[#This Row],[Commodity]],IF(Commodities[[#This Row],[Level 4]]=Commodities[[#This Row],[L2N]],Commodities[[#This Row],[L1N]],IF(Commodities[[#This Row],[Level 4]]=Commodities[[#This Row],[L3N]],Commodities[[#This Row],[L2N]],IF(Commodities[[#This Row],[Level 4]]=Commodities[[#This Row],[L4N]],Commodities[[#This Row],[L3N]],Commodities[[#This Row],[L4N]])))))</f>
        <v>Biofuels and waste</v>
      </c>
      <c r="Y101" s="5" t="s">
        <v>71</v>
      </c>
      <c r="Z101" s="4" t="s">
        <v>986</v>
      </c>
      <c r="AA101" s="4" t="s">
        <v>986</v>
      </c>
      <c r="AB101" s="6" t="s">
        <v>10</v>
      </c>
      <c r="AC101" s="24" t="str">
        <f>IFERROR(VLOOKUP(Transactions[[#This Row],[Parent code]],Transactions[[Transaction code]:[Transaction name]],2,0),"")</f>
        <v>IC Electricity plants</v>
      </c>
      <c r="AD101" s="4" t="s">
        <v>632</v>
      </c>
      <c r="AE101" s="4" t="s">
        <v>632</v>
      </c>
      <c r="AF101" s="4" t="s">
        <v>642</v>
      </c>
      <c r="AG101" s="4" t="s">
        <v>1</v>
      </c>
      <c r="AH101" s="4" t="s">
        <v>696</v>
      </c>
      <c r="AK101" s="24" t="str" cm="1">
        <f t="array" ref="AK101">IFERROR(INDEX(Transactions[[Transaction code]:[Transaction name]],_xlfn.XMATCH(Transactions[[#This Row],[Parent code]],Transactions[Transaction name],0),3),Transactions[[#This Row],[Transaction name]])</f>
        <v>IC Combustible fuels</v>
      </c>
      <c r="AL101" s="24" t="str" cm="1">
        <f t="array" ref="AL101">IFERROR(INDEX(Transactions[[Transaction code]:[Transaction name]],_xlfn.XMATCH(INDEX(Transactions[[Transaction name]:[Parent code]],_xlfn.XMATCH(Transactions[[#This Row],[L1N]],Transactions[Transaction name],0),3),Transactions[Transaction code],0),2),Transactions[[#This Row],[L1N]])</f>
        <v>IC Electricity plants</v>
      </c>
      <c r="AM101" s="24" t="str" cm="1">
        <f t="array" ref="AM101">IFERROR(INDEX(Transactions[[Transaction code]:[Transaction name]],_xlfn.XMATCH(INDEX(Transactions[[Transaction name]:[Parent code]],_xlfn.XMATCH(Transactions[[#This Row],[L2N]],Transactions[Transaction name],0),3),Transactions[Transaction code],0),2),Transactions[[#This Row],[L2N]])</f>
        <v>IC Electricity plants</v>
      </c>
      <c r="AN101" s="24" t="str" cm="1">
        <f t="array" ref="AN101">IFERROR(INDEX(Transactions[[Transaction code]:[Transaction name]],_xlfn.XMATCH(INDEX(Transactions[[Transaction name]:[Parent code]],_xlfn.XMATCH(Transactions[[#This Row],[L3N]],Transactions[Transaction name],0),3),Transactions[Transaction code],0),2),Transactions[[#This Row],[L3N]])</f>
        <v>IC Electricity plants</v>
      </c>
      <c r="AO101" s="24" t="str" cm="1">
        <f t="array" ref="AO101">IFERROR(INDEX(Transactions[[Transaction code]:[Transaction name]],_xlfn.XMATCH(INDEX(Transactions[[Transaction name]:[Parent code]],_xlfn.XMATCH(Transactions[[#This Row],[L4N]],Transactions[Transaction name],0),3),Transactions[Transaction code],0),2),Transactions[[#This Row],[L4N]])</f>
        <v>IC Electricity plants</v>
      </c>
      <c r="AP101" s="24" t="str" cm="1">
        <f t="array" ref="AP101">IFERROR(INDEX(Transactions[[Transaction code]:[Transaction name]],_xlfn.XMATCH(INDEX(Transactions[[Transaction name]:[Parent code]],_xlfn.XMATCH(Transactions[[#This Row],[L5N]],Transactions[Transaction name],0),3),Transactions[Transaction code],0),2),Transactions[[#This Row],[L5N]])</f>
        <v>IC Electricity plants</v>
      </c>
      <c r="AQ101" s="24" t="str" cm="1">
        <f t="array" ref="AQ101">IFERROR(INDEX(Transactions[[Transaction code]:[Transaction name]],_xlfn.XMATCH(INDEX(Transactions[[Transaction name]:[Parent code]],_xlfn.XMATCH(Transactions[[#This Row],[L6N]],Transactions[Transaction name],0),3),Transactions[Transaction code],0),2),Transactions[[#This Row],[L6N]])</f>
        <v>IC Electricity plants</v>
      </c>
      <c r="AR101" s="27" t="str">
        <f>IF(Transactions[[#This Row],[L7N]]=Transactions[[#This Row],[L6N]],Transactions[[#This Row],[L7N]],IF(Transactions[[#This Row],[L6N]]=Transactions[[#This Row],[L5N]],Transactions[[#This Row],[L6N]],IF(Transactions[[#This Row],[L5N]]=Transactions[[#This Row],[L4N]],Transactions[[#This Row],[L5N]],IF(Transactions[[#This Row],[L4N]]=Transactions[[#This Row],[L3N]],Transactions[[#This Row],[L4N]],IF(Transactions[[#This Row],[L3N]]=Transactions[[#This Row],[L2N]],Transactions[[#This Row],[L3N]],IF(Transactions[[#This Row],[L2N]]=Transactions[[#This Row],[L1N]],Transactions[[#This Row],[L2N]],IF(Transactions[[#This Row],[L1N]]=Transactions[[#This Row],[Transaction name]],Transactions[[#This Row],[L1N]],Transactions[[#This Row],[Transaction name]])))))))</f>
        <v>IC Electricity plants</v>
      </c>
      <c r="AS101" s="24" t="str">
        <f>IF(Transactions[[#This Row],[Level 0]]=Transactions[[#This Row],[Transaction name]],Transactions[[#This Row],[Transaction name]],IF(Transactions[[#This Row],[Level 0]]=Transactions[[#This Row],[L1N]],Transactions[[#This Row],[Transaction name]],IF(Transactions[[#This Row],[Level 0]]=Transactions[[#This Row],[L2N]],Transactions[[#This Row],[L1N]],IF(Transactions[[#This Row],[Level 0]]=Transactions[[#This Row],[L3N]],Transactions[[#This Row],[L2N]],IF(Transactions[[#This Row],[Level 0]]=Transactions[[#This Row],[L4N]],Transactions[[#This Row],[L3N]],IF(Transactions[[#This Row],[Level 0]]=Transactions[[#This Row],[L5N]],Transactions[[#This Row],[L4N]],IF(Transactions[[#This Row],[Level 0]]=Transactions[[#This Row],[L6N]],Transactions[[#This Row],[L5N]],IF(Transactions[[#This Row],[Level 0]]=Transactions[[#This Row],[L7N]],Transactions[[#This Row],[L6N]],Transactions[[#This Row],[L7N]]))))))))</f>
        <v>IC Combustible fuels</v>
      </c>
      <c r="AT101" s="24" t="str">
        <f>IF(Transactions[[#This Row],[Level 1]]=Transactions[[#This Row],[Transaction name]],Transactions[[#This Row],[Transaction name]],IF(Transactions[[#This Row],[Level 1]]=Transactions[[#This Row],[L1N]],Transactions[[#This Row],[Transaction name]],IF(Transactions[[#This Row],[Level 1]]=Transactions[[#This Row],[L2N]],Transactions[[#This Row],[L1N]],IF(Transactions[[#This Row],[Level 1]]=Transactions[[#This Row],[L3N]],Transactions[[#This Row],[L2N]],IF(Transactions[[#This Row],[Level 1]]=Transactions[[#This Row],[L4N]],Transactions[[#This Row],[L3N]],IF(Transactions[[#This Row],[Level 1]]=Transactions[[#This Row],[L5N]],Transactions[[#This Row],[L4N]],IF(Transactions[[#This Row],[Level 1]]=Transactions[[#This Row],[L6N]],Transactions[[#This Row],[L5N]],IF(Transactions[[#This Row],[Level 1]]=Transactions[[#This Row],[L7N]],Transactions[[#This Row],[L6N]],Transactions[[#This Row],[L7N]]))))))))</f>
        <v>IC Combustible fuels</v>
      </c>
      <c r="AU101" s="24" t="str">
        <f>IF(Transactions[[#This Row],[Level 2]]=Transactions[[#This Row],[Transaction name]],Transactions[[#This Row],[Transaction name]],IF(Transactions[[#This Row],[Level 2]]=Transactions[[#This Row],[L1N]],Transactions[[#This Row],[Transaction name]],IF(Transactions[[#This Row],[Level 2]]=Transactions[[#This Row],[L2N]],Transactions[[#This Row],[L1N]],IF(Transactions[[#This Row],[Level 2]]=Transactions[[#This Row],[L3N]],Transactions[[#This Row],[L2N]],IF(Transactions[[#This Row],[Level 2]]=Transactions[[#This Row],[L4N]],Transactions[[#This Row],[L3N]],IF(Transactions[[#This Row],[Level 2]]=Transactions[[#This Row],[L5N]],Transactions[[#This Row],[L4N]],IF(Transactions[[#This Row],[Level 2]]=Transactions[[#This Row],[L6N]],Transactions[[#This Row],[L5N]],IF(Transactions[[#This Row],[Level 2]]=Transactions[[#This Row],[L7N]],Transactions[[#This Row],[L6N]],Transactions[[#This Row],[L7N]]))))))))</f>
        <v>IC Combustible fuels</v>
      </c>
      <c r="AV101" s="24" t="str">
        <f>IF(Transactions[[#This Row],[Level 3]]=Transactions[[#This Row],[Transaction name]],Transactions[[#This Row],[Transaction name]],IF(Transactions[[#This Row],[Level 3]]=Transactions[[#This Row],[L1N]],Transactions[[#This Row],[Transaction name]],IF(Transactions[[#This Row],[Level 3]]=Transactions[[#This Row],[L2N]],Transactions[[#This Row],[L1N]],IF(Transactions[[#This Row],[Level 3]]=Transactions[[#This Row],[L3N]],Transactions[[#This Row],[L2N]],IF(Transactions[[#This Row],[Level 3]]=Transactions[[#This Row],[L4N]],Transactions[[#This Row],[L3N]],IF(Transactions[[#This Row],[Level 3]]=Transactions[[#This Row],[L5N]],Transactions[[#This Row],[L4N]],IF(Transactions[[#This Row],[Level 3]]=Transactions[[#This Row],[L6N]],Transactions[[#This Row],[L5N]],IF(Transactions[[#This Row],[Level 3]]=Transactions[[#This Row],[L7N]],Transactions[[#This Row],[L6N]],Transactions[[#This Row],[L7N]]))))))))</f>
        <v>IC Combustible fuels</v>
      </c>
      <c r="AW101" s="24" t="str">
        <f>IF(Transactions[[#This Row],[Level 4]]=Transactions[[#This Row],[Transaction name]],Transactions[[#This Row],[Transaction name]],IF(Transactions[[#This Row],[Level 4]]=Transactions[[#This Row],[L1N]],Transactions[[#This Row],[Transaction name]],IF(Transactions[[#This Row],[Level 4]]=Transactions[[#This Row],[L2N]],Transactions[[#This Row],[L1N]],IF(Transactions[[#This Row],[Level 4]]=Transactions[[#This Row],[L3N]],Transactions[[#This Row],[L2N]],IF(Transactions[[#This Row],[Level 4]]=Transactions[[#This Row],[L4N]],Transactions[[#This Row],[L3N]],IF(Transactions[[#This Row],[Level 4]]=Transactions[[#This Row],[L5N]],Transactions[[#This Row],[L4N]],IF(Transactions[[#This Row],[Level 4]]=Transactions[[#This Row],[L6N]],Transactions[[#This Row],[L5N]],IF(Transactions[[#This Row],[Level 4]]=Transactions[[#This Row],[L7N]],Transactions[[#This Row],[L6N]],Transactions[[#This Row],[L7N]]))))))))</f>
        <v>IC Combustible fuels</v>
      </c>
      <c r="AX101" s="24" t="str">
        <f>IF(Transactions[[#This Row],[Level 5]]=Transactions[[#This Row],[Transaction name]],Transactions[[#This Row],[Transaction name]],IF(Transactions[[#This Row],[Level 5]]=Transactions[[#This Row],[L1N]],Transactions[[#This Row],[Transaction name]],IF(Transactions[[#This Row],[Level 5]]=Transactions[[#This Row],[L2N]],Transactions[[#This Row],[L1N]],IF(Transactions[[#This Row],[Level 5]]=Transactions[[#This Row],[L3N]],Transactions[[#This Row],[L2N]],IF(Transactions[[#This Row],[Level 5]]=Transactions[[#This Row],[L4N]],Transactions[[#This Row],[L3N]],IF(Transactions[[#This Row],[Level 5]]=Transactions[[#This Row],[L5N]],Transactions[[#This Row],[L4N]],IF(Transactions[[#This Row],[Level 5]]=Transactions[[#This Row],[L6N]],Transactions[[#This Row],[L5N]],IF(Transactions[[#This Row],[Level 5]]=Transactions[[#This Row],[L7N]],Transactions[[#This Row],[L6N]],Transactions[[#This Row],[L7N]]))))))))</f>
        <v>IC Combustible fuels</v>
      </c>
      <c r="AY101" s="24" t="str">
        <f>IF(Transactions[[#This Row],[Level 6]]=Transactions[[#This Row],[Transaction name]],Transactions[[#This Row],[Transaction name]],IF(Transactions[[#This Row],[Level 6]]=Transactions[[#This Row],[L1N]],Transactions[[#This Row],[Transaction name]],IF(Transactions[[#This Row],[Level 6]]=Transactions[[#This Row],[L2N]],Transactions[[#This Row],[L1N]],IF(Transactions[[#This Row],[Level 6]]=Transactions[[#This Row],[L3N]],Transactions[[#This Row],[L2N]],IF(Transactions[[#This Row],[Level 6]]=Transactions[[#This Row],[L4N]],Transactions[[#This Row],[L3N]],IF(Transactions[[#This Row],[Level 6]]=Transactions[[#This Row],[L5N]],Transactions[[#This Row],[L4N]],IF(Transactions[[#This Row],[Level 6]]=Transactions[[#This Row],[L6N]],Transactions[[#This Row],[L5N]],IF(Transactions[[#This Row],[Level 6]]=Transactions[[#This Row],[L7N]],Transactions[[#This Row],[L6N]],Transactions[[#This Row],[L7N]]))))))))</f>
        <v>IC Combustible fuels</v>
      </c>
      <c r="BE101" s="26" t="str">
        <f>_xlfn.XLOOKUP(Transformation[[#This Row],[cfrom]],Commodities[Commodity],Commodities[Commodity code])</f>
        <v>7000</v>
      </c>
      <c r="BF101" s="26" t="str">
        <f>_xlfn.XLOOKUP(Transformation[[#This Row],[tfrom]],Transactions[Transaction name],Transactions[Transaction code])</f>
        <v>016GE</v>
      </c>
      <c r="BG101" s="26" t="str">
        <f>_xlfn.XLOOKUP(Transformation[[#This Row],[cto]],Commodities[Commodity],Commodities[Commodity code])</f>
        <v>8000</v>
      </c>
      <c r="BH101" s="26" t="str">
        <f>_xlfn.XLOOKUP(Transformation[[#This Row],[tto]],Transactions[Transaction name],Transactions[Transaction code])</f>
        <v>016GE</v>
      </c>
      <c r="BI101" s="31">
        <v>-10</v>
      </c>
      <c r="BJ101" s="22" t="s">
        <v>544</v>
      </c>
      <c r="BK101" s="26" t="str">
        <f>_xlfn.XLOOKUP(Transformation[[#This Row],[Commodity from]],Commodities[Commodity code],Commodities[EnergyCode])</f>
        <v>EL</v>
      </c>
      <c r="BL101" s="22" t="s">
        <v>685</v>
      </c>
      <c r="BM101" s="22" t="s">
        <v>262</v>
      </c>
      <c r="BN101" s="26" t="str">
        <f>_xlfn.XLOOKUP(Transformation[[#This Row],[Commodity to]],Commodities[Commodity code],Commodities[EnergyCode])</f>
        <v>ST</v>
      </c>
      <c r="BO101" s="22" t="s">
        <v>685</v>
      </c>
      <c r="BP101" s="22" t="s">
        <v>1552</v>
      </c>
      <c r="BQ101" s="33" t="str">
        <f>Transformation[[#This Row],[Commodity from]]&amp;Transformation[[#This Row],[Transaction from]]&amp;Transformation[[#This Row],[Commodity to]]&amp;Transformation[[#This Row],[Transaction to]]</f>
        <v>7000016GE8000016GE</v>
      </c>
      <c r="BR101" s="26" t="str">
        <f>Transformation[[#This Row],[crfomid]]&amp;Transformation[[#This Row],[Transaction from]]&amp;"("&amp;Transformation[[#This Row],[Multiplier]]&amp;") -&gt; "&amp;Transformation[[#This Row],[ctoid]]&amp;Transformation[[#This Row],[Transaction to]]</f>
        <v>EL016GE(-10) -&gt; ST016GE</v>
      </c>
    </row>
    <row r="102" spans="8:77" x14ac:dyDescent="0.45">
      <c r="H102" s="4" t="s">
        <v>545</v>
      </c>
      <c r="I102" s="18" t="s">
        <v>1548</v>
      </c>
      <c r="L102" s="24" t="str">
        <f>IFERROR(INDEX(Commodities[[Commodity code]:[Commodity]],MATCH(Commodities[[#This Row],[Parent code]],Commodities[Commodity code],0),2),Commodities[[#This Row],[Commodity]])</f>
        <v>Electricity (S)</v>
      </c>
      <c r="M102" s="24" t="str">
        <f>IFERROR(INDEX(Commodities[[Commodity code]:[Commodity]],MATCH(INDEX(Commodities[[Commodity]:[Parent code]],MATCH(Commodities[[#This Row],[L1N]],Commodities[Commodity],0),2),Commodities[Commodity code],0),2),Commodities[[#This Row],[L1N]])</f>
        <v>Electricity (S)</v>
      </c>
      <c r="N102" s="24" t="str">
        <f>IFERROR(INDEX(Commodities[[Commodity code]:[Commodity]],MATCH(INDEX(Commodities[[Commodity]:[Parent code]],MATCH(Commodities[[#This Row],[L2N]],Commodities[Commodity],0),2),Commodities[Commodity code],0),2),Commodities[[#This Row],[L2N]])</f>
        <v>Electricity (S)</v>
      </c>
      <c r="O102" s="24" t="str">
        <f>IFERROR(INDEX(Commodities[[Commodity code]:[Commodity]],MATCH(INDEX(Commodities[[Commodity]:[Parent code]],MATCH(Commodities[[#This Row],[L3N]],Commodities[Commodity],0),2),Commodities[Commodity code],0),2),Commodities[[#This Row],[L3N]])</f>
        <v>Electricity (S)</v>
      </c>
      <c r="P102" s="24" t="str">
        <f>IF(Commodities[[#This Row],[L4N]]=Commodities[[#This Row],[L3N]],Commodities[[#This Row],[L4N]],IF(Commodities[[#This Row],[L3N]]=Commodities[[#This Row],[L2N]],Commodities[[#This Row],[L3N]],IF(Commodities[[#This Row],[L2N]]=Commodities[[#This Row],[L1N]],Commodities[[#This Row],[L2N]],IF(Commodities[[#This Row],[L1N]]=Commodities[[#This Row],[Commodity]],Commodities[[#This Row],[L1N]],Commodities[[#This Row],[Commodity]]))))</f>
        <v>Electricity (S)</v>
      </c>
      <c r="Q102" s="24" t="str">
        <f>IF(Commodities[[#This Row],[Level 0]]=Commodities[[#This Row],[Commodity]],Commodities[[#This Row],[Commodity]],IF(Commodities[[#This Row],[Level 0]]=Commodities[[#This Row],[L1N]],Commodities[[#This Row],[Commodity]],IF(Commodities[[#This Row],[Level 0]]=Commodities[[#This Row],[L2N]],Commodities[[#This Row],[L1N]],IF(Commodities[[#This Row],[Level 0]]=Commodities[[#This Row],[L3N]],Commodities[[#This Row],[L2N]],IF(Commodities[[#This Row],[Level 0]]=Commodities[[#This Row],[L4N]],Commodities[[#This Row],[L3N]],Commodities[[#This Row],[L4N]])))))</f>
        <v>Electricity (S)</v>
      </c>
      <c r="R102" s="24" t="str">
        <f>IF(Commodities[[#This Row],[Level 1]]=Commodities[[#This Row],[Commodity]],Commodities[[#This Row],[Commodity]],IF(Commodities[[#This Row],[Level 1]]=Commodities[[#This Row],[L1N]],Commodities[[#This Row],[Commodity]],IF(Commodities[[#This Row],[Level 1]]=Commodities[[#This Row],[L2N]],Commodities[[#This Row],[L1N]],IF(Commodities[[#This Row],[Level 1]]=Commodities[[#This Row],[L3N]],Commodities[[#This Row],[L2N]],IF(Commodities[[#This Row],[Level 1]]=Commodities[[#This Row],[L4N]],Commodities[[#This Row],[L3N]],Commodities[[#This Row],[L4N]])))))</f>
        <v>Electricity (S)</v>
      </c>
      <c r="S102" s="24" t="str">
        <f>IF(Commodities[[#This Row],[Level 2]]=Commodities[[#This Row],[Commodity]],Commodities[[#This Row],[Commodity]],IF(Commodities[[#This Row],[Level 2]]=Commodities[[#This Row],[L1N]],Commodities[[#This Row],[Commodity]],IF(Commodities[[#This Row],[Level 2]]=Commodities[[#This Row],[L2N]],Commodities[[#This Row],[L1N]],IF(Commodities[[#This Row],[Level 2]]=Commodities[[#This Row],[L3N]],Commodities[[#This Row],[L2N]],IF(Commodities[[#This Row],[Level 2]]=Commodities[[#This Row],[L4N]],Commodities[[#This Row],[L3N]],Commodities[[#This Row],[L4N]])))))</f>
        <v>Electricity (S)</v>
      </c>
      <c r="T102" s="24" t="str">
        <f>IF(Commodities[[#This Row],[Level 3]]=Commodities[[#This Row],[Commodity]],Commodities[[#This Row],[Commodity]],IF(Commodities[[#This Row],[Level 3]]=Commodities[[#This Row],[L1N]],Commodities[[#This Row],[Commodity]],IF(Commodities[[#This Row],[Level 3]]=Commodities[[#This Row],[L2N]],Commodities[[#This Row],[L1N]],IF(Commodities[[#This Row],[Level 3]]=Commodities[[#This Row],[L3N]],Commodities[[#This Row],[L2N]],IF(Commodities[[#This Row],[Level 3]]=Commodities[[#This Row],[L4N]],Commodities[[#This Row],[L3N]],Commodities[[#This Row],[L4N]])))))</f>
        <v>Electricity (S)</v>
      </c>
      <c r="U102" s="24" t="str">
        <f>IF(Commodities[[#This Row],[Level 4]]=Commodities[[#This Row],[Commodity]],Commodities[[#This Row],[Commodity]],IF(Commodities[[#This Row],[Level 4]]=Commodities[[#This Row],[L1N]],Commodities[[#This Row],[Commodity]],IF(Commodities[[#This Row],[Level 4]]=Commodities[[#This Row],[L2N]],Commodities[[#This Row],[L1N]],IF(Commodities[[#This Row],[Level 4]]=Commodities[[#This Row],[L3N]],Commodities[[#This Row],[L2N]],IF(Commodities[[#This Row],[Level 4]]=Commodities[[#This Row],[L4N]],Commodities[[#This Row],[L3N]],Commodities[[#This Row],[L4N]])))))</f>
        <v>Electricity (S)</v>
      </c>
      <c r="Y102" s="5" t="s">
        <v>75</v>
      </c>
      <c r="Z102" s="4" t="s">
        <v>988</v>
      </c>
      <c r="AA102" s="4" t="s">
        <v>988</v>
      </c>
      <c r="AB102" s="6" t="s">
        <v>71</v>
      </c>
      <c r="AC102" s="24" t="str">
        <f>IFERROR(VLOOKUP(Transactions[[#This Row],[Parent code]],Transactions[[Transaction code]:[Transaction name]],2,0),"")</f>
        <v>IC Combustible fuels</v>
      </c>
      <c r="AD102" s="4" t="s">
        <v>632</v>
      </c>
      <c r="AE102" s="4" t="s">
        <v>632</v>
      </c>
      <c r="AF102" s="4" t="s">
        <v>642</v>
      </c>
      <c r="AG102" s="4" t="s">
        <v>1</v>
      </c>
      <c r="AH102" s="4" t="s">
        <v>696</v>
      </c>
      <c r="AK102" s="24" t="str" cm="1">
        <f t="array" ref="AK102">IFERROR(INDEX(Transactions[[Transaction code]:[Transaction name]],_xlfn.XMATCH(Transactions[[#This Row],[Parent code]],Transactions[Transaction name],0),3),Transactions[[#This Row],[Transaction name]])</f>
        <v>IC Combustible fuels - Autoproducers</v>
      </c>
      <c r="AL102" s="24" t="str" cm="1">
        <f t="array" ref="AL102">IFERROR(INDEX(Transactions[[Transaction code]:[Transaction name]],_xlfn.XMATCH(INDEX(Transactions[[Transaction name]:[Parent code]],_xlfn.XMATCH(Transactions[[#This Row],[L1N]],Transactions[Transaction name],0),3),Transactions[Transaction code],0),2),Transactions[[#This Row],[L1N]])</f>
        <v>IC Combustible fuels</v>
      </c>
      <c r="AM102" s="24" t="str" cm="1">
        <f t="array" ref="AM102">IFERROR(INDEX(Transactions[[Transaction code]:[Transaction name]],_xlfn.XMATCH(INDEX(Transactions[[Transaction name]:[Parent code]],_xlfn.XMATCH(Transactions[[#This Row],[L2N]],Transactions[Transaction name],0),3),Transactions[Transaction code],0),2),Transactions[[#This Row],[L2N]])</f>
        <v>IC Electricity plants</v>
      </c>
      <c r="AN102" s="24" t="str" cm="1">
        <f t="array" ref="AN102">IFERROR(INDEX(Transactions[[Transaction code]:[Transaction name]],_xlfn.XMATCH(INDEX(Transactions[[Transaction name]:[Parent code]],_xlfn.XMATCH(Transactions[[#This Row],[L3N]],Transactions[Transaction name],0),3),Transactions[Transaction code],0),2),Transactions[[#This Row],[L3N]])</f>
        <v>IC Electricity plants</v>
      </c>
      <c r="AO102" s="24" t="str" cm="1">
        <f t="array" ref="AO102">IFERROR(INDEX(Transactions[[Transaction code]:[Transaction name]],_xlfn.XMATCH(INDEX(Transactions[[Transaction name]:[Parent code]],_xlfn.XMATCH(Transactions[[#This Row],[L4N]],Transactions[Transaction name],0),3),Transactions[Transaction code],0),2),Transactions[[#This Row],[L4N]])</f>
        <v>IC Electricity plants</v>
      </c>
      <c r="AP102" s="24" t="str" cm="1">
        <f t="array" ref="AP102">IFERROR(INDEX(Transactions[[Transaction code]:[Transaction name]],_xlfn.XMATCH(INDEX(Transactions[[Transaction name]:[Parent code]],_xlfn.XMATCH(Transactions[[#This Row],[L5N]],Transactions[Transaction name],0),3),Transactions[Transaction code],0),2),Transactions[[#This Row],[L5N]])</f>
        <v>IC Electricity plants</v>
      </c>
      <c r="AQ102" s="24" t="str" cm="1">
        <f t="array" ref="AQ102">IFERROR(INDEX(Transactions[[Transaction code]:[Transaction name]],_xlfn.XMATCH(INDEX(Transactions[[Transaction name]:[Parent code]],_xlfn.XMATCH(Transactions[[#This Row],[L6N]],Transactions[Transaction name],0),3),Transactions[Transaction code],0),2),Transactions[[#This Row],[L6N]])</f>
        <v>IC Electricity plants</v>
      </c>
      <c r="AR102" s="27" t="str">
        <f>IF(Transactions[[#This Row],[L7N]]=Transactions[[#This Row],[L6N]],Transactions[[#This Row],[L7N]],IF(Transactions[[#This Row],[L6N]]=Transactions[[#This Row],[L5N]],Transactions[[#This Row],[L6N]],IF(Transactions[[#This Row],[L5N]]=Transactions[[#This Row],[L4N]],Transactions[[#This Row],[L5N]],IF(Transactions[[#This Row],[L4N]]=Transactions[[#This Row],[L3N]],Transactions[[#This Row],[L4N]],IF(Transactions[[#This Row],[L3N]]=Transactions[[#This Row],[L2N]],Transactions[[#This Row],[L3N]],IF(Transactions[[#This Row],[L2N]]=Transactions[[#This Row],[L1N]],Transactions[[#This Row],[L2N]],IF(Transactions[[#This Row],[L1N]]=Transactions[[#This Row],[Transaction name]],Transactions[[#This Row],[L1N]],Transactions[[#This Row],[Transaction name]])))))))</f>
        <v>IC Electricity plants</v>
      </c>
      <c r="AS102" s="24" t="str">
        <f>IF(Transactions[[#This Row],[Level 0]]=Transactions[[#This Row],[Transaction name]],Transactions[[#This Row],[Transaction name]],IF(Transactions[[#This Row],[Level 0]]=Transactions[[#This Row],[L1N]],Transactions[[#This Row],[Transaction name]],IF(Transactions[[#This Row],[Level 0]]=Transactions[[#This Row],[L2N]],Transactions[[#This Row],[L1N]],IF(Transactions[[#This Row],[Level 0]]=Transactions[[#This Row],[L3N]],Transactions[[#This Row],[L2N]],IF(Transactions[[#This Row],[Level 0]]=Transactions[[#This Row],[L4N]],Transactions[[#This Row],[L3N]],IF(Transactions[[#This Row],[Level 0]]=Transactions[[#This Row],[L5N]],Transactions[[#This Row],[L4N]],IF(Transactions[[#This Row],[Level 0]]=Transactions[[#This Row],[L6N]],Transactions[[#This Row],[L5N]],IF(Transactions[[#This Row],[Level 0]]=Transactions[[#This Row],[L7N]],Transactions[[#This Row],[L6N]],Transactions[[#This Row],[L7N]]))))))))</f>
        <v>IC Combustible fuels</v>
      </c>
      <c r="AT102" s="24" t="str">
        <f>IF(Transactions[[#This Row],[Level 1]]=Transactions[[#This Row],[Transaction name]],Transactions[[#This Row],[Transaction name]],IF(Transactions[[#This Row],[Level 1]]=Transactions[[#This Row],[L1N]],Transactions[[#This Row],[Transaction name]],IF(Transactions[[#This Row],[Level 1]]=Transactions[[#This Row],[L2N]],Transactions[[#This Row],[L1N]],IF(Transactions[[#This Row],[Level 1]]=Transactions[[#This Row],[L3N]],Transactions[[#This Row],[L2N]],IF(Transactions[[#This Row],[Level 1]]=Transactions[[#This Row],[L4N]],Transactions[[#This Row],[L3N]],IF(Transactions[[#This Row],[Level 1]]=Transactions[[#This Row],[L5N]],Transactions[[#This Row],[L4N]],IF(Transactions[[#This Row],[Level 1]]=Transactions[[#This Row],[L6N]],Transactions[[#This Row],[L5N]],IF(Transactions[[#This Row],[Level 1]]=Transactions[[#This Row],[L7N]],Transactions[[#This Row],[L6N]],Transactions[[#This Row],[L7N]]))))))))</f>
        <v>IC Combustible fuels - Autoproducers</v>
      </c>
      <c r="AU102" s="24" t="str">
        <f>IF(Transactions[[#This Row],[Level 2]]=Transactions[[#This Row],[Transaction name]],Transactions[[#This Row],[Transaction name]],IF(Transactions[[#This Row],[Level 2]]=Transactions[[#This Row],[L1N]],Transactions[[#This Row],[Transaction name]],IF(Transactions[[#This Row],[Level 2]]=Transactions[[#This Row],[L2N]],Transactions[[#This Row],[L1N]],IF(Transactions[[#This Row],[Level 2]]=Transactions[[#This Row],[L3N]],Transactions[[#This Row],[L2N]],IF(Transactions[[#This Row],[Level 2]]=Transactions[[#This Row],[L4N]],Transactions[[#This Row],[L3N]],IF(Transactions[[#This Row],[Level 2]]=Transactions[[#This Row],[L5N]],Transactions[[#This Row],[L4N]],IF(Transactions[[#This Row],[Level 2]]=Transactions[[#This Row],[L6N]],Transactions[[#This Row],[L5N]],IF(Transactions[[#This Row],[Level 2]]=Transactions[[#This Row],[L7N]],Transactions[[#This Row],[L6N]],Transactions[[#This Row],[L7N]]))))))))</f>
        <v>IC Combustible fuels - Autoproducers</v>
      </c>
      <c r="AV102" s="24" t="str">
        <f>IF(Transactions[[#This Row],[Level 3]]=Transactions[[#This Row],[Transaction name]],Transactions[[#This Row],[Transaction name]],IF(Transactions[[#This Row],[Level 3]]=Transactions[[#This Row],[L1N]],Transactions[[#This Row],[Transaction name]],IF(Transactions[[#This Row],[Level 3]]=Transactions[[#This Row],[L2N]],Transactions[[#This Row],[L1N]],IF(Transactions[[#This Row],[Level 3]]=Transactions[[#This Row],[L3N]],Transactions[[#This Row],[L2N]],IF(Transactions[[#This Row],[Level 3]]=Transactions[[#This Row],[L4N]],Transactions[[#This Row],[L3N]],IF(Transactions[[#This Row],[Level 3]]=Transactions[[#This Row],[L5N]],Transactions[[#This Row],[L4N]],IF(Transactions[[#This Row],[Level 3]]=Transactions[[#This Row],[L6N]],Transactions[[#This Row],[L5N]],IF(Transactions[[#This Row],[Level 3]]=Transactions[[#This Row],[L7N]],Transactions[[#This Row],[L6N]],Transactions[[#This Row],[L7N]]))))))))</f>
        <v>IC Combustible fuels - Autoproducers</v>
      </c>
      <c r="AW102" s="24" t="str">
        <f>IF(Transactions[[#This Row],[Level 4]]=Transactions[[#This Row],[Transaction name]],Transactions[[#This Row],[Transaction name]],IF(Transactions[[#This Row],[Level 4]]=Transactions[[#This Row],[L1N]],Transactions[[#This Row],[Transaction name]],IF(Transactions[[#This Row],[Level 4]]=Transactions[[#This Row],[L2N]],Transactions[[#This Row],[L1N]],IF(Transactions[[#This Row],[Level 4]]=Transactions[[#This Row],[L3N]],Transactions[[#This Row],[L2N]],IF(Transactions[[#This Row],[Level 4]]=Transactions[[#This Row],[L4N]],Transactions[[#This Row],[L3N]],IF(Transactions[[#This Row],[Level 4]]=Transactions[[#This Row],[L5N]],Transactions[[#This Row],[L4N]],IF(Transactions[[#This Row],[Level 4]]=Transactions[[#This Row],[L6N]],Transactions[[#This Row],[L5N]],IF(Transactions[[#This Row],[Level 4]]=Transactions[[#This Row],[L7N]],Transactions[[#This Row],[L6N]],Transactions[[#This Row],[L7N]]))))))))</f>
        <v>IC Combustible fuels - Autoproducers</v>
      </c>
      <c r="AX102" s="24" t="str">
        <f>IF(Transactions[[#This Row],[Level 5]]=Transactions[[#This Row],[Transaction name]],Transactions[[#This Row],[Transaction name]],IF(Transactions[[#This Row],[Level 5]]=Transactions[[#This Row],[L1N]],Transactions[[#This Row],[Transaction name]],IF(Transactions[[#This Row],[Level 5]]=Transactions[[#This Row],[L2N]],Transactions[[#This Row],[L1N]],IF(Transactions[[#This Row],[Level 5]]=Transactions[[#This Row],[L3N]],Transactions[[#This Row],[L2N]],IF(Transactions[[#This Row],[Level 5]]=Transactions[[#This Row],[L4N]],Transactions[[#This Row],[L3N]],IF(Transactions[[#This Row],[Level 5]]=Transactions[[#This Row],[L5N]],Transactions[[#This Row],[L4N]],IF(Transactions[[#This Row],[Level 5]]=Transactions[[#This Row],[L6N]],Transactions[[#This Row],[L5N]],IF(Transactions[[#This Row],[Level 5]]=Transactions[[#This Row],[L7N]],Transactions[[#This Row],[L6N]],Transactions[[#This Row],[L7N]]))))))))</f>
        <v>IC Combustible fuels - Autoproducers</v>
      </c>
      <c r="AY102" s="24" t="str">
        <f>IF(Transactions[[#This Row],[Level 6]]=Transactions[[#This Row],[Transaction name]],Transactions[[#This Row],[Transaction name]],IF(Transactions[[#This Row],[Level 6]]=Transactions[[#This Row],[L1N]],Transactions[[#This Row],[Transaction name]],IF(Transactions[[#This Row],[Level 6]]=Transactions[[#This Row],[L2N]],Transactions[[#This Row],[L1N]],IF(Transactions[[#This Row],[Level 6]]=Transactions[[#This Row],[L3N]],Transactions[[#This Row],[L2N]],IF(Transactions[[#This Row],[Level 6]]=Transactions[[#This Row],[L4N]],Transactions[[#This Row],[L3N]],IF(Transactions[[#This Row],[Level 6]]=Transactions[[#This Row],[L5N]],Transactions[[#This Row],[L4N]],IF(Transactions[[#This Row],[Level 6]]=Transactions[[#This Row],[L6N]],Transactions[[#This Row],[L5N]],IF(Transactions[[#This Row],[Level 6]]=Transactions[[#This Row],[L7N]],Transactions[[#This Row],[L6N]],Transactions[[#This Row],[L7N]]))))))))</f>
        <v>IC Combustible fuels - Autoproducers</v>
      </c>
      <c r="BE102" s="26" t="str">
        <f>_xlfn.XLOOKUP(Transformation[[#This Row],[cfrom]],Commodities[Commodity],Commodities[Commodity code])</f>
        <v>8000</v>
      </c>
      <c r="BF102" s="26" t="str">
        <f>_xlfn.XLOOKUP(Transformation[[#This Row],[tfrom]],Transactions[Transaction name],Transactions[Transaction code])</f>
        <v>016GE</v>
      </c>
      <c r="BG102" s="26" t="str">
        <f>_xlfn.XLOOKUP(Transformation[[#This Row],[cto]],Commodities[Commodity],Commodities[Commodity code])</f>
        <v>8000</v>
      </c>
      <c r="BH102" s="26" t="str">
        <f>_xlfn.XLOOKUP(Transformation[[#This Row],[tto]],Transactions[Transaction name],Transactions[Transaction code])</f>
        <v>01</v>
      </c>
      <c r="BI102" s="31">
        <v>2</v>
      </c>
      <c r="BJ102" s="22" t="s">
        <v>262</v>
      </c>
      <c r="BK102" s="26" t="str">
        <f>_xlfn.XLOOKUP(Transformation[[#This Row],[Commodity from]],Commodities[Commodity code],Commodities[EnergyCode])</f>
        <v>ST</v>
      </c>
      <c r="BL102" s="22" t="s">
        <v>685</v>
      </c>
      <c r="BM102" s="22" t="s">
        <v>262</v>
      </c>
      <c r="BN102" s="26" t="str">
        <f>_xlfn.XLOOKUP(Transformation[[#This Row],[Commodity to]],Commodities[Commodity code],Commodities[EnergyCode])</f>
        <v>ST</v>
      </c>
      <c r="BO102" s="22" t="s">
        <v>383</v>
      </c>
      <c r="BP102" s="22" t="s">
        <v>1670</v>
      </c>
      <c r="BQ102" s="33" t="str">
        <f>Transformation[[#This Row],[Commodity from]]&amp;Transformation[[#This Row],[Transaction from]]&amp;Transformation[[#This Row],[Commodity to]]&amp;Transformation[[#This Row],[Transaction to]]</f>
        <v>8000016GE800001</v>
      </c>
      <c r="BR102" s="26" t="str">
        <f>Transformation[[#This Row],[crfomid]]&amp;Transformation[[#This Row],[Transaction from]]&amp;"("&amp;Transformation[[#This Row],[Multiplier]]&amp;") -&gt; "&amp;Transformation[[#This Row],[ctoid]]&amp;Transformation[[#This Row],[Transaction to]]</f>
        <v>ST016GE(2) -&gt; ST01</v>
      </c>
    </row>
    <row r="103" spans="8:77" x14ac:dyDescent="0.45">
      <c r="H103" s="4" t="s">
        <v>538</v>
      </c>
      <c r="I103" s="4" t="s">
        <v>537</v>
      </c>
      <c r="L103" s="24" t="str">
        <f>IFERROR(INDEX(Commodities[[Commodity code]:[Commodity]],MATCH(Commodities[[#This Row],[Parent code]],Commodities[Commodity code],0),2),Commodities[[#This Row],[Commodity]])</f>
        <v>Total energy</v>
      </c>
      <c r="M103" s="24" t="str">
        <f>IFERROR(INDEX(Commodities[[Commodity code]:[Commodity]],MATCH(INDEX(Commodities[[Commodity]:[Parent code]],MATCH(Commodities[[#This Row],[L1N]],Commodities[Commodity],0),2),Commodities[Commodity code],0),2),Commodities[[#This Row],[L1N]])</f>
        <v>Total energy</v>
      </c>
      <c r="N103" s="24" t="str">
        <f>IFERROR(INDEX(Commodities[[Commodity code]:[Commodity]],MATCH(INDEX(Commodities[[Commodity]:[Parent code]],MATCH(Commodities[[#This Row],[L2N]],Commodities[Commodity],0),2),Commodities[Commodity code],0),2),Commodities[[#This Row],[L2N]])</f>
        <v>Total energy</v>
      </c>
      <c r="O103" s="24" t="str">
        <f>IFERROR(INDEX(Commodities[[Commodity code]:[Commodity]],MATCH(INDEX(Commodities[[Commodity]:[Parent code]],MATCH(Commodities[[#This Row],[L3N]],Commodities[Commodity],0),2),Commodities[Commodity code],0),2),Commodities[[#This Row],[L3N]])</f>
        <v>Total energy</v>
      </c>
      <c r="P103" s="24" t="str">
        <f>IF(Commodities[[#This Row],[L4N]]=Commodities[[#This Row],[L3N]],Commodities[[#This Row],[L4N]],IF(Commodities[[#This Row],[L3N]]=Commodities[[#This Row],[L2N]],Commodities[[#This Row],[L3N]],IF(Commodities[[#This Row],[L2N]]=Commodities[[#This Row],[L1N]],Commodities[[#This Row],[L2N]],IF(Commodities[[#This Row],[L1N]]=Commodities[[#This Row],[Commodity]],Commodities[[#This Row],[L1N]],Commodities[[#This Row],[Commodity]]))))</f>
        <v>Total energy</v>
      </c>
      <c r="Q103" s="24" t="str">
        <f>IF(Commodities[[#This Row],[Level 0]]=Commodities[[#This Row],[Commodity]],Commodities[[#This Row],[Commodity]],IF(Commodities[[#This Row],[Level 0]]=Commodities[[#This Row],[L1N]],Commodities[[#This Row],[Commodity]],IF(Commodities[[#This Row],[Level 0]]=Commodities[[#This Row],[L2N]],Commodities[[#This Row],[L1N]],IF(Commodities[[#This Row],[Level 0]]=Commodities[[#This Row],[L3N]],Commodities[[#This Row],[L2N]],IF(Commodities[[#This Row],[Level 0]]=Commodities[[#This Row],[L4N]],Commodities[[#This Row],[L3N]],Commodities[[#This Row],[L4N]])))))</f>
        <v>Total energy</v>
      </c>
      <c r="R103" s="24" t="str">
        <f>IF(Commodities[[#This Row],[Level 1]]=Commodities[[#This Row],[Commodity]],Commodities[[#This Row],[Commodity]],IF(Commodities[[#This Row],[Level 1]]=Commodities[[#This Row],[L1N]],Commodities[[#This Row],[Commodity]],IF(Commodities[[#This Row],[Level 1]]=Commodities[[#This Row],[L2N]],Commodities[[#This Row],[L1N]],IF(Commodities[[#This Row],[Level 1]]=Commodities[[#This Row],[L3N]],Commodities[[#This Row],[L2N]],IF(Commodities[[#This Row],[Level 1]]=Commodities[[#This Row],[L4N]],Commodities[[#This Row],[L3N]],Commodities[[#This Row],[L4N]])))))</f>
        <v>Total energy</v>
      </c>
      <c r="S103" s="24" t="str">
        <f>IF(Commodities[[#This Row],[Level 2]]=Commodities[[#This Row],[Commodity]],Commodities[[#This Row],[Commodity]],IF(Commodities[[#This Row],[Level 2]]=Commodities[[#This Row],[L1N]],Commodities[[#This Row],[Commodity]],IF(Commodities[[#This Row],[Level 2]]=Commodities[[#This Row],[L2N]],Commodities[[#This Row],[L1N]],IF(Commodities[[#This Row],[Level 2]]=Commodities[[#This Row],[L3N]],Commodities[[#This Row],[L2N]],IF(Commodities[[#This Row],[Level 2]]=Commodities[[#This Row],[L4N]],Commodities[[#This Row],[L3N]],Commodities[[#This Row],[L4N]])))))</f>
        <v>Total energy</v>
      </c>
      <c r="T103" s="24" t="str">
        <f>IF(Commodities[[#This Row],[Level 3]]=Commodities[[#This Row],[Commodity]],Commodities[[#This Row],[Commodity]],IF(Commodities[[#This Row],[Level 3]]=Commodities[[#This Row],[L1N]],Commodities[[#This Row],[Commodity]],IF(Commodities[[#This Row],[Level 3]]=Commodities[[#This Row],[L2N]],Commodities[[#This Row],[L1N]],IF(Commodities[[#This Row],[Level 3]]=Commodities[[#This Row],[L3N]],Commodities[[#This Row],[L2N]],IF(Commodities[[#This Row],[Level 3]]=Commodities[[#This Row],[L4N]],Commodities[[#This Row],[L3N]],Commodities[[#This Row],[L4N]])))))</f>
        <v>Total energy</v>
      </c>
      <c r="U103" s="24" t="str">
        <f>IF(Commodities[[#This Row],[Level 4]]=Commodities[[#This Row],[Commodity]],Commodities[[#This Row],[Commodity]],IF(Commodities[[#This Row],[Level 4]]=Commodities[[#This Row],[L1N]],Commodities[[#This Row],[Commodity]],IF(Commodities[[#This Row],[Level 4]]=Commodities[[#This Row],[L2N]],Commodities[[#This Row],[L1N]],IF(Commodities[[#This Row],[Level 4]]=Commodities[[#This Row],[L3N]],Commodities[[#This Row],[L2N]],IF(Commodities[[#This Row],[Level 4]]=Commodities[[#This Row],[L4N]],Commodities[[#This Row],[L3N]],Commodities[[#This Row],[L4N]])))))</f>
        <v>Total energy</v>
      </c>
      <c r="Y103" s="5" t="s">
        <v>77</v>
      </c>
      <c r="Z103" s="4" t="s">
        <v>987</v>
      </c>
      <c r="AA103" s="4" t="s">
        <v>987</v>
      </c>
      <c r="AB103" s="6" t="s">
        <v>71</v>
      </c>
      <c r="AC103" s="24" t="str">
        <f>IFERROR(VLOOKUP(Transactions[[#This Row],[Parent code]],Transactions[[Transaction code]:[Transaction name]],2,0),"")</f>
        <v>IC Combustible fuels</v>
      </c>
      <c r="AD103" s="4" t="s">
        <v>632</v>
      </c>
      <c r="AE103" s="4" t="s">
        <v>632</v>
      </c>
      <c r="AF103" s="4" t="s">
        <v>642</v>
      </c>
      <c r="AG103" s="4" t="s">
        <v>1</v>
      </c>
      <c r="AH103" s="4" t="s">
        <v>696</v>
      </c>
      <c r="AK103" s="24" t="str" cm="1">
        <f t="array" ref="AK103">IFERROR(INDEX(Transactions[[Transaction code]:[Transaction name]],_xlfn.XMATCH(Transactions[[#This Row],[Parent code]],Transactions[Transaction name],0),3),Transactions[[#This Row],[Transaction name]])</f>
        <v>IC Combustible fuels - Main activity producers</v>
      </c>
      <c r="AL103" s="24" t="str" cm="1">
        <f t="array" ref="AL103">IFERROR(INDEX(Transactions[[Transaction code]:[Transaction name]],_xlfn.XMATCH(INDEX(Transactions[[Transaction name]:[Parent code]],_xlfn.XMATCH(Transactions[[#This Row],[L1N]],Transactions[Transaction name],0),3),Transactions[Transaction code],0),2),Transactions[[#This Row],[L1N]])</f>
        <v>IC Combustible fuels</v>
      </c>
      <c r="AM103" s="24" t="str" cm="1">
        <f t="array" ref="AM103">IFERROR(INDEX(Transactions[[Transaction code]:[Transaction name]],_xlfn.XMATCH(INDEX(Transactions[[Transaction name]:[Parent code]],_xlfn.XMATCH(Transactions[[#This Row],[L2N]],Transactions[Transaction name],0),3),Transactions[Transaction code],0),2),Transactions[[#This Row],[L2N]])</f>
        <v>IC Electricity plants</v>
      </c>
      <c r="AN103" s="24" t="str" cm="1">
        <f t="array" ref="AN103">IFERROR(INDEX(Transactions[[Transaction code]:[Transaction name]],_xlfn.XMATCH(INDEX(Transactions[[Transaction name]:[Parent code]],_xlfn.XMATCH(Transactions[[#This Row],[L3N]],Transactions[Transaction name],0),3),Transactions[Transaction code],0),2),Transactions[[#This Row],[L3N]])</f>
        <v>IC Electricity plants</v>
      </c>
      <c r="AO103" s="24" t="str" cm="1">
        <f t="array" ref="AO103">IFERROR(INDEX(Transactions[[Transaction code]:[Transaction name]],_xlfn.XMATCH(INDEX(Transactions[[Transaction name]:[Parent code]],_xlfn.XMATCH(Transactions[[#This Row],[L4N]],Transactions[Transaction name],0),3),Transactions[Transaction code],0),2),Transactions[[#This Row],[L4N]])</f>
        <v>IC Electricity plants</v>
      </c>
      <c r="AP103" s="24" t="str" cm="1">
        <f t="array" ref="AP103">IFERROR(INDEX(Transactions[[Transaction code]:[Transaction name]],_xlfn.XMATCH(INDEX(Transactions[[Transaction name]:[Parent code]],_xlfn.XMATCH(Transactions[[#This Row],[L5N]],Transactions[Transaction name],0),3),Transactions[Transaction code],0),2),Transactions[[#This Row],[L5N]])</f>
        <v>IC Electricity plants</v>
      </c>
      <c r="AQ103" s="24" t="str" cm="1">
        <f t="array" ref="AQ103">IFERROR(INDEX(Transactions[[Transaction code]:[Transaction name]],_xlfn.XMATCH(INDEX(Transactions[[Transaction name]:[Parent code]],_xlfn.XMATCH(Transactions[[#This Row],[L6N]],Transactions[Transaction name],0),3),Transactions[Transaction code],0),2),Transactions[[#This Row],[L6N]])</f>
        <v>IC Electricity plants</v>
      </c>
      <c r="AR103" s="27" t="str">
        <f>IF(Transactions[[#This Row],[L7N]]=Transactions[[#This Row],[L6N]],Transactions[[#This Row],[L7N]],IF(Transactions[[#This Row],[L6N]]=Transactions[[#This Row],[L5N]],Transactions[[#This Row],[L6N]],IF(Transactions[[#This Row],[L5N]]=Transactions[[#This Row],[L4N]],Transactions[[#This Row],[L5N]],IF(Transactions[[#This Row],[L4N]]=Transactions[[#This Row],[L3N]],Transactions[[#This Row],[L4N]],IF(Transactions[[#This Row],[L3N]]=Transactions[[#This Row],[L2N]],Transactions[[#This Row],[L3N]],IF(Transactions[[#This Row],[L2N]]=Transactions[[#This Row],[L1N]],Transactions[[#This Row],[L2N]],IF(Transactions[[#This Row],[L1N]]=Transactions[[#This Row],[Transaction name]],Transactions[[#This Row],[L1N]],Transactions[[#This Row],[Transaction name]])))))))</f>
        <v>IC Electricity plants</v>
      </c>
      <c r="AS103" s="24" t="str">
        <f>IF(Transactions[[#This Row],[Level 0]]=Transactions[[#This Row],[Transaction name]],Transactions[[#This Row],[Transaction name]],IF(Transactions[[#This Row],[Level 0]]=Transactions[[#This Row],[L1N]],Transactions[[#This Row],[Transaction name]],IF(Transactions[[#This Row],[Level 0]]=Transactions[[#This Row],[L2N]],Transactions[[#This Row],[L1N]],IF(Transactions[[#This Row],[Level 0]]=Transactions[[#This Row],[L3N]],Transactions[[#This Row],[L2N]],IF(Transactions[[#This Row],[Level 0]]=Transactions[[#This Row],[L4N]],Transactions[[#This Row],[L3N]],IF(Transactions[[#This Row],[Level 0]]=Transactions[[#This Row],[L5N]],Transactions[[#This Row],[L4N]],IF(Transactions[[#This Row],[Level 0]]=Transactions[[#This Row],[L6N]],Transactions[[#This Row],[L5N]],IF(Transactions[[#This Row],[Level 0]]=Transactions[[#This Row],[L7N]],Transactions[[#This Row],[L6N]],Transactions[[#This Row],[L7N]]))))))))</f>
        <v>IC Combustible fuels</v>
      </c>
      <c r="AT103" s="24" t="str">
        <f>IF(Transactions[[#This Row],[Level 1]]=Transactions[[#This Row],[Transaction name]],Transactions[[#This Row],[Transaction name]],IF(Transactions[[#This Row],[Level 1]]=Transactions[[#This Row],[L1N]],Transactions[[#This Row],[Transaction name]],IF(Transactions[[#This Row],[Level 1]]=Transactions[[#This Row],[L2N]],Transactions[[#This Row],[L1N]],IF(Transactions[[#This Row],[Level 1]]=Transactions[[#This Row],[L3N]],Transactions[[#This Row],[L2N]],IF(Transactions[[#This Row],[Level 1]]=Transactions[[#This Row],[L4N]],Transactions[[#This Row],[L3N]],IF(Transactions[[#This Row],[Level 1]]=Transactions[[#This Row],[L5N]],Transactions[[#This Row],[L4N]],IF(Transactions[[#This Row],[Level 1]]=Transactions[[#This Row],[L6N]],Transactions[[#This Row],[L5N]],IF(Transactions[[#This Row],[Level 1]]=Transactions[[#This Row],[L7N]],Transactions[[#This Row],[L6N]],Transactions[[#This Row],[L7N]]))))))))</f>
        <v>IC Combustible fuels - Main activity producers</v>
      </c>
      <c r="AU103" s="24" t="str">
        <f>IF(Transactions[[#This Row],[Level 2]]=Transactions[[#This Row],[Transaction name]],Transactions[[#This Row],[Transaction name]],IF(Transactions[[#This Row],[Level 2]]=Transactions[[#This Row],[L1N]],Transactions[[#This Row],[Transaction name]],IF(Transactions[[#This Row],[Level 2]]=Transactions[[#This Row],[L2N]],Transactions[[#This Row],[L1N]],IF(Transactions[[#This Row],[Level 2]]=Transactions[[#This Row],[L3N]],Transactions[[#This Row],[L2N]],IF(Transactions[[#This Row],[Level 2]]=Transactions[[#This Row],[L4N]],Transactions[[#This Row],[L3N]],IF(Transactions[[#This Row],[Level 2]]=Transactions[[#This Row],[L5N]],Transactions[[#This Row],[L4N]],IF(Transactions[[#This Row],[Level 2]]=Transactions[[#This Row],[L6N]],Transactions[[#This Row],[L5N]],IF(Transactions[[#This Row],[Level 2]]=Transactions[[#This Row],[L7N]],Transactions[[#This Row],[L6N]],Transactions[[#This Row],[L7N]]))))))))</f>
        <v>IC Combustible fuels - Main activity producers</v>
      </c>
      <c r="AV103" s="24" t="str">
        <f>IF(Transactions[[#This Row],[Level 3]]=Transactions[[#This Row],[Transaction name]],Transactions[[#This Row],[Transaction name]],IF(Transactions[[#This Row],[Level 3]]=Transactions[[#This Row],[L1N]],Transactions[[#This Row],[Transaction name]],IF(Transactions[[#This Row],[Level 3]]=Transactions[[#This Row],[L2N]],Transactions[[#This Row],[L1N]],IF(Transactions[[#This Row],[Level 3]]=Transactions[[#This Row],[L3N]],Transactions[[#This Row],[L2N]],IF(Transactions[[#This Row],[Level 3]]=Transactions[[#This Row],[L4N]],Transactions[[#This Row],[L3N]],IF(Transactions[[#This Row],[Level 3]]=Transactions[[#This Row],[L5N]],Transactions[[#This Row],[L4N]],IF(Transactions[[#This Row],[Level 3]]=Transactions[[#This Row],[L6N]],Transactions[[#This Row],[L5N]],IF(Transactions[[#This Row],[Level 3]]=Transactions[[#This Row],[L7N]],Transactions[[#This Row],[L6N]],Transactions[[#This Row],[L7N]]))))))))</f>
        <v>IC Combustible fuels - Main activity producers</v>
      </c>
      <c r="AW103" s="24" t="str">
        <f>IF(Transactions[[#This Row],[Level 4]]=Transactions[[#This Row],[Transaction name]],Transactions[[#This Row],[Transaction name]],IF(Transactions[[#This Row],[Level 4]]=Transactions[[#This Row],[L1N]],Transactions[[#This Row],[Transaction name]],IF(Transactions[[#This Row],[Level 4]]=Transactions[[#This Row],[L2N]],Transactions[[#This Row],[L1N]],IF(Transactions[[#This Row],[Level 4]]=Transactions[[#This Row],[L3N]],Transactions[[#This Row],[L2N]],IF(Transactions[[#This Row],[Level 4]]=Transactions[[#This Row],[L4N]],Transactions[[#This Row],[L3N]],IF(Transactions[[#This Row],[Level 4]]=Transactions[[#This Row],[L5N]],Transactions[[#This Row],[L4N]],IF(Transactions[[#This Row],[Level 4]]=Transactions[[#This Row],[L6N]],Transactions[[#This Row],[L5N]],IF(Transactions[[#This Row],[Level 4]]=Transactions[[#This Row],[L7N]],Transactions[[#This Row],[L6N]],Transactions[[#This Row],[L7N]]))))))))</f>
        <v>IC Combustible fuels - Main activity producers</v>
      </c>
      <c r="AX103" s="24" t="str">
        <f>IF(Transactions[[#This Row],[Level 5]]=Transactions[[#This Row],[Transaction name]],Transactions[[#This Row],[Transaction name]],IF(Transactions[[#This Row],[Level 5]]=Transactions[[#This Row],[L1N]],Transactions[[#This Row],[Transaction name]],IF(Transactions[[#This Row],[Level 5]]=Transactions[[#This Row],[L2N]],Transactions[[#This Row],[L1N]],IF(Transactions[[#This Row],[Level 5]]=Transactions[[#This Row],[L3N]],Transactions[[#This Row],[L2N]],IF(Transactions[[#This Row],[Level 5]]=Transactions[[#This Row],[L4N]],Transactions[[#This Row],[L3N]],IF(Transactions[[#This Row],[Level 5]]=Transactions[[#This Row],[L5N]],Transactions[[#This Row],[L4N]],IF(Transactions[[#This Row],[Level 5]]=Transactions[[#This Row],[L6N]],Transactions[[#This Row],[L5N]],IF(Transactions[[#This Row],[Level 5]]=Transactions[[#This Row],[L7N]],Transactions[[#This Row],[L6N]],Transactions[[#This Row],[L7N]]))))))))</f>
        <v>IC Combustible fuels - Main activity producers</v>
      </c>
      <c r="AY103" s="24" t="str">
        <f>IF(Transactions[[#This Row],[Level 6]]=Transactions[[#This Row],[Transaction name]],Transactions[[#This Row],[Transaction name]],IF(Transactions[[#This Row],[Level 6]]=Transactions[[#This Row],[L1N]],Transactions[[#This Row],[Transaction name]],IF(Transactions[[#This Row],[Level 6]]=Transactions[[#This Row],[L2N]],Transactions[[#This Row],[L1N]],IF(Transactions[[#This Row],[Level 6]]=Transactions[[#This Row],[L3N]],Transactions[[#This Row],[L2N]],IF(Transactions[[#This Row],[Level 6]]=Transactions[[#This Row],[L4N]],Transactions[[#This Row],[L3N]],IF(Transactions[[#This Row],[Level 6]]=Transactions[[#This Row],[L5N]],Transactions[[#This Row],[L4N]],IF(Transactions[[#This Row],[Level 6]]=Transactions[[#This Row],[L6N]],Transactions[[#This Row],[L5N]],IF(Transactions[[#This Row],[Level 6]]=Transactions[[#This Row],[L7N]],Transactions[[#This Row],[L6N]],Transactions[[#This Row],[L7N]]))))))))</f>
        <v>IC Combustible fuels - Main activity producers</v>
      </c>
      <c r="BE103" s="26" t="str">
        <f>_xlfn.XLOOKUP(Transformation[[#This Row],[cfrom]],Commodities[Commodity],Commodities[Commodity code])</f>
        <v>7000</v>
      </c>
      <c r="BF103" s="26" t="str">
        <f>_xlfn.XLOOKUP(Transformation[[#This Row],[tfrom]],Transactions[Transaction name],Transactions[Transaction code])</f>
        <v>016NE</v>
      </c>
      <c r="BG103" s="26" t="str">
        <f>_xlfn.XLOOKUP(Transformation[[#This Row],[cto]],Commodities[Commodity],Commodities[Commodity code])</f>
        <v>9101</v>
      </c>
      <c r="BH103" s="26" t="str">
        <f>_xlfn.XLOOKUP(Transformation[[#This Row],[tto]],Transactions[Transaction name],Transactions[Transaction code])</f>
        <v>016NE</v>
      </c>
      <c r="BI103" s="11">
        <v>-3</v>
      </c>
      <c r="BJ103" s="4" t="s">
        <v>544</v>
      </c>
      <c r="BK103" s="24" t="str">
        <f>_xlfn.XLOOKUP(Transformation[[#This Row],[Commodity from]],Commodities[Commodity code],Commodities[EnergyCode])</f>
        <v>EL</v>
      </c>
      <c r="BL103" s="4" t="s">
        <v>687</v>
      </c>
      <c r="BM103" s="4" t="s">
        <v>256</v>
      </c>
      <c r="BN103" s="24" t="str">
        <f>_xlfn.XLOOKUP(Transformation[[#This Row],[Commodity to]],Commodities[Commodity code],Commodities[EnergyCode])</f>
        <v>EN</v>
      </c>
      <c r="BO103" s="4" t="s">
        <v>687</v>
      </c>
      <c r="BP103" s="16" t="s">
        <v>1493</v>
      </c>
      <c r="BQ103" s="33" t="str">
        <f>Transformation[[#This Row],[Commodity from]]&amp;Transformation[[#This Row],[Transaction from]]&amp;Transformation[[#This Row],[Commodity to]]&amp;Transformation[[#This Row],[Transaction to]]</f>
        <v>7000016NE9101016NE</v>
      </c>
      <c r="BR103" s="26" t="str">
        <f>Transformation[[#This Row],[crfomid]]&amp;Transformation[[#This Row],[Transaction from]]&amp;"("&amp;Transformation[[#This Row],[Multiplier]]&amp;") -&gt; "&amp;Transformation[[#This Row],[ctoid]]&amp;Transformation[[#This Row],[Transaction to]]</f>
        <v>EL016NE(-3) -&gt; EN016NE</v>
      </c>
    </row>
    <row r="104" spans="8:77" x14ac:dyDescent="0.45">
      <c r="H104" s="4" t="s">
        <v>536</v>
      </c>
      <c r="I104" s="4" t="s">
        <v>535</v>
      </c>
      <c r="L104" s="24" t="str">
        <f>IFERROR(INDEX(Commodities[[Commodity code]:[Commodity]],MATCH(Commodities[[#This Row],[Parent code]],Commodities[Commodity code],0),2),Commodities[[#This Row],[Commodity]])</f>
        <v>Memo: Renewables</v>
      </c>
      <c r="M104" s="24" t="str">
        <f>IFERROR(INDEX(Commodities[[Commodity code]:[Commodity]],MATCH(INDEX(Commodities[[Commodity]:[Parent code]],MATCH(Commodities[[#This Row],[L1N]],Commodities[Commodity],0),2),Commodities[Commodity code],0),2),Commodities[[#This Row],[L1N]])</f>
        <v>Memo: Renewables</v>
      </c>
      <c r="N104" s="24" t="str">
        <f>IFERROR(INDEX(Commodities[[Commodity code]:[Commodity]],MATCH(INDEX(Commodities[[Commodity]:[Parent code]],MATCH(Commodities[[#This Row],[L2N]],Commodities[Commodity],0),2),Commodities[Commodity code],0),2),Commodities[[#This Row],[L2N]])</f>
        <v>Memo: Renewables</v>
      </c>
      <c r="O104" s="24" t="str">
        <f>IFERROR(INDEX(Commodities[[Commodity code]:[Commodity]],MATCH(INDEX(Commodities[[Commodity]:[Parent code]],MATCH(Commodities[[#This Row],[L3N]],Commodities[Commodity],0),2),Commodities[Commodity code],0),2),Commodities[[#This Row],[L3N]])</f>
        <v>Memo: Renewables</v>
      </c>
      <c r="P104" s="24" t="str">
        <f>IF(Commodities[[#This Row],[L4N]]=Commodities[[#This Row],[L3N]],Commodities[[#This Row],[L4N]],IF(Commodities[[#This Row],[L3N]]=Commodities[[#This Row],[L2N]],Commodities[[#This Row],[L3N]],IF(Commodities[[#This Row],[L2N]]=Commodities[[#This Row],[L1N]],Commodities[[#This Row],[L2N]],IF(Commodities[[#This Row],[L1N]]=Commodities[[#This Row],[Commodity]],Commodities[[#This Row],[L1N]],Commodities[[#This Row],[Commodity]]))))</f>
        <v>Memo: Renewables</v>
      </c>
      <c r="Q104" s="24" t="str">
        <f>IF(Commodities[[#This Row],[Level 0]]=Commodities[[#This Row],[Commodity]],Commodities[[#This Row],[Commodity]],IF(Commodities[[#This Row],[Level 0]]=Commodities[[#This Row],[L1N]],Commodities[[#This Row],[Commodity]],IF(Commodities[[#This Row],[Level 0]]=Commodities[[#This Row],[L2N]],Commodities[[#This Row],[L1N]],IF(Commodities[[#This Row],[Level 0]]=Commodities[[#This Row],[L3N]],Commodities[[#This Row],[L2N]],IF(Commodities[[#This Row],[Level 0]]=Commodities[[#This Row],[L4N]],Commodities[[#This Row],[L3N]],Commodities[[#This Row],[L4N]])))))</f>
        <v>Memo: Renewables</v>
      </c>
      <c r="R104" s="24" t="str">
        <f>IF(Commodities[[#This Row],[Level 1]]=Commodities[[#This Row],[Commodity]],Commodities[[#This Row],[Commodity]],IF(Commodities[[#This Row],[Level 1]]=Commodities[[#This Row],[L1N]],Commodities[[#This Row],[Commodity]],IF(Commodities[[#This Row],[Level 1]]=Commodities[[#This Row],[L2N]],Commodities[[#This Row],[L1N]],IF(Commodities[[#This Row],[Level 1]]=Commodities[[#This Row],[L3N]],Commodities[[#This Row],[L2N]],IF(Commodities[[#This Row],[Level 1]]=Commodities[[#This Row],[L4N]],Commodities[[#This Row],[L3N]],Commodities[[#This Row],[L4N]])))))</f>
        <v>Memo: Renewables</v>
      </c>
      <c r="S104" s="24" t="str">
        <f>IF(Commodities[[#This Row],[Level 2]]=Commodities[[#This Row],[Commodity]],Commodities[[#This Row],[Commodity]],IF(Commodities[[#This Row],[Level 2]]=Commodities[[#This Row],[L1N]],Commodities[[#This Row],[Commodity]],IF(Commodities[[#This Row],[Level 2]]=Commodities[[#This Row],[L2N]],Commodities[[#This Row],[L1N]],IF(Commodities[[#This Row],[Level 2]]=Commodities[[#This Row],[L3N]],Commodities[[#This Row],[L2N]],IF(Commodities[[#This Row],[Level 2]]=Commodities[[#This Row],[L4N]],Commodities[[#This Row],[L3N]],Commodities[[#This Row],[L4N]])))))</f>
        <v>Memo: Renewables</v>
      </c>
      <c r="T104" s="24" t="str">
        <f>IF(Commodities[[#This Row],[Level 3]]=Commodities[[#This Row],[Commodity]],Commodities[[#This Row],[Commodity]],IF(Commodities[[#This Row],[Level 3]]=Commodities[[#This Row],[L1N]],Commodities[[#This Row],[Commodity]],IF(Commodities[[#This Row],[Level 3]]=Commodities[[#This Row],[L2N]],Commodities[[#This Row],[L1N]],IF(Commodities[[#This Row],[Level 3]]=Commodities[[#This Row],[L3N]],Commodities[[#This Row],[L2N]],IF(Commodities[[#This Row],[Level 3]]=Commodities[[#This Row],[L4N]],Commodities[[#This Row],[L3N]],Commodities[[#This Row],[L4N]])))))</f>
        <v>Memo: Renewables</v>
      </c>
      <c r="U104" s="24" t="str">
        <f>IF(Commodities[[#This Row],[Level 4]]=Commodities[[#This Row],[Commodity]],Commodities[[#This Row],[Commodity]],IF(Commodities[[#This Row],[Level 4]]=Commodities[[#This Row],[L1N]],Commodities[[#This Row],[Commodity]],IF(Commodities[[#This Row],[Level 4]]=Commodities[[#This Row],[L2N]],Commodities[[#This Row],[L1N]],IF(Commodities[[#This Row],[Level 4]]=Commodities[[#This Row],[L3N]],Commodities[[#This Row],[L2N]],IF(Commodities[[#This Row],[Level 4]]=Commodities[[#This Row],[L4N]],Commodities[[#This Row],[L3N]],Commodities[[#This Row],[L4N]])))))</f>
        <v>Memo: Renewables</v>
      </c>
      <c r="Y104" s="5" t="s">
        <v>73</v>
      </c>
      <c r="Z104" s="18" t="s">
        <v>1549</v>
      </c>
      <c r="AA104" s="4" t="s">
        <v>1549</v>
      </c>
      <c r="AB104" s="6" t="s">
        <v>71</v>
      </c>
      <c r="AC104" s="24" t="str">
        <f>IFERROR(VLOOKUP(Transactions[[#This Row],[Parent code]],Transactions[[Transaction code]:[Transaction name]],2,0),"")</f>
        <v>IC Combustible fuels</v>
      </c>
      <c r="AD104" s="4" t="s">
        <v>632</v>
      </c>
      <c r="AE104" s="4" t="s">
        <v>632</v>
      </c>
      <c r="AF104" s="4" t="s">
        <v>642</v>
      </c>
      <c r="AG104" s="4" t="s">
        <v>1</v>
      </c>
      <c r="AH104" s="4" t="s">
        <v>696</v>
      </c>
      <c r="AK104" s="24" t="str" cm="1">
        <f t="array" ref="AK104">IFERROR(INDEX(Transactions[[Transaction code]:[Transaction name]],_xlfn.XMATCH(Transactions[[#This Row],[Parent code]],Transactions[Transaction name],0),3),Transactions[[#This Row],[Transaction name]])</f>
        <v>IC Combustible fuels - Renewable</v>
      </c>
      <c r="AL104" s="24" t="str" cm="1">
        <f t="array" ref="AL104">IFERROR(INDEX(Transactions[[Transaction code]:[Transaction name]],_xlfn.XMATCH(INDEX(Transactions[[Transaction name]:[Parent code]],_xlfn.XMATCH(Transactions[[#This Row],[L1N]],Transactions[Transaction name],0),3),Transactions[Transaction code],0),2),Transactions[[#This Row],[L1N]])</f>
        <v>IC Combustible fuels</v>
      </c>
      <c r="AM104" s="24" t="str" cm="1">
        <f t="array" ref="AM104">IFERROR(INDEX(Transactions[[Transaction code]:[Transaction name]],_xlfn.XMATCH(INDEX(Transactions[[Transaction name]:[Parent code]],_xlfn.XMATCH(Transactions[[#This Row],[L2N]],Transactions[Transaction name],0),3),Transactions[Transaction code],0),2),Transactions[[#This Row],[L2N]])</f>
        <v>IC Electricity plants</v>
      </c>
      <c r="AN104" s="24" t="str" cm="1">
        <f t="array" ref="AN104">IFERROR(INDEX(Transactions[[Transaction code]:[Transaction name]],_xlfn.XMATCH(INDEX(Transactions[[Transaction name]:[Parent code]],_xlfn.XMATCH(Transactions[[#This Row],[L3N]],Transactions[Transaction name],0),3),Transactions[Transaction code],0),2),Transactions[[#This Row],[L3N]])</f>
        <v>IC Electricity plants</v>
      </c>
      <c r="AO104" s="24" t="str" cm="1">
        <f t="array" ref="AO104">IFERROR(INDEX(Transactions[[Transaction code]:[Transaction name]],_xlfn.XMATCH(INDEX(Transactions[[Transaction name]:[Parent code]],_xlfn.XMATCH(Transactions[[#This Row],[L4N]],Transactions[Transaction name],0),3),Transactions[Transaction code],0),2),Transactions[[#This Row],[L4N]])</f>
        <v>IC Electricity plants</v>
      </c>
      <c r="AP104" s="24" t="str" cm="1">
        <f t="array" ref="AP104">IFERROR(INDEX(Transactions[[Transaction code]:[Transaction name]],_xlfn.XMATCH(INDEX(Transactions[[Transaction name]:[Parent code]],_xlfn.XMATCH(Transactions[[#This Row],[L5N]],Transactions[Transaction name],0),3),Transactions[Transaction code],0),2),Transactions[[#This Row],[L5N]])</f>
        <v>IC Electricity plants</v>
      </c>
      <c r="AQ104" s="24" t="str" cm="1">
        <f t="array" ref="AQ104">IFERROR(INDEX(Transactions[[Transaction code]:[Transaction name]],_xlfn.XMATCH(INDEX(Transactions[[Transaction name]:[Parent code]],_xlfn.XMATCH(Transactions[[#This Row],[L6N]],Transactions[Transaction name],0),3),Transactions[Transaction code],0),2),Transactions[[#This Row],[L6N]])</f>
        <v>IC Electricity plants</v>
      </c>
      <c r="AR104" s="27" t="str">
        <f>IF(Transactions[[#This Row],[L7N]]=Transactions[[#This Row],[L6N]],Transactions[[#This Row],[L7N]],IF(Transactions[[#This Row],[L6N]]=Transactions[[#This Row],[L5N]],Transactions[[#This Row],[L6N]],IF(Transactions[[#This Row],[L5N]]=Transactions[[#This Row],[L4N]],Transactions[[#This Row],[L5N]],IF(Transactions[[#This Row],[L4N]]=Transactions[[#This Row],[L3N]],Transactions[[#This Row],[L4N]],IF(Transactions[[#This Row],[L3N]]=Transactions[[#This Row],[L2N]],Transactions[[#This Row],[L3N]],IF(Transactions[[#This Row],[L2N]]=Transactions[[#This Row],[L1N]],Transactions[[#This Row],[L2N]],IF(Transactions[[#This Row],[L1N]]=Transactions[[#This Row],[Transaction name]],Transactions[[#This Row],[L1N]],Transactions[[#This Row],[Transaction name]])))))))</f>
        <v>IC Electricity plants</v>
      </c>
      <c r="AS104" s="24" t="str">
        <f>IF(Transactions[[#This Row],[Level 0]]=Transactions[[#This Row],[Transaction name]],Transactions[[#This Row],[Transaction name]],IF(Transactions[[#This Row],[Level 0]]=Transactions[[#This Row],[L1N]],Transactions[[#This Row],[Transaction name]],IF(Transactions[[#This Row],[Level 0]]=Transactions[[#This Row],[L2N]],Transactions[[#This Row],[L1N]],IF(Transactions[[#This Row],[Level 0]]=Transactions[[#This Row],[L3N]],Transactions[[#This Row],[L2N]],IF(Transactions[[#This Row],[Level 0]]=Transactions[[#This Row],[L4N]],Transactions[[#This Row],[L3N]],IF(Transactions[[#This Row],[Level 0]]=Transactions[[#This Row],[L5N]],Transactions[[#This Row],[L4N]],IF(Transactions[[#This Row],[Level 0]]=Transactions[[#This Row],[L6N]],Transactions[[#This Row],[L5N]],IF(Transactions[[#This Row],[Level 0]]=Transactions[[#This Row],[L7N]],Transactions[[#This Row],[L6N]],Transactions[[#This Row],[L7N]]))))))))</f>
        <v>IC Combustible fuels</v>
      </c>
      <c r="AT104" s="24" t="str">
        <f>IF(Transactions[[#This Row],[Level 1]]=Transactions[[#This Row],[Transaction name]],Transactions[[#This Row],[Transaction name]],IF(Transactions[[#This Row],[Level 1]]=Transactions[[#This Row],[L1N]],Transactions[[#This Row],[Transaction name]],IF(Transactions[[#This Row],[Level 1]]=Transactions[[#This Row],[L2N]],Transactions[[#This Row],[L1N]],IF(Transactions[[#This Row],[Level 1]]=Transactions[[#This Row],[L3N]],Transactions[[#This Row],[L2N]],IF(Transactions[[#This Row],[Level 1]]=Transactions[[#This Row],[L4N]],Transactions[[#This Row],[L3N]],IF(Transactions[[#This Row],[Level 1]]=Transactions[[#This Row],[L5N]],Transactions[[#This Row],[L4N]],IF(Transactions[[#This Row],[Level 1]]=Transactions[[#This Row],[L6N]],Transactions[[#This Row],[L5N]],IF(Transactions[[#This Row],[Level 1]]=Transactions[[#This Row],[L7N]],Transactions[[#This Row],[L6N]],Transactions[[#This Row],[L7N]]))))))))</f>
        <v>IC Combustible fuels - Renewable</v>
      </c>
      <c r="AU104" s="24" t="str">
        <f>IF(Transactions[[#This Row],[Level 2]]=Transactions[[#This Row],[Transaction name]],Transactions[[#This Row],[Transaction name]],IF(Transactions[[#This Row],[Level 2]]=Transactions[[#This Row],[L1N]],Transactions[[#This Row],[Transaction name]],IF(Transactions[[#This Row],[Level 2]]=Transactions[[#This Row],[L2N]],Transactions[[#This Row],[L1N]],IF(Transactions[[#This Row],[Level 2]]=Transactions[[#This Row],[L3N]],Transactions[[#This Row],[L2N]],IF(Transactions[[#This Row],[Level 2]]=Transactions[[#This Row],[L4N]],Transactions[[#This Row],[L3N]],IF(Transactions[[#This Row],[Level 2]]=Transactions[[#This Row],[L5N]],Transactions[[#This Row],[L4N]],IF(Transactions[[#This Row],[Level 2]]=Transactions[[#This Row],[L6N]],Transactions[[#This Row],[L5N]],IF(Transactions[[#This Row],[Level 2]]=Transactions[[#This Row],[L7N]],Transactions[[#This Row],[L6N]],Transactions[[#This Row],[L7N]]))))))))</f>
        <v>IC Combustible fuels - Renewable</v>
      </c>
      <c r="AV104" s="24" t="str">
        <f>IF(Transactions[[#This Row],[Level 3]]=Transactions[[#This Row],[Transaction name]],Transactions[[#This Row],[Transaction name]],IF(Transactions[[#This Row],[Level 3]]=Transactions[[#This Row],[L1N]],Transactions[[#This Row],[Transaction name]],IF(Transactions[[#This Row],[Level 3]]=Transactions[[#This Row],[L2N]],Transactions[[#This Row],[L1N]],IF(Transactions[[#This Row],[Level 3]]=Transactions[[#This Row],[L3N]],Transactions[[#This Row],[L2N]],IF(Transactions[[#This Row],[Level 3]]=Transactions[[#This Row],[L4N]],Transactions[[#This Row],[L3N]],IF(Transactions[[#This Row],[Level 3]]=Transactions[[#This Row],[L5N]],Transactions[[#This Row],[L4N]],IF(Transactions[[#This Row],[Level 3]]=Transactions[[#This Row],[L6N]],Transactions[[#This Row],[L5N]],IF(Transactions[[#This Row],[Level 3]]=Transactions[[#This Row],[L7N]],Transactions[[#This Row],[L6N]],Transactions[[#This Row],[L7N]]))))))))</f>
        <v>IC Combustible fuels - Renewable</v>
      </c>
      <c r="AW104" s="24" t="str">
        <f>IF(Transactions[[#This Row],[Level 4]]=Transactions[[#This Row],[Transaction name]],Transactions[[#This Row],[Transaction name]],IF(Transactions[[#This Row],[Level 4]]=Transactions[[#This Row],[L1N]],Transactions[[#This Row],[Transaction name]],IF(Transactions[[#This Row],[Level 4]]=Transactions[[#This Row],[L2N]],Transactions[[#This Row],[L1N]],IF(Transactions[[#This Row],[Level 4]]=Transactions[[#This Row],[L3N]],Transactions[[#This Row],[L2N]],IF(Transactions[[#This Row],[Level 4]]=Transactions[[#This Row],[L4N]],Transactions[[#This Row],[L3N]],IF(Transactions[[#This Row],[Level 4]]=Transactions[[#This Row],[L5N]],Transactions[[#This Row],[L4N]],IF(Transactions[[#This Row],[Level 4]]=Transactions[[#This Row],[L6N]],Transactions[[#This Row],[L5N]],IF(Transactions[[#This Row],[Level 4]]=Transactions[[#This Row],[L7N]],Transactions[[#This Row],[L6N]],Transactions[[#This Row],[L7N]]))))))))</f>
        <v>IC Combustible fuels - Renewable</v>
      </c>
      <c r="AX104" s="24" t="str">
        <f>IF(Transactions[[#This Row],[Level 5]]=Transactions[[#This Row],[Transaction name]],Transactions[[#This Row],[Transaction name]],IF(Transactions[[#This Row],[Level 5]]=Transactions[[#This Row],[L1N]],Transactions[[#This Row],[Transaction name]],IF(Transactions[[#This Row],[Level 5]]=Transactions[[#This Row],[L2N]],Transactions[[#This Row],[L1N]],IF(Transactions[[#This Row],[Level 5]]=Transactions[[#This Row],[L3N]],Transactions[[#This Row],[L2N]],IF(Transactions[[#This Row],[Level 5]]=Transactions[[#This Row],[L4N]],Transactions[[#This Row],[L3N]],IF(Transactions[[#This Row],[Level 5]]=Transactions[[#This Row],[L5N]],Transactions[[#This Row],[L4N]],IF(Transactions[[#This Row],[Level 5]]=Transactions[[#This Row],[L6N]],Transactions[[#This Row],[L5N]],IF(Transactions[[#This Row],[Level 5]]=Transactions[[#This Row],[L7N]],Transactions[[#This Row],[L6N]],Transactions[[#This Row],[L7N]]))))))))</f>
        <v>IC Combustible fuels - Renewable</v>
      </c>
      <c r="AY104" s="24" t="str">
        <f>IF(Transactions[[#This Row],[Level 6]]=Transactions[[#This Row],[Transaction name]],Transactions[[#This Row],[Transaction name]],IF(Transactions[[#This Row],[Level 6]]=Transactions[[#This Row],[L1N]],Transactions[[#This Row],[Transaction name]],IF(Transactions[[#This Row],[Level 6]]=Transactions[[#This Row],[L2N]],Transactions[[#This Row],[L1N]],IF(Transactions[[#This Row],[Level 6]]=Transactions[[#This Row],[L3N]],Transactions[[#This Row],[L2N]],IF(Transactions[[#This Row],[Level 6]]=Transactions[[#This Row],[L4N]],Transactions[[#This Row],[L3N]],IF(Transactions[[#This Row],[Level 6]]=Transactions[[#This Row],[L5N]],Transactions[[#This Row],[L4N]],IF(Transactions[[#This Row],[Level 6]]=Transactions[[#This Row],[L6N]],Transactions[[#This Row],[L5N]],IF(Transactions[[#This Row],[Level 6]]=Transactions[[#This Row],[L7N]],Transactions[[#This Row],[L6N]],Transactions[[#This Row],[L7N]]))))))))</f>
        <v>IC Combustible fuels - Renewable</v>
      </c>
      <c r="BE104" s="26" t="str">
        <f>_xlfn.XLOOKUP(Transformation[[#This Row],[cfrom]],Commodities[Commodity],Commodities[Commodity code])</f>
        <v>7000</v>
      </c>
      <c r="BF104" s="26" t="str">
        <f>_xlfn.XLOOKUP(Transformation[[#This Row],[tfrom]],Transactions[Transaction name],Transactions[Transaction code])</f>
        <v>016PH</v>
      </c>
      <c r="BG104" s="26" t="str">
        <f>_xlfn.XLOOKUP(Transformation[[#This Row],[cto]],Commodities[Commodity],Commodities[Commodity code])</f>
        <v>7000H</v>
      </c>
      <c r="BH104" s="26" t="str">
        <f>_xlfn.XLOOKUP(Transformation[[#This Row],[tto]],Transactions[Transaction name],Transactions[Transaction code])</f>
        <v>01</v>
      </c>
      <c r="BI104" s="11">
        <v>-1</v>
      </c>
      <c r="BJ104" s="4" t="s">
        <v>544</v>
      </c>
      <c r="BK104" s="24" t="str">
        <f>_xlfn.XLOOKUP(Transformation[[#This Row],[Commodity from]],Commodities[Commodity code],Commodities[EnergyCode])</f>
        <v>EL</v>
      </c>
      <c r="BL104" s="4" t="s">
        <v>801</v>
      </c>
      <c r="BM104" s="4" t="s">
        <v>281</v>
      </c>
      <c r="BN104" s="24" t="str">
        <f>_xlfn.XLOOKUP(Transformation[[#This Row],[Commodity to]],Commodities[Commodity code],Commodities[EnergyCode])</f>
        <v>EH</v>
      </c>
      <c r="BO104" s="4" t="s">
        <v>383</v>
      </c>
      <c r="BP104" s="4" t="s">
        <v>1414</v>
      </c>
      <c r="BQ104" s="33" t="str">
        <f>Transformation[[#This Row],[Commodity from]]&amp;Transformation[[#This Row],[Transaction from]]&amp;Transformation[[#This Row],[Commodity to]]&amp;Transformation[[#This Row],[Transaction to]]</f>
        <v>7000016PH7000H01</v>
      </c>
      <c r="BR104" s="26" t="str">
        <f>Transformation[[#This Row],[crfomid]]&amp;Transformation[[#This Row],[Transaction from]]&amp;"("&amp;Transformation[[#This Row],[Multiplier]]&amp;") -&gt; "&amp;Transformation[[#This Row],[ctoid]]&amp;Transformation[[#This Row],[Transaction to]]</f>
        <v>EL016PH(-1) -&gt; EH01</v>
      </c>
    </row>
    <row r="105" spans="8:77" x14ac:dyDescent="0.45">
      <c r="Y105" s="5" t="s">
        <v>10</v>
      </c>
      <c r="Z105" s="4" t="s">
        <v>976</v>
      </c>
      <c r="AA105" s="4" t="s">
        <v>976</v>
      </c>
      <c r="AB105" s="6"/>
      <c r="AC105" s="24" t="str">
        <f>IFERROR(VLOOKUP(Transactions[[#This Row],[Parent code]],Transactions[[Transaction code]:[Transaction name]],2,0),"")</f>
        <v/>
      </c>
      <c r="AD105" s="4" t="s">
        <v>632</v>
      </c>
      <c r="AE105" s="4" t="s">
        <v>632</v>
      </c>
      <c r="AF105" s="4" t="s">
        <v>642</v>
      </c>
      <c r="AG105" s="4" t="s">
        <v>1</v>
      </c>
      <c r="AH105" s="4" t="s">
        <v>696</v>
      </c>
      <c r="AK105" s="24" t="str" cm="1">
        <f t="array" ref="AK105">IFERROR(INDEX(Transactions[[Transaction code]:[Transaction name]],_xlfn.XMATCH(Transactions[[#This Row],[Parent code]],Transactions[Transaction name],0),3),Transactions[[#This Row],[Transaction name]])</f>
        <v>IC Electricity plants</v>
      </c>
      <c r="AL105" s="24" t="str" cm="1">
        <f t="array" ref="AL105">IFERROR(INDEX(Transactions[[Transaction code]:[Transaction name]],_xlfn.XMATCH(INDEX(Transactions[[Transaction name]:[Parent code]],_xlfn.XMATCH(Transactions[[#This Row],[L1N]],Transactions[Transaction name],0),3),Transactions[Transaction code],0),2),Transactions[[#This Row],[L1N]])</f>
        <v>IC Electricity plants</v>
      </c>
      <c r="AM105" s="24" t="str" cm="1">
        <f t="array" ref="AM105">IFERROR(INDEX(Transactions[[Transaction code]:[Transaction name]],_xlfn.XMATCH(INDEX(Transactions[[Transaction name]:[Parent code]],_xlfn.XMATCH(Transactions[[#This Row],[L2N]],Transactions[Transaction name],0),3),Transactions[Transaction code],0),2),Transactions[[#This Row],[L2N]])</f>
        <v>IC Electricity plants</v>
      </c>
      <c r="AN105" s="24" t="str" cm="1">
        <f t="array" ref="AN105">IFERROR(INDEX(Transactions[[Transaction code]:[Transaction name]],_xlfn.XMATCH(INDEX(Transactions[[Transaction name]:[Parent code]],_xlfn.XMATCH(Transactions[[#This Row],[L3N]],Transactions[Transaction name],0),3),Transactions[Transaction code],0),2),Transactions[[#This Row],[L3N]])</f>
        <v>IC Electricity plants</v>
      </c>
      <c r="AO105" s="24" t="str" cm="1">
        <f t="array" ref="AO105">IFERROR(INDEX(Transactions[[Transaction code]:[Transaction name]],_xlfn.XMATCH(INDEX(Transactions[[Transaction name]:[Parent code]],_xlfn.XMATCH(Transactions[[#This Row],[L4N]],Transactions[Transaction name],0),3),Transactions[Transaction code],0),2),Transactions[[#This Row],[L4N]])</f>
        <v>IC Electricity plants</v>
      </c>
      <c r="AP105" s="24" t="str" cm="1">
        <f t="array" ref="AP105">IFERROR(INDEX(Transactions[[Transaction code]:[Transaction name]],_xlfn.XMATCH(INDEX(Transactions[[Transaction name]:[Parent code]],_xlfn.XMATCH(Transactions[[#This Row],[L5N]],Transactions[Transaction name],0),3),Transactions[Transaction code],0),2),Transactions[[#This Row],[L5N]])</f>
        <v>IC Electricity plants</v>
      </c>
      <c r="AQ105" s="24" t="str" cm="1">
        <f t="array" ref="AQ105">IFERROR(INDEX(Transactions[[Transaction code]:[Transaction name]],_xlfn.XMATCH(INDEX(Transactions[[Transaction name]:[Parent code]],_xlfn.XMATCH(Transactions[[#This Row],[L6N]],Transactions[Transaction name],0),3),Transactions[Transaction code],0),2),Transactions[[#This Row],[L6N]])</f>
        <v>IC Electricity plants</v>
      </c>
      <c r="AR105" s="27" t="str">
        <f>IF(Transactions[[#This Row],[L7N]]=Transactions[[#This Row],[L6N]],Transactions[[#This Row],[L7N]],IF(Transactions[[#This Row],[L6N]]=Transactions[[#This Row],[L5N]],Transactions[[#This Row],[L6N]],IF(Transactions[[#This Row],[L5N]]=Transactions[[#This Row],[L4N]],Transactions[[#This Row],[L5N]],IF(Transactions[[#This Row],[L4N]]=Transactions[[#This Row],[L3N]],Transactions[[#This Row],[L4N]],IF(Transactions[[#This Row],[L3N]]=Transactions[[#This Row],[L2N]],Transactions[[#This Row],[L3N]],IF(Transactions[[#This Row],[L2N]]=Transactions[[#This Row],[L1N]],Transactions[[#This Row],[L2N]],IF(Transactions[[#This Row],[L1N]]=Transactions[[#This Row],[Transaction name]],Transactions[[#This Row],[L1N]],Transactions[[#This Row],[Transaction name]])))))))</f>
        <v>IC Electricity plants</v>
      </c>
      <c r="AS105" s="24" t="str">
        <f>IF(Transactions[[#This Row],[Level 0]]=Transactions[[#This Row],[Transaction name]],Transactions[[#This Row],[Transaction name]],IF(Transactions[[#This Row],[Level 0]]=Transactions[[#This Row],[L1N]],Transactions[[#This Row],[Transaction name]],IF(Transactions[[#This Row],[Level 0]]=Transactions[[#This Row],[L2N]],Transactions[[#This Row],[L1N]],IF(Transactions[[#This Row],[Level 0]]=Transactions[[#This Row],[L3N]],Transactions[[#This Row],[L2N]],IF(Transactions[[#This Row],[Level 0]]=Transactions[[#This Row],[L4N]],Transactions[[#This Row],[L3N]],IF(Transactions[[#This Row],[Level 0]]=Transactions[[#This Row],[L5N]],Transactions[[#This Row],[L4N]],IF(Transactions[[#This Row],[Level 0]]=Transactions[[#This Row],[L6N]],Transactions[[#This Row],[L5N]],IF(Transactions[[#This Row],[Level 0]]=Transactions[[#This Row],[L7N]],Transactions[[#This Row],[L6N]],Transactions[[#This Row],[L7N]]))))))))</f>
        <v>IC Electricity plants</v>
      </c>
      <c r="AT105" s="24" t="str">
        <f>IF(Transactions[[#This Row],[Level 1]]=Transactions[[#This Row],[Transaction name]],Transactions[[#This Row],[Transaction name]],IF(Transactions[[#This Row],[Level 1]]=Transactions[[#This Row],[L1N]],Transactions[[#This Row],[Transaction name]],IF(Transactions[[#This Row],[Level 1]]=Transactions[[#This Row],[L2N]],Transactions[[#This Row],[L1N]],IF(Transactions[[#This Row],[Level 1]]=Transactions[[#This Row],[L3N]],Transactions[[#This Row],[L2N]],IF(Transactions[[#This Row],[Level 1]]=Transactions[[#This Row],[L4N]],Transactions[[#This Row],[L3N]],IF(Transactions[[#This Row],[Level 1]]=Transactions[[#This Row],[L5N]],Transactions[[#This Row],[L4N]],IF(Transactions[[#This Row],[Level 1]]=Transactions[[#This Row],[L6N]],Transactions[[#This Row],[L5N]],IF(Transactions[[#This Row],[Level 1]]=Transactions[[#This Row],[L7N]],Transactions[[#This Row],[L6N]],Transactions[[#This Row],[L7N]]))))))))</f>
        <v>IC Electricity plants</v>
      </c>
      <c r="AU105" s="24" t="str">
        <f>IF(Transactions[[#This Row],[Level 2]]=Transactions[[#This Row],[Transaction name]],Transactions[[#This Row],[Transaction name]],IF(Transactions[[#This Row],[Level 2]]=Transactions[[#This Row],[L1N]],Transactions[[#This Row],[Transaction name]],IF(Transactions[[#This Row],[Level 2]]=Transactions[[#This Row],[L2N]],Transactions[[#This Row],[L1N]],IF(Transactions[[#This Row],[Level 2]]=Transactions[[#This Row],[L3N]],Transactions[[#This Row],[L2N]],IF(Transactions[[#This Row],[Level 2]]=Transactions[[#This Row],[L4N]],Transactions[[#This Row],[L3N]],IF(Transactions[[#This Row],[Level 2]]=Transactions[[#This Row],[L5N]],Transactions[[#This Row],[L4N]],IF(Transactions[[#This Row],[Level 2]]=Transactions[[#This Row],[L6N]],Transactions[[#This Row],[L5N]],IF(Transactions[[#This Row],[Level 2]]=Transactions[[#This Row],[L7N]],Transactions[[#This Row],[L6N]],Transactions[[#This Row],[L7N]]))))))))</f>
        <v>IC Electricity plants</v>
      </c>
      <c r="AV105" s="24" t="str">
        <f>IF(Transactions[[#This Row],[Level 3]]=Transactions[[#This Row],[Transaction name]],Transactions[[#This Row],[Transaction name]],IF(Transactions[[#This Row],[Level 3]]=Transactions[[#This Row],[L1N]],Transactions[[#This Row],[Transaction name]],IF(Transactions[[#This Row],[Level 3]]=Transactions[[#This Row],[L2N]],Transactions[[#This Row],[L1N]],IF(Transactions[[#This Row],[Level 3]]=Transactions[[#This Row],[L3N]],Transactions[[#This Row],[L2N]],IF(Transactions[[#This Row],[Level 3]]=Transactions[[#This Row],[L4N]],Transactions[[#This Row],[L3N]],IF(Transactions[[#This Row],[Level 3]]=Transactions[[#This Row],[L5N]],Transactions[[#This Row],[L4N]],IF(Transactions[[#This Row],[Level 3]]=Transactions[[#This Row],[L6N]],Transactions[[#This Row],[L5N]],IF(Transactions[[#This Row],[Level 3]]=Transactions[[#This Row],[L7N]],Transactions[[#This Row],[L6N]],Transactions[[#This Row],[L7N]]))))))))</f>
        <v>IC Electricity plants</v>
      </c>
      <c r="AW105" s="24" t="str">
        <f>IF(Transactions[[#This Row],[Level 4]]=Transactions[[#This Row],[Transaction name]],Transactions[[#This Row],[Transaction name]],IF(Transactions[[#This Row],[Level 4]]=Transactions[[#This Row],[L1N]],Transactions[[#This Row],[Transaction name]],IF(Transactions[[#This Row],[Level 4]]=Transactions[[#This Row],[L2N]],Transactions[[#This Row],[L1N]],IF(Transactions[[#This Row],[Level 4]]=Transactions[[#This Row],[L3N]],Transactions[[#This Row],[L2N]],IF(Transactions[[#This Row],[Level 4]]=Transactions[[#This Row],[L4N]],Transactions[[#This Row],[L3N]],IF(Transactions[[#This Row],[Level 4]]=Transactions[[#This Row],[L5N]],Transactions[[#This Row],[L4N]],IF(Transactions[[#This Row],[Level 4]]=Transactions[[#This Row],[L6N]],Transactions[[#This Row],[L5N]],IF(Transactions[[#This Row],[Level 4]]=Transactions[[#This Row],[L7N]],Transactions[[#This Row],[L6N]],Transactions[[#This Row],[L7N]]))))))))</f>
        <v>IC Electricity plants</v>
      </c>
      <c r="AX105" s="24" t="str">
        <f>IF(Transactions[[#This Row],[Level 5]]=Transactions[[#This Row],[Transaction name]],Transactions[[#This Row],[Transaction name]],IF(Transactions[[#This Row],[Level 5]]=Transactions[[#This Row],[L1N]],Transactions[[#This Row],[Transaction name]],IF(Transactions[[#This Row],[Level 5]]=Transactions[[#This Row],[L2N]],Transactions[[#This Row],[L1N]],IF(Transactions[[#This Row],[Level 5]]=Transactions[[#This Row],[L3N]],Transactions[[#This Row],[L2N]],IF(Transactions[[#This Row],[Level 5]]=Transactions[[#This Row],[L4N]],Transactions[[#This Row],[L3N]],IF(Transactions[[#This Row],[Level 5]]=Transactions[[#This Row],[L5N]],Transactions[[#This Row],[L4N]],IF(Transactions[[#This Row],[Level 5]]=Transactions[[#This Row],[L6N]],Transactions[[#This Row],[L5N]],IF(Transactions[[#This Row],[Level 5]]=Transactions[[#This Row],[L7N]],Transactions[[#This Row],[L6N]],Transactions[[#This Row],[L7N]]))))))))</f>
        <v>IC Electricity plants</v>
      </c>
      <c r="AY105" s="24" t="str">
        <f>IF(Transactions[[#This Row],[Level 6]]=Transactions[[#This Row],[Transaction name]],Transactions[[#This Row],[Transaction name]],IF(Transactions[[#This Row],[Level 6]]=Transactions[[#This Row],[L1N]],Transactions[[#This Row],[Transaction name]],IF(Transactions[[#This Row],[Level 6]]=Transactions[[#This Row],[L2N]],Transactions[[#This Row],[L1N]],IF(Transactions[[#This Row],[Level 6]]=Transactions[[#This Row],[L3N]],Transactions[[#This Row],[L2N]],IF(Transactions[[#This Row],[Level 6]]=Transactions[[#This Row],[L4N]],Transactions[[#This Row],[L3N]],IF(Transactions[[#This Row],[Level 6]]=Transactions[[#This Row],[L5N]],Transactions[[#This Row],[L4N]],IF(Transactions[[#This Row],[Level 6]]=Transactions[[#This Row],[L6N]],Transactions[[#This Row],[L5N]],IF(Transactions[[#This Row],[Level 6]]=Transactions[[#This Row],[L7N]],Transactions[[#This Row],[L6N]],Transactions[[#This Row],[L7N]]))))))))</f>
        <v>IC Electricity plants</v>
      </c>
      <c r="BE105" s="26" t="str">
        <f>_xlfn.XLOOKUP(Transformation[[#This Row],[cfrom]],Commodities[Commodity],Commodities[Commodity code])</f>
        <v>7000</v>
      </c>
      <c r="BF105" s="26" t="str">
        <f>_xlfn.XLOOKUP(Transformation[[#This Row],[tfrom]],Transactions[Transaction name],Transactions[Transaction code])</f>
        <v>016PH</v>
      </c>
      <c r="BG105" s="26" t="str">
        <f>_xlfn.XLOOKUP(Transformation[[#This Row],[cto]],Commodities[Commodity],Commodities[Commodity code])</f>
        <v>7000</v>
      </c>
      <c r="BH105" s="26" t="str">
        <f>_xlfn.XLOOKUP(Transformation[[#This Row],[tto]],Transactions[Transaction name],Transactions[Transaction code])</f>
        <v>0926</v>
      </c>
      <c r="BI105" s="31">
        <v>1</v>
      </c>
      <c r="BJ105" s="22" t="s">
        <v>544</v>
      </c>
      <c r="BK105" s="26" t="str">
        <f>_xlfn.XLOOKUP(Transformation[[#This Row],[Commodity from]],Commodities[Commodity code],Commodities[EnergyCode])</f>
        <v>EL</v>
      </c>
      <c r="BL105" s="22" t="s">
        <v>801</v>
      </c>
      <c r="BM105" s="22" t="s">
        <v>544</v>
      </c>
      <c r="BN105" s="26" t="str">
        <f>_xlfn.XLOOKUP(Transformation[[#This Row],[Commodity to]],Commodities[Commodity code],Commodities[EnergyCode])</f>
        <v>EL</v>
      </c>
      <c r="BO105" s="22" t="s">
        <v>713</v>
      </c>
      <c r="BP105" s="22" t="s">
        <v>1652</v>
      </c>
      <c r="BQ105" s="33" t="str">
        <f>Transformation[[#This Row],[Commodity from]]&amp;Transformation[[#This Row],[Transaction from]]&amp;Transformation[[#This Row],[Commodity to]]&amp;Transformation[[#This Row],[Transaction to]]</f>
        <v>7000016PH70000926</v>
      </c>
      <c r="BR105" s="26" t="str">
        <f>Transformation[[#This Row],[crfomid]]&amp;Transformation[[#This Row],[Transaction from]]&amp;"("&amp;Transformation[[#This Row],[Multiplier]]&amp;") -&gt; "&amp;Transformation[[#This Row],[ctoid]]&amp;Transformation[[#This Row],[Transaction to]]</f>
        <v>EL016PH(1) -&gt; EL0926</v>
      </c>
    </row>
    <row r="106" spans="8:77" x14ac:dyDescent="0.45">
      <c r="Y106" s="5" t="s">
        <v>79</v>
      </c>
      <c r="Z106" s="4" t="s">
        <v>983</v>
      </c>
      <c r="AA106" s="4" t="s">
        <v>983</v>
      </c>
      <c r="AB106" s="6" t="s">
        <v>10</v>
      </c>
      <c r="AC106" s="24" t="str">
        <f>IFERROR(VLOOKUP(Transactions[[#This Row],[Parent code]],Transactions[[Transaction code]:[Transaction name]],2,0),"")</f>
        <v>IC Electricity plants</v>
      </c>
      <c r="AD106" s="4" t="s">
        <v>632</v>
      </c>
      <c r="AE106" s="4" t="s">
        <v>632</v>
      </c>
      <c r="AF106" s="4" t="s">
        <v>642</v>
      </c>
      <c r="AG106" s="4" t="s">
        <v>1</v>
      </c>
      <c r="AH106" s="4" t="s">
        <v>696</v>
      </c>
      <c r="AK106" s="24" t="str" cm="1">
        <f t="array" ref="AK106">IFERROR(INDEX(Transactions[[Transaction code]:[Transaction name]],_xlfn.XMATCH(Transactions[[#This Row],[Parent code]],Transactions[Transaction name],0),3),Transactions[[#This Row],[Transaction name]])</f>
        <v>IC Geothermal</v>
      </c>
      <c r="AL106" s="24" t="str" cm="1">
        <f t="array" ref="AL106">IFERROR(INDEX(Transactions[[Transaction code]:[Transaction name]],_xlfn.XMATCH(INDEX(Transactions[[Transaction name]:[Parent code]],_xlfn.XMATCH(Transactions[[#This Row],[L1N]],Transactions[Transaction name],0),3),Transactions[Transaction code],0),2),Transactions[[#This Row],[L1N]])</f>
        <v>IC Electricity plants</v>
      </c>
      <c r="AM106" s="24" t="str" cm="1">
        <f t="array" ref="AM106">IFERROR(INDEX(Transactions[[Transaction code]:[Transaction name]],_xlfn.XMATCH(INDEX(Transactions[[Transaction name]:[Parent code]],_xlfn.XMATCH(Transactions[[#This Row],[L2N]],Transactions[Transaction name],0),3),Transactions[Transaction code],0),2),Transactions[[#This Row],[L2N]])</f>
        <v>IC Electricity plants</v>
      </c>
      <c r="AN106" s="24" t="str" cm="1">
        <f t="array" ref="AN106">IFERROR(INDEX(Transactions[[Transaction code]:[Transaction name]],_xlfn.XMATCH(INDEX(Transactions[[Transaction name]:[Parent code]],_xlfn.XMATCH(Transactions[[#This Row],[L3N]],Transactions[Transaction name],0),3),Transactions[Transaction code],0),2),Transactions[[#This Row],[L3N]])</f>
        <v>IC Electricity plants</v>
      </c>
      <c r="AO106" s="24" t="str" cm="1">
        <f t="array" ref="AO106">IFERROR(INDEX(Transactions[[Transaction code]:[Transaction name]],_xlfn.XMATCH(INDEX(Transactions[[Transaction name]:[Parent code]],_xlfn.XMATCH(Transactions[[#This Row],[L4N]],Transactions[Transaction name],0),3),Transactions[Transaction code],0),2),Transactions[[#This Row],[L4N]])</f>
        <v>IC Electricity plants</v>
      </c>
      <c r="AP106" s="24" t="str" cm="1">
        <f t="array" ref="AP106">IFERROR(INDEX(Transactions[[Transaction code]:[Transaction name]],_xlfn.XMATCH(INDEX(Transactions[[Transaction name]:[Parent code]],_xlfn.XMATCH(Transactions[[#This Row],[L5N]],Transactions[Transaction name],0),3),Transactions[Transaction code],0),2),Transactions[[#This Row],[L5N]])</f>
        <v>IC Electricity plants</v>
      </c>
      <c r="AQ106" s="24" t="str" cm="1">
        <f t="array" ref="AQ106">IFERROR(INDEX(Transactions[[Transaction code]:[Transaction name]],_xlfn.XMATCH(INDEX(Transactions[[Transaction name]:[Parent code]],_xlfn.XMATCH(Transactions[[#This Row],[L6N]],Transactions[Transaction name],0),3),Transactions[Transaction code],0),2),Transactions[[#This Row],[L6N]])</f>
        <v>IC Electricity plants</v>
      </c>
      <c r="AR106" s="27" t="str">
        <f>IF(Transactions[[#This Row],[L7N]]=Transactions[[#This Row],[L6N]],Transactions[[#This Row],[L7N]],IF(Transactions[[#This Row],[L6N]]=Transactions[[#This Row],[L5N]],Transactions[[#This Row],[L6N]],IF(Transactions[[#This Row],[L5N]]=Transactions[[#This Row],[L4N]],Transactions[[#This Row],[L5N]],IF(Transactions[[#This Row],[L4N]]=Transactions[[#This Row],[L3N]],Transactions[[#This Row],[L4N]],IF(Transactions[[#This Row],[L3N]]=Transactions[[#This Row],[L2N]],Transactions[[#This Row],[L3N]],IF(Transactions[[#This Row],[L2N]]=Transactions[[#This Row],[L1N]],Transactions[[#This Row],[L2N]],IF(Transactions[[#This Row],[L1N]]=Transactions[[#This Row],[Transaction name]],Transactions[[#This Row],[L1N]],Transactions[[#This Row],[Transaction name]])))))))</f>
        <v>IC Electricity plants</v>
      </c>
      <c r="AS106" s="24" t="str">
        <f>IF(Transactions[[#This Row],[Level 0]]=Transactions[[#This Row],[Transaction name]],Transactions[[#This Row],[Transaction name]],IF(Transactions[[#This Row],[Level 0]]=Transactions[[#This Row],[L1N]],Transactions[[#This Row],[Transaction name]],IF(Transactions[[#This Row],[Level 0]]=Transactions[[#This Row],[L2N]],Transactions[[#This Row],[L1N]],IF(Transactions[[#This Row],[Level 0]]=Transactions[[#This Row],[L3N]],Transactions[[#This Row],[L2N]],IF(Transactions[[#This Row],[Level 0]]=Transactions[[#This Row],[L4N]],Transactions[[#This Row],[L3N]],IF(Transactions[[#This Row],[Level 0]]=Transactions[[#This Row],[L5N]],Transactions[[#This Row],[L4N]],IF(Transactions[[#This Row],[Level 0]]=Transactions[[#This Row],[L6N]],Transactions[[#This Row],[L5N]],IF(Transactions[[#This Row],[Level 0]]=Transactions[[#This Row],[L7N]],Transactions[[#This Row],[L6N]],Transactions[[#This Row],[L7N]]))))))))</f>
        <v>IC Geothermal</v>
      </c>
      <c r="AT106" s="24" t="str">
        <f>IF(Transactions[[#This Row],[Level 1]]=Transactions[[#This Row],[Transaction name]],Transactions[[#This Row],[Transaction name]],IF(Transactions[[#This Row],[Level 1]]=Transactions[[#This Row],[L1N]],Transactions[[#This Row],[Transaction name]],IF(Transactions[[#This Row],[Level 1]]=Transactions[[#This Row],[L2N]],Transactions[[#This Row],[L1N]],IF(Transactions[[#This Row],[Level 1]]=Transactions[[#This Row],[L3N]],Transactions[[#This Row],[L2N]],IF(Transactions[[#This Row],[Level 1]]=Transactions[[#This Row],[L4N]],Transactions[[#This Row],[L3N]],IF(Transactions[[#This Row],[Level 1]]=Transactions[[#This Row],[L5N]],Transactions[[#This Row],[L4N]],IF(Transactions[[#This Row],[Level 1]]=Transactions[[#This Row],[L6N]],Transactions[[#This Row],[L5N]],IF(Transactions[[#This Row],[Level 1]]=Transactions[[#This Row],[L7N]],Transactions[[#This Row],[L6N]],Transactions[[#This Row],[L7N]]))))))))</f>
        <v>IC Geothermal</v>
      </c>
      <c r="AU106" s="24" t="str">
        <f>IF(Transactions[[#This Row],[Level 2]]=Transactions[[#This Row],[Transaction name]],Transactions[[#This Row],[Transaction name]],IF(Transactions[[#This Row],[Level 2]]=Transactions[[#This Row],[L1N]],Transactions[[#This Row],[Transaction name]],IF(Transactions[[#This Row],[Level 2]]=Transactions[[#This Row],[L2N]],Transactions[[#This Row],[L1N]],IF(Transactions[[#This Row],[Level 2]]=Transactions[[#This Row],[L3N]],Transactions[[#This Row],[L2N]],IF(Transactions[[#This Row],[Level 2]]=Transactions[[#This Row],[L4N]],Transactions[[#This Row],[L3N]],IF(Transactions[[#This Row],[Level 2]]=Transactions[[#This Row],[L5N]],Transactions[[#This Row],[L4N]],IF(Transactions[[#This Row],[Level 2]]=Transactions[[#This Row],[L6N]],Transactions[[#This Row],[L5N]],IF(Transactions[[#This Row],[Level 2]]=Transactions[[#This Row],[L7N]],Transactions[[#This Row],[L6N]],Transactions[[#This Row],[L7N]]))))))))</f>
        <v>IC Geothermal</v>
      </c>
      <c r="AV106" s="24" t="str">
        <f>IF(Transactions[[#This Row],[Level 3]]=Transactions[[#This Row],[Transaction name]],Transactions[[#This Row],[Transaction name]],IF(Transactions[[#This Row],[Level 3]]=Transactions[[#This Row],[L1N]],Transactions[[#This Row],[Transaction name]],IF(Transactions[[#This Row],[Level 3]]=Transactions[[#This Row],[L2N]],Transactions[[#This Row],[L1N]],IF(Transactions[[#This Row],[Level 3]]=Transactions[[#This Row],[L3N]],Transactions[[#This Row],[L2N]],IF(Transactions[[#This Row],[Level 3]]=Transactions[[#This Row],[L4N]],Transactions[[#This Row],[L3N]],IF(Transactions[[#This Row],[Level 3]]=Transactions[[#This Row],[L5N]],Transactions[[#This Row],[L4N]],IF(Transactions[[#This Row],[Level 3]]=Transactions[[#This Row],[L6N]],Transactions[[#This Row],[L5N]],IF(Transactions[[#This Row],[Level 3]]=Transactions[[#This Row],[L7N]],Transactions[[#This Row],[L6N]],Transactions[[#This Row],[L7N]]))))))))</f>
        <v>IC Geothermal</v>
      </c>
      <c r="AW106" s="24" t="str">
        <f>IF(Transactions[[#This Row],[Level 4]]=Transactions[[#This Row],[Transaction name]],Transactions[[#This Row],[Transaction name]],IF(Transactions[[#This Row],[Level 4]]=Transactions[[#This Row],[L1N]],Transactions[[#This Row],[Transaction name]],IF(Transactions[[#This Row],[Level 4]]=Transactions[[#This Row],[L2N]],Transactions[[#This Row],[L1N]],IF(Transactions[[#This Row],[Level 4]]=Transactions[[#This Row],[L3N]],Transactions[[#This Row],[L2N]],IF(Transactions[[#This Row],[Level 4]]=Transactions[[#This Row],[L4N]],Transactions[[#This Row],[L3N]],IF(Transactions[[#This Row],[Level 4]]=Transactions[[#This Row],[L5N]],Transactions[[#This Row],[L4N]],IF(Transactions[[#This Row],[Level 4]]=Transactions[[#This Row],[L6N]],Transactions[[#This Row],[L5N]],IF(Transactions[[#This Row],[Level 4]]=Transactions[[#This Row],[L7N]],Transactions[[#This Row],[L6N]],Transactions[[#This Row],[L7N]]))))))))</f>
        <v>IC Geothermal</v>
      </c>
      <c r="AX106" s="24" t="str">
        <f>IF(Transactions[[#This Row],[Level 5]]=Transactions[[#This Row],[Transaction name]],Transactions[[#This Row],[Transaction name]],IF(Transactions[[#This Row],[Level 5]]=Transactions[[#This Row],[L1N]],Transactions[[#This Row],[Transaction name]],IF(Transactions[[#This Row],[Level 5]]=Transactions[[#This Row],[L2N]],Transactions[[#This Row],[L1N]],IF(Transactions[[#This Row],[Level 5]]=Transactions[[#This Row],[L3N]],Transactions[[#This Row],[L2N]],IF(Transactions[[#This Row],[Level 5]]=Transactions[[#This Row],[L4N]],Transactions[[#This Row],[L3N]],IF(Transactions[[#This Row],[Level 5]]=Transactions[[#This Row],[L5N]],Transactions[[#This Row],[L4N]],IF(Transactions[[#This Row],[Level 5]]=Transactions[[#This Row],[L6N]],Transactions[[#This Row],[L5N]],IF(Transactions[[#This Row],[Level 5]]=Transactions[[#This Row],[L7N]],Transactions[[#This Row],[L6N]],Transactions[[#This Row],[L7N]]))))))))</f>
        <v>IC Geothermal</v>
      </c>
      <c r="AY106" s="24" t="str">
        <f>IF(Transactions[[#This Row],[Level 6]]=Transactions[[#This Row],[Transaction name]],Transactions[[#This Row],[Transaction name]],IF(Transactions[[#This Row],[Level 6]]=Transactions[[#This Row],[L1N]],Transactions[[#This Row],[Transaction name]],IF(Transactions[[#This Row],[Level 6]]=Transactions[[#This Row],[L2N]],Transactions[[#This Row],[L1N]],IF(Transactions[[#This Row],[Level 6]]=Transactions[[#This Row],[L3N]],Transactions[[#This Row],[L2N]],IF(Transactions[[#This Row],[Level 6]]=Transactions[[#This Row],[L4N]],Transactions[[#This Row],[L3N]],IF(Transactions[[#This Row],[Level 6]]=Transactions[[#This Row],[L5N]],Transactions[[#This Row],[L4N]],IF(Transactions[[#This Row],[Level 6]]=Transactions[[#This Row],[L6N]],Transactions[[#This Row],[L5N]],IF(Transactions[[#This Row],[Level 6]]=Transactions[[#This Row],[L7N]],Transactions[[#This Row],[L6N]],Transactions[[#This Row],[L7N]]))))))))</f>
        <v>IC Geothermal</v>
      </c>
      <c r="BE106" s="26" t="str">
        <f>_xlfn.XLOOKUP(Transformation[[#This Row],[cfrom]],Commodities[Commodity],Commodities[Commodity code])</f>
        <v>7000</v>
      </c>
      <c r="BF106" s="26" t="str">
        <f>_xlfn.XLOOKUP(Transformation[[#This Row],[tfrom]],Transactions[Transaction name],Transactions[Transaction code])</f>
        <v>016ST</v>
      </c>
      <c r="BG106" s="26" t="str">
        <f>_xlfn.XLOOKUP(Transformation[[#This Row],[cto]],Commodities[Commodity],Commodities[Commodity code])</f>
        <v>7000S</v>
      </c>
      <c r="BH106" s="26" t="str">
        <f>_xlfn.XLOOKUP(Transformation[[#This Row],[tto]],Transactions[Transaction name],Transactions[Transaction code])</f>
        <v>01</v>
      </c>
      <c r="BI106" s="31">
        <v>-1</v>
      </c>
      <c r="BJ106" s="22" t="s">
        <v>544</v>
      </c>
      <c r="BK106" s="26" t="str">
        <f>_xlfn.XLOOKUP(Transformation[[#This Row],[Commodity from]],Commodities[Commodity code],Commodities[EnergyCode])</f>
        <v>EL</v>
      </c>
      <c r="BL106" s="22" t="s">
        <v>1303</v>
      </c>
      <c r="BM106" s="22" t="s">
        <v>272</v>
      </c>
      <c r="BN106" s="26" t="str">
        <f>_xlfn.XLOOKUP(Transformation[[#This Row],[Commodity to]],Commodities[Commodity code],Commodities[EnergyCode])</f>
        <v>ES</v>
      </c>
      <c r="BO106" s="22" t="s">
        <v>383</v>
      </c>
      <c r="BP106" s="22" t="s">
        <v>1659</v>
      </c>
      <c r="BQ106" s="33" t="str">
        <f>Transformation[[#This Row],[Commodity from]]&amp;Transformation[[#This Row],[Transaction from]]&amp;Transformation[[#This Row],[Commodity to]]&amp;Transformation[[#This Row],[Transaction to]]</f>
        <v>7000016ST7000S01</v>
      </c>
      <c r="BR106" s="26" t="str">
        <f>Transformation[[#This Row],[crfomid]]&amp;Transformation[[#This Row],[Transaction from]]&amp;"("&amp;Transformation[[#This Row],[Multiplier]]&amp;") -&gt; "&amp;Transformation[[#This Row],[ctoid]]&amp;Transformation[[#This Row],[Transaction to]]</f>
        <v>EL016ST(-1) -&gt; ES01</v>
      </c>
    </row>
    <row r="107" spans="8:77" x14ac:dyDescent="0.45">
      <c r="Y107" s="5" t="s">
        <v>81</v>
      </c>
      <c r="Z107" s="4" t="s">
        <v>985</v>
      </c>
      <c r="AA107" s="4" t="s">
        <v>985</v>
      </c>
      <c r="AB107" s="6" t="s">
        <v>79</v>
      </c>
      <c r="AC107" s="24" t="str">
        <f>IFERROR(VLOOKUP(Transactions[[#This Row],[Parent code]],Transactions[[Transaction code]:[Transaction name]],2,0),"")</f>
        <v>IC Geothermal</v>
      </c>
      <c r="AD107" s="4" t="s">
        <v>632</v>
      </c>
      <c r="AE107" s="4" t="s">
        <v>632</v>
      </c>
      <c r="AF107" s="4" t="s">
        <v>642</v>
      </c>
      <c r="AG107" s="4" t="s">
        <v>1</v>
      </c>
      <c r="AH107" s="4" t="s">
        <v>696</v>
      </c>
      <c r="AK107" s="24" t="str" cm="1">
        <f t="array" ref="AK107">IFERROR(INDEX(Transactions[[Transaction code]:[Transaction name]],_xlfn.XMATCH(Transactions[[#This Row],[Parent code]],Transactions[Transaction name],0),3),Transactions[[#This Row],[Transaction name]])</f>
        <v>IC Geothermal - Autoproducers</v>
      </c>
      <c r="AL107" s="24" t="str" cm="1">
        <f t="array" ref="AL107">IFERROR(INDEX(Transactions[[Transaction code]:[Transaction name]],_xlfn.XMATCH(INDEX(Transactions[[Transaction name]:[Parent code]],_xlfn.XMATCH(Transactions[[#This Row],[L1N]],Transactions[Transaction name],0),3),Transactions[Transaction code],0),2),Transactions[[#This Row],[L1N]])</f>
        <v>IC Geothermal</v>
      </c>
      <c r="AM107" s="24" t="str" cm="1">
        <f t="array" ref="AM107">IFERROR(INDEX(Transactions[[Transaction code]:[Transaction name]],_xlfn.XMATCH(INDEX(Transactions[[Transaction name]:[Parent code]],_xlfn.XMATCH(Transactions[[#This Row],[L2N]],Transactions[Transaction name],0),3),Transactions[Transaction code],0),2),Transactions[[#This Row],[L2N]])</f>
        <v>IC Electricity plants</v>
      </c>
      <c r="AN107" s="24" t="str" cm="1">
        <f t="array" ref="AN107">IFERROR(INDEX(Transactions[[Transaction code]:[Transaction name]],_xlfn.XMATCH(INDEX(Transactions[[Transaction name]:[Parent code]],_xlfn.XMATCH(Transactions[[#This Row],[L3N]],Transactions[Transaction name],0),3),Transactions[Transaction code],0),2),Transactions[[#This Row],[L3N]])</f>
        <v>IC Electricity plants</v>
      </c>
      <c r="AO107" s="24" t="str" cm="1">
        <f t="array" ref="AO107">IFERROR(INDEX(Transactions[[Transaction code]:[Transaction name]],_xlfn.XMATCH(INDEX(Transactions[[Transaction name]:[Parent code]],_xlfn.XMATCH(Transactions[[#This Row],[L4N]],Transactions[Transaction name],0),3),Transactions[Transaction code],0),2),Transactions[[#This Row],[L4N]])</f>
        <v>IC Electricity plants</v>
      </c>
      <c r="AP107" s="24" t="str" cm="1">
        <f t="array" ref="AP107">IFERROR(INDEX(Transactions[[Transaction code]:[Transaction name]],_xlfn.XMATCH(INDEX(Transactions[[Transaction name]:[Parent code]],_xlfn.XMATCH(Transactions[[#This Row],[L5N]],Transactions[Transaction name],0),3),Transactions[Transaction code],0),2),Transactions[[#This Row],[L5N]])</f>
        <v>IC Electricity plants</v>
      </c>
      <c r="AQ107" s="24" t="str" cm="1">
        <f t="array" ref="AQ107">IFERROR(INDEX(Transactions[[Transaction code]:[Transaction name]],_xlfn.XMATCH(INDEX(Transactions[[Transaction name]:[Parent code]],_xlfn.XMATCH(Transactions[[#This Row],[L6N]],Transactions[Transaction name],0),3),Transactions[Transaction code],0),2),Transactions[[#This Row],[L6N]])</f>
        <v>IC Electricity plants</v>
      </c>
      <c r="AR107" s="27" t="str">
        <f>IF(Transactions[[#This Row],[L7N]]=Transactions[[#This Row],[L6N]],Transactions[[#This Row],[L7N]],IF(Transactions[[#This Row],[L6N]]=Transactions[[#This Row],[L5N]],Transactions[[#This Row],[L6N]],IF(Transactions[[#This Row],[L5N]]=Transactions[[#This Row],[L4N]],Transactions[[#This Row],[L5N]],IF(Transactions[[#This Row],[L4N]]=Transactions[[#This Row],[L3N]],Transactions[[#This Row],[L4N]],IF(Transactions[[#This Row],[L3N]]=Transactions[[#This Row],[L2N]],Transactions[[#This Row],[L3N]],IF(Transactions[[#This Row],[L2N]]=Transactions[[#This Row],[L1N]],Transactions[[#This Row],[L2N]],IF(Transactions[[#This Row],[L1N]]=Transactions[[#This Row],[Transaction name]],Transactions[[#This Row],[L1N]],Transactions[[#This Row],[Transaction name]])))))))</f>
        <v>IC Electricity plants</v>
      </c>
      <c r="AS107" s="24" t="str">
        <f>IF(Transactions[[#This Row],[Level 0]]=Transactions[[#This Row],[Transaction name]],Transactions[[#This Row],[Transaction name]],IF(Transactions[[#This Row],[Level 0]]=Transactions[[#This Row],[L1N]],Transactions[[#This Row],[Transaction name]],IF(Transactions[[#This Row],[Level 0]]=Transactions[[#This Row],[L2N]],Transactions[[#This Row],[L1N]],IF(Transactions[[#This Row],[Level 0]]=Transactions[[#This Row],[L3N]],Transactions[[#This Row],[L2N]],IF(Transactions[[#This Row],[Level 0]]=Transactions[[#This Row],[L4N]],Transactions[[#This Row],[L3N]],IF(Transactions[[#This Row],[Level 0]]=Transactions[[#This Row],[L5N]],Transactions[[#This Row],[L4N]],IF(Transactions[[#This Row],[Level 0]]=Transactions[[#This Row],[L6N]],Transactions[[#This Row],[L5N]],IF(Transactions[[#This Row],[Level 0]]=Transactions[[#This Row],[L7N]],Transactions[[#This Row],[L6N]],Transactions[[#This Row],[L7N]]))))))))</f>
        <v>IC Geothermal</v>
      </c>
      <c r="AT107" s="24" t="str">
        <f>IF(Transactions[[#This Row],[Level 1]]=Transactions[[#This Row],[Transaction name]],Transactions[[#This Row],[Transaction name]],IF(Transactions[[#This Row],[Level 1]]=Transactions[[#This Row],[L1N]],Transactions[[#This Row],[Transaction name]],IF(Transactions[[#This Row],[Level 1]]=Transactions[[#This Row],[L2N]],Transactions[[#This Row],[L1N]],IF(Transactions[[#This Row],[Level 1]]=Transactions[[#This Row],[L3N]],Transactions[[#This Row],[L2N]],IF(Transactions[[#This Row],[Level 1]]=Transactions[[#This Row],[L4N]],Transactions[[#This Row],[L3N]],IF(Transactions[[#This Row],[Level 1]]=Transactions[[#This Row],[L5N]],Transactions[[#This Row],[L4N]],IF(Transactions[[#This Row],[Level 1]]=Transactions[[#This Row],[L6N]],Transactions[[#This Row],[L5N]],IF(Transactions[[#This Row],[Level 1]]=Transactions[[#This Row],[L7N]],Transactions[[#This Row],[L6N]],Transactions[[#This Row],[L7N]]))))))))</f>
        <v>IC Geothermal - Autoproducers</v>
      </c>
      <c r="AU107" s="24" t="str">
        <f>IF(Transactions[[#This Row],[Level 2]]=Transactions[[#This Row],[Transaction name]],Transactions[[#This Row],[Transaction name]],IF(Transactions[[#This Row],[Level 2]]=Transactions[[#This Row],[L1N]],Transactions[[#This Row],[Transaction name]],IF(Transactions[[#This Row],[Level 2]]=Transactions[[#This Row],[L2N]],Transactions[[#This Row],[L1N]],IF(Transactions[[#This Row],[Level 2]]=Transactions[[#This Row],[L3N]],Transactions[[#This Row],[L2N]],IF(Transactions[[#This Row],[Level 2]]=Transactions[[#This Row],[L4N]],Transactions[[#This Row],[L3N]],IF(Transactions[[#This Row],[Level 2]]=Transactions[[#This Row],[L5N]],Transactions[[#This Row],[L4N]],IF(Transactions[[#This Row],[Level 2]]=Transactions[[#This Row],[L6N]],Transactions[[#This Row],[L5N]],IF(Transactions[[#This Row],[Level 2]]=Transactions[[#This Row],[L7N]],Transactions[[#This Row],[L6N]],Transactions[[#This Row],[L7N]]))))))))</f>
        <v>IC Geothermal - Autoproducers</v>
      </c>
      <c r="AV107" s="24" t="str">
        <f>IF(Transactions[[#This Row],[Level 3]]=Transactions[[#This Row],[Transaction name]],Transactions[[#This Row],[Transaction name]],IF(Transactions[[#This Row],[Level 3]]=Transactions[[#This Row],[L1N]],Transactions[[#This Row],[Transaction name]],IF(Transactions[[#This Row],[Level 3]]=Transactions[[#This Row],[L2N]],Transactions[[#This Row],[L1N]],IF(Transactions[[#This Row],[Level 3]]=Transactions[[#This Row],[L3N]],Transactions[[#This Row],[L2N]],IF(Transactions[[#This Row],[Level 3]]=Transactions[[#This Row],[L4N]],Transactions[[#This Row],[L3N]],IF(Transactions[[#This Row],[Level 3]]=Transactions[[#This Row],[L5N]],Transactions[[#This Row],[L4N]],IF(Transactions[[#This Row],[Level 3]]=Transactions[[#This Row],[L6N]],Transactions[[#This Row],[L5N]],IF(Transactions[[#This Row],[Level 3]]=Transactions[[#This Row],[L7N]],Transactions[[#This Row],[L6N]],Transactions[[#This Row],[L7N]]))))))))</f>
        <v>IC Geothermal - Autoproducers</v>
      </c>
      <c r="AW107" s="24" t="str">
        <f>IF(Transactions[[#This Row],[Level 4]]=Transactions[[#This Row],[Transaction name]],Transactions[[#This Row],[Transaction name]],IF(Transactions[[#This Row],[Level 4]]=Transactions[[#This Row],[L1N]],Transactions[[#This Row],[Transaction name]],IF(Transactions[[#This Row],[Level 4]]=Transactions[[#This Row],[L2N]],Transactions[[#This Row],[L1N]],IF(Transactions[[#This Row],[Level 4]]=Transactions[[#This Row],[L3N]],Transactions[[#This Row],[L2N]],IF(Transactions[[#This Row],[Level 4]]=Transactions[[#This Row],[L4N]],Transactions[[#This Row],[L3N]],IF(Transactions[[#This Row],[Level 4]]=Transactions[[#This Row],[L5N]],Transactions[[#This Row],[L4N]],IF(Transactions[[#This Row],[Level 4]]=Transactions[[#This Row],[L6N]],Transactions[[#This Row],[L5N]],IF(Transactions[[#This Row],[Level 4]]=Transactions[[#This Row],[L7N]],Transactions[[#This Row],[L6N]],Transactions[[#This Row],[L7N]]))))))))</f>
        <v>IC Geothermal - Autoproducers</v>
      </c>
      <c r="AX107" s="24" t="str">
        <f>IF(Transactions[[#This Row],[Level 5]]=Transactions[[#This Row],[Transaction name]],Transactions[[#This Row],[Transaction name]],IF(Transactions[[#This Row],[Level 5]]=Transactions[[#This Row],[L1N]],Transactions[[#This Row],[Transaction name]],IF(Transactions[[#This Row],[Level 5]]=Transactions[[#This Row],[L2N]],Transactions[[#This Row],[L1N]],IF(Transactions[[#This Row],[Level 5]]=Transactions[[#This Row],[L3N]],Transactions[[#This Row],[L2N]],IF(Transactions[[#This Row],[Level 5]]=Transactions[[#This Row],[L4N]],Transactions[[#This Row],[L3N]],IF(Transactions[[#This Row],[Level 5]]=Transactions[[#This Row],[L5N]],Transactions[[#This Row],[L4N]],IF(Transactions[[#This Row],[Level 5]]=Transactions[[#This Row],[L6N]],Transactions[[#This Row],[L5N]],IF(Transactions[[#This Row],[Level 5]]=Transactions[[#This Row],[L7N]],Transactions[[#This Row],[L6N]],Transactions[[#This Row],[L7N]]))))))))</f>
        <v>IC Geothermal - Autoproducers</v>
      </c>
      <c r="AY107" s="24" t="str">
        <f>IF(Transactions[[#This Row],[Level 6]]=Transactions[[#This Row],[Transaction name]],Transactions[[#This Row],[Transaction name]],IF(Transactions[[#This Row],[Level 6]]=Transactions[[#This Row],[L1N]],Transactions[[#This Row],[Transaction name]],IF(Transactions[[#This Row],[Level 6]]=Transactions[[#This Row],[L2N]],Transactions[[#This Row],[L1N]],IF(Transactions[[#This Row],[Level 6]]=Transactions[[#This Row],[L3N]],Transactions[[#This Row],[L2N]],IF(Transactions[[#This Row],[Level 6]]=Transactions[[#This Row],[L4N]],Transactions[[#This Row],[L3N]],IF(Transactions[[#This Row],[Level 6]]=Transactions[[#This Row],[L5N]],Transactions[[#This Row],[L4N]],IF(Transactions[[#This Row],[Level 6]]=Transactions[[#This Row],[L6N]],Transactions[[#This Row],[L5N]],IF(Transactions[[#This Row],[Level 6]]=Transactions[[#This Row],[L7N]],Transactions[[#This Row],[L6N]],Transactions[[#This Row],[L7N]]))))))))</f>
        <v>IC Geothermal - Autoproducers</v>
      </c>
      <c r="BE107" s="26" t="str">
        <f>_xlfn.XLOOKUP(Transformation[[#This Row],[cfrom]],Commodities[Commodity],Commodities[Commodity code])</f>
        <v>7000</v>
      </c>
      <c r="BF107" s="26" t="str">
        <f>_xlfn.XLOOKUP(Transformation[[#This Row],[tfrom]],Transactions[Transaction name],Transactions[Transaction code])</f>
        <v>016ST</v>
      </c>
      <c r="BG107" s="26" t="str">
        <f>_xlfn.XLOOKUP(Transformation[[#This Row],[cto]],Commodities[Commodity],Commodities[Commodity code])</f>
        <v>8000</v>
      </c>
      <c r="BH107" s="26" t="str">
        <f>_xlfn.XLOOKUP(Transformation[[#This Row],[tto]],Transactions[Transaction name],Transactions[Transaction code])</f>
        <v>016ST</v>
      </c>
      <c r="BI107" s="11">
        <v>-3</v>
      </c>
      <c r="BJ107" s="4" t="s">
        <v>544</v>
      </c>
      <c r="BK107" s="24" t="str">
        <f>_xlfn.XLOOKUP(Transformation[[#This Row],[Commodity from]],Commodities[Commodity code],Commodities[EnergyCode])</f>
        <v>EL</v>
      </c>
      <c r="BL107" s="4" t="s">
        <v>1303</v>
      </c>
      <c r="BM107" s="22" t="s">
        <v>262</v>
      </c>
      <c r="BN107" s="24" t="str">
        <f>_xlfn.XLOOKUP(Transformation[[#This Row],[Commodity to]],Commodities[Commodity code],Commodities[EnergyCode])</f>
        <v>ST</v>
      </c>
      <c r="BO107" s="4" t="s">
        <v>1303</v>
      </c>
      <c r="BP107" s="16" t="s">
        <v>1493</v>
      </c>
      <c r="BQ107" s="33" t="str">
        <f>Transformation[[#This Row],[Commodity from]]&amp;Transformation[[#This Row],[Transaction from]]&amp;Transformation[[#This Row],[Commodity to]]&amp;Transformation[[#This Row],[Transaction to]]</f>
        <v>7000016ST8000016ST</v>
      </c>
      <c r="BR107" s="26" t="str">
        <f>Transformation[[#This Row],[crfomid]]&amp;Transformation[[#This Row],[Transaction from]]&amp;"("&amp;Transformation[[#This Row],[Multiplier]]&amp;") -&gt; "&amp;Transformation[[#This Row],[ctoid]]&amp;Transformation[[#This Row],[Transaction to]]</f>
        <v>EL016ST(-3) -&gt; ST016ST</v>
      </c>
    </row>
    <row r="108" spans="8:77" x14ac:dyDescent="0.45">
      <c r="Y108" s="5" t="s">
        <v>83</v>
      </c>
      <c r="Z108" s="4" t="s">
        <v>984</v>
      </c>
      <c r="AA108" s="4" t="s">
        <v>984</v>
      </c>
      <c r="AB108" s="6" t="s">
        <v>79</v>
      </c>
      <c r="AC108" s="24" t="str">
        <f>IFERROR(VLOOKUP(Transactions[[#This Row],[Parent code]],Transactions[[Transaction code]:[Transaction name]],2,0),"")</f>
        <v>IC Geothermal</v>
      </c>
      <c r="AD108" s="4" t="s">
        <v>632</v>
      </c>
      <c r="AE108" s="4" t="s">
        <v>632</v>
      </c>
      <c r="AF108" s="4" t="s">
        <v>642</v>
      </c>
      <c r="AG108" s="4" t="s">
        <v>1</v>
      </c>
      <c r="AH108" s="4" t="s">
        <v>696</v>
      </c>
      <c r="AK108" s="24" t="str" cm="1">
        <f t="array" ref="AK108">IFERROR(INDEX(Transactions[[Transaction code]:[Transaction name]],_xlfn.XMATCH(Transactions[[#This Row],[Parent code]],Transactions[Transaction name],0),3),Transactions[[#This Row],[Transaction name]])</f>
        <v>IC Geothermal - Main activity producers</v>
      </c>
      <c r="AL108" s="24" t="str" cm="1">
        <f t="array" ref="AL108">IFERROR(INDEX(Transactions[[Transaction code]:[Transaction name]],_xlfn.XMATCH(INDEX(Transactions[[Transaction name]:[Parent code]],_xlfn.XMATCH(Transactions[[#This Row],[L1N]],Transactions[Transaction name],0),3),Transactions[Transaction code],0),2),Transactions[[#This Row],[L1N]])</f>
        <v>IC Geothermal</v>
      </c>
      <c r="AM108" s="24" t="str" cm="1">
        <f t="array" ref="AM108">IFERROR(INDEX(Transactions[[Transaction code]:[Transaction name]],_xlfn.XMATCH(INDEX(Transactions[[Transaction name]:[Parent code]],_xlfn.XMATCH(Transactions[[#This Row],[L2N]],Transactions[Transaction name],0),3),Transactions[Transaction code],0),2),Transactions[[#This Row],[L2N]])</f>
        <v>IC Electricity plants</v>
      </c>
      <c r="AN108" s="24" t="str" cm="1">
        <f t="array" ref="AN108">IFERROR(INDEX(Transactions[[Transaction code]:[Transaction name]],_xlfn.XMATCH(INDEX(Transactions[[Transaction name]:[Parent code]],_xlfn.XMATCH(Transactions[[#This Row],[L3N]],Transactions[Transaction name],0),3),Transactions[Transaction code],0),2),Transactions[[#This Row],[L3N]])</f>
        <v>IC Electricity plants</v>
      </c>
      <c r="AO108" s="24" t="str" cm="1">
        <f t="array" ref="AO108">IFERROR(INDEX(Transactions[[Transaction code]:[Transaction name]],_xlfn.XMATCH(INDEX(Transactions[[Transaction name]:[Parent code]],_xlfn.XMATCH(Transactions[[#This Row],[L4N]],Transactions[Transaction name],0),3),Transactions[Transaction code],0),2),Transactions[[#This Row],[L4N]])</f>
        <v>IC Electricity plants</v>
      </c>
      <c r="AP108" s="24" t="str" cm="1">
        <f t="array" ref="AP108">IFERROR(INDEX(Transactions[[Transaction code]:[Transaction name]],_xlfn.XMATCH(INDEX(Transactions[[Transaction name]:[Parent code]],_xlfn.XMATCH(Transactions[[#This Row],[L5N]],Transactions[Transaction name],0),3),Transactions[Transaction code],0),2),Transactions[[#This Row],[L5N]])</f>
        <v>IC Electricity plants</v>
      </c>
      <c r="AQ108" s="24" t="str" cm="1">
        <f t="array" ref="AQ108">IFERROR(INDEX(Transactions[[Transaction code]:[Transaction name]],_xlfn.XMATCH(INDEX(Transactions[[Transaction name]:[Parent code]],_xlfn.XMATCH(Transactions[[#This Row],[L6N]],Transactions[Transaction name],0),3),Transactions[Transaction code],0),2),Transactions[[#This Row],[L6N]])</f>
        <v>IC Electricity plants</v>
      </c>
      <c r="AR108" s="27" t="str">
        <f>IF(Transactions[[#This Row],[L7N]]=Transactions[[#This Row],[L6N]],Transactions[[#This Row],[L7N]],IF(Transactions[[#This Row],[L6N]]=Transactions[[#This Row],[L5N]],Transactions[[#This Row],[L6N]],IF(Transactions[[#This Row],[L5N]]=Transactions[[#This Row],[L4N]],Transactions[[#This Row],[L5N]],IF(Transactions[[#This Row],[L4N]]=Transactions[[#This Row],[L3N]],Transactions[[#This Row],[L4N]],IF(Transactions[[#This Row],[L3N]]=Transactions[[#This Row],[L2N]],Transactions[[#This Row],[L3N]],IF(Transactions[[#This Row],[L2N]]=Transactions[[#This Row],[L1N]],Transactions[[#This Row],[L2N]],IF(Transactions[[#This Row],[L1N]]=Transactions[[#This Row],[Transaction name]],Transactions[[#This Row],[L1N]],Transactions[[#This Row],[Transaction name]])))))))</f>
        <v>IC Electricity plants</v>
      </c>
      <c r="AS108" s="24" t="str">
        <f>IF(Transactions[[#This Row],[Level 0]]=Transactions[[#This Row],[Transaction name]],Transactions[[#This Row],[Transaction name]],IF(Transactions[[#This Row],[Level 0]]=Transactions[[#This Row],[L1N]],Transactions[[#This Row],[Transaction name]],IF(Transactions[[#This Row],[Level 0]]=Transactions[[#This Row],[L2N]],Transactions[[#This Row],[L1N]],IF(Transactions[[#This Row],[Level 0]]=Transactions[[#This Row],[L3N]],Transactions[[#This Row],[L2N]],IF(Transactions[[#This Row],[Level 0]]=Transactions[[#This Row],[L4N]],Transactions[[#This Row],[L3N]],IF(Transactions[[#This Row],[Level 0]]=Transactions[[#This Row],[L5N]],Transactions[[#This Row],[L4N]],IF(Transactions[[#This Row],[Level 0]]=Transactions[[#This Row],[L6N]],Transactions[[#This Row],[L5N]],IF(Transactions[[#This Row],[Level 0]]=Transactions[[#This Row],[L7N]],Transactions[[#This Row],[L6N]],Transactions[[#This Row],[L7N]]))))))))</f>
        <v>IC Geothermal</v>
      </c>
      <c r="AT108" s="24" t="str">
        <f>IF(Transactions[[#This Row],[Level 1]]=Transactions[[#This Row],[Transaction name]],Transactions[[#This Row],[Transaction name]],IF(Transactions[[#This Row],[Level 1]]=Transactions[[#This Row],[L1N]],Transactions[[#This Row],[Transaction name]],IF(Transactions[[#This Row],[Level 1]]=Transactions[[#This Row],[L2N]],Transactions[[#This Row],[L1N]],IF(Transactions[[#This Row],[Level 1]]=Transactions[[#This Row],[L3N]],Transactions[[#This Row],[L2N]],IF(Transactions[[#This Row],[Level 1]]=Transactions[[#This Row],[L4N]],Transactions[[#This Row],[L3N]],IF(Transactions[[#This Row],[Level 1]]=Transactions[[#This Row],[L5N]],Transactions[[#This Row],[L4N]],IF(Transactions[[#This Row],[Level 1]]=Transactions[[#This Row],[L6N]],Transactions[[#This Row],[L5N]],IF(Transactions[[#This Row],[Level 1]]=Transactions[[#This Row],[L7N]],Transactions[[#This Row],[L6N]],Transactions[[#This Row],[L7N]]))))))))</f>
        <v>IC Geothermal - Main activity producers</v>
      </c>
      <c r="AU108" s="24" t="str">
        <f>IF(Transactions[[#This Row],[Level 2]]=Transactions[[#This Row],[Transaction name]],Transactions[[#This Row],[Transaction name]],IF(Transactions[[#This Row],[Level 2]]=Transactions[[#This Row],[L1N]],Transactions[[#This Row],[Transaction name]],IF(Transactions[[#This Row],[Level 2]]=Transactions[[#This Row],[L2N]],Transactions[[#This Row],[L1N]],IF(Transactions[[#This Row],[Level 2]]=Transactions[[#This Row],[L3N]],Transactions[[#This Row],[L2N]],IF(Transactions[[#This Row],[Level 2]]=Transactions[[#This Row],[L4N]],Transactions[[#This Row],[L3N]],IF(Transactions[[#This Row],[Level 2]]=Transactions[[#This Row],[L5N]],Transactions[[#This Row],[L4N]],IF(Transactions[[#This Row],[Level 2]]=Transactions[[#This Row],[L6N]],Transactions[[#This Row],[L5N]],IF(Transactions[[#This Row],[Level 2]]=Transactions[[#This Row],[L7N]],Transactions[[#This Row],[L6N]],Transactions[[#This Row],[L7N]]))))))))</f>
        <v>IC Geothermal - Main activity producers</v>
      </c>
      <c r="AV108" s="24" t="str">
        <f>IF(Transactions[[#This Row],[Level 3]]=Transactions[[#This Row],[Transaction name]],Transactions[[#This Row],[Transaction name]],IF(Transactions[[#This Row],[Level 3]]=Transactions[[#This Row],[L1N]],Transactions[[#This Row],[Transaction name]],IF(Transactions[[#This Row],[Level 3]]=Transactions[[#This Row],[L2N]],Transactions[[#This Row],[L1N]],IF(Transactions[[#This Row],[Level 3]]=Transactions[[#This Row],[L3N]],Transactions[[#This Row],[L2N]],IF(Transactions[[#This Row],[Level 3]]=Transactions[[#This Row],[L4N]],Transactions[[#This Row],[L3N]],IF(Transactions[[#This Row],[Level 3]]=Transactions[[#This Row],[L5N]],Transactions[[#This Row],[L4N]],IF(Transactions[[#This Row],[Level 3]]=Transactions[[#This Row],[L6N]],Transactions[[#This Row],[L5N]],IF(Transactions[[#This Row],[Level 3]]=Transactions[[#This Row],[L7N]],Transactions[[#This Row],[L6N]],Transactions[[#This Row],[L7N]]))))))))</f>
        <v>IC Geothermal - Main activity producers</v>
      </c>
      <c r="AW108" s="24" t="str">
        <f>IF(Transactions[[#This Row],[Level 4]]=Transactions[[#This Row],[Transaction name]],Transactions[[#This Row],[Transaction name]],IF(Transactions[[#This Row],[Level 4]]=Transactions[[#This Row],[L1N]],Transactions[[#This Row],[Transaction name]],IF(Transactions[[#This Row],[Level 4]]=Transactions[[#This Row],[L2N]],Transactions[[#This Row],[L1N]],IF(Transactions[[#This Row],[Level 4]]=Transactions[[#This Row],[L3N]],Transactions[[#This Row],[L2N]],IF(Transactions[[#This Row],[Level 4]]=Transactions[[#This Row],[L4N]],Transactions[[#This Row],[L3N]],IF(Transactions[[#This Row],[Level 4]]=Transactions[[#This Row],[L5N]],Transactions[[#This Row],[L4N]],IF(Transactions[[#This Row],[Level 4]]=Transactions[[#This Row],[L6N]],Transactions[[#This Row],[L5N]],IF(Transactions[[#This Row],[Level 4]]=Transactions[[#This Row],[L7N]],Transactions[[#This Row],[L6N]],Transactions[[#This Row],[L7N]]))))))))</f>
        <v>IC Geothermal - Main activity producers</v>
      </c>
      <c r="AX108" s="24" t="str">
        <f>IF(Transactions[[#This Row],[Level 5]]=Transactions[[#This Row],[Transaction name]],Transactions[[#This Row],[Transaction name]],IF(Transactions[[#This Row],[Level 5]]=Transactions[[#This Row],[L1N]],Transactions[[#This Row],[Transaction name]],IF(Transactions[[#This Row],[Level 5]]=Transactions[[#This Row],[L2N]],Transactions[[#This Row],[L1N]],IF(Transactions[[#This Row],[Level 5]]=Transactions[[#This Row],[L3N]],Transactions[[#This Row],[L2N]],IF(Transactions[[#This Row],[Level 5]]=Transactions[[#This Row],[L4N]],Transactions[[#This Row],[L3N]],IF(Transactions[[#This Row],[Level 5]]=Transactions[[#This Row],[L5N]],Transactions[[#This Row],[L4N]],IF(Transactions[[#This Row],[Level 5]]=Transactions[[#This Row],[L6N]],Transactions[[#This Row],[L5N]],IF(Transactions[[#This Row],[Level 5]]=Transactions[[#This Row],[L7N]],Transactions[[#This Row],[L6N]],Transactions[[#This Row],[L7N]]))))))))</f>
        <v>IC Geothermal - Main activity producers</v>
      </c>
      <c r="AY108" s="24" t="str">
        <f>IF(Transactions[[#This Row],[Level 6]]=Transactions[[#This Row],[Transaction name]],Transactions[[#This Row],[Transaction name]],IF(Transactions[[#This Row],[Level 6]]=Transactions[[#This Row],[L1N]],Transactions[[#This Row],[Transaction name]],IF(Transactions[[#This Row],[Level 6]]=Transactions[[#This Row],[L2N]],Transactions[[#This Row],[L1N]],IF(Transactions[[#This Row],[Level 6]]=Transactions[[#This Row],[L3N]],Transactions[[#This Row],[L2N]],IF(Transactions[[#This Row],[Level 6]]=Transactions[[#This Row],[L4N]],Transactions[[#This Row],[L3N]],IF(Transactions[[#This Row],[Level 6]]=Transactions[[#This Row],[L5N]],Transactions[[#This Row],[L4N]],IF(Transactions[[#This Row],[Level 6]]=Transactions[[#This Row],[L6N]],Transactions[[#This Row],[L5N]],IF(Transactions[[#This Row],[Level 6]]=Transactions[[#This Row],[L7N]],Transactions[[#This Row],[L6N]],Transactions[[#This Row],[L7N]]))))))))</f>
        <v>IC Geothermal - Main activity producers</v>
      </c>
      <c r="BE108" s="26" t="str">
        <f>_xlfn.XLOOKUP(Transformation[[#This Row],[cfrom]],Commodities[Commodity],Commodities[Commodity code])</f>
        <v>7000</v>
      </c>
      <c r="BF108" s="26" t="str">
        <f>_xlfn.XLOOKUP(Transformation[[#This Row],[tfrom]],Transactions[Transaction name],Transactions[Transaction code])</f>
        <v>016ST</v>
      </c>
      <c r="BG108" s="26" t="str">
        <f>_xlfn.XLOOKUP(Transformation[[#This Row],[cto]],Commodities[Commodity],Commodities[Commodity code])</f>
        <v>8000</v>
      </c>
      <c r="BH108" s="26" t="str">
        <f>_xlfn.XLOOKUP(Transformation[[#This Row],[tto]],Transactions[Transaction name],Transactions[Transaction code])</f>
        <v>01</v>
      </c>
      <c r="BI108" s="31">
        <v>3</v>
      </c>
      <c r="BJ108" s="22" t="s">
        <v>544</v>
      </c>
      <c r="BK108" s="26" t="str">
        <f>_xlfn.XLOOKUP(Transformation[[#This Row],[Commodity from]],Commodities[Commodity code],Commodities[EnergyCode])</f>
        <v>EL</v>
      </c>
      <c r="BL108" s="22" t="s">
        <v>1303</v>
      </c>
      <c r="BM108" s="22" t="s">
        <v>262</v>
      </c>
      <c r="BN108" s="26" t="str">
        <f>_xlfn.XLOOKUP(Transformation[[#This Row],[Commodity to]],Commodities[Commodity code],Commodities[EnergyCode])</f>
        <v>ST</v>
      </c>
      <c r="BO108" s="22" t="s">
        <v>383</v>
      </c>
      <c r="BP108" s="22" t="s">
        <v>1671</v>
      </c>
      <c r="BQ108" s="33" t="str">
        <f>Transformation[[#This Row],[Commodity from]]&amp;Transformation[[#This Row],[Transaction from]]&amp;Transformation[[#This Row],[Commodity to]]&amp;Transformation[[#This Row],[Transaction to]]</f>
        <v>7000016ST800001</v>
      </c>
      <c r="BR108" s="26" t="str">
        <f>Transformation[[#This Row],[crfomid]]&amp;Transformation[[#This Row],[Transaction from]]&amp;"("&amp;Transformation[[#This Row],[Multiplier]]&amp;") -&gt; "&amp;Transformation[[#This Row],[ctoid]]&amp;Transformation[[#This Row],[Transaction to]]</f>
        <v>EL016ST(3) -&gt; ST01</v>
      </c>
    </row>
    <row r="109" spans="8:77" x14ac:dyDescent="0.45">
      <c r="Y109" s="5" t="s">
        <v>85</v>
      </c>
      <c r="Z109" s="4" t="s">
        <v>980</v>
      </c>
      <c r="AA109" s="4" t="s">
        <v>980</v>
      </c>
      <c r="AB109" s="6" t="s">
        <v>10</v>
      </c>
      <c r="AC109" s="24" t="str">
        <f>IFERROR(VLOOKUP(Transactions[[#This Row],[Parent code]],Transactions[[Transaction code]:[Transaction name]],2,0),"")</f>
        <v>IC Electricity plants</v>
      </c>
      <c r="AD109" s="4" t="s">
        <v>632</v>
      </c>
      <c r="AE109" s="4" t="s">
        <v>632</v>
      </c>
      <c r="AF109" s="4" t="s">
        <v>642</v>
      </c>
      <c r="AG109" s="4" t="s">
        <v>1</v>
      </c>
      <c r="AH109" s="4" t="s">
        <v>696</v>
      </c>
      <c r="AK109" s="24" t="str" cm="1">
        <f t="array" ref="AK109">IFERROR(INDEX(Transactions[[Transaction code]:[Transaction name]],_xlfn.XMATCH(Transactions[[#This Row],[Parent code]],Transactions[Transaction name],0),3),Transactions[[#This Row],[Transaction name]])</f>
        <v>IC Hydropower</v>
      </c>
      <c r="AL109" s="24" t="str" cm="1">
        <f t="array" ref="AL109">IFERROR(INDEX(Transactions[[Transaction code]:[Transaction name]],_xlfn.XMATCH(INDEX(Transactions[[Transaction name]:[Parent code]],_xlfn.XMATCH(Transactions[[#This Row],[L1N]],Transactions[Transaction name],0),3),Transactions[Transaction code],0),2),Transactions[[#This Row],[L1N]])</f>
        <v>IC Electricity plants</v>
      </c>
      <c r="AM109" s="24" t="str" cm="1">
        <f t="array" ref="AM109">IFERROR(INDEX(Transactions[[Transaction code]:[Transaction name]],_xlfn.XMATCH(INDEX(Transactions[[Transaction name]:[Parent code]],_xlfn.XMATCH(Transactions[[#This Row],[L2N]],Transactions[Transaction name],0),3),Transactions[Transaction code],0),2),Transactions[[#This Row],[L2N]])</f>
        <v>IC Electricity plants</v>
      </c>
      <c r="AN109" s="24" t="str" cm="1">
        <f t="array" ref="AN109">IFERROR(INDEX(Transactions[[Transaction code]:[Transaction name]],_xlfn.XMATCH(INDEX(Transactions[[Transaction name]:[Parent code]],_xlfn.XMATCH(Transactions[[#This Row],[L3N]],Transactions[Transaction name],0),3),Transactions[Transaction code],0),2),Transactions[[#This Row],[L3N]])</f>
        <v>IC Electricity plants</v>
      </c>
      <c r="AO109" s="24" t="str" cm="1">
        <f t="array" ref="AO109">IFERROR(INDEX(Transactions[[Transaction code]:[Transaction name]],_xlfn.XMATCH(INDEX(Transactions[[Transaction name]:[Parent code]],_xlfn.XMATCH(Transactions[[#This Row],[L4N]],Transactions[Transaction name],0),3),Transactions[Transaction code],0),2),Transactions[[#This Row],[L4N]])</f>
        <v>IC Electricity plants</v>
      </c>
      <c r="AP109" s="24" t="str" cm="1">
        <f t="array" ref="AP109">IFERROR(INDEX(Transactions[[Transaction code]:[Transaction name]],_xlfn.XMATCH(INDEX(Transactions[[Transaction name]:[Parent code]],_xlfn.XMATCH(Transactions[[#This Row],[L5N]],Transactions[Transaction name],0),3),Transactions[Transaction code],0),2),Transactions[[#This Row],[L5N]])</f>
        <v>IC Electricity plants</v>
      </c>
      <c r="AQ109" s="24" t="str" cm="1">
        <f t="array" ref="AQ109">IFERROR(INDEX(Transactions[[Transaction code]:[Transaction name]],_xlfn.XMATCH(INDEX(Transactions[[Transaction name]:[Parent code]],_xlfn.XMATCH(Transactions[[#This Row],[L6N]],Transactions[Transaction name],0),3),Transactions[Transaction code],0),2),Transactions[[#This Row],[L6N]])</f>
        <v>IC Electricity plants</v>
      </c>
      <c r="AR109" s="27" t="str">
        <f>IF(Transactions[[#This Row],[L7N]]=Transactions[[#This Row],[L6N]],Transactions[[#This Row],[L7N]],IF(Transactions[[#This Row],[L6N]]=Transactions[[#This Row],[L5N]],Transactions[[#This Row],[L6N]],IF(Transactions[[#This Row],[L5N]]=Transactions[[#This Row],[L4N]],Transactions[[#This Row],[L5N]],IF(Transactions[[#This Row],[L4N]]=Transactions[[#This Row],[L3N]],Transactions[[#This Row],[L4N]],IF(Transactions[[#This Row],[L3N]]=Transactions[[#This Row],[L2N]],Transactions[[#This Row],[L3N]],IF(Transactions[[#This Row],[L2N]]=Transactions[[#This Row],[L1N]],Transactions[[#This Row],[L2N]],IF(Transactions[[#This Row],[L1N]]=Transactions[[#This Row],[Transaction name]],Transactions[[#This Row],[L1N]],Transactions[[#This Row],[Transaction name]])))))))</f>
        <v>IC Electricity plants</v>
      </c>
      <c r="AS109" s="24" t="str">
        <f>IF(Transactions[[#This Row],[Level 0]]=Transactions[[#This Row],[Transaction name]],Transactions[[#This Row],[Transaction name]],IF(Transactions[[#This Row],[Level 0]]=Transactions[[#This Row],[L1N]],Transactions[[#This Row],[Transaction name]],IF(Transactions[[#This Row],[Level 0]]=Transactions[[#This Row],[L2N]],Transactions[[#This Row],[L1N]],IF(Transactions[[#This Row],[Level 0]]=Transactions[[#This Row],[L3N]],Transactions[[#This Row],[L2N]],IF(Transactions[[#This Row],[Level 0]]=Transactions[[#This Row],[L4N]],Transactions[[#This Row],[L3N]],IF(Transactions[[#This Row],[Level 0]]=Transactions[[#This Row],[L5N]],Transactions[[#This Row],[L4N]],IF(Transactions[[#This Row],[Level 0]]=Transactions[[#This Row],[L6N]],Transactions[[#This Row],[L5N]],IF(Transactions[[#This Row],[Level 0]]=Transactions[[#This Row],[L7N]],Transactions[[#This Row],[L6N]],Transactions[[#This Row],[L7N]]))))))))</f>
        <v>IC Hydropower</v>
      </c>
      <c r="AT109" s="24" t="str">
        <f>IF(Transactions[[#This Row],[Level 1]]=Transactions[[#This Row],[Transaction name]],Transactions[[#This Row],[Transaction name]],IF(Transactions[[#This Row],[Level 1]]=Transactions[[#This Row],[L1N]],Transactions[[#This Row],[Transaction name]],IF(Transactions[[#This Row],[Level 1]]=Transactions[[#This Row],[L2N]],Transactions[[#This Row],[L1N]],IF(Transactions[[#This Row],[Level 1]]=Transactions[[#This Row],[L3N]],Transactions[[#This Row],[L2N]],IF(Transactions[[#This Row],[Level 1]]=Transactions[[#This Row],[L4N]],Transactions[[#This Row],[L3N]],IF(Transactions[[#This Row],[Level 1]]=Transactions[[#This Row],[L5N]],Transactions[[#This Row],[L4N]],IF(Transactions[[#This Row],[Level 1]]=Transactions[[#This Row],[L6N]],Transactions[[#This Row],[L5N]],IF(Transactions[[#This Row],[Level 1]]=Transactions[[#This Row],[L7N]],Transactions[[#This Row],[L6N]],Transactions[[#This Row],[L7N]]))))))))</f>
        <v>IC Hydropower</v>
      </c>
      <c r="AU109" s="24" t="str">
        <f>IF(Transactions[[#This Row],[Level 2]]=Transactions[[#This Row],[Transaction name]],Transactions[[#This Row],[Transaction name]],IF(Transactions[[#This Row],[Level 2]]=Transactions[[#This Row],[L1N]],Transactions[[#This Row],[Transaction name]],IF(Transactions[[#This Row],[Level 2]]=Transactions[[#This Row],[L2N]],Transactions[[#This Row],[L1N]],IF(Transactions[[#This Row],[Level 2]]=Transactions[[#This Row],[L3N]],Transactions[[#This Row],[L2N]],IF(Transactions[[#This Row],[Level 2]]=Transactions[[#This Row],[L4N]],Transactions[[#This Row],[L3N]],IF(Transactions[[#This Row],[Level 2]]=Transactions[[#This Row],[L5N]],Transactions[[#This Row],[L4N]],IF(Transactions[[#This Row],[Level 2]]=Transactions[[#This Row],[L6N]],Transactions[[#This Row],[L5N]],IF(Transactions[[#This Row],[Level 2]]=Transactions[[#This Row],[L7N]],Transactions[[#This Row],[L6N]],Transactions[[#This Row],[L7N]]))))))))</f>
        <v>IC Hydropower</v>
      </c>
      <c r="AV109" s="24" t="str">
        <f>IF(Transactions[[#This Row],[Level 3]]=Transactions[[#This Row],[Transaction name]],Transactions[[#This Row],[Transaction name]],IF(Transactions[[#This Row],[Level 3]]=Transactions[[#This Row],[L1N]],Transactions[[#This Row],[Transaction name]],IF(Transactions[[#This Row],[Level 3]]=Transactions[[#This Row],[L2N]],Transactions[[#This Row],[L1N]],IF(Transactions[[#This Row],[Level 3]]=Transactions[[#This Row],[L3N]],Transactions[[#This Row],[L2N]],IF(Transactions[[#This Row],[Level 3]]=Transactions[[#This Row],[L4N]],Transactions[[#This Row],[L3N]],IF(Transactions[[#This Row],[Level 3]]=Transactions[[#This Row],[L5N]],Transactions[[#This Row],[L4N]],IF(Transactions[[#This Row],[Level 3]]=Transactions[[#This Row],[L6N]],Transactions[[#This Row],[L5N]],IF(Transactions[[#This Row],[Level 3]]=Transactions[[#This Row],[L7N]],Transactions[[#This Row],[L6N]],Transactions[[#This Row],[L7N]]))))))))</f>
        <v>IC Hydropower</v>
      </c>
      <c r="AW109" s="24" t="str">
        <f>IF(Transactions[[#This Row],[Level 4]]=Transactions[[#This Row],[Transaction name]],Transactions[[#This Row],[Transaction name]],IF(Transactions[[#This Row],[Level 4]]=Transactions[[#This Row],[L1N]],Transactions[[#This Row],[Transaction name]],IF(Transactions[[#This Row],[Level 4]]=Transactions[[#This Row],[L2N]],Transactions[[#This Row],[L1N]],IF(Transactions[[#This Row],[Level 4]]=Transactions[[#This Row],[L3N]],Transactions[[#This Row],[L2N]],IF(Transactions[[#This Row],[Level 4]]=Transactions[[#This Row],[L4N]],Transactions[[#This Row],[L3N]],IF(Transactions[[#This Row],[Level 4]]=Transactions[[#This Row],[L5N]],Transactions[[#This Row],[L4N]],IF(Transactions[[#This Row],[Level 4]]=Transactions[[#This Row],[L6N]],Transactions[[#This Row],[L5N]],IF(Transactions[[#This Row],[Level 4]]=Transactions[[#This Row],[L7N]],Transactions[[#This Row],[L6N]],Transactions[[#This Row],[L7N]]))))))))</f>
        <v>IC Hydropower</v>
      </c>
      <c r="AX109" s="24" t="str">
        <f>IF(Transactions[[#This Row],[Level 5]]=Transactions[[#This Row],[Transaction name]],Transactions[[#This Row],[Transaction name]],IF(Transactions[[#This Row],[Level 5]]=Transactions[[#This Row],[L1N]],Transactions[[#This Row],[Transaction name]],IF(Transactions[[#This Row],[Level 5]]=Transactions[[#This Row],[L2N]],Transactions[[#This Row],[L1N]],IF(Transactions[[#This Row],[Level 5]]=Transactions[[#This Row],[L3N]],Transactions[[#This Row],[L2N]],IF(Transactions[[#This Row],[Level 5]]=Transactions[[#This Row],[L4N]],Transactions[[#This Row],[L3N]],IF(Transactions[[#This Row],[Level 5]]=Transactions[[#This Row],[L5N]],Transactions[[#This Row],[L4N]],IF(Transactions[[#This Row],[Level 5]]=Transactions[[#This Row],[L6N]],Transactions[[#This Row],[L5N]],IF(Transactions[[#This Row],[Level 5]]=Transactions[[#This Row],[L7N]],Transactions[[#This Row],[L6N]],Transactions[[#This Row],[L7N]]))))))))</f>
        <v>IC Hydropower</v>
      </c>
      <c r="AY109" s="24" t="str">
        <f>IF(Transactions[[#This Row],[Level 6]]=Transactions[[#This Row],[Transaction name]],Transactions[[#This Row],[Transaction name]],IF(Transactions[[#This Row],[Level 6]]=Transactions[[#This Row],[L1N]],Transactions[[#This Row],[Transaction name]],IF(Transactions[[#This Row],[Level 6]]=Transactions[[#This Row],[L2N]],Transactions[[#This Row],[L1N]],IF(Transactions[[#This Row],[Level 6]]=Transactions[[#This Row],[L3N]],Transactions[[#This Row],[L2N]],IF(Transactions[[#This Row],[Level 6]]=Transactions[[#This Row],[L4N]],Transactions[[#This Row],[L3N]],IF(Transactions[[#This Row],[Level 6]]=Transactions[[#This Row],[L5N]],Transactions[[#This Row],[L4N]],IF(Transactions[[#This Row],[Level 6]]=Transactions[[#This Row],[L6N]],Transactions[[#This Row],[L5N]],IF(Transactions[[#This Row],[Level 6]]=Transactions[[#This Row],[L7N]],Transactions[[#This Row],[L6N]],Transactions[[#This Row],[L7N]]))))))))</f>
        <v>IC Hydropower</v>
      </c>
      <c r="BE109" s="26" t="str">
        <f>_xlfn.XLOOKUP(Transformation[[#This Row],[cfrom]],Commodities[Commodity],Commodities[Commodity code])</f>
        <v>7000S</v>
      </c>
      <c r="BF109" s="26" t="str">
        <f>_xlfn.XLOOKUP(Transformation[[#This Row],[tfrom]],Transactions[Transaction name],Transactions[Transaction code])</f>
        <v>016ST</v>
      </c>
      <c r="BG109" s="26" t="str">
        <f>_xlfn.XLOOKUP(Transformation[[#This Row],[cto]],Commodities[Commodity],Commodities[Commodity code])</f>
        <v>7000S</v>
      </c>
      <c r="BH109" s="26" t="str">
        <f>_xlfn.XLOOKUP(Transformation[[#This Row],[tto]],Transactions[Transaction name],Transactions[Transaction code])</f>
        <v>01</v>
      </c>
      <c r="BI109" s="31">
        <v>-1</v>
      </c>
      <c r="BJ109" s="22" t="s">
        <v>272</v>
      </c>
      <c r="BK109" s="26" t="str">
        <f>_xlfn.XLOOKUP(Transformation[[#This Row],[Commodity from]],Commodities[Commodity code],Commodities[EnergyCode])</f>
        <v>ES</v>
      </c>
      <c r="BL109" s="22" t="s">
        <v>1303</v>
      </c>
      <c r="BM109" s="22" t="s">
        <v>272</v>
      </c>
      <c r="BN109" s="26" t="str">
        <f>_xlfn.XLOOKUP(Transformation[[#This Row],[Commodity to]],Commodities[Commodity code],Commodities[EnergyCode])</f>
        <v>ES</v>
      </c>
      <c r="BO109" s="22" t="s">
        <v>383</v>
      </c>
      <c r="BP109" s="22" t="s">
        <v>1656</v>
      </c>
      <c r="BQ109" s="33" t="str">
        <f>Transformation[[#This Row],[Commodity from]]&amp;Transformation[[#This Row],[Transaction from]]&amp;Transformation[[#This Row],[Commodity to]]&amp;Transformation[[#This Row],[Transaction to]]</f>
        <v>7000S016ST7000S01</v>
      </c>
      <c r="BR109" s="26" t="str">
        <f>Transformation[[#This Row],[crfomid]]&amp;Transformation[[#This Row],[Transaction from]]&amp;"("&amp;Transformation[[#This Row],[Multiplier]]&amp;") -&gt; "&amp;Transformation[[#This Row],[ctoid]]&amp;Transformation[[#This Row],[Transaction to]]</f>
        <v>ES016ST(-1) -&gt; ES01</v>
      </c>
    </row>
    <row r="110" spans="8:77" x14ac:dyDescent="0.45">
      <c r="Y110" s="5" t="s">
        <v>43</v>
      </c>
      <c r="Z110" s="4" t="s">
        <v>982</v>
      </c>
      <c r="AA110" s="4" t="s">
        <v>982</v>
      </c>
      <c r="AB110" s="6" t="s">
        <v>85</v>
      </c>
      <c r="AC110" s="24" t="str">
        <f>IFERROR(VLOOKUP(Transactions[[#This Row],[Parent code]],Transactions[[Transaction code]:[Transaction name]],2,0),"")</f>
        <v>IC Hydropower</v>
      </c>
      <c r="AD110" s="4" t="s">
        <v>632</v>
      </c>
      <c r="AE110" s="4" t="s">
        <v>632</v>
      </c>
      <c r="AF110" s="4" t="s">
        <v>642</v>
      </c>
      <c r="AG110" s="4" t="s">
        <v>1</v>
      </c>
      <c r="AH110" s="4" t="s">
        <v>696</v>
      </c>
      <c r="AK110" s="24" t="str" cm="1">
        <f t="array" ref="AK110">IFERROR(INDEX(Transactions[[Transaction code]:[Transaction name]],_xlfn.XMATCH(Transactions[[#This Row],[Parent code]],Transactions[Transaction name],0),3),Transactions[[#This Row],[Transaction name]])</f>
        <v>IC Hydropower - Autoproducers</v>
      </c>
      <c r="AL110" s="24" t="str" cm="1">
        <f t="array" ref="AL110">IFERROR(INDEX(Transactions[[Transaction code]:[Transaction name]],_xlfn.XMATCH(INDEX(Transactions[[Transaction name]:[Parent code]],_xlfn.XMATCH(Transactions[[#This Row],[L1N]],Transactions[Transaction name],0),3),Transactions[Transaction code],0),2),Transactions[[#This Row],[L1N]])</f>
        <v>IC Hydropower</v>
      </c>
      <c r="AM110" s="24" t="str" cm="1">
        <f t="array" ref="AM110">IFERROR(INDEX(Transactions[[Transaction code]:[Transaction name]],_xlfn.XMATCH(INDEX(Transactions[[Transaction name]:[Parent code]],_xlfn.XMATCH(Transactions[[#This Row],[L2N]],Transactions[Transaction name],0),3),Transactions[Transaction code],0),2),Transactions[[#This Row],[L2N]])</f>
        <v>IC Electricity plants</v>
      </c>
      <c r="AN110" s="24" t="str" cm="1">
        <f t="array" ref="AN110">IFERROR(INDEX(Transactions[[Transaction code]:[Transaction name]],_xlfn.XMATCH(INDEX(Transactions[[Transaction name]:[Parent code]],_xlfn.XMATCH(Transactions[[#This Row],[L3N]],Transactions[Transaction name],0),3),Transactions[Transaction code],0),2),Transactions[[#This Row],[L3N]])</f>
        <v>IC Electricity plants</v>
      </c>
      <c r="AO110" s="24" t="str" cm="1">
        <f t="array" ref="AO110">IFERROR(INDEX(Transactions[[Transaction code]:[Transaction name]],_xlfn.XMATCH(INDEX(Transactions[[Transaction name]:[Parent code]],_xlfn.XMATCH(Transactions[[#This Row],[L4N]],Transactions[Transaction name],0),3),Transactions[Transaction code],0),2),Transactions[[#This Row],[L4N]])</f>
        <v>IC Electricity plants</v>
      </c>
      <c r="AP110" s="24" t="str" cm="1">
        <f t="array" ref="AP110">IFERROR(INDEX(Transactions[[Transaction code]:[Transaction name]],_xlfn.XMATCH(INDEX(Transactions[[Transaction name]:[Parent code]],_xlfn.XMATCH(Transactions[[#This Row],[L5N]],Transactions[Transaction name],0),3),Transactions[Transaction code],0),2),Transactions[[#This Row],[L5N]])</f>
        <v>IC Electricity plants</v>
      </c>
      <c r="AQ110" s="24" t="str" cm="1">
        <f t="array" ref="AQ110">IFERROR(INDEX(Transactions[[Transaction code]:[Transaction name]],_xlfn.XMATCH(INDEX(Transactions[[Transaction name]:[Parent code]],_xlfn.XMATCH(Transactions[[#This Row],[L6N]],Transactions[Transaction name],0),3),Transactions[Transaction code],0),2),Transactions[[#This Row],[L6N]])</f>
        <v>IC Electricity plants</v>
      </c>
      <c r="AR110" s="27" t="str">
        <f>IF(Transactions[[#This Row],[L7N]]=Transactions[[#This Row],[L6N]],Transactions[[#This Row],[L7N]],IF(Transactions[[#This Row],[L6N]]=Transactions[[#This Row],[L5N]],Transactions[[#This Row],[L6N]],IF(Transactions[[#This Row],[L5N]]=Transactions[[#This Row],[L4N]],Transactions[[#This Row],[L5N]],IF(Transactions[[#This Row],[L4N]]=Transactions[[#This Row],[L3N]],Transactions[[#This Row],[L4N]],IF(Transactions[[#This Row],[L3N]]=Transactions[[#This Row],[L2N]],Transactions[[#This Row],[L3N]],IF(Transactions[[#This Row],[L2N]]=Transactions[[#This Row],[L1N]],Transactions[[#This Row],[L2N]],IF(Transactions[[#This Row],[L1N]]=Transactions[[#This Row],[Transaction name]],Transactions[[#This Row],[L1N]],Transactions[[#This Row],[Transaction name]])))))))</f>
        <v>IC Electricity plants</v>
      </c>
      <c r="AS110" s="24" t="str">
        <f>IF(Transactions[[#This Row],[Level 0]]=Transactions[[#This Row],[Transaction name]],Transactions[[#This Row],[Transaction name]],IF(Transactions[[#This Row],[Level 0]]=Transactions[[#This Row],[L1N]],Transactions[[#This Row],[Transaction name]],IF(Transactions[[#This Row],[Level 0]]=Transactions[[#This Row],[L2N]],Transactions[[#This Row],[L1N]],IF(Transactions[[#This Row],[Level 0]]=Transactions[[#This Row],[L3N]],Transactions[[#This Row],[L2N]],IF(Transactions[[#This Row],[Level 0]]=Transactions[[#This Row],[L4N]],Transactions[[#This Row],[L3N]],IF(Transactions[[#This Row],[Level 0]]=Transactions[[#This Row],[L5N]],Transactions[[#This Row],[L4N]],IF(Transactions[[#This Row],[Level 0]]=Transactions[[#This Row],[L6N]],Transactions[[#This Row],[L5N]],IF(Transactions[[#This Row],[Level 0]]=Transactions[[#This Row],[L7N]],Transactions[[#This Row],[L6N]],Transactions[[#This Row],[L7N]]))))))))</f>
        <v>IC Hydropower</v>
      </c>
      <c r="AT110" s="24" t="str">
        <f>IF(Transactions[[#This Row],[Level 1]]=Transactions[[#This Row],[Transaction name]],Transactions[[#This Row],[Transaction name]],IF(Transactions[[#This Row],[Level 1]]=Transactions[[#This Row],[L1N]],Transactions[[#This Row],[Transaction name]],IF(Transactions[[#This Row],[Level 1]]=Transactions[[#This Row],[L2N]],Transactions[[#This Row],[L1N]],IF(Transactions[[#This Row],[Level 1]]=Transactions[[#This Row],[L3N]],Transactions[[#This Row],[L2N]],IF(Transactions[[#This Row],[Level 1]]=Transactions[[#This Row],[L4N]],Transactions[[#This Row],[L3N]],IF(Transactions[[#This Row],[Level 1]]=Transactions[[#This Row],[L5N]],Transactions[[#This Row],[L4N]],IF(Transactions[[#This Row],[Level 1]]=Transactions[[#This Row],[L6N]],Transactions[[#This Row],[L5N]],IF(Transactions[[#This Row],[Level 1]]=Transactions[[#This Row],[L7N]],Transactions[[#This Row],[L6N]],Transactions[[#This Row],[L7N]]))))))))</f>
        <v>IC Hydropower - Autoproducers</v>
      </c>
      <c r="AU110" s="24" t="str">
        <f>IF(Transactions[[#This Row],[Level 2]]=Transactions[[#This Row],[Transaction name]],Transactions[[#This Row],[Transaction name]],IF(Transactions[[#This Row],[Level 2]]=Transactions[[#This Row],[L1N]],Transactions[[#This Row],[Transaction name]],IF(Transactions[[#This Row],[Level 2]]=Transactions[[#This Row],[L2N]],Transactions[[#This Row],[L1N]],IF(Transactions[[#This Row],[Level 2]]=Transactions[[#This Row],[L3N]],Transactions[[#This Row],[L2N]],IF(Transactions[[#This Row],[Level 2]]=Transactions[[#This Row],[L4N]],Transactions[[#This Row],[L3N]],IF(Transactions[[#This Row],[Level 2]]=Transactions[[#This Row],[L5N]],Transactions[[#This Row],[L4N]],IF(Transactions[[#This Row],[Level 2]]=Transactions[[#This Row],[L6N]],Transactions[[#This Row],[L5N]],IF(Transactions[[#This Row],[Level 2]]=Transactions[[#This Row],[L7N]],Transactions[[#This Row],[L6N]],Transactions[[#This Row],[L7N]]))))))))</f>
        <v>IC Hydropower - Autoproducers</v>
      </c>
      <c r="AV110" s="24" t="str">
        <f>IF(Transactions[[#This Row],[Level 3]]=Transactions[[#This Row],[Transaction name]],Transactions[[#This Row],[Transaction name]],IF(Transactions[[#This Row],[Level 3]]=Transactions[[#This Row],[L1N]],Transactions[[#This Row],[Transaction name]],IF(Transactions[[#This Row],[Level 3]]=Transactions[[#This Row],[L2N]],Transactions[[#This Row],[L1N]],IF(Transactions[[#This Row],[Level 3]]=Transactions[[#This Row],[L3N]],Transactions[[#This Row],[L2N]],IF(Transactions[[#This Row],[Level 3]]=Transactions[[#This Row],[L4N]],Transactions[[#This Row],[L3N]],IF(Transactions[[#This Row],[Level 3]]=Transactions[[#This Row],[L5N]],Transactions[[#This Row],[L4N]],IF(Transactions[[#This Row],[Level 3]]=Transactions[[#This Row],[L6N]],Transactions[[#This Row],[L5N]],IF(Transactions[[#This Row],[Level 3]]=Transactions[[#This Row],[L7N]],Transactions[[#This Row],[L6N]],Transactions[[#This Row],[L7N]]))))))))</f>
        <v>IC Hydropower - Autoproducers</v>
      </c>
      <c r="AW110" s="24" t="str">
        <f>IF(Transactions[[#This Row],[Level 4]]=Transactions[[#This Row],[Transaction name]],Transactions[[#This Row],[Transaction name]],IF(Transactions[[#This Row],[Level 4]]=Transactions[[#This Row],[L1N]],Transactions[[#This Row],[Transaction name]],IF(Transactions[[#This Row],[Level 4]]=Transactions[[#This Row],[L2N]],Transactions[[#This Row],[L1N]],IF(Transactions[[#This Row],[Level 4]]=Transactions[[#This Row],[L3N]],Transactions[[#This Row],[L2N]],IF(Transactions[[#This Row],[Level 4]]=Transactions[[#This Row],[L4N]],Transactions[[#This Row],[L3N]],IF(Transactions[[#This Row],[Level 4]]=Transactions[[#This Row],[L5N]],Transactions[[#This Row],[L4N]],IF(Transactions[[#This Row],[Level 4]]=Transactions[[#This Row],[L6N]],Transactions[[#This Row],[L5N]],IF(Transactions[[#This Row],[Level 4]]=Transactions[[#This Row],[L7N]],Transactions[[#This Row],[L6N]],Transactions[[#This Row],[L7N]]))))))))</f>
        <v>IC Hydropower - Autoproducers</v>
      </c>
      <c r="AX110" s="24" t="str">
        <f>IF(Transactions[[#This Row],[Level 5]]=Transactions[[#This Row],[Transaction name]],Transactions[[#This Row],[Transaction name]],IF(Transactions[[#This Row],[Level 5]]=Transactions[[#This Row],[L1N]],Transactions[[#This Row],[Transaction name]],IF(Transactions[[#This Row],[Level 5]]=Transactions[[#This Row],[L2N]],Transactions[[#This Row],[L1N]],IF(Transactions[[#This Row],[Level 5]]=Transactions[[#This Row],[L3N]],Transactions[[#This Row],[L2N]],IF(Transactions[[#This Row],[Level 5]]=Transactions[[#This Row],[L4N]],Transactions[[#This Row],[L3N]],IF(Transactions[[#This Row],[Level 5]]=Transactions[[#This Row],[L5N]],Transactions[[#This Row],[L4N]],IF(Transactions[[#This Row],[Level 5]]=Transactions[[#This Row],[L6N]],Transactions[[#This Row],[L5N]],IF(Transactions[[#This Row],[Level 5]]=Transactions[[#This Row],[L7N]],Transactions[[#This Row],[L6N]],Transactions[[#This Row],[L7N]]))))))))</f>
        <v>IC Hydropower - Autoproducers</v>
      </c>
      <c r="AY110" s="24" t="str">
        <f>IF(Transactions[[#This Row],[Level 6]]=Transactions[[#This Row],[Transaction name]],Transactions[[#This Row],[Transaction name]],IF(Transactions[[#This Row],[Level 6]]=Transactions[[#This Row],[L1N]],Transactions[[#This Row],[Transaction name]],IF(Transactions[[#This Row],[Level 6]]=Transactions[[#This Row],[L2N]],Transactions[[#This Row],[L1N]],IF(Transactions[[#This Row],[Level 6]]=Transactions[[#This Row],[L3N]],Transactions[[#This Row],[L2N]],IF(Transactions[[#This Row],[Level 6]]=Transactions[[#This Row],[L4N]],Transactions[[#This Row],[L3N]],IF(Transactions[[#This Row],[Level 6]]=Transactions[[#This Row],[L5N]],Transactions[[#This Row],[L4N]],IF(Transactions[[#This Row],[Level 6]]=Transactions[[#This Row],[L6N]],Transactions[[#This Row],[L5N]],IF(Transactions[[#This Row],[Level 6]]=Transactions[[#This Row],[L7N]],Transactions[[#This Row],[L6N]],Transactions[[#This Row],[L7N]]))))))))</f>
        <v>IC Hydropower - Autoproducers</v>
      </c>
      <c r="BE110" s="26" t="str">
        <f>_xlfn.XLOOKUP(Transformation[[#This Row],[cfrom]],Commodities[Commodity],Commodities[Commodity code])</f>
        <v>5130</v>
      </c>
      <c r="BF110" s="26" t="str">
        <f>_xlfn.XLOOKUP(Transformation[[#This Row],[tfrom]],Transactions[Transaction name],Transactions[Transaction code])</f>
        <v>08812</v>
      </c>
      <c r="BG110" s="26" t="str">
        <f>_xlfn.XLOOKUP(Transformation[[#This Row],[cto]],Commodities[Commodity],Commodities[Commodity code])</f>
        <v>5130</v>
      </c>
      <c r="BH110" s="26" t="str">
        <f>_xlfn.XLOOKUP(Transformation[[#This Row],[tto]],Transactions[Transaction name],Transactions[Transaction code])</f>
        <v>016BSE</v>
      </c>
      <c r="BI110" s="11">
        <v>1</v>
      </c>
      <c r="BJ110" s="4" t="s">
        <v>333</v>
      </c>
      <c r="BK110" s="24" t="str">
        <f>_xlfn.XLOOKUP(Transformation[[#This Row],[Commodity from]],Commodities[Commodity code],Commodities[EnergyCode])</f>
        <v>AW</v>
      </c>
      <c r="BL110" s="4" t="s">
        <v>690</v>
      </c>
      <c r="BM110" s="4" t="s">
        <v>333</v>
      </c>
      <c r="BN110" s="24" t="str">
        <f>_xlfn.XLOOKUP(Transformation[[#This Row],[Commodity to]],Commodities[Commodity code],Commodities[EnergyCode])</f>
        <v>AW</v>
      </c>
      <c r="BO110" s="4" t="s">
        <v>1127</v>
      </c>
      <c r="BP110" s="16" t="s">
        <v>1493</v>
      </c>
      <c r="BQ110" s="33" t="str">
        <f>Transformation[[#This Row],[Commodity from]]&amp;Transformation[[#This Row],[Transaction from]]&amp;Transformation[[#This Row],[Commodity to]]&amp;Transformation[[#This Row],[Transaction to]]</f>
        <v>5130088125130016BSE</v>
      </c>
      <c r="BR110" s="26" t="str">
        <f>Transformation[[#This Row],[crfomid]]&amp;Transformation[[#This Row],[Transaction from]]&amp;"("&amp;Transformation[[#This Row],[Multiplier]]&amp;") -&gt; "&amp;Transformation[[#This Row],[ctoid]]&amp;Transformation[[#This Row],[Transaction to]]</f>
        <v>AW08812(1) -&gt; AW016BSE</v>
      </c>
    </row>
    <row r="111" spans="8:77" x14ac:dyDescent="0.45">
      <c r="Y111" s="5" t="s">
        <v>45</v>
      </c>
      <c r="Z111" s="4" t="s">
        <v>1002</v>
      </c>
      <c r="AA111" s="4" t="s">
        <v>1002</v>
      </c>
      <c r="AB111" s="6" t="s">
        <v>43</v>
      </c>
      <c r="AC111" s="24" t="str">
        <f>IFERROR(VLOOKUP(Transactions[[#This Row],[Parent code]],Transactions[[Transaction code]:[Transaction name]],2,0),"")</f>
        <v>IC Hydropower - Autoproducers</v>
      </c>
      <c r="AD111" s="4" t="s">
        <v>632</v>
      </c>
      <c r="AE111" s="4" t="s">
        <v>632</v>
      </c>
      <c r="AF111" s="4" t="s">
        <v>642</v>
      </c>
      <c r="AG111" s="4" t="s">
        <v>1</v>
      </c>
      <c r="AH111" s="4" t="s">
        <v>696</v>
      </c>
      <c r="AK111" s="24" t="str" cm="1">
        <f t="array" ref="AK111">IFERROR(INDEX(Transactions[[Transaction code]:[Transaction name]],_xlfn.XMATCH(Transactions[[#This Row],[Parent code]],Transactions[Transaction name],0),3),Transactions[[#This Row],[Transaction name]])</f>
        <v>IC Pumped hydropower - Autoproducers</v>
      </c>
      <c r="AL111" s="24" t="str" cm="1">
        <f t="array" ref="AL111">IFERROR(INDEX(Transactions[[Transaction code]:[Transaction name]],_xlfn.XMATCH(INDEX(Transactions[[Transaction name]:[Parent code]],_xlfn.XMATCH(Transactions[[#This Row],[L1N]],Transactions[Transaction name],0),3),Transactions[Transaction code],0),2),Transactions[[#This Row],[L1N]])</f>
        <v>IC Hydropower - Autoproducers</v>
      </c>
      <c r="AM111" s="24" t="str" cm="1">
        <f t="array" ref="AM111">IFERROR(INDEX(Transactions[[Transaction code]:[Transaction name]],_xlfn.XMATCH(INDEX(Transactions[[Transaction name]:[Parent code]],_xlfn.XMATCH(Transactions[[#This Row],[L2N]],Transactions[Transaction name],0),3),Transactions[Transaction code],0),2),Transactions[[#This Row],[L2N]])</f>
        <v>IC Hydropower</v>
      </c>
      <c r="AN111" s="24" t="str" cm="1">
        <f t="array" ref="AN111">IFERROR(INDEX(Transactions[[Transaction code]:[Transaction name]],_xlfn.XMATCH(INDEX(Transactions[[Transaction name]:[Parent code]],_xlfn.XMATCH(Transactions[[#This Row],[L3N]],Transactions[Transaction name],0),3),Transactions[Transaction code],0),2),Transactions[[#This Row],[L3N]])</f>
        <v>IC Electricity plants</v>
      </c>
      <c r="AO111" s="24" t="str" cm="1">
        <f t="array" ref="AO111">IFERROR(INDEX(Transactions[[Transaction code]:[Transaction name]],_xlfn.XMATCH(INDEX(Transactions[[Transaction name]:[Parent code]],_xlfn.XMATCH(Transactions[[#This Row],[L4N]],Transactions[Transaction name],0),3),Transactions[Transaction code],0),2),Transactions[[#This Row],[L4N]])</f>
        <v>IC Electricity plants</v>
      </c>
      <c r="AP111" s="24" t="str" cm="1">
        <f t="array" ref="AP111">IFERROR(INDEX(Transactions[[Transaction code]:[Transaction name]],_xlfn.XMATCH(INDEX(Transactions[[Transaction name]:[Parent code]],_xlfn.XMATCH(Transactions[[#This Row],[L5N]],Transactions[Transaction name],0),3),Transactions[Transaction code],0),2),Transactions[[#This Row],[L5N]])</f>
        <v>IC Electricity plants</v>
      </c>
      <c r="AQ111" s="24" t="str" cm="1">
        <f t="array" ref="AQ111">IFERROR(INDEX(Transactions[[Transaction code]:[Transaction name]],_xlfn.XMATCH(INDEX(Transactions[[Transaction name]:[Parent code]],_xlfn.XMATCH(Transactions[[#This Row],[L6N]],Transactions[Transaction name],0),3),Transactions[Transaction code],0),2),Transactions[[#This Row],[L6N]])</f>
        <v>IC Electricity plants</v>
      </c>
      <c r="AR111" s="27" t="str">
        <f>IF(Transactions[[#This Row],[L7N]]=Transactions[[#This Row],[L6N]],Transactions[[#This Row],[L7N]],IF(Transactions[[#This Row],[L6N]]=Transactions[[#This Row],[L5N]],Transactions[[#This Row],[L6N]],IF(Transactions[[#This Row],[L5N]]=Transactions[[#This Row],[L4N]],Transactions[[#This Row],[L5N]],IF(Transactions[[#This Row],[L4N]]=Transactions[[#This Row],[L3N]],Transactions[[#This Row],[L4N]],IF(Transactions[[#This Row],[L3N]]=Transactions[[#This Row],[L2N]],Transactions[[#This Row],[L3N]],IF(Transactions[[#This Row],[L2N]]=Transactions[[#This Row],[L1N]],Transactions[[#This Row],[L2N]],IF(Transactions[[#This Row],[L1N]]=Transactions[[#This Row],[Transaction name]],Transactions[[#This Row],[L1N]],Transactions[[#This Row],[Transaction name]])))))))</f>
        <v>IC Electricity plants</v>
      </c>
      <c r="AS111" s="24" t="str">
        <f>IF(Transactions[[#This Row],[Level 0]]=Transactions[[#This Row],[Transaction name]],Transactions[[#This Row],[Transaction name]],IF(Transactions[[#This Row],[Level 0]]=Transactions[[#This Row],[L1N]],Transactions[[#This Row],[Transaction name]],IF(Transactions[[#This Row],[Level 0]]=Transactions[[#This Row],[L2N]],Transactions[[#This Row],[L1N]],IF(Transactions[[#This Row],[Level 0]]=Transactions[[#This Row],[L3N]],Transactions[[#This Row],[L2N]],IF(Transactions[[#This Row],[Level 0]]=Transactions[[#This Row],[L4N]],Transactions[[#This Row],[L3N]],IF(Transactions[[#This Row],[Level 0]]=Transactions[[#This Row],[L5N]],Transactions[[#This Row],[L4N]],IF(Transactions[[#This Row],[Level 0]]=Transactions[[#This Row],[L6N]],Transactions[[#This Row],[L5N]],IF(Transactions[[#This Row],[Level 0]]=Transactions[[#This Row],[L7N]],Transactions[[#This Row],[L6N]],Transactions[[#This Row],[L7N]]))))))))</f>
        <v>IC Hydropower</v>
      </c>
      <c r="AT111" s="24" t="str">
        <f>IF(Transactions[[#This Row],[Level 1]]=Transactions[[#This Row],[Transaction name]],Transactions[[#This Row],[Transaction name]],IF(Transactions[[#This Row],[Level 1]]=Transactions[[#This Row],[L1N]],Transactions[[#This Row],[Transaction name]],IF(Transactions[[#This Row],[Level 1]]=Transactions[[#This Row],[L2N]],Transactions[[#This Row],[L1N]],IF(Transactions[[#This Row],[Level 1]]=Transactions[[#This Row],[L3N]],Transactions[[#This Row],[L2N]],IF(Transactions[[#This Row],[Level 1]]=Transactions[[#This Row],[L4N]],Transactions[[#This Row],[L3N]],IF(Transactions[[#This Row],[Level 1]]=Transactions[[#This Row],[L5N]],Transactions[[#This Row],[L4N]],IF(Transactions[[#This Row],[Level 1]]=Transactions[[#This Row],[L6N]],Transactions[[#This Row],[L5N]],IF(Transactions[[#This Row],[Level 1]]=Transactions[[#This Row],[L7N]],Transactions[[#This Row],[L6N]],Transactions[[#This Row],[L7N]]))))))))</f>
        <v>IC Hydropower - Autoproducers</v>
      </c>
      <c r="AU111" s="24" t="str">
        <f>IF(Transactions[[#This Row],[Level 2]]=Transactions[[#This Row],[Transaction name]],Transactions[[#This Row],[Transaction name]],IF(Transactions[[#This Row],[Level 2]]=Transactions[[#This Row],[L1N]],Transactions[[#This Row],[Transaction name]],IF(Transactions[[#This Row],[Level 2]]=Transactions[[#This Row],[L2N]],Transactions[[#This Row],[L1N]],IF(Transactions[[#This Row],[Level 2]]=Transactions[[#This Row],[L3N]],Transactions[[#This Row],[L2N]],IF(Transactions[[#This Row],[Level 2]]=Transactions[[#This Row],[L4N]],Transactions[[#This Row],[L3N]],IF(Transactions[[#This Row],[Level 2]]=Transactions[[#This Row],[L5N]],Transactions[[#This Row],[L4N]],IF(Transactions[[#This Row],[Level 2]]=Transactions[[#This Row],[L6N]],Transactions[[#This Row],[L5N]],IF(Transactions[[#This Row],[Level 2]]=Transactions[[#This Row],[L7N]],Transactions[[#This Row],[L6N]],Transactions[[#This Row],[L7N]]))))))))</f>
        <v>IC Pumped hydropower - Autoproducers</v>
      </c>
      <c r="AV111" s="24" t="str">
        <f>IF(Transactions[[#This Row],[Level 3]]=Transactions[[#This Row],[Transaction name]],Transactions[[#This Row],[Transaction name]],IF(Transactions[[#This Row],[Level 3]]=Transactions[[#This Row],[L1N]],Transactions[[#This Row],[Transaction name]],IF(Transactions[[#This Row],[Level 3]]=Transactions[[#This Row],[L2N]],Transactions[[#This Row],[L1N]],IF(Transactions[[#This Row],[Level 3]]=Transactions[[#This Row],[L3N]],Transactions[[#This Row],[L2N]],IF(Transactions[[#This Row],[Level 3]]=Transactions[[#This Row],[L4N]],Transactions[[#This Row],[L3N]],IF(Transactions[[#This Row],[Level 3]]=Transactions[[#This Row],[L5N]],Transactions[[#This Row],[L4N]],IF(Transactions[[#This Row],[Level 3]]=Transactions[[#This Row],[L6N]],Transactions[[#This Row],[L5N]],IF(Transactions[[#This Row],[Level 3]]=Transactions[[#This Row],[L7N]],Transactions[[#This Row],[L6N]],Transactions[[#This Row],[L7N]]))))))))</f>
        <v>IC Pumped hydropower - Autoproducers</v>
      </c>
      <c r="AW111" s="24" t="str">
        <f>IF(Transactions[[#This Row],[Level 4]]=Transactions[[#This Row],[Transaction name]],Transactions[[#This Row],[Transaction name]],IF(Transactions[[#This Row],[Level 4]]=Transactions[[#This Row],[L1N]],Transactions[[#This Row],[Transaction name]],IF(Transactions[[#This Row],[Level 4]]=Transactions[[#This Row],[L2N]],Transactions[[#This Row],[L1N]],IF(Transactions[[#This Row],[Level 4]]=Transactions[[#This Row],[L3N]],Transactions[[#This Row],[L2N]],IF(Transactions[[#This Row],[Level 4]]=Transactions[[#This Row],[L4N]],Transactions[[#This Row],[L3N]],IF(Transactions[[#This Row],[Level 4]]=Transactions[[#This Row],[L5N]],Transactions[[#This Row],[L4N]],IF(Transactions[[#This Row],[Level 4]]=Transactions[[#This Row],[L6N]],Transactions[[#This Row],[L5N]],IF(Transactions[[#This Row],[Level 4]]=Transactions[[#This Row],[L7N]],Transactions[[#This Row],[L6N]],Transactions[[#This Row],[L7N]]))))))))</f>
        <v>IC Pumped hydropower - Autoproducers</v>
      </c>
      <c r="AX111" s="24" t="str">
        <f>IF(Transactions[[#This Row],[Level 5]]=Transactions[[#This Row],[Transaction name]],Transactions[[#This Row],[Transaction name]],IF(Transactions[[#This Row],[Level 5]]=Transactions[[#This Row],[L1N]],Transactions[[#This Row],[Transaction name]],IF(Transactions[[#This Row],[Level 5]]=Transactions[[#This Row],[L2N]],Transactions[[#This Row],[L1N]],IF(Transactions[[#This Row],[Level 5]]=Transactions[[#This Row],[L3N]],Transactions[[#This Row],[L2N]],IF(Transactions[[#This Row],[Level 5]]=Transactions[[#This Row],[L4N]],Transactions[[#This Row],[L3N]],IF(Transactions[[#This Row],[Level 5]]=Transactions[[#This Row],[L5N]],Transactions[[#This Row],[L4N]],IF(Transactions[[#This Row],[Level 5]]=Transactions[[#This Row],[L6N]],Transactions[[#This Row],[L5N]],IF(Transactions[[#This Row],[Level 5]]=Transactions[[#This Row],[L7N]],Transactions[[#This Row],[L6N]],Transactions[[#This Row],[L7N]]))))))))</f>
        <v>IC Pumped hydropower - Autoproducers</v>
      </c>
      <c r="AY111" s="24" t="str">
        <f>IF(Transactions[[#This Row],[Level 6]]=Transactions[[#This Row],[Transaction name]],Transactions[[#This Row],[Transaction name]],IF(Transactions[[#This Row],[Level 6]]=Transactions[[#This Row],[L1N]],Transactions[[#This Row],[Transaction name]],IF(Transactions[[#This Row],[Level 6]]=Transactions[[#This Row],[L2N]],Transactions[[#This Row],[L1N]],IF(Transactions[[#This Row],[Level 6]]=Transactions[[#This Row],[L3N]],Transactions[[#This Row],[L2N]],IF(Transactions[[#This Row],[Level 6]]=Transactions[[#This Row],[L4N]],Transactions[[#This Row],[L3N]],IF(Transactions[[#This Row],[Level 6]]=Transactions[[#This Row],[L5N]],Transactions[[#This Row],[L4N]],IF(Transactions[[#This Row],[Level 6]]=Transactions[[#This Row],[L6N]],Transactions[[#This Row],[L5N]],IF(Transactions[[#This Row],[Level 6]]=Transactions[[#This Row],[L7N]],Transactions[[#This Row],[L6N]],Transactions[[#This Row],[L7N]]))))))))</f>
        <v>IC Pumped hydropower - Autoproducers</v>
      </c>
      <c r="BE111" s="26" t="str">
        <f>_xlfn.XLOOKUP(Transformation[[#This Row],[cfrom]],Commodities[Commodity],Commodities[Commodity code])</f>
        <v>0330</v>
      </c>
      <c r="BF111" s="26" t="str">
        <f>_xlfn.XLOOKUP(Transformation[[#This Row],[tfrom]],Transactions[Transaction name],Transactions[Transaction code])</f>
        <v>08812</v>
      </c>
      <c r="BG111" s="26" t="str">
        <f>_xlfn.XLOOKUP(Transformation[[#This Row],[cto]],Commodities[Commodity],Commodities[Commodity code])</f>
        <v>0330</v>
      </c>
      <c r="BH111" s="26" t="str">
        <f>_xlfn.XLOOKUP(Transformation[[#This Row],[tto]],Transactions[Transaction name],Transactions[Transaction code])</f>
        <v>016CSE</v>
      </c>
      <c r="BI111" s="11">
        <v>1</v>
      </c>
      <c r="BJ111" s="4" t="s">
        <v>491</v>
      </c>
      <c r="BK111" s="24" t="str">
        <f>_xlfn.XLOOKUP(Transformation[[#This Row],[Commodity from]],Commodities[Commodity code],Commodities[EnergyCode])</f>
        <v>BB</v>
      </c>
      <c r="BL111" s="4" t="s">
        <v>690</v>
      </c>
      <c r="BM111" s="4" t="s">
        <v>491</v>
      </c>
      <c r="BN111" s="24" t="str">
        <f>_xlfn.XLOOKUP(Transformation[[#This Row],[Commodity to]],Commodities[Commodity code],Commodities[EnergyCode])</f>
        <v>BB</v>
      </c>
      <c r="BO111" s="4" t="s">
        <v>1214</v>
      </c>
      <c r="BP111" s="16" t="s">
        <v>1493</v>
      </c>
      <c r="BQ111" s="33" t="str">
        <f>Transformation[[#This Row],[Commodity from]]&amp;Transformation[[#This Row],[Transaction from]]&amp;Transformation[[#This Row],[Commodity to]]&amp;Transformation[[#This Row],[Transaction to]]</f>
        <v>0330088120330016CSE</v>
      </c>
      <c r="BR111" s="26" t="str">
        <f>Transformation[[#This Row],[crfomid]]&amp;Transformation[[#This Row],[Transaction from]]&amp;"("&amp;Transformation[[#This Row],[Multiplier]]&amp;") -&gt; "&amp;Transformation[[#This Row],[ctoid]]&amp;Transformation[[#This Row],[Transaction to]]</f>
        <v>BB08812(1) -&gt; BB016CSE</v>
      </c>
    </row>
    <row r="112" spans="8:77" x14ac:dyDescent="0.45">
      <c r="Y112" s="5" t="s">
        <v>46</v>
      </c>
      <c r="Z112" s="4" t="s">
        <v>981</v>
      </c>
      <c r="AA112" s="4" t="s">
        <v>981</v>
      </c>
      <c r="AB112" s="6" t="s">
        <v>85</v>
      </c>
      <c r="AC112" s="24" t="str">
        <f>IFERROR(VLOOKUP(Transactions[[#This Row],[Parent code]],Transactions[[Transaction code]:[Transaction name]],2,0),"")</f>
        <v>IC Hydropower</v>
      </c>
      <c r="AD112" s="4" t="s">
        <v>632</v>
      </c>
      <c r="AE112" s="4" t="s">
        <v>632</v>
      </c>
      <c r="AF112" s="4" t="s">
        <v>642</v>
      </c>
      <c r="AG112" s="4" t="s">
        <v>1</v>
      </c>
      <c r="AH112" s="4" t="s">
        <v>696</v>
      </c>
      <c r="AK112" s="24" t="str" cm="1">
        <f t="array" ref="AK112">IFERROR(INDEX(Transactions[[Transaction code]:[Transaction name]],_xlfn.XMATCH(Transactions[[#This Row],[Parent code]],Transactions[Transaction name],0),3),Transactions[[#This Row],[Transaction name]])</f>
        <v>IC Hydropower - Main activity producers</v>
      </c>
      <c r="AL112" s="24" t="str" cm="1">
        <f t="array" ref="AL112">IFERROR(INDEX(Transactions[[Transaction code]:[Transaction name]],_xlfn.XMATCH(INDEX(Transactions[[Transaction name]:[Parent code]],_xlfn.XMATCH(Transactions[[#This Row],[L1N]],Transactions[Transaction name],0),3),Transactions[Transaction code],0),2),Transactions[[#This Row],[L1N]])</f>
        <v>IC Hydropower</v>
      </c>
      <c r="AM112" s="24" t="str" cm="1">
        <f t="array" ref="AM112">IFERROR(INDEX(Transactions[[Transaction code]:[Transaction name]],_xlfn.XMATCH(INDEX(Transactions[[Transaction name]:[Parent code]],_xlfn.XMATCH(Transactions[[#This Row],[L2N]],Transactions[Transaction name],0),3),Transactions[Transaction code],0),2),Transactions[[#This Row],[L2N]])</f>
        <v>IC Electricity plants</v>
      </c>
      <c r="AN112" s="24" t="str" cm="1">
        <f t="array" ref="AN112">IFERROR(INDEX(Transactions[[Transaction code]:[Transaction name]],_xlfn.XMATCH(INDEX(Transactions[[Transaction name]:[Parent code]],_xlfn.XMATCH(Transactions[[#This Row],[L3N]],Transactions[Transaction name],0),3),Transactions[Transaction code],0),2),Transactions[[#This Row],[L3N]])</f>
        <v>IC Electricity plants</v>
      </c>
      <c r="AO112" s="24" t="str" cm="1">
        <f t="array" ref="AO112">IFERROR(INDEX(Transactions[[Transaction code]:[Transaction name]],_xlfn.XMATCH(INDEX(Transactions[[Transaction name]:[Parent code]],_xlfn.XMATCH(Transactions[[#This Row],[L4N]],Transactions[Transaction name],0),3),Transactions[Transaction code],0),2),Transactions[[#This Row],[L4N]])</f>
        <v>IC Electricity plants</v>
      </c>
      <c r="AP112" s="24" t="str" cm="1">
        <f t="array" ref="AP112">IFERROR(INDEX(Transactions[[Transaction code]:[Transaction name]],_xlfn.XMATCH(INDEX(Transactions[[Transaction name]:[Parent code]],_xlfn.XMATCH(Transactions[[#This Row],[L5N]],Transactions[Transaction name],0),3),Transactions[Transaction code],0),2),Transactions[[#This Row],[L5N]])</f>
        <v>IC Electricity plants</v>
      </c>
      <c r="AQ112" s="24" t="str" cm="1">
        <f t="array" ref="AQ112">IFERROR(INDEX(Transactions[[Transaction code]:[Transaction name]],_xlfn.XMATCH(INDEX(Transactions[[Transaction name]:[Parent code]],_xlfn.XMATCH(Transactions[[#This Row],[L6N]],Transactions[Transaction name],0),3),Transactions[Transaction code],0),2),Transactions[[#This Row],[L6N]])</f>
        <v>IC Electricity plants</v>
      </c>
      <c r="AR112" s="27" t="str">
        <f>IF(Transactions[[#This Row],[L7N]]=Transactions[[#This Row],[L6N]],Transactions[[#This Row],[L7N]],IF(Transactions[[#This Row],[L6N]]=Transactions[[#This Row],[L5N]],Transactions[[#This Row],[L6N]],IF(Transactions[[#This Row],[L5N]]=Transactions[[#This Row],[L4N]],Transactions[[#This Row],[L5N]],IF(Transactions[[#This Row],[L4N]]=Transactions[[#This Row],[L3N]],Transactions[[#This Row],[L4N]],IF(Transactions[[#This Row],[L3N]]=Transactions[[#This Row],[L2N]],Transactions[[#This Row],[L3N]],IF(Transactions[[#This Row],[L2N]]=Transactions[[#This Row],[L1N]],Transactions[[#This Row],[L2N]],IF(Transactions[[#This Row],[L1N]]=Transactions[[#This Row],[Transaction name]],Transactions[[#This Row],[L1N]],Transactions[[#This Row],[Transaction name]])))))))</f>
        <v>IC Electricity plants</v>
      </c>
      <c r="AS112" s="24" t="str">
        <f>IF(Transactions[[#This Row],[Level 0]]=Transactions[[#This Row],[Transaction name]],Transactions[[#This Row],[Transaction name]],IF(Transactions[[#This Row],[Level 0]]=Transactions[[#This Row],[L1N]],Transactions[[#This Row],[Transaction name]],IF(Transactions[[#This Row],[Level 0]]=Transactions[[#This Row],[L2N]],Transactions[[#This Row],[L1N]],IF(Transactions[[#This Row],[Level 0]]=Transactions[[#This Row],[L3N]],Transactions[[#This Row],[L2N]],IF(Transactions[[#This Row],[Level 0]]=Transactions[[#This Row],[L4N]],Transactions[[#This Row],[L3N]],IF(Transactions[[#This Row],[Level 0]]=Transactions[[#This Row],[L5N]],Transactions[[#This Row],[L4N]],IF(Transactions[[#This Row],[Level 0]]=Transactions[[#This Row],[L6N]],Transactions[[#This Row],[L5N]],IF(Transactions[[#This Row],[Level 0]]=Transactions[[#This Row],[L7N]],Transactions[[#This Row],[L6N]],Transactions[[#This Row],[L7N]]))))))))</f>
        <v>IC Hydropower</v>
      </c>
      <c r="AT112" s="24" t="str">
        <f>IF(Transactions[[#This Row],[Level 1]]=Transactions[[#This Row],[Transaction name]],Transactions[[#This Row],[Transaction name]],IF(Transactions[[#This Row],[Level 1]]=Transactions[[#This Row],[L1N]],Transactions[[#This Row],[Transaction name]],IF(Transactions[[#This Row],[Level 1]]=Transactions[[#This Row],[L2N]],Transactions[[#This Row],[L1N]],IF(Transactions[[#This Row],[Level 1]]=Transactions[[#This Row],[L3N]],Transactions[[#This Row],[L2N]],IF(Transactions[[#This Row],[Level 1]]=Transactions[[#This Row],[L4N]],Transactions[[#This Row],[L3N]],IF(Transactions[[#This Row],[Level 1]]=Transactions[[#This Row],[L5N]],Transactions[[#This Row],[L4N]],IF(Transactions[[#This Row],[Level 1]]=Transactions[[#This Row],[L6N]],Transactions[[#This Row],[L5N]],IF(Transactions[[#This Row],[Level 1]]=Transactions[[#This Row],[L7N]],Transactions[[#This Row],[L6N]],Transactions[[#This Row],[L7N]]))))))))</f>
        <v>IC Hydropower - Main activity producers</v>
      </c>
      <c r="AU112" s="24" t="str">
        <f>IF(Transactions[[#This Row],[Level 2]]=Transactions[[#This Row],[Transaction name]],Transactions[[#This Row],[Transaction name]],IF(Transactions[[#This Row],[Level 2]]=Transactions[[#This Row],[L1N]],Transactions[[#This Row],[Transaction name]],IF(Transactions[[#This Row],[Level 2]]=Transactions[[#This Row],[L2N]],Transactions[[#This Row],[L1N]],IF(Transactions[[#This Row],[Level 2]]=Transactions[[#This Row],[L3N]],Transactions[[#This Row],[L2N]],IF(Transactions[[#This Row],[Level 2]]=Transactions[[#This Row],[L4N]],Transactions[[#This Row],[L3N]],IF(Transactions[[#This Row],[Level 2]]=Transactions[[#This Row],[L5N]],Transactions[[#This Row],[L4N]],IF(Transactions[[#This Row],[Level 2]]=Transactions[[#This Row],[L6N]],Transactions[[#This Row],[L5N]],IF(Transactions[[#This Row],[Level 2]]=Transactions[[#This Row],[L7N]],Transactions[[#This Row],[L6N]],Transactions[[#This Row],[L7N]]))))))))</f>
        <v>IC Hydropower - Main activity producers</v>
      </c>
      <c r="AV112" s="24" t="str">
        <f>IF(Transactions[[#This Row],[Level 3]]=Transactions[[#This Row],[Transaction name]],Transactions[[#This Row],[Transaction name]],IF(Transactions[[#This Row],[Level 3]]=Transactions[[#This Row],[L1N]],Transactions[[#This Row],[Transaction name]],IF(Transactions[[#This Row],[Level 3]]=Transactions[[#This Row],[L2N]],Transactions[[#This Row],[L1N]],IF(Transactions[[#This Row],[Level 3]]=Transactions[[#This Row],[L3N]],Transactions[[#This Row],[L2N]],IF(Transactions[[#This Row],[Level 3]]=Transactions[[#This Row],[L4N]],Transactions[[#This Row],[L3N]],IF(Transactions[[#This Row],[Level 3]]=Transactions[[#This Row],[L5N]],Transactions[[#This Row],[L4N]],IF(Transactions[[#This Row],[Level 3]]=Transactions[[#This Row],[L6N]],Transactions[[#This Row],[L5N]],IF(Transactions[[#This Row],[Level 3]]=Transactions[[#This Row],[L7N]],Transactions[[#This Row],[L6N]],Transactions[[#This Row],[L7N]]))))))))</f>
        <v>IC Hydropower - Main activity producers</v>
      </c>
      <c r="AW112" s="24" t="str">
        <f>IF(Transactions[[#This Row],[Level 4]]=Transactions[[#This Row],[Transaction name]],Transactions[[#This Row],[Transaction name]],IF(Transactions[[#This Row],[Level 4]]=Transactions[[#This Row],[L1N]],Transactions[[#This Row],[Transaction name]],IF(Transactions[[#This Row],[Level 4]]=Transactions[[#This Row],[L2N]],Transactions[[#This Row],[L1N]],IF(Transactions[[#This Row],[Level 4]]=Transactions[[#This Row],[L3N]],Transactions[[#This Row],[L2N]],IF(Transactions[[#This Row],[Level 4]]=Transactions[[#This Row],[L4N]],Transactions[[#This Row],[L3N]],IF(Transactions[[#This Row],[Level 4]]=Transactions[[#This Row],[L5N]],Transactions[[#This Row],[L4N]],IF(Transactions[[#This Row],[Level 4]]=Transactions[[#This Row],[L6N]],Transactions[[#This Row],[L5N]],IF(Transactions[[#This Row],[Level 4]]=Transactions[[#This Row],[L7N]],Transactions[[#This Row],[L6N]],Transactions[[#This Row],[L7N]]))))))))</f>
        <v>IC Hydropower - Main activity producers</v>
      </c>
      <c r="AX112" s="24" t="str">
        <f>IF(Transactions[[#This Row],[Level 5]]=Transactions[[#This Row],[Transaction name]],Transactions[[#This Row],[Transaction name]],IF(Transactions[[#This Row],[Level 5]]=Transactions[[#This Row],[L1N]],Transactions[[#This Row],[Transaction name]],IF(Transactions[[#This Row],[Level 5]]=Transactions[[#This Row],[L2N]],Transactions[[#This Row],[L1N]],IF(Transactions[[#This Row],[Level 5]]=Transactions[[#This Row],[L3N]],Transactions[[#This Row],[L2N]],IF(Transactions[[#This Row],[Level 5]]=Transactions[[#This Row],[L4N]],Transactions[[#This Row],[L3N]],IF(Transactions[[#This Row],[Level 5]]=Transactions[[#This Row],[L5N]],Transactions[[#This Row],[L4N]],IF(Transactions[[#This Row],[Level 5]]=Transactions[[#This Row],[L6N]],Transactions[[#This Row],[L5N]],IF(Transactions[[#This Row],[Level 5]]=Transactions[[#This Row],[L7N]],Transactions[[#This Row],[L6N]],Transactions[[#This Row],[L7N]]))))))))</f>
        <v>IC Hydropower - Main activity producers</v>
      </c>
      <c r="AY112" s="24" t="str">
        <f>IF(Transactions[[#This Row],[Level 6]]=Transactions[[#This Row],[Transaction name]],Transactions[[#This Row],[Transaction name]],IF(Transactions[[#This Row],[Level 6]]=Transactions[[#This Row],[L1N]],Transactions[[#This Row],[Transaction name]],IF(Transactions[[#This Row],[Level 6]]=Transactions[[#This Row],[L2N]],Transactions[[#This Row],[L1N]],IF(Transactions[[#This Row],[Level 6]]=Transactions[[#This Row],[L3N]],Transactions[[#This Row],[L2N]],IF(Transactions[[#This Row],[Level 6]]=Transactions[[#This Row],[L4N]],Transactions[[#This Row],[L3N]],IF(Transactions[[#This Row],[Level 6]]=Transactions[[#This Row],[L5N]],Transactions[[#This Row],[L4N]],IF(Transactions[[#This Row],[Level 6]]=Transactions[[#This Row],[L6N]],Transactions[[#This Row],[L5N]],IF(Transactions[[#This Row],[Level 6]]=Transactions[[#This Row],[L7N]],Transactions[[#This Row],[L6N]],Transactions[[#This Row],[L7N]]))))))))</f>
        <v>IC Hydropower - Main activity producers</v>
      </c>
      <c r="BE112" s="26" t="str">
        <f>_xlfn.XLOOKUP(Transformation[[#This Row],[cfrom]],Commodities[Commodity],Commodities[Commodity code])</f>
        <v>0320</v>
      </c>
      <c r="BF112" s="26" t="str">
        <f>_xlfn.XLOOKUP(Transformation[[#This Row],[tfrom]],Transactions[Transaction name],Transactions[Transaction code])</f>
        <v>08812</v>
      </c>
      <c r="BG112" s="26" t="str">
        <f>_xlfn.XLOOKUP(Transformation[[#This Row],[cto]],Commodities[Commodity],Commodities[Commodity code])</f>
        <v>0320</v>
      </c>
      <c r="BH112" s="26" t="str">
        <f>_xlfn.XLOOKUP(Transformation[[#This Row],[tto]],Transactions[Transaction name],Transactions[Transaction code])</f>
        <v>016CSE</v>
      </c>
      <c r="BI112" s="31">
        <v>1</v>
      </c>
      <c r="BJ112" s="22" t="s">
        <v>493</v>
      </c>
      <c r="BK112" s="26" t="str">
        <f>_xlfn.XLOOKUP(Transformation[[#This Row],[Commodity from]],Commodities[Commodity code],Commodities[EnergyCode])</f>
        <v>BC</v>
      </c>
      <c r="BL112" s="22" t="s">
        <v>690</v>
      </c>
      <c r="BM112" s="22" t="s">
        <v>493</v>
      </c>
      <c r="BN112" s="26" t="str">
        <f>_xlfn.XLOOKUP(Transformation[[#This Row],[Commodity to]],Commodities[Commodity code],Commodities[EnergyCode])</f>
        <v>BC</v>
      </c>
      <c r="BO112" s="4" t="s">
        <v>1214</v>
      </c>
      <c r="BP112" s="22" t="s">
        <v>1493</v>
      </c>
      <c r="BQ112" s="33" t="str">
        <f>Transformation[[#This Row],[Commodity from]]&amp;Transformation[[#This Row],[Transaction from]]&amp;Transformation[[#This Row],[Commodity to]]&amp;Transformation[[#This Row],[Transaction to]]</f>
        <v>0320088120320016CSE</v>
      </c>
      <c r="BR112" s="26" t="str">
        <f>Transformation[[#This Row],[crfomid]]&amp;Transformation[[#This Row],[Transaction from]]&amp;"("&amp;Transformation[[#This Row],[Multiplier]]&amp;") -&gt; "&amp;Transformation[[#This Row],[ctoid]]&amp;Transformation[[#This Row],[Transaction to]]</f>
        <v>BC08812(1) -&gt; BC016CSE</v>
      </c>
    </row>
    <row r="113" spans="25:70" x14ac:dyDescent="0.45">
      <c r="Y113" s="5" t="s">
        <v>48</v>
      </c>
      <c r="Z113" s="4" t="s">
        <v>1001</v>
      </c>
      <c r="AA113" s="4" t="s">
        <v>1001</v>
      </c>
      <c r="AB113" s="6" t="s">
        <v>46</v>
      </c>
      <c r="AC113" s="24" t="str">
        <f>IFERROR(VLOOKUP(Transactions[[#This Row],[Parent code]],Transactions[[Transaction code]:[Transaction name]],2,0),"")</f>
        <v>IC Hydropower - Main activity producers</v>
      </c>
      <c r="AD113" s="4" t="s">
        <v>632</v>
      </c>
      <c r="AE113" s="4" t="s">
        <v>632</v>
      </c>
      <c r="AF113" s="4" t="s">
        <v>642</v>
      </c>
      <c r="AG113" s="4" t="s">
        <v>1</v>
      </c>
      <c r="AH113" s="4" t="s">
        <v>696</v>
      </c>
      <c r="AK113" s="24" t="str" cm="1">
        <f t="array" ref="AK113">IFERROR(INDEX(Transactions[[Transaction code]:[Transaction name]],_xlfn.XMATCH(Transactions[[#This Row],[Parent code]],Transactions[Transaction name],0),3),Transactions[[#This Row],[Transaction name]])</f>
        <v>IC Pumped hydropower - Main activity producers</v>
      </c>
      <c r="AL113" s="24" t="str" cm="1">
        <f t="array" ref="AL113">IFERROR(INDEX(Transactions[[Transaction code]:[Transaction name]],_xlfn.XMATCH(INDEX(Transactions[[Transaction name]:[Parent code]],_xlfn.XMATCH(Transactions[[#This Row],[L1N]],Transactions[Transaction name],0),3),Transactions[Transaction code],0),2),Transactions[[#This Row],[L1N]])</f>
        <v>IC Hydropower - Main activity producers</v>
      </c>
      <c r="AM113" s="24" t="str" cm="1">
        <f t="array" ref="AM113">IFERROR(INDEX(Transactions[[Transaction code]:[Transaction name]],_xlfn.XMATCH(INDEX(Transactions[[Transaction name]:[Parent code]],_xlfn.XMATCH(Transactions[[#This Row],[L2N]],Transactions[Transaction name],0),3),Transactions[Transaction code],0),2),Transactions[[#This Row],[L2N]])</f>
        <v>IC Hydropower</v>
      </c>
      <c r="AN113" s="24" t="str" cm="1">
        <f t="array" ref="AN113">IFERROR(INDEX(Transactions[[Transaction code]:[Transaction name]],_xlfn.XMATCH(INDEX(Transactions[[Transaction name]:[Parent code]],_xlfn.XMATCH(Transactions[[#This Row],[L3N]],Transactions[Transaction name],0),3),Transactions[Transaction code],0),2),Transactions[[#This Row],[L3N]])</f>
        <v>IC Electricity plants</v>
      </c>
      <c r="AO113" s="24" t="str" cm="1">
        <f t="array" ref="AO113">IFERROR(INDEX(Transactions[[Transaction code]:[Transaction name]],_xlfn.XMATCH(INDEX(Transactions[[Transaction name]:[Parent code]],_xlfn.XMATCH(Transactions[[#This Row],[L4N]],Transactions[Transaction name],0),3),Transactions[Transaction code],0),2),Transactions[[#This Row],[L4N]])</f>
        <v>IC Electricity plants</v>
      </c>
      <c r="AP113" s="24" t="str" cm="1">
        <f t="array" ref="AP113">IFERROR(INDEX(Transactions[[Transaction code]:[Transaction name]],_xlfn.XMATCH(INDEX(Transactions[[Transaction name]:[Parent code]],_xlfn.XMATCH(Transactions[[#This Row],[L5N]],Transactions[Transaction name],0),3),Transactions[Transaction code],0),2),Transactions[[#This Row],[L5N]])</f>
        <v>IC Electricity plants</v>
      </c>
      <c r="AQ113" s="24" t="str" cm="1">
        <f t="array" ref="AQ113">IFERROR(INDEX(Transactions[[Transaction code]:[Transaction name]],_xlfn.XMATCH(INDEX(Transactions[[Transaction name]:[Parent code]],_xlfn.XMATCH(Transactions[[#This Row],[L6N]],Transactions[Transaction name],0),3),Transactions[Transaction code],0),2),Transactions[[#This Row],[L6N]])</f>
        <v>IC Electricity plants</v>
      </c>
      <c r="AR113" s="27" t="str">
        <f>IF(Transactions[[#This Row],[L7N]]=Transactions[[#This Row],[L6N]],Transactions[[#This Row],[L7N]],IF(Transactions[[#This Row],[L6N]]=Transactions[[#This Row],[L5N]],Transactions[[#This Row],[L6N]],IF(Transactions[[#This Row],[L5N]]=Transactions[[#This Row],[L4N]],Transactions[[#This Row],[L5N]],IF(Transactions[[#This Row],[L4N]]=Transactions[[#This Row],[L3N]],Transactions[[#This Row],[L4N]],IF(Transactions[[#This Row],[L3N]]=Transactions[[#This Row],[L2N]],Transactions[[#This Row],[L3N]],IF(Transactions[[#This Row],[L2N]]=Transactions[[#This Row],[L1N]],Transactions[[#This Row],[L2N]],IF(Transactions[[#This Row],[L1N]]=Transactions[[#This Row],[Transaction name]],Transactions[[#This Row],[L1N]],Transactions[[#This Row],[Transaction name]])))))))</f>
        <v>IC Electricity plants</v>
      </c>
      <c r="AS113" s="24" t="str">
        <f>IF(Transactions[[#This Row],[Level 0]]=Transactions[[#This Row],[Transaction name]],Transactions[[#This Row],[Transaction name]],IF(Transactions[[#This Row],[Level 0]]=Transactions[[#This Row],[L1N]],Transactions[[#This Row],[Transaction name]],IF(Transactions[[#This Row],[Level 0]]=Transactions[[#This Row],[L2N]],Transactions[[#This Row],[L1N]],IF(Transactions[[#This Row],[Level 0]]=Transactions[[#This Row],[L3N]],Transactions[[#This Row],[L2N]],IF(Transactions[[#This Row],[Level 0]]=Transactions[[#This Row],[L4N]],Transactions[[#This Row],[L3N]],IF(Transactions[[#This Row],[Level 0]]=Transactions[[#This Row],[L5N]],Transactions[[#This Row],[L4N]],IF(Transactions[[#This Row],[Level 0]]=Transactions[[#This Row],[L6N]],Transactions[[#This Row],[L5N]],IF(Transactions[[#This Row],[Level 0]]=Transactions[[#This Row],[L7N]],Transactions[[#This Row],[L6N]],Transactions[[#This Row],[L7N]]))))))))</f>
        <v>IC Hydropower</v>
      </c>
      <c r="AT113" s="24" t="str">
        <f>IF(Transactions[[#This Row],[Level 1]]=Transactions[[#This Row],[Transaction name]],Transactions[[#This Row],[Transaction name]],IF(Transactions[[#This Row],[Level 1]]=Transactions[[#This Row],[L1N]],Transactions[[#This Row],[Transaction name]],IF(Transactions[[#This Row],[Level 1]]=Transactions[[#This Row],[L2N]],Transactions[[#This Row],[L1N]],IF(Transactions[[#This Row],[Level 1]]=Transactions[[#This Row],[L3N]],Transactions[[#This Row],[L2N]],IF(Transactions[[#This Row],[Level 1]]=Transactions[[#This Row],[L4N]],Transactions[[#This Row],[L3N]],IF(Transactions[[#This Row],[Level 1]]=Transactions[[#This Row],[L5N]],Transactions[[#This Row],[L4N]],IF(Transactions[[#This Row],[Level 1]]=Transactions[[#This Row],[L6N]],Transactions[[#This Row],[L5N]],IF(Transactions[[#This Row],[Level 1]]=Transactions[[#This Row],[L7N]],Transactions[[#This Row],[L6N]],Transactions[[#This Row],[L7N]]))))))))</f>
        <v>IC Hydropower - Main activity producers</v>
      </c>
      <c r="AU113" s="24" t="str">
        <f>IF(Transactions[[#This Row],[Level 2]]=Transactions[[#This Row],[Transaction name]],Transactions[[#This Row],[Transaction name]],IF(Transactions[[#This Row],[Level 2]]=Transactions[[#This Row],[L1N]],Transactions[[#This Row],[Transaction name]],IF(Transactions[[#This Row],[Level 2]]=Transactions[[#This Row],[L2N]],Transactions[[#This Row],[L1N]],IF(Transactions[[#This Row],[Level 2]]=Transactions[[#This Row],[L3N]],Transactions[[#This Row],[L2N]],IF(Transactions[[#This Row],[Level 2]]=Transactions[[#This Row],[L4N]],Transactions[[#This Row],[L3N]],IF(Transactions[[#This Row],[Level 2]]=Transactions[[#This Row],[L5N]],Transactions[[#This Row],[L4N]],IF(Transactions[[#This Row],[Level 2]]=Transactions[[#This Row],[L6N]],Transactions[[#This Row],[L5N]],IF(Transactions[[#This Row],[Level 2]]=Transactions[[#This Row],[L7N]],Transactions[[#This Row],[L6N]],Transactions[[#This Row],[L7N]]))))))))</f>
        <v>IC Pumped hydropower - Main activity producers</v>
      </c>
      <c r="AV113" s="24" t="str">
        <f>IF(Transactions[[#This Row],[Level 3]]=Transactions[[#This Row],[Transaction name]],Transactions[[#This Row],[Transaction name]],IF(Transactions[[#This Row],[Level 3]]=Transactions[[#This Row],[L1N]],Transactions[[#This Row],[Transaction name]],IF(Transactions[[#This Row],[Level 3]]=Transactions[[#This Row],[L2N]],Transactions[[#This Row],[L1N]],IF(Transactions[[#This Row],[Level 3]]=Transactions[[#This Row],[L3N]],Transactions[[#This Row],[L2N]],IF(Transactions[[#This Row],[Level 3]]=Transactions[[#This Row],[L4N]],Transactions[[#This Row],[L3N]],IF(Transactions[[#This Row],[Level 3]]=Transactions[[#This Row],[L5N]],Transactions[[#This Row],[L4N]],IF(Transactions[[#This Row],[Level 3]]=Transactions[[#This Row],[L6N]],Transactions[[#This Row],[L5N]],IF(Transactions[[#This Row],[Level 3]]=Transactions[[#This Row],[L7N]],Transactions[[#This Row],[L6N]],Transactions[[#This Row],[L7N]]))))))))</f>
        <v>IC Pumped hydropower - Main activity producers</v>
      </c>
      <c r="AW113" s="24" t="str">
        <f>IF(Transactions[[#This Row],[Level 4]]=Transactions[[#This Row],[Transaction name]],Transactions[[#This Row],[Transaction name]],IF(Transactions[[#This Row],[Level 4]]=Transactions[[#This Row],[L1N]],Transactions[[#This Row],[Transaction name]],IF(Transactions[[#This Row],[Level 4]]=Transactions[[#This Row],[L2N]],Transactions[[#This Row],[L1N]],IF(Transactions[[#This Row],[Level 4]]=Transactions[[#This Row],[L3N]],Transactions[[#This Row],[L2N]],IF(Transactions[[#This Row],[Level 4]]=Transactions[[#This Row],[L4N]],Transactions[[#This Row],[L3N]],IF(Transactions[[#This Row],[Level 4]]=Transactions[[#This Row],[L5N]],Transactions[[#This Row],[L4N]],IF(Transactions[[#This Row],[Level 4]]=Transactions[[#This Row],[L6N]],Transactions[[#This Row],[L5N]],IF(Transactions[[#This Row],[Level 4]]=Transactions[[#This Row],[L7N]],Transactions[[#This Row],[L6N]],Transactions[[#This Row],[L7N]]))))))))</f>
        <v>IC Pumped hydropower - Main activity producers</v>
      </c>
      <c r="AX113" s="24" t="str">
        <f>IF(Transactions[[#This Row],[Level 5]]=Transactions[[#This Row],[Transaction name]],Transactions[[#This Row],[Transaction name]],IF(Transactions[[#This Row],[Level 5]]=Transactions[[#This Row],[L1N]],Transactions[[#This Row],[Transaction name]],IF(Transactions[[#This Row],[Level 5]]=Transactions[[#This Row],[L2N]],Transactions[[#This Row],[L1N]],IF(Transactions[[#This Row],[Level 5]]=Transactions[[#This Row],[L3N]],Transactions[[#This Row],[L2N]],IF(Transactions[[#This Row],[Level 5]]=Transactions[[#This Row],[L4N]],Transactions[[#This Row],[L3N]],IF(Transactions[[#This Row],[Level 5]]=Transactions[[#This Row],[L5N]],Transactions[[#This Row],[L4N]],IF(Transactions[[#This Row],[Level 5]]=Transactions[[#This Row],[L6N]],Transactions[[#This Row],[L5N]],IF(Transactions[[#This Row],[Level 5]]=Transactions[[#This Row],[L7N]],Transactions[[#This Row],[L6N]],Transactions[[#This Row],[L7N]]))))))))</f>
        <v>IC Pumped hydropower - Main activity producers</v>
      </c>
      <c r="AY113" s="24" t="str">
        <f>IF(Transactions[[#This Row],[Level 6]]=Transactions[[#This Row],[Transaction name]],Transactions[[#This Row],[Transaction name]],IF(Transactions[[#This Row],[Level 6]]=Transactions[[#This Row],[L1N]],Transactions[[#This Row],[Transaction name]],IF(Transactions[[#This Row],[Level 6]]=Transactions[[#This Row],[L2N]],Transactions[[#This Row],[L1N]],IF(Transactions[[#This Row],[Level 6]]=Transactions[[#This Row],[L3N]],Transactions[[#This Row],[L2N]],IF(Transactions[[#This Row],[Level 6]]=Transactions[[#This Row],[L4N]],Transactions[[#This Row],[L3N]],IF(Transactions[[#This Row],[Level 6]]=Transactions[[#This Row],[L5N]],Transactions[[#This Row],[L4N]],IF(Transactions[[#This Row],[Level 6]]=Transactions[[#This Row],[L6N]],Transactions[[#This Row],[L5N]],IF(Transactions[[#This Row],[Level 6]]=Transactions[[#This Row],[L7N]],Transactions[[#This Row],[L6N]],Transactions[[#This Row],[L7N]]))))))))</f>
        <v>IC Pumped hydropower - Main activity producers</v>
      </c>
      <c r="BE113" s="26" t="str">
        <f>_xlfn.XLOOKUP(Transformation[[#This Row],[cfrom]],Commodities[Commodity],Commodities[Commodity code])</f>
        <v>5220</v>
      </c>
      <c r="BF113" s="26" t="str">
        <f>_xlfn.XLOOKUP(Transformation[[#This Row],[tfrom]],Transactions[Transaction name],Transactions[Transaction code])</f>
        <v>08812</v>
      </c>
      <c r="BG113" s="26" t="str">
        <f>_xlfn.XLOOKUP(Transformation[[#This Row],[cto]],Commodities[Commodity],Commodities[Commodity code])</f>
        <v>5220</v>
      </c>
      <c r="BH113" s="26" t="str">
        <f>_xlfn.XLOOKUP(Transformation[[#This Row],[tto]],Transactions[Transaction name],Transactions[Transaction code])</f>
        <v>016BLE</v>
      </c>
      <c r="BI113" s="11">
        <v>1</v>
      </c>
      <c r="BJ113" s="4" t="s">
        <v>315</v>
      </c>
      <c r="BK113" s="24" t="str">
        <f>_xlfn.XLOOKUP(Transformation[[#This Row],[Commodity from]],Commodities[Commodity code],Commodities[EnergyCode])</f>
        <v>BD</v>
      </c>
      <c r="BL113" s="4" t="s">
        <v>690</v>
      </c>
      <c r="BM113" s="4" t="s">
        <v>315</v>
      </c>
      <c r="BN113" s="24" t="str">
        <f>_xlfn.XLOOKUP(Transformation[[#This Row],[Commodity to]],Commodities[Commodity code],Commodities[EnergyCode])</f>
        <v>BD</v>
      </c>
      <c r="BO113" s="4" t="s">
        <v>1079</v>
      </c>
      <c r="BP113" s="16" t="s">
        <v>1493</v>
      </c>
      <c r="BQ113" s="33" t="str">
        <f>Transformation[[#This Row],[Commodity from]]&amp;Transformation[[#This Row],[Transaction from]]&amp;Transformation[[#This Row],[Commodity to]]&amp;Transformation[[#This Row],[Transaction to]]</f>
        <v>5220088125220016BLE</v>
      </c>
      <c r="BR113" s="26" t="str">
        <f>Transformation[[#This Row],[crfomid]]&amp;Transformation[[#This Row],[Transaction from]]&amp;"("&amp;Transformation[[#This Row],[Multiplier]]&amp;") -&gt; "&amp;Transformation[[#This Row],[ctoid]]&amp;Transformation[[#This Row],[Transaction to]]</f>
        <v>BD08812(1) -&gt; BD016BLE</v>
      </c>
    </row>
    <row r="114" spans="25:70" x14ac:dyDescent="0.45">
      <c r="Y114" s="5" t="s">
        <v>14</v>
      </c>
      <c r="Z114" s="4" t="s">
        <v>1007</v>
      </c>
      <c r="AA114" s="4" t="s">
        <v>1007</v>
      </c>
      <c r="AB114" s="6" t="s">
        <v>10</v>
      </c>
      <c r="AC114" s="24" t="str">
        <f>IFERROR(VLOOKUP(Transactions[[#This Row],[Parent code]],Transactions[[Transaction code]:[Transaction name]],2,0),"")</f>
        <v>IC Electricity plants</v>
      </c>
      <c r="AD114" s="4" t="s">
        <v>632</v>
      </c>
      <c r="AE114" s="4" t="s">
        <v>632</v>
      </c>
      <c r="AF114" s="4" t="s">
        <v>642</v>
      </c>
      <c r="AG114" s="4" t="s">
        <v>1</v>
      </c>
      <c r="AH114" s="4" t="s">
        <v>696</v>
      </c>
      <c r="AK114" s="24" t="str" cm="1">
        <f t="array" ref="AK114">IFERROR(INDEX(Transactions[[Transaction code]:[Transaction name]],_xlfn.XMATCH(Transactions[[#This Row],[Parent code]],Transactions[Transaction name],0),3),Transactions[[#This Row],[Transaction name]])</f>
        <v>IC Main activity producers</v>
      </c>
      <c r="AL114" s="24" t="str" cm="1">
        <f t="array" ref="AL114">IFERROR(INDEX(Transactions[[Transaction code]:[Transaction name]],_xlfn.XMATCH(INDEX(Transactions[[Transaction name]:[Parent code]],_xlfn.XMATCH(Transactions[[#This Row],[L1N]],Transactions[Transaction name],0),3),Transactions[Transaction code],0),2),Transactions[[#This Row],[L1N]])</f>
        <v>IC Electricity plants</v>
      </c>
      <c r="AM114" s="24" t="str" cm="1">
        <f t="array" ref="AM114">IFERROR(INDEX(Transactions[[Transaction code]:[Transaction name]],_xlfn.XMATCH(INDEX(Transactions[[Transaction name]:[Parent code]],_xlfn.XMATCH(Transactions[[#This Row],[L2N]],Transactions[Transaction name],0),3),Transactions[Transaction code],0),2),Transactions[[#This Row],[L2N]])</f>
        <v>IC Electricity plants</v>
      </c>
      <c r="AN114" s="24" t="str" cm="1">
        <f t="array" ref="AN114">IFERROR(INDEX(Transactions[[Transaction code]:[Transaction name]],_xlfn.XMATCH(INDEX(Transactions[[Transaction name]:[Parent code]],_xlfn.XMATCH(Transactions[[#This Row],[L3N]],Transactions[Transaction name],0),3),Transactions[Transaction code],0),2),Transactions[[#This Row],[L3N]])</f>
        <v>IC Electricity plants</v>
      </c>
      <c r="AO114" s="24" t="str" cm="1">
        <f t="array" ref="AO114">IFERROR(INDEX(Transactions[[Transaction code]:[Transaction name]],_xlfn.XMATCH(INDEX(Transactions[[Transaction name]:[Parent code]],_xlfn.XMATCH(Transactions[[#This Row],[L4N]],Transactions[Transaction name],0),3),Transactions[Transaction code],0),2),Transactions[[#This Row],[L4N]])</f>
        <v>IC Electricity plants</v>
      </c>
      <c r="AP114" s="24" t="str" cm="1">
        <f t="array" ref="AP114">IFERROR(INDEX(Transactions[[Transaction code]:[Transaction name]],_xlfn.XMATCH(INDEX(Transactions[[Transaction name]:[Parent code]],_xlfn.XMATCH(Transactions[[#This Row],[L5N]],Transactions[Transaction name],0),3),Transactions[Transaction code],0),2),Transactions[[#This Row],[L5N]])</f>
        <v>IC Electricity plants</v>
      </c>
      <c r="AQ114" s="24" t="str" cm="1">
        <f t="array" ref="AQ114">IFERROR(INDEX(Transactions[[Transaction code]:[Transaction name]],_xlfn.XMATCH(INDEX(Transactions[[Transaction name]:[Parent code]],_xlfn.XMATCH(Transactions[[#This Row],[L6N]],Transactions[Transaction name],0),3),Transactions[Transaction code],0),2),Transactions[[#This Row],[L6N]])</f>
        <v>IC Electricity plants</v>
      </c>
      <c r="AR114" s="27" t="str">
        <f>IF(Transactions[[#This Row],[L7N]]=Transactions[[#This Row],[L6N]],Transactions[[#This Row],[L7N]],IF(Transactions[[#This Row],[L6N]]=Transactions[[#This Row],[L5N]],Transactions[[#This Row],[L6N]],IF(Transactions[[#This Row],[L5N]]=Transactions[[#This Row],[L4N]],Transactions[[#This Row],[L5N]],IF(Transactions[[#This Row],[L4N]]=Transactions[[#This Row],[L3N]],Transactions[[#This Row],[L4N]],IF(Transactions[[#This Row],[L3N]]=Transactions[[#This Row],[L2N]],Transactions[[#This Row],[L3N]],IF(Transactions[[#This Row],[L2N]]=Transactions[[#This Row],[L1N]],Transactions[[#This Row],[L2N]],IF(Transactions[[#This Row],[L1N]]=Transactions[[#This Row],[Transaction name]],Transactions[[#This Row],[L1N]],Transactions[[#This Row],[Transaction name]])))))))</f>
        <v>IC Electricity plants</v>
      </c>
      <c r="AS114" s="24" t="str">
        <f>IF(Transactions[[#This Row],[Level 0]]=Transactions[[#This Row],[Transaction name]],Transactions[[#This Row],[Transaction name]],IF(Transactions[[#This Row],[Level 0]]=Transactions[[#This Row],[L1N]],Transactions[[#This Row],[Transaction name]],IF(Transactions[[#This Row],[Level 0]]=Transactions[[#This Row],[L2N]],Transactions[[#This Row],[L1N]],IF(Transactions[[#This Row],[Level 0]]=Transactions[[#This Row],[L3N]],Transactions[[#This Row],[L2N]],IF(Transactions[[#This Row],[Level 0]]=Transactions[[#This Row],[L4N]],Transactions[[#This Row],[L3N]],IF(Transactions[[#This Row],[Level 0]]=Transactions[[#This Row],[L5N]],Transactions[[#This Row],[L4N]],IF(Transactions[[#This Row],[Level 0]]=Transactions[[#This Row],[L6N]],Transactions[[#This Row],[L5N]],IF(Transactions[[#This Row],[Level 0]]=Transactions[[#This Row],[L7N]],Transactions[[#This Row],[L6N]],Transactions[[#This Row],[L7N]]))))))))</f>
        <v>IC Main activity producers</v>
      </c>
      <c r="AT114" s="24" t="str">
        <f>IF(Transactions[[#This Row],[Level 1]]=Transactions[[#This Row],[Transaction name]],Transactions[[#This Row],[Transaction name]],IF(Transactions[[#This Row],[Level 1]]=Transactions[[#This Row],[L1N]],Transactions[[#This Row],[Transaction name]],IF(Transactions[[#This Row],[Level 1]]=Transactions[[#This Row],[L2N]],Transactions[[#This Row],[L1N]],IF(Transactions[[#This Row],[Level 1]]=Transactions[[#This Row],[L3N]],Transactions[[#This Row],[L2N]],IF(Transactions[[#This Row],[Level 1]]=Transactions[[#This Row],[L4N]],Transactions[[#This Row],[L3N]],IF(Transactions[[#This Row],[Level 1]]=Transactions[[#This Row],[L5N]],Transactions[[#This Row],[L4N]],IF(Transactions[[#This Row],[Level 1]]=Transactions[[#This Row],[L6N]],Transactions[[#This Row],[L5N]],IF(Transactions[[#This Row],[Level 1]]=Transactions[[#This Row],[L7N]],Transactions[[#This Row],[L6N]],Transactions[[#This Row],[L7N]]))))))))</f>
        <v>IC Main activity producers</v>
      </c>
      <c r="AU114" s="24" t="str">
        <f>IF(Transactions[[#This Row],[Level 2]]=Transactions[[#This Row],[Transaction name]],Transactions[[#This Row],[Transaction name]],IF(Transactions[[#This Row],[Level 2]]=Transactions[[#This Row],[L1N]],Transactions[[#This Row],[Transaction name]],IF(Transactions[[#This Row],[Level 2]]=Transactions[[#This Row],[L2N]],Transactions[[#This Row],[L1N]],IF(Transactions[[#This Row],[Level 2]]=Transactions[[#This Row],[L3N]],Transactions[[#This Row],[L2N]],IF(Transactions[[#This Row],[Level 2]]=Transactions[[#This Row],[L4N]],Transactions[[#This Row],[L3N]],IF(Transactions[[#This Row],[Level 2]]=Transactions[[#This Row],[L5N]],Transactions[[#This Row],[L4N]],IF(Transactions[[#This Row],[Level 2]]=Transactions[[#This Row],[L6N]],Transactions[[#This Row],[L5N]],IF(Transactions[[#This Row],[Level 2]]=Transactions[[#This Row],[L7N]],Transactions[[#This Row],[L6N]],Transactions[[#This Row],[L7N]]))))))))</f>
        <v>IC Main activity producers</v>
      </c>
      <c r="AV114" s="24" t="str">
        <f>IF(Transactions[[#This Row],[Level 3]]=Transactions[[#This Row],[Transaction name]],Transactions[[#This Row],[Transaction name]],IF(Transactions[[#This Row],[Level 3]]=Transactions[[#This Row],[L1N]],Transactions[[#This Row],[Transaction name]],IF(Transactions[[#This Row],[Level 3]]=Transactions[[#This Row],[L2N]],Transactions[[#This Row],[L1N]],IF(Transactions[[#This Row],[Level 3]]=Transactions[[#This Row],[L3N]],Transactions[[#This Row],[L2N]],IF(Transactions[[#This Row],[Level 3]]=Transactions[[#This Row],[L4N]],Transactions[[#This Row],[L3N]],IF(Transactions[[#This Row],[Level 3]]=Transactions[[#This Row],[L5N]],Transactions[[#This Row],[L4N]],IF(Transactions[[#This Row],[Level 3]]=Transactions[[#This Row],[L6N]],Transactions[[#This Row],[L5N]],IF(Transactions[[#This Row],[Level 3]]=Transactions[[#This Row],[L7N]],Transactions[[#This Row],[L6N]],Transactions[[#This Row],[L7N]]))))))))</f>
        <v>IC Main activity producers</v>
      </c>
      <c r="AW114" s="24" t="str">
        <f>IF(Transactions[[#This Row],[Level 4]]=Transactions[[#This Row],[Transaction name]],Transactions[[#This Row],[Transaction name]],IF(Transactions[[#This Row],[Level 4]]=Transactions[[#This Row],[L1N]],Transactions[[#This Row],[Transaction name]],IF(Transactions[[#This Row],[Level 4]]=Transactions[[#This Row],[L2N]],Transactions[[#This Row],[L1N]],IF(Transactions[[#This Row],[Level 4]]=Transactions[[#This Row],[L3N]],Transactions[[#This Row],[L2N]],IF(Transactions[[#This Row],[Level 4]]=Transactions[[#This Row],[L4N]],Transactions[[#This Row],[L3N]],IF(Transactions[[#This Row],[Level 4]]=Transactions[[#This Row],[L5N]],Transactions[[#This Row],[L4N]],IF(Transactions[[#This Row],[Level 4]]=Transactions[[#This Row],[L6N]],Transactions[[#This Row],[L5N]],IF(Transactions[[#This Row],[Level 4]]=Transactions[[#This Row],[L7N]],Transactions[[#This Row],[L6N]],Transactions[[#This Row],[L7N]]))))))))</f>
        <v>IC Main activity producers</v>
      </c>
      <c r="AX114" s="24" t="str">
        <f>IF(Transactions[[#This Row],[Level 5]]=Transactions[[#This Row],[Transaction name]],Transactions[[#This Row],[Transaction name]],IF(Transactions[[#This Row],[Level 5]]=Transactions[[#This Row],[L1N]],Transactions[[#This Row],[Transaction name]],IF(Transactions[[#This Row],[Level 5]]=Transactions[[#This Row],[L2N]],Transactions[[#This Row],[L1N]],IF(Transactions[[#This Row],[Level 5]]=Transactions[[#This Row],[L3N]],Transactions[[#This Row],[L2N]],IF(Transactions[[#This Row],[Level 5]]=Transactions[[#This Row],[L4N]],Transactions[[#This Row],[L3N]],IF(Transactions[[#This Row],[Level 5]]=Transactions[[#This Row],[L5N]],Transactions[[#This Row],[L4N]],IF(Transactions[[#This Row],[Level 5]]=Transactions[[#This Row],[L6N]],Transactions[[#This Row],[L5N]],IF(Transactions[[#This Row],[Level 5]]=Transactions[[#This Row],[L7N]],Transactions[[#This Row],[L6N]],Transactions[[#This Row],[L7N]]))))))))</f>
        <v>IC Main activity producers</v>
      </c>
      <c r="AY114" s="24" t="str">
        <f>IF(Transactions[[#This Row],[Level 6]]=Transactions[[#This Row],[Transaction name]],Transactions[[#This Row],[Transaction name]],IF(Transactions[[#This Row],[Level 6]]=Transactions[[#This Row],[L1N]],Transactions[[#This Row],[Transaction name]],IF(Transactions[[#This Row],[Level 6]]=Transactions[[#This Row],[L2N]],Transactions[[#This Row],[L1N]],IF(Transactions[[#This Row],[Level 6]]=Transactions[[#This Row],[L3N]],Transactions[[#This Row],[L2N]],IF(Transactions[[#This Row],[Level 6]]=Transactions[[#This Row],[L4N]],Transactions[[#This Row],[L3N]],IF(Transactions[[#This Row],[Level 6]]=Transactions[[#This Row],[L5N]],Transactions[[#This Row],[L4N]],IF(Transactions[[#This Row],[Level 6]]=Transactions[[#This Row],[L6N]],Transactions[[#This Row],[L5N]],IF(Transactions[[#This Row],[Level 6]]=Transactions[[#This Row],[L7N]],Transactions[[#This Row],[L6N]],Transactions[[#This Row],[L7N]]))))))))</f>
        <v>IC Main activity producers</v>
      </c>
      <c r="BE114" s="26" t="str">
        <f>_xlfn.XLOOKUP(Transformation[[#This Row],[cfrom]],Commodities[Commodity],Commodities[Commodity code])</f>
        <v>0371</v>
      </c>
      <c r="BF114" s="26" t="str">
        <f>_xlfn.XLOOKUP(Transformation[[#This Row],[tfrom]],Transactions[Transaction name],Transactions[Transaction code])</f>
        <v>08812</v>
      </c>
      <c r="BG114" s="26" t="str">
        <f>_xlfn.XLOOKUP(Transformation[[#This Row],[cto]],Commodities[Commodity],Commodities[Commodity code])</f>
        <v>0371</v>
      </c>
      <c r="BH114" s="26" t="str">
        <f>_xlfn.XLOOKUP(Transformation[[#This Row],[tto]],Transactions[Transaction name],Transactions[Transaction code])</f>
        <v>016CGE</v>
      </c>
      <c r="BI114" s="11">
        <v>1</v>
      </c>
      <c r="BJ114" s="4" t="s">
        <v>476</v>
      </c>
      <c r="BK114" s="24" t="str">
        <f>_xlfn.XLOOKUP(Transformation[[#This Row],[Commodity from]],Commodities[Commodity code],Commodities[EnergyCode])</f>
        <v>BG</v>
      </c>
      <c r="BL114" s="4" t="s">
        <v>690</v>
      </c>
      <c r="BM114" s="4" t="s">
        <v>476</v>
      </c>
      <c r="BN114" s="24" t="str">
        <f>_xlfn.XLOOKUP(Transformation[[#This Row],[Commodity to]],Commodities[Commodity code],Commodities[EnergyCode])</f>
        <v>BG</v>
      </c>
      <c r="BO114" s="4" t="s">
        <v>1222</v>
      </c>
      <c r="BP114" s="16" t="s">
        <v>1493</v>
      </c>
      <c r="BQ114" s="33" t="str">
        <f>Transformation[[#This Row],[Commodity from]]&amp;Transformation[[#This Row],[Transaction from]]&amp;Transformation[[#This Row],[Commodity to]]&amp;Transformation[[#This Row],[Transaction to]]</f>
        <v>0371088120371016CGE</v>
      </c>
      <c r="BR114" s="26" t="str">
        <f>Transformation[[#This Row],[crfomid]]&amp;Transformation[[#This Row],[Transaction from]]&amp;"("&amp;Transformation[[#This Row],[Multiplier]]&amp;") -&gt; "&amp;Transformation[[#This Row],[ctoid]]&amp;Transformation[[#This Row],[Transaction to]]</f>
        <v>BG08812(1) -&gt; BG016CGE</v>
      </c>
    </row>
    <row r="115" spans="25:70" x14ac:dyDescent="0.45">
      <c r="Y115" s="5" t="s">
        <v>55</v>
      </c>
      <c r="Z115" s="4" t="s">
        <v>995</v>
      </c>
      <c r="AA115" s="4" t="s">
        <v>995</v>
      </c>
      <c r="AB115" s="6" t="s">
        <v>10</v>
      </c>
      <c r="AC115" s="24" t="str">
        <f>IFERROR(VLOOKUP(Transactions[[#This Row],[Parent code]],Transactions[[Transaction code]:[Transaction name]],2,0),"")</f>
        <v>IC Electricity plants</v>
      </c>
      <c r="AD115" s="4" t="s">
        <v>632</v>
      </c>
      <c r="AE115" s="4" t="s">
        <v>632</v>
      </c>
      <c r="AF115" s="4" t="s">
        <v>642</v>
      </c>
      <c r="AG115" s="4" t="s">
        <v>1</v>
      </c>
      <c r="AH115" s="4" t="s">
        <v>696</v>
      </c>
      <c r="AK115" s="24" t="str" cm="1">
        <f t="array" ref="AK115">IFERROR(INDEX(Transactions[[Transaction code]:[Transaction name]],_xlfn.XMATCH(Transactions[[#This Row],[Parent code]],Transactions[Transaction name],0),3),Transactions[[#This Row],[Transaction name]])</f>
        <v>IC Marine energy</v>
      </c>
      <c r="AL115" s="24" t="str" cm="1">
        <f t="array" ref="AL115">IFERROR(INDEX(Transactions[[Transaction code]:[Transaction name]],_xlfn.XMATCH(INDEX(Transactions[[Transaction name]:[Parent code]],_xlfn.XMATCH(Transactions[[#This Row],[L1N]],Transactions[Transaction name],0),3),Transactions[Transaction code],0),2),Transactions[[#This Row],[L1N]])</f>
        <v>IC Electricity plants</v>
      </c>
      <c r="AM115" s="24" t="str" cm="1">
        <f t="array" ref="AM115">IFERROR(INDEX(Transactions[[Transaction code]:[Transaction name]],_xlfn.XMATCH(INDEX(Transactions[[Transaction name]:[Parent code]],_xlfn.XMATCH(Transactions[[#This Row],[L2N]],Transactions[Transaction name],0),3),Transactions[Transaction code],0),2),Transactions[[#This Row],[L2N]])</f>
        <v>IC Electricity plants</v>
      </c>
      <c r="AN115" s="24" t="str" cm="1">
        <f t="array" ref="AN115">IFERROR(INDEX(Transactions[[Transaction code]:[Transaction name]],_xlfn.XMATCH(INDEX(Transactions[[Transaction name]:[Parent code]],_xlfn.XMATCH(Transactions[[#This Row],[L3N]],Transactions[Transaction name],0),3),Transactions[Transaction code],0),2),Transactions[[#This Row],[L3N]])</f>
        <v>IC Electricity plants</v>
      </c>
      <c r="AO115" s="24" t="str" cm="1">
        <f t="array" ref="AO115">IFERROR(INDEX(Transactions[[Transaction code]:[Transaction name]],_xlfn.XMATCH(INDEX(Transactions[[Transaction name]:[Parent code]],_xlfn.XMATCH(Transactions[[#This Row],[L4N]],Transactions[Transaction name],0),3),Transactions[Transaction code],0),2),Transactions[[#This Row],[L4N]])</f>
        <v>IC Electricity plants</v>
      </c>
      <c r="AP115" s="24" t="str" cm="1">
        <f t="array" ref="AP115">IFERROR(INDEX(Transactions[[Transaction code]:[Transaction name]],_xlfn.XMATCH(INDEX(Transactions[[Transaction name]:[Parent code]],_xlfn.XMATCH(Transactions[[#This Row],[L5N]],Transactions[Transaction name],0),3),Transactions[Transaction code],0),2),Transactions[[#This Row],[L5N]])</f>
        <v>IC Electricity plants</v>
      </c>
      <c r="AQ115" s="24" t="str" cm="1">
        <f t="array" ref="AQ115">IFERROR(INDEX(Transactions[[Transaction code]:[Transaction name]],_xlfn.XMATCH(INDEX(Transactions[[Transaction name]:[Parent code]],_xlfn.XMATCH(Transactions[[#This Row],[L6N]],Transactions[Transaction name],0),3),Transactions[Transaction code],0),2),Transactions[[#This Row],[L6N]])</f>
        <v>IC Electricity plants</v>
      </c>
      <c r="AR115" s="27" t="str">
        <f>IF(Transactions[[#This Row],[L7N]]=Transactions[[#This Row],[L6N]],Transactions[[#This Row],[L7N]],IF(Transactions[[#This Row],[L6N]]=Transactions[[#This Row],[L5N]],Transactions[[#This Row],[L6N]],IF(Transactions[[#This Row],[L5N]]=Transactions[[#This Row],[L4N]],Transactions[[#This Row],[L5N]],IF(Transactions[[#This Row],[L4N]]=Transactions[[#This Row],[L3N]],Transactions[[#This Row],[L4N]],IF(Transactions[[#This Row],[L3N]]=Transactions[[#This Row],[L2N]],Transactions[[#This Row],[L3N]],IF(Transactions[[#This Row],[L2N]]=Transactions[[#This Row],[L1N]],Transactions[[#This Row],[L2N]],IF(Transactions[[#This Row],[L1N]]=Transactions[[#This Row],[Transaction name]],Transactions[[#This Row],[L1N]],Transactions[[#This Row],[Transaction name]])))))))</f>
        <v>IC Electricity plants</v>
      </c>
      <c r="AS115" s="24" t="str">
        <f>IF(Transactions[[#This Row],[Level 0]]=Transactions[[#This Row],[Transaction name]],Transactions[[#This Row],[Transaction name]],IF(Transactions[[#This Row],[Level 0]]=Transactions[[#This Row],[L1N]],Transactions[[#This Row],[Transaction name]],IF(Transactions[[#This Row],[Level 0]]=Transactions[[#This Row],[L2N]],Transactions[[#This Row],[L1N]],IF(Transactions[[#This Row],[Level 0]]=Transactions[[#This Row],[L3N]],Transactions[[#This Row],[L2N]],IF(Transactions[[#This Row],[Level 0]]=Transactions[[#This Row],[L4N]],Transactions[[#This Row],[L3N]],IF(Transactions[[#This Row],[Level 0]]=Transactions[[#This Row],[L5N]],Transactions[[#This Row],[L4N]],IF(Transactions[[#This Row],[Level 0]]=Transactions[[#This Row],[L6N]],Transactions[[#This Row],[L5N]],IF(Transactions[[#This Row],[Level 0]]=Transactions[[#This Row],[L7N]],Transactions[[#This Row],[L6N]],Transactions[[#This Row],[L7N]]))))))))</f>
        <v>IC Marine energy</v>
      </c>
      <c r="AT115" s="24" t="str">
        <f>IF(Transactions[[#This Row],[Level 1]]=Transactions[[#This Row],[Transaction name]],Transactions[[#This Row],[Transaction name]],IF(Transactions[[#This Row],[Level 1]]=Transactions[[#This Row],[L1N]],Transactions[[#This Row],[Transaction name]],IF(Transactions[[#This Row],[Level 1]]=Transactions[[#This Row],[L2N]],Transactions[[#This Row],[L1N]],IF(Transactions[[#This Row],[Level 1]]=Transactions[[#This Row],[L3N]],Transactions[[#This Row],[L2N]],IF(Transactions[[#This Row],[Level 1]]=Transactions[[#This Row],[L4N]],Transactions[[#This Row],[L3N]],IF(Transactions[[#This Row],[Level 1]]=Transactions[[#This Row],[L5N]],Transactions[[#This Row],[L4N]],IF(Transactions[[#This Row],[Level 1]]=Transactions[[#This Row],[L6N]],Transactions[[#This Row],[L5N]],IF(Transactions[[#This Row],[Level 1]]=Transactions[[#This Row],[L7N]],Transactions[[#This Row],[L6N]],Transactions[[#This Row],[L7N]]))))))))</f>
        <v>IC Marine energy</v>
      </c>
      <c r="AU115" s="24" t="str">
        <f>IF(Transactions[[#This Row],[Level 2]]=Transactions[[#This Row],[Transaction name]],Transactions[[#This Row],[Transaction name]],IF(Transactions[[#This Row],[Level 2]]=Transactions[[#This Row],[L1N]],Transactions[[#This Row],[Transaction name]],IF(Transactions[[#This Row],[Level 2]]=Transactions[[#This Row],[L2N]],Transactions[[#This Row],[L1N]],IF(Transactions[[#This Row],[Level 2]]=Transactions[[#This Row],[L3N]],Transactions[[#This Row],[L2N]],IF(Transactions[[#This Row],[Level 2]]=Transactions[[#This Row],[L4N]],Transactions[[#This Row],[L3N]],IF(Transactions[[#This Row],[Level 2]]=Transactions[[#This Row],[L5N]],Transactions[[#This Row],[L4N]],IF(Transactions[[#This Row],[Level 2]]=Transactions[[#This Row],[L6N]],Transactions[[#This Row],[L5N]],IF(Transactions[[#This Row],[Level 2]]=Transactions[[#This Row],[L7N]],Transactions[[#This Row],[L6N]],Transactions[[#This Row],[L7N]]))))))))</f>
        <v>IC Marine energy</v>
      </c>
      <c r="AV115" s="24" t="str">
        <f>IF(Transactions[[#This Row],[Level 3]]=Transactions[[#This Row],[Transaction name]],Transactions[[#This Row],[Transaction name]],IF(Transactions[[#This Row],[Level 3]]=Transactions[[#This Row],[L1N]],Transactions[[#This Row],[Transaction name]],IF(Transactions[[#This Row],[Level 3]]=Transactions[[#This Row],[L2N]],Transactions[[#This Row],[L1N]],IF(Transactions[[#This Row],[Level 3]]=Transactions[[#This Row],[L3N]],Transactions[[#This Row],[L2N]],IF(Transactions[[#This Row],[Level 3]]=Transactions[[#This Row],[L4N]],Transactions[[#This Row],[L3N]],IF(Transactions[[#This Row],[Level 3]]=Transactions[[#This Row],[L5N]],Transactions[[#This Row],[L4N]],IF(Transactions[[#This Row],[Level 3]]=Transactions[[#This Row],[L6N]],Transactions[[#This Row],[L5N]],IF(Transactions[[#This Row],[Level 3]]=Transactions[[#This Row],[L7N]],Transactions[[#This Row],[L6N]],Transactions[[#This Row],[L7N]]))))))))</f>
        <v>IC Marine energy</v>
      </c>
      <c r="AW115" s="24" t="str">
        <f>IF(Transactions[[#This Row],[Level 4]]=Transactions[[#This Row],[Transaction name]],Transactions[[#This Row],[Transaction name]],IF(Transactions[[#This Row],[Level 4]]=Transactions[[#This Row],[L1N]],Transactions[[#This Row],[Transaction name]],IF(Transactions[[#This Row],[Level 4]]=Transactions[[#This Row],[L2N]],Transactions[[#This Row],[L1N]],IF(Transactions[[#This Row],[Level 4]]=Transactions[[#This Row],[L3N]],Transactions[[#This Row],[L2N]],IF(Transactions[[#This Row],[Level 4]]=Transactions[[#This Row],[L4N]],Transactions[[#This Row],[L3N]],IF(Transactions[[#This Row],[Level 4]]=Transactions[[#This Row],[L5N]],Transactions[[#This Row],[L4N]],IF(Transactions[[#This Row],[Level 4]]=Transactions[[#This Row],[L6N]],Transactions[[#This Row],[L5N]],IF(Transactions[[#This Row],[Level 4]]=Transactions[[#This Row],[L7N]],Transactions[[#This Row],[L6N]],Transactions[[#This Row],[L7N]]))))))))</f>
        <v>IC Marine energy</v>
      </c>
      <c r="AX115" s="24" t="str">
        <f>IF(Transactions[[#This Row],[Level 5]]=Transactions[[#This Row],[Transaction name]],Transactions[[#This Row],[Transaction name]],IF(Transactions[[#This Row],[Level 5]]=Transactions[[#This Row],[L1N]],Transactions[[#This Row],[Transaction name]],IF(Transactions[[#This Row],[Level 5]]=Transactions[[#This Row],[L2N]],Transactions[[#This Row],[L1N]],IF(Transactions[[#This Row],[Level 5]]=Transactions[[#This Row],[L3N]],Transactions[[#This Row],[L2N]],IF(Transactions[[#This Row],[Level 5]]=Transactions[[#This Row],[L4N]],Transactions[[#This Row],[L3N]],IF(Transactions[[#This Row],[Level 5]]=Transactions[[#This Row],[L5N]],Transactions[[#This Row],[L4N]],IF(Transactions[[#This Row],[Level 5]]=Transactions[[#This Row],[L6N]],Transactions[[#This Row],[L5N]],IF(Transactions[[#This Row],[Level 5]]=Transactions[[#This Row],[L7N]],Transactions[[#This Row],[L6N]],Transactions[[#This Row],[L7N]]))))))))</f>
        <v>IC Marine energy</v>
      </c>
      <c r="AY115" s="24" t="str">
        <f>IF(Transactions[[#This Row],[Level 6]]=Transactions[[#This Row],[Transaction name]],Transactions[[#This Row],[Transaction name]],IF(Transactions[[#This Row],[Level 6]]=Transactions[[#This Row],[L1N]],Transactions[[#This Row],[Transaction name]],IF(Transactions[[#This Row],[Level 6]]=Transactions[[#This Row],[L2N]],Transactions[[#This Row],[L1N]],IF(Transactions[[#This Row],[Level 6]]=Transactions[[#This Row],[L3N]],Transactions[[#This Row],[L2N]],IF(Transactions[[#This Row],[Level 6]]=Transactions[[#This Row],[L4N]],Transactions[[#This Row],[L3N]],IF(Transactions[[#This Row],[Level 6]]=Transactions[[#This Row],[L5N]],Transactions[[#This Row],[L4N]],IF(Transactions[[#This Row],[Level 6]]=Transactions[[#This Row],[L6N]],Transactions[[#This Row],[L5N]],IF(Transactions[[#This Row],[Level 6]]=Transactions[[#This Row],[L7N]],Transactions[[#This Row],[L6N]],Transactions[[#This Row],[L7N]]))))))))</f>
        <v>IC Marine energy</v>
      </c>
      <c r="BE115" s="26" t="str">
        <f>_xlfn.XLOOKUP(Transformation[[#This Row],[cfrom]],Commodities[Commodity],Commodities[Commodity code])</f>
        <v>5300</v>
      </c>
      <c r="BF115" s="26" t="str">
        <f>_xlfn.XLOOKUP(Transformation[[#This Row],[tfrom]],Transactions[Transaction name],Transactions[Transaction code])</f>
        <v>08812</v>
      </c>
      <c r="BG115" s="26" t="str">
        <f>_xlfn.XLOOKUP(Transformation[[#This Row],[cto]],Commodities[Commodity],Commodities[Commodity code])</f>
        <v>5300</v>
      </c>
      <c r="BH115" s="26" t="str">
        <f>_xlfn.XLOOKUP(Transformation[[#This Row],[tto]],Transactions[Transaction name],Transactions[Transaction code])</f>
        <v>016BGE</v>
      </c>
      <c r="BI115" s="11">
        <v>1</v>
      </c>
      <c r="BJ115" s="4" t="s">
        <v>298</v>
      </c>
      <c r="BK115" s="24" t="str">
        <f>_xlfn.XLOOKUP(Transformation[[#This Row],[Commodity from]],Commodities[Commodity code],Commodities[EnergyCode])</f>
        <v>BI</v>
      </c>
      <c r="BL115" s="4" t="s">
        <v>690</v>
      </c>
      <c r="BM115" s="4" t="s">
        <v>298</v>
      </c>
      <c r="BN115" s="24" t="str">
        <f>_xlfn.XLOOKUP(Transformation[[#This Row],[Commodity to]],Commodities[Commodity code],Commodities[EnergyCode])</f>
        <v>BI</v>
      </c>
      <c r="BO115" s="4" t="s">
        <v>1071</v>
      </c>
      <c r="BP115" s="16" t="s">
        <v>1493</v>
      </c>
      <c r="BQ115" s="33" t="str">
        <f>Transformation[[#This Row],[Commodity from]]&amp;Transformation[[#This Row],[Transaction from]]&amp;Transformation[[#This Row],[Commodity to]]&amp;Transformation[[#This Row],[Transaction to]]</f>
        <v>5300088125300016BGE</v>
      </c>
      <c r="BR115" s="26" t="str">
        <f>Transformation[[#This Row],[crfomid]]&amp;Transformation[[#This Row],[Transaction from]]&amp;"("&amp;Transformation[[#This Row],[Multiplier]]&amp;") -&gt; "&amp;Transformation[[#This Row],[ctoid]]&amp;Transformation[[#This Row],[Transaction to]]</f>
        <v>BI08812(1) -&gt; BI016BGE</v>
      </c>
    </row>
    <row r="116" spans="25:70" x14ac:dyDescent="0.45">
      <c r="Y116" s="5" t="s">
        <v>57</v>
      </c>
      <c r="Z116" s="4" t="s">
        <v>997</v>
      </c>
      <c r="AA116" s="4" t="s">
        <v>997</v>
      </c>
      <c r="AB116" s="6" t="s">
        <v>55</v>
      </c>
      <c r="AC116" s="24" t="str">
        <f>IFERROR(VLOOKUP(Transactions[[#This Row],[Parent code]],Transactions[[Transaction code]:[Transaction name]],2,0),"")</f>
        <v>IC Marine energy</v>
      </c>
      <c r="AD116" s="4" t="s">
        <v>632</v>
      </c>
      <c r="AE116" s="4" t="s">
        <v>632</v>
      </c>
      <c r="AF116" s="4" t="s">
        <v>642</v>
      </c>
      <c r="AG116" s="4" t="s">
        <v>1</v>
      </c>
      <c r="AH116" s="4" t="s">
        <v>696</v>
      </c>
      <c r="AK116" s="24" t="str" cm="1">
        <f t="array" ref="AK116">IFERROR(INDEX(Transactions[[Transaction code]:[Transaction name]],_xlfn.XMATCH(Transactions[[#This Row],[Parent code]],Transactions[Transaction name],0),3),Transactions[[#This Row],[Transaction name]])</f>
        <v>IC Marine energy - Autoproducers</v>
      </c>
      <c r="AL116" s="24" t="str" cm="1">
        <f t="array" ref="AL116">IFERROR(INDEX(Transactions[[Transaction code]:[Transaction name]],_xlfn.XMATCH(INDEX(Transactions[[Transaction name]:[Parent code]],_xlfn.XMATCH(Transactions[[#This Row],[L1N]],Transactions[Transaction name],0),3),Transactions[Transaction code],0),2),Transactions[[#This Row],[L1N]])</f>
        <v>IC Marine energy</v>
      </c>
      <c r="AM116" s="24" t="str" cm="1">
        <f t="array" ref="AM116">IFERROR(INDEX(Transactions[[Transaction code]:[Transaction name]],_xlfn.XMATCH(INDEX(Transactions[[Transaction name]:[Parent code]],_xlfn.XMATCH(Transactions[[#This Row],[L2N]],Transactions[Transaction name],0),3),Transactions[Transaction code],0),2),Transactions[[#This Row],[L2N]])</f>
        <v>IC Electricity plants</v>
      </c>
      <c r="AN116" s="24" t="str" cm="1">
        <f t="array" ref="AN116">IFERROR(INDEX(Transactions[[Transaction code]:[Transaction name]],_xlfn.XMATCH(INDEX(Transactions[[Transaction name]:[Parent code]],_xlfn.XMATCH(Transactions[[#This Row],[L3N]],Transactions[Transaction name],0),3),Transactions[Transaction code],0),2),Transactions[[#This Row],[L3N]])</f>
        <v>IC Electricity plants</v>
      </c>
      <c r="AO116" s="24" t="str" cm="1">
        <f t="array" ref="AO116">IFERROR(INDEX(Transactions[[Transaction code]:[Transaction name]],_xlfn.XMATCH(INDEX(Transactions[[Transaction name]:[Parent code]],_xlfn.XMATCH(Transactions[[#This Row],[L4N]],Transactions[Transaction name],0),3),Transactions[Transaction code],0),2),Transactions[[#This Row],[L4N]])</f>
        <v>IC Electricity plants</v>
      </c>
      <c r="AP116" s="24" t="str" cm="1">
        <f t="array" ref="AP116">IFERROR(INDEX(Transactions[[Transaction code]:[Transaction name]],_xlfn.XMATCH(INDEX(Transactions[[Transaction name]:[Parent code]],_xlfn.XMATCH(Transactions[[#This Row],[L5N]],Transactions[Transaction name],0),3),Transactions[Transaction code],0),2),Transactions[[#This Row],[L5N]])</f>
        <v>IC Electricity plants</v>
      </c>
      <c r="AQ116" s="24" t="str" cm="1">
        <f t="array" ref="AQ116">IFERROR(INDEX(Transactions[[Transaction code]:[Transaction name]],_xlfn.XMATCH(INDEX(Transactions[[Transaction name]:[Parent code]],_xlfn.XMATCH(Transactions[[#This Row],[L6N]],Transactions[Transaction name],0),3),Transactions[Transaction code],0),2),Transactions[[#This Row],[L6N]])</f>
        <v>IC Electricity plants</v>
      </c>
      <c r="AR116" s="27" t="str">
        <f>IF(Transactions[[#This Row],[L7N]]=Transactions[[#This Row],[L6N]],Transactions[[#This Row],[L7N]],IF(Transactions[[#This Row],[L6N]]=Transactions[[#This Row],[L5N]],Transactions[[#This Row],[L6N]],IF(Transactions[[#This Row],[L5N]]=Transactions[[#This Row],[L4N]],Transactions[[#This Row],[L5N]],IF(Transactions[[#This Row],[L4N]]=Transactions[[#This Row],[L3N]],Transactions[[#This Row],[L4N]],IF(Transactions[[#This Row],[L3N]]=Transactions[[#This Row],[L2N]],Transactions[[#This Row],[L3N]],IF(Transactions[[#This Row],[L2N]]=Transactions[[#This Row],[L1N]],Transactions[[#This Row],[L2N]],IF(Transactions[[#This Row],[L1N]]=Transactions[[#This Row],[Transaction name]],Transactions[[#This Row],[L1N]],Transactions[[#This Row],[Transaction name]])))))))</f>
        <v>IC Electricity plants</v>
      </c>
      <c r="AS116" s="24" t="str">
        <f>IF(Transactions[[#This Row],[Level 0]]=Transactions[[#This Row],[Transaction name]],Transactions[[#This Row],[Transaction name]],IF(Transactions[[#This Row],[Level 0]]=Transactions[[#This Row],[L1N]],Transactions[[#This Row],[Transaction name]],IF(Transactions[[#This Row],[Level 0]]=Transactions[[#This Row],[L2N]],Transactions[[#This Row],[L1N]],IF(Transactions[[#This Row],[Level 0]]=Transactions[[#This Row],[L3N]],Transactions[[#This Row],[L2N]],IF(Transactions[[#This Row],[Level 0]]=Transactions[[#This Row],[L4N]],Transactions[[#This Row],[L3N]],IF(Transactions[[#This Row],[Level 0]]=Transactions[[#This Row],[L5N]],Transactions[[#This Row],[L4N]],IF(Transactions[[#This Row],[Level 0]]=Transactions[[#This Row],[L6N]],Transactions[[#This Row],[L5N]],IF(Transactions[[#This Row],[Level 0]]=Transactions[[#This Row],[L7N]],Transactions[[#This Row],[L6N]],Transactions[[#This Row],[L7N]]))))))))</f>
        <v>IC Marine energy</v>
      </c>
      <c r="AT116" s="24" t="str">
        <f>IF(Transactions[[#This Row],[Level 1]]=Transactions[[#This Row],[Transaction name]],Transactions[[#This Row],[Transaction name]],IF(Transactions[[#This Row],[Level 1]]=Transactions[[#This Row],[L1N]],Transactions[[#This Row],[Transaction name]],IF(Transactions[[#This Row],[Level 1]]=Transactions[[#This Row],[L2N]],Transactions[[#This Row],[L1N]],IF(Transactions[[#This Row],[Level 1]]=Transactions[[#This Row],[L3N]],Transactions[[#This Row],[L2N]],IF(Transactions[[#This Row],[Level 1]]=Transactions[[#This Row],[L4N]],Transactions[[#This Row],[L3N]],IF(Transactions[[#This Row],[Level 1]]=Transactions[[#This Row],[L5N]],Transactions[[#This Row],[L4N]],IF(Transactions[[#This Row],[Level 1]]=Transactions[[#This Row],[L6N]],Transactions[[#This Row],[L5N]],IF(Transactions[[#This Row],[Level 1]]=Transactions[[#This Row],[L7N]],Transactions[[#This Row],[L6N]],Transactions[[#This Row],[L7N]]))))))))</f>
        <v>IC Marine energy - Autoproducers</v>
      </c>
      <c r="AU116" s="24" t="str">
        <f>IF(Transactions[[#This Row],[Level 2]]=Transactions[[#This Row],[Transaction name]],Transactions[[#This Row],[Transaction name]],IF(Transactions[[#This Row],[Level 2]]=Transactions[[#This Row],[L1N]],Transactions[[#This Row],[Transaction name]],IF(Transactions[[#This Row],[Level 2]]=Transactions[[#This Row],[L2N]],Transactions[[#This Row],[L1N]],IF(Transactions[[#This Row],[Level 2]]=Transactions[[#This Row],[L3N]],Transactions[[#This Row],[L2N]],IF(Transactions[[#This Row],[Level 2]]=Transactions[[#This Row],[L4N]],Transactions[[#This Row],[L3N]],IF(Transactions[[#This Row],[Level 2]]=Transactions[[#This Row],[L5N]],Transactions[[#This Row],[L4N]],IF(Transactions[[#This Row],[Level 2]]=Transactions[[#This Row],[L6N]],Transactions[[#This Row],[L5N]],IF(Transactions[[#This Row],[Level 2]]=Transactions[[#This Row],[L7N]],Transactions[[#This Row],[L6N]],Transactions[[#This Row],[L7N]]))))))))</f>
        <v>IC Marine energy - Autoproducers</v>
      </c>
      <c r="AV116" s="24" t="str">
        <f>IF(Transactions[[#This Row],[Level 3]]=Transactions[[#This Row],[Transaction name]],Transactions[[#This Row],[Transaction name]],IF(Transactions[[#This Row],[Level 3]]=Transactions[[#This Row],[L1N]],Transactions[[#This Row],[Transaction name]],IF(Transactions[[#This Row],[Level 3]]=Transactions[[#This Row],[L2N]],Transactions[[#This Row],[L1N]],IF(Transactions[[#This Row],[Level 3]]=Transactions[[#This Row],[L3N]],Transactions[[#This Row],[L2N]],IF(Transactions[[#This Row],[Level 3]]=Transactions[[#This Row],[L4N]],Transactions[[#This Row],[L3N]],IF(Transactions[[#This Row],[Level 3]]=Transactions[[#This Row],[L5N]],Transactions[[#This Row],[L4N]],IF(Transactions[[#This Row],[Level 3]]=Transactions[[#This Row],[L6N]],Transactions[[#This Row],[L5N]],IF(Transactions[[#This Row],[Level 3]]=Transactions[[#This Row],[L7N]],Transactions[[#This Row],[L6N]],Transactions[[#This Row],[L7N]]))))))))</f>
        <v>IC Marine energy - Autoproducers</v>
      </c>
      <c r="AW116" s="24" t="str">
        <f>IF(Transactions[[#This Row],[Level 4]]=Transactions[[#This Row],[Transaction name]],Transactions[[#This Row],[Transaction name]],IF(Transactions[[#This Row],[Level 4]]=Transactions[[#This Row],[L1N]],Transactions[[#This Row],[Transaction name]],IF(Transactions[[#This Row],[Level 4]]=Transactions[[#This Row],[L2N]],Transactions[[#This Row],[L1N]],IF(Transactions[[#This Row],[Level 4]]=Transactions[[#This Row],[L3N]],Transactions[[#This Row],[L2N]],IF(Transactions[[#This Row],[Level 4]]=Transactions[[#This Row],[L4N]],Transactions[[#This Row],[L3N]],IF(Transactions[[#This Row],[Level 4]]=Transactions[[#This Row],[L5N]],Transactions[[#This Row],[L4N]],IF(Transactions[[#This Row],[Level 4]]=Transactions[[#This Row],[L6N]],Transactions[[#This Row],[L5N]],IF(Transactions[[#This Row],[Level 4]]=Transactions[[#This Row],[L7N]],Transactions[[#This Row],[L6N]],Transactions[[#This Row],[L7N]]))))))))</f>
        <v>IC Marine energy - Autoproducers</v>
      </c>
      <c r="AX116" s="24" t="str">
        <f>IF(Transactions[[#This Row],[Level 5]]=Transactions[[#This Row],[Transaction name]],Transactions[[#This Row],[Transaction name]],IF(Transactions[[#This Row],[Level 5]]=Transactions[[#This Row],[L1N]],Transactions[[#This Row],[Transaction name]],IF(Transactions[[#This Row],[Level 5]]=Transactions[[#This Row],[L2N]],Transactions[[#This Row],[L1N]],IF(Transactions[[#This Row],[Level 5]]=Transactions[[#This Row],[L3N]],Transactions[[#This Row],[L2N]],IF(Transactions[[#This Row],[Level 5]]=Transactions[[#This Row],[L4N]],Transactions[[#This Row],[L3N]],IF(Transactions[[#This Row],[Level 5]]=Transactions[[#This Row],[L5N]],Transactions[[#This Row],[L4N]],IF(Transactions[[#This Row],[Level 5]]=Transactions[[#This Row],[L6N]],Transactions[[#This Row],[L5N]],IF(Transactions[[#This Row],[Level 5]]=Transactions[[#This Row],[L7N]],Transactions[[#This Row],[L6N]],Transactions[[#This Row],[L7N]]))))))))</f>
        <v>IC Marine energy - Autoproducers</v>
      </c>
      <c r="AY116" s="24" t="str">
        <f>IF(Transactions[[#This Row],[Level 6]]=Transactions[[#This Row],[Transaction name]],Transactions[[#This Row],[Transaction name]],IF(Transactions[[#This Row],[Level 6]]=Transactions[[#This Row],[L1N]],Transactions[[#This Row],[Transaction name]],IF(Transactions[[#This Row],[Level 6]]=Transactions[[#This Row],[L2N]],Transactions[[#This Row],[L1N]],IF(Transactions[[#This Row],[Level 6]]=Transactions[[#This Row],[L3N]],Transactions[[#This Row],[L2N]],IF(Transactions[[#This Row],[Level 6]]=Transactions[[#This Row],[L4N]],Transactions[[#This Row],[L3N]],IF(Transactions[[#This Row],[Level 6]]=Transactions[[#This Row],[L5N]],Transactions[[#This Row],[L4N]],IF(Transactions[[#This Row],[Level 6]]=Transactions[[#This Row],[L6N]],Transactions[[#This Row],[L5N]],IF(Transactions[[#This Row],[Level 6]]=Transactions[[#This Row],[L7N]],Transactions[[#This Row],[L6N]],Transactions[[#This Row],[L7N]]))))))))</f>
        <v>IC Marine energy - Autoproducers</v>
      </c>
      <c r="BE116" s="26" t="str">
        <f>_xlfn.XLOOKUP(Transformation[[#This Row],[cfrom]],Commodities[Commodity],Commodities[Commodity code])</f>
        <v>0379</v>
      </c>
      <c r="BF116" s="26" t="str">
        <f>_xlfn.XLOOKUP(Transformation[[#This Row],[tfrom]],Transactions[Transaction name],Transactions[Transaction code])</f>
        <v>08812</v>
      </c>
      <c r="BG116" s="26" t="str">
        <f>_xlfn.XLOOKUP(Transformation[[#This Row],[cto]],Commodities[Commodity],Commodities[Commodity code])</f>
        <v>0379</v>
      </c>
      <c r="BH116" s="26" t="str">
        <f>_xlfn.XLOOKUP(Transformation[[#This Row],[tto]],Transactions[Transaction name],Transactions[Transaction code])</f>
        <v>016CGE</v>
      </c>
      <c r="BI116" s="11">
        <v>1</v>
      </c>
      <c r="BJ116" s="4" t="s">
        <v>472</v>
      </c>
      <c r="BK116" s="24" t="str">
        <f>_xlfn.XLOOKUP(Transformation[[#This Row],[Commodity from]],Commodities[Commodity code],Commodities[EnergyCode])</f>
        <v>BO</v>
      </c>
      <c r="BL116" s="4" t="s">
        <v>690</v>
      </c>
      <c r="BM116" s="4" t="s">
        <v>472</v>
      </c>
      <c r="BN116" s="24" t="str">
        <f>_xlfn.XLOOKUP(Transformation[[#This Row],[Commodity to]],Commodities[Commodity code],Commodities[EnergyCode])</f>
        <v>BO</v>
      </c>
      <c r="BO116" s="4" t="s">
        <v>1222</v>
      </c>
      <c r="BP116" s="16" t="s">
        <v>1493</v>
      </c>
      <c r="BQ116" s="33" t="str">
        <f>Transformation[[#This Row],[Commodity from]]&amp;Transformation[[#This Row],[Transaction from]]&amp;Transformation[[#This Row],[Commodity to]]&amp;Transformation[[#This Row],[Transaction to]]</f>
        <v>0379088120379016CGE</v>
      </c>
      <c r="BR116" s="26" t="str">
        <f>Transformation[[#This Row],[crfomid]]&amp;Transformation[[#This Row],[Transaction from]]&amp;"("&amp;Transformation[[#This Row],[Multiplier]]&amp;") -&gt; "&amp;Transformation[[#This Row],[ctoid]]&amp;Transformation[[#This Row],[Transaction to]]</f>
        <v>BO08812(1) -&gt; BO016CGE</v>
      </c>
    </row>
    <row r="117" spans="25:70" x14ac:dyDescent="0.45">
      <c r="Y117" s="5" t="s">
        <v>59</v>
      </c>
      <c r="Z117" s="4" t="s">
        <v>996</v>
      </c>
      <c r="AA117" s="4" t="s">
        <v>996</v>
      </c>
      <c r="AB117" s="6" t="s">
        <v>55</v>
      </c>
      <c r="AC117" s="24" t="str">
        <f>IFERROR(VLOOKUP(Transactions[[#This Row],[Parent code]],Transactions[[Transaction code]:[Transaction name]],2,0),"")</f>
        <v>IC Marine energy</v>
      </c>
      <c r="AD117" s="4" t="s">
        <v>632</v>
      </c>
      <c r="AE117" s="4" t="s">
        <v>632</v>
      </c>
      <c r="AF117" s="4" t="s">
        <v>642</v>
      </c>
      <c r="AG117" s="4" t="s">
        <v>1</v>
      </c>
      <c r="AH117" s="4" t="s">
        <v>696</v>
      </c>
      <c r="AK117" s="24" t="str" cm="1">
        <f t="array" ref="AK117">IFERROR(INDEX(Transactions[[Transaction code]:[Transaction name]],_xlfn.XMATCH(Transactions[[#This Row],[Parent code]],Transactions[Transaction name],0),3),Transactions[[#This Row],[Transaction name]])</f>
        <v>IC Marine energy - Main activity producers</v>
      </c>
      <c r="AL117" s="24" t="str" cm="1">
        <f t="array" ref="AL117">IFERROR(INDEX(Transactions[[Transaction code]:[Transaction name]],_xlfn.XMATCH(INDEX(Transactions[[Transaction name]:[Parent code]],_xlfn.XMATCH(Transactions[[#This Row],[L1N]],Transactions[Transaction name],0),3),Transactions[Transaction code],0),2),Transactions[[#This Row],[L1N]])</f>
        <v>IC Marine energy</v>
      </c>
      <c r="AM117" s="24" t="str" cm="1">
        <f t="array" ref="AM117">IFERROR(INDEX(Transactions[[Transaction code]:[Transaction name]],_xlfn.XMATCH(INDEX(Transactions[[Transaction name]:[Parent code]],_xlfn.XMATCH(Transactions[[#This Row],[L2N]],Transactions[Transaction name],0),3),Transactions[Transaction code],0),2),Transactions[[#This Row],[L2N]])</f>
        <v>IC Electricity plants</v>
      </c>
      <c r="AN117" s="24" t="str" cm="1">
        <f t="array" ref="AN117">IFERROR(INDEX(Transactions[[Transaction code]:[Transaction name]],_xlfn.XMATCH(INDEX(Transactions[[Transaction name]:[Parent code]],_xlfn.XMATCH(Transactions[[#This Row],[L3N]],Transactions[Transaction name],0),3),Transactions[Transaction code],0),2),Transactions[[#This Row],[L3N]])</f>
        <v>IC Electricity plants</v>
      </c>
      <c r="AO117" s="24" t="str" cm="1">
        <f t="array" ref="AO117">IFERROR(INDEX(Transactions[[Transaction code]:[Transaction name]],_xlfn.XMATCH(INDEX(Transactions[[Transaction name]:[Parent code]],_xlfn.XMATCH(Transactions[[#This Row],[L4N]],Transactions[Transaction name],0),3),Transactions[Transaction code],0),2),Transactions[[#This Row],[L4N]])</f>
        <v>IC Electricity plants</v>
      </c>
      <c r="AP117" s="24" t="str" cm="1">
        <f t="array" ref="AP117">IFERROR(INDEX(Transactions[[Transaction code]:[Transaction name]],_xlfn.XMATCH(INDEX(Transactions[[Transaction name]:[Parent code]],_xlfn.XMATCH(Transactions[[#This Row],[L5N]],Transactions[Transaction name],0),3),Transactions[Transaction code],0),2),Transactions[[#This Row],[L5N]])</f>
        <v>IC Electricity plants</v>
      </c>
      <c r="AQ117" s="24" t="str" cm="1">
        <f t="array" ref="AQ117">IFERROR(INDEX(Transactions[[Transaction code]:[Transaction name]],_xlfn.XMATCH(INDEX(Transactions[[Transaction name]:[Parent code]],_xlfn.XMATCH(Transactions[[#This Row],[L6N]],Transactions[Transaction name],0),3),Transactions[Transaction code],0),2),Transactions[[#This Row],[L6N]])</f>
        <v>IC Electricity plants</v>
      </c>
      <c r="AR117" s="27" t="str">
        <f>IF(Transactions[[#This Row],[L7N]]=Transactions[[#This Row],[L6N]],Transactions[[#This Row],[L7N]],IF(Transactions[[#This Row],[L6N]]=Transactions[[#This Row],[L5N]],Transactions[[#This Row],[L6N]],IF(Transactions[[#This Row],[L5N]]=Transactions[[#This Row],[L4N]],Transactions[[#This Row],[L5N]],IF(Transactions[[#This Row],[L4N]]=Transactions[[#This Row],[L3N]],Transactions[[#This Row],[L4N]],IF(Transactions[[#This Row],[L3N]]=Transactions[[#This Row],[L2N]],Transactions[[#This Row],[L3N]],IF(Transactions[[#This Row],[L2N]]=Transactions[[#This Row],[L1N]],Transactions[[#This Row],[L2N]],IF(Transactions[[#This Row],[L1N]]=Transactions[[#This Row],[Transaction name]],Transactions[[#This Row],[L1N]],Transactions[[#This Row],[Transaction name]])))))))</f>
        <v>IC Electricity plants</v>
      </c>
      <c r="AS117" s="24" t="str">
        <f>IF(Transactions[[#This Row],[Level 0]]=Transactions[[#This Row],[Transaction name]],Transactions[[#This Row],[Transaction name]],IF(Transactions[[#This Row],[Level 0]]=Transactions[[#This Row],[L1N]],Transactions[[#This Row],[Transaction name]],IF(Transactions[[#This Row],[Level 0]]=Transactions[[#This Row],[L2N]],Transactions[[#This Row],[L1N]],IF(Transactions[[#This Row],[Level 0]]=Transactions[[#This Row],[L3N]],Transactions[[#This Row],[L2N]],IF(Transactions[[#This Row],[Level 0]]=Transactions[[#This Row],[L4N]],Transactions[[#This Row],[L3N]],IF(Transactions[[#This Row],[Level 0]]=Transactions[[#This Row],[L5N]],Transactions[[#This Row],[L4N]],IF(Transactions[[#This Row],[Level 0]]=Transactions[[#This Row],[L6N]],Transactions[[#This Row],[L5N]],IF(Transactions[[#This Row],[Level 0]]=Transactions[[#This Row],[L7N]],Transactions[[#This Row],[L6N]],Transactions[[#This Row],[L7N]]))))))))</f>
        <v>IC Marine energy</v>
      </c>
      <c r="AT117" s="24" t="str">
        <f>IF(Transactions[[#This Row],[Level 1]]=Transactions[[#This Row],[Transaction name]],Transactions[[#This Row],[Transaction name]],IF(Transactions[[#This Row],[Level 1]]=Transactions[[#This Row],[L1N]],Transactions[[#This Row],[Transaction name]],IF(Transactions[[#This Row],[Level 1]]=Transactions[[#This Row],[L2N]],Transactions[[#This Row],[L1N]],IF(Transactions[[#This Row],[Level 1]]=Transactions[[#This Row],[L3N]],Transactions[[#This Row],[L2N]],IF(Transactions[[#This Row],[Level 1]]=Transactions[[#This Row],[L4N]],Transactions[[#This Row],[L3N]],IF(Transactions[[#This Row],[Level 1]]=Transactions[[#This Row],[L5N]],Transactions[[#This Row],[L4N]],IF(Transactions[[#This Row],[Level 1]]=Transactions[[#This Row],[L6N]],Transactions[[#This Row],[L5N]],IF(Transactions[[#This Row],[Level 1]]=Transactions[[#This Row],[L7N]],Transactions[[#This Row],[L6N]],Transactions[[#This Row],[L7N]]))))))))</f>
        <v>IC Marine energy - Main activity producers</v>
      </c>
      <c r="AU117" s="24" t="str">
        <f>IF(Transactions[[#This Row],[Level 2]]=Transactions[[#This Row],[Transaction name]],Transactions[[#This Row],[Transaction name]],IF(Transactions[[#This Row],[Level 2]]=Transactions[[#This Row],[L1N]],Transactions[[#This Row],[Transaction name]],IF(Transactions[[#This Row],[Level 2]]=Transactions[[#This Row],[L2N]],Transactions[[#This Row],[L1N]],IF(Transactions[[#This Row],[Level 2]]=Transactions[[#This Row],[L3N]],Transactions[[#This Row],[L2N]],IF(Transactions[[#This Row],[Level 2]]=Transactions[[#This Row],[L4N]],Transactions[[#This Row],[L3N]],IF(Transactions[[#This Row],[Level 2]]=Transactions[[#This Row],[L5N]],Transactions[[#This Row],[L4N]],IF(Transactions[[#This Row],[Level 2]]=Transactions[[#This Row],[L6N]],Transactions[[#This Row],[L5N]],IF(Transactions[[#This Row],[Level 2]]=Transactions[[#This Row],[L7N]],Transactions[[#This Row],[L6N]],Transactions[[#This Row],[L7N]]))))))))</f>
        <v>IC Marine energy - Main activity producers</v>
      </c>
      <c r="AV117" s="24" t="str">
        <f>IF(Transactions[[#This Row],[Level 3]]=Transactions[[#This Row],[Transaction name]],Transactions[[#This Row],[Transaction name]],IF(Transactions[[#This Row],[Level 3]]=Transactions[[#This Row],[L1N]],Transactions[[#This Row],[Transaction name]],IF(Transactions[[#This Row],[Level 3]]=Transactions[[#This Row],[L2N]],Transactions[[#This Row],[L1N]],IF(Transactions[[#This Row],[Level 3]]=Transactions[[#This Row],[L3N]],Transactions[[#This Row],[L2N]],IF(Transactions[[#This Row],[Level 3]]=Transactions[[#This Row],[L4N]],Transactions[[#This Row],[L3N]],IF(Transactions[[#This Row],[Level 3]]=Transactions[[#This Row],[L5N]],Transactions[[#This Row],[L4N]],IF(Transactions[[#This Row],[Level 3]]=Transactions[[#This Row],[L6N]],Transactions[[#This Row],[L5N]],IF(Transactions[[#This Row],[Level 3]]=Transactions[[#This Row],[L7N]],Transactions[[#This Row],[L6N]],Transactions[[#This Row],[L7N]]))))))))</f>
        <v>IC Marine energy - Main activity producers</v>
      </c>
      <c r="AW117" s="24" t="str">
        <f>IF(Transactions[[#This Row],[Level 4]]=Transactions[[#This Row],[Transaction name]],Transactions[[#This Row],[Transaction name]],IF(Transactions[[#This Row],[Level 4]]=Transactions[[#This Row],[L1N]],Transactions[[#This Row],[Transaction name]],IF(Transactions[[#This Row],[Level 4]]=Transactions[[#This Row],[L2N]],Transactions[[#This Row],[L1N]],IF(Transactions[[#This Row],[Level 4]]=Transactions[[#This Row],[L3N]],Transactions[[#This Row],[L2N]],IF(Transactions[[#This Row],[Level 4]]=Transactions[[#This Row],[L4N]],Transactions[[#This Row],[L3N]],IF(Transactions[[#This Row],[Level 4]]=Transactions[[#This Row],[L5N]],Transactions[[#This Row],[L4N]],IF(Transactions[[#This Row],[Level 4]]=Transactions[[#This Row],[L6N]],Transactions[[#This Row],[L5N]],IF(Transactions[[#This Row],[Level 4]]=Transactions[[#This Row],[L7N]],Transactions[[#This Row],[L6N]],Transactions[[#This Row],[L7N]]))))))))</f>
        <v>IC Marine energy - Main activity producers</v>
      </c>
      <c r="AX117" s="24" t="str">
        <f>IF(Transactions[[#This Row],[Level 5]]=Transactions[[#This Row],[Transaction name]],Transactions[[#This Row],[Transaction name]],IF(Transactions[[#This Row],[Level 5]]=Transactions[[#This Row],[L1N]],Transactions[[#This Row],[Transaction name]],IF(Transactions[[#This Row],[Level 5]]=Transactions[[#This Row],[L2N]],Transactions[[#This Row],[L1N]],IF(Transactions[[#This Row],[Level 5]]=Transactions[[#This Row],[L3N]],Transactions[[#This Row],[L2N]],IF(Transactions[[#This Row],[Level 5]]=Transactions[[#This Row],[L4N]],Transactions[[#This Row],[L3N]],IF(Transactions[[#This Row],[Level 5]]=Transactions[[#This Row],[L5N]],Transactions[[#This Row],[L4N]],IF(Transactions[[#This Row],[Level 5]]=Transactions[[#This Row],[L6N]],Transactions[[#This Row],[L5N]],IF(Transactions[[#This Row],[Level 5]]=Transactions[[#This Row],[L7N]],Transactions[[#This Row],[L6N]],Transactions[[#This Row],[L7N]]))))))))</f>
        <v>IC Marine energy - Main activity producers</v>
      </c>
      <c r="AY117" s="24" t="str">
        <f>IF(Transactions[[#This Row],[Level 6]]=Transactions[[#This Row],[Transaction name]],Transactions[[#This Row],[Transaction name]],IF(Transactions[[#This Row],[Level 6]]=Transactions[[#This Row],[L1N]],Transactions[[#This Row],[Transaction name]],IF(Transactions[[#This Row],[Level 6]]=Transactions[[#This Row],[L2N]],Transactions[[#This Row],[L1N]],IF(Transactions[[#This Row],[Level 6]]=Transactions[[#This Row],[L3N]],Transactions[[#This Row],[L2N]],IF(Transactions[[#This Row],[Level 6]]=Transactions[[#This Row],[L4N]],Transactions[[#This Row],[L3N]],IF(Transactions[[#This Row],[Level 6]]=Transactions[[#This Row],[L5N]],Transactions[[#This Row],[L4N]],IF(Transactions[[#This Row],[Level 6]]=Transactions[[#This Row],[L6N]],Transactions[[#This Row],[L5N]],IF(Transactions[[#This Row],[Level 6]]=Transactions[[#This Row],[L7N]],Transactions[[#This Row],[L6N]],Transactions[[#This Row],[L7N]]))))))))</f>
        <v>IC Marine energy - Main activity producers</v>
      </c>
      <c r="BE117" s="26" t="str">
        <f>_xlfn.XLOOKUP(Transformation[[#This Row],[cfrom]],Commodities[Commodity],Commodities[Commodity code])</f>
        <v>1200</v>
      </c>
      <c r="BF117" s="26" t="str">
        <f>_xlfn.XLOOKUP(Transformation[[#This Row],[tfrom]],Transactions[Transaction name],Transactions[Transaction code])</f>
        <v>08812</v>
      </c>
      <c r="BG117" s="26" t="str">
        <f>_xlfn.XLOOKUP(Transformation[[#This Row],[cto]],Commodities[Commodity],Commodities[Commodity code])</f>
        <v>1200</v>
      </c>
      <c r="BH117" s="26" t="str">
        <f>_xlfn.XLOOKUP(Transformation[[#This Row],[tto]],Transactions[Transaction name],Transactions[Transaction code])</f>
        <v>016PTE</v>
      </c>
      <c r="BI117" s="11">
        <v>1</v>
      </c>
      <c r="BJ117" s="4" t="s">
        <v>455</v>
      </c>
      <c r="BK117" s="24" t="str">
        <f>_xlfn.XLOOKUP(Transformation[[#This Row],[Commodity from]],Commodities[Commodity code],Commodities[EnergyCode])</f>
        <v>BP</v>
      </c>
      <c r="BL117" s="4" t="s">
        <v>690</v>
      </c>
      <c r="BM117" s="4" t="s">
        <v>455</v>
      </c>
      <c r="BN117" s="24" t="str">
        <f>_xlfn.XLOOKUP(Transformation[[#This Row],[Commodity to]],Commodities[Commodity code],Commodities[EnergyCode])</f>
        <v>BP</v>
      </c>
      <c r="BO117" s="4" t="s">
        <v>1206</v>
      </c>
      <c r="BP117" s="16" t="s">
        <v>1493</v>
      </c>
      <c r="BQ117" s="33" t="str">
        <f>Transformation[[#This Row],[Commodity from]]&amp;Transformation[[#This Row],[Transaction from]]&amp;Transformation[[#This Row],[Commodity to]]&amp;Transformation[[#This Row],[Transaction to]]</f>
        <v>1200088121200016PTE</v>
      </c>
      <c r="BR117" s="26" t="str">
        <f>Transformation[[#This Row],[crfomid]]&amp;Transformation[[#This Row],[Transaction from]]&amp;"("&amp;Transformation[[#This Row],[Multiplier]]&amp;") -&gt; "&amp;Transformation[[#This Row],[ctoid]]&amp;Transformation[[#This Row],[Transaction to]]</f>
        <v>BP08812(1) -&gt; BP016PTE</v>
      </c>
    </row>
    <row r="118" spans="25:70" x14ac:dyDescent="0.45">
      <c r="Y118" s="5" t="s">
        <v>89</v>
      </c>
      <c r="Z118" s="4" t="s">
        <v>977</v>
      </c>
      <c r="AA118" s="4" t="s">
        <v>977</v>
      </c>
      <c r="AB118" s="6" t="s">
        <v>10</v>
      </c>
      <c r="AC118" s="24" t="str">
        <f>IFERROR(VLOOKUP(Transactions[[#This Row],[Parent code]],Transactions[[Transaction code]:[Transaction name]],2,0),"")</f>
        <v>IC Electricity plants</v>
      </c>
      <c r="AD118" s="4" t="s">
        <v>632</v>
      </c>
      <c r="AE118" s="4" t="s">
        <v>632</v>
      </c>
      <c r="AF118" s="4" t="s">
        <v>642</v>
      </c>
      <c r="AG118" s="4" t="s">
        <v>1</v>
      </c>
      <c r="AH118" s="4" t="s">
        <v>696</v>
      </c>
      <c r="AK118" s="24" t="str" cm="1">
        <f t="array" ref="AK118">IFERROR(INDEX(Transactions[[Transaction code]:[Transaction name]],_xlfn.XMATCH(Transactions[[#This Row],[Parent code]],Transactions[Transaction name],0),3),Transactions[[#This Row],[Transaction name]])</f>
        <v>IC Nuclear</v>
      </c>
      <c r="AL118" s="24" t="str" cm="1">
        <f t="array" ref="AL118">IFERROR(INDEX(Transactions[[Transaction code]:[Transaction name]],_xlfn.XMATCH(INDEX(Transactions[[Transaction name]:[Parent code]],_xlfn.XMATCH(Transactions[[#This Row],[L1N]],Transactions[Transaction name],0),3),Transactions[Transaction code],0),2),Transactions[[#This Row],[L1N]])</f>
        <v>IC Electricity plants</v>
      </c>
      <c r="AM118" s="24" t="str" cm="1">
        <f t="array" ref="AM118">IFERROR(INDEX(Transactions[[Transaction code]:[Transaction name]],_xlfn.XMATCH(INDEX(Transactions[[Transaction name]:[Parent code]],_xlfn.XMATCH(Transactions[[#This Row],[L2N]],Transactions[Transaction name],0),3),Transactions[Transaction code],0),2),Transactions[[#This Row],[L2N]])</f>
        <v>IC Electricity plants</v>
      </c>
      <c r="AN118" s="24" t="str" cm="1">
        <f t="array" ref="AN118">IFERROR(INDEX(Transactions[[Transaction code]:[Transaction name]],_xlfn.XMATCH(INDEX(Transactions[[Transaction name]:[Parent code]],_xlfn.XMATCH(Transactions[[#This Row],[L3N]],Transactions[Transaction name],0),3),Transactions[Transaction code],0),2),Transactions[[#This Row],[L3N]])</f>
        <v>IC Electricity plants</v>
      </c>
      <c r="AO118" s="24" t="str" cm="1">
        <f t="array" ref="AO118">IFERROR(INDEX(Transactions[[Transaction code]:[Transaction name]],_xlfn.XMATCH(INDEX(Transactions[[Transaction name]:[Parent code]],_xlfn.XMATCH(Transactions[[#This Row],[L4N]],Transactions[Transaction name],0),3),Transactions[Transaction code],0),2),Transactions[[#This Row],[L4N]])</f>
        <v>IC Electricity plants</v>
      </c>
      <c r="AP118" s="24" t="str" cm="1">
        <f t="array" ref="AP118">IFERROR(INDEX(Transactions[[Transaction code]:[Transaction name]],_xlfn.XMATCH(INDEX(Transactions[[Transaction name]:[Parent code]],_xlfn.XMATCH(Transactions[[#This Row],[L5N]],Transactions[Transaction name],0),3),Transactions[Transaction code],0),2),Transactions[[#This Row],[L5N]])</f>
        <v>IC Electricity plants</v>
      </c>
      <c r="AQ118" s="24" t="str" cm="1">
        <f t="array" ref="AQ118">IFERROR(INDEX(Transactions[[Transaction code]:[Transaction name]],_xlfn.XMATCH(INDEX(Transactions[[Transaction name]:[Parent code]],_xlfn.XMATCH(Transactions[[#This Row],[L6N]],Transactions[Transaction name],0),3),Transactions[Transaction code],0),2),Transactions[[#This Row],[L6N]])</f>
        <v>IC Electricity plants</v>
      </c>
      <c r="AR118" s="27" t="str">
        <f>IF(Transactions[[#This Row],[L7N]]=Transactions[[#This Row],[L6N]],Transactions[[#This Row],[L7N]],IF(Transactions[[#This Row],[L6N]]=Transactions[[#This Row],[L5N]],Transactions[[#This Row],[L6N]],IF(Transactions[[#This Row],[L5N]]=Transactions[[#This Row],[L4N]],Transactions[[#This Row],[L5N]],IF(Transactions[[#This Row],[L4N]]=Transactions[[#This Row],[L3N]],Transactions[[#This Row],[L4N]],IF(Transactions[[#This Row],[L3N]]=Transactions[[#This Row],[L2N]],Transactions[[#This Row],[L3N]],IF(Transactions[[#This Row],[L2N]]=Transactions[[#This Row],[L1N]],Transactions[[#This Row],[L2N]],IF(Transactions[[#This Row],[L1N]]=Transactions[[#This Row],[Transaction name]],Transactions[[#This Row],[L1N]],Transactions[[#This Row],[Transaction name]])))))))</f>
        <v>IC Electricity plants</v>
      </c>
      <c r="AS118" s="24" t="str">
        <f>IF(Transactions[[#This Row],[Level 0]]=Transactions[[#This Row],[Transaction name]],Transactions[[#This Row],[Transaction name]],IF(Transactions[[#This Row],[Level 0]]=Transactions[[#This Row],[L1N]],Transactions[[#This Row],[Transaction name]],IF(Transactions[[#This Row],[Level 0]]=Transactions[[#This Row],[L2N]],Transactions[[#This Row],[L1N]],IF(Transactions[[#This Row],[Level 0]]=Transactions[[#This Row],[L3N]],Transactions[[#This Row],[L2N]],IF(Transactions[[#This Row],[Level 0]]=Transactions[[#This Row],[L4N]],Transactions[[#This Row],[L3N]],IF(Transactions[[#This Row],[Level 0]]=Transactions[[#This Row],[L5N]],Transactions[[#This Row],[L4N]],IF(Transactions[[#This Row],[Level 0]]=Transactions[[#This Row],[L6N]],Transactions[[#This Row],[L5N]],IF(Transactions[[#This Row],[Level 0]]=Transactions[[#This Row],[L7N]],Transactions[[#This Row],[L6N]],Transactions[[#This Row],[L7N]]))))))))</f>
        <v>IC Nuclear</v>
      </c>
      <c r="AT118" s="24" t="str">
        <f>IF(Transactions[[#This Row],[Level 1]]=Transactions[[#This Row],[Transaction name]],Transactions[[#This Row],[Transaction name]],IF(Transactions[[#This Row],[Level 1]]=Transactions[[#This Row],[L1N]],Transactions[[#This Row],[Transaction name]],IF(Transactions[[#This Row],[Level 1]]=Transactions[[#This Row],[L2N]],Transactions[[#This Row],[L1N]],IF(Transactions[[#This Row],[Level 1]]=Transactions[[#This Row],[L3N]],Transactions[[#This Row],[L2N]],IF(Transactions[[#This Row],[Level 1]]=Transactions[[#This Row],[L4N]],Transactions[[#This Row],[L3N]],IF(Transactions[[#This Row],[Level 1]]=Transactions[[#This Row],[L5N]],Transactions[[#This Row],[L4N]],IF(Transactions[[#This Row],[Level 1]]=Transactions[[#This Row],[L6N]],Transactions[[#This Row],[L5N]],IF(Transactions[[#This Row],[Level 1]]=Transactions[[#This Row],[L7N]],Transactions[[#This Row],[L6N]],Transactions[[#This Row],[L7N]]))))))))</f>
        <v>IC Nuclear</v>
      </c>
      <c r="AU118" s="24" t="str">
        <f>IF(Transactions[[#This Row],[Level 2]]=Transactions[[#This Row],[Transaction name]],Transactions[[#This Row],[Transaction name]],IF(Transactions[[#This Row],[Level 2]]=Transactions[[#This Row],[L1N]],Transactions[[#This Row],[Transaction name]],IF(Transactions[[#This Row],[Level 2]]=Transactions[[#This Row],[L2N]],Transactions[[#This Row],[L1N]],IF(Transactions[[#This Row],[Level 2]]=Transactions[[#This Row],[L3N]],Transactions[[#This Row],[L2N]],IF(Transactions[[#This Row],[Level 2]]=Transactions[[#This Row],[L4N]],Transactions[[#This Row],[L3N]],IF(Transactions[[#This Row],[Level 2]]=Transactions[[#This Row],[L5N]],Transactions[[#This Row],[L4N]],IF(Transactions[[#This Row],[Level 2]]=Transactions[[#This Row],[L6N]],Transactions[[#This Row],[L5N]],IF(Transactions[[#This Row],[Level 2]]=Transactions[[#This Row],[L7N]],Transactions[[#This Row],[L6N]],Transactions[[#This Row],[L7N]]))))))))</f>
        <v>IC Nuclear</v>
      </c>
      <c r="AV118" s="24" t="str">
        <f>IF(Transactions[[#This Row],[Level 3]]=Transactions[[#This Row],[Transaction name]],Transactions[[#This Row],[Transaction name]],IF(Transactions[[#This Row],[Level 3]]=Transactions[[#This Row],[L1N]],Transactions[[#This Row],[Transaction name]],IF(Transactions[[#This Row],[Level 3]]=Transactions[[#This Row],[L2N]],Transactions[[#This Row],[L1N]],IF(Transactions[[#This Row],[Level 3]]=Transactions[[#This Row],[L3N]],Transactions[[#This Row],[L2N]],IF(Transactions[[#This Row],[Level 3]]=Transactions[[#This Row],[L4N]],Transactions[[#This Row],[L3N]],IF(Transactions[[#This Row],[Level 3]]=Transactions[[#This Row],[L5N]],Transactions[[#This Row],[L4N]],IF(Transactions[[#This Row],[Level 3]]=Transactions[[#This Row],[L6N]],Transactions[[#This Row],[L5N]],IF(Transactions[[#This Row],[Level 3]]=Transactions[[#This Row],[L7N]],Transactions[[#This Row],[L6N]],Transactions[[#This Row],[L7N]]))))))))</f>
        <v>IC Nuclear</v>
      </c>
      <c r="AW118" s="24" t="str">
        <f>IF(Transactions[[#This Row],[Level 4]]=Transactions[[#This Row],[Transaction name]],Transactions[[#This Row],[Transaction name]],IF(Transactions[[#This Row],[Level 4]]=Transactions[[#This Row],[L1N]],Transactions[[#This Row],[Transaction name]],IF(Transactions[[#This Row],[Level 4]]=Transactions[[#This Row],[L2N]],Transactions[[#This Row],[L1N]],IF(Transactions[[#This Row],[Level 4]]=Transactions[[#This Row],[L3N]],Transactions[[#This Row],[L2N]],IF(Transactions[[#This Row],[Level 4]]=Transactions[[#This Row],[L4N]],Transactions[[#This Row],[L3N]],IF(Transactions[[#This Row],[Level 4]]=Transactions[[#This Row],[L5N]],Transactions[[#This Row],[L4N]],IF(Transactions[[#This Row],[Level 4]]=Transactions[[#This Row],[L6N]],Transactions[[#This Row],[L5N]],IF(Transactions[[#This Row],[Level 4]]=Transactions[[#This Row],[L7N]],Transactions[[#This Row],[L6N]],Transactions[[#This Row],[L7N]]))))))))</f>
        <v>IC Nuclear</v>
      </c>
      <c r="AX118" s="24" t="str">
        <f>IF(Transactions[[#This Row],[Level 5]]=Transactions[[#This Row],[Transaction name]],Transactions[[#This Row],[Transaction name]],IF(Transactions[[#This Row],[Level 5]]=Transactions[[#This Row],[L1N]],Transactions[[#This Row],[Transaction name]],IF(Transactions[[#This Row],[Level 5]]=Transactions[[#This Row],[L2N]],Transactions[[#This Row],[L1N]],IF(Transactions[[#This Row],[Level 5]]=Transactions[[#This Row],[L3N]],Transactions[[#This Row],[L2N]],IF(Transactions[[#This Row],[Level 5]]=Transactions[[#This Row],[L4N]],Transactions[[#This Row],[L3N]],IF(Transactions[[#This Row],[Level 5]]=Transactions[[#This Row],[L5N]],Transactions[[#This Row],[L4N]],IF(Transactions[[#This Row],[Level 5]]=Transactions[[#This Row],[L6N]],Transactions[[#This Row],[L5N]],IF(Transactions[[#This Row],[Level 5]]=Transactions[[#This Row],[L7N]],Transactions[[#This Row],[L6N]],Transactions[[#This Row],[L7N]]))))))))</f>
        <v>IC Nuclear</v>
      </c>
      <c r="AY118" s="24" t="str">
        <f>IF(Transactions[[#This Row],[Level 6]]=Transactions[[#This Row],[Transaction name]],Transactions[[#This Row],[Transaction name]],IF(Transactions[[#This Row],[Level 6]]=Transactions[[#This Row],[L1N]],Transactions[[#This Row],[Transaction name]],IF(Transactions[[#This Row],[Level 6]]=Transactions[[#This Row],[L2N]],Transactions[[#This Row],[L1N]],IF(Transactions[[#This Row],[Level 6]]=Transactions[[#This Row],[L3N]],Transactions[[#This Row],[L2N]],IF(Transactions[[#This Row],[Level 6]]=Transactions[[#This Row],[L4N]],Transactions[[#This Row],[L3N]],IF(Transactions[[#This Row],[Level 6]]=Transactions[[#This Row],[L5N]],Transactions[[#This Row],[L4N]],IF(Transactions[[#This Row],[Level 6]]=Transactions[[#This Row],[L6N]],Transactions[[#This Row],[L5N]],IF(Transactions[[#This Row],[Level 6]]=Transactions[[#This Row],[L7N]],Transactions[[#This Row],[L6N]],Transactions[[#This Row],[L7N]]))))))))</f>
        <v>IC Nuclear</v>
      </c>
      <c r="BE118" s="26" t="str">
        <f>_xlfn.XLOOKUP(Transformation[[#This Row],[cfrom]],Commodities[Commodity],Commodities[Commodity code])</f>
        <v>5120</v>
      </c>
      <c r="BF118" s="26" t="str">
        <f>_xlfn.XLOOKUP(Transformation[[#This Row],[tfrom]],Transactions[Transaction name],Transactions[Transaction code])</f>
        <v>08812</v>
      </c>
      <c r="BG118" s="26" t="str">
        <f>_xlfn.XLOOKUP(Transformation[[#This Row],[cto]],Commodities[Commodity],Commodities[Commodity code])</f>
        <v>5120</v>
      </c>
      <c r="BH118" s="26" t="str">
        <f>_xlfn.XLOOKUP(Transformation[[#This Row],[tto]],Transactions[Transaction name],Transactions[Transaction code])</f>
        <v>016BE</v>
      </c>
      <c r="BI118" s="11">
        <v>1</v>
      </c>
      <c r="BJ118" s="4" t="s">
        <v>337</v>
      </c>
      <c r="BK118" s="24" t="str">
        <f>_xlfn.XLOOKUP(Transformation[[#This Row],[Commodity from]],Commodities[Commodity code],Commodities[EnergyCode])</f>
        <v>BS</v>
      </c>
      <c r="BL118" s="4" t="s">
        <v>690</v>
      </c>
      <c r="BM118" s="4" t="s">
        <v>337</v>
      </c>
      <c r="BN118" s="24" t="str">
        <f>_xlfn.XLOOKUP(Transformation[[#This Row],[Commodity to]],Commodities[Commodity code],Commodities[EnergyCode])</f>
        <v>BS</v>
      </c>
      <c r="BO118" s="4" t="s">
        <v>1063</v>
      </c>
      <c r="BP118" s="16" t="s">
        <v>1493</v>
      </c>
      <c r="BQ118" s="33" t="str">
        <f>Transformation[[#This Row],[Commodity from]]&amp;Transformation[[#This Row],[Transaction from]]&amp;Transformation[[#This Row],[Commodity to]]&amp;Transformation[[#This Row],[Transaction to]]</f>
        <v>5120088125120016BE</v>
      </c>
      <c r="BR118" s="26" t="str">
        <f>Transformation[[#This Row],[crfomid]]&amp;Transformation[[#This Row],[Transaction from]]&amp;"("&amp;Transformation[[#This Row],[Multiplier]]&amp;") -&gt; "&amp;Transformation[[#This Row],[ctoid]]&amp;Transformation[[#This Row],[Transaction to]]</f>
        <v>BS08812(1) -&gt; BS016BE</v>
      </c>
    </row>
    <row r="119" spans="25:70" x14ac:dyDescent="0.45">
      <c r="Y119" s="5" t="s">
        <v>91</v>
      </c>
      <c r="Z119" s="4" t="s">
        <v>979</v>
      </c>
      <c r="AA119" s="4" t="s">
        <v>979</v>
      </c>
      <c r="AB119" s="6" t="s">
        <v>89</v>
      </c>
      <c r="AC119" s="24" t="str">
        <f>IFERROR(VLOOKUP(Transactions[[#This Row],[Parent code]],Transactions[[Transaction code]:[Transaction name]],2,0),"")</f>
        <v>IC Nuclear</v>
      </c>
      <c r="AD119" s="4" t="s">
        <v>632</v>
      </c>
      <c r="AE119" s="4" t="s">
        <v>632</v>
      </c>
      <c r="AF119" s="4" t="s">
        <v>642</v>
      </c>
      <c r="AG119" s="4" t="s">
        <v>1</v>
      </c>
      <c r="AH119" s="4" t="s">
        <v>696</v>
      </c>
      <c r="AK119" s="24" t="str" cm="1">
        <f t="array" ref="AK119">IFERROR(INDEX(Transactions[[Transaction code]:[Transaction name]],_xlfn.XMATCH(Transactions[[#This Row],[Parent code]],Transactions[Transaction name],0),3),Transactions[[#This Row],[Transaction name]])</f>
        <v>IC Nuclear - Autoproducers</v>
      </c>
      <c r="AL119" s="24" t="str" cm="1">
        <f t="array" ref="AL119">IFERROR(INDEX(Transactions[[Transaction code]:[Transaction name]],_xlfn.XMATCH(INDEX(Transactions[[Transaction name]:[Parent code]],_xlfn.XMATCH(Transactions[[#This Row],[L1N]],Transactions[Transaction name],0),3),Transactions[Transaction code],0),2),Transactions[[#This Row],[L1N]])</f>
        <v>IC Nuclear</v>
      </c>
      <c r="AM119" s="24" t="str" cm="1">
        <f t="array" ref="AM119">IFERROR(INDEX(Transactions[[Transaction code]:[Transaction name]],_xlfn.XMATCH(INDEX(Transactions[[Transaction name]:[Parent code]],_xlfn.XMATCH(Transactions[[#This Row],[L2N]],Transactions[Transaction name],0),3),Transactions[Transaction code],0),2),Transactions[[#This Row],[L2N]])</f>
        <v>IC Electricity plants</v>
      </c>
      <c r="AN119" s="24" t="str" cm="1">
        <f t="array" ref="AN119">IFERROR(INDEX(Transactions[[Transaction code]:[Transaction name]],_xlfn.XMATCH(INDEX(Transactions[[Transaction name]:[Parent code]],_xlfn.XMATCH(Transactions[[#This Row],[L3N]],Transactions[Transaction name],0),3),Transactions[Transaction code],0),2),Transactions[[#This Row],[L3N]])</f>
        <v>IC Electricity plants</v>
      </c>
      <c r="AO119" s="24" t="str" cm="1">
        <f t="array" ref="AO119">IFERROR(INDEX(Transactions[[Transaction code]:[Transaction name]],_xlfn.XMATCH(INDEX(Transactions[[Transaction name]:[Parent code]],_xlfn.XMATCH(Transactions[[#This Row],[L4N]],Transactions[Transaction name],0),3),Transactions[Transaction code],0),2),Transactions[[#This Row],[L4N]])</f>
        <v>IC Electricity plants</v>
      </c>
      <c r="AP119" s="24" t="str" cm="1">
        <f t="array" ref="AP119">IFERROR(INDEX(Transactions[[Transaction code]:[Transaction name]],_xlfn.XMATCH(INDEX(Transactions[[Transaction name]:[Parent code]],_xlfn.XMATCH(Transactions[[#This Row],[L5N]],Transactions[Transaction name],0),3),Transactions[Transaction code],0),2),Transactions[[#This Row],[L5N]])</f>
        <v>IC Electricity plants</v>
      </c>
      <c r="AQ119" s="24" t="str" cm="1">
        <f t="array" ref="AQ119">IFERROR(INDEX(Transactions[[Transaction code]:[Transaction name]],_xlfn.XMATCH(INDEX(Transactions[[Transaction name]:[Parent code]],_xlfn.XMATCH(Transactions[[#This Row],[L6N]],Transactions[Transaction name],0),3),Transactions[Transaction code],0),2),Transactions[[#This Row],[L6N]])</f>
        <v>IC Electricity plants</v>
      </c>
      <c r="AR119" s="27" t="str">
        <f>IF(Transactions[[#This Row],[L7N]]=Transactions[[#This Row],[L6N]],Transactions[[#This Row],[L7N]],IF(Transactions[[#This Row],[L6N]]=Transactions[[#This Row],[L5N]],Transactions[[#This Row],[L6N]],IF(Transactions[[#This Row],[L5N]]=Transactions[[#This Row],[L4N]],Transactions[[#This Row],[L5N]],IF(Transactions[[#This Row],[L4N]]=Transactions[[#This Row],[L3N]],Transactions[[#This Row],[L4N]],IF(Transactions[[#This Row],[L3N]]=Transactions[[#This Row],[L2N]],Transactions[[#This Row],[L3N]],IF(Transactions[[#This Row],[L2N]]=Transactions[[#This Row],[L1N]],Transactions[[#This Row],[L2N]],IF(Transactions[[#This Row],[L1N]]=Transactions[[#This Row],[Transaction name]],Transactions[[#This Row],[L1N]],Transactions[[#This Row],[Transaction name]])))))))</f>
        <v>IC Electricity plants</v>
      </c>
      <c r="AS119" s="24" t="str">
        <f>IF(Transactions[[#This Row],[Level 0]]=Transactions[[#This Row],[Transaction name]],Transactions[[#This Row],[Transaction name]],IF(Transactions[[#This Row],[Level 0]]=Transactions[[#This Row],[L1N]],Transactions[[#This Row],[Transaction name]],IF(Transactions[[#This Row],[Level 0]]=Transactions[[#This Row],[L2N]],Transactions[[#This Row],[L1N]],IF(Transactions[[#This Row],[Level 0]]=Transactions[[#This Row],[L3N]],Transactions[[#This Row],[L2N]],IF(Transactions[[#This Row],[Level 0]]=Transactions[[#This Row],[L4N]],Transactions[[#This Row],[L3N]],IF(Transactions[[#This Row],[Level 0]]=Transactions[[#This Row],[L5N]],Transactions[[#This Row],[L4N]],IF(Transactions[[#This Row],[Level 0]]=Transactions[[#This Row],[L6N]],Transactions[[#This Row],[L5N]],IF(Transactions[[#This Row],[Level 0]]=Transactions[[#This Row],[L7N]],Transactions[[#This Row],[L6N]],Transactions[[#This Row],[L7N]]))))))))</f>
        <v>IC Nuclear</v>
      </c>
      <c r="AT119" s="24" t="str">
        <f>IF(Transactions[[#This Row],[Level 1]]=Transactions[[#This Row],[Transaction name]],Transactions[[#This Row],[Transaction name]],IF(Transactions[[#This Row],[Level 1]]=Transactions[[#This Row],[L1N]],Transactions[[#This Row],[Transaction name]],IF(Transactions[[#This Row],[Level 1]]=Transactions[[#This Row],[L2N]],Transactions[[#This Row],[L1N]],IF(Transactions[[#This Row],[Level 1]]=Transactions[[#This Row],[L3N]],Transactions[[#This Row],[L2N]],IF(Transactions[[#This Row],[Level 1]]=Transactions[[#This Row],[L4N]],Transactions[[#This Row],[L3N]],IF(Transactions[[#This Row],[Level 1]]=Transactions[[#This Row],[L5N]],Transactions[[#This Row],[L4N]],IF(Transactions[[#This Row],[Level 1]]=Transactions[[#This Row],[L6N]],Transactions[[#This Row],[L5N]],IF(Transactions[[#This Row],[Level 1]]=Transactions[[#This Row],[L7N]],Transactions[[#This Row],[L6N]],Transactions[[#This Row],[L7N]]))))))))</f>
        <v>IC Nuclear - Autoproducers</v>
      </c>
      <c r="AU119" s="24" t="str">
        <f>IF(Transactions[[#This Row],[Level 2]]=Transactions[[#This Row],[Transaction name]],Transactions[[#This Row],[Transaction name]],IF(Transactions[[#This Row],[Level 2]]=Transactions[[#This Row],[L1N]],Transactions[[#This Row],[Transaction name]],IF(Transactions[[#This Row],[Level 2]]=Transactions[[#This Row],[L2N]],Transactions[[#This Row],[L1N]],IF(Transactions[[#This Row],[Level 2]]=Transactions[[#This Row],[L3N]],Transactions[[#This Row],[L2N]],IF(Transactions[[#This Row],[Level 2]]=Transactions[[#This Row],[L4N]],Transactions[[#This Row],[L3N]],IF(Transactions[[#This Row],[Level 2]]=Transactions[[#This Row],[L5N]],Transactions[[#This Row],[L4N]],IF(Transactions[[#This Row],[Level 2]]=Transactions[[#This Row],[L6N]],Transactions[[#This Row],[L5N]],IF(Transactions[[#This Row],[Level 2]]=Transactions[[#This Row],[L7N]],Transactions[[#This Row],[L6N]],Transactions[[#This Row],[L7N]]))))))))</f>
        <v>IC Nuclear - Autoproducers</v>
      </c>
      <c r="AV119" s="24" t="str">
        <f>IF(Transactions[[#This Row],[Level 3]]=Transactions[[#This Row],[Transaction name]],Transactions[[#This Row],[Transaction name]],IF(Transactions[[#This Row],[Level 3]]=Transactions[[#This Row],[L1N]],Transactions[[#This Row],[Transaction name]],IF(Transactions[[#This Row],[Level 3]]=Transactions[[#This Row],[L2N]],Transactions[[#This Row],[L1N]],IF(Transactions[[#This Row],[Level 3]]=Transactions[[#This Row],[L3N]],Transactions[[#This Row],[L2N]],IF(Transactions[[#This Row],[Level 3]]=Transactions[[#This Row],[L4N]],Transactions[[#This Row],[L3N]],IF(Transactions[[#This Row],[Level 3]]=Transactions[[#This Row],[L5N]],Transactions[[#This Row],[L4N]],IF(Transactions[[#This Row],[Level 3]]=Transactions[[#This Row],[L6N]],Transactions[[#This Row],[L5N]],IF(Transactions[[#This Row],[Level 3]]=Transactions[[#This Row],[L7N]],Transactions[[#This Row],[L6N]],Transactions[[#This Row],[L7N]]))))))))</f>
        <v>IC Nuclear - Autoproducers</v>
      </c>
      <c r="AW119" s="24" t="str">
        <f>IF(Transactions[[#This Row],[Level 4]]=Transactions[[#This Row],[Transaction name]],Transactions[[#This Row],[Transaction name]],IF(Transactions[[#This Row],[Level 4]]=Transactions[[#This Row],[L1N]],Transactions[[#This Row],[Transaction name]],IF(Transactions[[#This Row],[Level 4]]=Transactions[[#This Row],[L2N]],Transactions[[#This Row],[L1N]],IF(Transactions[[#This Row],[Level 4]]=Transactions[[#This Row],[L3N]],Transactions[[#This Row],[L2N]],IF(Transactions[[#This Row],[Level 4]]=Transactions[[#This Row],[L4N]],Transactions[[#This Row],[L3N]],IF(Transactions[[#This Row],[Level 4]]=Transactions[[#This Row],[L5N]],Transactions[[#This Row],[L4N]],IF(Transactions[[#This Row],[Level 4]]=Transactions[[#This Row],[L6N]],Transactions[[#This Row],[L5N]],IF(Transactions[[#This Row],[Level 4]]=Transactions[[#This Row],[L7N]],Transactions[[#This Row],[L6N]],Transactions[[#This Row],[L7N]]))))))))</f>
        <v>IC Nuclear - Autoproducers</v>
      </c>
      <c r="AX119" s="24" t="str">
        <f>IF(Transactions[[#This Row],[Level 5]]=Transactions[[#This Row],[Transaction name]],Transactions[[#This Row],[Transaction name]],IF(Transactions[[#This Row],[Level 5]]=Transactions[[#This Row],[L1N]],Transactions[[#This Row],[Transaction name]],IF(Transactions[[#This Row],[Level 5]]=Transactions[[#This Row],[L2N]],Transactions[[#This Row],[L1N]],IF(Transactions[[#This Row],[Level 5]]=Transactions[[#This Row],[L3N]],Transactions[[#This Row],[L2N]],IF(Transactions[[#This Row],[Level 5]]=Transactions[[#This Row],[L4N]],Transactions[[#This Row],[L3N]],IF(Transactions[[#This Row],[Level 5]]=Transactions[[#This Row],[L5N]],Transactions[[#This Row],[L4N]],IF(Transactions[[#This Row],[Level 5]]=Transactions[[#This Row],[L6N]],Transactions[[#This Row],[L5N]],IF(Transactions[[#This Row],[Level 5]]=Transactions[[#This Row],[L7N]],Transactions[[#This Row],[L6N]],Transactions[[#This Row],[L7N]]))))))))</f>
        <v>IC Nuclear - Autoproducers</v>
      </c>
      <c r="AY119" s="24" t="str">
        <f>IF(Transactions[[#This Row],[Level 6]]=Transactions[[#This Row],[Transaction name]],Transactions[[#This Row],[Transaction name]],IF(Transactions[[#This Row],[Level 6]]=Transactions[[#This Row],[L1N]],Transactions[[#This Row],[Transaction name]],IF(Transactions[[#This Row],[Level 6]]=Transactions[[#This Row],[L2N]],Transactions[[#This Row],[L1N]],IF(Transactions[[#This Row],[Level 6]]=Transactions[[#This Row],[L3N]],Transactions[[#This Row],[L2N]],IF(Transactions[[#This Row],[Level 6]]=Transactions[[#This Row],[L4N]],Transactions[[#This Row],[L3N]],IF(Transactions[[#This Row],[Level 6]]=Transactions[[#This Row],[L5N]],Transactions[[#This Row],[L4N]],IF(Transactions[[#This Row],[Level 6]]=Transactions[[#This Row],[L6N]],Transactions[[#This Row],[L5N]],IF(Transactions[[#This Row],[Level 6]]=Transactions[[#This Row],[L7N]],Transactions[[#This Row],[L6N]],Transactions[[#This Row],[L7N]]))))))))</f>
        <v>IC Nuclear - Autoproducers</v>
      </c>
      <c r="BE119" s="26" t="str">
        <f>_xlfn.XLOOKUP(Transformation[[#This Row],[cfrom]],Commodities[Commodity],Commodities[Commodity code])</f>
        <v>4695</v>
      </c>
      <c r="BF119" s="26" t="str">
        <f>_xlfn.XLOOKUP(Transformation[[#This Row],[tfrom]],Transactions[Transaction name],Transactions[Transaction code])</f>
        <v>08812</v>
      </c>
      <c r="BG119" s="26" t="str">
        <f>_xlfn.XLOOKUP(Transformation[[#This Row],[cto]],Commodities[Commodity],Commodities[Commodity code])</f>
        <v>4695</v>
      </c>
      <c r="BH119" s="26" t="str">
        <f>_xlfn.XLOOKUP(Transformation[[#This Row],[tto]],Transactions[Transaction name],Transactions[Transaction code])</f>
        <v>016OPE</v>
      </c>
      <c r="BI119" s="11">
        <v>1</v>
      </c>
      <c r="BJ119" s="4" t="s">
        <v>351</v>
      </c>
      <c r="BK119" s="24" t="str">
        <f>_xlfn.XLOOKUP(Transformation[[#This Row],[Commodity from]],Commodities[Commodity code],Commodities[EnergyCode])</f>
        <v>BT</v>
      </c>
      <c r="BL119" s="4" t="s">
        <v>690</v>
      </c>
      <c r="BM119" s="4" t="s">
        <v>351</v>
      </c>
      <c r="BN119" s="24" t="str">
        <f>_xlfn.XLOOKUP(Transformation[[#This Row],[Commodity to]],Commodities[Commodity code],Commodities[EnergyCode])</f>
        <v>BT</v>
      </c>
      <c r="BO119" s="4" t="s">
        <v>1055</v>
      </c>
      <c r="BP119" s="16" t="s">
        <v>1493</v>
      </c>
      <c r="BQ119" s="33" t="str">
        <f>Transformation[[#This Row],[Commodity from]]&amp;Transformation[[#This Row],[Transaction from]]&amp;Transformation[[#This Row],[Commodity to]]&amp;Transformation[[#This Row],[Transaction to]]</f>
        <v>4695088124695016OPE</v>
      </c>
      <c r="BR119" s="26" t="str">
        <f>Transformation[[#This Row],[crfomid]]&amp;Transformation[[#This Row],[Transaction from]]&amp;"("&amp;Transformation[[#This Row],[Multiplier]]&amp;") -&gt; "&amp;Transformation[[#This Row],[ctoid]]&amp;Transformation[[#This Row],[Transaction to]]</f>
        <v>BT08812(1) -&gt; BT016OPE</v>
      </c>
    </row>
    <row r="120" spans="25:70" x14ac:dyDescent="0.45">
      <c r="Y120" s="5" t="s">
        <v>93</v>
      </c>
      <c r="Z120" s="4" t="s">
        <v>978</v>
      </c>
      <c r="AA120" s="4" t="s">
        <v>978</v>
      </c>
      <c r="AB120" s="6" t="s">
        <v>89</v>
      </c>
      <c r="AC120" s="24" t="str">
        <f>IFERROR(VLOOKUP(Transactions[[#This Row],[Parent code]],Transactions[[Transaction code]:[Transaction name]],2,0),"")</f>
        <v>IC Nuclear</v>
      </c>
      <c r="AD120" s="4" t="s">
        <v>632</v>
      </c>
      <c r="AE120" s="4" t="s">
        <v>632</v>
      </c>
      <c r="AF120" s="4" t="s">
        <v>642</v>
      </c>
      <c r="AG120" s="4" t="s">
        <v>1</v>
      </c>
      <c r="AH120" s="4" t="s">
        <v>696</v>
      </c>
      <c r="AK120" s="24" t="str" cm="1">
        <f t="array" ref="AK120">IFERROR(INDEX(Transactions[[Transaction code]:[Transaction name]],_xlfn.XMATCH(Transactions[[#This Row],[Parent code]],Transactions[Transaction name],0),3),Transactions[[#This Row],[Transaction name]])</f>
        <v>IC Nuclear - Main activity producers</v>
      </c>
      <c r="AL120" s="24" t="str" cm="1">
        <f t="array" ref="AL120">IFERROR(INDEX(Transactions[[Transaction code]:[Transaction name]],_xlfn.XMATCH(INDEX(Transactions[[Transaction name]:[Parent code]],_xlfn.XMATCH(Transactions[[#This Row],[L1N]],Transactions[Transaction name],0),3),Transactions[Transaction code],0),2),Transactions[[#This Row],[L1N]])</f>
        <v>IC Nuclear</v>
      </c>
      <c r="AM120" s="24" t="str" cm="1">
        <f t="array" ref="AM120">IFERROR(INDEX(Transactions[[Transaction code]:[Transaction name]],_xlfn.XMATCH(INDEX(Transactions[[Transaction name]:[Parent code]],_xlfn.XMATCH(Transactions[[#This Row],[L2N]],Transactions[Transaction name],0),3),Transactions[Transaction code],0),2),Transactions[[#This Row],[L2N]])</f>
        <v>IC Electricity plants</v>
      </c>
      <c r="AN120" s="24" t="str" cm="1">
        <f t="array" ref="AN120">IFERROR(INDEX(Transactions[[Transaction code]:[Transaction name]],_xlfn.XMATCH(INDEX(Transactions[[Transaction name]:[Parent code]],_xlfn.XMATCH(Transactions[[#This Row],[L3N]],Transactions[Transaction name],0),3),Transactions[Transaction code],0),2),Transactions[[#This Row],[L3N]])</f>
        <v>IC Electricity plants</v>
      </c>
      <c r="AO120" s="24" t="str" cm="1">
        <f t="array" ref="AO120">IFERROR(INDEX(Transactions[[Transaction code]:[Transaction name]],_xlfn.XMATCH(INDEX(Transactions[[Transaction name]:[Parent code]],_xlfn.XMATCH(Transactions[[#This Row],[L4N]],Transactions[Transaction name],0),3),Transactions[Transaction code],0),2),Transactions[[#This Row],[L4N]])</f>
        <v>IC Electricity plants</v>
      </c>
      <c r="AP120" s="24" t="str" cm="1">
        <f t="array" ref="AP120">IFERROR(INDEX(Transactions[[Transaction code]:[Transaction name]],_xlfn.XMATCH(INDEX(Transactions[[Transaction name]:[Parent code]],_xlfn.XMATCH(Transactions[[#This Row],[L5N]],Transactions[Transaction name],0),3),Transactions[Transaction code],0),2),Transactions[[#This Row],[L5N]])</f>
        <v>IC Electricity plants</v>
      </c>
      <c r="AQ120" s="24" t="str" cm="1">
        <f t="array" ref="AQ120">IFERROR(INDEX(Transactions[[Transaction code]:[Transaction name]],_xlfn.XMATCH(INDEX(Transactions[[Transaction name]:[Parent code]],_xlfn.XMATCH(Transactions[[#This Row],[L6N]],Transactions[Transaction name],0),3),Transactions[Transaction code],0),2),Transactions[[#This Row],[L6N]])</f>
        <v>IC Electricity plants</v>
      </c>
      <c r="AR120" s="27" t="str">
        <f>IF(Transactions[[#This Row],[L7N]]=Transactions[[#This Row],[L6N]],Transactions[[#This Row],[L7N]],IF(Transactions[[#This Row],[L6N]]=Transactions[[#This Row],[L5N]],Transactions[[#This Row],[L6N]],IF(Transactions[[#This Row],[L5N]]=Transactions[[#This Row],[L4N]],Transactions[[#This Row],[L5N]],IF(Transactions[[#This Row],[L4N]]=Transactions[[#This Row],[L3N]],Transactions[[#This Row],[L4N]],IF(Transactions[[#This Row],[L3N]]=Transactions[[#This Row],[L2N]],Transactions[[#This Row],[L3N]],IF(Transactions[[#This Row],[L2N]]=Transactions[[#This Row],[L1N]],Transactions[[#This Row],[L2N]],IF(Transactions[[#This Row],[L1N]]=Transactions[[#This Row],[Transaction name]],Transactions[[#This Row],[L1N]],Transactions[[#This Row],[Transaction name]])))))))</f>
        <v>IC Electricity plants</v>
      </c>
      <c r="AS120" s="24" t="str">
        <f>IF(Transactions[[#This Row],[Level 0]]=Transactions[[#This Row],[Transaction name]],Transactions[[#This Row],[Transaction name]],IF(Transactions[[#This Row],[Level 0]]=Transactions[[#This Row],[L1N]],Transactions[[#This Row],[Transaction name]],IF(Transactions[[#This Row],[Level 0]]=Transactions[[#This Row],[L2N]],Transactions[[#This Row],[L1N]],IF(Transactions[[#This Row],[Level 0]]=Transactions[[#This Row],[L3N]],Transactions[[#This Row],[L2N]],IF(Transactions[[#This Row],[Level 0]]=Transactions[[#This Row],[L4N]],Transactions[[#This Row],[L3N]],IF(Transactions[[#This Row],[Level 0]]=Transactions[[#This Row],[L5N]],Transactions[[#This Row],[L4N]],IF(Transactions[[#This Row],[Level 0]]=Transactions[[#This Row],[L6N]],Transactions[[#This Row],[L5N]],IF(Transactions[[#This Row],[Level 0]]=Transactions[[#This Row],[L7N]],Transactions[[#This Row],[L6N]],Transactions[[#This Row],[L7N]]))))))))</f>
        <v>IC Nuclear</v>
      </c>
      <c r="AT120" s="24" t="str">
        <f>IF(Transactions[[#This Row],[Level 1]]=Transactions[[#This Row],[Transaction name]],Transactions[[#This Row],[Transaction name]],IF(Transactions[[#This Row],[Level 1]]=Transactions[[#This Row],[L1N]],Transactions[[#This Row],[Transaction name]],IF(Transactions[[#This Row],[Level 1]]=Transactions[[#This Row],[L2N]],Transactions[[#This Row],[L1N]],IF(Transactions[[#This Row],[Level 1]]=Transactions[[#This Row],[L3N]],Transactions[[#This Row],[L2N]],IF(Transactions[[#This Row],[Level 1]]=Transactions[[#This Row],[L4N]],Transactions[[#This Row],[L3N]],IF(Transactions[[#This Row],[Level 1]]=Transactions[[#This Row],[L5N]],Transactions[[#This Row],[L4N]],IF(Transactions[[#This Row],[Level 1]]=Transactions[[#This Row],[L6N]],Transactions[[#This Row],[L5N]],IF(Transactions[[#This Row],[Level 1]]=Transactions[[#This Row],[L7N]],Transactions[[#This Row],[L6N]],Transactions[[#This Row],[L7N]]))))))))</f>
        <v>IC Nuclear - Main activity producers</v>
      </c>
      <c r="AU120" s="24" t="str">
        <f>IF(Transactions[[#This Row],[Level 2]]=Transactions[[#This Row],[Transaction name]],Transactions[[#This Row],[Transaction name]],IF(Transactions[[#This Row],[Level 2]]=Transactions[[#This Row],[L1N]],Transactions[[#This Row],[Transaction name]],IF(Transactions[[#This Row],[Level 2]]=Transactions[[#This Row],[L2N]],Transactions[[#This Row],[L1N]],IF(Transactions[[#This Row],[Level 2]]=Transactions[[#This Row],[L3N]],Transactions[[#This Row],[L2N]],IF(Transactions[[#This Row],[Level 2]]=Transactions[[#This Row],[L4N]],Transactions[[#This Row],[L3N]],IF(Transactions[[#This Row],[Level 2]]=Transactions[[#This Row],[L5N]],Transactions[[#This Row],[L4N]],IF(Transactions[[#This Row],[Level 2]]=Transactions[[#This Row],[L6N]],Transactions[[#This Row],[L5N]],IF(Transactions[[#This Row],[Level 2]]=Transactions[[#This Row],[L7N]],Transactions[[#This Row],[L6N]],Transactions[[#This Row],[L7N]]))))))))</f>
        <v>IC Nuclear - Main activity producers</v>
      </c>
      <c r="AV120" s="24" t="str">
        <f>IF(Transactions[[#This Row],[Level 3]]=Transactions[[#This Row],[Transaction name]],Transactions[[#This Row],[Transaction name]],IF(Transactions[[#This Row],[Level 3]]=Transactions[[#This Row],[L1N]],Transactions[[#This Row],[Transaction name]],IF(Transactions[[#This Row],[Level 3]]=Transactions[[#This Row],[L2N]],Transactions[[#This Row],[L1N]],IF(Transactions[[#This Row],[Level 3]]=Transactions[[#This Row],[L3N]],Transactions[[#This Row],[L2N]],IF(Transactions[[#This Row],[Level 3]]=Transactions[[#This Row],[L4N]],Transactions[[#This Row],[L3N]],IF(Transactions[[#This Row],[Level 3]]=Transactions[[#This Row],[L5N]],Transactions[[#This Row],[L4N]],IF(Transactions[[#This Row],[Level 3]]=Transactions[[#This Row],[L6N]],Transactions[[#This Row],[L5N]],IF(Transactions[[#This Row],[Level 3]]=Transactions[[#This Row],[L7N]],Transactions[[#This Row],[L6N]],Transactions[[#This Row],[L7N]]))))))))</f>
        <v>IC Nuclear - Main activity producers</v>
      </c>
      <c r="AW120" s="24" t="str">
        <f>IF(Transactions[[#This Row],[Level 4]]=Transactions[[#This Row],[Transaction name]],Transactions[[#This Row],[Transaction name]],IF(Transactions[[#This Row],[Level 4]]=Transactions[[#This Row],[L1N]],Transactions[[#This Row],[Transaction name]],IF(Transactions[[#This Row],[Level 4]]=Transactions[[#This Row],[L2N]],Transactions[[#This Row],[L1N]],IF(Transactions[[#This Row],[Level 4]]=Transactions[[#This Row],[L3N]],Transactions[[#This Row],[L2N]],IF(Transactions[[#This Row],[Level 4]]=Transactions[[#This Row],[L4N]],Transactions[[#This Row],[L3N]],IF(Transactions[[#This Row],[Level 4]]=Transactions[[#This Row],[L5N]],Transactions[[#This Row],[L4N]],IF(Transactions[[#This Row],[Level 4]]=Transactions[[#This Row],[L6N]],Transactions[[#This Row],[L5N]],IF(Transactions[[#This Row],[Level 4]]=Transactions[[#This Row],[L7N]],Transactions[[#This Row],[L6N]],Transactions[[#This Row],[L7N]]))))))))</f>
        <v>IC Nuclear - Main activity producers</v>
      </c>
      <c r="AX120" s="24" t="str">
        <f>IF(Transactions[[#This Row],[Level 5]]=Transactions[[#This Row],[Transaction name]],Transactions[[#This Row],[Transaction name]],IF(Transactions[[#This Row],[Level 5]]=Transactions[[#This Row],[L1N]],Transactions[[#This Row],[Transaction name]],IF(Transactions[[#This Row],[Level 5]]=Transactions[[#This Row],[L2N]],Transactions[[#This Row],[L1N]],IF(Transactions[[#This Row],[Level 5]]=Transactions[[#This Row],[L3N]],Transactions[[#This Row],[L2N]],IF(Transactions[[#This Row],[Level 5]]=Transactions[[#This Row],[L4N]],Transactions[[#This Row],[L3N]],IF(Transactions[[#This Row],[Level 5]]=Transactions[[#This Row],[L5N]],Transactions[[#This Row],[L4N]],IF(Transactions[[#This Row],[Level 5]]=Transactions[[#This Row],[L6N]],Transactions[[#This Row],[L5N]],IF(Transactions[[#This Row],[Level 5]]=Transactions[[#This Row],[L7N]],Transactions[[#This Row],[L6N]],Transactions[[#This Row],[L7N]]))))))))</f>
        <v>IC Nuclear - Main activity producers</v>
      </c>
      <c r="AY120" s="24" t="str">
        <f>IF(Transactions[[#This Row],[Level 6]]=Transactions[[#This Row],[Transaction name]],Transactions[[#This Row],[Transaction name]],IF(Transactions[[#This Row],[Level 6]]=Transactions[[#This Row],[L1N]],Transactions[[#This Row],[Transaction name]],IF(Transactions[[#This Row],[Level 6]]=Transactions[[#This Row],[L2N]],Transactions[[#This Row],[L1N]],IF(Transactions[[#This Row],[Level 6]]=Transactions[[#This Row],[L3N]],Transactions[[#This Row],[L2N]],IF(Transactions[[#This Row],[Level 6]]=Transactions[[#This Row],[L4N]],Transactions[[#This Row],[L3N]],IF(Transactions[[#This Row],[Level 6]]=Transactions[[#This Row],[L5N]],Transactions[[#This Row],[L4N]],IF(Transactions[[#This Row],[Level 6]]=Transactions[[#This Row],[L6N]],Transactions[[#This Row],[L5N]],IF(Transactions[[#This Row],[Level 6]]=Transactions[[#This Row],[L7N]],Transactions[[#This Row],[L6N]],Transactions[[#This Row],[L7N]]))))))))</f>
        <v>IC Nuclear - Main activity producers</v>
      </c>
      <c r="BE120" s="26" t="str">
        <f>_xlfn.XLOOKUP(Transformation[[#This Row],[cfrom]],Commodities[Commodity],Commodities[Commodity code])</f>
        <v>0100</v>
      </c>
      <c r="BF120" s="26" t="str">
        <f>_xlfn.XLOOKUP(Transformation[[#This Row],[tfrom]],Transactions[Transaction name],Transactions[Transaction code])</f>
        <v>08812</v>
      </c>
      <c r="BG120" s="26" t="str">
        <f>_xlfn.XLOOKUP(Transformation[[#This Row],[cto]],Commodities[Commodity],Commodities[Commodity code])</f>
        <v>0100</v>
      </c>
      <c r="BH120" s="26" t="str">
        <f>_xlfn.XLOOKUP(Transformation[[#This Row],[tto]],Transactions[Transaction name],Transactions[Transaction code])</f>
        <v>016HCOE</v>
      </c>
      <c r="BI120" s="11">
        <v>1</v>
      </c>
      <c r="BJ120" s="4" t="s">
        <v>532</v>
      </c>
      <c r="BK120" s="24" t="str">
        <f>_xlfn.XLOOKUP(Transformation[[#This Row],[Commodity from]],Commodities[Commodity code],Commodities[EnergyCode])</f>
        <v>CL</v>
      </c>
      <c r="BL120" s="4" t="s">
        <v>690</v>
      </c>
      <c r="BM120" s="4" t="s">
        <v>532</v>
      </c>
      <c r="BN120" s="24" t="str">
        <f>_xlfn.XLOOKUP(Transformation[[#This Row],[Commodity to]],Commodities[Commodity code],Commodities[EnergyCode])</f>
        <v>CL</v>
      </c>
      <c r="BO120" s="4" t="s">
        <v>1190</v>
      </c>
      <c r="BP120" s="16" t="s">
        <v>1493</v>
      </c>
      <c r="BQ120" s="33" t="str">
        <f>Transformation[[#This Row],[Commodity from]]&amp;Transformation[[#This Row],[Transaction from]]&amp;Transformation[[#This Row],[Commodity to]]&amp;Transformation[[#This Row],[Transaction to]]</f>
        <v>0100088120100016HCOE</v>
      </c>
      <c r="BR120" s="26" t="str">
        <f>Transformation[[#This Row],[crfomid]]&amp;Transformation[[#This Row],[Transaction from]]&amp;"("&amp;Transformation[[#This Row],[Multiplier]]&amp;") -&gt; "&amp;Transformation[[#This Row],[ctoid]]&amp;Transformation[[#This Row],[Transaction to]]</f>
        <v>CL08812(1) -&gt; CL016HCOE</v>
      </c>
    </row>
    <row r="121" spans="25:70" x14ac:dyDescent="0.45">
      <c r="Y121" s="5" t="s">
        <v>49</v>
      </c>
      <c r="Z121" s="4" t="s">
        <v>998</v>
      </c>
      <c r="AA121" s="4" t="s">
        <v>998</v>
      </c>
      <c r="AB121" s="6" t="s">
        <v>10</v>
      </c>
      <c r="AC121" s="24" t="str">
        <f>IFERROR(VLOOKUP(Transactions[[#This Row],[Parent code]],Transactions[[Transaction code]:[Transaction name]],2,0),"")</f>
        <v>IC Electricity plants</v>
      </c>
      <c r="AD121" s="4" t="s">
        <v>632</v>
      </c>
      <c r="AE121" s="4" t="s">
        <v>632</v>
      </c>
      <c r="AF121" s="4" t="s">
        <v>642</v>
      </c>
      <c r="AG121" s="4" t="s">
        <v>1</v>
      </c>
      <c r="AH121" s="4" t="s">
        <v>696</v>
      </c>
      <c r="AK121" s="24" t="str" cm="1">
        <f t="array" ref="AK121">IFERROR(INDEX(Transactions[[Transaction code]:[Transaction name]],_xlfn.XMATCH(Transactions[[#This Row],[Parent code]],Transactions[Transaction name],0),3),Transactions[[#This Row],[Transaction name]])</f>
        <v>IC Other energy</v>
      </c>
      <c r="AL121" s="24" t="str" cm="1">
        <f t="array" ref="AL121">IFERROR(INDEX(Transactions[[Transaction code]:[Transaction name]],_xlfn.XMATCH(INDEX(Transactions[[Transaction name]:[Parent code]],_xlfn.XMATCH(Transactions[[#This Row],[L1N]],Transactions[Transaction name],0),3),Transactions[Transaction code],0),2),Transactions[[#This Row],[L1N]])</f>
        <v>IC Electricity plants</v>
      </c>
      <c r="AM121" s="24" t="str" cm="1">
        <f t="array" ref="AM121">IFERROR(INDEX(Transactions[[Transaction code]:[Transaction name]],_xlfn.XMATCH(INDEX(Transactions[[Transaction name]:[Parent code]],_xlfn.XMATCH(Transactions[[#This Row],[L2N]],Transactions[Transaction name],0),3),Transactions[Transaction code],0),2),Transactions[[#This Row],[L2N]])</f>
        <v>IC Electricity plants</v>
      </c>
      <c r="AN121" s="24" t="str" cm="1">
        <f t="array" ref="AN121">IFERROR(INDEX(Transactions[[Transaction code]:[Transaction name]],_xlfn.XMATCH(INDEX(Transactions[[Transaction name]:[Parent code]],_xlfn.XMATCH(Transactions[[#This Row],[L3N]],Transactions[Transaction name],0),3),Transactions[Transaction code],0),2),Transactions[[#This Row],[L3N]])</f>
        <v>IC Electricity plants</v>
      </c>
      <c r="AO121" s="24" t="str" cm="1">
        <f t="array" ref="AO121">IFERROR(INDEX(Transactions[[Transaction code]:[Transaction name]],_xlfn.XMATCH(INDEX(Transactions[[Transaction name]:[Parent code]],_xlfn.XMATCH(Transactions[[#This Row],[L4N]],Transactions[Transaction name],0),3),Transactions[Transaction code],0),2),Transactions[[#This Row],[L4N]])</f>
        <v>IC Electricity plants</v>
      </c>
      <c r="AP121" s="24" t="str" cm="1">
        <f t="array" ref="AP121">IFERROR(INDEX(Transactions[[Transaction code]:[Transaction name]],_xlfn.XMATCH(INDEX(Transactions[[Transaction name]:[Parent code]],_xlfn.XMATCH(Transactions[[#This Row],[L5N]],Transactions[Transaction name],0),3),Transactions[Transaction code],0),2),Transactions[[#This Row],[L5N]])</f>
        <v>IC Electricity plants</v>
      </c>
      <c r="AQ121" s="24" t="str" cm="1">
        <f t="array" ref="AQ121">IFERROR(INDEX(Transactions[[Transaction code]:[Transaction name]],_xlfn.XMATCH(INDEX(Transactions[[Transaction name]:[Parent code]],_xlfn.XMATCH(Transactions[[#This Row],[L6N]],Transactions[Transaction name],0),3),Transactions[Transaction code],0),2),Transactions[[#This Row],[L6N]])</f>
        <v>IC Electricity plants</v>
      </c>
      <c r="AR121" s="27" t="str">
        <f>IF(Transactions[[#This Row],[L7N]]=Transactions[[#This Row],[L6N]],Transactions[[#This Row],[L7N]],IF(Transactions[[#This Row],[L6N]]=Transactions[[#This Row],[L5N]],Transactions[[#This Row],[L6N]],IF(Transactions[[#This Row],[L5N]]=Transactions[[#This Row],[L4N]],Transactions[[#This Row],[L5N]],IF(Transactions[[#This Row],[L4N]]=Transactions[[#This Row],[L3N]],Transactions[[#This Row],[L4N]],IF(Transactions[[#This Row],[L3N]]=Transactions[[#This Row],[L2N]],Transactions[[#This Row],[L3N]],IF(Transactions[[#This Row],[L2N]]=Transactions[[#This Row],[L1N]],Transactions[[#This Row],[L2N]],IF(Transactions[[#This Row],[L1N]]=Transactions[[#This Row],[Transaction name]],Transactions[[#This Row],[L1N]],Transactions[[#This Row],[Transaction name]])))))))</f>
        <v>IC Electricity plants</v>
      </c>
      <c r="AS121" s="24" t="str">
        <f>IF(Transactions[[#This Row],[Level 0]]=Transactions[[#This Row],[Transaction name]],Transactions[[#This Row],[Transaction name]],IF(Transactions[[#This Row],[Level 0]]=Transactions[[#This Row],[L1N]],Transactions[[#This Row],[Transaction name]],IF(Transactions[[#This Row],[Level 0]]=Transactions[[#This Row],[L2N]],Transactions[[#This Row],[L1N]],IF(Transactions[[#This Row],[Level 0]]=Transactions[[#This Row],[L3N]],Transactions[[#This Row],[L2N]],IF(Transactions[[#This Row],[Level 0]]=Transactions[[#This Row],[L4N]],Transactions[[#This Row],[L3N]],IF(Transactions[[#This Row],[Level 0]]=Transactions[[#This Row],[L5N]],Transactions[[#This Row],[L4N]],IF(Transactions[[#This Row],[Level 0]]=Transactions[[#This Row],[L6N]],Transactions[[#This Row],[L5N]],IF(Transactions[[#This Row],[Level 0]]=Transactions[[#This Row],[L7N]],Transactions[[#This Row],[L6N]],Transactions[[#This Row],[L7N]]))))))))</f>
        <v>IC Other energy</v>
      </c>
      <c r="AT121" s="24" t="str">
        <f>IF(Transactions[[#This Row],[Level 1]]=Transactions[[#This Row],[Transaction name]],Transactions[[#This Row],[Transaction name]],IF(Transactions[[#This Row],[Level 1]]=Transactions[[#This Row],[L1N]],Transactions[[#This Row],[Transaction name]],IF(Transactions[[#This Row],[Level 1]]=Transactions[[#This Row],[L2N]],Transactions[[#This Row],[L1N]],IF(Transactions[[#This Row],[Level 1]]=Transactions[[#This Row],[L3N]],Transactions[[#This Row],[L2N]],IF(Transactions[[#This Row],[Level 1]]=Transactions[[#This Row],[L4N]],Transactions[[#This Row],[L3N]],IF(Transactions[[#This Row],[Level 1]]=Transactions[[#This Row],[L5N]],Transactions[[#This Row],[L4N]],IF(Transactions[[#This Row],[Level 1]]=Transactions[[#This Row],[L6N]],Transactions[[#This Row],[L5N]],IF(Transactions[[#This Row],[Level 1]]=Transactions[[#This Row],[L7N]],Transactions[[#This Row],[L6N]],Transactions[[#This Row],[L7N]]))))))))</f>
        <v>IC Other energy</v>
      </c>
      <c r="AU121" s="24" t="str">
        <f>IF(Transactions[[#This Row],[Level 2]]=Transactions[[#This Row],[Transaction name]],Transactions[[#This Row],[Transaction name]],IF(Transactions[[#This Row],[Level 2]]=Transactions[[#This Row],[L1N]],Transactions[[#This Row],[Transaction name]],IF(Transactions[[#This Row],[Level 2]]=Transactions[[#This Row],[L2N]],Transactions[[#This Row],[L1N]],IF(Transactions[[#This Row],[Level 2]]=Transactions[[#This Row],[L3N]],Transactions[[#This Row],[L2N]],IF(Transactions[[#This Row],[Level 2]]=Transactions[[#This Row],[L4N]],Transactions[[#This Row],[L3N]],IF(Transactions[[#This Row],[Level 2]]=Transactions[[#This Row],[L5N]],Transactions[[#This Row],[L4N]],IF(Transactions[[#This Row],[Level 2]]=Transactions[[#This Row],[L6N]],Transactions[[#This Row],[L5N]],IF(Transactions[[#This Row],[Level 2]]=Transactions[[#This Row],[L7N]],Transactions[[#This Row],[L6N]],Transactions[[#This Row],[L7N]]))))))))</f>
        <v>IC Other energy</v>
      </c>
      <c r="AV121" s="24" t="str">
        <f>IF(Transactions[[#This Row],[Level 3]]=Transactions[[#This Row],[Transaction name]],Transactions[[#This Row],[Transaction name]],IF(Transactions[[#This Row],[Level 3]]=Transactions[[#This Row],[L1N]],Transactions[[#This Row],[Transaction name]],IF(Transactions[[#This Row],[Level 3]]=Transactions[[#This Row],[L2N]],Transactions[[#This Row],[L1N]],IF(Transactions[[#This Row],[Level 3]]=Transactions[[#This Row],[L3N]],Transactions[[#This Row],[L2N]],IF(Transactions[[#This Row],[Level 3]]=Transactions[[#This Row],[L4N]],Transactions[[#This Row],[L3N]],IF(Transactions[[#This Row],[Level 3]]=Transactions[[#This Row],[L5N]],Transactions[[#This Row],[L4N]],IF(Transactions[[#This Row],[Level 3]]=Transactions[[#This Row],[L6N]],Transactions[[#This Row],[L5N]],IF(Transactions[[#This Row],[Level 3]]=Transactions[[#This Row],[L7N]],Transactions[[#This Row],[L6N]],Transactions[[#This Row],[L7N]]))))))))</f>
        <v>IC Other energy</v>
      </c>
      <c r="AW121" s="24" t="str">
        <f>IF(Transactions[[#This Row],[Level 4]]=Transactions[[#This Row],[Transaction name]],Transactions[[#This Row],[Transaction name]],IF(Transactions[[#This Row],[Level 4]]=Transactions[[#This Row],[L1N]],Transactions[[#This Row],[Transaction name]],IF(Transactions[[#This Row],[Level 4]]=Transactions[[#This Row],[L2N]],Transactions[[#This Row],[L1N]],IF(Transactions[[#This Row],[Level 4]]=Transactions[[#This Row],[L3N]],Transactions[[#This Row],[L2N]],IF(Transactions[[#This Row],[Level 4]]=Transactions[[#This Row],[L4N]],Transactions[[#This Row],[L3N]],IF(Transactions[[#This Row],[Level 4]]=Transactions[[#This Row],[L5N]],Transactions[[#This Row],[L4N]],IF(Transactions[[#This Row],[Level 4]]=Transactions[[#This Row],[L6N]],Transactions[[#This Row],[L5N]],IF(Transactions[[#This Row],[Level 4]]=Transactions[[#This Row],[L7N]],Transactions[[#This Row],[L6N]],Transactions[[#This Row],[L7N]]))))))))</f>
        <v>IC Other energy</v>
      </c>
      <c r="AX121" s="24" t="str">
        <f>IF(Transactions[[#This Row],[Level 5]]=Transactions[[#This Row],[Transaction name]],Transactions[[#This Row],[Transaction name]],IF(Transactions[[#This Row],[Level 5]]=Transactions[[#This Row],[L1N]],Transactions[[#This Row],[Transaction name]],IF(Transactions[[#This Row],[Level 5]]=Transactions[[#This Row],[L2N]],Transactions[[#This Row],[L1N]],IF(Transactions[[#This Row],[Level 5]]=Transactions[[#This Row],[L3N]],Transactions[[#This Row],[L2N]],IF(Transactions[[#This Row],[Level 5]]=Transactions[[#This Row],[L4N]],Transactions[[#This Row],[L3N]],IF(Transactions[[#This Row],[Level 5]]=Transactions[[#This Row],[L5N]],Transactions[[#This Row],[L4N]],IF(Transactions[[#This Row],[Level 5]]=Transactions[[#This Row],[L6N]],Transactions[[#This Row],[L5N]],IF(Transactions[[#This Row],[Level 5]]=Transactions[[#This Row],[L7N]],Transactions[[#This Row],[L6N]],Transactions[[#This Row],[L7N]]))))))))</f>
        <v>IC Other energy</v>
      </c>
      <c r="AY121" s="24" t="str">
        <f>IF(Transactions[[#This Row],[Level 6]]=Transactions[[#This Row],[Transaction name]],Transactions[[#This Row],[Transaction name]],IF(Transactions[[#This Row],[Level 6]]=Transactions[[#This Row],[L1N]],Transactions[[#This Row],[Transaction name]],IF(Transactions[[#This Row],[Level 6]]=Transactions[[#This Row],[L2N]],Transactions[[#This Row],[L1N]],IF(Transactions[[#This Row],[Level 6]]=Transactions[[#This Row],[L3N]],Transactions[[#This Row],[L2N]],IF(Transactions[[#This Row],[Level 6]]=Transactions[[#This Row],[L4N]],Transactions[[#This Row],[L3N]],IF(Transactions[[#This Row],[Level 6]]=Transactions[[#This Row],[L5N]],Transactions[[#This Row],[L4N]],IF(Transactions[[#This Row],[Level 6]]=Transactions[[#This Row],[L6N]],Transactions[[#This Row],[L5N]],IF(Transactions[[#This Row],[Level 6]]=Transactions[[#This Row],[L7N]],Transactions[[#This Row],[L6N]],Transactions[[#This Row],[L7N]]))))))))</f>
        <v>IC Other energy</v>
      </c>
      <c r="BE121" s="26" t="str">
        <f>_xlfn.XLOOKUP(Transformation[[#This Row],[cfrom]],Commodities[Commodity],Commodities[Commodity code])</f>
        <v>4100</v>
      </c>
      <c r="BF121" s="26" t="str">
        <f>_xlfn.XLOOKUP(Transformation[[#This Row],[tfrom]],Transactions[Transaction name],Transactions[Transaction code])</f>
        <v>08812</v>
      </c>
      <c r="BG121" s="26" t="str">
        <f>_xlfn.XLOOKUP(Transformation[[#This Row],[cto]],Commodities[Commodity],Commodities[Commodity code])</f>
        <v>4100</v>
      </c>
      <c r="BH121" s="26" t="str">
        <f>_xlfn.XLOOKUP(Transformation[[#This Row],[tto]],Transactions[Transaction name],Transactions[Transaction code])</f>
        <v>016COE</v>
      </c>
      <c r="BI121" s="11">
        <v>1</v>
      </c>
      <c r="BJ121" s="4" t="s">
        <v>439</v>
      </c>
      <c r="BK121" s="24" t="str">
        <f>_xlfn.XLOOKUP(Transformation[[#This Row],[Commodity from]],Commodities[Commodity code],Commodities[EnergyCode])</f>
        <v>CR</v>
      </c>
      <c r="BL121" s="4" t="s">
        <v>690</v>
      </c>
      <c r="BM121" s="4" t="s">
        <v>439</v>
      </c>
      <c r="BN121" s="24" t="str">
        <f>_xlfn.XLOOKUP(Transformation[[#This Row],[Commodity to]],Commodities[Commodity code],Commodities[EnergyCode])</f>
        <v>CR</v>
      </c>
      <c r="BO121" s="4" t="s">
        <v>1230</v>
      </c>
      <c r="BP121" s="16" t="s">
        <v>1493</v>
      </c>
      <c r="BQ121" s="33" t="str">
        <f>Transformation[[#This Row],[Commodity from]]&amp;Transformation[[#This Row],[Transaction from]]&amp;Transformation[[#This Row],[Commodity to]]&amp;Transformation[[#This Row],[Transaction to]]</f>
        <v>4100088124100016COE</v>
      </c>
      <c r="BR121" s="26" t="str">
        <f>Transformation[[#This Row],[crfomid]]&amp;Transformation[[#This Row],[Transaction from]]&amp;"("&amp;Transformation[[#This Row],[Multiplier]]&amp;") -&gt; "&amp;Transformation[[#This Row],[ctoid]]&amp;Transformation[[#This Row],[Transaction to]]</f>
        <v>CR08812(1) -&gt; CR016COE</v>
      </c>
    </row>
    <row r="122" spans="25:70" x14ac:dyDescent="0.45">
      <c r="Y122" s="5" t="s">
        <v>51</v>
      </c>
      <c r="Z122" s="4" t="s">
        <v>1000</v>
      </c>
      <c r="AA122" s="4" t="s">
        <v>1000</v>
      </c>
      <c r="AB122" s="6" t="s">
        <v>49</v>
      </c>
      <c r="AC122" s="24" t="str">
        <f>IFERROR(VLOOKUP(Transactions[[#This Row],[Parent code]],Transactions[[Transaction code]:[Transaction name]],2,0),"")</f>
        <v>IC Other energy</v>
      </c>
      <c r="AD122" s="4" t="s">
        <v>632</v>
      </c>
      <c r="AE122" s="4" t="s">
        <v>632</v>
      </c>
      <c r="AF122" s="4" t="s">
        <v>642</v>
      </c>
      <c r="AG122" s="4" t="s">
        <v>1</v>
      </c>
      <c r="AH122" s="4" t="s">
        <v>696</v>
      </c>
      <c r="AK122" s="24" t="str" cm="1">
        <f t="array" ref="AK122">IFERROR(INDEX(Transactions[[Transaction code]:[Transaction name]],_xlfn.XMATCH(Transactions[[#This Row],[Parent code]],Transactions[Transaction name],0),3),Transactions[[#This Row],[Transaction name]])</f>
        <v>IC Other energy - Autoproducers</v>
      </c>
      <c r="AL122" s="24" t="str" cm="1">
        <f t="array" ref="AL122">IFERROR(INDEX(Transactions[[Transaction code]:[Transaction name]],_xlfn.XMATCH(INDEX(Transactions[[Transaction name]:[Parent code]],_xlfn.XMATCH(Transactions[[#This Row],[L1N]],Transactions[Transaction name],0),3),Transactions[Transaction code],0),2),Transactions[[#This Row],[L1N]])</f>
        <v>IC Other energy</v>
      </c>
      <c r="AM122" s="24" t="str" cm="1">
        <f t="array" ref="AM122">IFERROR(INDEX(Transactions[[Transaction code]:[Transaction name]],_xlfn.XMATCH(INDEX(Transactions[[Transaction name]:[Parent code]],_xlfn.XMATCH(Transactions[[#This Row],[L2N]],Transactions[Transaction name],0),3),Transactions[Transaction code],0),2),Transactions[[#This Row],[L2N]])</f>
        <v>IC Electricity plants</v>
      </c>
      <c r="AN122" s="24" t="str" cm="1">
        <f t="array" ref="AN122">IFERROR(INDEX(Transactions[[Transaction code]:[Transaction name]],_xlfn.XMATCH(INDEX(Transactions[[Transaction name]:[Parent code]],_xlfn.XMATCH(Transactions[[#This Row],[L3N]],Transactions[Transaction name],0),3),Transactions[Transaction code],0),2),Transactions[[#This Row],[L3N]])</f>
        <v>IC Electricity plants</v>
      </c>
      <c r="AO122" s="24" t="str" cm="1">
        <f t="array" ref="AO122">IFERROR(INDEX(Transactions[[Transaction code]:[Transaction name]],_xlfn.XMATCH(INDEX(Transactions[[Transaction name]:[Parent code]],_xlfn.XMATCH(Transactions[[#This Row],[L4N]],Transactions[Transaction name],0),3),Transactions[Transaction code],0),2),Transactions[[#This Row],[L4N]])</f>
        <v>IC Electricity plants</v>
      </c>
      <c r="AP122" s="24" t="str" cm="1">
        <f t="array" ref="AP122">IFERROR(INDEX(Transactions[[Transaction code]:[Transaction name]],_xlfn.XMATCH(INDEX(Transactions[[Transaction name]:[Parent code]],_xlfn.XMATCH(Transactions[[#This Row],[L5N]],Transactions[Transaction name],0),3),Transactions[Transaction code],0),2),Transactions[[#This Row],[L5N]])</f>
        <v>IC Electricity plants</v>
      </c>
      <c r="AQ122" s="24" t="str" cm="1">
        <f t="array" ref="AQ122">IFERROR(INDEX(Transactions[[Transaction code]:[Transaction name]],_xlfn.XMATCH(INDEX(Transactions[[Transaction name]:[Parent code]],_xlfn.XMATCH(Transactions[[#This Row],[L6N]],Transactions[Transaction name],0),3),Transactions[Transaction code],0),2),Transactions[[#This Row],[L6N]])</f>
        <v>IC Electricity plants</v>
      </c>
      <c r="AR122" s="27" t="str">
        <f>IF(Transactions[[#This Row],[L7N]]=Transactions[[#This Row],[L6N]],Transactions[[#This Row],[L7N]],IF(Transactions[[#This Row],[L6N]]=Transactions[[#This Row],[L5N]],Transactions[[#This Row],[L6N]],IF(Transactions[[#This Row],[L5N]]=Transactions[[#This Row],[L4N]],Transactions[[#This Row],[L5N]],IF(Transactions[[#This Row],[L4N]]=Transactions[[#This Row],[L3N]],Transactions[[#This Row],[L4N]],IF(Transactions[[#This Row],[L3N]]=Transactions[[#This Row],[L2N]],Transactions[[#This Row],[L3N]],IF(Transactions[[#This Row],[L2N]]=Transactions[[#This Row],[L1N]],Transactions[[#This Row],[L2N]],IF(Transactions[[#This Row],[L1N]]=Transactions[[#This Row],[Transaction name]],Transactions[[#This Row],[L1N]],Transactions[[#This Row],[Transaction name]])))))))</f>
        <v>IC Electricity plants</v>
      </c>
      <c r="AS122" s="24" t="str">
        <f>IF(Transactions[[#This Row],[Level 0]]=Transactions[[#This Row],[Transaction name]],Transactions[[#This Row],[Transaction name]],IF(Transactions[[#This Row],[Level 0]]=Transactions[[#This Row],[L1N]],Transactions[[#This Row],[Transaction name]],IF(Transactions[[#This Row],[Level 0]]=Transactions[[#This Row],[L2N]],Transactions[[#This Row],[L1N]],IF(Transactions[[#This Row],[Level 0]]=Transactions[[#This Row],[L3N]],Transactions[[#This Row],[L2N]],IF(Transactions[[#This Row],[Level 0]]=Transactions[[#This Row],[L4N]],Transactions[[#This Row],[L3N]],IF(Transactions[[#This Row],[Level 0]]=Transactions[[#This Row],[L5N]],Transactions[[#This Row],[L4N]],IF(Transactions[[#This Row],[Level 0]]=Transactions[[#This Row],[L6N]],Transactions[[#This Row],[L5N]],IF(Transactions[[#This Row],[Level 0]]=Transactions[[#This Row],[L7N]],Transactions[[#This Row],[L6N]],Transactions[[#This Row],[L7N]]))))))))</f>
        <v>IC Other energy</v>
      </c>
      <c r="AT122" s="24" t="str">
        <f>IF(Transactions[[#This Row],[Level 1]]=Transactions[[#This Row],[Transaction name]],Transactions[[#This Row],[Transaction name]],IF(Transactions[[#This Row],[Level 1]]=Transactions[[#This Row],[L1N]],Transactions[[#This Row],[Transaction name]],IF(Transactions[[#This Row],[Level 1]]=Transactions[[#This Row],[L2N]],Transactions[[#This Row],[L1N]],IF(Transactions[[#This Row],[Level 1]]=Transactions[[#This Row],[L3N]],Transactions[[#This Row],[L2N]],IF(Transactions[[#This Row],[Level 1]]=Transactions[[#This Row],[L4N]],Transactions[[#This Row],[L3N]],IF(Transactions[[#This Row],[Level 1]]=Transactions[[#This Row],[L5N]],Transactions[[#This Row],[L4N]],IF(Transactions[[#This Row],[Level 1]]=Transactions[[#This Row],[L6N]],Transactions[[#This Row],[L5N]],IF(Transactions[[#This Row],[Level 1]]=Transactions[[#This Row],[L7N]],Transactions[[#This Row],[L6N]],Transactions[[#This Row],[L7N]]))))))))</f>
        <v>IC Other energy - Autoproducers</v>
      </c>
      <c r="AU122" s="24" t="str">
        <f>IF(Transactions[[#This Row],[Level 2]]=Transactions[[#This Row],[Transaction name]],Transactions[[#This Row],[Transaction name]],IF(Transactions[[#This Row],[Level 2]]=Transactions[[#This Row],[L1N]],Transactions[[#This Row],[Transaction name]],IF(Transactions[[#This Row],[Level 2]]=Transactions[[#This Row],[L2N]],Transactions[[#This Row],[L1N]],IF(Transactions[[#This Row],[Level 2]]=Transactions[[#This Row],[L3N]],Transactions[[#This Row],[L2N]],IF(Transactions[[#This Row],[Level 2]]=Transactions[[#This Row],[L4N]],Transactions[[#This Row],[L3N]],IF(Transactions[[#This Row],[Level 2]]=Transactions[[#This Row],[L5N]],Transactions[[#This Row],[L4N]],IF(Transactions[[#This Row],[Level 2]]=Transactions[[#This Row],[L6N]],Transactions[[#This Row],[L5N]],IF(Transactions[[#This Row],[Level 2]]=Transactions[[#This Row],[L7N]],Transactions[[#This Row],[L6N]],Transactions[[#This Row],[L7N]]))))))))</f>
        <v>IC Other energy - Autoproducers</v>
      </c>
      <c r="AV122" s="24" t="str">
        <f>IF(Transactions[[#This Row],[Level 3]]=Transactions[[#This Row],[Transaction name]],Transactions[[#This Row],[Transaction name]],IF(Transactions[[#This Row],[Level 3]]=Transactions[[#This Row],[L1N]],Transactions[[#This Row],[Transaction name]],IF(Transactions[[#This Row],[Level 3]]=Transactions[[#This Row],[L2N]],Transactions[[#This Row],[L1N]],IF(Transactions[[#This Row],[Level 3]]=Transactions[[#This Row],[L3N]],Transactions[[#This Row],[L2N]],IF(Transactions[[#This Row],[Level 3]]=Transactions[[#This Row],[L4N]],Transactions[[#This Row],[L3N]],IF(Transactions[[#This Row],[Level 3]]=Transactions[[#This Row],[L5N]],Transactions[[#This Row],[L4N]],IF(Transactions[[#This Row],[Level 3]]=Transactions[[#This Row],[L6N]],Transactions[[#This Row],[L5N]],IF(Transactions[[#This Row],[Level 3]]=Transactions[[#This Row],[L7N]],Transactions[[#This Row],[L6N]],Transactions[[#This Row],[L7N]]))))))))</f>
        <v>IC Other energy - Autoproducers</v>
      </c>
      <c r="AW122" s="24" t="str">
        <f>IF(Transactions[[#This Row],[Level 4]]=Transactions[[#This Row],[Transaction name]],Transactions[[#This Row],[Transaction name]],IF(Transactions[[#This Row],[Level 4]]=Transactions[[#This Row],[L1N]],Transactions[[#This Row],[Transaction name]],IF(Transactions[[#This Row],[Level 4]]=Transactions[[#This Row],[L2N]],Transactions[[#This Row],[L1N]],IF(Transactions[[#This Row],[Level 4]]=Transactions[[#This Row],[L3N]],Transactions[[#This Row],[L2N]],IF(Transactions[[#This Row],[Level 4]]=Transactions[[#This Row],[L4N]],Transactions[[#This Row],[L3N]],IF(Transactions[[#This Row],[Level 4]]=Transactions[[#This Row],[L5N]],Transactions[[#This Row],[L4N]],IF(Transactions[[#This Row],[Level 4]]=Transactions[[#This Row],[L6N]],Transactions[[#This Row],[L5N]],IF(Transactions[[#This Row],[Level 4]]=Transactions[[#This Row],[L7N]],Transactions[[#This Row],[L6N]],Transactions[[#This Row],[L7N]]))))))))</f>
        <v>IC Other energy - Autoproducers</v>
      </c>
      <c r="AX122" s="24" t="str">
        <f>IF(Transactions[[#This Row],[Level 5]]=Transactions[[#This Row],[Transaction name]],Transactions[[#This Row],[Transaction name]],IF(Transactions[[#This Row],[Level 5]]=Transactions[[#This Row],[L1N]],Transactions[[#This Row],[Transaction name]],IF(Transactions[[#This Row],[Level 5]]=Transactions[[#This Row],[L2N]],Transactions[[#This Row],[L1N]],IF(Transactions[[#This Row],[Level 5]]=Transactions[[#This Row],[L3N]],Transactions[[#This Row],[L2N]],IF(Transactions[[#This Row],[Level 5]]=Transactions[[#This Row],[L4N]],Transactions[[#This Row],[L3N]],IF(Transactions[[#This Row],[Level 5]]=Transactions[[#This Row],[L5N]],Transactions[[#This Row],[L4N]],IF(Transactions[[#This Row],[Level 5]]=Transactions[[#This Row],[L6N]],Transactions[[#This Row],[L5N]],IF(Transactions[[#This Row],[Level 5]]=Transactions[[#This Row],[L7N]],Transactions[[#This Row],[L6N]],Transactions[[#This Row],[L7N]]))))))))</f>
        <v>IC Other energy - Autoproducers</v>
      </c>
      <c r="AY122" s="24" t="str">
        <f>IF(Transactions[[#This Row],[Level 6]]=Transactions[[#This Row],[Transaction name]],Transactions[[#This Row],[Transaction name]],IF(Transactions[[#This Row],[Level 6]]=Transactions[[#This Row],[L1N]],Transactions[[#This Row],[Transaction name]],IF(Transactions[[#This Row],[Level 6]]=Transactions[[#This Row],[L2N]],Transactions[[#This Row],[L1N]],IF(Transactions[[#This Row],[Level 6]]=Transactions[[#This Row],[L3N]],Transactions[[#This Row],[L2N]],IF(Transactions[[#This Row],[Level 6]]=Transactions[[#This Row],[L4N]],Transactions[[#This Row],[L3N]],IF(Transactions[[#This Row],[Level 6]]=Transactions[[#This Row],[L5N]],Transactions[[#This Row],[L4N]],IF(Transactions[[#This Row],[Level 6]]=Transactions[[#This Row],[L6N]],Transactions[[#This Row],[L5N]],IF(Transactions[[#This Row],[Level 6]]=Transactions[[#This Row],[L7N]],Transactions[[#This Row],[L6N]],Transactions[[#This Row],[L7N]]))))))))</f>
        <v>IC Other energy - Autoproducers</v>
      </c>
      <c r="BE122" s="26" t="str">
        <f>_xlfn.XLOOKUP(Transformation[[#This Row],[cfrom]],Commodities[Commodity],Commodities[Commodity code])</f>
        <v>0340</v>
      </c>
      <c r="BF122" s="26" t="str">
        <f>_xlfn.XLOOKUP(Transformation[[#This Row],[tfrom]],Transactions[Transaction name],Transactions[Transaction code])</f>
        <v>08812</v>
      </c>
      <c r="BG122" s="26" t="str">
        <f>_xlfn.XLOOKUP(Transformation[[#This Row],[cto]],Commodities[Commodity],Commodities[Commodity code])</f>
        <v>0340</v>
      </c>
      <c r="BH122" s="26" t="str">
        <f>_xlfn.XLOOKUP(Transformation[[#This Row],[tto]],Transactions[Transaction name],Transactions[Transaction code])</f>
        <v>016CSE</v>
      </c>
      <c r="BI122" s="11">
        <v>1</v>
      </c>
      <c r="BJ122" s="4" t="s">
        <v>489</v>
      </c>
      <c r="BK122" s="24" t="str">
        <f>_xlfn.XLOOKUP(Transformation[[#This Row],[Commodity from]],Commodities[Commodity code],Commodities[EnergyCode])</f>
        <v>CT</v>
      </c>
      <c r="BL122" s="4" t="s">
        <v>690</v>
      </c>
      <c r="BM122" s="4" t="s">
        <v>489</v>
      </c>
      <c r="BN122" s="24" t="str">
        <f>_xlfn.XLOOKUP(Transformation[[#This Row],[Commodity to]],Commodities[Commodity code],Commodities[EnergyCode])</f>
        <v>CT</v>
      </c>
      <c r="BO122" s="4" t="s">
        <v>1214</v>
      </c>
      <c r="BP122" s="16" t="s">
        <v>1493</v>
      </c>
      <c r="BQ122" s="33" t="str">
        <f>Transformation[[#This Row],[Commodity from]]&amp;Transformation[[#This Row],[Transaction from]]&amp;Transformation[[#This Row],[Commodity to]]&amp;Transformation[[#This Row],[Transaction to]]</f>
        <v>0340088120340016CSE</v>
      </c>
      <c r="BR122" s="26" t="str">
        <f>Transformation[[#This Row],[crfomid]]&amp;Transformation[[#This Row],[Transaction from]]&amp;"("&amp;Transformation[[#This Row],[Multiplier]]&amp;") -&gt; "&amp;Transformation[[#This Row],[ctoid]]&amp;Transformation[[#This Row],[Transaction to]]</f>
        <v>CT08812(1) -&gt; CT016CSE</v>
      </c>
    </row>
    <row r="123" spans="25:70" x14ac:dyDescent="0.45">
      <c r="Y123" s="5" t="s">
        <v>53</v>
      </c>
      <c r="Z123" s="4" t="s">
        <v>999</v>
      </c>
      <c r="AA123" s="4" t="s">
        <v>999</v>
      </c>
      <c r="AB123" s="6" t="s">
        <v>49</v>
      </c>
      <c r="AC123" s="24" t="str">
        <f>IFERROR(VLOOKUP(Transactions[[#This Row],[Parent code]],Transactions[[Transaction code]:[Transaction name]],2,0),"")</f>
        <v>IC Other energy</v>
      </c>
      <c r="AD123" s="4" t="s">
        <v>632</v>
      </c>
      <c r="AE123" s="4" t="s">
        <v>632</v>
      </c>
      <c r="AF123" s="4" t="s">
        <v>642</v>
      </c>
      <c r="AG123" s="4" t="s">
        <v>1</v>
      </c>
      <c r="AH123" s="4" t="s">
        <v>696</v>
      </c>
      <c r="AK123" s="24" t="str" cm="1">
        <f t="array" ref="AK123">IFERROR(INDEX(Transactions[[Transaction code]:[Transaction name]],_xlfn.XMATCH(Transactions[[#This Row],[Parent code]],Transactions[Transaction name],0),3),Transactions[[#This Row],[Transaction name]])</f>
        <v>IC Other energy - Main activity producers</v>
      </c>
      <c r="AL123" s="24" t="str" cm="1">
        <f t="array" ref="AL123">IFERROR(INDEX(Transactions[[Transaction code]:[Transaction name]],_xlfn.XMATCH(INDEX(Transactions[[Transaction name]:[Parent code]],_xlfn.XMATCH(Transactions[[#This Row],[L1N]],Transactions[Transaction name],0),3),Transactions[Transaction code],0),2),Transactions[[#This Row],[L1N]])</f>
        <v>IC Other energy</v>
      </c>
      <c r="AM123" s="24" t="str" cm="1">
        <f t="array" ref="AM123">IFERROR(INDEX(Transactions[[Transaction code]:[Transaction name]],_xlfn.XMATCH(INDEX(Transactions[[Transaction name]:[Parent code]],_xlfn.XMATCH(Transactions[[#This Row],[L2N]],Transactions[Transaction name],0),3),Transactions[Transaction code],0),2),Transactions[[#This Row],[L2N]])</f>
        <v>IC Electricity plants</v>
      </c>
      <c r="AN123" s="24" t="str" cm="1">
        <f t="array" ref="AN123">IFERROR(INDEX(Transactions[[Transaction code]:[Transaction name]],_xlfn.XMATCH(INDEX(Transactions[[Transaction name]:[Parent code]],_xlfn.XMATCH(Transactions[[#This Row],[L3N]],Transactions[Transaction name],0),3),Transactions[Transaction code],0),2),Transactions[[#This Row],[L3N]])</f>
        <v>IC Electricity plants</v>
      </c>
      <c r="AO123" s="24" t="str" cm="1">
        <f t="array" ref="AO123">IFERROR(INDEX(Transactions[[Transaction code]:[Transaction name]],_xlfn.XMATCH(INDEX(Transactions[[Transaction name]:[Parent code]],_xlfn.XMATCH(Transactions[[#This Row],[L4N]],Transactions[Transaction name],0),3),Transactions[Transaction code],0),2),Transactions[[#This Row],[L4N]])</f>
        <v>IC Electricity plants</v>
      </c>
      <c r="AP123" s="24" t="str" cm="1">
        <f t="array" ref="AP123">IFERROR(INDEX(Transactions[[Transaction code]:[Transaction name]],_xlfn.XMATCH(INDEX(Transactions[[Transaction name]:[Parent code]],_xlfn.XMATCH(Transactions[[#This Row],[L5N]],Transactions[Transaction name],0),3),Transactions[Transaction code],0),2),Transactions[[#This Row],[L5N]])</f>
        <v>IC Electricity plants</v>
      </c>
      <c r="AQ123" s="24" t="str" cm="1">
        <f t="array" ref="AQ123">IFERROR(INDEX(Transactions[[Transaction code]:[Transaction name]],_xlfn.XMATCH(INDEX(Transactions[[Transaction name]:[Parent code]],_xlfn.XMATCH(Transactions[[#This Row],[L6N]],Transactions[Transaction name],0),3),Transactions[Transaction code],0),2),Transactions[[#This Row],[L6N]])</f>
        <v>IC Electricity plants</v>
      </c>
      <c r="AR123" s="27" t="str">
        <f>IF(Transactions[[#This Row],[L7N]]=Transactions[[#This Row],[L6N]],Transactions[[#This Row],[L7N]],IF(Transactions[[#This Row],[L6N]]=Transactions[[#This Row],[L5N]],Transactions[[#This Row],[L6N]],IF(Transactions[[#This Row],[L5N]]=Transactions[[#This Row],[L4N]],Transactions[[#This Row],[L5N]],IF(Transactions[[#This Row],[L4N]]=Transactions[[#This Row],[L3N]],Transactions[[#This Row],[L4N]],IF(Transactions[[#This Row],[L3N]]=Transactions[[#This Row],[L2N]],Transactions[[#This Row],[L3N]],IF(Transactions[[#This Row],[L2N]]=Transactions[[#This Row],[L1N]],Transactions[[#This Row],[L2N]],IF(Transactions[[#This Row],[L1N]]=Transactions[[#This Row],[Transaction name]],Transactions[[#This Row],[L1N]],Transactions[[#This Row],[Transaction name]])))))))</f>
        <v>IC Electricity plants</v>
      </c>
      <c r="AS123" s="24" t="str">
        <f>IF(Transactions[[#This Row],[Level 0]]=Transactions[[#This Row],[Transaction name]],Transactions[[#This Row],[Transaction name]],IF(Transactions[[#This Row],[Level 0]]=Transactions[[#This Row],[L1N]],Transactions[[#This Row],[Transaction name]],IF(Transactions[[#This Row],[Level 0]]=Transactions[[#This Row],[L2N]],Transactions[[#This Row],[L1N]],IF(Transactions[[#This Row],[Level 0]]=Transactions[[#This Row],[L3N]],Transactions[[#This Row],[L2N]],IF(Transactions[[#This Row],[Level 0]]=Transactions[[#This Row],[L4N]],Transactions[[#This Row],[L3N]],IF(Transactions[[#This Row],[Level 0]]=Transactions[[#This Row],[L5N]],Transactions[[#This Row],[L4N]],IF(Transactions[[#This Row],[Level 0]]=Transactions[[#This Row],[L6N]],Transactions[[#This Row],[L5N]],IF(Transactions[[#This Row],[Level 0]]=Transactions[[#This Row],[L7N]],Transactions[[#This Row],[L6N]],Transactions[[#This Row],[L7N]]))))))))</f>
        <v>IC Other energy</v>
      </c>
      <c r="AT123" s="24" t="str">
        <f>IF(Transactions[[#This Row],[Level 1]]=Transactions[[#This Row],[Transaction name]],Transactions[[#This Row],[Transaction name]],IF(Transactions[[#This Row],[Level 1]]=Transactions[[#This Row],[L1N]],Transactions[[#This Row],[Transaction name]],IF(Transactions[[#This Row],[Level 1]]=Transactions[[#This Row],[L2N]],Transactions[[#This Row],[L1N]],IF(Transactions[[#This Row],[Level 1]]=Transactions[[#This Row],[L3N]],Transactions[[#This Row],[L2N]],IF(Transactions[[#This Row],[Level 1]]=Transactions[[#This Row],[L4N]],Transactions[[#This Row],[L3N]],IF(Transactions[[#This Row],[Level 1]]=Transactions[[#This Row],[L5N]],Transactions[[#This Row],[L4N]],IF(Transactions[[#This Row],[Level 1]]=Transactions[[#This Row],[L6N]],Transactions[[#This Row],[L5N]],IF(Transactions[[#This Row],[Level 1]]=Transactions[[#This Row],[L7N]],Transactions[[#This Row],[L6N]],Transactions[[#This Row],[L7N]]))))))))</f>
        <v>IC Other energy - Main activity producers</v>
      </c>
      <c r="AU123" s="24" t="str">
        <f>IF(Transactions[[#This Row],[Level 2]]=Transactions[[#This Row],[Transaction name]],Transactions[[#This Row],[Transaction name]],IF(Transactions[[#This Row],[Level 2]]=Transactions[[#This Row],[L1N]],Transactions[[#This Row],[Transaction name]],IF(Transactions[[#This Row],[Level 2]]=Transactions[[#This Row],[L2N]],Transactions[[#This Row],[L1N]],IF(Transactions[[#This Row],[Level 2]]=Transactions[[#This Row],[L3N]],Transactions[[#This Row],[L2N]],IF(Transactions[[#This Row],[Level 2]]=Transactions[[#This Row],[L4N]],Transactions[[#This Row],[L3N]],IF(Transactions[[#This Row],[Level 2]]=Transactions[[#This Row],[L5N]],Transactions[[#This Row],[L4N]],IF(Transactions[[#This Row],[Level 2]]=Transactions[[#This Row],[L6N]],Transactions[[#This Row],[L5N]],IF(Transactions[[#This Row],[Level 2]]=Transactions[[#This Row],[L7N]],Transactions[[#This Row],[L6N]],Transactions[[#This Row],[L7N]]))))))))</f>
        <v>IC Other energy - Main activity producers</v>
      </c>
      <c r="AV123" s="24" t="str">
        <f>IF(Transactions[[#This Row],[Level 3]]=Transactions[[#This Row],[Transaction name]],Transactions[[#This Row],[Transaction name]],IF(Transactions[[#This Row],[Level 3]]=Transactions[[#This Row],[L1N]],Transactions[[#This Row],[Transaction name]],IF(Transactions[[#This Row],[Level 3]]=Transactions[[#This Row],[L2N]],Transactions[[#This Row],[L1N]],IF(Transactions[[#This Row],[Level 3]]=Transactions[[#This Row],[L3N]],Transactions[[#This Row],[L2N]],IF(Transactions[[#This Row],[Level 3]]=Transactions[[#This Row],[L4N]],Transactions[[#This Row],[L3N]],IF(Transactions[[#This Row],[Level 3]]=Transactions[[#This Row],[L5N]],Transactions[[#This Row],[L4N]],IF(Transactions[[#This Row],[Level 3]]=Transactions[[#This Row],[L6N]],Transactions[[#This Row],[L5N]],IF(Transactions[[#This Row],[Level 3]]=Transactions[[#This Row],[L7N]],Transactions[[#This Row],[L6N]],Transactions[[#This Row],[L7N]]))))))))</f>
        <v>IC Other energy - Main activity producers</v>
      </c>
      <c r="AW123" s="24" t="str">
        <f>IF(Transactions[[#This Row],[Level 4]]=Transactions[[#This Row],[Transaction name]],Transactions[[#This Row],[Transaction name]],IF(Transactions[[#This Row],[Level 4]]=Transactions[[#This Row],[L1N]],Transactions[[#This Row],[Transaction name]],IF(Transactions[[#This Row],[Level 4]]=Transactions[[#This Row],[L2N]],Transactions[[#This Row],[L1N]],IF(Transactions[[#This Row],[Level 4]]=Transactions[[#This Row],[L3N]],Transactions[[#This Row],[L2N]],IF(Transactions[[#This Row],[Level 4]]=Transactions[[#This Row],[L4N]],Transactions[[#This Row],[L3N]],IF(Transactions[[#This Row],[Level 4]]=Transactions[[#This Row],[L5N]],Transactions[[#This Row],[L4N]],IF(Transactions[[#This Row],[Level 4]]=Transactions[[#This Row],[L6N]],Transactions[[#This Row],[L5N]],IF(Transactions[[#This Row],[Level 4]]=Transactions[[#This Row],[L7N]],Transactions[[#This Row],[L6N]],Transactions[[#This Row],[L7N]]))))))))</f>
        <v>IC Other energy - Main activity producers</v>
      </c>
      <c r="AX123" s="24" t="str">
        <f>IF(Transactions[[#This Row],[Level 5]]=Transactions[[#This Row],[Transaction name]],Transactions[[#This Row],[Transaction name]],IF(Transactions[[#This Row],[Level 5]]=Transactions[[#This Row],[L1N]],Transactions[[#This Row],[Transaction name]],IF(Transactions[[#This Row],[Level 5]]=Transactions[[#This Row],[L2N]],Transactions[[#This Row],[L1N]],IF(Transactions[[#This Row],[Level 5]]=Transactions[[#This Row],[L3N]],Transactions[[#This Row],[L2N]],IF(Transactions[[#This Row],[Level 5]]=Transactions[[#This Row],[L4N]],Transactions[[#This Row],[L3N]],IF(Transactions[[#This Row],[Level 5]]=Transactions[[#This Row],[L5N]],Transactions[[#This Row],[L4N]],IF(Transactions[[#This Row],[Level 5]]=Transactions[[#This Row],[L6N]],Transactions[[#This Row],[L5N]],IF(Transactions[[#This Row],[Level 5]]=Transactions[[#This Row],[L7N]],Transactions[[#This Row],[L6N]],Transactions[[#This Row],[L7N]]))))))))</f>
        <v>IC Other energy - Main activity producers</v>
      </c>
      <c r="AY123" s="24" t="str">
        <f>IF(Transactions[[#This Row],[Level 6]]=Transactions[[#This Row],[Transaction name]],Transactions[[#This Row],[Transaction name]],IF(Transactions[[#This Row],[Level 6]]=Transactions[[#This Row],[L1N]],Transactions[[#This Row],[Transaction name]],IF(Transactions[[#This Row],[Level 6]]=Transactions[[#This Row],[L2N]],Transactions[[#This Row],[L1N]],IF(Transactions[[#This Row],[Level 6]]=Transactions[[#This Row],[L3N]],Transactions[[#This Row],[L2N]],IF(Transactions[[#This Row],[Level 6]]=Transactions[[#This Row],[L4N]],Transactions[[#This Row],[L3N]],IF(Transactions[[#This Row],[Level 6]]=Transactions[[#This Row],[L5N]],Transactions[[#This Row],[L4N]],IF(Transactions[[#This Row],[Level 6]]=Transactions[[#This Row],[L6N]],Transactions[[#This Row],[L5N]],IF(Transactions[[#This Row],[Level 6]]=Transactions[[#This Row],[L7N]],Transactions[[#This Row],[L6N]],Transactions[[#This Row],[L7N]]))))))))</f>
        <v>IC Other energy - Main activity producers</v>
      </c>
      <c r="BE123" s="26" t="str">
        <f>_xlfn.XLOOKUP(Transformation[[#This Row],[cfrom]],Commodities[Commodity],Commodities[Commodity code])</f>
        <v>4670</v>
      </c>
      <c r="BF123" s="26" t="str">
        <f>_xlfn.XLOOKUP(Transformation[[#This Row],[tfrom]],Transactions[Transaction name],Transactions[Transaction code])</f>
        <v>08812</v>
      </c>
      <c r="BG123" s="26" t="str">
        <f>_xlfn.XLOOKUP(Transformation[[#This Row],[cto]],Commodities[Commodity],Commodities[Commodity code])</f>
        <v>4670</v>
      </c>
      <c r="BH123" s="26" t="str">
        <f>_xlfn.XLOOKUP(Transformation[[#This Row],[tto]],Transactions[Transaction name],Transactions[Transaction code])</f>
        <v>016DE</v>
      </c>
      <c r="BI123" s="11">
        <v>1</v>
      </c>
      <c r="BJ123" s="4" t="s">
        <v>372</v>
      </c>
      <c r="BK123" s="24" t="str">
        <f>_xlfn.XLOOKUP(Transformation[[#This Row],[Commodity from]],Commodities[Commodity code],Commodities[EnergyCode])</f>
        <v>DL</v>
      </c>
      <c r="BL123" s="4" t="s">
        <v>690</v>
      </c>
      <c r="BM123" s="4" t="s">
        <v>372</v>
      </c>
      <c r="BN123" s="24" t="str">
        <f>_xlfn.XLOOKUP(Transformation[[#This Row],[Commodity to]],Commodities[Commodity code],Commodities[EnergyCode])</f>
        <v>DL</v>
      </c>
      <c r="BO123" s="4" t="s">
        <v>1039</v>
      </c>
      <c r="BP123" s="16" t="s">
        <v>1493</v>
      </c>
      <c r="BQ123" s="33" t="str">
        <f>Transformation[[#This Row],[Commodity from]]&amp;Transformation[[#This Row],[Transaction from]]&amp;Transformation[[#This Row],[Commodity to]]&amp;Transformation[[#This Row],[Transaction to]]</f>
        <v>4670088124670016DE</v>
      </c>
      <c r="BR123" s="26" t="str">
        <f>Transformation[[#This Row],[crfomid]]&amp;Transformation[[#This Row],[Transaction from]]&amp;"("&amp;Transformation[[#This Row],[Multiplier]]&amp;") -&gt; "&amp;Transformation[[#This Row],[ctoid]]&amp;Transformation[[#This Row],[Transaction to]]</f>
        <v>DL08812(1) -&gt; DL016DE</v>
      </c>
    </row>
    <row r="124" spans="25:70" x14ac:dyDescent="0.45">
      <c r="Y124" s="5" t="s">
        <v>61</v>
      </c>
      <c r="Z124" s="4" t="s">
        <v>992</v>
      </c>
      <c r="AA124" s="4" t="s">
        <v>992</v>
      </c>
      <c r="AB124" s="6" t="s">
        <v>10</v>
      </c>
      <c r="AC124" s="24" t="str">
        <f>IFERROR(VLOOKUP(Transactions[[#This Row],[Parent code]],Transactions[[Transaction code]:[Transaction name]],2,0),"")</f>
        <v>IC Electricity plants</v>
      </c>
      <c r="AD124" s="4" t="s">
        <v>632</v>
      </c>
      <c r="AE124" s="4" t="s">
        <v>632</v>
      </c>
      <c r="AF124" s="4" t="s">
        <v>642</v>
      </c>
      <c r="AG124" s="4" t="s">
        <v>1</v>
      </c>
      <c r="AH124" s="4" t="s">
        <v>696</v>
      </c>
      <c r="AK124" s="24" t="str" cm="1">
        <f t="array" ref="AK124">IFERROR(INDEX(Transactions[[Transaction code]:[Transaction name]],_xlfn.XMATCH(Transactions[[#This Row],[Parent code]],Transactions[Transaction name],0),3),Transactions[[#This Row],[Transaction name]])</f>
        <v>IC Solar</v>
      </c>
      <c r="AL124" s="24" t="str" cm="1">
        <f t="array" ref="AL124">IFERROR(INDEX(Transactions[[Transaction code]:[Transaction name]],_xlfn.XMATCH(INDEX(Transactions[[Transaction name]:[Parent code]],_xlfn.XMATCH(Transactions[[#This Row],[L1N]],Transactions[Transaction name],0),3),Transactions[Transaction code],0),2),Transactions[[#This Row],[L1N]])</f>
        <v>IC Electricity plants</v>
      </c>
      <c r="AM124" s="24" t="str" cm="1">
        <f t="array" ref="AM124">IFERROR(INDEX(Transactions[[Transaction code]:[Transaction name]],_xlfn.XMATCH(INDEX(Transactions[[Transaction name]:[Parent code]],_xlfn.XMATCH(Transactions[[#This Row],[L2N]],Transactions[Transaction name],0),3),Transactions[Transaction code],0),2),Transactions[[#This Row],[L2N]])</f>
        <v>IC Electricity plants</v>
      </c>
      <c r="AN124" s="24" t="str" cm="1">
        <f t="array" ref="AN124">IFERROR(INDEX(Transactions[[Transaction code]:[Transaction name]],_xlfn.XMATCH(INDEX(Transactions[[Transaction name]:[Parent code]],_xlfn.XMATCH(Transactions[[#This Row],[L3N]],Transactions[Transaction name],0),3),Transactions[Transaction code],0),2),Transactions[[#This Row],[L3N]])</f>
        <v>IC Electricity plants</v>
      </c>
      <c r="AO124" s="24" t="str" cm="1">
        <f t="array" ref="AO124">IFERROR(INDEX(Transactions[[Transaction code]:[Transaction name]],_xlfn.XMATCH(INDEX(Transactions[[Transaction name]:[Parent code]],_xlfn.XMATCH(Transactions[[#This Row],[L4N]],Transactions[Transaction name],0),3),Transactions[Transaction code],0),2),Transactions[[#This Row],[L4N]])</f>
        <v>IC Electricity plants</v>
      </c>
      <c r="AP124" s="24" t="str" cm="1">
        <f t="array" ref="AP124">IFERROR(INDEX(Transactions[[Transaction code]:[Transaction name]],_xlfn.XMATCH(INDEX(Transactions[[Transaction name]:[Parent code]],_xlfn.XMATCH(Transactions[[#This Row],[L5N]],Transactions[Transaction name],0),3),Transactions[Transaction code],0),2),Transactions[[#This Row],[L5N]])</f>
        <v>IC Electricity plants</v>
      </c>
      <c r="AQ124" s="24" t="str" cm="1">
        <f t="array" ref="AQ124">IFERROR(INDEX(Transactions[[Transaction code]:[Transaction name]],_xlfn.XMATCH(INDEX(Transactions[[Transaction name]:[Parent code]],_xlfn.XMATCH(Transactions[[#This Row],[L6N]],Transactions[Transaction name],0),3),Transactions[Transaction code],0),2),Transactions[[#This Row],[L6N]])</f>
        <v>IC Electricity plants</v>
      </c>
      <c r="AR124" s="27" t="str">
        <f>IF(Transactions[[#This Row],[L7N]]=Transactions[[#This Row],[L6N]],Transactions[[#This Row],[L7N]],IF(Transactions[[#This Row],[L6N]]=Transactions[[#This Row],[L5N]],Transactions[[#This Row],[L6N]],IF(Transactions[[#This Row],[L5N]]=Transactions[[#This Row],[L4N]],Transactions[[#This Row],[L5N]],IF(Transactions[[#This Row],[L4N]]=Transactions[[#This Row],[L3N]],Transactions[[#This Row],[L4N]],IF(Transactions[[#This Row],[L3N]]=Transactions[[#This Row],[L2N]],Transactions[[#This Row],[L3N]],IF(Transactions[[#This Row],[L2N]]=Transactions[[#This Row],[L1N]],Transactions[[#This Row],[L2N]],IF(Transactions[[#This Row],[L1N]]=Transactions[[#This Row],[Transaction name]],Transactions[[#This Row],[L1N]],Transactions[[#This Row],[Transaction name]])))))))</f>
        <v>IC Electricity plants</v>
      </c>
      <c r="AS124" s="24" t="str">
        <f>IF(Transactions[[#This Row],[Level 0]]=Transactions[[#This Row],[Transaction name]],Transactions[[#This Row],[Transaction name]],IF(Transactions[[#This Row],[Level 0]]=Transactions[[#This Row],[L1N]],Transactions[[#This Row],[Transaction name]],IF(Transactions[[#This Row],[Level 0]]=Transactions[[#This Row],[L2N]],Transactions[[#This Row],[L1N]],IF(Transactions[[#This Row],[Level 0]]=Transactions[[#This Row],[L3N]],Transactions[[#This Row],[L2N]],IF(Transactions[[#This Row],[Level 0]]=Transactions[[#This Row],[L4N]],Transactions[[#This Row],[L3N]],IF(Transactions[[#This Row],[Level 0]]=Transactions[[#This Row],[L5N]],Transactions[[#This Row],[L4N]],IF(Transactions[[#This Row],[Level 0]]=Transactions[[#This Row],[L6N]],Transactions[[#This Row],[L5N]],IF(Transactions[[#This Row],[Level 0]]=Transactions[[#This Row],[L7N]],Transactions[[#This Row],[L6N]],Transactions[[#This Row],[L7N]]))))))))</f>
        <v>IC Solar</v>
      </c>
      <c r="AT124" s="24" t="str">
        <f>IF(Transactions[[#This Row],[Level 1]]=Transactions[[#This Row],[Transaction name]],Transactions[[#This Row],[Transaction name]],IF(Transactions[[#This Row],[Level 1]]=Transactions[[#This Row],[L1N]],Transactions[[#This Row],[Transaction name]],IF(Transactions[[#This Row],[Level 1]]=Transactions[[#This Row],[L2N]],Transactions[[#This Row],[L1N]],IF(Transactions[[#This Row],[Level 1]]=Transactions[[#This Row],[L3N]],Transactions[[#This Row],[L2N]],IF(Transactions[[#This Row],[Level 1]]=Transactions[[#This Row],[L4N]],Transactions[[#This Row],[L3N]],IF(Transactions[[#This Row],[Level 1]]=Transactions[[#This Row],[L5N]],Transactions[[#This Row],[L4N]],IF(Transactions[[#This Row],[Level 1]]=Transactions[[#This Row],[L6N]],Transactions[[#This Row],[L5N]],IF(Transactions[[#This Row],[Level 1]]=Transactions[[#This Row],[L7N]],Transactions[[#This Row],[L6N]],Transactions[[#This Row],[L7N]]))))))))</f>
        <v>IC Solar</v>
      </c>
      <c r="AU124" s="24" t="str">
        <f>IF(Transactions[[#This Row],[Level 2]]=Transactions[[#This Row],[Transaction name]],Transactions[[#This Row],[Transaction name]],IF(Transactions[[#This Row],[Level 2]]=Transactions[[#This Row],[L1N]],Transactions[[#This Row],[Transaction name]],IF(Transactions[[#This Row],[Level 2]]=Transactions[[#This Row],[L2N]],Transactions[[#This Row],[L1N]],IF(Transactions[[#This Row],[Level 2]]=Transactions[[#This Row],[L3N]],Transactions[[#This Row],[L2N]],IF(Transactions[[#This Row],[Level 2]]=Transactions[[#This Row],[L4N]],Transactions[[#This Row],[L3N]],IF(Transactions[[#This Row],[Level 2]]=Transactions[[#This Row],[L5N]],Transactions[[#This Row],[L4N]],IF(Transactions[[#This Row],[Level 2]]=Transactions[[#This Row],[L6N]],Transactions[[#This Row],[L5N]],IF(Transactions[[#This Row],[Level 2]]=Transactions[[#This Row],[L7N]],Transactions[[#This Row],[L6N]],Transactions[[#This Row],[L7N]]))))))))</f>
        <v>IC Solar</v>
      </c>
      <c r="AV124" s="24" t="str">
        <f>IF(Transactions[[#This Row],[Level 3]]=Transactions[[#This Row],[Transaction name]],Transactions[[#This Row],[Transaction name]],IF(Transactions[[#This Row],[Level 3]]=Transactions[[#This Row],[L1N]],Transactions[[#This Row],[Transaction name]],IF(Transactions[[#This Row],[Level 3]]=Transactions[[#This Row],[L2N]],Transactions[[#This Row],[L1N]],IF(Transactions[[#This Row],[Level 3]]=Transactions[[#This Row],[L3N]],Transactions[[#This Row],[L2N]],IF(Transactions[[#This Row],[Level 3]]=Transactions[[#This Row],[L4N]],Transactions[[#This Row],[L3N]],IF(Transactions[[#This Row],[Level 3]]=Transactions[[#This Row],[L5N]],Transactions[[#This Row],[L4N]],IF(Transactions[[#This Row],[Level 3]]=Transactions[[#This Row],[L6N]],Transactions[[#This Row],[L5N]],IF(Transactions[[#This Row],[Level 3]]=Transactions[[#This Row],[L7N]],Transactions[[#This Row],[L6N]],Transactions[[#This Row],[L7N]]))))))))</f>
        <v>IC Solar</v>
      </c>
      <c r="AW124" s="24" t="str">
        <f>IF(Transactions[[#This Row],[Level 4]]=Transactions[[#This Row],[Transaction name]],Transactions[[#This Row],[Transaction name]],IF(Transactions[[#This Row],[Level 4]]=Transactions[[#This Row],[L1N]],Transactions[[#This Row],[Transaction name]],IF(Transactions[[#This Row],[Level 4]]=Transactions[[#This Row],[L2N]],Transactions[[#This Row],[L1N]],IF(Transactions[[#This Row],[Level 4]]=Transactions[[#This Row],[L3N]],Transactions[[#This Row],[L2N]],IF(Transactions[[#This Row],[Level 4]]=Transactions[[#This Row],[L4N]],Transactions[[#This Row],[L3N]],IF(Transactions[[#This Row],[Level 4]]=Transactions[[#This Row],[L5N]],Transactions[[#This Row],[L4N]],IF(Transactions[[#This Row],[Level 4]]=Transactions[[#This Row],[L6N]],Transactions[[#This Row],[L5N]],IF(Transactions[[#This Row],[Level 4]]=Transactions[[#This Row],[L7N]],Transactions[[#This Row],[L6N]],Transactions[[#This Row],[L7N]]))))))))</f>
        <v>IC Solar</v>
      </c>
      <c r="AX124" s="24" t="str">
        <f>IF(Transactions[[#This Row],[Level 5]]=Transactions[[#This Row],[Transaction name]],Transactions[[#This Row],[Transaction name]],IF(Transactions[[#This Row],[Level 5]]=Transactions[[#This Row],[L1N]],Transactions[[#This Row],[Transaction name]],IF(Transactions[[#This Row],[Level 5]]=Transactions[[#This Row],[L2N]],Transactions[[#This Row],[L1N]],IF(Transactions[[#This Row],[Level 5]]=Transactions[[#This Row],[L3N]],Transactions[[#This Row],[L2N]],IF(Transactions[[#This Row],[Level 5]]=Transactions[[#This Row],[L4N]],Transactions[[#This Row],[L3N]],IF(Transactions[[#This Row],[Level 5]]=Transactions[[#This Row],[L5N]],Transactions[[#This Row],[L4N]],IF(Transactions[[#This Row],[Level 5]]=Transactions[[#This Row],[L6N]],Transactions[[#This Row],[L5N]],IF(Transactions[[#This Row],[Level 5]]=Transactions[[#This Row],[L7N]],Transactions[[#This Row],[L6N]],Transactions[[#This Row],[L7N]]))))))))</f>
        <v>IC Solar</v>
      </c>
      <c r="AY124" s="24" t="str">
        <f>IF(Transactions[[#This Row],[Level 6]]=Transactions[[#This Row],[Transaction name]],Transactions[[#This Row],[Transaction name]],IF(Transactions[[#This Row],[Level 6]]=Transactions[[#This Row],[L1N]],Transactions[[#This Row],[Transaction name]],IF(Transactions[[#This Row],[Level 6]]=Transactions[[#This Row],[L2N]],Transactions[[#This Row],[L1N]],IF(Transactions[[#This Row],[Level 6]]=Transactions[[#This Row],[L3N]],Transactions[[#This Row],[L2N]],IF(Transactions[[#This Row],[Level 6]]=Transactions[[#This Row],[L4N]],Transactions[[#This Row],[L3N]],IF(Transactions[[#This Row],[Level 6]]=Transactions[[#This Row],[L5N]],Transactions[[#This Row],[L4N]],IF(Transactions[[#This Row],[Level 6]]=Transactions[[#This Row],[L6N]],Transactions[[#This Row],[L5N]],IF(Transactions[[#This Row],[Level 6]]=Transactions[[#This Row],[L7N]],Transactions[[#This Row],[L6N]],Transactions[[#This Row],[L7N]]))))))))</f>
        <v>IC Solar</v>
      </c>
      <c r="BE124" s="26" t="str">
        <f>_xlfn.XLOOKUP(Transformation[[#This Row],[cfrom]],Commodities[Commodity],Commodities[Commodity code])</f>
        <v>5110</v>
      </c>
      <c r="BF124" s="26" t="str">
        <f>_xlfn.XLOOKUP(Transformation[[#This Row],[tfrom]],Transactions[Transaction name],Transactions[Transaction code])</f>
        <v>08812</v>
      </c>
      <c r="BG124" s="26" t="str">
        <f>_xlfn.XLOOKUP(Transformation[[#This Row],[cto]],Commodities[Commodity],Commodities[Commodity code])</f>
        <v>5110</v>
      </c>
      <c r="BH124" s="26" t="str">
        <f>_xlfn.XLOOKUP(Transformation[[#This Row],[tto]],Transactions[Transaction name],Transactions[Transaction code])</f>
        <v>016WDE</v>
      </c>
      <c r="BI124" s="11">
        <v>1</v>
      </c>
      <c r="BJ124" s="4" t="s">
        <v>340</v>
      </c>
      <c r="BK124" s="24" t="str">
        <f>_xlfn.XLOOKUP(Transformation[[#This Row],[Commodity from]],Commodities[Commodity code],Commodities[EnergyCode])</f>
        <v>FW</v>
      </c>
      <c r="BL124" s="4" t="s">
        <v>690</v>
      </c>
      <c r="BM124" s="4" t="s">
        <v>340</v>
      </c>
      <c r="BN124" s="24" t="str">
        <f>_xlfn.XLOOKUP(Transformation[[#This Row],[Commodity to]],Commodities[Commodity code],Commodities[EnergyCode])</f>
        <v>FW</v>
      </c>
      <c r="BO124" s="4" t="s">
        <v>1119</v>
      </c>
      <c r="BP124" s="16" t="s">
        <v>1493</v>
      </c>
      <c r="BQ124" s="33" t="str">
        <f>Transformation[[#This Row],[Commodity from]]&amp;Transformation[[#This Row],[Transaction from]]&amp;Transformation[[#This Row],[Commodity to]]&amp;Transformation[[#This Row],[Transaction to]]</f>
        <v>5110088125110016WDE</v>
      </c>
      <c r="BR124" s="26" t="str">
        <f>Transformation[[#This Row],[crfomid]]&amp;Transformation[[#This Row],[Transaction from]]&amp;"("&amp;Transformation[[#This Row],[Multiplier]]&amp;") -&gt; "&amp;Transformation[[#This Row],[ctoid]]&amp;Transformation[[#This Row],[Transaction to]]</f>
        <v>FW08812(1) -&gt; FW016WDE</v>
      </c>
    </row>
    <row r="125" spans="25:70" x14ac:dyDescent="0.45">
      <c r="Y125" s="5" t="s">
        <v>33</v>
      </c>
      <c r="Z125" s="4" t="s">
        <v>994</v>
      </c>
      <c r="AA125" s="4" t="s">
        <v>994</v>
      </c>
      <c r="AB125" s="6" t="s">
        <v>61</v>
      </c>
      <c r="AC125" s="24" t="str">
        <f>IFERROR(VLOOKUP(Transactions[[#This Row],[Parent code]],Transactions[[Transaction code]:[Transaction name]],2,0),"")</f>
        <v>IC Solar</v>
      </c>
      <c r="AD125" s="4" t="s">
        <v>632</v>
      </c>
      <c r="AE125" s="4" t="s">
        <v>632</v>
      </c>
      <c r="AF125" s="4" t="s">
        <v>642</v>
      </c>
      <c r="AG125" s="4" t="s">
        <v>1</v>
      </c>
      <c r="AH125" s="4" t="s">
        <v>696</v>
      </c>
      <c r="AK125" s="24" t="str" cm="1">
        <f t="array" ref="AK125">IFERROR(INDEX(Transactions[[Transaction code]:[Transaction name]],_xlfn.XMATCH(Transactions[[#This Row],[Parent code]],Transactions[Transaction name],0),3),Transactions[[#This Row],[Transaction name]])</f>
        <v>IC Solar - Autoproducers</v>
      </c>
      <c r="AL125" s="24" t="str" cm="1">
        <f t="array" ref="AL125">IFERROR(INDEX(Transactions[[Transaction code]:[Transaction name]],_xlfn.XMATCH(INDEX(Transactions[[Transaction name]:[Parent code]],_xlfn.XMATCH(Transactions[[#This Row],[L1N]],Transactions[Transaction name],0),3),Transactions[Transaction code],0),2),Transactions[[#This Row],[L1N]])</f>
        <v>IC Solar</v>
      </c>
      <c r="AM125" s="24" t="str" cm="1">
        <f t="array" ref="AM125">IFERROR(INDEX(Transactions[[Transaction code]:[Transaction name]],_xlfn.XMATCH(INDEX(Transactions[[Transaction name]:[Parent code]],_xlfn.XMATCH(Transactions[[#This Row],[L2N]],Transactions[Transaction name],0),3),Transactions[Transaction code],0),2),Transactions[[#This Row],[L2N]])</f>
        <v>IC Electricity plants</v>
      </c>
      <c r="AN125" s="24" t="str" cm="1">
        <f t="array" ref="AN125">IFERROR(INDEX(Transactions[[Transaction code]:[Transaction name]],_xlfn.XMATCH(INDEX(Transactions[[Transaction name]:[Parent code]],_xlfn.XMATCH(Transactions[[#This Row],[L3N]],Transactions[Transaction name],0),3),Transactions[Transaction code],0),2),Transactions[[#This Row],[L3N]])</f>
        <v>IC Electricity plants</v>
      </c>
      <c r="AO125" s="24" t="str" cm="1">
        <f t="array" ref="AO125">IFERROR(INDEX(Transactions[[Transaction code]:[Transaction name]],_xlfn.XMATCH(INDEX(Transactions[[Transaction name]:[Parent code]],_xlfn.XMATCH(Transactions[[#This Row],[L4N]],Transactions[Transaction name],0),3),Transactions[Transaction code],0),2),Transactions[[#This Row],[L4N]])</f>
        <v>IC Electricity plants</v>
      </c>
      <c r="AP125" s="24" t="str" cm="1">
        <f t="array" ref="AP125">IFERROR(INDEX(Transactions[[Transaction code]:[Transaction name]],_xlfn.XMATCH(INDEX(Transactions[[Transaction name]:[Parent code]],_xlfn.XMATCH(Transactions[[#This Row],[L5N]],Transactions[Transaction name],0),3),Transactions[Transaction code],0),2),Transactions[[#This Row],[L5N]])</f>
        <v>IC Electricity plants</v>
      </c>
      <c r="AQ125" s="24" t="str" cm="1">
        <f t="array" ref="AQ125">IFERROR(INDEX(Transactions[[Transaction code]:[Transaction name]],_xlfn.XMATCH(INDEX(Transactions[[Transaction name]:[Parent code]],_xlfn.XMATCH(Transactions[[#This Row],[L6N]],Transactions[Transaction name],0),3),Transactions[Transaction code],0),2),Transactions[[#This Row],[L6N]])</f>
        <v>IC Electricity plants</v>
      </c>
      <c r="AR125" s="27" t="str">
        <f>IF(Transactions[[#This Row],[L7N]]=Transactions[[#This Row],[L6N]],Transactions[[#This Row],[L7N]],IF(Transactions[[#This Row],[L6N]]=Transactions[[#This Row],[L5N]],Transactions[[#This Row],[L6N]],IF(Transactions[[#This Row],[L5N]]=Transactions[[#This Row],[L4N]],Transactions[[#This Row],[L5N]],IF(Transactions[[#This Row],[L4N]]=Transactions[[#This Row],[L3N]],Transactions[[#This Row],[L4N]],IF(Transactions[[#This Row],[L3N]]=Transactions[[#This Row],[L2N]],Transactions[[#This Row],[L3N]],IF(Transactions[[#This Row],[L2N]]=Transactions[[#This Row],[L1N]],Transactions[[#This Row],[L2N]],IF(Transactions[[#This Row],[L1N]]=Transactions[[#This Row],[Transaction name]],Transactions[[#This Row],[L1N]],Transactions[[#This Row],[Transaction name]])))))))</f>
        <v>IC Electricity plants</v>
      </c>
      <c r="AS125" s="24" t="str">
        <f>IF(Transactions[[#This Row],[Level 0]]=Transactions[[#This Row],[Transaction name]],Transactions[[#This Row],[Transaction name]],IF(Transactions[[#This Row],[Level 0]]=Transactions[[#This Row],[L1N]],Transactions[[#This Row],[Transaction name]],IF(Transactions[[#This Row],[Level 0]]=Transactions[[#This Row],[L2N]],Transactions[[#This Row],[L1N]],IF(Transactions[[#This Row],[Level 0]]=Transactions[[#This Row],[L3N]],Transactions[[#This Row],[L2N]],IF(Transactions[[#This Row],[Level 0]]=Transactions[[#This Row],[L4N]],Transactions[[#This Row],[L3N]],IF(Transactions[[#This Row],[Level 0]]=Transactions[[#This Row],[L5N]],Transactions[[#This Row],[L4N]],IF(Transactions[[#This Row],[Level 0]]=Transactions[[#This Row],[L6N]],Transactions[[#This Row],[L5N]],IF(Transactions[[#This Row],[Level 0]]=Transactions[[#This Row],[L7N]],Transactions[[#This Row],[L6N]],Transactions[[#This Row],[L7N]]))))))))</f>
        <v>IC Solar</v>
      </c>
      <c r="AT125" s="24" t="str">
        <f>IF(Transactions[[#This Row],[Level 1]]=Transactions[[#This Row],[Transaction name]],Transactions[[#This Row],[Transaction name]],IF(Transactions[[#This Row],[Level 1]]=Transactions[[#This Row],[L1N]],Transactions[[#This Row],[Transaction name]],IF(Transactions[[#This Row],[Level 1]]=Transactions[[#This Row],[L2N]],Transactions[[#This Row],[L1N]],IF(Transactions[[#This Row],[Level 1]]=Transactions[[#This Row],[L3N]],Transactions[[#This Row],[L2N]],IF(Transactions[[#This Row],[Level 1]]=Transactions[[#This Row],[L4N]],Transactions[[#This Row],[L3N]],IF(Transactions[[#This Row],[Level 1]]=Transactions[[#This Row],[L5N]],Transactions[[#This Row],[L4N]],IF(Transactions[[#This Row],[Level 1]]=Transactions[[#This Row],[L6N]],Transactions[[#This Row],[L5N]],IF(Transactions[[#This Row],[Level 1]]=Transactions[[#This Row],[L7N]],Transactions[[#This Row],[L6N]],Transactions[[#This Row],[L7N]]))))))))</f>
        <v>IC Solar - Autoproducers</v>
      </c>
      <c r="AU125" s="24" t="str">
        <f>IF(Transactions[[#This Row],[Level 2]]=Transactions[[#This Row],[Transaction name]],Transactions[[#This Row],[Transaction name]],IF(Transactions[[#This Row],[Level 2]]=Transactions[[#This Row],[L1N]],Transactions[[#This Row],[Transaction name]],IF(Transactions[[#This Row],[Level 2]]=Transactions[[#This Row],[L2N]],Transactions[[#This Row],[L1N]],IF(Transactions[[#This Row],[Level 2]]=Transactions[[#This Row],[L3N]],Transactions[[#This Row],[L2N]],IF(Transactions[[#This Row],[Level 2]]=Transactions[[#This Row],[L4N]],Transactions[[#This Row],[L3N]],IF(Transactions[[#This Row],[Level 2]]=Transactions[[#This Row],[L5N]],Transactions[[#This Row],[L4N]],IF(Transactions[[#This Row],[Level 2]]=Transactions[[#This Row],[L6N]],Transactions[[#This Row],[L5N]],IF(Transactions[[#This Row],[Level 2]]=Transactions[[#This Row],[L7N]],Transactions[[#This Row],[L6N]],Transactions[[#This Row],[L7N]]))))))))</f>
        <v>IC Solar - Autoproducers</v>
      </c>
      <c r="AV125" s="24" t="str">
        <f>IF(Transactions[[#This Row],[Level 3]]=Transactions[[#This Row],[Transaction name]],Transactions[[#This Row],[Transaction name]],IF(Transactions[[#This Row],[Level 3]]=Transactions[[#This Row],[L1N]],Transactions[[#This Row],[Transaction name]],IF(Transactions[[#This Row],[Level 3]]=Transactions[[#This Row],[L2N]],Transactions[[#This Row],[L1N]],IF(Transactions[[#This Row],[Level 3]]=Transactions[[#This Row],[L3N]],Transactions[[#This Row],[L2N]],IF(Transactions[[#This Row],[Level 3]]=Transactions[[#This Row],[L4N]],Transactions[[#This Row],[L3N]],IF(Transactions[[#This Row],[Level 3]]=Transactions[[#This Row],[L5N]],Transactions[[#This Row],[L4N]],IF(Transactions[[#This Row],[Level 3]]=Transactions[[#This Row],[L6N]],Transactions[[#This Row],[L5N]],IF(Transactions[[#This Row],[Level 3]]=Transactions[[#This Row],[L7N]],Transactions[[#This Row],[L6N]],Transactions[[#This Row],[L7N]]))))))))</f>
        <v>IC Solar - Autoproducers</v>
      </c>
      <c r="AW125" s="24" t="str">
        <f>IF(Transactions[[#This Row],[Level 4]]=Transactions[[#This Row],[Transaction name]],Transactions[[#This Row],[Transaction name]],IF(Transactions[[#This Row],[Level 4]]=Transactions[[#This Row],[L1N]],Transactions[[#This Row],[Transaction name]],IF(Transactions[[#This Row],[Level 4]]=Transactions[[#This Row],[L2N]],Transactions[[#This Row],[L1N]],IF(Transactions[[#This Row],[Level 4]]=Transactions[[#This Row],[L3N]],Transactions[[#This Row],[L2N]],IF(Transactions[[#This Row],[Level 4]]=Transactions[[#This Row],[L4N]],Transactions[[#This Row],[L3N]],IF(Transactions[[#This Row],[Level 4]]=Transactions[[#This Row],[L5N]],Transactions[[#This Row],[L4N]],IF(Transactions[[#This Row],[Level 4]]=Transactions[[#This Row],[L6N]],Transactions[[#This Row],[L5N]],IF(Transactions[[#This Row],[Level 4]]=Transactions[[#This Row],[L7N]],Transactions[[#This Row],[L6N]],Transactions[[#This Row],[L7N]]))))))))</f>
        <v>IC Solar - Autoproducers</v>
      </c>
      <c r="AX125" s="24" t="str">
        <f>IF(Transactions[[#This Row],[Level 5]]=Transactions[[#This Row],[Transaction name]],Transactions[[#This Row],[Transaction name]],IF(Transactions[[#This Row],[Level 5]]=Transactions[[#This Row],[L1N]],Transactions[[#This Row],[Transaction name]],IF(Transactions[[#This Row],[Level 5]]=Transactions[[#This Row],[L2N]],Transactions[[#This Row],[L1N]],IF(Transactions[[#This Row],[Level 5]]=Transactions[[#This Row],[L3N]],Transactions[[#This Row],[L2N]],IF(Transactions[[#This Row],[Level 5]]=Transactions[[#This Row],[L4N]],Transactions[[#This Row],[L3N]],IF(Transactions[[#This Row],[Level 5]]=Transactions[[#This Row],[L5N]],Transactions[[#This Row],[L4N]],IF(Transactions[[#This Row],[Level 5]]=Transactions[[#This Row],[L6N]],Transactions[[#This Row],[L5N]],IF(Transactions[[#This Row],[Level 5]]=Transactions[[#This Row],[L7N]],Transactions[[#This Row],[L6N]],Transactions[[#This Row],[L7N]]))))))))</f>
        <v>IC Solar - Autoproducers</v>
      </c>
      <c r="AY125" s="24" t="str">
        <f>IF(Transactions[[#This Row],[Level 6]]=Transactions[[#This Row],[Transaction name]],Transactions[[#This Row],[Transaction name]],IF(Transactions[[#This Row],[Level 6]]=Transactions[[#This Row],[L1N]],Transactions[[#This Row],[Transaction name]],IF(Transactions[[#This Row],[Level 6]]=Transactions[[#This Row],[L2N]],Transactions[[#This Row],[L1N]],IF(Transactions[[#This Row],[Level 6]]=Transactions[[#This Row],[L3N]],Transactions[[#This Row],[L2N]],IF(Transactions[[#This Row],[Level 6]]=Transactions[[#This Row],[L4N]],Transactions[[#This Row],[L3N]],IF(Transactions[[#This Row],[Level 6]]=Transactions[[#This Row],[L5N]],Transactions[[#This Row],[L4N]],IF(Transactions[[#This Row],[Level 6]]=Transactions[[#This Row],[L6N]],Transactions[[#This Row],[L5N]],IF(Transactions[[#This Row],[Level 6]]=Transactions[[#This Row],[L7N]],Transactions[[#This Row],[L6N]],Transactions[[#This Row],[L7N]]))))))))</f>
        <v>IC Solar - Autoproducers</v>
      </c>
      <c r="BE125" s="26" t="str">
        <f>_xlfn.XLOOKUP(Transformation[[#This Row],[cfrom]],Commodities[Commodity],Commodities[Commodity code])</f>
        <v>0360</v>
      </c>
      <c r="BF125" s="26" t="str">
        <f>_xlfn.XLOOKUP(Transformation[[#This Row],[tfrom]],Transactions[Transaction name],Transactions[Transaction code])</f>
        <v>08812</v>
      </c>
      <c r="BG125" s="26" t="str">
        <f>_xlfn.XLOOKUP(Transformation[[#This Row],[cto]],Commodities[Commodity],Commodities[Commodity code])</f>
        <v>0360</v>
      </c>
      <c r="BH125" s="26" t="str">
        <f>_xlfn.XLOOKUP(Transformation[[#This Row],[tto]],Transactions[Transaction name],Transactions[Transaction code])</f>
        <v>016CGE</v>
      </c>
      <c r="BI125" s="11">
        <v>1</v>
      </c>
      <c r="BJ125" s="4" t="s">
        <v>483</v>
      </c>
      <c r="BK125" s="24" t="str">
        <f>_xlfn.XLOOKUP(Transformation[[#This Row],[Commodity from]],Commodities[Commodity code],Commodities[EnergyCode])</f>
        <v>GG</v>
      </c>
      <c r="BL125" s="4" t="s">
        <v>690</v>
      </c>
      <c r="BM125" s="4" t="s">
        <v>483</v>
      </c>
      <c r="BN125" s="24" t="str">
        <f>_xlfn.XLOOKUP(Transformation[[#This Row],[Commodity to]],Commodities[Commodity code],Commodities[EnergyCode])</f>
        <v>GG</v>
      </c>
      <c r="BO125" s="4" t="s">
        <v>1222</v>
      </c>
      <c r="BP125" s="16" t="s">
        <v>1493</v>
      </c>
      <c r="BQ125" s="33" t="str">
        <f>Transformation[[#This Row],[Commodity from]]&amp;Transformation[[#This Row],[Transaction from]]&amp;Transformation[[#This Row],[Commodity to]]&amp;Transformation[[#This Row],[Transaction to]]</f>
        <v>0360088120360016CGE</v>
      </c>
      <c r="BR125" s="26" t="str">
        <f>Transformation[[#This Row],[crfomid]]&amp;Transformation[[#This Row],[Transaction from]]&amp;"("&amp;Transformation[[#This Row],[Multiplier]]&amp;") -&gt; "&amp;Transformation[[#This Row],[ctoid]]&amp;Transformation[[#This Row],[Transaction to]]</f>
        <v>GG08812(1) -&gt; GG016CGE</v>
      </c>
    </row>
    <row r="126" spans="25:70" x14ac:dyDescent="0.45">
      <c r="Y126" s="5" t="s">
        <v>35</v>
      </c>
      <c r="Z126" s="18" t="s">
        <v>1658</v>
      </c>
      <c r="AA126" s="4" t="s">
        <v>1006</v>
      </c>
      <c r="AB126" s="6" t="s">
        <v>33</v>
      </c>
      <c r="AC126" s="24" t="str">
        <f>IFERROR(VLOOKUP(Transactions[[#This Row],[Parent code]],Transactions[[Transaction code]:[Transaction name]],2,0),"")</f>
        <v>IC Solar - Autoproducers</v>
      </c>
      <c r="AD126" s="4" t="s">
        <v>632</v>
      </c>
      <c r="AE126" s="4" t="s">
        <v>632</v>
      </c>
      <c r="AF126" s="4" t="s">
        <v>642</v>
      </c>
      <c r="AG126" s="4" t="s">
        <v>1</v>
      </c>
      <c r="AH126" s="4" t="s">
        <v>696</v>
      </c>
      <c r="AK126" s="24" t="str" cm="1">
        <f t="array" ref="AK126">IFERROR(INDEX(Transactions[[Transaction code]:[Transaction name]],_xlfn.XMATCH(Transactions[[#This Row],[Parent code]],Transactions[Transaction name],0),3),Transactions[[#This Row],[Transaction name]])</f>
        <v>IC Solar CSP - Autoproducers</v>
      </c>
      <c r="AL126" s="24" t="str" cm="1">
        <f t="array" ref="AL126">IFERROR(INDEX(Transactions[[Transaction code]:[Transaction name]],_xlfn.XMATCH(INDEX(Transactions[[Transaction name]:[Parent code]],_xlfn.XMATCH(Transactions[[#This Row],[L1N]],Transactions[Transaction name],0),3),Transactions[Transaction code],0),2),Transactions[[#This Row],[L1N]])</f>
        <v>IC Solar - Autoproducers</v>
      </c>
      <c r="AM126" s="24" t="str" cm="1">
        <f t="array" ref="AM126">IFERROR(INDEX(Transactions[[Transaction code]:[Transaction name]],_xlfn.XMATCH(INDEX(Transactions[[Transaction name]:[Parent code]],_xlfn.XMATCH(Transactions[[#This Row],[L2N]],Transactions[Transaction name],0),3),Transactions[Transaction code],0),2),Transactions[[#This Row],[L2N]])</f>
        <v>IC Solar</v>
      </c>
      <c r="AN126" s="24" t="str" cm="1">
        <f t="array" ref="AN126">IFERROR(INDEX(Transactions[[Transaction code]:[Transaction name]],_xlfn.XMATCH(INDEX(Transactions[[Transaction name]:[Parent code]],_xlfn.XMATCH(Transactions[[#This Row],[L3N]],Transactions[Transaction name],0),3),Transactions[Transaction code],0),2),Transactions[[#This Row],[L3N]])</f>
        <v>IC Electricity plants</v>
      </c>
      <c r="AO126" s="24" t="str" cm="1">
        <f t="array" ref="AO126">IFERROR(INDEX(Transactions[[Transaction code]:[Transaction name]],_xlfn.XMATCH(INDEX(Transactions[[Transaction name]:[Parent code]],_xlfn.XMATCH(Transactions[[#This Row],[L4N]],Transactions[Transaction name],0),3),Transactions[Transaction code],0),2),Transactions[[#This Row],[L4N]])</f>
        <v>IC Electricity plants</v>
      </c>
      <c r="AP126" s="24" t="str" cm="1">
        <f t="array" ref="AP126">IFERROR(INDEX(Transactions[[Transaction code]:[Transaction name]],_xlfn.XMATCH(INDEX(Transactions[[Transaction name]:[Parent code]],_xlfn.XMATCH(Transactions[[#This Row],[L5N]],Transactions[Transaction name],0),3),Transactions[Transaction code],0),2),Transactions[[#This Row],[L5N]])</f>
        <v>IC Electricity plants</v>
      </c>
      <c r="AQ126" s="24" t="str" cm="1">
        <f t="array" ref="AQ126">IFERROR(INDEX(Transactions[[Transaction code]:[Transaction name]],_xlfn.XMATCH(INDEX(Transactions[[Transaction name]:[Parent code]],_xlfn.XMATCH(Transactions[[#This Row],[L6N]],Transactions[Transaction name],0),3),Transactions[Transaction code],0),2),Transactions[[#This Row],[L6N]])</f>
        <v>IC Electricity plants</v>
      </c>
      <c r="AR126" s="27" t="str">
        <f>IF(Transactions[[#This Row],[L7N]]=Transactions[[#This Row],[L6N]],Transactions[[#This Row],[L7N]],IF(Transactions[[#This Row],[L6N]]=Transactions[[#This Row],[L5N]],Transactions[[#This Row],[L6N]],IF(Transactions[[#This Row],[L5N]]=Transactions[[#This Row],[L4N]],Transactions[[#This Row],[L5N]],IF(Transactions[[#This Row],[L4N]]=Transactions[[#This Row],[L3N]],Transactions[[#This Row],[L4N]],IF(Transactions[[#This Row],[L3N]]=Transactions[[#This Row],[L2N]],Transactions[[#This Row],[L3N]],IF(Transactions[[#This Row],[L2N]]=Transactions[[#This Row],[L1N]],Transactions[[#This Row],[L2N]],IF(Transactions[[#This Row],[L1N]]=Transactions[[#This Row],[Transaction name]],Transactions[[#This Row],[L1N]],Transactions[[#This Row],[Transaction name]])))))))</f>
        <v>IC Electricity plants</v>
      </c>
      <c r="AS126" s="24" t="str">
        <f>IF(Transactions[[#This Row],[Level 0]]=Transactions[[#This Row],[Transaction name]],Transactions[[#This Row],[Transaction name]],IF(Transactions[[#This Row],[Level 0]]=Transactions[[#This Row],[L1N]],Transactions[[#This Row],[Transaction name]],IF(Transactions[[#This Row],[Level 0]]=Transactions[[#This Row],[L2N]],Transactions[[#This Row],[L1N]],IF(Transactions[[#This Row],[Level 0]]=Transactions[[#This Row],[L3N]],Transactions[[#This Row],[L2N]],IF(Transactions[[#This Row],[Level 0]]=Transactions[[#This Row],[L4N]],Transactions[[#This Row],[L3N]],IF(Transactions[[#This Row],[Level 0]]=Transactions[[#This Row],[L5N]],Transactions[[#This Row],[L4N]],IF(Transactions[[#This Row],[Level 0]]=Transactions[[#This Row],[L6N]],Transactions[[#This Row],[L5N]],IF(Transactions[[#This Row],[Level 0]]=Transactions[[#This Row],[L7N]],Transactions[[#This Row],[L6N]],Transactions[[#This Row],[L7N]]))))))))</f>
        <v>IC Solar</v>
      </c>
      <c r="AT126" s="24" t="str">
        <f>IF(Transactions[[#This Row],[Level 1]]=Transactions[[#This Row],[Transaction name]],Transactions[[#This Row],[Transaction name]],IF(Transactions[[#This Row],[Level 1]]=Transactions[[#This Row],[L1N]],Transactions[[#This Row],[Transaction name]],IF(Transactions[[#This Row],[Level 1]]=Transactions[[#This Row],[L2N]],Transactions[[#This Row],[L1N]],IF(Transactions[[#This Row],[Level 1]]=Transactions[[#This Row],[L3N]],Transactions[[#This Row],[L2N]],IF(Transactions[[#This Row],[Level 1]]=Transactions[[#This Row],[L4N]],Transactions[[#This Row],[L3N]],IF(Transactions[[#This Row],[Level 1]]=Transactions[[#This Row],[L5N]],Transactions[[#This Row],[L4N]],IF(Transactions[[#This Row],[Level 1]]=Transactions[[#This Row],[L6N]],Transactions[[#This Row],[L5N]],IF(Transactions[[#This Row],[Level 1]]=Transactions[[#This Row],[L7N]],Transactions[[#This Row],[L6N]],Transactions[[#This Row],[L7N]]))))))))</f>
        <v>IC Solar - Autoproducers</v>
      </c>
      <c r="AU126" s="24" t="str">
        <f>IF(Transactions[[#This Row],[Level 2]]=Transactions[[#This Row],[Transaction name]],Transactions[[#This Row],[Transaction name]],IF(Transactions[[#This Row],[Level 2]]=Transactions[[#This Row],[L1N]],Transactions[[#This Row],[Transaction name]],IF(Transactions[[#This Row],[Level 2]]=Transactions[[#This Row],[L2N]],Transactions[[#This Row],[L1N]],IF(Transactions[[#This Row],[Level 2]]=Transactions[[#This Row],[L3N]],Transactions[[#This Row],[L2N]],IF(Transactions[[#This Row],[Level 2]]=Transactions[[#This Row],[L4N]],Transactions[[#This Row],[L3N]],IF(Transactions[[#This Row],[Level 2]]=Transactions[[#This Row],[L5N]],Transactions[[#This Row],[L4N]],IF(Transactions[[#This Row],[Level 2]]=Transactions[[#This Row],[L6N]],Transactions[[#This Row],[L5N]],IF(Transactions[[#This Row],[Level 2]]=Transactions[[#This Row],[L7N]],Transactions[[#This Row],[L6N]],Transactions[[#This Row],[L7N]]))))))))</f>
        <v>IC Solar CSP - Autoproducers</v>
      </c>
      <c r="AV126" s="24" t="str">
        <f>IF(Transactions[[#This Row],[Level 3]]=Transactions[[#This Row],[Transaction name]],Transactions[[#This Row],[Transaction name]],IF(Transactions[[#This Row],[Level 3]]=Transactions[[#This Row],[L1N]],Transactions[[#This Row],[Transaction name]],IF(Transactions[[#This Row],[Level 3]]=Transactions[[#This Row],[L2N]],Transactions[[#This Row],[L1N]],IF(Transactions[[#This Row],[Level 3]]=Transactions[[#This Row],[L3N]],Transactions[[#This Row],[L2N]],IF(Transactions[[#This Row],[Level 3]]=Transactions[[#This Row],[L4N]],Transactions[[#This Row],[L3N]],IF(Transactions[[#This Row],[Level 3]]=Transactions[[#This Row],[L5N]],Transactions[[#This Row],[L4N]],IF(Transactions[[#This Row],[Level 3]]=Transactions[[#This Row],[L6N]],Transactions[[#This Row],[L5N]],IF(Transactions[[#This Row],[Level 3]]=Transactions[[#This Row],[L7N]],Transactions[[#This Row],[L6N]],Transactions[[#This Row],[L7N]]))))))))</f>
        <v>IC Solar CSP - Autoproducers</v>
      </c>
      <c r="AW126" s="24" t="str">
        <f>IF(Transactions[[#This Row],[Level 4]]=Transactions[[#This Row],[Transaction name]],Transactions[[#This Row],[Transaction name]],IF(Transactions[[#This Row],[Level 4]]=Transactions[[#This Row],[L1N]],Transactions[[#This Row],[Transaction name]],IF(Transactions[[#This Row],[Level 4]]=Transactions[[#This Row],[L2N]],Transactions[[#This Row],[L1N]],IF(Transactions[[#This Row],[Level 4]]=Transactions[[#This Row],[L3N]],Transactions[[#This Row],[L2N]],IF(Transactions[[#This Row],[Level 4]]=Transactions[[#This Row],[L4N]],Transactions[[#This Row],[L3N]],IF(Transactions[[#This Row],[Level 4]]=Transactions[[#This Row],[L5N]],Transactions[[#This Row],[L4N]],IF(Transactions[[#This Row],[Level 4]]=Transactions[[#This Row],[L6N]],Transactions[[#This Row],[L5N]],IF(Transactions[[#This Row],[Level 4]]=Transactions[[#This Row],[L7N]],Transactions[[#This Row],[L6N]],Transactions[[#This Row],[L7N]]))))))))</f>
        <v>IC Solar CSP - Autoproducers</v>
      </c>
      <c r="AX126" s="24" t="str">
        <f>IF(Transactions[[#This Row],[Level 5]]=Transactions[[#This Row],[Transaction name]],Transactions[[#This Row],[Transaction name]],IF(Transactions[[#This Row],[Level 5]]=Transactions[[#This Row],[L1N]],Transactions[[#This Row],[Transaction name]],IF(Transactions[[#This Row],[Level 5]]=Transactions[[#This Row],[L2N]],Transactions[[#This Row],[L1N]],IF(Transactions[[#This Row],[Level 5]]=Transactions[[#This Row],[L3N]],Transactions[[#This Row],[L2N]],IF(Transactions[[#This Row],[Level 5]]=Transactions[[#This Row],[L4N]],Transactions[[#This Row],[L3N]],IF(Transactions[[#This Row],[Level 5]]=Transactions[[#This Row],[L5N]],Transactions[[#This Row],[L4N]],IF(Transactions[[#This Row],[Level 5]]=Transactions[[#This Row],[L6N]],Transactions[[#This Row],[L5N]],IF(Transactions[[#This Row],[Level 5]]=Transactions[[#This Row],[L7N]],Transactions[[#This Row],[L6N]],Transactions[[#This Row],[L7N]]))))))))</f>
        <v>IC Solar CSP - Autoproducers</v>
      </c>
      <c r="AY126" s="24" t="str">
        <f>IF(Transactions[[#This Row],[Level 6]]=Transactions[[#This Row],[Transaction name]],Transactions[[#This Row],[Transaction name]],IF(Transactions[[#This Row],[Level 6]]=Transactions[[#This Row],[L1N]],Transactions[[#This Row],[Transaction name]],IF(Transactions[[#This Row],[Level 6]]=Transactions[[#This Row],[L2N]],Transactions[[#This Row],[L1N]],IF(Transactions[[#This Row],[Level 6]]=Transactions[[#This Row],[L3N]],Transactions[[#This Row],[L2N]],IF(Transactions[[#This Row],[Level 6]]=Transactions[[#This Row],[L4N]],Transactions[[#This Row],[L3N]],IF(Transactions[[#This Row],[Level 6]]=Transactions[[#This Row],[L5N]],Transactions[[#This Row],[L4N]],IF(Transactions[[#This Row],[Level 6]]=Transactions[[#This Row],[L6N]],Transactions[[#This Row],[L5N]],IF(Transactions[[#This Row],[Level 6]]=Transactions[[#This Row],[L7N]],Transactions[[#This Row],[L6N]],Transactions[[#This Row],[L7N]]))))))))</f>
        <v>IC Solar CSP - Autoproducers</v>
      </c>
      <c r="BE126" s="26" t="str">
        <f>_xlfn.XLOOKUP(Transformation[[#This Row],[cfrom]],Commodities[Commodity],Commodities[Commodity code])</f>
        <v>4200</v>
      </c>
      <c r="BF126" s="26" t="str">
        <f>_xlfn.XLOOKUP(Transformation[[#This Row],[tfrom]],Transactions[Transaction name],Transactions[Transaction code])</f>
        <v>08812</v>
      </c>
      <c r="BG126" s="26" t="str">
        <f>_xlfn.XLOOKUP(Transformation[[#This Row],[cto]],Commodities[Commodity],Commodities[Commodity code])</f>
        <v>4200</v>
      </c>
      <c r="BH126" s="26" t="str">
        <f>_xlfn.XLOOKUP(Transformation[[#This Row],[tto]],Transactions[Transaction name],Transactions[Transaction code])</f>
        <v>016COE</v>
      </c>
      <c r="BI126" s="11">
        <v>1</v>
      </c>
      <c r="BJ126" s="4" t="s">
        <v>435</v>
      </c>
      <c r="BK126" s="24" t="str">
        <f>_xlfn.XLOOKUP(Transformation[[#This Row],[Commodity from]],Commodities[Commodity code],Commodities[EnergyCode])</f>
        <v>GL</v>
      </c>
      <c r="BL126" s="4" t="s">
        <v>690</v>
      </c>
      <c r="BM126" s="4" t="s">
        <v>435</v>
      </c>
      <c r="BN126" s="24" t="str">
        <f>_xlfn.XLOOKUP(Transformation[[#This Row],[Commodity to]],Commodities[Commodity code],Commodities[EnergyCode])</f>
        <v>GL</v>
      </c>
      <c r="BO126" s="4" t="s">
        <v>1230</v>
      </c>
      <c r="BP126" s="16" t="s">
        <v>1493</v>
      </c>
      <c r="BQ126" s="33" t="str">
        <f>Transformation[[#This Row],[Commodity from]]&amp;Transformation[[#This Row],[Transaction from]]&amp;Transformation[[#This Row],[Commodity to]]&amp;Transformation[[#This Row],[Transaction to]]</f>
        <v>4200088124200016COE</v>
      </c>
      <c r="BR126" s="26" t="str">
        <f>Transformation[[#This Row],[crfomid]]&amp;Transformation[[#This Row],[Transaction from]]&amp;"("&amp;Transformation[[#This Row],[Multiplier]]&amp;") -&gt; "&amp;Transformation[[#This Row],[ctoid]]&amp;Transformation[[#This Row],[Transaction to]]</f>
        <v>GL08812(1) -&gt; GL016COE</v>
      </c>
    </row>
    <row r="127" spans="25:70" x14ac:dyDescent="0.45">
      <c r="Y127" s="5" t="s">
        <v>40</v>
      </c>
      <c r="Z127" s="4" t="s">
        <v>1004</v>
      </c>
      <c r="AA127" s="4" t="s">
        <v>1004</v>
      </c>
      <c r="AB127" s="6" t="s">
        <v>33</v>
      </c>
      <c r="AC127" s="24" t="str">
        <f>IFERROR(VLOOKUP(Transactions[[#This Row],[Parent code]],Transactions[[Transaction code]:[Transaction name]],2,0),"")</f>
        <v>IC Solar - Autoproducers</v>
      </c>
      <c r="AD127" s="4" t="s">
        <v>632</v>
      </c>
      <c r="AE127" s="4" t="s">
        <v>632</v>
      </c>
      <c r="AF127" s="4" t="s">
        <v>642</v>
      </c>
      <c r="AG127" s="4" t="s">
        <v>1</v>
      </c>
      <c r="AH127" s="4" t="s">
        <v>696</v>
      </c>
      <c r="AK127" s="24" t="str" cm="1">
        <f t="array" ref="AK127">IFERROR(INDEX(Transactions[[Transaction code]:[Transaction name]],_xlfn.XMATCH(Transactions[[#This Row],[Parent code]],Transactions[Transaction name],0),3),Transactions[[#This Row],[Transaction name]])</f>
        <v>IC Solar PV - Autoproducers</v>
      </c>
      <c r="AL127" s="24" t="str" cm="1">
        <f t="array" ref="AL127">IFERROR(INDEX(Transactions[[Transaction code]:[Transaction name]],_xlfn.XMATCH(INDEX(Transactions[[Transaction name]:[Parent code]],_xlfn.XMATCH(Transactions[[#This Row],[L1N]],Transactions[Transaction name],0),3),Transactions[Transaction code],0),2),Transactions[[#This Row],[L1N]])</f>
        <v>IC Solar - Autoproducers</v>
      </c>
      <c r="AM127" s="24" t="str" cm="1">
        <f t="array" ref="AM127">IFERROR(INDEX(Transactions[[Transaction code]:[Transaction name]],_xlfn.XMATCH(INDEX(Transactions[[Transaction name]:[Parent code]],_xlfn.XMATCH(Transactions[[#This Row],[L2N]],Transactions[Transaction name],0),3),Transactions[Transaction code],0),2),Transactions[[#This Row],[L2N]])</f>
        <v>IC Solar</v>
      </c>
      <c r="AN127" s="24" t="str" cm="1">
        <f t="array" ref="AN127">IFERROR(INDEX(Transactions[[Transaction code]:[Transaction name]],_xlfn.XMATCH(INDEX(Transactions[[Transaction name]:[Parent code]],_xlfn.XMATCH(Transactions[[#This Row],[L3N]],Transactions[Transaction name],0),3),Transactions[Transaction code],0),2),Transactions[[#This Row],[L3N]])</f>
        <v>IC Electricity plants</v>
      </c>
      <c r="AO127" s="24" t="str" cm="1">
        <f t="array" ref="AO127">IFERROR(INDEX(Transactions[[Transaction code]:[Transaction name]],_xlfn.XMATCH(INDEX(Transactions[[Transaction name]:[Parent code]],_xlfn.XMATCH(Transactions[[#This Row],[L4N]],Transactions[Transaction name],0),3),Transactions[Transaction code],0),2),Transactions[[#This Row],[L4N]])</f>
        <v>IC Electricity plants</v>
      </c>
      <c r="AP127" s="24" t="str" cm="1">
        <f t="array" ref="AP127">IFERROR(INDEX(Transactions[[Transaction code]:[Transaction name]],_xlfn.XMATCH(INDEX(Transactions[[Transaction name]:[Parent code]],_xlfn.XMATCH(Transactions[[#This Row],[L5N]],Transactions[Transaction name],0),3),Transactions[Transaction code],0),2),Transactions[[#This Row],[L5N]])</f>
        <v>IC Electricity plants</v>
      </c>
      <c r="AQ127" s="24" t="str" cm="1">
        <f t="array" ref="AQ127">IFERROR(INDEX(Transactions[[Transaction code]:[Transaction name]],_xlfn.XMATCH(INDEX(Transactions[[Transaction name]:[Parent code]],_xlfn.XMATCH(Transactions[[#This Row],[L6N]],Transactions[Transaction name],0),3),Transactions[Transaction code],0),2),Transactions[[#This Row],[L6N]])</f>
        <v>IC Electricity plants</v>
      </c>
      <c r="AR127" s="27" t="str">
        <f>IF(Transactions[[#This Row],[L7N]]=Transactions[[#This Row],[L6N]],Transactions[[#This Row],[L7N]],IF(Transactions[[#This Row],[L6N]]=Transactions[[#This Row],[L5N]],Transactions[[#This Row],[L6N]],IF(Transactions[[#This Row],[L5N]]=Transactions[[#This Row],[L4N]],Transactions[[#This Row],[L5N]],IF(Transactions[[#This Row],[L4N]]=Transactions[[#This Row],[L3N]],Transactions[[#This Row],[L4N]],IF(Transactions[[#This Row],[L3N]]=Transactions[[#This Row],[L2N]],Transactions[[#This Row],[L3N]],IF(Transactions[[#This Row],[L2N]]=Transactions[[#This Row],[L1N]],Transactions[[#This Row],[L2N]],IF(Transactions[[#This Row],[L1N]]=Transactions[[#This Row],[Transaction name]],Transactions[[#This Row],[L1N]],Transactions[[#This Row],[Transaction name]])))))))</f>
        <v>IC Electricity plants</v>
      </c>
      <c r="AS127" s="24" t="str">
        <f>IF(Transactions[[#This Row],[Level 0]]=Transactions[[#This Row],[Transaction name]],Transactions[[#This Row],[Transaction name]],IF(Transactions[[#This Row],[Level 0]]=Transactions[[#This Row],[L1N]],Transactions[[#This Row],[Transaction name]],IF(Transactions[[#This Row],[Level 0]]=Transactions[[#This Row],[L2N]],Transactions[[#This Row],[L1N]],IF(Transactions[[#This Row],[Level 0]]=Transactions[[#This Row],[L3N]],Transactions[[#This Row],[L2N]],IF(Transactions[[#This Row],[Level 0]]=Transactions[[#This Row],[L4N]],Transactions[[#This Row],[L3N]],IF(Transactions[[#This Row],[Level 0]]=Transactions[[#This Row],[L5N]],Transactions[[#This Row],[L4N]],IF(Transactions[[#This Row],[Level 0]]=Transactions[[#This Row],[L6N]],Transactions[[#This Row],[L5N]],IF(Transactions[[#This Row],[Level 0]]=Transactions[[#This Row],[L7N]],Transactions[[#This Row],[L6N]],Transactions[[#This Row],[L7N]]))))))))</f>
        <v>IC Solar</v>
      </c>
      <c r="AT127" s="24" t="str">
        <f>IF(Transactions[[#This Row],[Level 1]]=Transactions[[#This Row],[Transaction name]],Transactions[[#This Row],[Transaction name]],IF(Transactions[[#This Row],[Level 1]]=Transactions[[#This Row],[L1N]],Transactions[[#This Row],[Transaction name]],IF(Transactions[[#This Row],[Level 1]]=Transactions[[#This Row],[L2N]],Transactions[[#This Row],[L1N]],IF(Transactions[[#This Row],[Level 1]]=Transactions[[#This Row],[L3N]],Transactions[[#This Row],[L2N]],IF(Transactions[[#This Row],[Level 1]]=Transactions[[#This Row],[L4N]],Transactions[[#This Row],[L3N]],IF(Transactions[[#This Row],[Level 1]]=Transactions[[#This Row],[L5N]],Transactions[[#This Row],[L4N]],IF(Transactions[[#This Row],[Level 1]]=Transactions[[#This Row],[L6N]],Transactions[[#This Row],[L5N]],IF(Transactions[[#This Row],[Level 1]]=Transactions[[#This Row],[L7N]],Transactions[[#This Row],[L6N]],Transactions[[#This Row],[L7N]]))))))))</f>
        <v>IC Solar - Autoproducers</v>
      </c>
      <c r="AU127" s="24" t="str">
        <f>IF(Transactions[[#This Row],[Level 2]]=Transactions[[#This Row],[Transaction name]],Transactions[[#This Row],[Transaction name]],IF(Transactions[[#This Row],[Level 2]]=Transactions[[#This Row],[L1N]],Transactions[[#This Row],[Transaction name]],IF(Transactions[[#This Row],[Level 2]]=Transactions[[#This Row],[L2N]],Transactions[[#This Row],[L1N]],IF(Transactions[[#This Row],[Level 2]]=Transactions[[#This Row],[L3N]],Transactions[[#This Row],[L2N]],IF(Transactions[[#This Row],[Level 2]]=Transactions[[#This Row],[L4N]],Transactions[[#This Row],[L3N]],IF(Transactions[[#This Row],[Level 2]]=Transactions[[#This Row],[L5N]],Transactions[[#This Row],[L4N]],IF(Transactions[[#This Row],[Level 2]]=Transactions[[#This Row],[L6N]],Transactions[[#This Row],[L5N]],IF(Transactions[[#This Row],[Level 2]]=Transactions[[#This Row],[L7N]],Transactions[[#This Row],[L6N]],Transactions[[#This Row],[L7N]]))))))))</f>
        <v>IC Solar PV - Autoproducers</v>
      </c>
      <c r="AV127" s="24" t="str">
        <f>IF(Transactions[[#This Row],[Level 3]]=Transactions[[#This Row],[Transaction name]],Transactions[[#This Row],[Transaction name]],IF(Transactions[[#This Row],[Level 3]]=Transactions[[#This Row],[L1N]],Transactions[[#This Row],[Transaction name]],IF(Transactions[[#This Row],[Level 3]]=Transactions[[#This Row],[L2N]],Transactions[[#This Row],[L1N]],IF(Transactions[[#This Row],[Level 3]]=Transactions[[#This Row],[L3N]],Transactions[[#This Row],[L2N]],IF(Transactions[[#This Row],[Level 3]]=Transactions[[#This Row],[L4N]],Transactions[[#This Row],[L3N]],IF(Transactions[[#This Row],[Level 3]]=Transactions[[#This Row],[L5N]],Transactions[[#This Row],[L4N]],IF(Transactions[[#This Row],[Level 3]]=Transactions[[#This Row],[L6N]],Transactions[[#This Row],[L5N]],IF(Transactions[[#This Row],[Level 3]]=Transactions[[#This Row],[L7N]],Transactions[[#This Row],[L6N]],Transactions[[#This Row],[L7N]]))))))))</f>
        <v>IC Solar PV - Autoproducers</v>
      </c>
      <c r="AW127" s="24" t="str">
        <f>IF(Transactions[[#This Row],[Level 4]]=Transactions[[#This Row],[Transaction name]],Transactions[[#This Row],[Transaction name]],IF(Transactions[[#This Row],[Level 4]]=Transactions[[#This Row],[L1N]],Transactions[[#This Row],[Transaction name]],IF(Transactions[[#This Row],[Level 4]]=Transactions[[#This Row],[L2N]],Transactions[[#This Row],[L1N]],IF(Transactions[[#This Row],[Level 4]]=Transactions[[#This Row],[L3N]],Transactions[[#This Row],[L2N]],IF(Transactions[[#This Row],[Level 4]]=Transactions[[#This Row],[L4N]],Transactions[[#This Row],[L3N]],IF(Transactions[[#This Row],[Level 4]]=Transactions[[#This Row],[L5N]],Transactions[[#This Row],[L4N]],IF(Transactions[[#This Row],[Level 4]]=Transactions[[#This Row],[L6N]],Transactions[[#This Row],[L5N]],IF(Transactions[[#This Row],[Level 4]]=Transactions[[#This Row],[L7N]],Transactions[[#This Row],[L6N]],Transactions[[#This Row],[L7N]]))))))))</f>
        <v>IC Solar PV - Autoproducers</v>
      </c>
      <c r="AX127" s="24" t="str">
        <f>IF(Transactions[[#This Row],[Level 5]]=Transactions[[#This Row],[Transaction name]],Transactions[[#This Row],[Transaction name]],IF(Transactions[[#This Row],[Level 5]]=Transactions[[#This Row],[L1N]],Transactions[[#This Row],[Transaction name]],IF(Transactions[[#This Row],[Level 5]]=Transactions[[#This Row],[L2N]],Transactions[[#This Row],[L1N]],IF(Transactions[[#This Row],[Level 5]]=Transactions[[#This Row],[L3N]],Transactions[[#This Row],[L2N]],IF(Transactions[[#This Row],[Level 5]]=Transactions[[#This Row],[L4N]],Transactions[[#This Row],[L3N]],IF(Transactions[[#This Row],[Level 5]]=Transactions[[#This Row],[L5N]],Transactions[[#This Row],[L4N]],IF(Transactions[[#This Row],[Level 5]]=Transactions[[#This Row],[L6N]],Transactions[[#This Row],[L5N]],IF(Transactions[[#This Row],[Level 5]]=Transactions[[#This Row],[L7N]],Transactions[[#This Row],[L6N]],Transactions[[#This Row],[L7N]]))))))))</f>
        <v>IC Solar PV - Autoproducers</v>
      </c>
      <c r="AY127" s="24" t="str">
        <f>IF(Transactions[[#This Row],[Level 6]]=Transactions[[#This Row],[Transaction name]],Transactions[[#This Row],[Transaction name]],IF(Transactions[[#This Row],[Level 6]]=Transactions[[#This Row],[L1N]],Transactions[[#This Row],[Transaction name]],IF(Transactions[[#This Row],[Level 6]]=Transactions[[#This Row],[L2N]],Transactions[[#This Row],[L1N]],IF(Transactions[[#This Row],[Level 6]]=Transactions[[#This Row],[L3N]],Transactions[[#This Row],[L2N]],IF(Transactions[[#This Row],[Level 6]]=Transactions[[#This Row],[L4N]],Transactions[[#This Row],[L3N]],IF(Transactions[[#This Row],[Level 6]]=Transactions[[#This Row],[L5N]],Transactions[[#This Row],[L4N]],IF(Transactions[[#This Row],[Level 6]]=Transactions[[#This Row],[L6N]],Transactions[[#This Row],[L5N]],IF(Transactions[[#This Row],[Level 6]]=Transactions[[#This Row],[L7N]],Transactions[[#This Row],[L6N]],Transactions[[#This Row],[L7N]]))))))))</f>
        <v>IC Solar PV - Autoproducers</v>
      </c>
      <c r="BE127" s="26" t="str">
        <f>_xlfn.XLOOKUP(Transformation[[#This Row],[cfrom]],Commodities[Commodity],Commodities[Commodity code])</f>
        <v>6100</v>
      </c>
      <c r="BF127" s="26" t="str">
        <f>_xlfn.XLOOKUP(Transformation[[#This Row],[tfrom]],Transactions[Transaction name],Transactions[Transaction code])</f>
        <v>08812</v>
      </c>
      <c r="BG127" s="26" t="str">
        <f>_xlfn.XLOOKUP(Transformation[[#This Row],[cto]],Commodities[Commodity],Commodities[Commodity code])</f>
        <v>6100</v>
      </c>
      <c r="BH127" s="26" t="str">
        <f>_xlfn.XLOOKUP(Transformation[[#This Row],[tto]],Transactions[Transaction name],Transactions[Transaction code])</f>
        <v>016ISWE</v>
      </c>
      <c r="BI127" s="11">
        <v>1</v>
      </c>
      <c r="BJ127" s="4" t="s">
        <v>291</v>
      </c>
      <c r="BK127" s="24" t="str">
        <f>_xlfn.XLOOKUP(Transformation[[#This Row],[Commodity from]],Commodities[Commodity code],Commodities[EnergyCode])</f>
        <v>IW</v>
      </c>
      <c r="BL127" s="4" t="s">
        <v>690</v>
      </c>
      <c r="BM127" s="4" t="s">
        <v>291</v>
      </c>
      <c r="BN127" s="24" t="str">
        <f>_xlfn.XLOOKUP(Transformation[[#This Row],[Commodity to]],Commodities[Commodity code],Commodities[EnergyCode])</f>
        <v>IW</v>
      </c>
      <c r="BO127" s="4" t="s">
        <v>1159</v>
      </c>
      <c r="BP127" s="16" t="s">
        <v>1493</v>
      </c>
      <c r="BQ127" s="33" t="str">
        <f>Transformation[[#This Row],[Commodity from]]&amp;Transformation[[#This Row],[Transaction from]]&amp;Transformation[[#This Row],[Commodity to]]&amp;Transformation[[#This Row],[Transaction to]]</f>
        <v>6100088126100016ISWE</v>
      </c>
      <c r="BR127" s="26" t="str">
        <f>Transformation[[#This Row],[crfomid]]&amp;Transformation[[#This Row],[Transaction from]]&amp;"("&amp;Transformation[[#This Row],[Multiplier]]&amp;") -&gt; "&amp;Transformation[[#This Row],[ctoid]]&amp;Transformation[[#This Row],[Transaction to]]</f>
        <v>IW08812(1) -&gt; IW016ISWE</v>
      </c>
    </row>
    <row r="128" spans="25:70" x14ac:dyDescent="0.45">
      <c r="Y128" s="5" t="s">
        <v>36</v>
      </c>
      <c r="Z128" s="4" t="s">
        <v>993</v>
      </c>
      <c r="AA128" s="4" t="s">
        <v>993</v>
      </c>
      <c r="AB128" s="6" t="s">
        <v>61</v>
      </c>
      <c r="AC128" s="24" t="str">
        <f>IFERROR(VLOOKUP(Transactions[[#This Row],[Parent code]],Transactions[[Transaction code]:[Transaction name]],2,0),"")</f>
        <v>IC Solar</v>
      </c>
      <c r="AD128" s="4" t="s">
        <v>632</v>
      </c>
      <c r="AE128" s="4" t="s">
        <v>632</v>
      </c>
      <c r="AF128" s="4" t="s">
        <v>642</v>
      </c>
      <c r="AG128" s="4" t="s">
        <v>1</v>
      </c>
      <c r="AH128" s="4" t="s">
        <v>696</v>
      </c>
      <c r="AK128" s="24" t="str" cm="1">
        <f t="array" ref="AK128">IFERROR(INDEX(Transactions[[Transaction code]:[Transaction name]],_xlfn.XMATCH(Transactions[[#This Row],[Parent code]],Transactions[Transaction name],0),3),Transactions[[#This Row],[Transaction name]])</f>
        <v>IC Solar - Main activity producers</v>
      </c>
      <c r="AL128" s="24" t="str" cm="1">
        <f t="array" ref="AL128">IFERROR(INDEX(Transactions[[Transaction code]:[Transaction name]],_xlfn.XMATCH(INDEX(Transactions[[Transaction name]:[Parent code]],_xlfn.XMATCH(Transactions[[#This Row],[L1N]],Transactions[Transaction name],0),3),Transactions[Transaction code],0),2),Transactions[[#This Row],[L1N]])</f>
        <v>IC Solar</v>
      </c>
      <c r="AM128" s="24" t="str" cm="1">
        <f t="array" ref="AM128">IFERROR(INDEX(Transactions[[Transaction code]:[Transaction name]],_xlfn.XMATCH(INDEX(Transactions[[Transaction name]:[Parent code]],_xlfn.XMATCH(Transactions[[#This Row],[L2N]],Transactions[Transaction name],0),3),Transactions[Transaction code],0),2),Transactions[[#This Row],[L2N]])</f>
        <v>IC Electricity plants</v>
      </c>
      <c r="AN128" s="24" t="str" cm="1">
        <f t="array" ref="AN128">IFERROR(INDEX(Transactions[[Transaction code]:[Transaction name]],_xlfn.XMATCH(INDEX(Transactions[[Transaction name]:[Parent code]],_xlfn.XMATCH(Transactions[[#This Row],[L3N]],Transactions[Transaction name],0),3),Transactions[Transaction code],0),2),Transactions[[#This Row],[L3N]])</f>
        <v>IC Electricity plants</v>
      </c>
      <c r="AO128" s="24" t="str" cm="1">
        <f t="array" ref="AO128">IFERROR(INDEX(Transactions[[Transaction code]:[Transaction name]],_xlfn.XMATCH(INDEX(Transactions[[Transaction name]:[Parent code]],_xlfn.XMATCH(Transactions[[#This Row],[L4N]],Transactions[Transaction name],0),3),Transactions[Transaction code],0),2),Transactions[[#This Row],[L4N]])</f>
        <v>IC Electricity plants</v>
      </c>
      <c r="AP128" s="24" t="str" cm="1">
        <f t="array" ref="AP128">IFERROR(INDEX(Transactions[[Transaction code]:[Transaction name]],_xlfn.XMATCH(INDEX(Transactions[[Transaction name]:[Parent code]],_xlfn.XMATCH(Transactions[[#This Row],[L5N]],Transactions[Transaction name],0),3),Transactions[Transaction code],0),2),Transactions[[#This Row],[L5N]])</f>
        <v>IC Electricity plants</v>
      </c>
      <c r="AQ128" s="24" t="str" cm="1">
        <f t="array" ref="AQ128">IFERROR(INDEX(Transactions[[Transaction code]:[Transaction name]],_xlfn.XMATCH(INDEX(Transactions[[Transaction name]:[Parent code]],_xlfn.XMATCH(Transactions[[#This Row],[L6N]],Transactions[Transaction name],0),3),Transactions[Transaction code],0),2),Transactions[[#This Row],[L6N]])</f>
        <v>IC Electricity plants</v>
      </c>
      <c r="AR128" s="27" t="str">
        <f>IF(Transactions[[#This Row],[L7N]]=Transactions[[#This Row],[L6N]],Transactions[[#This Row],[L7N]],IF(Transactions[[#This Row],[L6N]]=Transactions[[#This Row],[L5N]],Transactions[[#This Row],[L6N]],IF(Transactions[[#This Row],[L5N]]=Transactions[[#This Row],[L4N]],Transactions[[#This Row],[L5N]],IF(Transactions[[#This Row],[L4N]]=Transactions[[#This Row],[L3N]],Transactions[[#This Row],[L4N]],IF(Transactions[[#This Row],[L3N]]=Transactions[[#This Row],[L2N]],Transactions[[#This Row],[L3N]],IF(Transactions[[#This Row],[L2N]]=Transactions[[#This Row],[L1N]],Transactions[[#This Row],[L2N]],IF(Transactions[[#This Row],[L1N]]=Transactions[[#This Row],[Transaction name]],Transactions[[#This Row],[L1N]],Transactions[[#This Row],[Transaction name]])))))))</f>
        <v>IC Electricity plants</v>
      </c>
      <c r="AS128" s="24" t="str">
        <f>IF(Transactions[[#This Row],[Level 0]]=Transactions[[#This Row],[Transaction name]],Transactions[[#This Row],[Transaction name]],IF(Transactions[[#This Row],[Level 0]]=Transactions[[#This Row],[L1N]],Transactions[[#This Row],[Transaction name]],IF(Transactions[[#This Row],[Level 0]]=Transactions[[#This Row],[L2N]],Transactions[[#This Row],[L1N]],IF(Transactions[[#This Row],[Level 0]]=Transactions[[#This Row],[L3N]],Transactions[[#This Row],[L2N]],IF(Transactions[[#This Row],[Level 0]]=Transactions[[#This Row],[L4N]],Transactions[[#This Row],[L3N]],IF(Transactions[[#This Row],[Level 0]]=Transactions[[#This Row],[L5N]],Transactions[[#This Row],[L4N]],IF(Transactions[[#This Row],[Level 0]]=Transactions[[#This Row],[L6N]],Transactions[[#This Row],[L5N]],IF(Transactions[[#This Row],[Level 0]]=Transactions[[#This Row],[L7N]],Transactions[[#This Row],[L6N]],Transactions[[#This Row],[L7N]]))))))))</f>
        <v>IC Solar</v>
      </c>
      <c r="AT128" s="24" t="str">
        <f>IF(Transactions[[#This Row],[Level 1]]=Transactions[[#This Row],[Transaction name]],Transactions[[#This Row],[Transaction name]],IF(Transactions[[#This Row],[Level 1]]=Transactions[[#This Row],[L1N]],Transactions[[#This Row],[Transaction name]],IF(Transactions[[#This Row],[Level 1]]=Transactions[[#This Row],[L2N]],Transactions[[#This Row],[L1N]],IF(Transactions[[#This Row],[Level 1]]=Transactions[[#This Row],[L3N]],Transactions[[#This Row],[L2N]],IF(Transactions[[#This Row],[Level 1]]=Transactions[[#This Row],[L4N]],Transactions[[#This Row],[L3N]],IF(Transactions[[#This Row],[Level 1]]=Transactions[[#This Row],[L5N]],Transactions[[#This Row],[L4N]],IF(Transactions[[#This Row],[Level 1]]=Transactions[[#This Row],[L6N]],Transactions[[#This Row],[L5N]],IF(Transactions[[#This Row],[Level 1]]=Transactions[[#This Row],[L7N]],Transactions[[#This Row],[L6N]],Transactions[[#This Row],[L7N]]))))))))</f>
        <v>IC Solar - Main activity producers</v>
      </c>
      <c r="AU128" s="24" t="str">
        <f>IF(Transactions[[#This Row],[Level 2]]=Transactions[[#This Row],[Transaction name]],Transactions[[#This Row],[Transaction name]],IF(Transactions[[#This Row],[Level 2]]=Transactions[[#This Row],[L1N]],Transactions[[#This Row],[Transaction name]],IF(Transactions[[#This Row],[Level 2]]=Transactions[[#This Row],[L2N]],Transactions[[#This Row],[L1N]],IF(Transactions[[#This Row],[Level 2]]=Transactions[[#This Row],[L3N]],Transactions[[#This Row],[L2N]],IF(Transactions[[#This Row],[Level 2]]=Transactions[[#This Row],[L4N]],Transactions[[#This Row],[L3N]],IF(Transactions[[#This Row],[Level 2]]=Transactions[[#This Row],[L5N]],Transactions[[#This Row],[L4N]],IF(Transactions[[#This Row],[Level 2]]=Transactions[[#This Row],[L6N]],Transactions[[#This Row],[L5N]],IF(Transactions[[#This Row],[Level 2]]=Transactions[[#This Row],[L7N]],Transactions[[#This Row],[L6N]],Transactions[[#This Row],[L7N]]))))))))</f>
        <v>IC Solar - Main activity producers</v>
      </c>
      <c r="AV128" s="24" t="str">
        <f>IF(Transactions[[#This Row],[Level 3]]=Transactions[[#This Row],[Transaction name]],Transactions[[#This Row],[Transaction name]],IF(Transactions[[#This Row],[Level 3]]=Transactions[[#This Row],[L1N]],Transactions[[#This Row],[Transaction name]],IF(Transactions[[#This Row],[Level 3]]=Transactions[[#This Row],[L2N]],Transactions[[#This Row],[L1N]],IF(Transactions[[#This Row],[Level 3]]=Transactions[[#This Row],[L3N]],Transactions[[#This Row],[L2N]],IF(Transactions[[#This Row],[Level 3]]=Transactions[[#This Row],[L4N]],Transactions[[#This Row],[L3N]],IF(Transactions[[#This Row],[Level 3]]=Transactions[[#This Row],[L5N]],Transactions[[#This Row],[L4N]],IF(Transactions[[#This Row],[Level 3]]=Transactions[[#This Row],[L6N]],Transactions[[#This Row],[L5N]],IF(Transactions[[#This Row],[Level 3]]=Transactions[[#This Row],[L7N]],Transactions[[#This Row],[L6N]],Transactions[[#This Row],[L7N]]))))))))</f>
        <v>IC Solar - Main activity producers</v>
      </c>
      <c r="AW128" s="24" t="str">
        <f>IF(Transactions[[#This Row],[Level 4]]=Transactions[[#This Row],[Transaction name]],Transactions[[#This Row],[Transaction name]],IF(Transactions[[#This Row],[Level 4]]=Transactions[[#This Row],[L1N]],Transactions[[#This Row],[Transaction name]],IF(Transactions[[#This Row],[Level 4]]=Transactions[[#This Row],[L2N]],Transactions[[#This Row],[L1N]],IF(Transactions[[#This Row],[Level 4]]=Transactions[[#This Row],[L3N]],Transactions[[#This Row],[L2N]],IF(Transactions[[#This Row],[Level 4]]=Transactions[[#This Row],[L4N]],Transactions[[#This Row],[L3N]],IF(Transactions[[#This Row],[Level 4]]=Transactions[[#This Row],[L5N]],Transactions[[#This Row],[L4N]],IF(Transactions[[#This Row],[Level 4]]=Transactions[[#This Row],[L6N]],Transactions[[#This Row],[L5N]],IF(Transactions[[#This Row],[Level 4]]=Transactions[[#This Row],[L7N]],Transactions[[#This Row],[L6N]],Transactions[[#This Row],[L7N]]))))))))</f>
        <v>IC Solar - Main activity producers</v>
      </c>
      <c r="AX128" s="24" t="str">
        <f>IF(Transactions[[#This Row],[Level 5]]=Transactions[[#This Row],[Transaction name]],Transactions[[#This Row],[Transaction name]],IF(Transactions[[#This Row],[Level 5]]=Transactions[[#This Row],[L1N]],Transactions[[#This Row],[Transaction name]],IF(Transactions[[#This Row],[Level 5]]=Transactions[[#This Row],[L2N]],Transactions[[#This Row],[L1N]],IF(Transactions[[#This Row],[Level 5]]=Transactions[[#This Row],[L3N]],Transactions[[#This Row],[L2N]],IF(Transactions[[#This Row],[Level 5]]=Transactions[[#This Row],[L4N]],Transactions[[#This Row],[L3N]],IF(Transactions[[#This Row],[Level 5]]=Transactions[[#This Row],[L5N]],Transactions[[#This Row],[L4N]],IF(Transactions[[#This Row],[Level 5]]=Transactions[[#This Row],[L6N]],Transactions[[#This Row],[L5N]],IF(Transactions[[#This Row],[Level 5]]=Transactions[[#This Row],[L7N]],Transactions[[#This Row],[L6N]],Transactions[[#This Row],[L7N]]))))))))</f>
        <v>IC Solar - Main activity producers</v>
      </c>
      <c r="AY128" s="24" t="str">
        <f>IF(Transactions[[#This Row],[Level 6]]=Transactions[[#This Row],[Transaction name]],Transactions[[#This Row],[Transaction name]],IF(Transactions[[#This Row],[Level 6]]=Transactions[[#This Row],[L1N]],Transactions[[#This Row],[Transaction name]],IF(Transactions[[#This Row],[Level 6]]=Transactions[[#This Row],[L2N]],Transactions[[#This Row],[L1N]],IF(Transactions[[#This Row],[Level 6]]=Transactions[[#This Row],[L3N]],Transactions[[#This Row],[L2N]],IF(Transactions[[#This Row],[Level 6]]=Transactions[[#This Row],[L4N]],Transactions[[#This Row],[L3N]],IF(Transactions[[#This Row],[Level 6]]=Transactions[[#This Row],[L5N]],Transactions[[#This Row],[L4N]],IF(Transactions[[#This Row],[Level 6]]=Transactions[[#This Row],[L6N]],Transactions[[#This Row],[L5N]],IF(Transactions[[#This Row],[Level 6]]=Transactions[[#This Row],[L7N]],Transactions[[#This Row],[L6N]],Transactions[[#This Row],[L7N]]))))))))</f>
        <v>IC Solar - Main activity producers</v>
      </c>
      <c r="BE128" s="26" t="str">
        <f>_xlfn.XLOOKUP(Transformation[[#This Row],[cfrom]],Commodities[Commodity],Commodities[Commodity code])</f>
        <v>4661</v>
      </c>
      <c r="BF128" s="26" t="str">
        <f>_xlfn.XLOOKUP(Transformation[[#This Row],[tfrom]],Transactions[Transaction name],Transactions[Transaction code])</f>
        <v>08812</v>
      </c>
      <c r="BG128" s="26" t="str">
        <f>_xlfn.XLOOKUP(Transformation[[#This Row],[cto]],Commodities[Commodity],Commodities[Commodity code])</f>
        <v>4661</v>
      </c>
      <c r="BH128" s="26" t="str">
        <f>_xlfn.XLOOKUP(Transformation[[#This Row],[tto]],Transactions[Transaction name],Transactions[Transaction code])</f>
        <v>016OPE</v>
      </c>
      <c r="BI128" s="11">
        <v>1</v>
      </c>
      <c r="BJ128" s="4" t="s">
        <v>381</v>
      </c>
      <c r="BK128" s="24" t="str">
        <f>_xlfn.XLOOKUP(Transformation[[#This Row],[Commodity from]],Commodities[Commodity code],Commodities[EnergyCode])</f>
        <v>JF</v>
      </c>
      <c r="BL128" s="4" t="s">
        <v>690</v>
      </c>
      <c r="BM128" s="4" t="s">
        <v>381</v>
      </c>
      <c r="BN128" s="24" t="str">
        <f>_xlfn.XLOOKUP(Transformation[[#This Row],[Commodity to]],Commodities[Commodity code],Commodities[EnergyCode])</f>
        <v>JF</v>
      </c>
      <c r="BO128" s="4" t="s">
        <v>1055</v>
      </c>
      <c r="BP128" s="16" t="s">
        <v>1493</v>
      </c>
      <c r="BQ128" s="33" t="str">
        <f>Transformation[[#This Row],[Commodity from]]&amp;Transformation[[#This Row],[Transaction from]]&amp;Transformation[[#This Row],[Commodity to]]&amp;Transformation[[#This Row],[Transaction to]]</f>
        <v>4661088124661016OPE</v>
      </c>
      <c r="BR128" s="26" t="str">
        <f>Transformation[[#This Row],[crfomid]]&amp;Transformation[[#This Row],[Transaction from]]&amp;"("&amp;Transformation[[#This Row],[Multiplier]]&amp;") -&gt; "&amp;Transformation[[#This Row],[ctoid]]&amp;Transformation[[#This Row],[Transaction to]]</f>
        <v>JF08812(1) -&gt; JF016OPE</v>
      </c>
    </row>
    <row r="129" spans="25:70" x14ac:dyDescent="0.45">
      <c r="Y129" s="5" t="s">
        <v>38</v>
      </c>
      <c r="Z129" s="18" t="s">
        <v>1657</v>
      </c>
      <c r="AA129" s="4" t="s">
        <v>1005</v>
      </c>
      <c r="AB129" s="6" t="s">
        <v>36</v>
      </c>
      <c r="AC129" s="24" t="str">
        <f>IFERROR(VLOOKUP(Transactions[[#This Row],[Parent code]],Transactions[[Transaction code]:[Transaction name]],2,0),"")</f>
        <v>IC Solar - Main activity producers</v>
      </c>
      <c r="AD129" s="4" t="s">
        <v>632</v>
      </c>
      <c r="AE129" s="4" t="s">
        <v>632</v>
      </c>
      <c r="AF129" s="4" t="s">
        <v>642</v>
      </c>
      <c r="AG129" s="4" t="s">
        <v>1</v>
      </c>
      <c r="AH129" s="4" t="s">
        <v>696</v>
      </c>
      <c r="AK129" s="24" t="str" cm="1">
        <f t="array" ref="AK129">IFERROR(INDEX(Transactions[[Transaction code]:[Transaction name]],_xlfn.XMATCH(Transactions[[#This Row],[Parent code]],Transactions[Transaction name],0),3),Transactions[[#This Row],[Transaction name]])</f>
        <v>IC Solar CSP - Main activity producers</v>
      </c>
      <c r="AL129" s="24" t="str" cm="1">
        <f t="array" ref="AL129">IFERROR(INDEX(Transactions[[Transaction code]:[Transaction name]],_xlfn.XMATCH(INDEX(Transactions[[Transaction name]:[Parent code]],_xlfn.XMATCH(Transactions[[#This Row],[L1N]],Transactions[Transaction name],0),3),Transactions[Transaction code],0),2),Transactions[[#This Row],[L1N]])</f>
        <v>IC Solar - Main activity producers</v>
      </c>
      <c r="AM129" s="24" t="str" cm="1">
        <f t="array" ref="AM129">IFERROR(INDEX(Transactions[[Transaction code]:[Transaction name]],_xlfn.XMATCH(INDEX(Transactions[[Transaction name]:[Parent code]],_xlfn.XMATCH(Transactions[[#This Row],[L2N]],Transactions[Transaction name],0),3),Transactions[Transaction code],0),2),Transactions[[#This Row],[L2N]])</f>
        <v>IC Solar</v>
      </c>
      <c r="AN129" s="24" t="str" cm="1">
        <f t="array" ref="AN129">IFERROR(INDEX(Transactions[[Transaction code]:[Transaction name]],_xlfn.XMATCH(INDEX(Transactions[[Transaction name]:[Parent code]],_xlfn.XMATCH(Transactions[[#This Row],[L3N]],Transactions[Transaction name],0),3),Transactions[Transaction code],0),2),Transactions[[#This Row],[L3N]])</f>
        <v>IC Electricity plants</v>
      </c>
      <c r="AO129" s="24" t="str" cm="1">
        <f t="array" ref="AO129">IFERROR(INDEX(Transactions[[Transaction code]:[Transaction name]],_xlfn.XMATCH(INDEX(Transactions[[Transaction name]:[Parent code]],_xlfn.XMATCH(Transactions[[#This Row],[L4N]],Transactions[Transaction name],0),3),Transactions[Transaction code],0),2),Transactions[[#This Row],[L4N]])</f>
        <v>IC Electricity plants</v>
      </c>
      <c r="AP129" s="24" t="str" cm="1">
        <f t="array" ref="AP129">IFERROR(INDEX(Transactions[[Transaction code]:[Transaction name]],_xlfn.XMATCH(INDEX(Transactions[[Transaction name]:[Parent code]],_xlfn.XMATCH(Transactions[[#This Row],[L5N]],Transactions[Transaction name],0),3),Transactions[Transaction code],0),2),Transactions[[#This Row],[L5N]])</f>
        <v>IC Electricity plants</v>
      </c>
      <c r="AQ129" s="24" t="str" cm="1">
        <f t="array" ref="AQ129">IFERROR(INDEX(Transactions[[Transaction code]:[Transaction name]],_xlfn.XMATCH(INDEX(Transactions[[Transaction name]:[Parent code]],_xlfn.XMATCH(Transactions[[#This Row],[L6N]],Transactions[Transaction name],0),3),Transactions[Transaction code],0),2),Transactions[[#This Row],[L6N]])</f>
        <v>IC Electricity plants</v>
      </c>
      <c r="AR129" s="27" t="str">
        <f>IF(Transactions[[#This Row],[L7N]]=Transactions[[#This Row],[L6N]],Transactions[[#This Row],[L7N]],IF(Transactions[[#This Row],[L6N]]=Transactions[[#This Row],[L5N]],Transactions[[#This Row],[L6N]],IF(Transactions[[#This Row],[L5N]]=Transactions[[#This Row],[L4N]],Transactions[[#This Row],[L5N]],IF(Transactions[[#This Row],[L4N]]=Transactions[[#This Row],[L3N]],Transactions[[#This Row],[L4N]],IF(Transactions[[#This Row],[L3N]]=Transactions[[#This Row],[L2N]],Transactions[[#This Row],[L3N]],IF(Transactions[[#This Row],[L2N]]=Transactions[[#This Row],[L1N]],Transactions[[#This Row],[L2N]],IF(Transactions[[#This Row],[L1N]]=Transactions[[#This Row],[Transaction name]],Transactions[[#This Row],[L1N]],Transactions[[#This Row],[Transaction name]])))))))</f>
        <v>IC Electricity plants</v>
      </c>
      <c r="AS129" s="24" t="str">
        <f>IF(Transactions[[#This Row],[Level 0]]=Transactions[[#This Row],[Transaction name]],Transactions[[#This Row],[Transaction name]],IF(Transactions[[#This Row],[Level 0]]=Transactions[[#This Row],[L1N]],Transactions[[#This Row],[Transaction name]],IF(Transactions[[#This Row],[Level 0]]=Transactions[[#This Row],[L2N]],Transactions[[#This Row],[L1N]],IF(Transactions[[#This Row],[Level 0]]=Transactions[[#This Row],[L3N]],Transactions[[#This Row],[L2N]],IF(Transactions[[#This Row],[Level 0]]=Transactions[[#This Row],[L4N]],Transactions[[#This Row],[L3N]],IF(Transactions[[#This Row],[Level 0]]=Transactions[[#This Row],[L5N]],Transactions[[#This Row],[L4N]],IF(Transactions[[#This Row],[Level 0]]=Transactions[[#This Row],[L6N]],Transactions[[#This Row],[L5N]],IF(Transactions[[#This Row],[Level 0]]=Transactions[[#This Row],[L7N]],Transactions[[#This Row],[L6N]],Transactions[[#This Row],[L7N]]))))))))</f>
        <v>IC Solar</v>
      </c>
      <c r="AT129" s="24" t="str">
        <f>IF(Transactions[[#This Row],[Level 1]]=Transactions[[#This Row],[Transaction name]],Transactions[[#This Row],[Transaction name]],IF(Transactions[[#This Row],[Level 1]]=Transactions[[#This Row],[L1N]],Transactions[[#This Row],[Transaction name]],IF(Transactions[[#This Row],[Level 1]]=Transactions[[#This Row],[L2N]],Transactions[[#This Row],[L1N]],IF(Transactions[[#This Row],[Level 1]]=Transactions[[#This Row],[L3N]],Transactions[[#This Row],[L2N]],IF(Transactions[[#This Row],[Level 1]]=Transactions[[#This Row],[L4N]],Transactions[[#This Row],[L3N]],IF(Transactions[[#This Row],[Level 1]]=Transactions[[#This Row],[L5N]],Transactions[[#This Row],[L4N]],IF(Transactions[[#This Row],[Level 1]]=Transactions[[#This Row],[L6N]],Transactions[[#This Row],[L5N]],IF(Transactions[[#This Row],[Level 1]]=Transactions[[#This Row],[L7N]],Transactions[[#This Row],[L6N]],Transactions[[#This Row],[L7N]]))))))))</f>
        <v>IC Solar - Main activity producers</v>
      </c>
      <c r="AU129" s="24" t="str">
        <f>IF(Transactions[[#This Row],[Level 2]]=Transactions[[#This Row],[Transaction name]],Transactions[[#This Row],[Transaction name]],IF(Transactions[[#This Row],[Level 2]]=Transactions[[#This Row],[L1N]],Transactions[[#This Row],[Transaction name]],IF(Transactions[[#This Row],[Level 2]]=Transactions[[#This Row],[L2N]],Transactions[[#This Row],[L1N]],IF(Transactions[[#This Row],[Level 2]]=Transactions[[#This Row],[L3N]],Transactions[[#This Row],[L2N]],IF(Transactions[[#This Row],[Level 2]]=Transactions[[#This Row],[L4N]],Transactions[[#This Row],[L3N]],IF(Transactions[[#This Row],[Level 2]]=Transactions[[#This Row],[L5N]],Transactions[[#This Row],[L4N]],IF(Transactions[[#This Row],[Level 2]]=Transactions[[#This Row],[L6N]],Transactions[[#This Row],[L5N]],IF(Transactions[[#This Row],[Level 2]]=Transactions[[#This Row],[L7N]],Transactions[[#This Row],[L6N]],Transactions[[#This Row],[L7N]]))))))))</f>
        <v>IC Solar CSP - Main activity producers</v>
      </c>
      <c r="AV129" s="24" t="str">
        <f>IF(Transactions[[#This Row],[Level 3]]=Transactions[[#This Row],[Transaction name]],Transactions[[#This Row],[Transaction name]],IF(Transactions[[#This Row],[Level 3]]=Transactions[[#This Row],[L1N]],Transactions[[#This Row],[Transaction name]],IF(Transactions[[#This Row],[Level 3]]=Transactions[[#This Row],[L2N]],Transactions[[#This Row],[L1N]],IF(Transactions[[#This Row],[Level 3]]=Transactions[[#This Row],[L3N]],Transactions[[#This Row],[L2N]],IF(Transactions[[#This Row],[Level 3]]=Transactions[[#This Row],[L4N]],Transactions[[#This Row],[L3N]],IF(Transactions[[#This Row],[Level 3]]=Transactions[[#This Row],[L5N]],Transactions[[#This Row],[L4N]],IF(Transactions[[#This Row],[Level 3]]=Transactions[[#This Row],[L6N]],Transactions[[#This Row],[L5N]],IF(Transactions[[#This Row],[Level 3]]=Transactions[[#This Row],[L7N]],Transactions[[#This Row],[L6N]],Transactions[[#This Row],[L7N]]))))))))</f>
        <v>IC Solar CSP - Main activity producers</v>
      </c>
      <c r="AW129" s="24" t="str">
        <f>IF(Transactions[[#This Row],[Level 4]]=Transactions[[#This Row],[Transaction name]],Transactions[[#This Row],[Transaction name]],IF(Transactions[[#This Row],[Level 4]]=Transactions[[#This Row],[L1N]],Transactions[[#This Row],[Transaction name]],IF(Transactions[[#This Row],[Level 4]]=Transactions[[#This Row],[L2N]],Transactions[[#This Row],[L1N]],IF(Transactions[[#This Row],[Level 4]]=Transactions[[#This Row],[L3N]],Transactions[[#This Row],[L2N]],IF(Transactions[[#This Row],[Level 4]]=Transactions[[#This Row],[L4N]],Transactions[[#This Row],[L3N]],IF(Transactions[[#This Row],[Level 4]]=Transactions[[#This Row],[L5N]],Transactions[[#This Row],[L4N]],IF(Transactions[[#This Row],[Level 4]]=Transactions[[#This Row],[L6N]],Transactions[[#This Row],[L5N]],IF(Transactions[[#This Row],[Level 4]]=Transactions[[#This Row],[L7N]],Transactions[[#This Row],[L6N]],Transactions[[#This Row],[L7N]]))))))))</f>
        <v>IC Solar CSP - Main activity producers</v>
      </c>
      <c r="AX129" s="24" t="str">
        <f>IF(Transactions[[#This Row],[Level 5]]=Transactions[[#This Row],[Transaction name]],Transactions[[#This Row],[Transaction name]],IF(Transactions[[#This Row],[Level 5]]=Transactions[[#This Row],[L1N]],Transactions[[#This Row],[Transaction name]],IF(Transactions[[#This Row],[Level 5]]=Transactions[[#This Row],[L2N]],Transactions[[#This Row],[L1N]],IF(Transactions[[#This Row],[Level 5]]=Transactions[[#This Row],[L3N]],Transactions[[#This Row],[L2N]],IF(Transactions[[#This Row],[Level 5]]=Transactions[[#This Row],[L4N]],Transactions[[#This Row],[L3N]],IF(Transactions[[#This Row],[Level 5]]=Transactions[[#This Row],[L5N]],Transactions[[#This Row],[L4N]],IF(Transactions[[#This Row],[Level 5]]=Transactions[[#This Row],[L6N]],Transactions[[#This Row],[L5N]],IF(Transactions[[#This Row],[Level 5]]=Transactions[[#This Row],[L7N]],Transactions[[#This Row],[L6N]],Transactions[[#This Row],[L7N]]))))))))</f>
        <v>IC Solar CSP - Main activity producers</v>
      </c>
      <c r="AY129" s="24" t="str">
        <f>IF(Transactions[[#This Row],[Level 6]]=Transactions[[#This Row],[Transaction name]],Transactions[[#This Row],[Transaction name]],IF(Transactions[[#This Row],[Level 6]]=Transactions[[#This Row],[L1N]],Transactions[[#This Row],[Transaction name]],IF(Transactions[[#This Row],[Level 6]]=Transactions[[#This Row],[L2N]],Transactions[[#This Row],[L1N]],IF(Transactions[[#This Row],[Level 6]]=Transactions[[#This Row],[L3N]],Transactions[[#This Row],[L2N]],IF(Transactions[[#This Row],[Level 6]]=Transactions[[#This Row],[L4N]],Transactions[[#This Row],[L3N]],IF(Transactions[[#This Row],[Level 6]]=Transactions[[#This Row],[L5N]],Transactions[[#This Row],[L4N]],IF(Transactions[[#This Row],[Level 6]]=Transactions[[#This Row],[L6N]],Transactions[[#This Row],[L5N]],IF(Transactions[[#This Row],[Level 6]]=Transactions[[#This Row],[L7N]],Transactions[[#This Row],[L6N]],Transactions[[#This Row],[L7N]]))))))))</f>
        <v>IC Solar CSP - Main activity producers</v>
      </c>
      <c r="BE129" s="26" t="str">
        <f>_xlfn.XLOOKUP(Transformation[[#This Row],[cfrom]],Commodities[Commodity],Commodities[Commodity code])</f>
        <v>4669</v>
      </c>
      <c r="BF129" s="26" t="str">
        <f>_xlfn.XLOOKUP(Transformation[[#This Row],[tfrom]],Transactions[Transaction name],Transactions[Transaction code])</f>
        <v>08812</v>
      </c>
      <c r="BG129" s="26" t="str">
        <f>_xlfn.XLOOKUP(Transformation[[#This Row],[cto]],Commodities[Commodity],Commodities[Commodity code])</f>
        <v>4669</v>
      </c>
      <c r="BH129" s="26" t="str">
        <f>_xlfn.XLOOKUP(Transformation[[#This Row],[tto]],Transactions[Transaction name],Transactions[Transaction code])</f>
        <v>016OPE</v>
      </c>
      <c r="BI129" s="11">
        <v>1</v>
      </c>
      <c r="BJ129" s="4" t="s">
        <v>377</v>
      </c>
      <c r="BK129" s="24" t="str">
        <f>_xlfn.XLOOKUP(Transformation[[#This Row],[Commodity from]],Commodities[Commodity code],Commodities[EnergyCode])</f>
        <v>KR</v>
      </c>
      <c r="BL129" s="4" t="s">
        <v>690</v>
      </c>
      <c r="BM129" s="4" t="s">
        <v>377</v>
      </c>
      <c r="BN129" s="24" t="str">
        <f>_xlfn.XLOOKUP(Transformation[[#This Row],[Commodity to]],Commodities[Commodity code],Commodities[EnergyCode])</f>
        <v>KR</v>
      </c>
      <c r="BO129" s="4" t="s">
        <v>1055</v>
      </c>
      <c r="BP129" s="16" t="s">
        <v>1493</v>
      </c>
      <c r="BQ129" s="33" t="str">
        <f>Transformation[[#This Row],[Commodity from]]&amp;Transformation[[#This Row],[Transaction from]]&amp;Transformation[[#This Row],[Commodity to]]&amp;Transformation[[#This Row],[Transaction to]]</f>
        <v>4669088124669016OPE</v>
      </c>
      <c r="BR129" s="26" t="str">
        <f>Transformation[[#This Row],[crfomid]]&amp;Transformation[[#This Row],[Transaction from]]&amp;"("&amp;Transformation[[#This Row],[Multiplier]]&amp;") -&gt; "&amp;Transformation[[#This Row],[ctoid]]&amp;Transformation[[#This Row],[Transaction to]]</f>
        <v>KR08812(1) -&gt; KR016OPE</v>
      </c>
    </row>
    <row r="130" spans="25:70" x14ac:dyDescent="0.45">
      <c r="Y130" s="5" t="s">
        <v>42</v>
      </c>
      <c r="Z130" s="4" t="s">
        <v>1003</v>
      </c>
      <c r="AA130" s="4" t="s">
        <v>1003</v>
      </c>
      <c r="AB130" s="6" t="s">
        <v>36</v>
      </c>
      <c r="AC130" s="24" t="str">
        <f>IFERROR(VLOOKUP(Transactions[[#This Row],[Parent code]],Transactions[[Transaction code]:[Transaction name]],2,0),"")</f>
        <v>IC Solar - Main activity producers</v>
      </c>
      <c r="AD130" s="4" t="s">
        <v>632</v>
      </c>
      <c r="AE130" s="4" t="s">
        <v>632</v>
      </c>
      <c r="AF130" s="4" t="s">
        <v>642</v>
      </c>
      <c r="AG130" s="4" t="s">
        <v>1</v>
      </c>
      <c r="AH130" s="4" t="s">
        <v>696</v>
      </c>
      <c r="AK130" s="24" t="str" cm="1">
        <f t="array" ref="AK130">IFERROR(INDEX(Transactions[[Transaction code]:[Transaction name]],_xlfn.XMATCH(Transactions[[#This Row],[Parent code]],Transactions[Transaction name],0),3),Transactions[[#This Row],[Transaction name]])</f>
        <v>IC Solar PV - Main activity producers</v>
      </c>
      <c r="AL130" s="24" t="str" cm="1">
        <f t="array" ref="AL130">IFERROR(INDEX(Transactions[[Transaction code]:[Transaction name]],_xlfn.XMATCH(INDEX(Transactions[[Transaction name]:[Parent code]],_xlfn.XMATCH(Transactions[[#This Row],[L1N]],Transactions[Transaction name],0),3),Transactions[Transaction code],0),2),Transactions[[#This Row],[L1N]])</f>
        <v>IC Solar - Main activity producers</v>
      </c>
      <c r="AM130" s="24" t="str" cm="1">
        <f t="array" ref="AM130">IFERROR(INDEX(Transactions[[Transaction code]:[Transaction name]],_xlfn.XMATCH(INDEX(Transactions[[Transaction name]:[Parent code]],_xlfn.XMATCH(Transactions[[#This Row],[L2N]],Transactions[Transaction name],0),3),Transactions[Transaction code],0),2),Transactions[[#This Row],[L2N]])</f>
        <v>IC Solar</v>
      </c>
      <c r="AN130" s="24" t="str" cm="1">
        <f t="array" ref="AN130">IFERROR(INDEX(Transactions[[Transaction code]:[Transaction name]],_xlfn.XMATCH(INDEX(Transactions[[Transaction name]:[Parent code]],_xlfn.XMATCH(Transactions[[#This Row],[L3N]],Transactions[Transaction name],0),3),Transactions[Transaction code],0),2),Transactions[[#This Row],[L3N]])</f>
        <v>IC Electricity plants</v>
      </c>
      <c r="AO130" s="24" t="str" cm="1">
        <f t="array" ref="AO130">IFERROR(INDEX(Transactions[[Transaction code]:[Transaction name]],_xlfn.XMATCH(INDEX(Transactions[[Transaction name]:[Parent code]],_xlfn.XMATCH(Transactions[[#This Row],[L4N]],Transactions[Transaction name],0),3),Transactions[Transaction code],0),2),Transactions[[#This Row],[L4N]])</f>
        <v>IC Electricity plants</v>
      </c>
      <c r="AP130" s="24" t="str" cm="1">
        <f t="array" ref="AP130">IFERROR(INDEX(Transactions[[Transaction code]:[Transaction name]],_xlfn.XMATCH(INDEX(Transactions[[Transaction name]:[Parent code]],_xlfn.XMATCH(Transactions[[#This Row],[L5N]],Transactions[Transaction name],0),3),Transactions[Transaction code],0),2),Transactions[[#This Row],[L5N]])</f>
        <v>IC Electricity plants</v>
      </c>
      <c r="AQ130" s="24" t="str" cm="1">
        <f t="array" ref="AQ130">IFERROR(INDEX(Transactions[[Transaction code]:[Transaction name]],_xlfn.XMATCH(INDEX(Transactions[[Transaction name]:[Parent code]],_xlfn.XMATCH(Transactions[[#This Row],[L6N]],Transactions[Transaction name],0),3),Transactions[Transaction code],0),2),Transactions[[#This Row],[L6N]])</f>
        <v>IC Electricity plants</v>
      </c>
      <c r="AR130" s="27" t="str">
        <f>IF(Transactions[[#This Row],[L7N]]=Transactions[[#This Row],[L6N]],Transactions[[#This Row],[L7N]],IF(Transactions[[#This Row],[L6N]]=Transactions[[#This Row],[L5N]],Transactions[[#This Row],[L6N]],IF(Transactions[[#This Row],[L5N]]=Transactions[[#This Row],[L4N]],Transactions[[#This Row],[L5N]],IF(Transactions[[#This Row],[L4N]]=Transactions[[#This Row],[L3N]],Transactions[[#This Row],[L4N]],IF(Transactions[[#This Row],[L3N]]=Transactions[[#This Row],[L2N]],Transactions[[#This Row],[L3N]],IF(Transactions[[#This Row],[L2N]]=Transactions[[#This Row],[L1N]],Transactions[[#This Row],[L2N]],IF(Transactions[[#This Row],[L1N]]=Transactions[[#This Row],[Transaction name]],Transactions[[#This Row],[L1N]],Transactions[[#This Row],[Transaction name]])))))))</f>
        <v>IC Electricity plants</v>
      </c>
      <c r="AS130" s="24" t="str">
        <f>IF(Transactions[[#This Row],[Level 0]]=Transactions[[#This Row],[Transaction name]],Transactions[[#This Row],[Transaction name]],IF(Transactions[[#This Row],[Level 0]]=Transactions[[#This Row],[L1N]],Transactions[[#This Row],[Transaction name]],IF(Transactions[[#This Row],[Level 0]]=Transactions[[#This Row],[L2N]],Transactions[[#This Row],[L1N]],IF(Transactions[[#This Row],[Level 0]]=Transactions[[#This Row],[L3N]],Transactions[[#This Row],[L2N]],IF(Transactions[[#This Row],[Level 0]]=Transactions[[#This Row],[L4N]],Transactions[[#This Row],[L3N]],IF(Transactions[[#This Row],[Level 0]]=Transactions[[#This Row],[L5N]],Transactions[[#This Row],[L4N]],IF(Transactions[[#This Row],[Level 0]]=Transactions[[#This Row],[L6N]],Transactions[[#This Row],[L5N]],IF(Transactions[[#This Row],[Level 0]]=Transactions[[#This Row],[L7N]],Transactions[[#This Row],[L6N]],Transactions[[#This Row],[L7N]]))))))))</f>
        <v>IC Solar</v>
      </c>
      <c r="AT130" s="24" t="str">
        <f>IF(Transactions[[#This Row],[Level 1]]=Transactions[[#This Row],[Transaction name]],Transactions[[#This Row],[Transaction name]],IF(Transactions[[#This Row],[Level 1]]=Transactions[[#This Row],[L1N]],Transactions[[#This Row],[Transaction name]],IF(Transactions[[#This Row],[Level 1]]=Transactions[[#This Row],[L2N]],Transactions[[#This Row],[L1N]],IF(Transactions[[#This Row],[Level 1]]=Transactions[[#This Row],[L3N]],Transactions[[#This Row],[L2N]],IF(Transactions[[#This Row],[Level 1]]=Transactions[[#This Row],[L4N]],Transactions[[#This Row],[L3N]],IF(Transactions[[#This Row],[Level 1]]=Transactions[[#This Row],[L5N]],Transactions[[#This Row],[L4N]],IF(Transactions[[#This Row],[Level 1]]=Transactions[[#This Row],[L6N]],Transactions[[#This Row],[L5N]],IF(Transactions[[#This Row],[Level 1]]=Transactions[[#This Row],[L7N]],Transactions[[#This Row],[L6N]],Transactions[[#This Row],[L7N]]))))))))</f>
        <v>IC Solar - Main activity producers</v>
      </c>
      <c r="AU130" s="24" t="str">
        <f>IF(Transactions[[#This Row],[Level 2]]=Transactions[[#This Row],[Transaction name]],Transactions[[#This Row],[Transaction name]],IF(Transactions[[#This Row],[Level 2]]=Transactions[[#This Row],[L1N]],Transactions[[#This Row],[Transaction name]],IF(Transactions[[#This Row],[Level 2]]=Transactions[[#This Row],[L2N]],Transactions[[#This Row],[L1N]],IF(Transactions[[#This Row],[Level 2]]=Transactions[[#This Row],[L3N]],Transactions[[#This Row],[L2N]],IF(Transactions[[#This Row],[Level 2]]=Transactions[[#This Row],[L4N]],Transactions[[#This Row],[L3N]],IF(Transactions[[#This Row],[Level 2]]=Transactions[[#This Row],[L5N]],Transactions[[#This Row],[L4N]],IF(Transactions[[#This Row],[Level 2]]=Transactions[[#This Row],[L6N]],Transactions[[#This Row],[L5N]],IF(Transactions[[#This Row],[Level 2]]=Transactions[[#This Row],[L7N]],Transactions[[#This Row],[L6N]],Transactions[[#This Row],[L7N]]))))))))</f>
        <v>IC Solar PV - Main activity producers</v>
      </c>
      <c r="AV130" s="24" t="str">
        <f>IF(Transactions[[#This Row],[Level 3]]=Transactions[[#This Row],[Transaction name]],Transactions[[#This Row],[Transaction name]],IF(Transactions[[#This Row],[Level 3]]=Transactions[[#This Row],[L1N]],Transactions[[#This Row],[Transaction name]],IF(Transactions[[#This Row],[Level 3]]=Transactions[[#This Row],[L2N]],Transactions[[#This Row],[L1N]],IF(Transactions[[#This Row],[Level 3]]=Transactions[[#This Row],[L3N]],Transactions[[#This Row],[L2N]],IF(Transactions[[#This Row],[Level 3]]=Transactions[[#This Row],[L4N]],Transactions[[#This Row],[L3N]],IF(Transactions[[#This Row],[Level 3]]=Transactions[[#This Row],[L5N]],Transactions[[#This Row],[L4N]],IF(Transactions[[#This Row],[Level 3]]=Transactions[[#This Row],[L6N]],Transactions[[#This Row],[L5N]],IF(Transactions[[#This Row],[Level 3]]=Transactions[[#This Row],[L7N]],Transactions[[#This Row],[L6N]],Transactions[[#This Row],[L7N]]))))))))</f>
        <v>IC Solar PV - Main activity producers</v>
      </c>
      <c r="AW130" s="24" t="str">
        <f>IF(Transactions[[#This Row],[Level 4]]=Transactions[[#This Row],[Transaction name]],Transactions[[#This Row],[Transaction name]],IF(Transactions[[#This Row],[Level 4]]=Transactions[[#This Row],[L1N]],Transactions[[#This Row],[Transaction name]],IF(Transactions[[#This Row],[Level 4]]=Transactions[[#This Row],[L2N]],Transactions[[#This Row],[L1N]],IF(Transactions[[#This Row],[Level 4]]=Transactions[[#This Row],[L3N]],Transactions[[#This Row],[L2N]],IF(Transactions[[#This Row],[Level 4]]=Transactions[[#This Row],[L4N]],Transactions[[#This Row],[L3N]],IF(Transactions[[#This Row],[Level 4]]=Transactions[[#This Row],[L5N]],Transactions[[#This Row],[L4N]],IF(Transactions[[#This Row],[Level 4]]=Transactions[[#This Row],[L6N]],Transactions[[#This Row],[L5N]],IF(Transactions[[#This Row],[Level 4]]=Transactions[[#This Row],[L7N]],Transactions[[#This Row],[L6N]],Transactions[[#This Row],[L7N]]))))))))</f>
        <v>IC Solar PV - Main activity producers</v>
      </c>
      <c r="AX130" s="24" t="str">
        <f>IF(Transactions[[#This Row],[Level 5]]=Transactions[[#This Row],[Transaction name]],Transactions[[#This Row],[Transaction name]],IF(Transactions[[#This Row],[Level 5]]=Transactions[[#This Row],[L1N]],Transactions[[#This Row],[Transaction name]],IF(Transactions[[#This Row],[Level 5]]=Transactions[[#This Row],[L2N]],Transactions[[#This Row],[L1N]],IF(Transactions[[#This Row],[Level 5]]=Transactions[[#This Row],[L3N]],Transactions[[#This Row],[L2N]],IF(Transactions[[#This Row],[Level 5]]=Transactions[[#This Row],[L4N]],Transactions[[#This Row],[L3N]],IF(Transactions[[#This Row],[Level 5]]=Transactions[[#This Row],[L5N]],Transactions[[#This Row],[L4N]],IF(Transactions[[#This Row],[Level 5]]=Transactions[[#This Row],[L6N]],Transactions[[#This Row],[L5N]],IF(Transactions[[#This Row],[Level 5]]=Transactions[[#This Row],[L7N]],Transactions[[#This Row],[L6N]],Transactions[[#This Row],[L7N]]))))))))</f>
        <v>IC Solar PV - Main activity producers</v>
      </c>
      <c r="AY130" s="24" t="str">
        <f>IF(Transactions[[#This Row],[Level 6]]=Transactions[[#This Row],[Transaction name]],Transactions[[#This Row],[Transaction name]],IF(Transactions[[#This Row],[Level 6]]=Transactions[[#This Row],[L1N]],Transactions[[#This Row],[Transaction name]],IF(Transactions[[#This Row],[Level 6]]=Transactions[[#This Row],[L2N]],Transactions[[#This Row],[L1N]],IF(Transactions[[#This Row],[Level 6]]=Transactions[[#This Row],[L3N]],Transactions[[#This Row],[L2N]],IF(Transactions[[#This Row],[Level 6]]=Transactions[[#This Row],[L4N]],Transactions[[#This Row],[L3N]],IF(Transactions[[#This Row],[Level 6]]=Transactions[[#This Row],[L5N]],Transactions[[#This Row],[L4N]],IF(Transactions[[#This Row],[Level 6]]=Transactions[[#This Row],[L6N]],Transactions[[#This Row],[L5N]],IF(Transactions[[#This Row],[Level 6]]=Transactions[[#This Row],[L7N]],Transactions[[#This Row],[L6N]],Transactions[[#This Row],[L7N]]))))))))</f>
        <v>IC Solar PV - Main activity producers</v>
      </c>
      <c r="BE130" s="26" t="str">
        <f>_xlfn.XLOOKUP(Transformation[[#This Row],[cfrom]],Commodities[Commodity],Commodities[Commodity code])</f>
        <v>0200</v>
      </c>
      <c r="BF130" s="26" t="str">
        <f>_xlfn.XLOOKUP(Transformation[[#This Row],[tfrom]],Transactions[Transaction name],Transactions[Transaction code])</f>
        <v>08812</v>
      </c>
      <c r="BG130" s="26" t="str">
        <f>_xlfn.XLOOKUP(Transformation[[#This Row],[cto]],Commodities[Commodity],Commodities[Commodity code])</f>
        <v>0200</v>
      </c>
      <c r="BH130" s="26" t="str">
        <f>_xlfn.XLOOKUP(Transformation[[#This Row],[tto]],Transactions[Transaction name],Transactions[Transaction code])</f>
        <v>016CBE</v>
      </c>
      <c r="BI130" s="11">
        <v>1</v>
      </c>
      <c r="BJ130" s="4" t="s">
        <v>516</v>
      </c>
      <c r="BK130" s="24" t="str">
        <f>_xlfn.XLOOKUP(Transformation[[#This Row],[Commodity from]],Commodities[Commodity code],Commodities[EnergyCode])</f>
        <v>LB</v>
      </c>
      <c r="BL130" s="4" t="s">
        <v>690</v>
      </c>
      <c r="BM130" s="4" t="s">
        <v>516</v>
      </c>
      <c r="BN130" s="24" t="str">
        <f>_xlfn.XLOOKUP(Transformation[[#This Row],[Commodity to]],Commodities[Commodity code],Commodities[EnergyCode])</f>
        <v>LB</v>
      </c>
      <c r="BO130" s="4" t="s">
        <v>1182</v>
      </c>
      <c r="BP130" s="16" t="s">
        <v>1493</v>
      </c>
      <c r="BQ130" s="33" t="str">
        <f>Transformation[[#This Row],[Commodity from]]&amp;Transformation[[#This Row],[Transaction from]]&amp;Transformation[[#This Row],[Commodity to]]&amp;Transformation[[#This Row],[Transaction to]]</f>
        <v>0200088120200016CBE</v>
      </c>
      <c r="BR130" s="26" t="str">
        <f>Transformation[[#This Row],[crfomid]]&amp;Transformation[[#This Row],[Transaction from]]&amp;"("&amp;Transformation[[#This Row],[Multiplier]]&amp;") -&gt; "&amp;Transformation[[#This Row],[ctoid]]&amp;Transformation[[#This Row],[Transaction to]]</f>
        <v>LB08812(1) -&gt; LB016CBE</v>
      </c>
    </row>
    <row r="131" spans="25:70" x14ac:dyDescent="0.45">
      <c r="Y131" s="5" t="s">
        <v>65</v>
      </c>
      <c r="Z131" s="4" t="s">
        <v>989</v>
      </c>
      <c r="AA131" s="4" t="s">
        <v>989</v>
      </c>
      <c r="AB131" s="6" t="s">
        <v>10</v>
      </c>
      <c r="AC131" s="24" t="str">
        <f>IFERROR(VLOOKUP(Transactions[[#This Row],[Parent code]],Transactions[[Transaction code]:[Transaction name]],2,0),"")</f>
        <v>IC Electricity plants</v>
      </c>
      <c r="AD131" s="4" t="s">
        <v>632</v>
      </c>
      <c r="AE131" s="4" t="s">
        <v>632</v>
      </c>
      <c r="AF131" s="4" t="s">
        <v>642</v>
      </c>
      <c r="AG131" s="4" t="s">
        <v>1</v>
      </c>
      <c r="AH131" s="4" t="s">
        <v>696</v>
      </c>
      <c r="AK131" s="24" t="str" cm="1">
        <f t="array" ref="AK131">IFERROR(INDEX(Transactions[[Transaction code]:[Transaction name]],_xlfn.XMATCH(Transactions[[#This Row],[Parent code]],Transactions[Transaction name],0),3),Transactions[[#This Row],[Transaction name]])</f>
        <v>IC Wind</v>
      </c>
      <c r="AL131" s="24" t="str" cm="1">
        <f t="array" ref="AL131">IFERROR(INDEX(Transactions[[Transaction code]:[Transaction name]],_xlfn.XMATCH(INDEX(Transactions[[Transaction name]:[Parent code]],_xlfn.XMATCH(Transactions[[#This Row],[L1N]],Transactions[Transaction name],0),3),Transactions[Transaction code],0),2),Transactions[[#This Row],[L1N]])</f>
        <v>IC Electricity plants</v>
      </c>
      <c r="AM131" s="24" t="str" cm="1">
        <f t="array" ref="AM131">IFERROR(INDEX(Transactions[[Transaction code]:[Transaction name]],_xlfn.XMATCH(INDEX(Transactions[[Transaction name]:[Parent code]],_xlfn.XMATCH(Transactions[[#This Row],[L2N]],Transactions[Transaction name],0),3),Transactions[Transaction code],0),2),Transactions[[#This Row],[L2N]])</f>
        <v>IC Electricity plants</v>
      </c>
      <c r="AN131" s="24" t="str" cm="1">
        <f t="array" ref="AN131">IFERROR(INDEX(Transactions[[Transaction code]:[Transaction name]],_xlfn.XMATCH(INDEX(Transactions[[Transaction name]:[Parent code]],_xlfn.XMATCH(Transactions[[#This Row],[L3N]],Transactions[Transaction name],0),3),Transactions[Transaction code],0),2),Transactions[[#This Row],[L3N]])</f>
        <v>IC Electricity plants</v>
      </c>
      <c r="AO131" s="24" t="str" cm="1">
        <f t="array" ref="AO131">IFERROR(INDEX(Transactions[[Transaction code]:[Transaction name]],_xlfn.XMATCH(INDEX(Transactions[[Transaction name]:[Parent code]],_xlfn.XMATCH(Transactions[[#This Row],[L4N]],Transactions[Transaction name],0),3),Transactions[Transaction code],0),2),Transactions[[#This Row],[L4N]])</f>
        <v>IC Electricity plants</v>
      </c>
      <c r="AP131" s="24" t="str" cm="1">
        <f t="array" ref="AP131">IFERROR(INDEX(Transactions[[Transaction code]:[Transaction name]],_xlfn.XMATCH(INDEX(Transactions[[Transaction name]:[Parent code]],_xlfn.XMATCH(Transactions[[#This Row],[L5N]],Transactions[Transaction name],0),3),Transactions[Transaction code],0),2),Transactions[[#This Row],[L5N]])</f>
        <v>IC Electricity plants</v>
      </c>
      <c r="AQ131" s="24" t="str" cm="1">
        <f t="array" ref="AQ131">IFERROR(INDEX(Transactions[[Transaction code]:[Transaction name]],_xlfn.XMATCH(INDEX(Transactions[[Transaction name]:[Parent code]],_xlfn.XMATCH(Transactions[[#This Row],[L6N]],Transactions[Transaction name],0),3),Transactions[Transaction code],0),2),Transactions[[#This Row],[L6N]])</f>
        <v>IC Electricity plants</v>
      </c>
      <c r="AR131" s="27" t="str">
        <f>IF(Transactions[[#This Row],[L7N]]=Transactions[[#This Row],[L6N]],Transactions[[#This Row],[L7N]],IF(Transactions[[#This Row],[L6N]]=Transactions[[#This Row],[L5N]],Transactions[[#This Row],[L6N]],IF(Transactions[[#This Row],[L5N]]=Transactions[[#This Row],[L4N]],Transactions[[#This Row],[L5N]],IF(Transactions[[#This Row],[L4N]]=Transactions[[#This Row],[L3N]],Transactions[[#This Row],[L4N]],IF(Transactions[[#This Row],[L3N]]=Transactions[[#This Row],[L2N]],Transactions[[#This Row],[L3N]],IF(Transactions[[#This Row],[L2N]]=Transactions[[#This Row],[L1N]],Transactions[[#This Row],[L2N]],IF(Transactions[[#This Row],[L1N]]=Transactions[[#This Row],[Transaction name]],Transactions[[#This Row],[L1N]],Transactions[[#This Row],[Transaction name]])))))))</f>
        <v>IC Electricity plants</v>
      </c>
      <c r="AS131" s="24" t="str">
        <f>IF(Transactions[[#This Row],[Level 0]]=Transactions[[#This Row],[Transaction name]],Transactions[[#This Row],[Transaction name]],IF(Transactions[[#This Row],[Level 0]]=Transactions[[#This Row],[L1N]],Transactions[[#This Row],[Transaction name]],IF(Transactions[[#This Row],[Level 0]]=Transactions[[#This Row],[L2N]],Transactions[[#This Row],[L1N]],IF(Transactions[[#This Row],[Level 0]]=Transactions[[#This Row],[L3N]],Transactions[[#This Row],[L2N]],IF(Transactions[[#This Row],[Level 0]]=Transactions[[#This Row],[L4N]],Transactions[[#This Row],[L3N]],IF(Transactions[[#This Row],[Level 0]]=Transactions[[#This Row],[L5N]],Transactions[[#This Row],[L4N]],IF(Transactions[[#This Row],[Level 0]]=Transactions[[#This Row],[L6N]],Transactions[[#This Row],[L5N]],IF(Transactions[[#This Row],[Level 0]]=Transactions[[#This Row],[L7N]],Transactions[[#This Row],[L6N]],Transactions[[#This Row],[L7N]]))))))))</f>
        <v>IC Wind</v>
      </c>
      <c r="AT131" s="24" t="str">
        <f>IF(Transactions[[#This Row],[Level 1]]=Transactions[[#This Row],[Transaction name]],Transactions[[#This Row],[Transaction name]],IF(Transactions[[#This Row],[Level 1]]=Transactions[[#This Row],[L1N]],Transactions[[#This Row],[Transaction name]],IF(Transactions[[#This Row],[Level 1]]=Transactions[[#This Row],[L2N]],Transactions[[#This Row],[L1N]],IF(Transactions[[#This Row],[Level 1]]=Transactions[[#This Row],[L3N]],Transactions[[#This Row],[L2N]],IF(Transactions[[#This Row],[Level 1]]=Transactions[[#This Row],[L4N]],Transactions[[#This Row],[L3N]],IF(Transactions[[#This Row],[Level 1]]=Transactions[[#This Row],[L5N]],Transactions[[#This Row],[L4N]],IF(Transactions[[#This Row],[Level 1]]=Transactions[[#This Row],[L6N]],Transactions[[#This Row],[L5N]],IF(Transactions[[#This Row],[Level 1]]=Transactions[[#This Row],[L7N]],Transactions[[#This Row],[L6N]],Transactions[[#This Row],[L7N]]))))))))</f>
        <v>IC Wind</v>
      </c>
      <c r="AU131" s="24" t="str">
        <f>IF(Transactions[[#This Row],[Level 2]]=Transactions[[#This Row],[Transaction name]],Transactions[[#This Row],[Transaction name]],IF(Transactions[[#This Row],[Level 2]]=Transactions[[#This Row],[L1N]],Transactions[[#This Row],[Transaction name]],IF(Transactions[[#This Row],[Level 2]]=Transactions[[#This Row],[L2N]],Transactions[[#This Row],[L1N]],IF(Transactions[[#This Row],[Level 2]]=Transactions[[#This Row],[L3N]],Transactions[[#This Row],[L2N]],IF(Transactions[[#This Row],[Level 2]]=Transactions[[#This Row],[L4N]],Transactions[[#This Row],[L3N]],IF(Transactions[[#This Row],[Level 2]]=Transactions[[#This Row],[L5N]],Transactions[[#This Row],[L4N]],IF(Transactions[[#This Row],[Level 2]]=Transactions[[#This Row],[L6N]],Transactions[[#This Row],[L5N]],IF(Transactions[[#This Row],[Level 2]]=Transactions[[#This Row],[L7N]],Transactions[[#This Row],[L6N]],Transactions[[#This Row],[L7N]]))))))))</f>
        <v>IC Wind</v>
      </c>
      <c r="AV131" s="24" t="str">
        <f>IF(Transactions[[#This Row],[Level 3]]=Transactions[[#This Row],[Transaction name]],Transactions[[#This Row],[Transaction name]],IF(Transactions[[#This Row],[Level 3]]=Transactions[[#This Row],[L1N]],Transactions[[#This Row],[Transaction name]],IF(Transactions[[#This Row],[Level 3]]=Transactions[[#This Row],[L2N]],Transactions[[#This Row],[L1N]],IF(Transactions[[#This Row],[Level 3]]=Transactions[[#This Row],[L3N]],Transactions[[#This Row],[L2N]],IF(Transactions[[#This Row],[Level 3]]=Transactions[[#This Row],[L4N]],Transactions[[#This Row],[L3N]],IF(Transactions[[#This Row],[Level 3]]=Transactions[[#This Row],[L5N]],Transactions[[#This Row],[L4N]],IF(Transactions[[#This Row],[Level 3]]=Transactions[[#This Row],[L6N]],Transactions[[#This Row],[L5N]],IF(Transactions[[#This Row],[Level 3]]=Transactions[[#This Row],[L7N]],Transactions[[#This Row],[L6N]],Transactions[[#This Row],[L7N]]))))))))</f>
        <v>IC Wind</v>
      </c>
      <c r="AW131" s="24" t="str">
        <f>IF(Transactions[[#This Row],[Level 4]]=Transactions[[#This Row],[Transaction name]],Transactions[[#This Row],[Transaction name]],IF(Transactions[[#This Row],[Level 4]]=Transactions[[#This Row],[L1N]],Transactions[[#This Row],[Transaction name]],IF(Transactions[[#This Row],[Level 4]]=Transactions[[#This Row],[L2N]],Transactions[[#This Row],[L1N]],IF(Transactions[[#This Row],[Level 4]]=Transactions[[#This Row],[L3N]],Transactions[[#This Row],[L2N]],IF(Transactions[[#This Row],[Level 4]]=Transactions[[#This Row],[L4N]],Transactions[[#This Row],[L3N]],IF(Transactions[[#This Row],[Level 4]]=Transactions[[#This Row],[L5N]],Transactions[[#This Row],[L4N]],IF(Transactions[[#This Row],[Level 4]]=Transactions[[#This Row],[L6N]],Transactions[[#This Row],[L5N]],IF(Transactions[[#This Row],[Level 4]]=Transactions[[#This Row],[L7N]],Transactions[[#This Row],[L6N]],Transactions[[#This Row],[L7N]]))))))))</f>
        <v>IC Wind</v>
      </c>
      <c r="AX131" s="24" t="str">
        <f>IF(Transactions[[#This Row],[Level 5]]=Transactions[[#This Row],[Transaction name]],Transactions[[#This Row],[Transaction name]],IF(Transactions[[#This Row],[Level 5]]=Transactions[[#This Row],[L1N]],Transactions[[#This Row],[Transaction name]],IF(Transactions[[#This Row],[Level 5]]=Transactions[[#This Row],[L2N]],Transactions[[#This Row],[L1N]],IF(Transactions[[#This Row],[Level 5]]=Transactions[[#This Row],[L3N]],Transactions[[#This Row],[L2N]],IF(Transactions[[#This Row],[Level 5]]=Transactions[[#This Row],[L4N]],Transactions[[#This Row],[L3N]],IF(Transactions[[#This Row],[Level 5]]=Transactions[[#This Row],[L5N]],Transactions[[#This Row],[L4N]],IF(Transactions[[#This Row],[Level 5]]=Transactions[[#This Row],[L6N]],Transactions[[#This Row],[L5N]],IF(Transactions[[#This Row],[Level 5]]=Transactions[[#This Row],[L7N]],Transactions[[#This Row],[L6N]],Transactions[[#This Row],[L7N]]))))))))</f>
        <v>IC Wind</v>
      </c>
      <c r="AY131" s="24" t="str">
        <f>IF(Transactions[[#This Row],[Level 6]]=Transactions[[#This Row],[Transaction name]],Transactions[[#This Row],[Transaction name]],IF(Transactions[[#This Row],[Level 6]]=Transactions[[#This Row],[L1N]],Transactions[[#This Row],[Transaction name]],IF(Transactions[[#This Row],[Level 6]]=Transactions[[#This Row],[L2N]],Transactions[[#This Row],[L1N]],IF(Transactions[[#This Row],[Level 6]]=Transactions[[#This Row],[L3N]],Transactions[[#This Row],[L2N]],IF(Transactions[[#This Row],[Level 6]]=Transactions[[#This Row],[L4N]],Transactions[[#This Row],[L3N]],IF(Transactions[[#This Row],[Level 6]]=Transactions[[#This Row],[L5N]],Transactions[[#This Row],[L4N]],IF(Transactions[[#This Row],[Level 6]]=Transactions[[#This Row],[L6N]],Transactions[[#This Row],[L5N]],IF(Transactions[[#This Row],[Level 6]]=Transactions[[#This Row],[L7N]],Transactions[[#This Row],[L6N]],Transactions[[#This Row],[L7N]]))))))))</f>
        <v>IC Wind</v>
      </c>
      <c r="BE131" s="26" t="str">
        <f>_xlfn.XLOOKUP(Transformation[[#This Row],[cfrom]],Commodities[Commodity],Commodities[Commodity code])</f>
        <v>4630</v>
      </c>
      <c r="BF131" s="26" t="str">
        <f>_xlfn.XLOOKUP(Transformation[[#This Row],[tfrom]],Transactions[Transaction name],Transactions[Transaction code])</f>
        <v>08812</v>
      </c>
      <c r="BG131" s="26" t="str">
        <f>_xlfn.XLOOKUP(Transformation[[#This Row],[cto]],Commodities[Commodity],Commodities[Commodity code])</f>
        <v>4630</v>
      </c>
      <c r="BH131" s="26" t="str">
        <f>_xlfn.XLOOKUP(Transformation[[#This Row],[tto]],Transactions[Transaction name],Transactions[Transaction code])</f>
        <v>016OPE</v>
      </c>
      <c r="BI131" s="11">
        <v>1</v>
      </c>
      <c r="BJ131" s="4" t="s">
        <v>408</v>
      </c>
      <c r="BK131" s="24" t="str">
        <f>_xlfn.XLOOKUP(Transformation[[#This Row],[Commodity from]],Commodities[Commodity code],Commodities[EnergyCode])</f>
        <v>LP</v>
      </c>
      <c r="BL131" s="4" t="s">
        <v>690</v>
      </c>
      <c r="BM131" s="4" t="s">
        <v>408</v>
      </c>
      <c r="BN131" s="24" t="str">
        <f>_xlfn.XLOOKUP(Transformation[[#This Row],[Commodity to]],Commodities[Commodity code],Commodities[EnergyCode])</f>
        <v>LP</v>
      </c>
      <c r="BO131" s="4" t="s">
        <v>1055</v>
      </c>
      <c r="BP131" s="16" t="s">
        <v>1493</v>
      </c>
      <c r="BQ131" s="33" t="str">
        <f>Transformation[[#This Row],[Commodity from]]&amp;Transformation[[#This Row],[Transaction from]]&amp;Transformation[[#This Row],[Commodity to]]&amp;Transformation[[#This Row],[Transaction to]]</f>
        <v>4630088124630016OPE</v>
      </c>
      <c r="BR131" s="26" t="str">
        <f>Transformation[[#This Row],[crfomid]]&amp;Transformation[[#This Row],[Transaction from]]&amp;"("&amp;Transformation[[#This Row],[Multiplier]]&amp;") -&gt; "&amp;Transformation[[#This Row],[ctoid]]&amp;Transformation[[#This Row],[Transaction to]]</f>
        <v>LP08812(1) -&gt; LP016OPE</v>
      </c>
    </row>
    <row r="132" spans="25:70" x14ac:dyDescent="0.45">
      <c r="Y132" s="5" t="s">
        <v>67</v>
      </c>
      <c r="Z132" s="4" t="s">
        <v>991</v>
      </c>
      <c r="AA132" s="4" t="s">
        <v>991</v>
      </c>
      <c r="AB132" s="6" t="s">
        <v>65</v>
      </c>
      <c r="AC132" s="24" t="str">
        <f>IFERROR(VLOOKUP(Transactions[[#This Row],[Parent code]],Transactions[[Transaction code]:[Transaction name]],2,0),"")</f>
        <v>IC Wind</v>
      </c>
      <c r="AD132" s="4" t="s">
        <v>632</v>
      </c>
      <c r="AE132" s="4" t="s">
        <v>632</v>
      </c>
      <c r="AF132" s="4" t="s">
        <v>642</v>
      </c>
      <c r="AG132" s="4" t="s">
        <v>1</v>
      </c>
      <c r="AH132" s="4" t="s">
        <v>696</v>
      </c>
      <c r="AK132" s="24" t="str" cm="1">
        <f t="array" ref="AK132">IFERROR(INDEX(Transactions[[Transaction code]:[Transaction name]],_xlfn.XMATCH(Transactions[[#This Row],[Parent code]],Transactions[Transaction name],0),3),Transactions[[#This Row],[Transaction name]])</f>
        <v>IC Wind - Autoproducers</v>
      </c>
      <c r="AL132" s="24" t="str" cm="1">
        <f t="array" ref="AL132">IFERROR(INDEX(Transactions[[Transaction code]:[Transaction name]],_xlfn.XMATCH(INDEX(Transactions[[Transaction name]:[Parent code]],_xlfn.XMATCH(Transactions[[#This Row],[L1N]],Transactions[Transaction name],0),3),Transactions[Transaction code],0),2),Transactions[[#This Row],[L1N]])</f>
        <v>IC Wind</v>
      </c>
      <c r="AM132" s="24" t="str" cm="1">
        <f t="array" ref="AM132">IFERROR(INDEX(Transactions[[Transaction code]:[Transaction name]],_xlfn.XMATCH(INDEX(Transactions[[Transaction name]:[Parent code]],_xlfn.XMATCH(Transactions[[#This Row],[L2N]],Transactions[Transaction name],0),3),Transactions[Transaction code],0),2),Transactions[[#This Row],[L2N]])</f>
        <v>IC Electricity plants</v>
      </c>
      <c r="AN132" s="24" t="str" cm="1">
        <f t="array" ref="AN132">IFERROR(INDEX(Transactions[[Transaction code]:[Transaction name]],_xlfn.XMATCH(INDEX(Transactions[[Transaction name]:[Parent code]],_xlfn.XMATCH(Transactions[[#This Row],[L3N]],Transactions[Transaction name],0),3),Transactions[Transaction code],0),2),Transactions[[#This Row],[L3N]])</f>
        <v>IC Electricity plants</v>
      </c>
      <c r="AO132" s="24" t="str" cm="1">
        <f t="array" ref="AO132">IFERROR(INDEX(Transactions[[Transaction code]:[Transaction name]],_xlfn.XMATCH(INDEX(Transactions[[Transaction name]:[Parent code]],_xlfn.XMATCH(Transactions[[#This Row],[L4N]],Transactions[Transaction name],0),3),Transactions[Transaction code],0),2),Transactions[[#This Row],[L4N]])</f>
        <v>IC Electricity plants</v>
      </c>
      <c r="AP132" s="24" t="str" cm="1">
        <f t="array" ref="AP132">IFERROR(INDEX(Transactions[[Transaction code]:[Transaction name]],_xlfn.XMATCH(INDEX(Transactions[[Transaction name]:[Parent code]],_xlfn.XMATCH(Transactions[[#This Row],[L5N]],Transactions[Transaction name],0),3),Transactions[Transaction code],0),2),Transactions[[#This Row],[L5N]])</f>
        <v>IC Electricity plants</v>
      </c>
      <c r="AQ132" s="24" t="str" cm="1">
        <f t="array" ref="AQ132">IFERROR(INDEX(Transactions[[Transaction code]:[Transaction name]],_xlfn.XMATCH(INDEX(Transactions[[Transaction name]:[Parent code]],_xlfn.XMATCH(Transactions[[#This Row],[L6N]],Transactions[Transaction name],0),3),Transactions[Transaction code],0),2),Transactions[[#This Row],[L6N]])</f>
        <v>IC Electricity plants</v>
      </c>
      <c r="AR132" s="27" t="str">
        <f>IF(Transactions[[#This Row],[L7N]]=Transactions[[#This Row],[L6N]],Transactions[[#This Row],[L7N]],IF(Transactions[[#This Row],[L6N]]=Transactions[[#This Row],[L5N]],Transactions[[#This Row],[L6N]],IF(Transactions[[#This Row],[L5N]]=Transactions[[#This Row],[L4N]],Transactions[[#This Row],[L5N]],IF(Transactions[[#This Row],[L4N]]=Transactions[[#This Row],[L3N]],Transactions[[#This Row],[L4N]],IF(Transactions[[#This Row],[L3N]]=Transactions[[#This Row],[L2N]],Transactions[[#This Row],[L3N]],IF(Transactions[[#This Row],[L2N]]=Transactions[[#This Row],[L1N]],Transactions[[#This Row],[L2N]],IF(Transactions[[#This Row],[L1N]]=Transactions[[#This Row],[Transaction name]],Transactions[[#This Row],[L1N]],Transactions[[#This Row],[Transaction name]])))))))</f>
        <v>IC Electricity plants</v>
      </c>
      <c r="AS132" s="24" t="str">
        <f>IF(Transactions[[#This Row],[Level 0]]=Transactions[[#This Row],[Transaction name]],Transactions[[#This Row],[Transaction name]],IF(Transactions[[#This Row],[Level 0]]=Transactions[[#This Row],[L1N]],Transactions[[#This Row],[Transaction name]],IF(Transactions[[#This Row],[Level 0]]=Transactions[[#This Row],[L2N]],Transactions[[#This Row],[L1N]],IF(Transactions[[#This Row],[Level 0]]=Transactions[[#This Row],[L3N]],Transactions[[#This Row],[L2N]],IF(Transactions[[#This Row],[Level 0]]=Transactions[[#This Row],[L4N]],Transactions[[#This Row],[L3N]],IF(Transactions[[#This Row],[Level 0]]=Transactions[[#This Row],[L5N]],Transactions[[#This Row],[L4N]],IF(Transactions[[#This Row],[Level 0]]=Transactions[[#This Row],[L6N]],Transactions[[#This Row],[L5N]],IF(Transactions[[#This Row],[Level 0]]=Transactions[[#This Row],[L7N]],Transactions[[#This Row],[L6N]],Transactions[[#This Row],[L7N]]))))))))</f>
        <v>IC Wind</v>
      </c>
      <c r="AT132" s="24" t="str">
        <f>IF(Transactions[[#This Row],[Level 1]]=Transactions[[#This Row],[Transaction name]],Transactions[[#This Row],[Transaction name]],IF(Transactions[[#This Row],[Level 1]]=Transactions[[#This Row],[L1N]],Transactions[[#This Row],[Transaction name]],IF(Transactions[[#This Row],[Level 1]]=Transactions[[#This Row],[L2N]],Transactions[[#This Row],[L1N]],IF(Transactions[[#This Row],[Level 1]]=Transactions[[#This Row],[L3N]],Transactions[[#This Row],[L2N]],IF(Transactions[[#This Row],[Level 1]]=Transactions[[#This Row],[L4N]],Transactions[[#This Row],[L3N]],IF(Transactions[[#This Row],[Level 1]]=Transactions[[#This Row],[L5N]],Transactions[[#This Row],[L4N]],IF(Transactions[[#This Row],[Level 1]]=Transactions[[#This Row],[L6N]],Transactions[[#This Row],[L5N]],IF(Transactions[[#This Row],[Level 1]]=Transactions[[#This Row],[L7N]],Transactions[[#This Row],[L6N]],Transactions[[#This Row],[L7N]]))))))))</f>
        <v>IC Wind - Autoproducers</v>
      </c>
      <c r="AU132" s="24" t="str">
        <f>IF(Transactions[[#This Row],[Level 2]]=Transactions[[#This Row],[Transaction name]],Transactions[[#This Row],[Transaction name]],IF(Transactions[[#This Row],[Level 2]]=Transactions[[#This Row],[L1N]],Transactions[[#This Row],[Transaction name]],IF(Transactions[[#This Row],[Level 2]]=Transactions[[#This Row],[L2N]],Transactions[[#This Row],[L1N]],IF(Transactions[[#This Row],[Level 2]]=Transactions[[#This Row],[L3N]],Transactions[[#This Row],[L2N]],IF(Transactions[[#This Row],[Level 2]]=Transactions[[#This Row],[L4N]],Transactions[[#This Row],[L3N]],IF(Transactions[[#This Row],[Level 2]]=Transactions[[#This Row],[L5N]],Transactions[[#This Row],[L4N]],IF(Transactions[[#This Row],[Level 2]]=Transactions[[#This Row],[L6N]],Transactions[[#This Row],[L5N]],IF(Transactions[[#This Row],[Level 2]]=Transactions[[#This Row],[L7N]],Transactions[[#This Row],[L6N]],Transactions[[#This Row],[L7N]]))))))))</f>
        <v>IC Wind - Autoproducers</v>
      </c>
      <c r="AV132" s="24" t="str">
        <f>IF(Transactions[[#This Row],[Level 3]]=Transactions[[#This Row],[Transaction name]],Transactions[[#This Row],[Transaction name]],IF(Transactions[[#This Row],[Level 3]]=Transactions[[#This Row],[L1N]],Transactions[[#This Row],[Transaction name]],IF(Transactions[[#This Row],[Level 3]]=Transactions[[#This Row],[L2N]],Transactions[[#This Row],[L1N]],IF(Transactions[[#This Row],[Level 3]]=Transactions[[#This Row],[L3N]],Transactions[[#This Row],[L2N]],IF(Transactions[[#This Row],[Level 3]]=Transactions[[#This Row],[L4N]],Transactions[[#This Row],[L3N]],IF(Transactions[[#This Row],[Level 3]]=Transactions[[#This Row],[L5N]],Transactions[[#This Row],[L4N]],IF(Transactions[[#This Row],[Level 3]]=Transactions[[#This Row],[L6N]],Transactions[[#This Row],[L5N]],IF(Transactions[[#This Row],[Level 3]]=Transactions[[#This Row],[L7N]],Transactions[[#This Row],[L6N]],Transactions[[#This Row],[L7N]]))))))))</f>
        <v>IC Wind - Autoproducers</v>
      </c>
      <c r="AW132" s="24" t="str">
        <f>IF(Transactions[[#This Row],[Level 4]]=Transactions[[#This Row],[Transaction name]],Transactions[[#This Row],[Transaction name]],IF(Transactions[[#This Row],[Level 4]]=Transactions[[#This Row],[L1N]],Transactions[[#This Row],[Transaction name]],IF(Transactions[[#This Row],[Level 4]]=Transactions[[#This Row],[L2N]],Transactions[[#This Row],[L1N]],IF(Transactions[[#This Row],[Level 4]]=Transactions[[#This Row],[L3N]],Transactions[[#This Row],[L2N]],IF(Transactions[[#This Row],[Level 4]]=Transactions[[#This Row],[L4N]],Transactions[[#This Row],[L3N]],IF(Transactions[[#This Row],[Level 4]]=Transactions[[#This Row],[L5N]],Transactions[[#This Row],[L4N]],IF(Transactions[[#This Row],[Level 4]]=Transactions[[#This Row],[L6N]],Transactions[[#This Row],[L5N]],IF(Transactions[[#This Row],[Level 4]]=Transactions[[#This Row],[L7N]],Transactions[[#This Row],[L6N]],Transactions[[#This Row],[L7N]]))))))))</f>
        <v>IC Wind - Autoproducers</v>
      </c>
      <c r="AX132" s="24" t="str">
        <f>IF(Transactions[[#This Row],[Level 5]]=Transactions[[#This Row],[Transaction name]],Transactions[[#This Row],[Transaction name]],IF(Transactions[[#This Row],[Level 5]]=Transactions[[#This Row],[L1N]],Transactions[[#This Row],[Transaction name]],IF(Transactions[[#This Row],[Level 5]]=Transactions[[#This Row],[L2N]],Transactions[[#This Row],[L1N]],IF(Transactions[[#This Row],[Level 5]]=Transactions[[#This Row],[L3N]],Transactions[[#This Row],[L2N]],IF(Transactions[[#This Row],[Level 5]]=Transactions[[#This Row],[L4N]],Transactions[[#This Row],[L3N]],IF(Transactions[[#This Row],[Level 5]]=Transactions[[#This Row],[L5N]],Transactions[[#This Row],[L4N]],IF(Transactions[[#This Row],[Level 5]]=Transactions[[#This Row],[L6N]],Transactions[[#This Row],[L5N]],IF(Transactions[[#This Row],[Level 5]]=Transactions[[#This Row],[L7N]],Transactions[[#This Row],[L6N]],Transactions[[#This Row],[L7N]]))))))))</f>
        <v>IC Wind - Autoproducers</v>
      </c>
      <c r="AY132" s="24" t="str">
        <f>IF(Transactions[[#This Row],[Level 6]]=Transactions[[#This Row],[Transaction name]],Transactions[[#This Row],[Transaction name]],IF(Transactions[[#This Row],[Level 6]]=Transactions[[#This Row],[L1N]],Transactions[[#This Row],[Transaction name]],IF(Transactions[[#This Row],[Level 6]]=Transactions[[#This Row],[L2N]],Transactions[[#This Row],[L1N]],IF(Transactions[[#This Row],[Level 6]]=Transactions[[#This Row],[L3N]],Transactions[[#This Row],[L2N]],IF(Transactions[[#This Row],[Level 6]]=Transactions[[#This Row],[L4N]],Transactions[[#This Row],[L3N]],IF(Transactions[[#This Row],[Level 6]]=Transactions[[#This Row],[L5N]],Transactions[[#This Row],[L4N]],IF(Transactions[[#This Row],[Level 6]]=Transactions[[#This Row],[L6N]],Transactions[[#This Row],[L5N]],IF(Transactions[[#This Row],[Level 6]]=Transactions[[#This Row],[L7N]],Transactions[[#This Row],[L6N]],Transactions[[#This Row],[L7N]]))))))))</f>
        <v>IC Wind - Autoproducers</v>
      </c>
      <c r="BE132" s="26" t="str">
        <f>_xlfn.XLOOKUP(Transformation[[#This Row],[cfrom]],Commodities[Commodity],Commodities[Commodity code])</f>
        <v>4652</v>
      </c>
      <c r="BF132" s="26" t="str">
        <f>_xlfn.XLOOKUP(Transformation[[#This Row],[tfrom]],Transactions[Transaction name],Transactions[Transaction code])</f>
        <v>08812</v>
      </c>
      <c r="BG132" s="26" t="str">
        <f>_xlfn.XLOOKUP(Transformation[[#This Row],[cto]],Commodities[Commodity],Commodities[Commodity code])</f>
        <v>4652</v>
      </c>
      <c r="BH132" s="26" t="str">
        <f>_xlfn.XLOOKUP(Transformation[[#This Row],[tto]],Transactions[Transaction name],Transactions[Transaction code])</f>
        <v>016OPE</v>
      </c>
      <c r="BI132" s="11">
        <v>1</v>
      </c>
      <c r="BJ132" s="4" t="s">
        <v>394</v>
      </c>
      <c r="BK132" s="24" t="str">
        <f>_xlfn.XLOOKUP(Transformation[[#This Row],[Commodity from]],Commodities[Commodity code],Commodities[EnergyCode])</f>
        <v>MO</v>
      </c>
      <c r="BL132" s="4" t="s">
        <v>690</v>
      </c>
      <c r="BM132" s="4" t="s">
        <v>394</v>
      </c>
      <c r="BN132" s="24" t="str">
        <f>_xlfn.XLOOKUP(Transformation[[#This Row],[Commodity to]],Commodities[Commodity code],Commodities[EnergyCode])</f>
        <v>MO</v>
      </c>
      <c r="BO132" s="4" t="s">
        <v>1055</v>
      </c>
      <c r="BP132" s="16" t="s">
        <v>1493</v>
      </c>
      <c r="BQ132" s="33" t="str">
        <f>Transformation[[#This Row],[Commodity from]]&amp;Transformation[[#This Row],[Transaction from]]&amp;Transformation[[#This Row],[Commodity to]]&amp;Transformation[[#This Row],[Transaction to]]</f>
        <v>4652088124652016OPE</v>
      </c>
      <c r="BR132" s="26" t="str">
        <f>Transformation[[#This Row],[crfomid]]&amp;Transformation[[#This Row],[Transaction from]]&amp;"("&amp;Transformation[[#This Row],[Multiplier]]&amp;") -&gt; "&amp;Transformation[[#This Row],[ctoid]]&amp;Transformation[[#This Row],[Transaction to]]</f>
        <v>MO08812(1) -&gt; MO016OPE</v>
      </c>
    </row>
    <row r="133" spans="25:70" x14ac:dyDescent="0.45">
      <c r="Y133" s="5" t="s">
        <v>69</v>
      </c>
      <c r="Z133" s="4" t="s">
        <v>990</v>
      </c>
      <c r="AA133" s="4" t="s">
        <v>990</v>
      </c>
      <c r="AB133" s="6" t="s">
        <v>65</v>
      </c>
      <c r="AC133" s="24" t="str">
        <f>IFERROR(VLOOKUP(Transactions[[#This Row],[Parent code]],Transactions[[Transaction code]:[Transaction name]],2,0),"")</f>
        <v>IC Wind</v>
      </c>
      <c r="AD133" s="4" t="s">
        <v>632</v>
      </c>
      <c r="AE133" s="4" t="s">
        <v>632</v>
      </c>
      <c r="AF133" s="4" t="s">
        <v>642</v>
      </c>
      <c r="AG133" s="4" t="s">
        <v>1</v>
      </c>
      <c r="AH133" s="4" t="s">
        <v>696</v>
      </c>
      <c r="AK133" s="24" t="str" cm="1">
        <f t="array" ref="AK133">IFERROR(INDEX(Transactions[[Transaction code]:[Transaction name]],_xlfn.XMATCH(Transactions[[#This Row],[Parent code]],Transactions[Transaction name],0),3),Transactions[[#This Row],[Transaction name]])</f>
        <v>IC Wind - Main activity producers</v>
      </c>
      <c r="AL133" s="24" t="str" cm="1">
        <f t="array" ref="AL133">IFERROR(INDEX(Transactions[[Transaction code]:[Transaction name]],_xlfn.XMATCH(INDEX(Transactions[[Transaction name]:[Parent code]],_xlfn.XMATCH(Transactions[[#This Row],[L1N]],Transactions[Transaction name],0),3),Transactions[Transaction code],0),2),Transactions[[#This Row],[L1N]])</f>
        <v>IC Wind</v>
      </c>
      <c r="AM133" s="24" t="str" cm="1">
        <f t="array" ref="AM133">IFERROR(INDEX(Transactions[[Transaction code]:[Transaction name]],_xlfn.XMATCH(INDEX(Transactions[[Transaction name]:[Parent code]],_xlfn.XMATCH(Transactions[[#This Row],[L2N]],Transactions[Transaction name],0),3),Transactions[Transaction code],0),2),Transactions[[#This Row],[L2N]])</f>
        <v>IC Electricity plants</v>
      </c>
      <c r="AN133" s="24" t="str" cm="1">
        <f t="array" ref="AN133">IFERROR(INDEX(Transactions[[Transaction code]:[Transaction name]],_xlfn.XMATCH(INDEX(Transactions[[Transaction name]:[Parent code]],_xlfn.XMATCH(Transactions[[#This Row],[L3N]],Transactions[Transaction name],0),3),Transactions[Transaction code],0),2),Transactions[[#This Row],[L3N]])</f>
        <v>IC Electricity plants</v>
      </c>
      <c r="AO133" s="24" t="str" cm="1">
        <f t="array" ref="AO133">IFERROR(INDEX(Transactions[[Transaction code]:[Transaction name]],_xlfn.XMATCH(INDEX(Transactions[[Transaction name]:[Parent code]],_xlfn.XMATCH(Transactions[[#This Row],[L4N]],Transactions[Transaction name],0),3),Transactions[Transaction code],0),2),Transactions[[#This Row],[L4N]])</f>
        <v>IC Electricity plants</v>
      </c>
      <c r="AP133" s="24" t="str" cm="1">
        <f t="array" ref="AP133">IFERROR(INDEX(Transactions[[Transaction code]:[Transaction name]],_xlfn.XMATCH(INDEX(Transactions[[Transaction name]:[Parent code]],_xlfn.XMATCH(Transactions[[#This Row],[L5N]],Transactions[Transaction name],0),3),Transactions[Transaction code],0),2),Transactions[[#This Row],[L5N]])</f>
        <v>IC Electricity plants</v>
      </c>
      <c r="AQ133" s="24" t="str" cm="1">
        <f t="array" ref="AQ133">IFERROR(INDEX(Transactions[[Transaction code]:[Transaction name]],_xlfn.XMATCH(INDEX(Transactions[[Transaction name]:[Parent code]],_xlfn.XMATCH(Transactions[[#This Row],[L6N]],Transactions[Transaction name],0),3),Transactions[Transaction code],0),2),Transactions[[#This Row],[L6N]])</f>
        <v>IC Electricity plants</v>
      </c>
      <c r="AR133" s="27" t="str">
        <f>IF(Transactions[[#This Row],[L7N]]=Transactions[[#This Row],[L6N]],Transactions[[#This Row],[L7N]],IF(Transactions[[#This Row],[L6N]]=Transactions[[#This Row],[L5N]],Transactions[[#This Row],[L6N]],IF(Transactions[[#This Row],[L5N]]=Transactions[[#This Row],[L4N]],Transactions[[#This Row],[L5N]],IF(Transactions[[#This Row],[L4N]]=Transactions[[#This Row],[L3N]],Transactions[[#This Row],[L4N]],IF(Transactions[[#This Row],[L3N]]=Transactions[[#This Row],[L2N]],Transactions[[#This Row],[L3N]],IF(Transactions[[#This Row],[L2N]]=Transactions[[#This Row],[L1N]],Transactions[[#This Row],[L2N]],IF(Transactions[[#This Row],[L1N]]=Transactions[[#This Row],[Transaction name]],Transactions[[#This Row],[L1N]],Transactions[[#This Row],[Transaction name]])))))))</f>
        <v>IC Electricity plants</v>
      </c>
      <c r="AS133" s="24" t="str">
        <f>IF(Transactions[[#This Row],[Level 0]]=Transactions[[#This Row],[Transaction name]],Transactions[[#This Row],[Transaction name]],IF(Transactions[[#This Row],[Level 0]]=Transactions[[#This Row],[L1N]],Transactions[[#This Row],[Transaction name]],IF(Transactions[[#This Row],[Level 0]]=Transactions[[#This Row],[L2N]],Transactions[[#This Row],[L1N]],IF(Transactions[[#This Row],[Level 0]]=Transactions[[#This Row],[L3N]],Transactions[[#This Row],[L2N]],IF(Transactions[[#This Row],[Level 0]]=Transactions[[#This Row],[L4N]],Transactions[[#This Row],[L3N]],IF(Transactions[[#This Row],[Level 0]]=Transactions[[#This Row],[L5N]],Transactions[[#This Row],[L4N]],IF(Transactions[[#This Row],[Level 0]]=Transactions[[#This Row],[L6N]],Transactions[[#This Row],[L5N]],IF(Transactions[[#This Row],[Level 0]]=Transactions[[#This Row],[L7N]],Transactions[[#This Row],[L6N]],Transactions[[#This Row],[L7N]]))))))))</f>
        <v>IC Wind</v>
      </c>
      <c r="AT133" s="24" t="str">
        <f>IF(Transactions[[#This Row],[Level 1]]=Transactions[[#This Row],[Transaction name]],Transactions[[#This Row],[Transaction name]],IF(Transactions[[#This Row],[Level 1]]=Transactions[[#This Row],[L1N]],Transactions[[#This Row],[Transaction name]],IF(Transactions[[#This Row],[Level 1]]=Transactions[[#This Row],[L2N]],Transactions[[#This Row],[L1N]],IF(Transactions[[#This Row],[Level 1]]=Transactions[[#This Row],[L3N]],Transactions[[#This Row],[L2N]],IF(Transactions[[#This Row],[Level 1]]=Transactions[[#This Row],[L4N]],Transactions[[#This Row],[L3N]],IF(Transactions[[#This Row],[Level 1]]=Transactions[[#This Row],[L5N]],Transactions[[#This Row],[L4N]],IF(Transactions[[#This Row],[Level 1]]=Transactions[[#This Row],[L6N]],Transactions[[#This Row],[L5N]],IF(Transactions[[#This Row],[Level 1]]=Transactions[[#This Row],[L7N]],Transactions[[#This Row],[L6N]],Transactions[[#This Row],[L7N]]))))))))</f>
        <v>IC Wind - Main activity producers</v>
      </c>
      <c r="AU133" s="24" t="str">
        <f>IF(Transactions[[#This Row],[Level 2]]=Transactions[[#This Row],[Transaction name]],Transactions[[#This Row],[Transaction name]],IF(Transactions[[#This Row],[Level 2]]=Transactions[[#This Row],[L1N]],Transactions[[#This Row],[Transaction name]],IF(Transactions[[#This Row],[Level 2]]=Transactions[[#This Row],[L2N]],Transactions[[#This Row],[L1N]],IF(Transactions[[#This Row],[Level 2]]=Transactions[[#This Row],[L3N]],Transactions[[#This Row],[L2N]],IF(Transactions[[#This Row],[Level 2]]=Transactions[[#This Row],[L4N]],Transactions[[#This Row],[L3N]],IF(Transactions[[#This Row],[Level 2]]=Transactions[[#This Row],[L5N]],Transactions[[#This Row],[L4N]],IF(Transactions[[#This Row],[Level 2]]=Transactions[[#This Row],[L6N]],Transactions[[#This Row],[L5N]],IF(Transactions[[#This Row],[Level 2]]=Transactions[[#This Row],[L7N]],Transactions[[#This Row],[L6N]],Transactions[[#This Row],[L7N]]))))))))</f>
        <v>IC Wind - Main activity producers</v>
      </c>
      <c r="AV133" s="24" t="str">
        <f>IF(Transactions[[#This Row],[Level 3]]=Transactions[[#This Row],[Transaction name]],Transactions[[#This Row],[Transaction name]],IF(Transactions[[#This Row],[Level 3]]=Transactions[[#This Row],[L1N]],Transactions[[#This Row],[Transaction name]],IF(Transactions[[#This Row],[Level 3]]=Transactions[[#This Row],[L2N]],Transactions[[#This Row],[L1N]],IF(Transactions[[#This Row],[Level 3]]=Transactions[[#This Row],[L3N]],Transactions[[#This Row],[L2N]],IF(Transactions[[#This Row],[Level 3]]=Transactions[[#This Row],[L4N]],Transactions[[#This Row],[L3N]],IF(Transactions[[#This Row],[Level 3]]=Transactions[[#This Row],[L5N]],Transactions[[#This Row],[L4N]],IF(Transactions[[#This Row],[Level 3]]=Transactions[[#This Row],[L6N]],Transactions[[#This Row],[L5N]],IF(Transactions[[#This Row],[Level 3]]=Transactions[[#This Row],[L7N]],Transactions[[#This Row],[L6N]],Transactions[[#This Row],[L7N]]))))))))</f>
        <v>IC Wind - Main activity producers</v>
      </c>
      <c r="AW133" s="24" t="str">
        <f>IF(Transactions[[#This Row],[Level 4]]=Transactions[[#This Row],[Transaction name]],Transactions[[#This Row],[Transaction name]],IF(Transactions[[#This Row],[Level 4]]=Transactions[[#This Row],[L1N]],Transactions[[#This Row],[Transaction name]],IF(Transactions[[#This Row],[Level 4]]=Transactions[[#This Row],[L2N]],Transactions[[#This Row],[L1N]],IF(Transactions[[#This Row],[Level 4]]=Transactions[[#This Row],[L3N]],Transactions[[#This Row],[L2N]],IF(Transactions[[#This Row],[Level 4]]=Transactions[[#This Row],[L4N]],Transactions[[#This Row],[L3N]],IF(Transactions[[#This Row],[Level 4]]=Transactions[[#This Row],[L5N]],Transactions[[#This Row],[L4N]],IF(Transactions[[#This Row],[Level 4]]=Transactions[[#This Row],[L6N]],Transactions[[#This Row],[L5N]],IF(Transactions[[#This Row],[Level 4]]=Transactions[[#This Row],[L7N]],Transactions[[#This Row],[L6N]],Transactions[[#This Row],[L7N]]))))))))</f>
        <v>IC Wind - Main activity producers</v>
      </c>
      <c r="AX133" s="24" t="str">
        <f>IF(Transactions[[#This Row],[Level 5]]=Transactions[[#This Row],[Transaction name]],Transactions[[#This Row],[Transaction name]],IF(Transactions[[#This Row],[Level 5]]=Transactions[[#This Row],[L1N]],Transactions[[#This Row],[Transaction name]],IF(Transactions[[#This Row],[Level 5]]=Transactions[[#This Row],[L2N]],Transactions[[#This Row],[L1N]],IF(Transactions[[#This Row],[Level 5]]=Transactions[[#This Row],[L3N]],Transactions[[#This Row],[L2N]],IF(Transactions[[#This Row],[Level 5]]=Transactions[[#This Row],[L4N]],Transactions[[#This Row],[L3N]],IF(Transactions[[#This Row],[Level 5]]=Transactions[[#This Row],[L5N]],Transactions[[#This Row],[L4N]],IF(Transactions[[#This Row],[Level 5]]=Transactions[[#This Row],[L6N]],Transactions[[#This Row],[L5N]],IF(Transactions[[#This Row],[Level 5]]=Transactions[[#This Row],[L7N]],Transactions[[#This Row],[L6N]],Transactions[[#This Row],[L7N]]))))))))</f>
        <v>IC Wind - Main activity producers</v>
      </c>
      <c r="AY133" s="24" t="str">
        <f>IF(Transactions[[#This Row],[Level 6]]=Transactions[[#This Row],[Transaction name]],Transactions[[#This Row],[Transaction name]],IF(Transactions[[#This Row],[Level 6]]=Transactions[[#This Row],[L1N]],Transactions[[#This Row],[Transaction name]],IF(Transactions[[#This Row],[Level 6]]=Transactions[[#This Row],[L2N]],Transactions[[#This Row],[L1N]],IF(Transactions[[#This Row],[Level 6]]=Transactions[[#This Row],[L3N]],Transactions[[#This Row],[L2N]],IF(Transactions[[#This Row],[Level 6]]=Transactions[[#This Row],[L4N]],Transactions[[#This Row],[L3N]],IF(Transactions[[#This Row],[Level 6]]=Transactions[[#This Row],[L5N]],Transactions[[#This Row],[L4N]],IF(Transactions[[#This Row],[Level 6]]=Transactions[[#This Row],[L6N]],Transactions[[#This Row],[L5N]],IF(Transactions[[#This Row],[Level 6]]=Transactions[[#This Row],[L7N]],Transactions[[#This Row],[L6N]],Transactions[[#This Row],[L7N]]))))))))</f>
        <v>IC Wind - Main activity producers</v>
      </c>
      <c r="BE133" s="26" t="str">
        <f>_xlfn.XLOOKUP(Transformation[[#This Row],[cfrom]],Commodities[Commodity],Commodities[Commodity code])</f>
        <v>6200</v>
      </c>
      <c r="BF133" s="26" t="str">
        <f>_xlfn.XLOOKUP(Transformation[[#This Row],[tfrom]],Transactions[Transaction name],Transactions[Transaction code])</f>
        <v>08812</v>
      </c>
      <c r="BG133" s="26" t="str">
        <f>_xlfn.XLOOKUP(Transformation[[#This Row],[cto]],Commodities[Commodity],Commodities[Commodity code])</f>
        <v>6200</v>
      </c>
      <c r="BH133" s="26" t="str">
        <f>_xlfn.XLOOKUP(Transformation[[#This Row],[tto]],Transactions[Transaction name],Transactions[Transaction code])</f>
        <v>016MSWE</v>
      </c>
      <c r="BI133" s="11">
        <v>1</v>
      </c>
      <c r="BJ133" s="4" t="s">
        <v>288</v>
      </c>
      <c r="BK133" s="24" t="str">
        <f>_xlfn.XLOOKUP(Transformation[[#This Row],[Commodity from]],Commodities[Commodity code],Commodities[EnergyCode])</f>
        <v>MW</v>
      </c>
      <c r="BL133" s="4" t="s">
        <v>690</v>
      </c>
      <c r="BM133" s="4" t="s">
        <v>288</v>
      </c>
      <c r="BN133" s="24" t="str">
        <f>_xlfn.XLOOKUP(Transformation[[#This Row],[Commodity to]],Commodities[Commodity code],Commodities[EnergyCode])</f>
        <v>MW</v>
      </c>
      <c r="BO133" s="4" t="s">
        <v>1143</v>
      </c>
      <c r="BP133" s="16" t="s">
        <v>1493</v>
      </c>
      <c r="BQ133" s="33" t="str">
        <f>Transformation[[#This Row],[Commodity from]]&amp;Transformation[[#This Row],[Transaction from]]&amp;Transformation[[#This Row],[Commodity to]]&amp;Transformation[[#This Row],[Transaction to]]</f>
        <v>6200088126200016MSWE</v>
      </c>
      <c r="BR133" s="26" t="str">
        <f>Transformation[[#This Row],[crfomid]]&amp;Transformation[[#This Row],[Transaction from]]&amp;"("&amp;Transformation[[#This Row],[Multiplier]]&amp;") -&gt; "&amp;Transformation[[#This Row],[ctoid]]&amp;Transformation[[#This Row],[Transaction to]]</f>
        <v>MW08812(1) -&gt; MW016MSWE</v>
      </c>
    </row>
    <row r="134" spans="25:70" x14ac:dyDescent="0.45">
      <c r="Y134" s="4" t="s">
        <v>624</v>
      </c>
      <c r="Z134" s="4" t="s">
        <v>607</v>
      </c>
      <c r="AA134" s="4" t="s">
        <v>607</v>
      </c>
      <c r="AC134" s="24" t="str">
        <f>IFERROR(VLOOKUP(Transactions[[#This Row],[Parent code]],Transactions[[Transaction code]:[Transaction name]],2,0),"")</f>
        <v/>
      </c>
      <c r="AD134" s="4" t="s">
        <v>630</v>
      </c>
      <c r="AF134" s="4" t="s">
        <v>642</v>
      </c>
      <c r="AH134" s="4" t="s">
        <v>696</v>
      </c>
      <c r="AK134" s="24" t="str" cm="1">
        <f t="array" ref="AK134">IFERROR(INDEX(Transactions[[Transaction code]:[Transaction name]],_xlfn.XMATCH(Transactions[[#This Row],[Parent code]],Transactions[Transaction name],0),3),Transactions[[#This Row],[Transaction name]])</f>
        <v>Industry n.e.s</v>
      </c>
      <c r="AL134" s="24" t="str" cm="1">
        <f t="array" ref="AL134">IFERROR(INDEX(Transactions[[Transaction code]:[Transaction name]],_xlfn.XMATCH(INDEX(Transactions[[Transaction name]:[Parent code]],_xlfn.XMATCH(Transactions[[#This Row],[L1N]],Transactions[Transaction name],0),3),Transactions[Transaction code],0),2),Transactions[[#This Row],[L1N]])</f>
        <v>Industry n.e.s</v>
      </c>
      <c r="AM134" s="24" t="str" cm="1">
        <f t="array" ref="AM134">IFERROR(INDEX(Transactions[[Transaction code]:[Transaction name]],_xlfn.XMATCH(INDEX(Transactions[[Transaction name]:[Parent code]],_xlfn.XMATCH(Transactions[[#This Row],[L2N]],Transactions[Transaction name],0),3),Transactions[Transaction code],0),2),Transactions[[#This Row],[L2N]])</f>
        <v>Industry n.e.s</v>
      </c>
      <c r="AN134" s="24" t="str" cm="1">
        <f t="array" ref="AN134">IFERROR(INDEX(Transactions[[Transaction code]:[Transaction name]],_xlfn.XMATCH(INDEX(Transactions[[Transaction name]:[Parent code]],_xlfn.XMATCH(Transactions[[#This Row],[L3N]],Transactions[Transaction name],0),3),Transactions[Transaction code],0),2),Transactions[[#This Row],[L3N]])</f>
        <v>Industry n.e.s</v>
      </c>
      <c r="AO134" s="24" t="str" cm="1">
        <f t="array" ref="AO134">IFERROR(INDEX(Transactions[[Transaction code]:[Transaction name]],_xlfn.XMATCH(INDEX(Transactions[[Transaction name]:[Parent code]],_xlfn.XMATCH(Transactions[[#This Row],[L4N]],Transactions[Transaction name],0),3),Transactions[Transaction code],0),2),Transactions[[#This Row],[L4N]])</f>
        <v>Industry n.e.s</v>
      </c>
      <c r="AP134" s="24" t="str" cm="1">
        <f t="array" ref="AP134">IFERROR(INDEX(Transactions[[Transaction code]:[Transaction name]],_xlfn.XMATCH(INDEX(Transactions[[Transaction name]:[Parent code]],_xlfn.XMATCH(Transactions[[#This Row],[L5N]],Transactions[Transaction name],0),3),Transactions[Transaction code],0),2),Transactions[[#This Row],[L5N]])</f>
        <v>Industry n.e.s</v>
      </c>
      <c r="AQ134" s="24" t="str" cm="1">
        <f t="array" ref="AQ134">IFERROR(INDEX(Transactions[[Transaction code]:[Transaction name]],_xlfn.XMATCH(INDEX(Transactions[[Transaction name]:[Parent code]],_xlfn.XMATCH(Transactions[[#This Row],[L6N]],Transactions[Transaction name],0),3),Transactions[Transaction code],0),2),Transactions[[#This Row],[L6N]])</f>
        <v>Industry n.e.s</v>
      </c>
      <c r="AR134" s="28" t="str">
        <f>IF(Transactions[[#This Row],[L7N]]=Transactions[[#This Row],[L6N]],Transactions[[#This Row],[L7N]],IF(Transactions[[#This Row],[L6N]]=Transactions[[#This Row],[L5N]],Transactions[[#This Row],[L6N]],IF(Transactions[[#This Row],[L5N]]=Transactions[[#This Row],[L4N]],Transactions[[#This Row],[L5N]],IF(Transactions[[#This Row],[L4N]]=Transactions[[#This Row],[L3N]],Transactions[[#This Row],[L4N]],IF(Transactions[[#This Row],[L3N]]=Transactions[[#This Row],[L2N]],Transactions[[#This Row],[L3N]],IF(Transactions[[#This Row],[L2N]]=Transactions[[#This Row],[L1N]],Transactions[[#This Row],[L2N]],IF(Transactions[[#This Row],[L1N]]=Transactions[[#This Row],[Transaction name]],Transactions[[#This Row],[L1N]],Transactions[[#This Row],[Transaction name]])))))))</f>
        <v>Industry n.e.s</v>
      </c>
      <c r="AS134" s="24" t="str">
        <f>IF(Transactions[[#This Row],[Level 0]]=Transactions[[#This Row],[Transaction name]],Transactions[[#This Row],[Transaction name]],IF(Transactions[[#This Row],[Level 0]]=Transactions[[#This Row],[L1N]],Transactions[[#This Row],[Transaction name]],IF(Transactions[[#This Row],[Level 0]]=Transactions[[#This Row],[L2N]],Transactions[[#This Row],[L1N]],IF(Transactions[[#This Row],[Level 0]]=Transactions[[#This Row],[L3N]],Transactions[[#This Row],[L2N]],IF(Transactions[[#This Row],[Level 0]]=Transactions[[#This Row],[L4N]],Transactions[[#This Row],[L3N]],IF(Transactions[[#This Row],[Level 0]]=Transactions[[#This Row],[L5N]],Transactions[[#This Row],[L4N]],IF(Transactions[[#This Row],[Level 0]]=Transactions[[#This Row],[L6N]],Transactions[[#This Row],[L5N]],IF(Transactions[[#This Row],[Level 0]]=Transactions[[#This Row],[L7N]],Transactions[[#This Row],[L6N]],Transactions[[#This Row],[L7N]]))))))))</f>
        <v>Industry n.e.s</v>
      </c>
      <c r="AT134" s="24" t="str">
        <f>IF(Transactions[[#This Row],[Level 1]]=Transactions[[#This Row],[Transaction name]],Transactions[[#This Row],[Transaction name]],IF(Transactions[[#This Row],[Level 1]]=Transactions[[#This Row],[L1N]],Transactions[[#This Row],[Transaction name]],IF(Transactions[[#This Row],[Level 1]]=Transactions[[#This Row],[L2N]],Transactions[[#This Row],[L1N]],IF(Transactions[[#This Row],[Level 1]]=Transactions[[#This Row],[L3N]],Transactions[[#This Row],[L2N]],IF(Transactions[[#This Row],[Level 1]]=Transactions[[#This Row],[L4N]],Transactions[[#This Row],[L3N]],IF(Transactions[[#This Row],[Level 1]]=Transactions[[#This Row],[L5N]],Transactions[[#This Row],[L4N]],IF(Transactions[[#This Row],[Level 1]]=Transactions[[#This Row],[L6N]],Transactions[[#This Row],[L5N]],IF(Transactions[[#This Row],[Level 1]]=Transactions[[#This Row],[L7N]],Transactions[[#This Row],[L6N]],Transactions[[#This Row],[L7N]]))))))))</f>
        <v>Industry n.e.s</v>
      </c>
      <c r="AU134" s="24" t="str">
        <f>IF(Transactions[[#This Row],[Level 2]]=Transactions[[#This Row],[Transaction name]],Transactions[[#This Row],[Transaction name]],IF(Transactions[[#This Row],[Level 2]]=Transactions[[#This Row],[L1N]],Transactions[[#This Row],[Transaction name]],IF(Transactions[[#This Row],[Level 2]]=Transactions[[#This Row],[L2N]],Transactions[[#This Row],[L1N]],IF(Transactions[[#This Row],[Level 2]]=Transactions[[#This Row],[L3N]],Transactions[[#This Row],[L2N]],IF(Transactions[[#This Row],[Level 2]]=Transactions[[#This Row],[L4N]],Transactions[[#This Row],[L3N]],IF(Transactions[[#This Row],[Level 2]]=Transactions[[#This Row],[L5N]],Transactions[[#This Row],[L4N]],IF(Transactions[[#This Row],[Level 2]]=Transactions[[#This Row],[L6N]],Transactions[[#This Row],[L5N]],IF(Transactions[[#This Row],[Level 2]]=Transactions[[#This Row],[L7N]],Transactions[[#This Row],[L6N]],Transactions[[#This Row],[L7N]]))))))))</f>
        <v>Industry n.e.s</v>
      </c>
      <c r="AV134" s="24" t="str">
        <f>IF(Transactions[[#This Row],[Level 3]]=Transactions[[#This Row],[Transaction name]],Transactions[[#This Row],[Transaction name]],IF(Transactions[[#This Row],[Level 3]]=Transactions[[#This Row],[L1N]],Transactions[[#This Row],[Transaction name]],IF(Transactions[[#This Row],[Level 3]]=Transactions[[#This Row],[L2N]],Transactions[[#This Row],[L1N]],IF(Transactions[[#This Row],[Level 3]]=Transactions[[#This Row],[L3N]],Transactions[[#This Row],[L2N]],IF(Transactions[[#This Row],[Level 3]]=Transactions[[#This Row],[L4N]],Transactions[[#This Row],[L3N]],IF(Transactions[[#This Row],[Level 3]]=Transactions[[#This Row],[L5N]],Transactions[[#This Row],[L4N]],IF(Transactions[[#This Row],[Level 3]]=Transactions[[#This Row],[L6N]],Transactions[[#This Row],[L5N]],IF(Transactions[[#This Row],[Level 3]]=Transactions[[#This Row],[L7N]],Transactions[[#This Row],[L6N]],Transactions[[#This Row],[L7N]]))))))))</f>
        <v>Industry n.e.s</v>
      </c>
      <c r="AW134" s="24" t="str">
        <f>IF(Transactions[[#This Row],[Level 4]]=Transactions[[#This Row],[Transaction name]],Transactions[[#This Row],[Transaction name]],IF(Transactions[[#This Row],[Level 4]]=Transactions[[#This Row],[L1N]],Transactions[[#This Row],[Transaction name]],IF(Transactions[[#This Row],[Level 4]]=Transactions[[#This Row],[L2N]],Transactions[[#This Row],[L1N]],IF(Transactions[[#This Row],[Level 4]]=Transactions[[#This Row],[L3N]],Transactions[[#This Row],[L2N]],IF(Transactions[[#This Row],[Level 4]]=Transactions[[#This Row],[L4N]],Transactions[[#This Row],[L3N]],IF(Transactions[[#This Row],[Level 4]]=Transactions[[#This Row],[L5N]],Transactions[[#This Row],[L4N]],IF(Transactions[[#This Row],[Level 4]]=Transactions[[#This Row],[L6N]],Transactions[[#This Row],[L5N]],IF(Transactions[[#This Row],[Level 4]]=Transactions[[#This Row],[L7N]],Transactions[[#This Row],[L6N]],Transactions[[#This Row],[L7N]]))))))))</f>
        <v>Industry n.e.s</v>
      </c>
      <c r="AX134" s="24" t="str">
        <f>IF(Transactions[[#This Row],[Level 5]]=Transactions[[#This Row],[Transaction name]],Transactions[[#This Row],[Transaction name]],IF(Transactions[[#This Row],[Level 5]]=Transactions[[#This Row],[L1N]],Transactions[[#This Row],[Transaction name]],IF(Transactions[[#This Row],[Level 5]]=Transactions[[#This Row],[L2N]],Transactions[[#This Row],[L1N]],IF(Transactions[[#This Row],[Level 5]]=Transactions[[#This Row],[L3N]],Transactions[[#This Row],[L2N]],IF(Transactions[[#This Row],[Level 5]]=Transactions[[#This Row],[L4N]],Transactions[[#This Row],[L3N]],IF(Transactions[[#This Row],[Level 5]]=Transactions[[#This Row],[L5N]],Transactions[[#This Row],[L4N]],IF(Transactions[[#This Row],[Level 5]]=Transactions[[#This Row],[L6N]],Transactions[[#This Row],[L5N]],IF(Transactions[[#This Row],[Level 5]]=Transactions[[#This Row],[L7N]],Transactions[[#This Row],[L6N]],Transactions[[#This Row],[L7N]]))))))))</f>
        <v>Industry n.e.s</v>
      </c>
      <c r="AY134" s="24" t="str">
        <f>IF(Transactions[[#This Row],[Level 6]]=Transactions[[#This Row],[Transaction name]],Transactions[[#This Row],[Transaction name]],IF(Transactions[[#This Row],[Level 6]]=Transactions[[#This Row],[L1N]],Transactions[[#This Row],[Transaction name]],IF(Transactions[[#This Row],[Level 6]]=Transactions[[#This Row],[L2N]],Transactions[[#This Row],[L1N]],IF(Transactions[[#This Row],[Level 6]]=Transactions[[#This Row],[L3N]],Transactions[[#This Row],[L2N]],IF(Transactions[[#This Row],[Level 6]]=Transactions[[#This Row],[L4N]],Transactions[[#This Row],[L3N]],IF(Transactions[[#This Row],[Level 6]]=Transactions[[#This Row],[L5N]],Transactions[[#This Row],[L4N]],IF(Transactions[[#This Row],[Level 6]]=Transactions[[#This Row],[L6N]],Transactions[[#This Row],[L5N]],IF(Transactions[[#This Row],[Level 6]]=Transactions[[#This Row],[L7N]],Transactions[[#This Row],[L6N]],Transactions[[#This Row],[L7N]]))))))))</f>
        <v>Industry n.e.s</v>
      </c>
      <c r="BE134" s="26" t="str">
        <f>_xlfn.XLOOKUP(Transformation[[#This Row],[cfrom]],Commodities[Commodity],Commodities[Commodity code])</f>
        <v>3000</v>
      </c>
      <c r="BF134" s="26" t="str">
        <f>_xlfn.XLOOKUP(Transformation[[#This Row],[tfrom]],Transactions[Transaction name],Transactions[Transaction code])</f>
        <v>08812</v>
      </c>
      <c r="BG134" s="26" t="str">
        <f>_xlfn.XLOOKUP(Transformation[[#This Row],[cto]],Commodities[Commodity],Commodities[Commodity code])</f>
        <v>3000</v>
      </c>
      <c r="BH134" s="26" t="str">
        <f>_xlfn.XLOOKUP(Transformation[[#This Row],[tto]],Transactions[Transaction name],Transactions[Transaction code])</f>
        <v>016NGE</v>
      </c>
      <c r="BI134" s="11">
        <v>1</v>
      </c>
      <c r="BJ134" s="4" t="s">
        <v>446</v>
      </c>
      <c r="BK134" s="24" t="str">
        <f>_xlfn.XLOOKUP(Transformation[[#This Row],[Commodity from]],Commodities[Commodity code],Commodities[EnergyCode])</f>
        <v>NG</v>
      </c>
      <c r="BL134" s="4" t="s">
        <v>690</v>
      </c>
      <c r="BM134" s="4" t="s">
        <v>446</v>
      </c>
      <c r="BN134" s="24" t="str">
        <f>_xlfn.XLOOKUP(Transformation[[#This Row],[Commodity to]],Commodities[Commodity code],Commodities[EnergyCode])</f>
        <v>NG</v>
      </c>
      <c r="BO134" s="4" t="s">
        <v>1238</v>
      </c>
      <c r="BP134" s="16" t="s">
        <v>1493</v>
      </c>
      <c r="BQ134" s="33" t="str">
        <f>Transformation[[#This Row],[Commodity from]]&amp;Transformation[[#This Row],[Transaction from]]&amp;Transformation[[#This Row],[Commodity to]]&amp;Transformation[[#This Row],[Transaction to]]</f>
        <v>3000088123000016NGE</v>
      </c>
      <c r="BR134" s="26" t="str">
        <f>Transformation[[#This Row],[crfomid]]&amp;Transformation[[#This Row],[Transaction from]]&amp;"("&amp;Transformation[[#This Row],[Multiplier]]&amp;") -&gt; "&amp;Transformation[[#This Row],[ctoid]]&amp;Transformation[[#This Row],[Transaction to]]</f>
        <v>NG08812(1) -&gt; NG016NGE</v>
      </c>
    </row>
    <row r="135" spans="25:70" x14ac:dyDescent="0.45">
      <c r="Y135" s="4" t="s">
        <v>621</v>
      </c>
      <c r="Z135" s="4" t="s">
        <v>859</v>
      </c>
      <c r="AA135" s="4" t="s">
        <v>859</v>
      </c>
      <c r="AC135" s="24" t="str">
        <f>IFERROR(VLOOKUP(Transactions[[#This Row],[Parent code]],Transactions[[Transaction code]:[Transaction name]],2,0),"")</f>
        <v/>
      </c>
      <c r="AD135" s="4" t="s">
        <v>189</v>
      </c>
      <c r="AF135" s="4" t="s">
        <v>642</v>
      </c>
      <c r="AH135" s="4" t="s">
        <v>696</v>
      </c>
      <c r="AK135" s="24" t="str" cm="1">
        <f t="array" ref="AK135">IFERROR(INDEX(Transactions[[Transaction code]:[Transaction name]],_xlfn.XMATCH(Transactions[[#This Row],[Parent code]],Transactions[Transaction name],0),3),Transactions[[#This Row],[Transaction name]])</f>
        <v>Liquefaction plants (S)</v>
      </c>
      <c r="AL135" s="24" t="str" cm="1">
        <f t="array" ref="AL135">IFERROR(INDEX(Transactions[[Transaction code]:[Transaction name]],_xlfn.XMATCH(INDEX(Transactions[[Transaction name]:[Parent code]],_xlfn.XMATCH(Transactions[[#This Row],[L1N]],Transactions[Transaction name],0),3),Transactions[Transaction code],0),2),Transactions[[#This Row],[L1N]])</f>
        <v>Liquefaction plants (S)</v>
      </c>
      <c r="AM135" s="24" t="str" cm="1">
        <f t="array" ref="AM135">IFERROR(INDEX(Transactions[[Transaction code]:[Transaction name]],_xlfn.XMATCH(INDEX(Transactions[[Transaction name]:[Parent code]],_xlfn.XMATCH(Transactions[[#This Row],[L2N]],Transactions[Transaction name],0),3),Transactions[Transaction code],0),2),Transactions[[#This Row],[L2N]])</f>
        <v>Liquefaction plants (S)</v>
      </c>
      <c r="AN135" s="24" t="str" cm="1">
        <f t="array" ref="AN135">IFERROR(INDEX(Transactions[[Transaction code]:[Transaction name]],_xlfn.XMATCH(INDEX(Transactions[[Transaction name]:[Parent code]],_xlfn.XMATCH(Transactions[[#This Row],[L3N]],Transactions[Transaction name],0),3),Transactions[Transaction code],0),2),Transactions[[#This Row],[L3N]])</f>
        <v>Liquefaction plants (S)</v>
      </c>
      <c r="AO135" s="24" t="str" cm="1">
        <f t="array" ref="AO135">IFERROR(INDEX(Transactions[[Transaction code]:[Transaction name]],_xlfn.XMATCH(INDEX(Transactions[[Transaction name]:[Parent code]],_xlfn.XMATCH(Transactions[[#This Row],[L4N]],Transactions[Transaction name],0),3),Transactions[Transaction code],0),2),Transactions[[#This Row],[L4N]])</f>
        <v>Liquefaction plants (S)</v>
      </c>
      <c r="AP135" s="24" t="str" cm="1">
        <f t="array" ref="AP135">IFERROR(INDEX(Transactions[[Transaction code]:[Transaction name]],_xlfn.XMATCH(INDEX(Transactions[[Transaction name]:[Parent code]],_xlfn.XMATCH(Transactions[[#This Row],[L5N]],Transactions[Transaction name],0),3),Transactions[Transaction code],0),2),Transactions[[#This Row],[L5N]])</f>
        <v>Liquefaction plants (S)</v>
      </c>
      <c r="AQ135" s="24" t="str" cm="1">
        <f t="array" ref="AQ135">IFERROR(INDEX(Transactions[[Transaction code]:[Transaction name]],_xlfn.XMATCH(INDEX(Transactions[[Transaction name]:[Parent code]],_xlfn.XMATCH(Transactions[[#This Row],[L6N]],Transactions[Transaction name],0),3),Transactions[Transaction code],0),2),Transactions[[#This Row],[L6N]])</f>
        <v>Liquefaction plants (S)</v>
      </c>
      <c r="AR135" s="28" t="str">
        <f>IF(Transactions[[#This Row],[L7N]]=Transactions[[#This Row],[L6N]],Transactions[[#This Row],[L7N]],IF(Transactions[[#This Row],[L6N]]=Transactions[[#This Row],[L5N]],Transactions[[#This Row],[L6N]],IF(Transactions[[#This Row],[L5N]]=Transactions[[#This Row],[L4N]],Transactions[[#This Row],[L5N]],IF(Transactions[[#This Row],[L4N]]=Transactions[[#This Row],[L3N]],Transactions[[#This Row],[L4N]],IF(Transactions[[#This Row],[L3N]]=Transactions[[#This Row],[L2N]],Transactions[[#This Row],[L3N]],IF(Transactions[[#This Row],[L2N]]=Transactions[[#This Row],[L1N]],Transactions[[#This Row],[L2N]],IF(Transactions[[#This Row],[L1N]]=Transactions[[#This Row],[Transaction name]],Transactions[[#This Row],[L1N]],Transactions[[#This Row],[Transaction name]])))))))</f>
        <v>Liquefaction plants (S)</v>
      </c>
      <c r="AS135" s="24" t="str">
        <f>IF(Transactions[[#This Row],[Level 0]]=Transactions[[#This Row],[Transaction name]],Transactions[[#This Row],[Transaction name]],IF(Transactions[[#This Row],[Level 0]]=Transactions[[#This Row],[L1N]],Transactions[[#This Row],[Transaction name]],IF(Transactions[[#This Row],[Level 0]]=Transactions[[#This Row],[L2N]],Transactions[[#This Row],[L1N]],IF(Transactions[[#This Row],[Level 0]]=Transactions[[#This Row],[L3N]],Transactions[[#This Row],[L2N]],IF(Transactions[[#This Row],[Level 0]]=Transactions[[#This Row],[L4N]],Transactions[[#This Row],[L3N]],IF(Transactions[[#This Row],[Level 0]]=Transactions[[#This Row],[L5N]],Transactions[[#This Row],[L4N]],IF(Transactions[[#This Row],[Level 0]]=Transactions[[#This Row],[L6N]],Transactions[[#This Row],[L5N]],IF(Transactions[[#This Row],[Level 0]]=Transactions[[#This Row],[L7N]],Transactions[[#This Row],[L6N]],Transactions[[#This Row],[L7N]]))))))))</f>
        <v>Liquefaction plants (S)</v>
      </c>
      <c r="AT135" s="24" t="str">
        <f>IF(Transactions[[#This Row],[Level 1]]=Transactions[[#This Row],[Transaction name]],Transactions[[#This Row],[Transaction name]],IF(Transactions[[#This Row],[Level 1]]=Transactions[[#This Row],[L1N]],Transactions[[#This Row],[Transaction name]],IF(Transactions[[#This Row],[Level 1]]=Transactions[[#This Row],[L2N]],Transactions[[#This Row],[L1N]],IF(Transactions[[#This Row],[Level 1]]=Transactions[[#This Row],[L3N]],Transactions[[#This Row],[L2N]],IF(Transactions[[#This Row],[Level 1]]=Transactions[[#This Row],[L4N]],Transactions[[#This Row],[L3N]],IF(Transactions[[#This Row],[Level 1]]=Transactions[[#This Row],[L5N]],Transactions[[#This Row],[L4N]],IF(Transactions[[#This Row],[Level 1]]=Transactions[[#This Row],[L6N]],Transactions[[#This Row],[L5N]],IF(Transactions[[#This Row],[Level 1]]=Transactions[[#This Row],[L7N]],Transactions[[#This Row],[L6N]],Transactions[[#This Row],[L7N]]))))))))</f>
        <v>Liquefaction plants (S)</v>
      </c>
      <c r="AU135" s="24" t="str">
        <f>IF(Transactions[[#This Row],[Level 2]]=Transactions[[#This Row],[Transaction name]],Transactions[[#This Row],[Transaction name]],IF(Transactions[[#This Row],[Level 2]]=Transactions[[#This Row],[L1N]],Transactions[[#This Row],[Transaction name]],IF(Transactions[[#This Row],[Level 2]]=Transactions[[#This Row],[L2N]],Transactions[[#This Row],[L1N]],IF(Transactions[[#This Row],[Level 2]]=Transactions[[#This Row],[L3N]],Transactions[[#This Row],[L2N]],IF(Transactions[[#This Row],[Level 2]]=Transactions[[#This Row],[L4N]],Transactions[[#This Row],[L3N]],IF(Transactions[[#This Row],[Level 2]]=Transactions[[#This Row],[L5N]],Transactions[[#This Row],[L4N]],IF(Transactions[[#This Row],[Level 2]]=Transactions[[#This Row],[L6N]],Transactions[[#This Row],[L5N]],IF(Transactions[[#This Row],[Level 2]]=Transactions[[#This Row],[L7N]],Transactions[[#This Row],[L6N]],Transactions[[#This Row],[L7N]]))))))))</f>
        <v>Liquefaction plants (S)</v>
      </c>
      <c r="AV135" s="24" t="str">
        <f>IF(Transactions[[#This Row],[Level 3]]=Transactions[[#This Row],[Transaction name]],Transactions[[#This Row],[Transaction name]],IF(Transactions[[#This Row],[Level 3]]=Transactions[[#This Row],[L1N]],Transactions[[#This Row],[Transaction name]],IF(Transactions[[#This Row],[Level 3]]=Transactions[[#This Row],[L2N]],Transactions[[#This Row],[L1N]],IF(Transactions[[#This Row],[Level 3]]=Transactions[[#This Row],[L3N]],Transactions[[#This Row],[L2N]],IF(Transactions[[#This Row],[Level 3]]=Transactions[[#This Row],[L4N]],Transactions[[#This Row],[L3N]],IF(Transactions[[#This Row],[Level 3]]=Transactions[[#This Row],[L5N]],Transactions[[#This Row],[L4N]],IF(Transactions[[#This Row],[Level 3]]=Transactions[[#This Row],[L6N]],Transactions[[#This Row],[L5N]],IF(Transactions[[#This Row],[Level 3]]=Transactions[[#This Row],[L7N]],Transactions[[#This Row],[L6N]],Transactions[[#This Row],[L7N]]))))))))</f>
        <v>Liquefaction plants (S)</v>
      </c>
      <c r="AW135" s="24" t="str">
        <f>IF(Transactions[[#This Row],[Level 4]]=Transactions[[#This Row],[Transaction name]],Transactions[[#This Row],[Transaction name]],IF(Transactions[[#This Row],[Level 4]]=Transactions[[#This Row],[L1N]],Transactions[[#This Row],[Transaction name]],IF(Transactions[[#This Row],[Level 4]]=Transactions[[#This Row],[L2N]],Transactions[[#This Row],[L1N]],IF(Transactions[[#This Row],[Level 4]]=Transactions[[#This Row],[L3N]],Transactions[[#This Row],[L2N]],IF(Transactions[[#This Row],[Level 4]]=Transactions[[#This Row],[L4N]],Transactions[[#This Row],[L3N]],IF(Transactions[[#This Row],[Level 4]]=Transactions[[#This Row],[L5N]],Transactions[[#This Row],[L4N]],IF(Transactions[[#This Row],[Level 4]]=Transactions[[#This Row],[L6N]],Transactions[[#This Row],[L5N]],IF(Transactions[[#This Row],[Level 4]]=Transactions[[#This Row],[L7N]],Transactions[[#This Row],[L6N]],Transactions[[#This Row],[L7N]]))))))))</f>
        <v>Liquefaction plants (S)</v>
      </c>
      <c r="AX135" s="24" t="str">
        <f>IF(Transactions[[#This Row],[Level 5]]=Transactions[[#This Row],[Transaction name]],Transactions[[#This Row],[Transaction name]],IF(Transactions[[#This Row],[Level 5]]=Transactions[[#This Row],[L1N]],Transactions[[#This Row],[Transaction name]],IF(Transactions[[#This Row],[Level 5]]=Transactions[[#This Row],[L2N]],Transactions[[#This Row],[L1N]],IF(Transactions[[#This Row],[Level 5]]=Transactions[[#This Row],[L3N]],Transactions[[#This Row],[L2N]],IF(Transactions[[#This Row],[Level 5]]=Transactions[[#This Row],[L4N]],Transactions[[#This Row],[L3N]],IF(Transactions[[#This Row],[Level 5]]=Transactions[[#This Row],[L5N]],Transactions[[#This Row],[L4N]],IF(Transactions[[#This Row],[Level 5]]=Transactions[[#This Row],[L6N]],Transactions[[#This Row],[L5N]],IF(Transactions[[#This Row],[Level 5]]=Transactions[[#This Row],[L7N]],Transactions[[#This Row],[L6N]],Transactions[[#This Row],[L7N]]))))))))</f>
        <v>Liquefaction plants (S)</v>
      </c>
      <c r="AY135" s="24" t="str">
        <f>IF(Transactions[[#This Row],[Level 6]]=Transactions[[#This Row],[Transaction name]],Transactions[[#This Row],[Transaction name]],IF(Transactions[[#This Row],[Level 6]]=Transactions[[#This Row],[L1N]],Transactions[[#This Row],[Transaction name]],IF(Transactions[[#This Row],[Level 6]]=Transactions[[#This Row],[L2N]],Transactions[[#This Row],[L1N]],IF(Transactions[[#This Row],[Level 6]]=Transactions[[#This Row],[L3N]],Transactions[[#This Row],[L2N]],IF(Transactions[[#This Row],[Level 6]]=Transactions[[#This Row],[L4N]],Transactions[[#This Row],[L3N]],IF(Transactions[[#This Row],[Level 6]]=Transactions[[#This Row],[L5N]],Transactions[[#This Row],[L4N]],IF(Transactions[[#This Row],[Level 6]]=Transactions[[#This Row],[L6N]],Transactions[[#This Row],[L5N]],IF(Transactions[[#This Row],[Level 6]]=Transactions[[#This Row],[L7N]],Transactions[[#This Row],[L6N]],Transactions[[#This Row],[L7N]]))))))))</f>
        <v>Liquefaction plants (S)</v>
      </c>
      <c r="BE135" s="26" t="str">
        <f>_xlfn.XLOOKUP(Transformation[[#This Row],[cfrom]],Commodities[Commodity],Commodities[Commodity code])</f>
        <v>4640</v>
      </c>
      <c r="BF135" s="26" t="str">
        <f>_xlfn.XLOOKUP(Transformation[[#This Row],[tfrom]],Transactions[Transaction name],Transactions[Transaction code])</f>
        <v>08812</v>
      </c>
      <c r="BG135" s="26" t="str">
        <f>_xlfn.XLOOKUP(Transformation[[#This Row],[cto]],Commodities[Commodity],Commodities[Commodity code])</f>
        <v>4640</v>
      </c>
      <c r="BH135" s="26" t="str">
        <f>_xlfn.XLOOKUP(Transformation[[#This Row],[tto]],Transactions[Transaction name],Transactions[Transaction code])</f>
        <v>016OPE</v>
      </c>
      <c r="BI135" s="11">
        <v>1</v>
      </c>
      <c r="BJ135" s="4" t="s">
        <v>405</v>
      </c>
      <c r="BK135" s="24" t="str">
        <f>_xlfn.XLOOKUP(Transformation[[#This Row],[Commodity from]],Commodities[Commodity code],Commodities[EnergyCode])</f>
        <v>NP</v>
      </c>
      <c r="BL135" s="4" t="s">
        <v>690</v>
      </c>
      <c r="BM135" s="4" t="s">
        <v>405</v>
      </c>
      <c r="BN135" s="24" t="str">
        <f>_xlfn.XLOOKUP(Transformation[[#This Row],[Commodity to]],Commodities[Commodity code],Commodities[EnergyCode])</f>
        <v>NP</v>
      </c>
      <c r="BO135" s="4" t="s">
        <v>1055</v>
      </c>
      <c r="BP135" s="16" t="s">
        <v>1493</v>
      </c>
      <c r="BQ135" s="33" t="str">
        <f>Transformation[[#This Row],[Commodity from]]&amp;Transformation[[#This Row],[Transaction from]]&amp;Transformation[[#This Row],[Commodity to]]&amp;Transformation[[#This Row],[Transaction to]]</f>
        <v>4640088124640016OPE</v>
      </c>
      <c r="BR135" s="26" t="str">
        <f>Transformation[[#This Row],[crfomid]]&amp;Transformation[[#This Row],[Transaction from]]&amp;"("&amp;Transformation[[#This Row],[Multiplier]]&amp;") -&gt; "&amp;Transformation[[#This Row],[ctoid]]&amp;Transformation[[#This Row],[Transaction to]]</f>
        <v>NP08812(1) -&gt; NP016OPE</v>
      </c>
    </row>
    <row r="136" spans="25:70" x14ac:dyDescent="0.45">
      <c r="Y136" s="5" t="s">
        <v>143</v>
      </c>
      <c r="Z136" s="4" t="s">
        <v>142</v>
      </c>
      <c r="AA136" s="4" t="s">
        <v>142</v>
      </c>
      <c r="AC136" s="24" t="str">
        <f>IFERROR(VLOOKUP(Transactions[[#This Row],[Parent code]],Transactions[[Transaction code]:[Transaction name]],2,0),"")</f>
        <v/>
      </c>
      <c r="AD136" s="4" t="s">
        <v>142</v>
      </c>
      <c r="AE136" s="4" t="s">
        <v>142</v>
      </c>
      <c r="AF136" s="4" t="s">
        <v>642</v>
      </c>
      <c r="AG136" s="4" t="s">
        <v>1</v>
      </c>
      <c r="AH136" s="4" t="s">
        <v>695</v>
      </c>
      <c r="AK136" s="24" t="str" cm="1">
        <f t="array" ref="AK136">IFERROR(INDEX(Transactions[[Transaction code]:[Transaction name]],_xlfn.XMATCH(Transactions[[#This Row],[Parent code]],Transactions[Transaction name],0),3),Transactions[[#This Row],[Transaction name]])</f>
        <v>Losses</v>
      </c>
      <c r="AL136" s="24" t="str" cm="1">
        <f t="array" ref="AL136">IFERROR(INDEX(Transactions[[Transaction code]:[Transaction name]],_xlfn.XMATCH(INDEX(Transactions[[Transaction name]:[Parent code]],_xlfn.XMATCH(Transactions[[#This Row],[L1N]],Transactions[Transaction name],0),3),Transactions[Transaction code],0),2),Transactions[[#This Row],[L1N]])</f>
        <v>Losses</v>
      </c>
      <c r="AM136" s="24" t="str" cm="1">
        <f t="array" ref="AM136">IFERROR(INDEX(Transactions[[Transaction code]:[Transaction name]],_xlfn.XMATCH(INDEX(Transactions[[Transaction name]:[Parent code]],_xlfn.XMATCH(Transactions[[#This Row],[L2N]],Transactions[Transaction name],0),3),Transactions[Transaction code],0),2),Transactions[[#This Row],[L2N]])</f>
        <v>Losses</v>
      </c>
      <c r="AN136" s="24" t="str" cm="1">
        <f t="array" ref="AN136">IFERROR(INDEX(Transactions[[Transaction code]:[Transaction name]],_xlfn.XMATCH(INDEX(Transactions[[Transaction name]:[Parent code]],_xlfn.XMATCH(Transactions[[#This Row],[L3N]],Transactions[Transaction name],0),3),Transactions[Transaction code],0),2),Transactions[[#This Row],[L3N]])</f>
        <v>Losses</v>
      </c>
      <c r="AO136" s="24" t="str" cm="1">
        <f t="array" ref="AO136">IFERROR(INDEX(Transactions[[Transaction code]:[Transaction name]],_xlfn.XMATCH(INDEX(Transactions[[Transaction name]:[Parent code]],_xlfn.XMATCH(Transactions[[#This Row],[L4N]],Transactions[Transaction name],0),3),Transactions[Transaction code],0),2),Transactions[[#This Row],[L4N]])</f>
        <v>Losses</v>
      </c>
      <c r="AP136" s="24" t="str" cm="1">
        <f t="array" ref="AP136">IFERROR(INDEX(Transactions[[Transaction code]:[Transaction name]],_xlfn.XMATCH(INDEX(Transactions[[Transaction name]:[Parent code]],_xlfn.XMATCH(Transactions[[#This Row],[L5N]],Transactions[Transaction name],0),3),Transactions[Transaction code],0),2),Transactions[[#This Row],[L5N]])</f>
        <v>Losses</v>
      </c>
      <c r="AQ136" s="24" t="str" cm="1">
        <f t="array" ref="AQ136">IFERROR(INDEX(Transactions[[Transaction code]:[Transaction name]],_xlfn.XMATCH(INDEX(Transactions[[Transaction name]:[Parent code]],_xlfn.XMATCH(Transactions[[#This Row],[L6N]],Transactions[Transaction name],0),3),Transactions[Transaction code],0),2),Transactions[[#This Row],[L6N]])</f>
        <v>Losses</v>
      </c>
      <c r="AR136" s="28" t="str">
        <f>IF(Transactions[[#This Row],[L7N]]=Transactions[[#This Row],[L6N]],Transactions[[#This Row],[L7N]],IF(Transactions[[#This Row],[L6N]]=Transactions[[#This Row],[L5N]],Transactions[[#This Row],[L6N]],IF(Transactions[[#This Row],[L5N]]=Transactions[[#This Row],[L4N]],Transactions[[#This Row],[L5N]],IF(Transactions[[#This Row],[L4N]]=Transactions[[#This Row],[L3N]],Transactions[[#This Row],[L4N]],IF(Transactions[[#This Row],[L3N]]=Transactions[[#This Row],[L2N]],Transactions[[#This Row],[L3N]],IF(Transactions[[#This Row],[L2N]]=Transactions[[#This Row],[L1N]],Transactions[[#This Row],[L2N]],IF(Transactions[[#This Row],[L1N]]=Transactions[[#This Row],[Transaction name]],Transactions[[#This Row],[L1N]],Transactions[[#This Row],[Transaction name]])))))))</f>
        <v>Losses</v>
      </c>
      <c r="AS136" s="24" t="str">
        <f>IF(Transactions[[#This Row],[Level 0]]=Transactions[[#This Row],[Transaction name]],Transactions[[#This Row],[Transaction name]],IF(Transactions[[#This Row],[Level 0]]=Transactions[[#This Row],[L1N]],Transactions[[#This Row],[Transaction name]],IF(Transactions[[#This Row],[Level 0]]=Transactions[[#This Row],[L2N]],Transactions[[#This Row],[L1N]],IF(Transactions[[#This Row],[Level 0]]=Transactions[[#This Row],[L3N]],Transactions[[#This Row],[L2N]],IF(Transactions[[#This Row],[Level 0]]=Transactions[[#This Row],[L4N]],Transactions[[#This Row],[L3N]],IF(Transactions[[#This Row],[Level 0]]=Transactions[[#This Row],[L5N]],Transactions[[#This Row],[L4N]],IF(Transactions[[#This Row],[Level 0]]=Transactions[[#This Row],[L6N]],Transactions[[#This Row],[L5N]],IF(Transactions[[#This Row],[Level 0]]=Transactions[[#This Row],[L7N]],Transactions[[#This Row],[L6N]],Transactions[[#This Row],[L7N]]))))))))</f>
        <v>Losses</v>
      </c>
      <c r="AT136" s="24" t="str">
        <f>IF(Transactions[[#This Row],[Level 1]]=Transactions[[#This Row],[Transaction name]],Transactions[[#This Row],[Transaction name]],IF(Transactions[[#This Row],[Level 1]]=Transactions[[#This Row],[L1N]],Transactions[[#This Row],[Transaction name]],IF(Transactions[[#This Row],[Level 1]]=Transactions[[#This Row],[L2N]],Transactions[[#This Row],[L1N]],IF(Transactions[[#This Row],[Level 1]]=Transactions[[#This Row],[L3N]],Transactions[[#This Row],[L2N]],IF(Transactions[[#This Row],[Level 1]]=Transactions[[#This Row],[L4N]],Transactions[[#This Row],[L3N]],IF(Transactions[[#This Row],[Level 1]]=Transactions[[#This Row],[L5N]],Transactions[[#This Row],[L4N]],IF(Transactions[[#This Row],[Level 1]]=Transactions[[#This Row],[L6N]],Transactions[[#This Row],[L5N]],IF(Transactions[[#This Row],[Level 1]]=Transactions[[#This Row],[L7N]],Transactions[[#This Row],[L6N]],Transactions[[#This Row],[L7N]]))))))))</f>
        <v>Losses</v>
      </c>
      <c r="AU136" s="24" t="str">
        <f>IF(Transactions[[#This Row],[Level 2]]=Transactions[[#This Row],[Transaction name]],Transactions[[#This Row],[Transaction name]],IF(Transactions[[#This Row],[Level 2]]=Transactions[[#This Row],[L1N]],Transactions[[#This Row],[Transaction name]],IF(Transactions[[#This Row],[Level 2]]=Transactions[[#This Row],[L2N]],Transactions[[#This Row],[L1N]],IF(Transactions[[#This Row],[Level 2]]=Transactions[[#This Row],[L3N]],Transactions[[#This Row],[L2N]],IF(Transactions[[#This Row],[Level 2]]=Transactions[[#This Row],[L4N]],Transactions[[#This Row],[L3N]],IF(Transactions[[#This Row],[Level 2]]=Transactions[[#This Row],[L5N]],Transactions[[#This Row],[L4N]],IF(Transactions[[#This Row],[Level 2]]=Transactions[[#This Row],[L6N]],Transactions[[#This Row],[L5N]],IF(Transactions[[#This Row],[Level 2]]=Transactions[[#This Row],[L7N]],Transactions[[#This Row],[L6N]],Transactions[[#This Row],[L7N]]))))))))</f>
        <v>Losses</v>
      </c>
      <c r="AV136" s="24" t="str">
        <f>IF(Transactions[[#This Row],[Level 3]]=Transactions[[#This Row],[Transaction name]],Transactions[[#This Row],[Transaction name]],IF(Transactions[[#This Row],[Level 3]]=Transactions[[#This Row],[L1N]],Transactions[[#This Row],[Transaction name]],IF(Transactions[[#This Row],[Level 3]]=Transactions[[#This Row],[L2N]],Transactions[[#This Row],[L1N]],IF(Transactions[[#This Row],[Level 3]]=Transactions[[#This Row],[L3N]],Transactions[[#This Row],[L2N]],IF(Transactions[[#This Row],[Level 3]]=Transactions[[#This Row],[L4N]],Transactions[[#This Row],[L3N]],IF(Transactions[[#This Row],[Level 3]]=Transactions[[#This Row],[L5N]],Transactions[[#This Row],[L4N]],IF(Transactions[[#This Row],[Level 3]]=Transactions[[#This Row],[L6N]],Transactions[[#This Row],[L5N]],IF(Transactions[[#This Row],[Level 3]]=Transactions[[#This Row],[L7N]],Transactions[[#This Row],[L6N]],Transactions[[#This Row],[L7N]]))))))))</f>
        <v>Losses</v>
      </c>
      <c r="AW136" s="24" t="str">
        <f>IF(Transactions[[#This Row],[Level 4]]=Transactions[[#This Row],[Transaction name]],Transactions[[#This Row],[Transaction name]],IF(Transactions[[#This Row],[Level 4]]=Transactions[[#This Row],[L1N]],Transactions[[#This Row],[Transaction name]],IF(Transactions[[#This Row],[Level 4]]=Transactions[[#This Row],[L2N]],Transactions[[#This Row],[L1N]],IF(Transactions[[#This Row],[Level 4]]=Transactions[[#This Row],[L3N]],Transactions[[#This Row],[L2N]],IF(Transactions[[#This Row],[Level 4]]=Transactions[[#This Row],[L4N]],Transactions[[#This Row],[L3N]],IF(Transactions[[#This Row],[Level 4]]=Transactions[[#This Row],[L5N]],Transactions[[#This Row],[L4N]],IF(Transactions[[#This Row],[Level 4]]=Transactions[[#This Row],[L6N]],Transactions[[#This Row],[L5N]],IF(Transactions[[#This Row],[Level 4]]=Transactions[[#This Row],[L7N]],Transactions[[#This Row],[L6N]],Transactions[[#This Row],[L7N]]))))))))</f>
        <v>Losses</v>
      </c>
      <c r="AX136" s="24" t="str">
        <f>IF(Transactions[[#This Row],[Level 5]]=Transactions[[#This Row],[Transaction name]],Transactions[[#This Row],[Transaction name]],IF(Transactions[[#This Row],[Level 5]]=Transactions[[#This Row],[L1N]],Transactions[[#This Row],[Transaction name]],IF(Transactions[[#This Row],[Level 5]]=Transactions[[#This Row],[L2N]],Transactions[[#This Row],[L1N]],IF(Transactions[[#This Row],[Level 5]]=Transactions[[#This Row],[L3N]],Transactions[[#This Row],[L2N]],IF(Transactions[[#This Row],[Level 5]]=Transactions[[#This Row],[L4N]],Transactions[[#This Row],[L3N]],IF(Transactions[[#This Row],[Level 5]]=Transactions[[#This Row],[L5N]],Transactions[[#This Row],[L4N]],IF(Transactions[[#This Row],[Level 5]]=Transactions[[#This Row],[L6N]],Transactions[[#This Row],[L5N]],IF(Transactions[[#This Row],[Level 5]]=Transactions[[#This Row],[L7N]],Transactions[[#This Row],[L6N]],Transactions[[#This Row],[L7N]]))))))))</f>
        <v>Losses</v>
      </c>
      <c r="AY136" s="24" t="str">
        <f>IF(Transactions[[#This Row],[Level 6]]=Transactions[[#This Row],[Transaction name]],Transactions[[#This Row],[Transaction name]],IF(Transactions[[#This Row],[Level 6]]=Transactions[[#This Row],[L1N]],Transactions[[#This Row],[Transaction name]],IF(Transactions[[#This Row],[Level 6]]=Transactions[[#This Row],[L2N]],Transactions[[#This Row],[L1N]],IF(Transactions[[#This Row],[Level 6]]=Transactions[[#This Row],[L3N]],Transactions[[#This Row],[L2N]],IF(Transactions[[#This Row],[Level 6]]=Transactions[[#This Row],[L4N]],Transactions[[#This Row],[L3N]],IF(Transactions[[#This Row],[Level 6]]=Transactions[[#This Row],[L5N]],Transactions[[#This Row],[L4N]],IF(Transactions[[#This Row],[Level 6]]=Transactions[[#This Row],[L6N]],Transactions[[#This Row],[L5N]],IF(Transactions[[#This Row],[Level 6]]=Transactions[[#This Row],[L7N]],Transactions[[#This Row],[L6N]],Transactions[[#This Row],[L7N]]))))))))</f>
        <v>Losses</v>
      </c>
      <c r="BE136" s="26" t="str">
        <f>_xlfn.XLOOKUP(Transformation[[#This Row],[cfrom]],Commodities[Commodity],Commodities[Commodity code])</f>
        <v>0350</v>
      </c>
      <c r="BF136" s="26" t="str">
        <f>_xlfn.XLOOKUP(Transformation[[#This Row],[tfrom]],Transactions[Transaction name],Transactions[Transaction code])</f>
        <v>08812</v>
      </c>
      <c r="BG136" s="26" t="str">
        <f>_xlfn.XLOOKUP(Transformation[[#This Row],[cto]],Commodities[Commodity],Commodities[Commodity code])</f>
        <v>0350</v>
      </c>
      <c r="BH136" s="26" t="str">
        <f>_xlfn.XLOOKUP(Transformation[[#This Row],[tto]],Transactions[Transaction name],Transactions[Transaction code])</f>
        <v>016CGE</v>
      </c>
      <c r="BI136" s="11">
        <v>1</v>
      </c>
      <c r="BJ136" s="4" t="s">
        <v>487</v>
      </c>
      <c r="BK136" s="24" t="str">
        <f>_xlfn.XLOOKUP(Transformation[[#This Row],[Commodity from]],Commodities[Commodity code],Commodities[EnergyCode])</f>
        <v>OG</v>
      </c>
      <c r="BL136" s="4" t="s">
        <v>690</v>
      </c>
      <c r="BM136" s="4" t="s">
        <v>487</v>
      </c>
      <c r="BN136" s="24" t="str">
        <f>_xlfn.XLOOKUP(Transformation[[#This Row],[Commodity to]],Commodities[Commodity code],Commodities[EnergyCode])</f>
        <v>OG</v>
      </c>
      <c r="BO136" s="4" t="s">
        <v>1222</v>
      </c>
      <c r="BP136" s="16" t="s">
        <v>1493</v>
      </c>
      <c r="BQ136" s="33" t="str">
        <f>Transformation[[#This Row],[Commodity from]]&amp;Transformation[[#This Row],[Transaction from]]&amp;Transformation[[#This Row],[Commodity to]]&amp;Transformation[[#This Row],[Transaction to]]</f>
        <v>0350088120350016CGE</v>
      </c>
      <c r="BR136" s="26" t="str">
        <f>Transformation[[#This Row],[crfomid]]&amp;Transformation[[#This Row],[Transaction from]]&amp;"("&amp;Transformation[[#This Row],[Multiplier]]&amp;") -&gt; "&amp;Transformation[[#This Row],[ctoid]]&amp;Transformation[[#This Row],[Transaction to]]</f>
        <v>OG08812(1) -&gt; OG016CGE</v>
      </c>
    </row>
    <row r="137" spans="25:70" x14ac:dyDescent="0.45">
      <c r="Y137" s="4" t="s">
        <v>495</v>
      </c>
      <c r="Z137" s="4" t="s">
        <v>860</v>
      </c>
      <c r="AA137" s="4" t="s">
        <v>860</v>
      </c>
      <c r="AC137" s="24" t="str">
        <f>IFERROR(VLOOKUP(Transactions[[#This Row],[Parent code]],Transactions[[Transaction code]:[Transaction name]],2,0),"")</f>
        <v/>
      </c>
      <c r="AD137" s="4" t="s">
        <v>189</v>
      </c>
      <c r="AF137" s="4" t="s">
        <v>642</v>
      </c>
      <c r="AG137" s="4" t="s">
        <v>385</v>
      </c>
      <c r="AK137" s="24" t="str" cm="1">
        <f t="array" ref="AK137">IFERROR(INDEX(Transactions[[Transaction code]:[Transaction name]],_xlfn.XMATCH(Transactions[[#This Row],[Parent code]],Transactions[Transaction name],0),3),Transactions[[#This Row],[Transaction name]])</f>
        <v>Losses (S)</v>
      </c>
      <c r="AL137" s="24" t="str" cm="1">
        <f t="array" ref="AL137">IFERROR(INDEX(Transactions[[Transaction code]:[Transaction name]],_xlfn.XMATCH(INDEX(Transactions[[Transaction name]:[Parent code]],_xlfn.XMATCH(Transactions[[#This Row],[L1N]],Transactions[Transaction name],0),3),Transactions[Transaction code],0),2),Transactions[[#This Row],[L1N]])</f>
        <v>Losses (S)</v>
      </c>
      <c r="AM137" s="24" t="str" cm="1">
        <f t="array" ref="AM137">IFERROR(INDEX(Transactions[[Transaction code]:[Transaction name]],_xlfn.XMATCH(INDEX(Transactions[[Transaction name]:[Parent code]],_xlfn.XMATCH(Transactions[[#This Row],[L2N]],Transactions[Transaction name],0),3),Transactions[Transaction code],0),2),Transactions[[#This Row],[L2N]])</f>
        <v>Losses (S)</v>
      </c>
      <c r="AN137" s="24" t="str" cm="1">
        <f t="array" ref="AN137">IFERROR(INDEX(Transactions[[Transaction code]:[Transaction name]],_xlfn.XMATCH(INDEX(Transactions[[Transaction name]:[Parent code]],_xlfn.XMATCH(Transactions[[#This Row],[L3N]],Transactions[Transaction name],0),3),Transactions[Transaction code],0),2),Transactions[[#This Row],[L3N]])</f>
        <v>Losses (S)</v>
      </c>
      <c r="AO137" s="24" t="str" cm="1">
        <f t="array" ref="AO137">IFERROR(INDEX(Transactions[[Transaction code]:[Transaction name]],_xlfn.XMATCH(INDEX(Transactions[[Transaction name]:[Parent code]],_xlfn.XMATCH(Transactions[[#This Row],[L4N]],Transactions[Transaction name],0),3),Transactions[Transaction code],0),2),Transactions[[#This Row],[L4N]])</f>
        <v>Losses (S)</v>
      </c>
      <c r="AP137" s="24" t="str" cm="1">
        <f t="array" ref="AP137">IFERROR(INDEX(Transactions[[Transaction code]:[Transaction name]],_xlfn.XMATCH(INDEX(Transactions[[Transaction name]:[Parent code]],_xlfn.XMATCH(Transactions[[#This Row],[L5N]],Transactions[Transaction name],0),3),Transactions[Transaction code],0),2),Transactions[[#This Row],[L5N]])</f>
        <v>Losses (S)</v>
      </c>
      <c r="AQ137" s="24" t="str" cm="1">
        <f t="array" ref="AQ137">IFERROR(INDEX(Transactions[[Transaction code]:[Transaction name]],_xlfn.XMATCH(INDEX(Transactions[[Transaction name]:[Parent code]],_xlfn.XMATCH(Transactions[[#This Row],[L6N]],Transactions[Transaction name],0),3),Transactions[Transaction code],0),2),Transactions[[#This Row],[L6N]])</f>
        <v>Losses (S)</v>
      </c>
      <c r="AR137" s="28" t="str">
        <f>IF(Transactions[[#This Row],[L7N]]=Transactions[[#This Row],[L6N]],Transactions[[#This Row],[L7N]],IF(Transactions[[#This Row],[L6N]]=Transactions[[#This Row],[L5N]],Transactions[[#This Row],[L6N]],IF(Transactions[[#This Row],[L5N]]=Transactions[[#This Row],[L4N]],Transactions[[#This Row],[L5N]],IF(Transactions[[#This Row],[L4N]]=Transactions[[#This Row],[L3N]],Transactions[[#This Row],[L4N]],IF(Transactions[[#This Row],[L3N]]=Transactions[[#This Row],[L2N]],Transactions[[#This Row],[L3N]],IF(Transactions[[#This Row],[L2N]]=Transactions[[#This Row],[L1N]],Transactions[[#This Row],[L2N]],IF(Transactions[[#This Row],[L1N]]=Transactions[[#This Row],[Transaction name]],Transactions[[#This Row],[L1N]],Transactions[[#This Row],[Transaction name]])))))))</f>
        <v>Losses (S)</v>
      </c>
      <c r="AS137" s="24" t="str">
        <f>IF(Transactions[[#This Row],[Level 0]]=Transactions[[#This Row],[Transaction name]],Transactions[[#This Row],[Transaction name]],IF(Transactions[[#This Row],[Level 0]]=Transactions[[#This Row],[L1N]],Transactions[[#This Row],[Transaction name]],IF(Transactions[[#This Row],[Level 0]]=Transactions[[#This Row],[L2N]],Transactions[[#This Row],[L1N]],IF(Transactions[[#This Row],[Level 0]]=Transactions[[#This Row],[L3N]],Transactions[[#This Row],[L2N]],IF(Transactions[[#This Row],[Level 0]]=Transactions[[#This Row],[L4N]],Transactions[[#This Row],[L3N]],IF(Transactions[[#This Row],[Level 0]]=Transactions[[#This Row],[L5N]],Transactions[[#This Row],[L4N]],IF(Transactions[[#This Row],[Level 0]]=Transactions[[#This Row],[L6N]],Transactions[[#This Row],[L5N]],IF(Transactions[[#This Row],[Level 0]]=Transactions[[#This Row],[L7N]],Transactions[[#This Row],[L6N]],Transactions[[#This Row],[L7N]]))))))))</f>
        <v>Losses (S)</v>
      </c>
      <c r="AT137" s="24" t="str">
        <f>IF(Transactions[[#This Row],[Level 1]]=Transactions[[#This Row],[Transaction name]],Transactions[[#This Row],[Transaction name]],IF(Transactions[[#This Row],[Level 1]]=Transactions[[#This Row],[L1N]],Transactions[[#This Row],[Transaction name]],IF(Transactions[[#This Row],[Level 1]]=Transactions[[#This Row],[L2N]],Transactions[[#This Row],[L1N]],IF(Transactions[[#This Row],[Level 1]]=Transactions[[#This Row],[L3N]],Transactions[[#This Row],[L2N]],IF(Transactions[[#This Row],[Level 1]]=Transactions[[#This Row],[L4N]],Transactions[[#This Row],[L3N]],IF(Transactions[[#This Row],[Level 1]]=Transactions[[#This Row],[L5N]],Transactions[[#This Row],[L4N]],IF(Transactions[[#This Row],[Level 1]]=Transactions[[#This Row],[L6N]],Transactions[[#This Row],[L5N]],IF(Transactions[[#This Row],[Level 1]]=Transactions[[#This Row],[L7N]],Transactions[[#This Row],[L6N]],Transactions[[#This Row],[L7N]]))))))))</f>
        <v>Losses (S)</v>
      </c>
      <c r="AU137" s="24" t="str">
        <f>IF(Transactions[[#This Row],[Level 2]]=Transactions[[#This Row],[Transaction name]],Transactions[[#This Row],[Transaction name]],IF(Transactions[[#This Row],[Level 2]]=Transactions[[#This Row],[L1N]],Transactions[[#This Row],[Transaction name]],IF(Transactions[[#This Row],[Level 2]]=Transactions[[#This Row],[L2N]],Transactions[[#This Row],[L1N]],IF(Transactions[[#This Row],[Level 2]]=Transactions[[#This Row],[L3N]],Transactions[[#This Row],[L2N]],IF(Transactions[[#This Row],[Level 2]]=Transactions[[#This Row],[L4N]],Transactions[[#This Row],[L3N]],IF(Transactions[[#This Row],[Level 2]]=Transactions[[#This Row],[L5N]],Transactions[[#This Row],[L4N]],IF(Transactions[[#This Row],[Level 2]]=Transactions[[#This Row],[L6N]],Transactions[[#This Row],[L5N]],IF(Transactions[[#This Row],[Level 2]]=Transactions[[#This Row],[L7N]],Transactions[[#This Row],[L6N]],Transactions[[#This Row],[L7N]]))))))))</f>
        <v>Losses (S)</v>
      </c>
      <c r="AV137" s="24" t="str">
        <f>IF(Transactions[[#This Row],[Level 3]]=Transactions[[#This Row],[Transaction name]],Transactions[[#This Row],[Transaction name]],IF(Transactions[[#This Row],[Level 3]]=Transactions[[#This Row],[L1N]],Transactions[[#This Row],[Transaction name]],IF(Transactions[[#This Row],[Level 3]]=Transactions[[#This Row],[L2N]],Transactions[[#This Row],[L1N]],IF(Transactions[[#This Row],[Level 3]]=Transactions[[#This Row],[L3N]],Transactions[[#This Row],[L2N]],IF(Transactions[[#This Row],[Level 3]]=Transactions[[#This Row],[L4N]],Transactions[[#This Row],[L3N]],IF(Transactions[[#This Row],[Level 3]]=Transactions[[#This Row],[L5N]],Transactions[[#This Row],[L4N]],IF(Transactions[[#This Row],[Level 3]]=Transactions[[#This Row],[L6N]],Transactions[[#This Row],[L5N]],IF(Transactions[[#This Row],[Level 3]]=Transactions[[#This Row],[L7N]],Transactions[[#This Row],[L6N]],Transactions[[#This Row],[L7N]]))))))))</f>
        <v>Losses (S)</v>
      </c>
      <c r="AW137" s="24" t="str">
        <f>IF(Transactions[[#This Row],[Level 4]]=Transactions[[#This Row],[Transaction name]],Transactions[[#This Row],[Transaction name]],IF(Transactions[[#This Row],[Level 4]]=Transactions[[#This Row],[L1N]],Transactions[[#This Row],[Transaction name]],IF(Transactions[[#This Row],[Level 4]]=Transactions[[#This Row],[L2N]],Transactions[[#This Row],[L1N]],IF(Transactions[[#This Row],[Level 4]]=Transactions[[#This Row],[L3N]],Transactions[[#This Row],[L2N]],IF(Transactions[[#This Row],[Level 4]]=Transactions[[#This Row],[L4N]],Transactions[[#This Row],[L3N]],IF(Transactions[[#This Row],[Level 4]]=Transactions[[#This Row],[L5N]],Transactions[[#This Row],[L4N]],IF(Transactions[[#This Row],[Level 4]]=Transactions[[#This Row],[L6N]],Transactions[[#This Row],[L5N]],IF(Transactions[[#This Row],[Level 4]]=Transactions[[#This Row],[L7N]],Transactions[[#This Row],[L6N]],Transactions[[#This Row],[L7N]]))))))))</f>
        <v>Losses (S)</v>
      </c>
      <c r="AX137" s="24" t="str">
        <f>IF(Transactions[[#This Row],[Level 5]]=Transactions[[#This Row],[Transaction name]],Transactions[[#This Row],[Transaction name]],IF(Transactions[[#This Row],[Level 5]]=Transactions[[#This Row],[L1N]],Transactions[[#This Row],[Transaction name]],IF(Transactions[[#This Row],[Level 5]]=Transactions[[#This Row],[L2N]],Transactions[[#This Row],[L1N]],IF(Transactions[[#This Row],[Level 5]]=Transactions[[#This Row],[L3N]],Transactions[[#This Row],[L2N]],IF(Transactions[[#This Row],[Level 5]]=Transactions[[#This Row],[L4N]],Transactions[[#This Row],[L3N]],IF(Transactions[[#This Row],[Level 5]]=Transactions[[#This Row],[L5N]],Transactions[[#This Row],[L4N]],IF(Transactions[[#This Row],[Level 5]]=Transactions[[#This Row],[L6N]],Transactions[[#This Row],[L5N]],IF(Transactions[[#This Row],[Level 5]]=Transactions[[#This Row],[L7N]],Transactions[[#This Row],[L6N]],Transactions[[#This Row],[L7N]]))))))))</f>
        <v>Losses (S)</v>
      </c>
      <c r="AY137" s="24" t="str">
        <f>IF(Transactions[[#This Row],[Level 6]]=Transactions[[#This Row],[Transaction name]],Transactions[[#This Row],[Transaction name]],IF(Transactions[[#This Row],[Level 6]]=Transactions[[#This Row],[L1N]],Transactions[[#This Row],[Transaction name]],IF(Transactions[[#This Row],[Level 6]]=Transactions[[#This Row],[L2N]],Transactions[[#This Row],[L1N]],IF(Transactions[[#This Row],[Level 6]]=Transactions[[#This Row],[L3N]],Transactions[[#This Row],[L2N]],IF(Transactions[[#This Row],[Level 6]]=Transactions[[#This Row],[L4N]],Transactions[[#This Row],[L3N]],IF(Transactions[[#This Row],[Level 6]]=Transactions[[#This Row],[L5N]],Transactions[[#This Row],[L4N]],IF(Transactions[[#This Row],[Level 6]]=Transactions[[#This Row],[L6N]],Transactions[[#This Row],[L5N]],IF(Transactions[[#This Row],[Level 6]]=Transactions[[#This Row],[L7N]],Transactions[[#This Row],[L6N]],Transactions[[#This Row],[L7N]]))))))))</f>
        <v>Losses (S)</v>
      </c>
      <c r="BE137" s="26" t="str">
        <f>_xlfn.XLOOKUP(Transformation[[#This Row],[cfrom]],Commodities[Commodity],Commodities[Commodity code])</f>
        <v>4500</v>
      </c>
      <c r="BF137" s="26" t="str">
        <f>_xlfn.XLOOKUP(Transformation[[#This Row],[tfrom]],Transactions[Transaction name],Transactions[Transaction code])</f>
        <v>08812</v>
      </c>
      <c r="BG137" s="26" t="str">
        <f>_xlfn.XLOOKUP(Transformation[[#This Row],[cto]],Commodities[Commodity],Commodities[Commodity code])</f>
        <v>4500</v>
      </c>
      <c r="BH137" s="26" t="str">
        <f>_xlfn.XLOOKUP(Transformation[[#This Row],[tto]],Transactions[Transaction name],Transactions[Transaction code])</f>
        <v>016COE</v>
      </c>
      <c r="BI137" s="31">
        <v>1</v>
      </c>
      <c r="BJ137" s="22" t="s">
        <v>424</v>
      </c>
      <c r="BK137" s="26" t="str">
        <f>_xlfn.XLOOKUP(Transformation[[#This Row],[Commodity from]],Commodities[Commodity code],Commodities[EnergyCode])</f>
        <v>OH</v>
      </c>
      <c r="BL137" s="22" t="s">
        <v>690</v>
      </c>
      <c r="BM137" s="22" t="s">
        <v>424</v>
      </c>
      <c r="BN137" s="26" t="str">
        <f>_xlfn.XLOOKUP(Transformation[[#This Row],[Commodity to]],Commodities[Commodity code],Commodities[EnergyCode])</f>
        <v>OH</v>
      </c>
      <c r="BO137" s="22" t="s">
        <v>1230</v>
      </c>
      <c r="BP137" s="22" t="s">
        <v>1493</v>
      </c>
      <c r="BQ137" s="33" t="str">
        <f>Transformation[[#This Row],[Commodity from]]&amp;Transformation[[#This Row],[Transaction from]]&amp;Transformation[[#This Row],[Commodity to]]&amp;Transformation[[#This Row],[Transaction to]]</f>
        <v>4500088124500016COE</v>
      </c>
      <c r="BR137" s="26" t="str">
        <f>Transformation[[#This Row],[crfomid]]&amp;Transformation[[#This Row],[Transaction from]]&amp;"("&amp;Transformation[[#This Row],[Multiplier]]&amp;") -&gt; "&amp;Transformation[[#This Row],[ctoid]]&amp;Transformation[[#This Row],[Transaction to]]</f>
        <v>OH08812(1) -&gt; OH016COE</v>
      </c>
    </row>
    <row r="138" spans="25:70" x14ac:dyDescent="0.45">
      <c r="Y138" s="4" t="s">
        <v>622</v>
      </c>
      <c r="Z138" s="4" t="s">
        <v>608</v>
      </c>
      <c r="AA138" s="4" t="s">
        <v>608</v>
      </c>
      <c r="AC138" s="24" t="str">
        <f>IFERROR(VLOOKUP(Transactions[[#This Row],[Parent code]],Transactions[[Transaction code]:[Transaction name]],2,0),"")</f>
        <v/>
      </c>
      <c r="AD138" s="4" t="s">
        <v>630</v>
      </c>
      <c r="AF138" s="4" t="s">
        <v>642</v>
      </c>
      <c r="AH138" s="4" t="s">
        <v>696</v>
      </c>
      <c r="AK138" s="24" t="str" cm="1">
        <f t="array" ref="AK138">IFERROR(INDEX(Transactions[[Transaction code]:[Transaction name]],_xlfn.XMATCH(Transactions[[#This Row],[Parent code]],Transactions[Transaction name],0),3),Transactions[[#This Row],[Transaction name]])</f>
        <v>Manufacturing  const. and mining</v>
      </c>
      <c r="AL138" s="24" t="str" cm="1">
        <f t="array" ref="AL138">IFERROR(INDEX(Transactions[[Transaction code]:[Transaction name]],_xlfn.XMATCH(INDEX(Transactions[[Transaction name]:[Parent code]],_xlfn.XMATCH(Transactions[[#This Row],[L1N]],Transactions[Transaction name],0),3),Transactions[Transaction code],0),2),Transactions[[#This Row],[L1N]])</f>
        <v>Manufacturing  const. and mining</v>
      </c>
      <c r="AM138" s="24" t="str" cm="1">
        <f t="array" ref="AM138">IFERROR(INDEX(Transactions[[Transaction code]:[Transaction name]],_xlfn.XMATCH(INDEX(Transactions[[Transaction name]:[Parent code]],_xlfn.XMATCH(Transactions[[#This Row],[L2N]],Transactions[Transaction name],0),3),Transactions[Transaction code],0),2),Transactions[[#This Row],[L2N]])</f>
        <v>Manufacturing  const. and mining</v>
      </c>
      <c r="AN138" s="24" t="str" cm="1">
        <f t="array" ref="AN138">IFERROR(INDEX(Transactions[[Transaction code]:[Transaction name]],_xlfn.XMATCH(INDEX(Transactions[[Transaction name]:[Parent code]],_xlfn.XMATCH(Transactions[[#This Row],[L3N]],Transactions[Transaction name],0),3),Transactions[Transaction code],0),2),Transactions[[#This Row],[L3N]])</f>
        <v>Manufacturing  const. and mining</v>
      </c>
      <c r="AO138" s="24" t="str" cm="1">
        <f t="array" ref="AO138">IFERROR(INDEX(Transactions[[Transaction code]:[Transaction name]],_xlfn.XMATCH(INDEX(Transactions[[Transaction name]:[Parent code]],_xlfn.XMATCH(Transactions[[#This Row],[L4N]],Transactions[Transaction name],0),3),Transactions[Transaction code],0),2),Transactions[[#This Row],[L4N]])</f>
        <v>Manufacturing  const. and mining</v>
      </c>
      <c r="AP138" s="24" t="str" cm="1">
        <f t="array" ref="AP138">IFERROR(INDEX(Transactions[[Transaction code]:[Transaction name]],_xlfn.XMATCH(INDEX(Transactions[[Transaction name]:[Parent code]],_xlfn.XMATCH(Transactions[[#This Row],[L5N]],Transactions[Transaction name],0),3),Transactions[Transaction code],0),2),Transactions[[#This Row],[L5N]])</f>
        <v>Manufacturing  const. and mining</v>
      </c>
      <c r="AQ138" s="24" t="str" cm="1">
        <f t="array" ref="AQ138">IFERROR(INDEX(Transactions[[Transaction code]:[Transaction name]],_xlfn.XMATCH(INDEX(Transactions[[Transaction name]:[Parent code]],_xlfn.XMATCH(Transactions[[#This Row],[L6N]],Transactions[Transaction name],0),3),Transactions[Transaction code],0),2),Transactions[[#This Row],[L6N]])</f>
        <v>Manufacturing  const. and mining</v>
      </c>
      <c r="AR138" s="28" t="str">
        <f>IF(Transactions[[#This Row],[L7N]]=Transactions[[#This Row],[L6N]],Transactions[[#This Row],[L7N]],IF(Transactions[[#This Row],[L6N]]=Transactions[[#This Row],[L5N]],Transactions[[#This Row],[L6N]],IF(Transactions[[#This Row],[L5N]]=Transactions[[#This Row],[L4N]],Transactions[[#This Row],[L5N]],IF(Transactions[[#This Row],[L4N]]=Transactions[[#This Row],[L3N]],Transactions[[#This Row],[L4N]],IF(Transactions[[#This Row],[L3N]]=Transactions[[#This Row],[L2N]],Transactions[[#This Row],[L3N]],IF(Transactions[[#This Row],[L2N]]=Transactions[[#This Row],[L1N]],Transactions[[#This Row],[L2N]],IF(Transactions[[#This Row],[L1N]]=Transactions[[#This Row],[Transaction name]],Transactions[[#This Row],[L1N]],Transactions[[#This Row],[Transaction name]])))))))</f>
        <v>Manufacturing  const. and mining</v>
      </c>
      <c r="AS138" s="24" t="str">
        <f>IF(Transactions[[#This Row],[Level 0]]=Transactions[[#This Row],[Transaction name]],Transactions[[#This Row],[Transaction name]],IF(Transactions[[#This Row],[Level 0]]=Transactions[[#This Row],[L1N]],Transactions[[#This Row],[Transaction name]],IF(Transactions[[#This Row],[Level 0]]=Transactions[[#This Row],[L2N]],Transactions[[#This Row],[L1N]],IF(Transactions[[#This Row],[Level 0]]=Transactions[[#This Row],[L3N]],Transactions[[#This Row],[L2N]],IF(Transactions[[#This Row],[Level 0]]=Transactions[[#This Row],[L4N]],Transactions[[#This Row],[L3N]],IF(Transactions[[#This Row],[Level 0]]=Transactions[[#This Row],[L5N]],Transactions[[#This Row],[L4N]],IF(Transactions[[#This Row],[Level 0]]=Transactions[[#This Row],[L6N]],Transactions[[#This Row],[L5N]],IF(Transactions[[#This Row],[Level 0]]=Transactions[[#This Row],[L7N]],Transactions[[#This Row],[L6N]],Transactions[[#This Row],[L7N]]))))))))</f>
        <v>Manufacturing  const. and mining</v>
      </c>
      <c r="AT138" s="24" t="str">
        <f>IF(Transactions[[#This Row],[Level 1]]=Transactions[[#This Row],[Transaction name]],Transactions[[#This Row],[Transaction name]],IF(Transactions[[#This Row],[Level 1]]=Transactions[[#This Row],[L1N]],Transactions[[#This Row],[Transaction name]],IF(Transactions[[#This Row],[Level 1]]=Transactions[[#This Row],[L2N]],Transactions[[#This Row],[L1N]],IF(Transactions[[#This Row],[Level 1]]=Transactions[[#This Row],[L3N]],Transactions[[#This Row],[L2N]],IF(Transactions[[#This Row],[Level 1]]=Transactions[[#This Row],[L4N]],Transactions[[#This Row],[L3N]],IF(Transactions[[#This Row],[Level 1]]=Transactions[[#This Row],[L5N]],Transactions[[#This Row],[L4N]],IF(Transactions[[#This Row],[Level 1]]=Transactions[[#This Row],[L6N]],Transactions[[#This Row],[L5N]],IF(Transactions[[#This Row],[Level 1]]=Transactions[[#This Row],[L7N]],Transactions[[#This Row],[L6N]],Transactions[[#This Row],[L7N]]))))))))</f>
        <v>Manufacturing  const. and mining</v>
      </c>
      <c r="AU138" s="24" t="str">
        <f>IF(Transactions[[#This Row],[Level 2]]=Transactions[[#This Row],[Transaction name]],Transactions[[#This Row],[Transaction name]],IF(Transactions[[#This Row],[Level 2]]=Transactions[[#This Row],[L1N]],Transactions[[#This Row],[Transaction name]],IF(Transactions[[#This Row],[Level 2]]=Transactions[[#This Row],[L2N]],Transactions[[#This Row],[L1N]],IF(Transactions[[#This Row],[Level 2]]=Transactions[[#This Row],[L3N]],Transactions[[#This Row],[L2N]],IF(Transactions[[#This Row],[Level 2]]=Transactions[[#This Row],[L4N]],Transactions[[#This Row],[L3N]],IF(Transactions[[#This Row],[Level 2]]=Transactions[[#This Row],[L5N]],Transactions[[#This Row],[L4N]],IF(Transactions[[#This Row],[Level 2]]=Transactions[[#This Row],[L6N]],Transactions[[#This Row],[L5N]],IF(Transactions[[#This Row],[Level 2]]=Transactions[[#This Row],[L7N]],Transactions[[#This Row],[L6N]],Transactions[[#This Row],[L7N]]))))))))</f>
        <v>Manufacturing  const. and mining</v>
      </c>
      <c r="AV138" s="24" t="str">
        <f>IF(Transactions[[#This Row],[Level 3]]=Transactions[[#This Row],[Transaction name]],Transactions[[#This Row],[Transaction name]],IF(Transactions[[#This Row],[Level 3]]=Transactions[[#This Row],[L1N]],Transactions[[#This Row],[Transaction name]],IF(Transactions[[#This Row],[Level 3]]=Transactions[[#This Row],[L2N]],Transactions[[#This Row],[L1N]],IF(Transactions[[#This Row],[Level 3]]=Transactions[[#This Row],[L3N]],Transactions[[#This Row],[L2N]],IF(Transactions[[#This Row],[Level 3]]=Transactions[[#This Row],[L4N]],Transactions[[#This Row],[L3N]],IF(Transactions[[#This Row],[Level 3]]=Transactions[[#This Row],[L5N]],Transactions[[#This Row],[L4N]],IF(Transactions[[#This Row],[Level 3]]=Transactions[[#This Row],[L6N]],Transactions[[#This Row],[L5N]],IF(Transactions[[#This Row],[Level 3]]=Transactions[[#This Row],[L7N]],Transactions[[#This Row],[L6N]],Transactions[[#This Row],[L7N]]))))))))</f>
        <v>Manufacturing  const. and mining</v>
      </c>
      <c r="AW138" s="24" t="str">
        <f>IF(Transactions[[#This Row],[Level 4]]=Transactions[[#This Row],[Transaction name]],Transactions[[#This Row],[Transaction name]],IF(Transactions[[#This Row],[Level 4]]=Transactions[[#This Row],[L1N]],Transactions[[#This Row],[Transaction name]],IF(Transactions[[#This Row],[Level 4]]=Transactions[[#This Row],[L2N]],Transactions[[#This Row],[L1N]],IF(Transactions[[#This Row],[Level 4]]=Transactions[[#This Row],[L3N]],Transactions[[#This Row],[L2N]],IF(Transactions[[#This Row],[Level 4]]=Transactions[[#This Row],[L4N]],Transactions[[#This Row],[L3N]],IF(Transactions[[#This Row],[Level 4]]=Transactions[[#This Row],[L5N]],Transactions[[#This Row],[L4N]],IF(Transactions[[#This Row],[Level 4]]=Transactions[[#This Row],[L6N]],Transactions[[#This Row],[L5N]],IF(Transactions[[#This Row],[Level 4]]=Transactions[[#This Row],[L7N]],Transactions[[#This Row],[L6N]],Transactions[[#This Row],[L7N]]))))))))</f>
        <v>Manufacturing  const. and mining</v>
      </c>
      <c r="AX138" s="24" t="str">
        <f>IF(Transactions[[#This Row],[Level 5]]=Transactions[[#This Row],[Transaction name]],Transactions[[#This Row],[Transaction name]],IF(Transactions[[#This Row],[Level 5]]=Transactions[[#This Row],[L1N]],Transactions[[#This Row],[Transaction name]],IF(Transactions[[#This Row],[Level 5]]=Transactions[[#This Row],[L2N]],Transactions[[#This Row],[L1N]],IF(Transactions[[#This Row],[Level 5]]=Transactions[[#This Row],[L3N]],Transactions[[#This Row],[L2N]],IF(Transactions[[#This Row],[Level 5]]=Transactions[[#This Row],[L4N]],Transactions[[#This Row],[L3N]],IF(Transactions[[#This Row],[Level 5]]=Transactions[[#This Row],[L5N]],Transactions[[#This Row],[L4N]],IF(Transactions[[#This Row],[Level 5]]=Transactions[[#This Row],[L6N]],Transactions[[#This Row],[L5N]],IF(Transactions[[#This Row],[Level 5]]=Transactions[[#This Row],[L7N]],Transactions[[#This Row],[L6N]],Transactions[[#This Row],[L7N]]))))))))</f>
        <v>Manufacturing  const. and mining</v>
      </c>
      <c r="AY138" s="24" t="str">
        <f>IF(Transactions[[#This Row],[Level 6]]=Transactions[[#This Row],[Transaction name]],Transactions[[#This Row],[Transaction name]],IF(Transactions[[#This Row],[Level 6]]=Transactions[[#This Row],[L1N]],Transactions[[#This Row],[Transaction name]],IF(Transactions[[#This Row],[Level 6]]=Transactions[[#This Row],[L2N]],Transactions[[#This Row],[L1N]],IF(Transactions[[#This Row],[Level 6]]=Transactions[[#This Row],[L3N]],Transactions[[#This Row],[L2N]],IF(Transactions[[#This Row],[Level 6]]=Transactions[[#This Row],[L4N]],Transactions[[#This Row],[L3N]],IF(Transactions[[#This Row],[Level 6]]=Transactions[[#This Row],[L5N]],Transactions[[#This Row],[L4N]],IF(Transactions[[#This Row],[Level 6]]=Transactions[[#This Row],[L6N]],Transactions[[#This Row],[L5N]],IF(Transactions[[#This Row],[Level 6]]=Transactions[[#This Row],[L7N]],Transactions[[#This Row],[L6N]],Transactions[[#This Row],[L7N]]))))))))</f>
        <v>Manufacturing  const. and mining</v>
      </c>
      <c r="BE138" s="26" t="str">
        <f>_xlfn.XLOOKUP(Transformation[[#This Row],[cfrom]],Commodities[Commodity],Commodities[Commodity code])</f>
        <v>0311</v>
      </c>
      <c r="BF138" s="26" t="str">
        <f>_xlfn.XLOOKUP(Transformation[[#This Row],[tfrom]],Transactions[Transaction name],Transactions[Transaction code])</f>
        <v>08812</v>
      </c>
      <c r="BG138" s="26" t="str">
        <f>_xlfn.XLOOKUP(Transformation[[#This Row],[cto]],Commodities[Commodity],Commodities[Commodity code])</f>
        <v>0311</v>
      </c>
      <c r="BH138" s="26" t="str">
        <f>_xlfn.XLOOKUP(Transformation[[#This Row],[tto]],Transactions[Transaction name],Transactions[Transaction code])</f>
        <v>016CSE</v>
      </c>
      <c r="BI138" s="11">
        <v>1</v>
      </c>
      <c r="BJ138" s="4" t="s">
        <v>500</v>
      </c>
      <c r="BK138" s="24" t="str">
        <f>_xlfn.XLOOKUP(Transformation[[#This Row],[Commodity from]],Commodities[Commodity code],Commodities[EnergyCode])</f>
        <v>OK</v>
      </c>
      <c r="BL138" s="4" t="s">
        <v>690</v>
      </c>
      <c r="BM138" s="4" t="s">
        <v>500</v>
      </c>
      <c r="BN138" s="24" t="str">
        <f>_xlfn.XLOOKUP(Transformation[[#This Row],[Commodity to]],Commodities[Commodity code],Commodities[EnergyCode])</f>
        <v>OK</v>
      </c>
      <c r="BO138" s="4" t="s">
        <v>1214</v>
      </c>
      <c r="BP138" s="16" t="s">
        <v>1493</v>
      </c>
      <c r="BQ138" s="33" t="str">
        <f>Transformation[[#This Row],[Commodity from]]&amp;Transformation[[#This Row],[Transaction from]]&amp;Transformation[[#This Row],[Commodity to]]&amp;Transformation[[#This Row],[Transaction to]]</f>
        <v>0311088120311016CSE</v>
      </c>
      <c r="BR138" s="26" t="str">
        <f>Transformation[[#This Row],[crfomid]]&amp;Transformation[[#This Row],[Transaction from]]&amp;"("&amp;Transformation[[#This Row],[Multiplier]]&amp;") -&gt; "&amp;Transformation[[#This Row],[ctoid]]&amp;Transformation[[#This Row],[Transaction to]]</f>
        <v>OK08812(1) -&gt; OK016CSE</v>
      </c>
    </row>
    <row r="139" spans="25:70" x14ac:dyDescent="0.45">
      <c r="Y139" s="4" t="s">
        <v>623</v>
      </c>
      <c r="Z139" s="4" t="s">
        <v>864</v>
      </c>
      <c r="AA139" s="4" t="s">
        <v>864</v>
      </c>
      <c r="AC139" s="24" t="str">
        <f>IFERROR(VLOOKUP(Transactions[[#This Row],[Parent code]],Transactions[[Transaction code]:[Transaction name]],2,0),"")</f>
        <v/>
      </c>
      <c r="AD139" s="4" t="s">
        <v>189</v>
      </c>
      <c r="AF139" s="4" t="s">
        <v>642</v>
      </c>
      <c r="AH139" s="4" t="s">
        <v>696</v>
      </c>
      <c r="AK139" s="24" t="str" cm="1">
        <f t="array" ref="AK139">IFERROR(INDEX(Transactions[[Transaction code]:[Transaction name]],_xlfn.XMATCH(Transactions[[#This Row],[Parent code]],Transactions[Transaction name],0),3),Transactions[[#This Row],[Transaction name]])</f>
        <v>NGL &amp; gas blending (S)</v>
      </c>
      <c r="AL139" s="24" t="str" cm="1">
        <f t="array" ref="AL139">IFERROR(INDEX(Transactions[[Transaction code]:[Transaction name]],_xlfn.XMATCH(INDEX(Transactions[[Transaction name]:[Parent code]],_xlfn.XMATCH(Transactions[[#This Row],[L1N]],Transactions[Transaction name],0),3),Transactions[Transaction code],0),2),Transactions[[#This Row],[L1N]])</f>
        <v>NGL &amp; gas blending (S)</v>
      </c>
      <c r="AM139" s="24" t="str" cm="1">
        <f t="array" ref="AM139">IFERROR(INDEX(Transactions[[Transaction code]:[Transaction name]],_xlfn.XMATCH(INDEX(Transactions[[Transaction name]:[Parent code]],_xlfn.XMATCH(Transactions[[#This Row],[L2N]],Transactions[Transaction name],0),3),Transactions[Transaction code],0),2),Transactions[[#This Row],[L2N]])</f>
        <v>NGL &amp; gas blending (S)</v>
      </c>
      <c r="AN139" s="24" t="str" cm="1">
        <f t="array" ref="AN139">IFERROR(INDEX(Transactions[[Transaction code]:[Transaction name]],_xlfn.XMATCH(INDEX(Transactions[[Transaction name]:[Parent code]],_xlfn.XMATCH(Transactions[[#This Row],[L3N]],Transactions[Transaction name],0),3),Transactions[Transaction code],0),2),Transactions[[#This Row],[L3N]])</f>
        <v>NGL &amp; gas blending (S)</v>
      </c>
      <c r="AO139" s="24" t="str" cm="1">
        <f t="array" ref="AO139">IFERROR(INDEX(Transactions[[Transaction code]:[Transaction name]],_xlfn.XMATCH(INDEX(Transactions[[Transaction name]:[Parent code]],_xlfn.XMATCH(Transactions[[#This Row],[L4N]],Transactions[Transaction name],0),3),Transactions[Transaction code],0),2),Transactions[[#This Row],[L4N]])</f>
        <v>NGL &amp; gas blending (S)</v>
      </c>
      <c r="AP139" s="24" t="str" cm="1">
        <f t="array" ref="AP139">IFERROR(INDEX(Transactions[[Transaction code]:[Transaction name]],_xlfn.XMATCH(INDEX(Transactions[[Transaction name]:[Parent code]],_xlfn.XMATCH(Transactions[[#This Row],[L5N]],Transactions[Transaction name],0),3),Transactions[Transaction code],0),2),Transactions[[#This Row],[L5N]])</f>
        <v>NGL &amp; gas blending (S)</v>
      </c>
      <c r="AQ139" s="24" t="str" cm="1">
        <f t="array" ref="AQ139">IFERROR(INDEX(Transactions[[Transaction code]:[Transaction name]],_xlfn.XMATCH(INDEX(Transactions[[Transaction name]:[Parent code]],_xlfn.XMATCH(Transactions[[#This Row],[L6N]],Transactions[Transaction name],0),3),Transactions[Transaction code],0),2),Transactions[[#This Row],[L6N]])</f>
        <v>NGL &amp; gas blending (S)</v>
      </c>
      <c r="AR139" s="28" t="str">
        <f>IF(Transactions[[#This Row],[L7N]]=Transactions[[#This Row],[L6N]],Transactions[[#This Row],[L7N]],IF(Transactions[[#This Row],[L6N]]=Transactions[[#This Row],[L5N]],Transactions[[#This Row],[L6N]],IF(Transactions[[#This Row],[L5N]]=Transactions[[#This Row],[L4N]],Transactions[[#This Row],[L5N]],IF(Transactions[[#This Row],[L4N]]=Transactions[[#This Row],[L3N]],Transactions[[#This Row],[L4N]],IF(Transactions[[#This Row],[L3N]]=Transactions[[#This Row],[L2N]],Transactions[[#This Row],[L3N]],IF(Transactions[[#This Row],[L2N]]=Transactions[[#This Row],[L1N]],Transactions[[#This Row],[L2N]],IF(Transactions[[#This Row],[L1N]]=Transactions[[#This Row],[Transaction name]],Transactions[[#This Row],[L1N]],Transactions[[#This Row],[Transaction name]])))))))</f>
        <v>NGL &amp; gas blending (S)</v>
      </c>
      <c r="AS139" s="24" t="str">
        <f>IF(Transactions[[#This Row],[Level 0]]=Transactions[[#This Row],[Transaction name]],Transactions[[#This Row],[Transaction name]],IF(Transactions[[#This Row],[Level 0]]=Transactions[[#This Row],[L1N]],Transactions[[#This Row],[Transaction name]],IF(Transactions[[#This Row],[Level 0]]=Transactions[[#This Row],[L2N]],Transactions[[#This Row],[L1N]],IF(Transactions[[#This Row],[Level 0]]=Transactions[[#This Row],[L3N]],Transactions[[#This Row],[L2N]],IF(Transactions[[#This Row],[Level 0]]=Transactions[[#This Row],[L4N]],Transactions[[#This Row],[L3N]],IF(Transactions[[#This Row],[Level 0]]=Transactions[[#This Row],[L5N]],Transactions[[#This Row],[L4N]],IF(Transactions[[#This Row],[Level 0]]=Transactions[[#This Row],[L6N]],Transactions[[#This Row],[L5N]],IF(Transactions[[#This Row],[Level 0]]=Transactions[[#This Row],[L7N]],Transactions[[#This Row],[L6N]],Transactions[[#This Row],[L7N]]))))))))</f>
        <v>NGL &amp; gas blending (S)</v>
      </c>
      <c r="AT139" s="24" t="str">
        <f>IF(Transactions[[#This Row],[Level 1]]=Transactions[[#This Row],[Transaction name]],Transactions[[#This Row],[Transaction name]],IF(Transactions[[#This Row],[Level 1]]=Transactions[[#This Row],[L1N]],Transactions[[#This Row],[Transaction name]],IF(Transactions[[#This Row],[Level 1]]=Transactions[[#This Row],[L2N]],Transactions[[#This Row],[L1N]],IF(Transactions[[#This Row],[Level 1]]=Transactions[[#This Row],[L3N]],Transactions[[#This Row],[L2N]],IF(Transactions[[#This Row],[Level 1]]=Transactions[[#This Row],[L4N]],Transactions[[#This Row],[L3N]],IF(Transactions[[#This Row],[Level 1]]=Transactions[[#This Row],[L5N]],Transactions[[#This Row],[L4N]],IF(Transactions[[#This Row],[Level 1]]=Transactions[[#This Row],[L6N]],Transactions[[#This Row],[L5N]],IF(Transactions[[#This Row],[Level 1]]=Transactions[[#This Row],[L7N]],Transactions[[#This Row],[L6N]],Transactions[[#This Row],[L7N]]))))))))</f>
        <v>NGL &amp; gas blending (S)</v>
      </c>
      <c r="AU139" s="24" t="str">
        <f>IF(Transactions[[#This Row],[Level 2]]=Transactions[[#This Row],[Transaction name]],Transactions[[#This Row],[Transaction name]],IF(Transactions[[#This Row],[Level 2]]=Transactions[[#This Row],[L1N]],Transactions[[#This Row],[Transaction name]],IF(Transactions[[#This Row],[Level 2]]=Transactions[[#This Row],[L2N]],Transactions[[#This Row],[L1N]],IF(Transactions[[#This Row],[Level 2]]=Transactions[[#This Row],[L3N]],Transactions[[#This Row],[L2N]],IF(Transactions[[#This Row],[Level 2]]=Transactions[[#This Row],[L4N]],Transactions[[#This Row],[L3N]],IF(Transactions[[#This Row],[Level 2]]=Transactions[[#This Row],[L5N]],Transactions[[#This Row],[L4N]],IF(Transactions[[#This Row],[Level 2]]=Transactions[[#This Row],[L6N]],Transactions[[#This Row],[L5N]],IF(Transactions[[#This Row],[Level 2]]=Transactions[[#This Row],[L7N]],Transactions[[#This Row],[L6N]],Transactions[[#This Row],[L7N]]))))))))</f>
        <v>NGL &amp; gas blending (S)</v>
      </c>
      <c r="AV139" s="24" t="str">
        <f>IF(Transactions[[#This Row],[Level 3]]=Transactions[[#This Row],[Transaction name]],Transactions[[#This Row],[Transaction name]],IF(Transactions[[#This Row],[Level 3]]=Transactions[[#This Row],[L1N]],Transactions[[#This Row],[Transaction name]],IF(Transactions[[#This Row],[Level 3]]=Transactions[[#This Row],[L2N]],Transactions[[#This Row],[L1N]],IF(Transactions[[#This Row],[Level 3]]=Transactions[[#This Row],[L3N]],Transactions[[#This Row],[L2N]],IF(Transactions[[#This Row],[Level 3]]=Transactions[[#This Row],[L4N]],Transactions[[#This Row],[L3N]],IF(Transactions[[#This Row],[Level 3]]=Transactions[[#This Row],[L5N]],Transactions[[#This Row],[L4N]],IF(Transactions[[#This Row],[Level 3]]=Transactions[[#This Row],[L6N]],Transactions[[#This Row],[L5N]],IF(Transactions[[#This Row],[Level 3]]=Transactions[[#This Row],[L7N]],Transactions[[#This Row],[L6N]],Transactions[[#This Row],[L7N]]))))))))</f>
        <v>NGL &amp; gas blending (S)</v>
      </c>
      <c r="AW139" s="24" t="str">
        <f>IF(Transactions[[#This Row],[Level 4]]=Transactions[[#This Row],[Transaction name]],Transactions[[#This Row],[Transaction name]],IF(Transactions[[#This Row],[Level 4]]=Transactions[[#This Row],[L1N]],Transactions[[#This Row],[Transaction name]],IF(Transactions[[#This Row],[Level 4]]=Transactions[[#This Row],[L2N]],Transactions[[#This Row],[L1N]],IF(Transactions[[#This Row],[Level 4]]=Transactions[[#This Row],[L3N]],Transactions[[#This Row],[L2N]],IF(Transactions[[#This Row],[Level 4]]=Transactions[[#This Row],[L4N]],Transactions[[#This Row],[L3N]],IF(Transactions[[#This Row],[Level 4]]=Transactions[[#This Row],[L5N]],Transactions[[#This Row],[L4N]],IF(Transactions[[#This Row],[Level 4]]=Transactions[[#This Row],[L6N]],Transactions[[#This Row],[L5N]],IF(Transactions[[#This Row],[Level 4]]=Transactions[[#This Row],[L7N]],Transactions[[#This Row],[L6N]],Transactions[[#This Row],[L7N]]))))))))</f>
        <v>NGL &amp; gas blending (S)</v>
      </c>
      <c r="AX139" s="24" t="str">
        <f>IF(Transactions[[#This Row],[Level 5]]=Transactions[[#This Row],[Transaction name]],Transactions[[#This Row],[Transaction name]],IF(Transactions[[#This Row],[Level 5]]=Transactions[[#This Row],[L1N]],Transactions[[#This Row],[Transaction name]],IF(Transactions[[#This Row],[Level 5]]=Transactions[[#This Row],[L2N]],Transactions[[#This Row],[L1N]],IF(Transactions[[#This Row],[Level 5]]=Transactions[[#This Row],[L3N]],Transactions[[#This Row],[L2N]],IF(Transactions[[#This Row],[Level 5]]=Transactions[[#This Row],[L4N]],Transactions[[#This Row],[L3N]],IF(Transactions[[#This Row],[Level 5]]=Transactions[[#This Row],[L5N]],Transactions[[#This Row],[L4N]],IF(Transactions[[#This Row],[Level 5]]=Transactions[[#This Row],[L6N]],Transactions[[#This Row],[L5N]],IF(Transactions[[#This Row],[Level 5]]=Transactions[[#This Row],[L7N]],Transactions[[#This Row],[L6N]],Transactions[[#This Row],[L7N]]))))))))</f>
        <v>NGL &amp; gas blending (S)</v>
      </c>
      <c r="AY139" s="24" t="str">
        <f>IF(Transactions[[#This Row],[Level 6]]=Transactions[[#This Row],[Transaction name]],Transactions[[#This Row],[Transaction name]],IF(Transactions[[#This Row],[Level 6]]=Transactions[[#This Row],[L1N]],Transactions[[#This Row],[Transaction name]],IF(Transactions[[#This Row],[Level 6]]=Transactions[[#This Row],[L2N]],Transactions[[#This Row],[L1N]],IF(Transactions[[#This Row],[Level 6]]=Transactions[[#This Row],[L3N]],Transactions[[#This Row],[L2N]],IF(Transactions[[#This Row],[Level 6]]=Transactions[[#This Row],[L4N]],Transactions[[#This Row],[L3N]],IF(Transactions[[#This Row],[Level 6]]=Transactions[[#This Row],[L5N]],Transactions[[#This Row],[L4N]],IF(Transactions[[#This Row],[Level 6]]=Transactions[[#This Row],[L6N]],Transactions[[#This Row],[L5N]],IF(Transactions[[#This Row],[Level 6]]=Transactions[[#This Row],[L7N]],Transactions[[#This Row],[L6N]],Transactions[[#This Row],[L7N]]))))))))</f>
        <v>NGL &amp; gas blending (S)</v>
      </c>
      <c r="BE139" s="26" t="str">
        <f>_xlfn.XLOOKUP(Transformation[[#This Row],[cfrom]],Commodities[Commodity],Commodities[Commodity code])</f>
        <v>5290</v>
      </c>
      <c r="BF139" s="26" t="str">
        <f>_xlfn.XLOOKUP(Transformation[[#This Row],[tfrom]],Transactions[Transaction name],Transactions[Transaction code])</f>
        <v>08812</v>
      </c>
      <c r="BG139" s="26" t="str">
        <f>_xlfn.XLOOKUP(Transformation[[#This Row],[cto]],Commodities[Commodity],Commodities[Commodity code])</f>
        <v>5290</v>
      </c>
      <c r="BH139" s="26" t="str">
        <f>_xlfn.XLOOKUP(Transformation[[#This Row],[tto]],Transactions[Transaction name],Transactions[Transaction code])</f>
        <v>016BLE</v>
      </c>
      <c r="BI139" s="11">
        <v>1</v>
      </c>
      <c r="BJ139" s="4" t="s">
        <v>301</v>
      </c>
      <c r="BK139" s="24" t="str">
        <f>_xlfn.XLOOKUP(Transformation[[#This Row],[Commodity from]],Commodities[Commodity code],Commodities[EnergyCode])</f>
        <v>OL</v>
      </c>
      <c r="BL139" s="4" t="s">
        <v>690</v>
      </c>
      <c r="BM139" s="4" t="s">
        <v>301</v>
      </c>
      <c r="BN139" s="24" t="str">
        <f>_xlfn.XLOOKUP(Transformation[[#This Row],[Commodity to]],Commodities[Commodity code],Commodities[EnergyCode])</f>
        <v>OL</v>
      </c>
      <c r="BO139" s="4" t="s">
        <v>1079</v>
      </c>
      <c r="BP139" s="16" t="s">
        <v>1493</v>
      </c>
      <c r="BQ139" s="33" t="str">
        <f>Transformation[[#This Row],[Commodity from]]&amp;Transformation[[#This Row],[Transaction from]]&amp;Transformation[[#This Row],[Commodity to]]&amp;Transformation[[#This Row],[Transaction to]]</f>
        <v>5290088125290016BLE</v>
      </c>
      <c r="BR139" s="26" t="str">
        <f>Transformation[[#This Row],[crfomid]]&amp;Transformation[[#This Row],[Transaction from]]&amp;"("&amp;Transformation[[#This Row],[Multiplier]]&amp;") -&gt; "&amp;Transformation[[#This Row],[ctoid]]&amp;Transformation[[#This Row],[Transaction to]]</f>
        <v>OL08812(1) -&gt; OL016BLE</v>
      </c>
    </row>
    <row r="140" spans="25:70" x14ac:dyDescent="0.45">
      <c r="Y140" s="4" t="s">
        <v>625</v>
      </c>
      <c r="Z140" s="4" t="s">
        <v>868</v>
      </c>
      <c r="AA140" s="4" t="s">
        <v>868</v>
      </c>
      <c r="AC140" s="24" t="str">
        <f>IFERROR(VLOOKUP(Transactions[[#This Row],[Parent code]],Transactions[[Transaction code]:[Transaction name]],2,0),"")</f>
        <v/>
      </c>
      <c r="AD140" s="4" t="s">
        <v>189</v>
      </c>
      <c r="AF140" s="4" t="s">
        <v>642</v>
      </c>
      <c r="AH140" s="4" t="s">
        <v>696</v>
      </c>
      <c r="AK140" s="24" t="str" cm="1">
        <f t="array" ref="AK140">IFERROR(INDEX(Transactions[[Transaction code]:[Transaction name]],_xlfn.XMATCH(Transactions[[#This Row],[Parent code]],Transactions[Transaction name],0),3),Transactions[[#This Row],[Transaction name]])</f>
        <v>Oil refineries (S)</v>
      </c>
      <c r="AL140" s="24" t="str" cm="1">
        <f t="array" ref="AL140">IFERROR(INDEX(Transactions[[Transaction code]:[Transaction name]],_xlfn.XMATCH(INDEX(Transactions[[Transaction name]:[Parent code]],_xlfn.XMATCH(Transactions[[#This Row],[L1N]],Transactions[Transaction name],0),3),Transactions[Transaction code],0),2),Transactions[[#This Row],[L1N]])</f>
        <v>Oil refineries (S)</v>
      </c>
      <c r="AM140" s="24" t="str" cm="1">
        <f t="array" ref="AM140">IFERROR(INDEX(Transactions[[Transaction code]:[Transaction name]],_xlfn.XMATCH(INDEX(Transactions[[Transaction name]:[Parent code]],_xlfn.XMATCH(Transactions[[#This Row],[L2N]],Transactions[Transaction name],0),3),Transactions[Transaction code],0),2),Transactions[[#This Row],[L2N]])</f>
        <v>Oil refineries (S)</v>
      </c>
      <c r="AN140" s="24" t="str" cm="1">
        <f t="array" ref="AN140">IFERROR(INDEX(Transactions[[Transaction code]:[Transaction name]],_xlfn.XMATCH(INDEX(Transactions[[Transaction name]:[Parent code]],_xlfn.XMATCH(Transactions[[#This Row],[L3N]],Transactions[Transaction name],0),3),Transactions[Transaction code],0),2),Transactions[[#This Row],[L3N]])</f>
        <v>Oil refineries (S)</v>
      </c>
      <c r="AO140" s="24" t="str" cm="1">
        <f t="array" ref="AO140">IFERROR(INDEX(Transactions[[Transaction code]:[Transaction name]],_xlfn.XMATCH(INDEX(Transactions[[Transaction name]:[Parent code]],_xlfn.XMATCH(Transactions[[#This Row],[L4N]],Transactions[Transaction name],0),3),Transactions[Transaction code],0),2),Transactions[[#This Row],[L4N]])</f>
        <v>Oil refineries (S)</v>
      </c>
      <c r="AP140" s="24" t="str" cm="1">
        <f t="array" ref="AP140">IFERROR(INDEX(Transactions[[Transaction code]:[Transaction name]],_xlfn.XMATCH(INDEX(Transactions[[Transaction name]:[Parent code]],_xlfn.XMATCH(Transactions[[#This Row],[L5N]],Transactions[Transaction name],0),3),Transactions[Transaction code],0),2),Transactions[[#This Row],[L5N]])</f>
        <v>Oil refineries (S)</v>
      </c>
      <c r="AQ140" s="24" t="str" cm="1">
        <f t="array" ref="AQ140">IFERROR(INDEX(Transactions[[Transaction code]:[Transaction name]],_xlfn.XMATCH(INDEX(Transactions[[Transaction name]:[Parent code]],_xlfn.XMATCH(Transactions[[#This Row],[L6N]],Transactions[Transaction name],0),3),Transactions[Transaction code],0),2),Transactions[[#This Row],[L6N]])</f>
        <v>Oil refineries (S)</v>
      </c>
      <c r="AR140" s="28" t="str">
        <f>IF(Transactions[[#This Row],[L7N]]=Transactions[[#This Row],[L6N]],Transactions[[#This Row],[L7N]],IF(Transactions[[#This Row],[L6N]]=Transactions[[#This Row],[L5N]],Transactions[[#This Row],[L6N]],IF(Transactions[[#This Row],[L5N]]=Transactions[[#This Row],[L4N]],Transactions[[#This Row],[L5N]],IF(Transactions[[#This Row],[L4N]]=Transactions[[#This Row],[L3N]],Transactions[[#This Row],[L4N]],IF(Transactions[[#This Row],[L3N]]=Transactions[[#This Row],[L2N]],Transactions[[#This Row],[L3N]],IF(Transactions[[#This Row],[L2N]]=Transactions[[#This Row],[L1N]],Transactions[[#This Row],[L2N]],IF(Transactions[[#This Row],[L1N]]=Transactions[[#This Row],[Transaction name]],Transactions[[#This Row],[L1N]],Transactions[[#This Row],[Transaction name]])))))))</f>
        <v>Oil refineries (S)</v>
      </c>
      <c r="AS140" s="24" t="str">
        <f>IF(Transactions[[#This Row],[Level 0]]=Transactions[[#This Row],[Transaction name]],Transactions[[#This Row],[Transaction name]],IF(Transactions[[#This Row],[Level 0]]=Transactions[[#This Row],[L1N]],Transactions[[#This Row],[Transaction name]],IF(Transactions[[#This Row],[Level 0]]=Transactions[[#This Row],[L2N]],Transactions[[#This Row],[L1N]],IF(Transactions[[#This Row],[Level 0]]=Transactions[[#This Row],[L3N]],Transactions[[#This Row],[L2N]],IF(Transactions[[#This Row],[Level 0]]=Transactions[[#This Row],[L4N]],Transactions[[#This Row],[L3N]],IF(Transactions[[#This Row],[Level 0]]=Transactions[[#This Row],[L5N]],Transactions[[#This Row],[L4N]],IF(Transactions[[#This Row],[Level 0]]=Transactions[[#This Row],[L6N]],Transactions[[#This Row],[L5N]],IF(Transactions[[#This Row],[Level 0]]=Transactions[[#This Row],[L7N]],Transactions[[#This Row],[L6N]],Transactions[[#This Row],[L7N]]))))))))</f>
        <v>Oil refineries (S)</v>
      </c>
      <c r="AT140" s="24" t="str">
        <f>IF(Transactions[[#This Row],[Level 1]]=Transactions[[#This Row],[Transaction name]],Transactions[[#This Row],[Transaction name]],IF(Transactions[[#This Row],[Level 1]]=Transactions[[#This Row],[L1N]],Transactions[[#This Row],[Transaction name]],IF(Transactions[[#This Row],[Level 1]]=Transactions[[#This Row],[L2N]],Transactions[[#This Row],[L1N]],IF(Transactions[[#This Row],[Level 1]]=Transactions[[#This Row],[L3N]],Transactions[[#This Row],[L2N]],IF(Transactions[[#This Row],[Level 1]]=Transactions[[#This Row],[L4N]],Transactions[[#This Row],[L3N]],IF(Transactions[[#This Row],[Level 1]]=Transactions[[#This Row],[L5N]],Transactions[[#This Row],[L4N]],IF(Transactions[[#This Row],[Level 1]]=Transactions[[#This Row],[L6N]],Transactions[[#This Row],[L5N]],IF(Transactions[[#This Row],[Level 1]]=Transactions[[#This Row],[L7N]],Transactions[[#This Row],[L6N]],Transactions[[#This Row],[L7N]]))))))))</f>
        <v>Oil refineries (S)</v>
      </c>
      <c r="AU140" s="24" t="str">
        <f>IF(Transactions[[#This Row],[Level 2]]=Transactions[[#This Row],[Transaction name]],Transactions[[#This Row],[Transaction name]],IF(Transactions[[#This Row],[Level 2]]=Transactions[[#This Row],[L1N]],Transactions[[#This Row],[Transaction name]],IF(Transactions[[#This Row],[Level 2]]=Transactions[[#This Row],[L2N]],Transactions[[#This Row],[L1N]],IF(Transactions[[#This Row],[Level 2]]=Transactions[[#This Row],[L3N]],Transactions[[#This Row],[L2N]],IF(Transactions[[#This Row],[Level 2]]=Transactions[[#This Row],[L4N]],Transactions[[#This Row],[L3N]],IF(Transactions[[#This Row],[Level 2]]=Transactions[[#This Row],[L5N]],Transactions[[#This Row],[L4N]],IF(Transactions[[#This Row],[Level 2]]=Transactions[[#This Row],[L6N]],Transactions[[#This Row],[L5N]],IF(Transactions[[#This Row],[Level 2]]=Transactions[[#This Row],[L7N]],Transactions[[#This Row],[L6N]],Transactions[[#This Row],[L7N]]))))))))</f>
        <v>Oil refineries (S)</v>
      </c>
      <c r="AV140" s="24" t="str">
        <f>IF(Transactions[[#This Row],[Level 3]]=Transactions[[#This Row],[Transaction name]],Transactions[[#This Row],[Transaction name]],IF(Transactions[[#This Row],[Level 3]]=Transactions[[#This Row],[L1N]],Transactions[[#This Row],[Transaction name]],IF(Transactions[[#This Row],[Level 3]]=Transactions[[#This Row],[L2N]],Transactions[[#This Row],[L1N]],IF(Transactions[[#This Row],[Level 3]]=Transactions[[#This Row],[L3N]],Transactions[[#This Row],[L2N]],IF(Transactions[[#This Row],[Level 3]]=Transactions[[#This Row],[L4N]],Transactions[[#This Row],[L3N]],IF(Transactions[[#This Row],[Level 3]]=Transactions[[#This Row],[L5N]],Transactions[[#This Row],[L4N]],IF(Transactions[[#This Row],[Level 3]]=Transactions[[#This Row],[L6N]],Transactions[[#This Row],[L5N]],IF(Transactions[[#This Row],[Level 3]]=Transactions[[#This Row],[L7N]],Transactions[[#This Row],[L6N]],Transactions[[#This Row],[L7N]]))))))))</f>
        <v>Oil refineries (S)</v>
      </c>
      <c r="AW140" s="24" t="str">
        <f>IF(Transactions[[#This Row],[Level 4]]=Transactions[[#This Row],[Transaction name]],Transactions[[#This Row],[Transaction name]],IF(Transactions[[#This Row],[Level 4]]=Transactions[[#This Row],[L1N]],Transactions[[#This Row],[Transaction name]],IF(Transactions[[#This Row],[Level 4]]=Transactions[[#This Row],[L2N]],Transactions[[#This Row],[L1N]],IF(Transactions[[#This Row],[Level 4]]=Transactions[[#This Row],[L3N]],Transactions[[#This Row],[L2N]],IF(Transactions[[#This Row],[Level 4]]=Transactions[[#This Row],[L4N]],Transactions[[#This Row],[L3N]],IF(Transactions[[#This Row],[Level 4]]=Transactions[[#This Row],[L5N]],Transactions[[#This Row],[L4N]],IF(Transactions[[#This Row],[Level 4]]=Transactions[[#This Row],[L6N]],Transactions[[#This Row],[L5N]],IF(Transactions[[#This Row],[Level 4]]=Transactions[[#This Row],[L7N]],Transactions[[#This Row],[L6N]],Transactions[[#This Row],[L7N]]))))))))</f>
        <v>Oil refineries (S)</v>
      </c>
      <c r="AX140" s="24" t="str">
        <f>IF(Transactions[[#This Row],[Level 5]]=Transactions[[#This Row],[Transaction name]],Transactions[[#This Row],[Transaction name]],IF(Transactions[[#This Row],[Level 5]]=Transactions[[#This Row],[L1N]],Transactions[[#This Row],[Transaction name]],IF(Transactions[[#This Row],[Level 5]]=Transactions[[#This Row],[L2N]],Transactions[[#This Row],[L1N]],IF(Transactions[[#This Row],[Level 5]]=Transactions[[#This Row],[L3N]],Transactions[[#This Row],[L2N]],IF(Transactions[[#This Row],[Level 5]]=Transactions[[#This Row],[L4N]],Transactions[[#This Row],[L3N]],IF(Transactions[[#This Row],[Level 5]]=Transactions[[#This Row],[L5N]],Transactions[[#This Row],[L4N]],IF(Transactions[[#This Row],[Level 5]]=Transactions[[#This Row],[L6N]],Transactions[[#This Row],[L5N]],IF(Transactions[[#This Row],[Level 5]]=Transactions[[#This Row],[L7N]],Transactions[[#This Row],[L6N]],Transactions[[#This Row],[L7N]]))))))))</f>
        <v>Oil refineries (S)</v>
      </c>
      <c r="AY140" s="24" t="str">
        <f>IF(Transactions[[#This Row],[Level 6]]=Transactions[[#This Row],[Transaction name]],Transactions[[#This Row],[Transaction name]],IF(Transactions[[#This Row],[Level 6]]=Transactions[[#This Row],[L1N]],Transactions[[#This Row],[Transaction name]],IF(Transactions[[#This Row],[Level 6]]=Transactions[[#This Row],[L2N]],Transactions[[#This Row],[L1N]],IF(Transactions[[#This Row],[Level 6]]=Transactions[[#This Row],[L3N]],Transactions[[#This Row],[L2N]],IF(Transactions[[#This Row],[Level 6]]=Transactions[[#This Row],[L4N]],Transactions[[#This Row],[L3N]],IF(Transactions[[#This Row],[Level 6]]=Transactions[[#This Row],[L5N]],Transactions[[#This Row],[L4N]],IF(Transactions[[#This Row],[Level 6]]=Transactions[[#This Row],[L6N]],Transactions[[#This Row],[L5N]],IF(Transactions[[#This Row],[Level 6]]=Transactions[[#This Row],[L7N]],Transactions[[#This Row],[L6N]],Transactions[[#This Row],[L7N]]))))))))</f>
        <v>Oil refineries (S)</v>
      </c>
      <c r="BE140" s="26" t="str">
        <f>_xlfn.XLOOKUP(Transformation[[#This Row],[cfrom]],Commodities[Commodity],Commodities[Commodity code])</f>
        <v>2000</v>
      </c>
      <c r="BF140" s="26" t="str">
        <f>_xlfn.XLOOKUP(Transformation[[#This Row],[tfrom]],Transactions[Transaction name],Transactions[Transaction code])</f>
        <v>08812</v>
      </c>
      <c r="BG140" s="26" t="str">
        <f>_xlfn.XLOOKUP(Transformation[[#This Row],[cto]],Commodities[Commodity],Commodities[Commodity code])</f>
        <v>2000</v>
      </c>
      <c r="BH140" s="26" t="str">
        <f>_xlfn.XLOOKUP(Transformation[[#This Row],[tto]],Transactions[Transaction name],Transactions[Transaction code])</f>
        <v>016SHE</v>
      </c>
      <c r="BI140" s="11">
        <v>1</v>
      </c>
      <c r="BJ140" s="4" t="s">
        <v>450</v>
      </c>
      <c r="BK140" s="24" t="str">
        <f>_xlfn.XLOOKUP(Transformation[[#This Row],[Commodity from]],Commodities[Commodity code],Commodities[EnergyCode])</f>
        <v>OS</v>
      </c>
      <c r="BL140" s="4" t="s">
        <v>690</v>
      </c>
      <c r="BM140" s="4" t="s">
        <v>450</v>
      </c>
      <c r="BN140" s="24" t="str">
        <f>_xlfn.XLOOKUP(Transformation[[#This Row],[Commodity to]],Commodities[Commodity code],Commodities[EnergyCode])</f>
        <v>OS</v>
      </c>
      <c r="BO140" s="4" t="s">
        <v>1198</v>
      </c>
      <c r="BP140" s="16" t="s">
        <v>1493</v>
      </c>
      <c r="BQ140" s="33" t="str">
        <f>Transformation[[#This Row],[Commodity from]]&amp;Transformation[[#This Row],[Transaction from]]&amp;Transformation[[#This Row],[Commodity to]]&amp;Transformation[[#This Row],[Transaction to]]</f>
        <v>2000088122000016SHE</v>
      </c>
      <c r="BR140" s="26" t="str">
        <f>Transformation[[#This Row],[crfomid]]&amp;Transformation[[#This Row],[Transaction from]]&amp;"("&amp;Transformation[[#This Row],[Multiplier]]&amp;") -&gt; "&amp;Transformation[[#This Row],[ctoid]]&amp;Transformation[[#This Row],[Transaction to]]</f>
        <v>OS08812(1) -&gt; OS016SHE</v>
      </c>
    </row>
    <row r="141" spans="25:70" x14ac:dyDescent="0.45">
      <c r="Y141" s="5" t="s">
        <v>18</v>
      </c>
      <c r="Z141" s="4" t="s">
        <v>17</v>
      </c>
      <c r="AA141" s="4" t="s">
        <v>17</v>
      </c>
      <c r="AB141" s="5"/>
      <c r="AC141" s="24" t="str">
        <f>IFERROR(VLOOKUP(Transactions[[#This Row],[Parent code]],Transactions[[Transaction code]:[Transaction name]],2,0),"")</f>
        <v/>
      </c>
      <c r="AD141" s="4" t="s">
        <v>960</v>
      </c>
      <c r="AE141" s="4" t="s">
        <v>960</v>
      </c>
      <c r="AF141" s="4" t="s">
        <v>642</v>
      </c>
      <c r="AG141" s="4" t="s">
        <v>1</v>
      </c>
      <c r="AH141" s="4" t="s">
        <v>696</v>
      </c>
      <c r="AK141" s="24" t="str" cm="1">
        <f t="array" ref="AK141">IFERROR(INDEX(Transactions[[Transaction code]:[Transaction name]],_xlfn.XMATCH(Transactions[[#This Row],[Parent code]],Transactions[Transaction name],0),3),Transactions[[#This Row],[Transaction name]])</f>
        <v>Opening stock level held on national territory</v>
      </c>
      <c r="AL141" s="24" t="str" cm="1">
        <f t="array" ref="AL141">IFERROR(INDEX(Transactions[[Transaction code]:[Transaction name]],_xlfn.XMATCH(INDEX(Transactions[[Transaction name]:[Parent code]],_xlfn.XMATCH(Transactions[[#This Row],[L1N]],Transactions[Transaction name],0),3),Transactions[Transaction code],0),2),Transactions[[#This Row],[L1N]])</f>
        <v>Opening stock level held on national territory</v>
      </c>
      <c r="AM141" s="24" t="str" cm="1">
        <f t="array" ref="AM141">IFERROR(INDEX(Transactions[[Transaction code]:[Transaction name]],_xlfn.XMATCH(INDEX(Transactions[[Transaction name]:[Parent code]],_xlfn.XMATCH(Transactions[[#This Row],[L2N]],Transactions[Transaction name],0),3),Transactions[Transaction code],0),2),Transactions[[#This Row],[L2N]])</f>
        <v>Opening stock level held on national territory</v>
      </c>
      <c r="AN141" s="24" t="str" cm="1">
        <f t="array" ref="AN141">IFERROR(INDEX(Transactions[[Transaction code]:[Transaction name]],_xlfn.XMATCH(INDEX(Transactions[[Transaction name]:[Parent code]],_xlfn.XMATCH(Transactions[[#This Row],[L3N]],Transactions[Transaction name],0),3),Transactions[Transaction code],0),2),Transactions[[#This Row],[L3N]])</f>
        <v>Opening stock level held on national territory</v>
      </c>
      <c r="AO141" s="24" t="str" cm="1">
        <f t="array" ref="AO141">IFERROR(INDEX(Transactions[[Transaction code]:[Transaction name]],_xlfn.XMATCH(INDEX(Transactions[[Transaction name]:[Parent code]],_xlfn.XMATCH(Transactions[[#This Row],[L4N]],Transactions[Transaction name],0),3),Transactions[Transaction code],0),2),Transactions[[#This Row],[L4N]])</f>
        <v>Opening stock level held on national territory</v>
      </c>
      <c r="AP141" s="24" t="str" cm="1">
        <f t="array" ref="AP141">IFERROR(INDEX(Transactions[[Transaction code]:[Transaction name]],_xlfn.XMATCH(INDEX(Transactions[[Transaction name]:[Parent code]],_xlfn.XMATCH(Transactions[[#This Row],[L5N]],Transactions[Transaction name],0),3),Transactions[Transaction code],0),2),Transactions[[#This Row],[L5N]])</f>
        <v>Opening stock level held on national territory</v>
      </c>
      <c r="AQ141" s="24" t="str" cm="1">
        <f t="array" ref="AQ141">IFERROR(INDEX(Transactions[[Transaction code]:[Transaction name]],_xlfn.XMATCH(INDEX(Transactions[[Transaction name]:[Parent code]],_xlfn.XMATCH(Transactions[[#This Row],[L6N]],Transactions[Transaction name],0),3),Transactions[Transaction code],0),2),Transactions[[#This Row],[L6N]])</f>
        <v>Opening stock level held on national territory</v>
      </c>
      <c r="AR141" s="28" t="str">
        <f>IF(Transactions[[#This Row],[L7N]]=Transactions[[#This Row],[L6N]],Transactions[[#This Row],[L7N]],IF(Transactions[[#This Row],[L6N]]=Transactions[[#This Row],[L5N]],Transactions[[#This Row],[L6N]],IF(Transactions[[#This Row],[L5N]]=Transactions[[#This Row],[L4N]],Transactions[[#This Row],[L5N]],IF(Transactions[[#This Row],[L4N]]=Transactions[[#This Row],[L3N]],Transactions[[#This Row],[L4N]],IF(Transactions[[#This Row],[L3N]]=Transactions[[#This Row],[L2N]],Transactions[[#This Row],[L3N]],IF(Transactions[[#This Row],[L2N]]=Transactions[[#This Row],[L1N]],Transactions[[#This Row],[L2N]],IF(Transactions[[#This Row],[L1N]]=Transactions[[#This Row],[Transaction name]],Transactions[[#This Row],[L1N]],Transactions[[#This Row],[Transaction name]])))))))</f>
        <v>Opening stock level held on national territory</v>
      </c>
      <c r="AS141" s="24" t="str">
        <f>IF(Transactions[[#This Row],[Level 0]]=Transactions[[#This Row],[Transaction name]],Transactions[[#This Row],[Transaction name]],IF(Transactions[[#This Row],[Level 0]]=Transactions[[#This Row],[L1N]],Transactions[[#This Row],[Transaction name]],IF(Transactions[[#This Row],[Level 0]]=Transactions[[#This Row],[L2N]],Transactions[[#This Row],[L1N]],IF(Transactions[[#This Row],[Level 0]]=Transactions[[#This Row],[L3N]],Transactions[[#This Row],[L2N]],IF(Transactions[[#This Row],[Level 0]]=Transactions[[#This Row],[L4N]],Transactions[[#This Row],[L3N]],IF(Transactions[[#This Row],[Level 0]]=Transactions[[#This Row],[L5N]],Transactions[[#This Row],[L4N]],IF(Transactions[[#This Row],[Level 0]]=Transactions[[#This Row],[L6N]],Transactions[[#This Row],[L5N]],IF(Transactions[[#This Row],[Level 0]]=Transactions[[#This Row],[L7N]],Transactions[[#This Row],[L6N]],Transactions[[#This Row],[L7N]]))))))))</f>
        <v>Opening stock level held on national territory</v>
      </c>
      <c r="AT141" s="24" t="str">
        <f>IF(Transactions[[#This Row],[Level 1]]=Transactions[[#This Row],[Transaction name]],Transactions[[#This Row],[Transaction name]],IF(Transactions[[#This Row],[Level 1]]=Transactions[[#This Row],[L1N]],Transactions[[#This Row],[Transaction name]],IF(Transactions[[#This Row],[Level 1]]=Transactions[[#This Row],[L2N]],Transactions[[#This Row],[L1N]],IF(Transactions[[#This Row],[Level 1]]=Transactions[[#This Row],[L3N]],Transactions[[#This Row],[L2N]],IF(Transactions[[#This Row],[Level 1]]=Transactions[[#This Row],[L4N]],Transactions[[#This Row],[L3N]],IF(Transactions[[#This Row],[Level 1]]=Transactions[[#This Row],[L5N]],Transactions[[#This Row],[L4N]],IF(Transactions[[#This Row],[Level 1]]=Transactions[[#This Row],[L6N]],Transactions[[#This Row],[L5N]],IF(Transactions[[#This Row],[Level 1]]=Transactions[[#This Row],[L7N]],Transactions[[#This Row],[L6N]],Transactions[[#This Row],[L7N]]))))))))</f>
        <v>Opening stock level held on national territory</v>
      </c>
      <c r="AU141" s="24" t="str">
        <f>IF(Transactions[[#This Row],[Level 2]]=Transactions[[#This Row],[Transaction name]],Transactions[[#This Row],[Transaction name]],IF(Transactions[[#This Row],[Level 2]]=Transactions[[#This Row],[L1N]],Transactions[[#This Row],[Transaction name]],IF(Transactions[[#This Row],[Level 2]]=Transactions[[#This Row],[L2N]],Transactions[[#This Row],[L1N]],IF(Transactions[[#This Row],[Level 2]]=Transactions[[#This Row],[L3N]],Transactions[[#This Row],[L2N]],IF(Transactions[[#This Row],[Level 2]]=Transactions[[#This Row],[L4N]],Transactions[[#This Row],[L3N]],IF(Transactions[[#This Row],[Level 2]]=Transactions[[#This Row],[L5N]],Transactions[[#This Row],[L4N]],IF(Transactions[[#This Row],[Level 2]]=Transactions[[#This Row],[L6N]],Transactions[[#This Row],[L5N]],IF(Transactions[[#This Row],[Level 2]]=Transactions[[#This Row],[L7N]],Transactions[[#This Row],[L6N]],Transactions[[#This Row],[L7N]]))))))))</f>
        <v>Opening stock level held on national territory</v>
      </c>
      <c r="AV141" s="24" t="str">
        <f>IF(Transactions[[#This Row],[Level 3]]=Transactions[[#This Row],[Transaction name]],Transactions[[#This Row],[Transaction name]],IF(Transactions[[#This Row],[Level 3]]=Transactions[[#This Row],[L1N]],Transactions[[#This Row],[Transaction name]],IF(Transactions[[#This Row],[Level 3]]=Transactions[[#This Row],[L2N]],Transactions[[#This Row],[L1N]],IF(Transactions[[#This Row],[Level 3]]=Transactions[[#This Row],[L3N]],Transactions[[#This Row],[L2N]],IF(Transactions[[#This Row],[Level 3]]=Transactions[[#This Row],[L4N]],Transactions[[#This Row],[L3N]],IF(Transactions[[#This Row],[Level 3]]=Transactions[[#This Row],[L5N]],Transactions[[#This Row],[L4N]],IF(Transactions[[#This Row],[Level 3]]=Transactions[[#This Row],[L6N]],Transactions[[#This Row],[L5N]],IF(Transactions[[#This Row],[Level 3]]=Transactions[[#This Row],[L7N]],Transactions[[#This Row],[L6N]],Transactions[[#This Row],[L7N]]))))))))</f>
        <v>Opening stock level held on national territory</v>
      </c>
      <c r="AW141" s="24" t="str">
        <f>IF(Transactions[[#This Row],[Level 4]]=Transactions[[#This Row],[Transaction name]],Transactions[[#This Row],[Transaction name]],IF(Transactions[[#This Row],[Level 4]]=Transactions[[#This Row],[L1N]],Transactions[[#This Row],[Transaction name]],IF(Transactions[[#This Row],[Level 4]]=Transactions[[#This Row],[L2N]],Transactions[[#This Row],[L1N]],IF(Transactions[[#This Row],[Level 4]]=Transactions[[#This Row],[L3N]],Transactions[[#This Row],[L2N]],IF(Transactions[[#This Row],[Level 4]]=Transactions[[#This Row],[L4N]],Transactions[[#This Row],[L3N]],IF(Transactions[[#This Row],[Level 4]]=Transactions[[#This Row],[L5N]],Transactions[[#This Row],[L4N]],IF(Transactions[[#This Row],[Level 4]]=Transactions[[#This Row],[L6N]],Transactions[[#This Row],[L5N]],IF(Transactions[[#This Row],[Level 4]]=Transactions[[#This Row],[L7N]],Transactions[[#This Row],[L6N]],Transactions[[#This Row],[L7N]]))))))))</f>
        <v>Opening stock level held on national territory</v>
      </c>
      <c r="AX141" s="24" t="str">
        <f>IF(Transactions[[#This Row],[Level 5]]=Transactions[[#This Row],[Transaction name]],Transactions[[#This Row],[Transaction name]],IF(Transactions[[#This Row],[Level 5]]=Transactions[[#This Row],[L1N]],Transactions[[#This Row],[Transaction name]],IF(Transactions[[#This Row],[Level 5]]=Transactions[[#This Row],[L2N]],Transactions[[#This Row],[L1N]],IF(Transactions[[#This Row],[Level 5]]=Transactions[[#This Row],[L3N]],Transactions[[#This Row],[L2N]],IF(Transactions[[#This Row],[Level 5]]=Transactions[[#This Row],[L4N]],Transactions[[#This Row],[L3N]],IF(Transactions[[#This Row],[Level 5]]=Transactions[[#This Row],[L5N]],Transactions[[#This Row],[L4N]],IF(Transactions[[#This Row],[Level 5]]=Transactions[[#This Row],[L6N]],Transactions[[#This Row],[L5N]],IF(Transactions[[#This Row],[Level 5]]=Transactions[[#This Row],[L7N]],Transactions[[#This Row],[L6N]],Transactions[[#This Row],[L7N]]))))))))</f>
        <v>Opening stock level held on national territory</v>
      </c>
      <c r="AY141" s="24" t="str">
        <f>IF(Transactions[[#This Row],[Level 6]]=Transactions[[#This Row],[Transaction name]],Transactions[[#This Row],[Transaction name]],IF(Transactions[[#This Row],[Level 6]]=Transactions[[#This Row],[L1N]],Transactions[[#This Row],[Transaction name]],IF(Transactions[[#This Row],[Level 6]]=Transactions[[#This Row],[L2N]],Transactions[[#This Row],[L1N]],IF(Transactions[[#This Row],[Level 6]]=Transactions[[#This Row],[L3N]],Transactions[[#This Row],[L2N]],IF(Transactions[[#This Row],[Level 6]]=Transactions[[#This Row],[L4N]],Transactions[[#This Row],[L3N]],IF(Transactions[[#This Row],[Level 6]]=Transactions[[#This Row],[L5N]],Transactions[[#This Row],[L4N]],IF(Transactions[[#This Row],[Level 6]]=Transactions[[#This Row],[L6N]],Transactions[[#This Row],[L5N]],IF(Transactions[[#This Row],[Level 6]]=Transactions[[#This Row],[L7N]],Transactions[[#This Row],[L6N]],Transactions[[#This Row],[L7N]]))))))))</f>
        <v>Opening stock level held on national territory</v>
      </c>
      <c r="BE141" s="26" t="str">
        <f>_xlfn.XLOOKUP(Transformation[[#This Row],[cfrom]],Commodities[Commodity],Commodities[Commodity code])</f>
        <v>4694</v>
      </c>
      <c r="BF141" s="26" t="str">
        <f>_xlfn.XLOOKUP(Transformation[[#This Row],[tfrom]],Transactions[Transaction name],Transactions[Transaction code])</f>
        <v>08812</v>
      </c>
      <c r="BG141" s="26" t="str">
        <f>_xlfn.XLOOKUP(Transformation[[#This Row],[cto]],Commodities[Commodity],Commodities[Commodity code])</f>
        <v>4694</v>
      </c>
      <c r="BH141" s="26" t="str">
        <f>_xlfn.XLOOKUP(Transformation[[#This Row],[tto]],Transactions[Transaction name],Transactions[Transaction code])</f>
        <v>016OPE</v>
      </c>
      <c r="BI141" s="11">
        <v>1</v>
      </c>
      <c r="BJ141" s="4" t="s">
        <v>353</v>
      </c>
      <c r="BK141" s="24" t="str">
        <f>_xlfn.XLOOKUP(Transformation[[#This Row],[Commodity from]],Commodities[Commodity code],Commodities[EnergyCode])</f>
        <v>PK</v>
      </c>
      <c r="BL141" s="4" t="s">
        <v>690</v>
      </c>
      <c r="BM141" s="4" t="s">
        <v>353</v>
      </c>
      <c r="BN141" s="24" t="str">
        <f>_xlfn.XLOOKUP(Transformation[[#This Row],[Commodity to]],Commodities[Commodity code],Commodities[EnergyCode])</f>
        <v>PK</v>
      </c>
      <c r="BO141" s="4" t="s">
        <v>1055</v>
      </c>
      <c r="BP141" s="16" t="s">
        <v>1493</v>
      </c>
      <c r="BQ141" s="33" t="str">
        <f>Transformation[[#This Row],[Commodity from]]&amp;Transformation[[#This Row],[Transaction from]]&amp;Transformation[[#This Row],[Commodity to]]&amp;Transformation[[#This Row],[Transaction to]]</f>
        <v>4694088124694016OPE</v>
      </c>
      <c r="BR141" s="26" t="str">
        <f>Transformation[[#This Row],[crfomid]]&amp;Transformation[[#This Row],[Transaction from]]&amp;"("&amp;Transformation[[#This Row],[Multiplier]]&amp;") -&gt; "&amp;Transformation[[#This Row],[ctoid]]&amp;Transformation[[#This Row],[Transaction to]]</f>
        <v>PK08812(1) -&gt; PK016OPE</v>
      </c>
    </row>
    <row r="142" spans="25:70" x14ac:dyDescent="0.45">
      <c r="Y142" s="4" t="s">
        <v>626</v>
      </c>
      <c r="Z142" s="4" t="s">
        <v>609</v>
      </c>
      <c r="AA142" s="4" t="s">
        <v>609</v>
      </c>
      <c r="AC142" s="24" t="str">
        <f>IFERROR(VLOOKUP(Transactions[[#This Row],[Parent code]],Transactions[[Transaction code]:[Transaction name]],2,0),"")</f>
        <v/>
      </c>
      <c r="AD142" s="4" t="s">
        <v>630</v>
      </c>
      <c r="AF142" s="4" t="s">
        <v>642</v>
      </c>
      <c r="AH142" s="4" t="s">
        <v>696</v>
      </c>
      <c r="AK142" s="24" t="str" cm="1">
        <f t="array" ref="AK142">IFERROR(INDEX(Transactions[[Transaction code]:[Transaction name]],_xlfn.XMATCH(Transactions[[#This Row],[Parent code]],Transactions[Transaction name],0),3),Transactions[[#This Row],[Transaction name]])</f>
        <v>Other consumption n.e.s</v>
      </c>
      <c r="AL142" s="24" t="str" cm="1">
        <f t="array" ref="AL142">IFERROR(INDEX(Transactions[[Transaction code]:[Transaction name]],_xlfn.XMATCH(INDEX(Transactions[[Transaction name]:[Parent code]],_xlfn.XMATCH(Transactions[[#This Row],[L1N]],Transactions[Transaction name],0),3),Transactions[Transaction code],0),2),Transactions[[#This Row],[L1N]])</f>
        <v>Other consumption n.e.s</v>
      </c>
      <c r="AM142" s="24" t="str" cm="1">
        <f t="array" ref="AM142">IFERROR(INDEX(Transactions[[Transaction code]:[Transaction name]],_xlfn.XMATCH(INDEX(Transactions[[Transaction name]:[Parent code]],_xlfn.XMATCH(Transactions[[#This Row],[L2N]],Transactions[Transaction name],0),3),Transactions[Transaction code],0),2),Transactions[[#This Row],[L2N]])</f>
        <v>Other consumption n.e.s</v>
      </c>
      <c r="AN142" s="24" t="str" cm="1">
        <f t="array" ref="AN142">IFERROR(INDEX(Transactions[[Transaction code]:[Transaction name]],_xlfn.XMATCH(INDEX(Transactions[[Transaction name]:[Parent code]],_xlfn.XMATCH(Transactions[[#This Row],[L3N]],Transactions[Transaction name],0),3),Transactions[Transaction code],0),2),Transactions[[#This Row],[L3N]])</f>
        <v>Other consumption n.e.s</v>
      </c>
      <c r="AO142" s="24" t="str" cm="1">
        <f t="array" ref="AO142">IFERROR(INDEX(Transactions[[Transaction code]:[Transaction name]],_xlfn.XMATCH(INDEX(Transactions[[Transaction name]:[Parent code]],_xlfn.XMATCH(Transactions[[#This Row],[L4N]],Transactions[Transaction name],0),3),Transactions[Transaction code],0),2),Transactions[[#This Row],[L4N]])</f>
        <v>Other consumption n.e.s</v>
      </c>
      <c r="AP142" s="24" t="str" cm="1">
        <f t="array" ref="AP142">IFERROR(INDEX(Transactions[[Transaction code]:[Transaction name]],_xlfn.XMATCH(INDEX(Transactions[[Transaction name]:[Parent code]],_xlfn.XMATCH(Transactions[[#This Row],[L5N]],Transactions[Transaction name],0),3),Transactions[Transaction code],0),2),Transactions[[#This Row],[L5N]])</f>
        <v>Other consumption n.e.s</v>
      </c>
      <c r="AQ142" s="24" t="str" cm="1">
        <f t="array" ref="AQ142">IFERROR(INDEX(Transactions[[Transaction code]:[Transaction name]],_xlfn.XMATCH(INDEX(Transactions[[Transaction name]:[Parent code]],_xlfn.XMATCH(Transactions[[#This Row],[L6N]],Transactions[Transaction name],0),3),Transactions[Transaction code],0),2),Transactions[[#This Row],[L6N]])</f>
        <v>Other consumption n.e.s</v>
      </c>
      <c r="AR142" s="28" t="str">
        <f>IF(Transactions[[#This Row],[L7N]]=Transactions[[#This Row],[L6N]],Transactions[[#This Row],[L7N]],IF(Transactions[[#This Row],[L6N]]=Transactions[[#This Row],[L5N]],Transactions[[#This Row],[L6N]],IF(Transactions[[#This Row],[L5N]]=Transactions[[#This Row],[L4N]],Transactions[[#This Row],[L5N]],IF(Transactions[[#This Row],[L4N]]=Transactions[[#This Row],[L3N]],Transactions[[#This Row],[L4N]],IF(Transactions[[#This Row],[L3N]]=Transactions[[#This Row],[L2N]],Transactions[[#This Row],[L3N]],IF(Transactions[[#This Row],[L2N]]=Transactions[[#This Row],[L1N]],Transactions[[#This Row],[L2N]],IF(Transactions[[#This Row],[L1N]]=Transactions[[#This Row],[Transaction name]],Transactions[[#This Row],[L1N]],Transactions[[#This Row],[Transaction name]])))))))</f>
        <v>Other consumption n.e.s</v>
      </c>
      <c r="AS142" s="24" t="str">
        <f>IF(Transactions[[#This Row],[Level 0]]=Transactions[[#This Row],[Transaction name]],Transactions[[#This Row],[Transaction name]],IF(Transactions[[#This Row],[Level 0]]=Transactions[[#This Row],[L1N]],Transactions[[#This Row],[Transaction name]],IF(Transactions[[#This Row],[Level 0]]=Transactions[[#This Row],[L2N]],Transactions[[#This Row],[L1N]],IF(Transactions[[#This Row],[Level 0]]=Transactions[[#This Row],[L3N]],Transactions[[#This Row],[L2N]],IF(Transactions[[#This Row],[Level 0]]=Transactions[[#This Row],[L4N]],Transactions[[#This Row],[L3N]],IF(Transactions[[#This Row],[Level 0]]=Transactions[[#This Row],[L5N]],Transactions[[#This Row],[L4N]],IF(Transactions[[#This Row],[Level 0]]=Transactions[[#This Row],[L6N]],Transactions[[#This Row],[L5N]],IF(Transactions[[#This Row],[Level 0]]=Transactions[[#This Row],[L7N]],Transactions[[#This Row],[L6N]],Transactions[[#This Row],[L7N]]))))))))</f>
        <v>Other consumption n.e.s</v>
      </c>
      <c r="AT142" s="24" t="str">
        <f>IF(Transactions[[#This Row],[Level 1]]=Transactions[[#This Row],[Transaction name]],Transactions[[#This Row],[Transaction name]],IF(Transactions[[#This Row],[Level 1]]=Transactions[[#This Row],[L1N]],Transactions[[#This Row],[Transaction name]],IF(Transactions[[#This Row],[Level 1]]=Transactions[[#This Row],[L2N]],Transactions[[#This Row],[L1N]],IF(Transactions[[#This Row],[Level 1]]=Transactions[[#This Row],[L3N]],Transactions[[#This Row],[L2N]],IF(Transactions[[#This Row],[Level 1]]=Transactions[[#This Row],[L4N]],Transactions[[#This Row],[L3N]],IF(Transactions[[#This Row],[Level 1]]=Transactions[[#This Row],[L5N]],Transactions[[#This Row],[L4N]],IF(Transactions[[#This Row],[Level 1]]=Transactions[[#This Row],[L6N]],Transactions[[#This Row],[L5N]],IF(Transactions[[#This Row],[Level 1]]=Transactions[[#This Row],[L7N]],Transactions[[#This Row],[L6N]],Transactions[[#This Row],[L7N]]))))))))</f>
        <v>Other consumption n.e.s</v>
      </c>
      <c r="AU142" s="24" t="str">
        <f>IF(Transactions[[#This Row],[Level 2]]=Transactions[[#This Row],[Transaction name]],Transactions[[#This Row],[Transaction name]],IF(Transactions[[#This Row],[Level 2]]=Transactions[[#This Row],[L1N]],Transactions[[#This Row],[Transaction name]],IF(Transactions[[#This Row],[Level 2]]=Transactions[[#This Row],[L2N]],Transactions[[#This Row],[L1N]],IF(Transactions[[#This Row],[Level 2]]=Transactions[[#This Row],[L3N]],Transactions[[#This Row],[L2N]],IF(Transactions[[#This Row],[Level 2]]=Transactions[[#This Row],[L4N]],Transactions[[#This Row],[L3N]],IF(Transactions[[#This Row],[Level 2]]=Transactions[[#This Row],[L5N]],Transactions[[#This Row],[L4N]],IF(Transactions[[#This Row],[Level 2]]=Transactions[[#This Row],[L6N]],Transactions[[#This Row],[L5N]],IF(Transactions[[#This Row],[Level 2]]=Transactions[[#This Row],[L7N]],Transactions[[#This Row],[L6N]],Transactions[[#This Row],[L7N]]))))))))</f>
        <v>Other consumption n.e.s</v>
      </c>
      <c r="AV142" s="24" t="str">
        <f>IF(Transactions[[#This Row],[Level 3]]=Transactions[[#This Row],[Transaction name]],Transactions[[#This Row],[Transaction name]],IF(Transactions[[#This Row],[Level 3]]=Transactions[[#This Row],[L1N]],Transactions[[#This Row],[Transaction name]],IF(Transactions[[#This Row],[Level 3]]=Transactions[[#This Row],[L2N]],Transactions[[#This Row],[L1N]],IF(Transactions[[#This Row],[Level 3]]=Transactions[[#This Row],[L3N]],Transactions[[#This Row],[L2N]],IF(Transactions[[#This Row],[Level 3]]=Transactions[[#This Row],[L4N]],Transactions[[#This Row],[L3N]],IF(Transactions[[#This Row],[Level 3]]=Transactions[[#This Row],[L5N]],Transactions[[#This Row],[L4N]],IF(Transactions[[#This Row],[Level 3]]=Transactions[[#This Row],[L6N]],Transactions[[#This Row],[L5N]],IF(Transactions[[#This Row],[Level 3]]=Transactions[[#This Row],[L7N]],Transactions[[#This Row],[L6N]],Transactions[[#This Row],[L7N]]))))))))</f>
        <v>Other consumption n.e.s</v>
      </c>
      <c r="AW142" s="24" t="str">
        <f>IF(Transactions[[#This Row],[Level 4]]=Transactions[[#This Row],[Transaction name]],Transactions[[#This Row],[Transaction name]],IF(Transactions[[#This Row],[Level 4]]=Transactions[[#This Row],[L1N]],Transactions[[#This Row],[Transaction name]],IF(Transactions[[#This Row],[Level 4]]=Transactions[[#This Row],[L2N]],Transactions[[#This Row],[L1N]],IF(Transactions[[#This Row],[Level 4]]=Transactions[[#This Row],[L3N]],Transactions[[#This Row],[L2N]],IF(Transactions[[#This Row],[Level 4]]=Transactions[[#This Row],[L4N]],Transactions[[#This Row],[L3N]],IF(Transactions[[#This Row],[Level 4]]=Transactions[[#This Row],[L5N]],Transactions[[#This Row],[L4N]],IF(Transactions[[#This Row],[Level 4]]=Transactions[[#This Row],[L6N]],Transactions[[#This Row],[L5N]],IF(Transactions[[#This Row],[Level 4]]=Transactions[[#This Row],[L7N]],Transactions[[#This Row],[L6N]],Transactions[[#This Row],[L7N]]))))))))</f>
        <v>Other consumption n.e.s</v>
      </c>
      <c r="AX142" s="24" t="str">
        <f>IF(Transactions[[#This Row],[Level 5]]=Transactions[[#This Row],[Transaction name]],Transactions[[#This Row],[Transaction name]],IF(Transactions[[#This Row],[Level 5]]=Transactions[[#This Row],[L1N]],Transactions[[#This Row],[Transaction name]],IF(Transactions[[#This Row],[Level 5]]=Transactions[[#This Row],[L2N]],Transactions[[#This Row],[L1N]],IF(Transactions[[#This Row],[Level 5]]=Transactions[[#This Row],[L3N]],Transactions[[#This Row],[L2N]],IF(Transactions[[#This Row],[Level 5]]=Transactions[[#This Row],[L4N]],Transactions[[#This Row],[L3N]],IF(Transactions[[#This Row],[Level 5]]=Transactions[[#This Row],[L5N]],Transactions[[#This Row],[L4N]],IF(Transactions[[#This Row],[Level 5]]=Transactions[[#This Row],[L6N]],Transactions[[#This Row],[L5N]],IF(Transactions[[#This Row],[Level 5]]=Transactions[[#This Row],[L7N]],Transactions[[#This Row],[L6N]],Transactions[[#This Row],[L7N]]))))))))</f>
        <v>Other consumption n.e.s</v>
      </c>
      <c r="AY142" s="24" t="str">
        <f>IF(Transactions[[#This Row],[Level 6]]=Transactions[[#This Row],[Transaction name]],Transactions[[#This Row],[Transaction name]],IF(Transactions[[#This Row],[Level 6]]=Transactions[[#This Row],[L1N]],Transactions[[#This Row],[Transaction name]],IF(Transactions[[#This Row],[Level 6]]=Transactions[[#This Row],[L2N]],Transactions[[#This Row],[L1N]],IF(Transactions[[#This Row],[Level 6]]=Transactions[[#This Row],[L3N]],Transactions[[#This Row],[L2N]],IF(Transactions[[#This Row],[Level 6]]=Transactions[[#This Row],[L4N]],Transactions[[#This Row],[L3N]],IF(Transactions[[#This Row],[Level 6]]=Transactions[[#This Row],[L5N]],Transactions[[#This Row],[L4N]],IF(Transactions[[#This Row],[Level 6]]=Transactions[[#This Row],[L6N]],Transactions[[#This Row],[L5N]],IF(Transactions[[#This Row],[Level 6]]=Transactions[[#This Row],[L7N]],Transactions[[#This Row],[L6N]],Transactions[[#This Row],[L7N]]))))))))</f>
        <v>Other consumption n.e.s</v>
      </c>
      <c r="BE142" s="26" t="str">
        <f>_xlfn.XLOOKUP(Transformation[[#This Row],[cfrom]],Commodities[Commodity],Commodities[Commodity code])</f>
        <v>4699</v>
      </c>
      <c r="BF142" s="26" t="str">
        <f>_xlfn.XLOOKUP(Transformation[[#This Row],[tfrom]],Transactions[Transaction name],Transactions[Transaction code])</f>
        <v>08812</v>
      </c>
      <c r="BG142" s="26" t="str">
        <f>_xlfn.XLOOKUP(Transformation[[#This Row],[cto]],Commodities[Commodity],Commodities[Commodity code])</f>
        <v>4699</v>
      </c>
      <c r="BH142" s="26" t="str">
        <f>_xlfn.XLOOKUP(Transformation[[#This Row],[tto]],Transactions[Transaction name],Transactions[Transaction code])</f>
        <v>016OPE</v>
      </c>
      <c r="BI142" s="11">
        <v>1</v>
      </c>
      <c r="BJ142" s="4" t="s">
        <v>348</v>
      </c>
      <c r="BK142" s="24" t="str">
        <f>_xlfn.XLOOKUP(Transformation[[#This Row],[Commodity from]],Commodities[Commodity code],Commodities[EnergyCode])</f>
        <v>PP</v>
      </c>
      <c r="BL142" s="4" t="s">
        <v>690</v>
      </c>
      <c r="BM142" s="4" t="s">
        <v>348</v>
      </c>
      <c r="BN142" s="24" t="str">
        <f>_xlfn.XLOOKUP(Transformation[[#This Row],[Commodity to]],Commodities[Commodity code],Commodities[EnergyCode])</f>
        <v>PP</v>
      </c>
      <c r="BO142" s="4" t="s">
        <v>1055</v>
      </c>
      <c r="BP142" s="16" t="s">
        <v>1493</v>
      </c>
      <c r="BQ142" s="33" t="str">
        <f>Transformation[[#This Row],[Commodity from]]&amp;Transformation[[#This Row],[Transaction from]]&amp;Transformation[[#This Row],[Commodity to]]&amp;Transformation[[#This Row],[Transaction to]]</f>
        <v>4699088124699016OPE</v>
      </c>
      <c r="BR142" s="26" t="str">
        <f>Transformation[[#This Row],[crfomid]]&amp;Transformation[[#This Row],[Transaction from]]&amp;"("&amp;Transformation[[#This Row],[Multiplier]]&amp;") -&gt; "&amp;Transformation[[#This Row],[ctoid]]&amp;Transformation[[#This Row],[Transaction to]]</f>
        <v>PP08812(1) -&gt; PP016OPE</v>
      </c>
    </row>
    <row r="143" spans="25:70" x14ac:dyDescent="0.45">
      <c r="Y143" s="4" t="s">
        <v>627</v>
      </c>
      <c r="Z143" s="4" t="s">
        <v>610</v>
      </c>
      <c r="AA143" s="4" t="s">
        <v>610</v>
      </c>
      <c r="AC143" s="24" t="str">
        <f>IFERROR(VLOOKUP(Transactions[[#This Row],[Parent code]],Transactions[[Transaction code]:[Transaction name]],2,0),"")</f>
        <v/>
      </c>
      <c r="AD143" s="4" t="s">
        <v>630</v>
      </c>
      <c r="AF143" s="4" t="s">
        <v>642</v>
      </c>
      <c r="AH143" s="4" t="s">
        <v>696</v>
      </c>
      <c r="AK143" s="24" t="str" cm="1">
        <f t="array" ref="AK143">IFERROR(INDEX(Transactions[[Transaction code]:[Transaction name]],_xlfn.XMATCH(Transactions[[#This Row],[Parent code]],Transactions[Transaction name],0),3),Transactions[[#This Row],[Transaction name]])</f>
        <v>Paper  pulp and printing</v>
      </c>
      <c r="AL143" s="24" t="str" cm="1">
        <f t="array" ref="AL143">IFERROR(INDEX(Transactions[[Transaction code]:[Transaction name]],_xlfn.XMATCH(INDEX(Transactions[[Transaction name]:[Parent code]],_xlfn.XMATCH(Transactions[[#This Row],[L1N]],Transactions[Transaction name],0),3),Transactions[Transaction code],0),2),Transactions[[#This Row],[L1N]])</f>
        <v>Paper  pulp and printing</v>
      </c>
      <c r="AM143" s="24" t="str" cm="1">
        <f t="array" ref="AM143">IFERROR(INDEX(Transactions[[Transaction code]:[Transaction name]],_xlfn.XMATCH(INDEX(Transactions[[Transaction name]:[Parent code]],_xlfn.XMATCH(Transactions[[#This Row],[L2N]],Transactions[Transaction name],0),3),Transactions[Transaction code],0),2),Transactions[[#This Row],[L2N]])</f>
        <v>Paper  pulp and printing</v>
      </c>
      <c r="AN143" s="24" t="str" cm="1">
        <f t="array" ref="AN143">IFERROR(INDEX(Transactions[[Transaction code]:[Transaction name]],_xlfn.XMATCH(INDEX(Transactions[[Transaction name]:[Parent code]],_xlfn.XMATCH(Transactions[[#This Row],[L3N]],Transactions[Transaction name],0),3),Transactions[Transaction code],0),2),Transactions[[#This Row],[L3N]])</f>
        <v>Paper  pulp and printing</v>
      </c>
      <c r="AO143" s="24" t="str" cm="1">
        <f t="array" ref="AO143">IFERROR(INDEX(Transactions[[Transaction code]:[Transaction name]],_xlfn.XMATCH(INDEX(Transactions[[Transaction name]:[Parent code]],_xlfn.XMATCH(Transactions[[#This Row],[L4N]],Transactions[Transaction name],0),3),Transactions[Transaction code],0),2),Transactions[[#This Row],[L4N]])</f>
        <v>Paper  pulp and printing</v>
      </c>
      <c r="AP143" s="24" t="str" cm="1">
        <f t="array" ref="AP143">IFERROR(INDEX(Transactions[[Transaction code]:[Transaction name]],_xlfn.XMATCH(INDEX(Transactions[[Transaction name]:[Parent code]],_xlfn.XMATCH(Transactions[[#This Row],[L5N]],Transactions[Transaction name],0),3),Transactions[Transaction code],0),2),Transactions[[#This Row],[L5N]])</f>
        <v>Paper  pulp and printing</v>
      </c>
      <c r="AQ143" s="24" t="str" cm="1">
        <f t="array" ref="AQ143">IFERROR(INDEX(Transactions[[Transaction code]:[Transaction name]],_xlfn.XMATCH(INDEX(Transactions[[Transaction name]:[Parent code]],_xlfn.XMATCH(Transactions[[#This Row],[L6N]],Transactions[Transaction name],0),3),Transactions[Transaction code],0),2),Transactions[[#This Row],[L6N]])</f>
        <v>Paper  pulp and printing</v>
      </c>
      <c r="AR143" s="28" t="str">
        <f>IF(Transactions[[#This Row],[L7N]]=Transactions[[#This Row],[L6N]],Transactions[[#This Row],[L7N]],IF(Transactions[[#This Row],[L6N]]=Transactions[[#This Row],[L5N]],Transactions[[#This Row],[L6N]],IF(Transactions[[#This Row],[L5N]]=Transactions[[#This Row],[L4N]],Transactions[[#This Row],[L5N]],IF(Transactions[[#This Row],[L4N]]=Transactions[[#This Row],[L3N]],Transactions[[#This Row],[L4N]],IF(Transactions[[#This Row],[L3N]]=Transactions[[#This Row],[L2N]],Transactions[[#This Row],[L3N]],IF(Transactions[[#This Row],[L2N]]=Transactions[[#This Row],[L1N]],Transactions[[#This Row],[L2N]],IF(Transactions[[#This Row],[L1N]]=Transactions[[#This Row],[Transaction name]],Transactions[[#This Row],[L1N]],Transactions[[#This Row],[Transaction name]])))))))</f>
        <v>Paper  pulp and printing</v>
      </c>
      <c r="AS143" s="24" t="str">
        <f>IF(Transactions[[#This Row],[Level 0]]=Transactions[[#This Row],[Transaction name]],Transactions[[#This Row],[Transaction name]],IF(Transactions[[#This Row],[Level 0]]=Transactions[[#This Row],[L1N]],Transactions[[#This Row],[Transaction name]],IF(Transactions[[#This Row],[Level 0]]=Transactions[[#This Row],[L2N]],Transactions[[#This Row],[L1N]],IF(Transactions[[#This Row],[Level 0]]=Transactions[[#This Row],[L3N]],Transactions[[#This Row],[L2N]],IF(Transactions[[#This Row],[Level 0]]=Transactions[[#This Row],[L4N]],Transactions[[#This Row],[L3N]],IF(Transactions[[#This Row],[Level 0]]=Transactions[[#This Row],[L5N]],Transactions[[#This Row],[L4N]],IF(Transactions[[#This Row],[Level 0]]=Transactions[[#This Row],[L6N]],Transactions[[#This Row],[L5N]],IF(Transactions[[#This Row],[Level 0]]=Transactions[[#This Row],[L7N]],Transactions[[#This Row],[L6N]],Transactions[[#This Row],[L7N]]))))))))</f>
        <v>Paper  pulp and printing</v>
      </c>
      <c r="AT143" s="24" t="str">
        <f>IF(Transactions[[#This Row],[Level 1]]=Transactions[[#This Row],[Transaction name]],Transactions[[#This Row],[Transaction name]],IF(Transactions[[#This Row],[Level 1]]=Transactions[[#This Row],[L1N]],Transactions[[#This Row],[Transaction name]],IF(Transactions[[#This Row],[Level 1]]=Transactions[[#This Row],[L2N]],Transactions[[#This Row],[L1N]],IF(Transactions[[#This Row],[Level 1]]=Transactions[[#This Row],[L3N]],Transactions[[#This Row],[L2N]],IF(Transactions[[#This Row],[Level 1]]=Transactions[[#This Row],[L4N]],Transactions[[#This Row],[L3N]],IF(Transactions[[#This Row],[Level 1]]=Transactions[[#This Row],[L5N]],Transactions[[#This Row],[L4N]],IF(Transactions[[#This Row],[Level 1]]=Transactions[[#This Row],[L6N]],Transactions[[#This Row],[L5N]],IF(Transactions[[#This Row],[Level 1]]=Transactions[[#This Row],[L7N]],Transactions[[#This Row],[L6N]],Transactions[[#This Row],[L7N]]))))))))</f>
        <v>Paper  pulp and printing</v>
      </c>
      <c r="AU143" s="24" t="str">
        <f>IF(Transactions[[#This Row],[Level 2]]=Transactions[[#This Row],[Transaction name]],Transactions[[#This Row],[Transaction name]],IF(Transactions[[#This Row],[Level 2]]=Transactions[[#This Row],[L1N]],Transactions[[#This Row],[Transaction name]],IF(Transactions[[#This Row],[Level 2]]=Transactions[[#This Row],[L2N]],Transactions[[#This Row],[L1N]],IF(Transactions[[#This Row],[Level 2]]=Transactions[[#This Row],[L3N]],Transactions[[#This Row],[L2N]],IF(Transactions[[#This Row],[Level 2]]=Transactions[[#This Row],[L4N]],Transactions[[#This Row],[L3N]],IF(Transactions[[#This Row],[Level 2]]=Transactions[[#This Row],[L5N]],Transactions[[#This Row],[L4N]],IF(Transactions[[#This Row],[Level 2]]=Transactions[[#This Row],[L6N]],Transactions[[#This Row],[L5N]],IF(Transactions[[#This Row],[Level 2]]=Transactions[[#This Row],[L7N]],Transactions[[#This Row],[L6N]],Transactions[[#This Row],[L7N]]))))))))</f>
        <v>Paper  pulp and printing</v>
      </c>
      <c r="AV143" s="24" t="str">
        <f>IF(Transactions[[#This Row],[Level 3]]=Transactions[[#This Row],[Transaction name]],Transactions[[#This Row],[Transaction name]],IF(Transactions[[#This Row],[Level 3]]=Transactions[[#This Row],[L1N]],Transactions[[#This Row],[Transaction name]],IF(Transactions[[#This Row],[Level 3]]=Transactions[[#This Row],[L2N]],Transactions[[#This Row],[L1N]],IF(Transactions[[#This Row],[Level 3]]=Transactions[[#This Row],[L3N]],Transactions[[#This Row],[L2N]],IF(Transactions[[#This Row],[Level 3]]=Transactions[[#This Row],[L4N]],Transactions[[#This Row],[L3N]],IF(Transactions[[#This Row],[Level 3]]=Transactions[[#This Row],[L5N]],Transactions[[#This Row],[L4N]],IF(Transactions[[#This Row],[Level 3]]=Transactions[[#This Row],[L6N]],Transactions[[#This Row],[L5N]],IF(Transactions[[#This Row],[Level 3]]=Transactions[[#This Row],[L7N]],Transactions[[#This Row],[L6N]],Transactions[[#This Row],[L7N]]))))))))</f>
        <v>Paper  pulp and printing</v>
      </c>
      <c r="AW143" s="24" t="str">
        <f>IF(Transactions[[#This Row],[Level 4]]=Transactions[[#This Row],[Transaction name]],Transactions[[#This Row],[Transaction name]],IF(Transactions[[#This Row],[Level 4]]=Transactions[[#This Row],[L1N]],Transactions[[#This Row],[Transaction name]],IF(Transactions[[#This Row],[Level 4]]=Transactions[[#This Row],[L2N]],Transactions[[#This Row],[L1N]],IF(Transactions[[#This Row],[Level 4]]=Transactions[[#This Row],[L3N]],Transactions[[#This Row],[L2N]],IF(Transactions[[#This Row],[Level 4]]=Transactions[[#This Row],[L4N]],Transactions[[#This Row],[L3N]],IF(Transactions[[#This Row],[Level 4]]=Transactions[[#This Row],[L5N]],Transactions[[#This Row],[L4N]],IF(Transactions[[#This Row],[Level 4]]=Transactions[[#This Row],[L6N]],Transactions[[#This Row],[L5N]],IF(Transactions[[#This Row],[Level 4]]=Transactions[[#This Row],[L7N]],Transactions[[#This Row],[L6N]],Transactions[[#This Row],[L7N]]))))))))</f>
        <v>Paper  pulp and printing</v>
      </c>
      <c r="AX143" s="24" t="str">
        <f>IF(Transactions[[#This Row],[Level 5]]=Transactions[[#This Row],[Transaction name]],Transactions[[#This Row],[Transaction name]],IF(Transactions[[#This Row],[Level 5]]=Transactions[[#This Row],[L1N]],Transactions[[#This Row],[Transaction name]],IF(Transactions[[#This Row],[Level 5]]=Transactions[[#This Row],[L2N]],Transactions[[#This Row],[L1N]],IF(Transactions[[#This Row],[Level 5]]=Transactions[[#This Row],[L3N]],Transactions[[#This Row],[L2N]],IF(Transactions[[#This Row],[Level 5]]=Transactions[[#This Row],[L4N]],Transactions[[#This Row],[L3N]],IF(Transactions[[#This Row],[Level 5]]=Transactions[[#This Row],[L5N]],Transactions[[#This Row],[L4N]],IF(Transactions[[#This Row],[Level 5]]=Transactions[[#This Row],[L6N]],Transactions[[#This Row],[L5N]],IF(Transactions[[#This Row],[Level 5]]=Transactions[[#This Row],[L7N]],Transactions[[#This Row],[L6N]],Transactions[[#This Row],[L7N]]))))))))</f>
        <v>Paper  pulp and printing</v>
      </c>
      <c r="AY143" s="24" t="str">
        <f>IF(Transactions[[#This Row],[Level 6]]=Transactions[[#This Row],[Transaction name]],Transactions[[#This Row],[Transaction name]],IF(Transactions[[#This Row],[Level 6]]=Transactions[[#This Row],[L1N]],Transactions[[#This Row],[Transaction name]],IF(Transactions[[#This Row],[Level 6]]=Transactions[[#This Row],[L2N]],Transactions[[#This Row],[L1N]],IF(Transactions[[#This Row],[Level 6]]=Transactions[[#This Row],[L3N]],Transactions[[#This Row],[L2N]],IF(Transactions[[#This Row],[Level 6]]=Transactions[[#This Row],[L4N]],Transactions[[#This Row],[L3N]],IF(Transactions[[#This Row],[Level 6]]=Transactions[[#This Row],[L5N]],Transactions[[#This Row],[L4N]],IF(Transactions[[#This Row],[Level 6]]=Transactions[[#This Row],[L6N]],Transactions[[#This Row],[L5N]],IF(Transactions[[#This Row],[Level 6]]=Transactions[[#This Row],[L7N]],Transactions[[#This Row],[L6N]],Transactions[[#This Row],[L7N]]))))))))</f>
        <v>Paper  pulp and printing</v>
      </c>
      <c r="BE143" s="26" t="str">
        <f>_xlfn.XLOOKUP(Transformation[[#This Row],[cfrom]],Commodities[Commodity],Commodities[Commodity code])</f>
        <v>1100</v>
      </c>
      <c r="BF143" s="26" t="str">
        <f>_xlfn.XLOOKUP(Transformation[[#This Row],[tfrom]],Transactions[Transaction name],Transactions[Transaction code])</f>
        <v>08812</v>
      </c>
      <c r="BG143" s="26" t="str">
        <f>_xlfn.XLOOKUP(Transformation[[#This Row],[cto]],Commodities[Commodity],Commodities[Commodity code])</f>
        <v>1100</v>
      </c>
      <c r="BH143" s="26" t="str">
        <f>_xlfn.XLOOKUP(Transformation[[#This Row],[tto]],Transactions[Transaction name],Transactions[Transaction code])</f>
        <v>016PTE</v>
      </c>
      <c r="BI143" s="11">
        <v>1</v>
      </c>
      <c r="BJ143" s="4" t="s">
        <v>459</v>
      </c>
      <c r="BK143" s="24" t="str">
        <f>_xlfn.XLOOKUP(Transformation[[#This Row],[Commodity from]],Commodities[Commodity code],Commodities[EnergyCode])</f>
        <v>PT</v>
      </c>
      <c r="BL143" s="4" t="s">
        <v>690</v>
      </c>
      <c r="BM143" s="4" t="s">
        <v>459</v>
      </c>
      <c r="BN143" s="24" t="str">
        <f>_xlfn.XLOOKUP(Transformation[[#This Row],[Commodity to]],Commodities[Commodity code],Commodities[EnergyCode])</f>
        <v>PT</v>
      </c>
      <c r="BO143" s="4" t="s">
        <v>1206</v>
      </c>
      <c r="BP143" s="16" t="s">
        <v>1493</v>
      </c>
      <c r="BQ143" s="33" t="str">
        <f>Transformation[[#This Row],[Commodity from]]&amp;Transformation[[#This Row],[Transaction from]]&amp;Transformation[[#This Row],[Commodity to]]&amp;Transformation[[#This Row],[Transaction to]]</f>
        <v>1100088121100016PTE</v>
      </c>
      <c r="BR143" s="26" t="str">
        <f>Transformation[[#This Row],[crfomid]]&amp;Transformation[[#This Row],[Transaction from]]&amp;"("&amp;Transformation[[#This Row],[Multiplier]]&amp;") -&gt; "&amp;Transformation[[#This Row],[ctoid]]&amp;Transformation[[#This Row],[Transaction to]]</f>
        <v>PT08812(1) -&gt; PT016PTE</v>
      </c>
    </row>
    <row r="144" spans="25:70" x14ac:dyDescent="0.45">
      <c r="Y144" s="5" t="s">
        <v>97</v>
      </c>
      <c r="Z144" s="4" t="s">
        <v>96</v>
      </c>
      <c r="AA144" s="4" t="s">
        <v>96</v>
      </c>
      <c r="AB144" s="6"/>
      <c r="AC144" s="24" t="str">
        <f>IFERROR(VLOOKUP(Transactions[[#This Row],[Parent code]],Transactions[[Transaction code]:[Transaction name]],2,0),"")</f>
        <v/>
      </c>
      <c r="AD144" s="4" t="s">
        <v>731</v>
      </c>
      <c r="AF144" s="4" t="s">
        <v>642</v>
      </c>
      <c r="AG144" s="4" t="s">
        <v>1</v>
      </c>
      <c r="AH144" s="4" t="s">
        <v>696</v>
      </c>
      <c r="AK144" s="24" t="str" cm="1">
        <f t="array" ref="AK144">IFERROR(INDEX(Transactions[[Transaction code]:[Transaction name]],_xlfn.XMATCH(Transactions[[#This Row],[Parent code]],Transactions[Transaction name],0),3),Transactions[[#This Row],[Transaction name]])</f>
        <v>Refinery capacity</v>
      </c>
      <c r="AL144" s="24" t="str" cm="1">
        <f t="array" ref="AL144">IFERROR(INDEX(Transactions[[Transaction code]:[Transaction name]],_xlfn.XMATCH(INDEX(Transactions[[Transaction name]:[Parent code]],_xlfn.XMATCH(Transactions[[#This Row],[L1N]],Transactions[Transaction name],0),3),Transactions[Transaction code],0),2),Transactions[[#This Row],[L1N]])</f>
        <v>Refinery capacity</v>
      </c>
      <c r="AM144" s="24" t="str" cm="1">
        <f t="array" ref="AM144">IFERROR(INDEX(Transactions[[Transaction code]:[Transaction name]],_xlfn.XMATCH(INDEX(Transactions[[Transaction name]:[Parent code]],_xlfn.XMATCH(Transactions[[#This Row],[L2N]],Transactions[Transaction name],0),3),Transactions[Transaction code],0),2),Transactions[[#This Row],[L2N]])</f>
        <v>Refinery capacity</v>
      </c>
      <c r="AN144" s="24" t="str" cm="1">
        <f t="array" ref="AN144">IFERROR(INDEX(Transactions[[Transaction code]:[Transaction name]],_xlfn.XMATCH(INDEX(Transactions[[Transaction name]:[Parent code]],_xlfn.XMATCH(Transactions[[#This Row],[L3N]],Transactions[Transaction name],0),3),Transactions[Transaction code],0),2),Transactions[[#This Row],[L3N]])</f>
        <v>Refinery capacity</v>
      </c>
      <c r="AO144" s="24" t="str" cm="1">
        <f t="array" ref="AO144">IFERROR(INDEX(Transactions[[Transaction code]:[Transaction name]],_xlfn.XMATCH(INDEX(Transactions[[Transaction name]:[Parent code]],_xlfn.XMATCH(Transactions[[#This Row],[L4N]],Transactions[Transaction name],0),3),Transactions[Transaction code],0),2),Transactions[[#This Row],[L4N]])</f>
        <v>Refinery capacity</v>
      </c>
      <c r="AP144" s="24" t="str" cm="1">
        <f t="array" ref="AP144">IFERROR(INDEX(Transactions[[Transaction code]:[Transaction name]],_xlfn.XMATCH(INDEX(Transactions[[Transaction name]:[Parent code]],_xlfn.XMATCH(Transactions[[#This Row],[L5N]],Transactions[Transaction name],0),3),Transactions[Transaction code],0),2),Transactions[[#This Row],[L5N]])</f>
        <v>Refinery capacity</v>
      </c>
      <c r="AQ144" s="24" t="str" cm="1">
        <f t="array" ref="AQ144">IFERROR(INDEX(Transactions[[Transaction code]:[Transaction name]],_xlfn.XMATCH(INDEX(Transactions[[Transaction name]:[Parent code]],_xlfn.XMATCH(Transactions[[#This Row],[L6N]],Transactions[Transaction name],0),3),Transactions[Transaction code],0),2),Transactions[[#This Row],[L6N]])</f>
        <v>Refinery capacity</v>
      </c>
      <c r="AR144" s="27" t="str">
        <f>IF(Transactions[[#This Row],[L7N]]=Transactions[[#This Row],[L6N]],Transactions[[#This Row],[L7N]],IF(Transactions[[#This Row],[L6N]]=Transactions[[#This Row],[L5N]],Transactions[[#This Row],[L6N]],IF(Transactions[[#This Row],[L5N]]=Transactions[[#This Row],[L4N]],Transactions[[#This Row],[L5N]],IF(Transactions[[#This Row],[L4N]]=Transactions[[#This Row],[L3N]],Transactions[[#This Row],[L4N]],IF(Transactions[[#This Row],[L3N]]=Transactions[[#This Row],[L2N]],Transactions[[#This Row],[L3N]],IF(Transactions[[#This Row],[L2N]]=Transactions[[#This Row],[L1N]],Transactions[[#This Row],[L2N]],IF(Transactions[[#This Row],[L1N]]=Transactions[[#This Row],[Transaction name]],Transactions[[#This Row],[L1N]],Transactions[[#This Row],[Transaction name]])))))))</f>
        <v>Refinery capacity</v>
      </c>
      <c r="AS144" s="24" t="str">
        <f>IF(Transactions[[#This Row],[Level 0]]=Transactions[[#This Row],[Transaction name]],Transactions[[#This Row],[Transaction name]],IF(Transactions[[#This Row],[Level 0]]=Transactions[[#This Row],[L1N]],Transactions[[#This Row],[Transaction name]],IF(Transactions[[#This Row],[Level 0]]=Transactions[[#This Row],[L2N]],Transactions[[#This Row],[L1N]],IF(Transactions[[#This Row],[Level 0]]=Transactions[[#This Row],[L3N]],Transactions[[#This Row],[L2N]],IF(Transactions[[#This Row],[Level 0]]=Transactions[[#This Row],[L4N]],Transactions[[#This Row],[L3N]],IF(Transactions[[#This Row],[Level 0]]=Transactions[[#This Row],[L5N]],Transactions[[#This Row],[L4N]],IF(Transactions[[#This Row],[Level 0]]=Transactions[[#This Row],[L6N]],Transactions[[#This Row],[L5N]],IF(Transactions[[#This Row],[Level 0]]=Transactions[[#This Row],[L7N]],Transactions[[#This Row],[L6N]],Transactions[[#This Row],[L7N]]))))))))</f>
        <v>Refinery capacity</v>
      </c>
      <c r="AT144" s="24" t="str">
        <f>IF(Transactions[[#This Row],[Level 1]]=Transactions[[#This Row],[Transaction name]],Transactions[[#This Row],[Transaction name]],IF(Transactions[[#This Row],[Level 1]]=Transactions[[#This Row],[L1N]],Transactions[[#This Row],[Transaction name]],IF(Transactions[[#This Row],[Level 1]]=Transactions[[#This Row],[L2N]],Transactions[[#This Row],[L1N]],IF(Transactions[[#This Row],[Level 1]]=Transactions[[#This Row],[L3N]],Transactions[[#This Row],[L2N]],IF(Transactions[[#This Row],[Level 1]]=Transactions[[#This Row],[L4N]],Transactions[[#This Row],[L3N]],IF(Transactions[[#This Row],[Level 1]]=Transactions[[#This Row],[L5N]],Transactions[[#This Row],[L4N]],IF(Transactions[[#This Row],[Level 1]]=Transactions[[#This Row],[L6N]],Transactions[[#This Row],[L5N]],IF(Transactions[[#This Row],[Level 1]]=Transactions[[#This Row],[L7N]],Transactions[[#This Row],[L6N]],Transactions[[#This Row],[L7N]]))))))))</f>
        <v>Refinery capacity</v>
      </c>
      <c r="AU144" s="24" t="str">
        <f>IF(Transactions[[#This Row],[Level 2]]=Transactions[[#This Row],[Transaction name]],Transactions[[#This Row],[Transaction name]],IF(Transactions[[#This Row],[Level 2]]=Transactions[[#This Row],[L1N]],Transactions[[#This Row],[Transaction name]],IF(Transactions[[#This Row],[Level 2]]=Transactions[[#This Row],[L2N]],Transactions[[#This Row],[L1N]],IF(Transactions[[#This Row],[Level 2]]=Transactions[[#This Row],[L3N]],Transactions[[#This Row],[L2N]],IF(Transactions[[#This Row],[Level 2]]=Transactions[[#This Row],[L4N]],Transactions[[#This Row],[L3N]],IF(Transactions[[#This Row],[Level 2]]=Transactions[[#This Row],[L5N]],Transactions[[#This Row],[L4N]],IF(Transactions[[#This Row],[Level 2]]=Transactions[[#This Row],[L6N]],Transactions[[#This Row],[L5N]],IF(Transactions[[#This Row],[Level 2]]=Transactions[[#This Row],[L7N]],Transactions[[#This Row],[L6N]],Transactions[[#This Row],[L7N]]))))))))</f>
        <v>Refinery capacity</v>
      </c>
      <c r="AV144" s="24" t="str">
        <f>IF(Transactions[[#This Row],[Level 3]]=Transactions[[#This Row],[Transaction name]],Transactions[[#This Row],[Transaction name]],IF(Transactions[[#This Row],[Level 3]]=Transactions[[#This Row],[L1N]],Transactions[[#This Row],[Transaction name]],IF(Transactions[[#This Row],[Level 3]]=Transactions[[#This Row],[L2N]],Transactions[[#This Row],[L1N]],IF(Transactions[[#This Row],[Level 3]]=Transactions[[#This Row],[L3N]],Transactions[[#This Row],[L2N]],IF(Transactions[[#This Row],[Level 3]]=Transactions[[#This Row],[L4N]],Transactions[[#This Row],[L3N]],IF(Transactions[[#This Row],[Level 3]]=Transactions[[#This Row],[L5N]],Transactions[[#This Row],[L4N]],IF(Transactions[[#This Row],[Level 3]]=Transactions[[#This Row],[L6N]],Transactions[[#This Row],[L5N]],IF(Transactions[[#This Row],[Level 3]]=Transactions[[#This Row],[L7N]],Transactions[[#This Row],[L6N]],Transactions[[#This Row],[L7N]]))))))))</f>
        <v>Refinery capacity</v>
      </c>
      <c r="AW144" s="24" t="str">
        <f>IF(Transactions[[#This Row],[Level 4]]=Transactions[[#This Row],[Transaction name]],Transactions[[#This Row],[Transaction name]],IF(Transactions[[#This Row],[Level 4]]=Transactions[[#This Row],[L1N]],Transactions[[#This Row],[Transaction name]],IF(Transactions[[#This Row],[Level 4]]=Transactions[[#This Row],[L2N]],Transactions[[#This Row],[L1N]],IF(Transactions[[#This Row],[Level 4]]=Transactions[[#This Row],[L3N]],Transactions[[#This Row],[L2N]],IF(Transactions[[#This Row],[Level 4]]=Transactions[[#This Row],[L4N]],Transactions[[#This Row],[L3N]],IF(Transactions[[#This Row],[Level 4]]=Transactions[[#This Row],[L5N]],Transactions[[#This Row],[L4N]],IF(Transactions[[#This Row],[Level 4]]=Transactions[[#This Row],[L6N]],Transactions[[#This Row],[L5N]],IF(Transactions[[#This Row],[Level 4]]=Transactions[[#This Row],[L7N]],Transactions[[#This Row],[L6N]],Transactions[[#This Row],[L7N]]))))))))</f>
        <v>Refinery capacity</v>
      </c>
      <c r="AX144" s="24" t="str">
        <f>IF(Transactions[[#This Row],[Level 5]]=Transactions[[#This Row],[Transaction name]],Transactions[[#This Row],[Transaction name]],IF(Transactions[[#This Row],[Level 5]]=Transactions[[#This Row],[L1N]],Transactions[[#This Row],[Transaction name]],IF(Transactions[[#This Row],[Level 5]]=Transactions[[#This Row],[L2N]],Transactions[[#This Row],[L1N]],IF(Transactions[[#This Row],[Level 5]]=Transactions[[#This Row],[L3N]],Transactions[[#This Row],[L2N]],IF(Transactions[[#This Row],[Level 5]]=Transactions[[#This Row],[L4N]],Transactions[[#This Row],[L3N]],IF(Transactions[[#This Row],[Level 5]]=Transactions[[#This Row],[L5N]],Transactions[[#This Row],[L4N]],IF(Transactions[[#This Row],[Level 5]]=Transactions[[#This Row],[L6N]],Transactions[[#This Row],[L5N]],IF(Transactions[[#This Row],[Level 5]]=Transactions[[#This Row],[L7N]],Transactions[[#This Row],[L6N]],Transactions[[#This Row],[L7N]]))))))))</f>
        <v>Refinery capacity</v>
      </c>
      <c r="AY144" s="24" t="str">
        <f>IF(Transactions[[#This Row],[Level 6]]=Transactions[[#This Row],[Transaction name]],Transactions[[#This Row],[Transaction name]],IF(Transactions[[#This Row],[Level 6]]=Transactions[[#This Row],[L1N]],Transactions[[#This Row],[Transaction name]],IF(Transactions[[#This Row],[Level 6]]=Transactions[[#This Row],[L2N]],Transactions[[#This Row],[L1N]],IF(Transactions[[#This Row],[Level 6]]=Transactions[[#This Row],[L3N]],Transactions[[#This Row],[L2N]],IF(Transactions[[#This Row],[Level 6]]=Transactions[[#This Row],[L4N]],Transactions[[#This Row],[L3N]],IF(Transactions[[#This Row],[Level 6]]=Transactions[[#This Row],[L5N]],Transactions[[#This Row],[L4N]],IF(Transactions[[#This Row],[Level 6]]=Transactions[[#This Row],[L6N]],Transactions[[#This Row],[L5N]],IF(Transactions[[#This Row],[Level 6]]=Transactions[[#This Row],[L7N]],Transactions[[#This Row],[L6N]],Transactions[[#This Row],[L7N]]))))))))</f>
        <v>Refinery capacity</v>
      </c>
      <c r="BE144" s="26" t="str">
        <f>_xlfn.XLOOKUP(Transformation[[#This Row],[cfrom]],Commodities[Commodity],Commodities[Commodity code])</f>
        <v>5140</v>
      </c>
      <c r="BF144" s="26" t="str">
        <f>_xlfn.XLOOKUP(Transformation[[#This Row],[tfrom]],Transactions[Transaction name],Transactions[Transaction code])</f>
        <v>08812</v>
      </c>
      <c r="BG144" s="26" t="str">
        <f>_xlfn.XLOOKUP(Transformation[[#This Row],[cto]],Commodities[Commodity],Commodities[Commodity code])</f>
        <v>5140</v>
      </c>
      <c r="BH144" s="26" t="str">
        <f>_xlfn.XLOOKUP(Transformation[[#This Row],[tto]],Transactions[Transaction name],Transactions[Transaction code])</f>
        <v>016BSE</v>
      </c>
      <c r="BI144" s="11">
        <v>1</v>
      </c>
      <c r="BJ144" s="4" t="s">
        <v>330</v>
      </c>
      <c r="BK144" s="24" t="str">
        <f>_xlfn.XLOOKUP(Transformation[[#This Row],[Commodity from]],Commodities[Commodity code],Commodities[EnergyCode])</f>
        <v>PU</v>
      </c>
      <c r="BL144" s="4" t="s">
        <v>690</v>
      </c>
      <c r="BM144" s="4" t="s">
        <v>330</v>
      </c>
      <c r="BN144" s="24" t="str">
        <f>_xlfn.XLOOKUP(Transformation[[#This Row],[Commodity to]],Commodities[Commodity code],Commodities[EnergyCode])</f>
        <v>PU</v>
      </c>
      <c r="BO144" s="4" t="s">
        <v>1127</v>
      </c>
      <c r="BP144" s="16" t="s">
        <v>1493</v>
      </c>
      <c r="BQ144" s="33" t="str">
        <f>Transformation[[#This Row],[Commodity from]]&amp;Transformation[[#This Row],[Transaction from]]&amp;Transformation[[#This Row],[Commodity to]]&amp;Transformation[[#This Row],[Transaction to]]</f>
        <v>5140088125140016BSE</v>
      </c>
      <c r="BR144" s="26" t="str">
        <f>Transformation[[#This Row],[crfomid]]&amp;Transformation[[#This Row],[Transaction from]]&amp;"("&amp;Transformation[[#This Row],[Multiplier]]&amp;") -&gt; "&amp;Transformation[[#This Row],[ctoid]]&amp;Transformation[[#This Row],[Transaction to]]</f>
        <v>PU08812(1) -&gt; PU016BSE</v>
      </c>
    </row>
    <row r="145" spans="25:70" x14ac:dyDescent="0.45">
      <c r="Y145" s="5" t="s">
        <v>141</v>
      </c>
      <c r="Z145" s="4" t="s">
        <v>140</v>
      </c>
      <c r="AA145" s="4" t="s">
        <v>140</v>
      </c>
      <c r="AC145" s="24" t="str">
        <f>IFERROR(VLOOKUP(Transactions[[#This Row],[Parent code]],Transactions[[Transaction code]:[Transaction name]],2,0),"")</f>
        <v/>
      </c>
      <c r="AD145" s="4" t="s">
        <v>732</v>
      </c>
      <c r="AF145" s="4" t="s">
        <v>642</v>
      </c>
      <c r="AG145" s="4" t="s">
        <v>1</v>
      </c>
      <c r="AH145" s="4" t="s">
        <v>696</v>
      </c>
      <c r="AK145" s="24" t="str" cm="1">
        <f t="array" ref="AK145">IFERROR(INDEX(Transactions[[Transaction code]:[Transaction name]],_xlfn.XMATCH(Transactions[[#This Row],[Parent code]],Transactions[Transaction name],0),3),Transactions[[#This Row],[Transaction name]])</f>
        <v>Re-injected</v>
      </c>
      <c r="AL145" s="24" t="str" cm="1">
        <f t="array" ref="AL145">IFERROR(INDEX(Transactions[[Transaction code]:[Transaction name]],_xlfn.XMATCH(INDEX(Transactions[[Transaction name]:[Parent code]],_xlfn.XMATCH(Transactions[[#This Row],[L1N]],Transactions[Transaction name],0),3),Transactions[Transaction code],0),2),Transactions[[#This Row],[L1N]])</f>
        <v>Re-injected</v>
      </c>
      <c r="AM145" s="24" t="str" cm="1">
        <f t="array" ref="AM145">IFERROR(INDEX(Transactions[[Transaction code]:[Transaction name]],_xlfn.XMATCH(INDEX(Transactions[[Transaction name]:[Parent code]],_xlfn.XMATCH(Transactions[[#This Row],[L2N]],Transactions[Transaction name],0),3),Transactions[Transaction code],0),2),Transactions[[#This Row],[L2N]])</f>
        <v>Re-injected</v>
      </c>
      <c r="AN145" s="24" t="str" cm="1">
        <f t="array" ref="AN145">IFERROR(INDEX(Transactions[[Transaction code]:[Transaction name]],_xlfn.XMATCH(INDEX(Transactions[[Transaction name]:[Parent code]],_xlfn.XMATCH(Transactions[[#This Row],[L3N]],Transactions[Transaction name],0),3),Transactions[Transaction code],0),2),Transactions[[#This Row],[L3N]])</f>
        <v>Re-injected</v>
      </c>
      <c r="AO145" s="24" t="str" cm="1">
        <f t="array" ref="AO145">IFERROR(INDEX(Transactions[[Transaction code]:[Transaction name]],_xlfn.XMATCH(INDEX(Transactions[[Transaction name]:[Parent code]],_xlfn.XMATCH(Transactions[[#This Row],[L4N]],Transactions[Transaction name],0),3),Transactions[Transaction code],0),2),Transactions[[#This Row],[L4N]])</f>
        <v>Re-injected</v>
      </c>
      <c r="AP145" s="24" t="str" cm="1">
        <f t="array" ref="AP145">IFERROR(INDEX(Transactions[[Transaction code]:[Transaction name]],_xlfn.XMATCH(INDEX(Transactions[[Transaction name]:[Parent code]],_xlfn.XMATCH(Transactions[[#This Row],[L5N]],Transactions[Transaction name],0),3),Transactions[Transaction code],0),2),Transactions[[#This Row],[L5N]])</f>
        <v>Re-injected</v>
      </c>
      <c r="AQ145" s="24" t="str" cm="1">
        <f t="array" ref="AQ145">IFERROR(INDEX(Transactions[[Transaction code]:[Transaction name]],_xlfn.XMATCH(INDEX(Transactions[[Transaction name]:[Parent code]],_xlfn.XMATCH(Transactions[[#This Row],[L6N]],Transactions[Transaction name],0),3),Transactions[Transaction code],0),2),Transactions[[#This Row],[L6N]])</f>
        <v>Re-injected</v>
      </c>
      <c r="AR145" s="27" t="str">
        <f>IF(Transactions[[#This Row],[L7N]]=Transactions[[#This Row],[L6N]],Transactions[[#This Row],[L7N]],IF(Transactions[[#This Row],[L6N]]=Transactions[[#This Row],[L5N]],Transactions[[#This Row],[L6N]],IF(Transactions[[#This Row],[L5N]]=Transactions[[#This Row],[L4N]],Transactions[[#This Row],[L5N]],IF(Transactions[[#This Row],[L4N]]=Transactions[[#This Row],[L3N]],Transactions[[#This Row],[L4N]],IF(Transactions[[#This Row],[L3N]]=Transactions[[#This Row],[L2N]],Transactions[[#This Row],[L3N]],IF(Transactions[[#This Row],[L2N]]=Transactions[[#This Row],[L1N]],Transactions[[#This Row],[L2N]],IF(Transactions[[#This Row],[L1N]]=Transactions[[#This Row],[Transaction name]],Transactions[[#This Row],[L1N]],Transactions[[#This Row],[Transaction name]])))))))</f>
        <v>Re-injected</v>
      </c>
      <c r="AS145" s="24" t="str">
        <f>IF(Transactions[[#This Row],[Level 0]]=Transactions[[#This Row],[Transaction name]],Transactions[[#This Row],[Transaction name]],IF(Transactions[[#This Row],[Level 0]]=Transactions[[#This Row],[L1N]],Transactions[[#This Row],[Transaction name]],IF(Transactions[[#This Row],[Level 0]]=Transactions[[#This Row],[L2N]],Transactions[[#This Row],[L1N]],IF(Transactions[[#This Row],[Level 0]]=Transactions[[#This Row],[L3N]],Transactions[[#This Row],[L2N]],IF(Transactions[[#This Row],[Level 0]]=Transactions[[#This Row],[L4N]],Transactions[[#This Row],[L3N]],IF(Transactions[[#This Row],[Level 0]]=Transactions[[#This Row],[L5N]],Transactions[[#This Row],[L4N]],IF(Transactions[[#This Row],[Level 0]]=Transactions[[#This Row],[L6N]],Transactions[[#This Row],[L5N]],IF(Transactions[[#This Row],[Level 0]]=Transactions[[#This Row],[L7N]],Transactions[[#This Row],[L6N]],Transactions[[#This Row],[L7N]]))))))))</f>
        <v>Re-injected</v>
      </c>
      <c r="AT145" s="24" t="str">
        <f>IF(Transactions[[#This Row],[Level 1]]=Transactions[[#This Row],[Transaction name]],Transactions[[#This Row],[Transaction name]],IF(Transactions[[#This Row],[Level 1]]=Transactions[[#This Row],[L1N]],Transactions[[#This Row],[Transaction name]],IF(Transactions[[#This Row],[Level 1]]=Transactions[[#This Row],[L2N]],Transactions[[#This Row],[L1N]],IF(Transactions[[#This Row],[Level 1]]=Transactions[[#This Row],[L3N]],Transactions[[#This Row],[L2N]],IF(Transactions[[#This Row],[Level 1]]=Transactions[[#This Row],[L4N]],Transactions[[#This Row],[L3N]],IF(Transactions[[#This Row],[Level 1]]=Transactions[[#This Row],[L5N]],Transactions[[#This Row],[L4N]],IF(Transactions[[#This Row],[Level 1]]=Transactions[[#This Row],[L6N]],Transactions[[#This Row],[L5N]],IF(Transactions[[#This Row],[Level 1]]=Transactions[[#This Row],[L7N]],Transactions[[#This Row],[L6N]],Transactions[[#This Row],[L7N]]))))))))</f>
        <v>Re-injected</v>
      </c>
      <c r="AU145" s="24" t="str">
        <f>IF(Transactions[[#This Row],[Level 2]]=Transactions[[#This Row],[Transaction name]],Transactions[[#This Row],[Transaction name]],IF(Transactions[[#This Row],[Level 2]]=Transactions[[#This Row],[L1N]],Transactions[[#This Row],[Transaction name]],IF(Transactions[[#This Row],[Level 2]]=Transactions[[#This Row],[L2N]],Transactions[[#This Row],[L1N]],IF(Transactions[[#This Row],[Level 2]]=Transactions[[#This Row],[L3N]],Transactions[[#This Row],[L2N]],IF(Transactions[[#This Row],[Level 2]]=Transactions[[#This Row],[L4N]],Transactions[[#This Row],[L3N]],IF(Transactions[[#This Row],[Level 2]]=Transactions[[#This Row],[L5N]],Transactions[[#This Row],[L4N]],IF(Transactions[[#This Row],[Level 2]]=Transactions[[#This Row],[L6N]],Transactions[[#This Row],[L5N]],IF(Transactions[[#This Row],[Level 2]]=Transactions[[#This Row],[L7N]],Transactions[[#This Row],[L6N]],Transactions[[#This Row],[L7N]]))))))))</f>
        <v>Re-injected</v>
      </c>
      <c r="AV145" s="24" t="str">
        <f>IF(Transactions[[#This Row],[Level 3]]=Transactions[[#This Row],[Transaction name]],Transactions[[#This Row],[Transaction name]],IF(Transactions[[#This Row],[Level 3]]=Transactions[[#This Row],[L1N]],Transactions[[#This Row],[Transaction name]],IF(Transactions[[#This Row],[Level 3]]=Transactions[[#This Row],[L2N]],Transactions[[#This Row],[L1N]],IF(Transactions[[#This Row],[Level 3]]=Transactions[[#This Row],[L3N]],Transactions[[#This Row],[L2N]],IF(Transactions[[#This Row],[Level 3]]=Transactions[[#This Row],[L4N]],Transactions[[#This Row],[L3N]],IF(Transactions[[#This Row],[Level 3]]=Transactions[[#This Row],[L5N]],Transactions[[#This Row],[L4N]],IF(Transactions[[#This Row],[Level 3]]=Transactions[[#This Row],[L6N]],Transactions[[#This Row],[L5N]],IF(Transactions[[#This Row],[Level 3]]=Transactions[[#This Row],[L7N]],Transactions[[#This Row],[L6N]],Transactions[[#This Row],[L7N]]))))))))</f>
        <v>Re-injected</v>
      </c>
      <c r="AW145" s="24" t="str">
        <f>IF(Transactions[[#This Row],[Level 4]]=Transactions[[#This Row],[Transaction name]],Transactions[[#This Row],[Transaction name]],IF(Transactions[[#This Row],[Level 4]]=Transactions[[#This Row],[L1N]],Transactions[[#This Row],[Transaction name]],IF(Transactions[[#This Row],[Level 4]]=Transactions[[#This Row],[L2N]],Transactions[[#This Row],[L1N]],IF(Transactions[[#This Row],[Level 4]]=Transactions[[#This Row],[L3N]],Transactions[[#This Row],[L2N]],IF(Transactions[[#This Row],[Level 4]]=Transactions[[#This Row],[L4N]],Transactions[[#This Row],[L3N]],IF(Transactions[[#This Row],[Level 4]]=Transactions[[#This Row],[L5N]],Transactions[[#This Row],[L4N]],IF(Transactions[[#This Row],[Level 4]]=Transactions[[#This Row],[L6N]],Transactions[[#This Row],[L5N]],IF(Transactions[[#This Row],[Level 4]]=Transactions[[#This Row],[L7N]],Transactions[[#This Row],[L6N]],Transactions[[#This Row],[L7N]]))))))))</f>
        <v>Re-injected</v>
      </c>
      <c r="AX145" s="24" t="str">
        <f>IF(Transactions[[#This Row],[Level 5]]=Transactions[[#This Row],[Transaction name]],Transactions[[#This Row],[Transaction name]],IF(Transactions[[#This Row],[Level 5]]=Transactions[[#This Row],[L1N]],Transactions[[#This Row],[Transaction name]],IF(Transactions[[#This Row],[Level 5]]=Transactions[[#This Row],[L2N]],Transactions[[#This Row],[L1N]],IF(Transactions[[#This Row],[Level 5]]=Transactions[[#This Row],[L3N]],Transactions[[#This Row],[L2N]],IF(Transactions[[#This Row],[Level 5]]=Transactions[[#This Row],[L4N]],Transactions[[#This Row],[L3N]],IF(Transactions[[#This Row],[Level 5]]=Transactions[[#This Row],[L5N]],Transactions[[#This Row],[L4N]],IF(Transactions[[#This Row],[Level 5]]=Transactions[[#This Row],[L6N]],Transactions[[#This Row],[L5N]],IF(Transactions[[#This Row],[Level 5]]=Transactions[[#This Row],[L7N]],Transactions[[#This Row],[L6N]],Transactions[[#This Row],[L7N]]))))))))</f>
        <v>Re-injected</v>
      </c>
      <c r="AY145" s="24" t="str">
        <f>IF(Transactions[[#This Row],[Level 6]]=Transactions[[#This Row],[Transaction name]],Transactions[[#This Row],[Transaction name]],IF(Transactions[[#This Row],[Level 6]]=Transactions[[#This Row],[L1N]],Transactions[[#This Row],[Transaction name]],IF(Transactions[[#This Row],[Level 6]]=Transactions[[#This Row],[L2N]],Transactions[[#This Row],[L1N]],IF(Transactions[[#This Row],[Level 6]]=Transactions[[#This Row],[L3N]],Transactions[[#This Row],[L2N]],IF(Transactions[[#This Row],[Level 6]]=Transactions[[#This Row],[L4N]],Transactions[[#This Row],[L3N]],IF(Transactions[[#This Row],[Level 6]]=Transactions[[#This Row],[L5N]],Transactions[[#This Row],[L4N]],IF(Transactions[[#This Row],[Level 6]]=Transactions[[#This Row],[L6N]],Transactions[[#This Row],[L5N]],IF(Transactions[[#This Row],[Level 6]]=Transactions[[#This Row],[L7N]],Transactions[[#This Row],[L6N]],Transactions[[#This Row],[L7N]]))))))))</f>
        <v>Re-injected</v>
      </c>
      <c r="BE145" s="26" t="str">
        <f>_xlfn.XLOOKUP(Transformation[[#This Row],[cfrom]],Commodities[Commodity],Commodities[Commodity code])</f>
        <v>4680</v>
      </c>
      <c r="BF145" s="26" t="str">
        <f>_xlfn.XLOOKUP(Transformation[[#This Row],[tfrom]],Transactions[Transaction name],Transactions[Transaction code])</f>
        <v>08812</v>
      </c>
      <c r="BG145" s="26" t="str">
        <f>_xlfn.XLOOKUP(Transformation[[#This Row],[cto]],Commodities[Commodity],Commodities[Commodity code])</f>
        <v>4680</v>
      </c>
      <c r="BH145" s="26" t="str">
        <f>_xlfn.XLOOKUP(Transformation[[#This Row],[tto]],Transactions[Transaction name],Transactions[Transaction code])</f>
        <v>016FOE</v>
      </c>
      <c r="BI145" s="11">
        <v>1</v>
      </c>
      <c r="BJ145" s="4" t="s">
        <v>368</v>
      </c>
      <c r="BK145" s="24" t="str">
        <f>_xlfn.XLOOKUP(Transformation[[#This Row],[Commodity from]],Commodities[Commodity code],Commodities[EnergyCode])</f>
        <v>RF</v>
      </c>
      <c r="BL145" s="4" t="s">
        <v>690</v>
      </c>
      <c r="BM145" s="4" t="s">
        <v>368</v>
      </c>
      <c r="BN145" s="24" t="str">
        <f>_xlfn.XLOOKUP(Transformation[[#This Row],[Commodity to]],Commodities[Commodity code],Commodities[EnergyCode])</f>
        <v>RF</v>
      </c>
      <c r="BO145" s="4" t="s">
        <v>1031</v>
      </c>
      <c r="BP145" s="16" t="s">
        <v>1493</v>
      </c>
      <c r="BQ145" s="33" t="str">
        <f>Transformation[[#This Row],[Commodity from]]&amp;Transformation[[#This Row],[Transaction from]]&amp;Transformation[[#This Row],[Commodity to]]&amp;Transformation[[#This Row],[Transaction to]]</f>
        <v>4680088124680016FOE</v>
      </c>
      <c r="BR145" s="26" t="str">
        <f>Transformation[[#This Row],[crfomid]]&amp;Transformation[[#This Row],[Transaction from]]&amp;"("&amp;Transformation[[#This Row],[Multiplier]]&amp;") -&gt; "&amp;Transformation[[#This Row],[ctoid]]&amp;Transformation[[#This Row],[Transaction to]]</f>
        <v>RF08812(1) -&gt; RF016FOE</v>
      </c>
    </row>
    <row r="146" spans="25:70" x14ac:dyDescent="0.45">
      <c r="Y146" s="5" t="s">
        <v>24</v>
      </c>
      <c r="Z146" s="4" t="s">
        <v>23</v>
      </c>
      <c r="AA146" s="4" t="s">
        <v>23</v>
      </c>
      <c r="AB146" s="5">
        <v>16</v>
      </c>
      <c r="AC146" s="24" t="str">
        <f>IFERROR(VLOOKUP(Transactions[[#This Row],[Parent code]],Transactions[[Transaction code]:[Transaction name]],2,0),"")</f>
        <v>Reserves</v>
      </c>
      <c r="AD146" s="4" t="s">
        <v>634</v>
      </c>
      <c r="AF146" s="4" t="s">
        <v>642</v>
      </c>
      <c r="AG146" s="4" t="s">
        <v>1</v>
      </c>
      <c r="AH146" s="4" t="s">
        <v>696</v>
      </c>
      <c r="AK146" s="24" t="str" cm="1">
        <f t="array" ref="AK146">IFERROR(INDEX(Transactions[[Transaction code]:[Transaction name]],_xlfn.XMATCH(Transactions[[#This Row],[Parent code]],Transactions[Transaction name],0),3),Transactions[[#This Row],[Transaction name]])</f>
        <v>Other reserves</v>
      </c>
      <c r="AL146" s="24" t="str" cm="1">
        <f t="array" ref="AL146">IFERROR(INDEX(Transactions[[Transaction code]:[Transaction name]],_xlfn.XMATCH(INDEX(Transactions[[Transaction name]:[Parent code]],_xlfn.XMATCH(Transactions[[#This Row],[L1N]],Transactions[Transaction name],0),3),Transactions[Transaction code],0),2),Transactions[[#This Row],[L1N]])</f>
        <v>Reserves</v>
      </c>
      <c r="AM146" s="24" t="str" cm="1">
        <f t="array" ref="AM146">IFERROR(INDEX(Transactions[[Transaction code]:[Transaction name]],_xlfn.XMATCH(INDEX(Transactions[[Transaction name]:[Parent code]],_xlfn.XMATCH(Transactions[[#This Row],[L2N]],Transactions[Transaction name],0),3),Transactions[Transaction code],0),2),Transactions[[#This Row],[L2N]])</f>
        <v>Reserves</v>
      </c>
      <c r="AN146" s="24" t="str" cm="1">
        <f t="array" ref="AN146">IFERROR(INDEX(Transactions[[Transaction code]:[Transaction name]],_xlfn.XMATCH(INDEX(Transactions[[Transaction name]:[Parent code]],_xlfn.XMATCH(Transactions[[#This Row],[L3N]],Transactions[Transaction name],0),3),Transactions[Transaction code],0),2),Transactions[[#This Row],[L3N]])</f>
        <v>Reserves</v>
      </c>
      <c r="AO146" s="24" t="str" cm="1">
        <f t="array" ref="AO146">IFERROR(INDEX(Transactions[[Transaction code]:[Transaction name]],_xlfn.XMATCH(INDEX(Transactions[[Transaction name]:[Parent code]],_xlfn.XMATCH(Transactions[[#This Row],[L4N]],Transactions[Transaction name],0),3),Transactions[Transaction code],0),2),Transactions[[#This Row],[L4N]])</f>
        <v>Reserves</v>
      </c>
      <c r="AP146" s="24" t="str" cm="1">
        <f t="array" ref="AP146">IFERROR(INDEX(Transactions[[Transaction code]:[Transaction name]],_xlfn.XMATCH(INDEX(Transactions[[Transaction name]:[Parent code]],_xlfn.XMATCH(Transactions[[#This Row],[L5N]],Transactions[Transaction name],0),3),Transactions[Transaction code],0),2),Transactions[[#This Row],[L5N]])</f>
        <v>Reserves</v>
      </c>
      <c r="AQ146" s="24" t="str" cm="1">
        <f t="array" ref="AQ146">IFERROR(INDEX(Transactions[[Transaction code]:[Transaction name]],_xlfn.XMATCH(INDEX(Transactions[[Transaction name]:[Parent code]],_xlfn.XMATCH(Transactions[[#This Row],[L6N]],Transactions[Transaction name],0),3),Transactions[Transaction code],0),2),Transactions[[#This Row],[L6N]])</f>
        <v>Reserves</v>
      </c>
      <c r="AR146" s="28" t="str">
        <f>IF(Transactions[[#This Row],[L7N]]=Transactions[[#This Row],[L6N]],Transactions[[#This Row],[L7N]],IF(Transactions[[#This Row],[L6N]]=Transactions[[#This Row],[L5N]],Transactions[[#This Row],[L6N]],IF(Transactions[[#This Row],[L5N]]=Transactions[[#This Row],[L4N]],Transactions[[#This Row],[L5N]],IF(Transactions[[#This Row],[L4N]]=Transactions[[#This Row],[L3N]],Transactions[[#This Row],[L4N]],IF(Transactions[[#This Row],[L3N]]=Transactions[[#This Row],[L2N]],Transactions[[#This Row],[L3N]],IF(Transactions[[#This Row],[L2N]]=Transactions[[#This Row],[L1N]],Transactions[[#This Row],[L2N]],IF(Transactions[[#This Row],[L1N]]=Transactions[[#This Row],[Transaction name]],Transactions[[#This Row],[L1N]],Transactions[[#This Row],[Transaction name]])))))))</f>
        <v>Reserves</v>
      </c>
      <c r="AS146" s="24" t="str">
        <f>IF(Transactions[[#This Row],[Level 0]]=Transactions[[#This Row],[Transaction name]],Transactions[[#This Row],[Transaction name]],IF(Transactions[[#This Row],[Level 0]]=Transactions[[#This Row],[L1N]],Transactions[[#This Row],[Transaction name]],IF(Transactions[[#This Row],[Level 0]]=Transactions[[#This Row],[L2N]],Transactions[[#This Row],[L1N]],IF(Transactions[[#This Row],[Level 0]]=Transactions[[#This Row],[L3N]],Transactions[[#This Row],[L2N]],IF(Transactions[[#This Row],[Level 0]]=Transactions[[#This Row],[L4N]],Transactions[[#This Row],[L3N]],IF(Transactions[[#This Row],[Level 0]]=Transactions[[#This Row],[L5N]],Transactions[[#This Row],[L4N]],IF(Transactions[[#This Row],[Level 0]]=Transactions[[#This Row],[L6N]],Transactions[[#This Row],[L5N]],IF(Transactions[[#This Row],[Level 0]]=Transactions[[#This Row],[L7N]],Transactions[[#This Row],[L6N]],Transactions[[#This Row],[L7N]]))))))))</f>
        <v>Other reserves</v>
      </c>
      <c r="AT146" s="24" t="str">
        <f>IF(Transactions[[#This Row],[Level 1]]=Transactions[[#This Row],[Transaction name]],Transactions[[#This Row],[Transaction name]],IF(Transactions[[#This Row],[Level 1]]=Transactions[[#This Row],[L1N]],Transactions[[#This Row],[Transaction name]],IF(Transactions[[#This Row],[Level 1]]=Transactions[[#This Row],[L2N]],Transactions[[#This Row],[L1N]],IF(Transactions[[#This Row],[Level 1]]=Transactions[[#This Row],[L3N]],Transactions[[#This Row],[L2N]],IF(Transactions[[#This Row],[Level 1]]=Transactions[[#This Row],[L4N]],Transactions[[#This Row],[L3N]],IF(Transactions[[#This Row],[Level 1]]=Transactions[[#This Row],[L5N]],Transactions[[#This Row],[L4N]],IF(Transactions[[#This Row],[Level 1]]=Transactions[[#This Row],[L6N]],Transactions[[#This Row],[L5N]],IF(Transactions[[#This Row],[Level 1]]=Transactions[[#This Row],[L7N]],Transactions[[#This Row],[L6N]],Transactions[[#This Row],[L7N]]))))))))</f>
        <v>Other reserves</v>
      </c>
      <c r="AU146" s="24" t="str">
        <f>IF(Transactions[[#This Row],[Level 2]]=Transactions[[#This Row],[Transaction name]],Transactions[[#This Row],[Transaction name]],IF(Transactions[[#This Row],[Level 2]]=Transactions[[#This Row],[L1N]],Transactions[[#This Row],[Transaction name]],IF(Transactions[[#This Row],[Level 2]]=Transactions[[#This Row],[L2N]],Transactions[[#This Row],[L1N]],IF(Transactions[[#This Row],[Level 2]]=Transactions[[#This Row],[L3N]],Transactions[[#This Row],[L2N]],IF(Transactions[[#This Row],[Level 2]]=Transactions[[#This Row],[L4N]],Transactions[[#This Row],[L3N]],IF(Transactions[[#This Row],[Level 2]]=Transactions[[#This Row],[L5N]],Transactions[[#This Row],[L4N]],IF(Transactions[[#This Row],[Level 2]]=Transactions[[#This Row],[L6N]],Transactions[[#This Row],[L5N]],IF(Transactions[[#This Row],[Level 2]]=Transactions[[#This Row],[L7N]],Transactions[[#This Row],[L6N]],Transactions[[#This Row],[L7N]]))))))))</f>
        <v>Other reserves</v>
      </c>
      <c r="AV146" s="24" t="str">
        <f>IF(Transactions[[#This Row],[Level 3]]=Transactions[[#This Row],[Transaction name]],Transactions[[#This Row],[Transaction name]],IF(Transactions[[#This Row],[Level 3]]=Transactions[[#This Row],[L1N]],Transactions[[#This Row],[Transaction name]],IF(Transactions[[#This Row],[Level 3]]=Transactions[[#This Row],[L2N]],Transactions[[#This Row],[L1N]],IF(Transactions[[#This Row],[Level 3]]=Transactions[[#This Row],[L3N]],Transactions[[#This Row],[L2N]],IF(Transactions[[#This Row],[Level 3]]=Transactions[[#This Row],[L4N]],Transactions[[#This Row],[L3N]],IF(Transactions[[#This Row],[Level 3]]=Transactions[[#This Row],[L5N]],Transactions[[#This Row],[L4N]],IF(Transactions[[#This Row],[Level 3]]=Transactions[[#This Row],[L6N]],Transactions[[#This Row],[L5N]],IF(Transactions[[#This Row],[Level 3]]=Transactions[[#This Row],[L7N]],Transactions[[#This Row],[L6N]],Transactions[[#This Row],[L7N]]))))))))</f>
        <v>Other reserves</v>
      </c>
      <c r="AW146" s="24" t="str">
        <f>IF(Transactions[[#This Row],[Level 4]]=Transactions[[#This Row],[Transaction name]],Transactions[[#This Row],[Transaction name]],IF(Transactions[[#This Row],[Level 4]]=Transactions[[#This Row],[L1N]],Transactions[[#This Row],[Transaction name]],IF(Transactions[[#This Row],[Level 4]]=Transactions[[#This Row],[L2N]],Transactions[[#This Row],[L1N]],IF(Transactions[[#This Row],[Level 4]]=Transactions[[#This Row],[L3N]],Transactions[[#This Row],[L2N]],IF(Transactions[[#This Row],[Level 4]]=Transactions[[#This Row],[L4N]],Transactions[[#This Row],[L3N]],IF(Transactions[[#This Row],[Level 4]]=Transactions[[#This Row],[L5N]],Transactions[[#This Row],[L4N]],IF(Transactions[[#This Row],[Level 4]]=Transactions[[#This Row],[L6N]],Transactions[[#This Row],[L5N]],IF(Transactions[[#This Row],[Level 4]]=Transactions[[#This Row],[L7N]],Transactions[[#This Row],[L6N]],Transactions[[#This Row],[L7N]]))))))))</f>
        <v>Other reserves</v>
      </c>
      <c r="AX146" s="24" t="str">
        <f>IF(Transactions[[#This Row],[Level 5]]=Transactions[[#This Row],[Transaction name]],Transactions[[#This Row],[Transaction name]],IF(Transactions[[#This Row],[Level 5]]=Transactions[[#This Row],[L1N]],Transactions[[#This Row],[Transaction name]],IF(Transactions[[#This Row],[Level 5]]=Transactions[[#This Row],[L2N]],Transactions[[#This Row],[L1N]],IF(Transactions[[#This Row],[Level 5]]=Transactions[[#This Row],[L3N]],Transactions[[#This Row],[L2N]],IF(Transactions[[#This Row],[Level 5]]=Transactions[[#This Row],[L4N]],Transactions[[#This Row],[L3N]],IF(Transactions[[#This Row],[Level 5]]=Transactions[[#This Row],[L5N]],Transactions[[#This Row],[L4N]],IF(Transactions[[#This Row],[Level 5]]=Transactions[[#This Row],[L6N]],Transactions[[#This Row],[L5N]],IF(Transactions[[#This Row],[Level 5]]=Transactions[[#This Row],[L7N]],Transactions[[#This Row],[L6N]],Transactions[[#This Row],[L7N]]))))))))</f>
        <v>Other reserves</v>
      </c>
      <c r="AY146" s="24" t="str">
        <f>IF(Transactions[[#This Row],[Level 6]]=Transactions[[#This Row],[Transaction name]],Transactions[[#This Row],[Transaction name]],IF(Transactions[[#This Row],[Level 6]]=Transactions[[#This Row],[L1N]],Transactions[[#This Row],[Transaction name]],IF(Transactions[[#This Row],[Level 6]]=Transactions[[#This Row],[L2N]],Transactions[[#This Row],[L1N]],IF(Transactions[[#This Row],[Level 6]]=Transactions[[#This Row],[L3N]],Transactions[[#This Row],[L2N]],IF(Transactions[[#This Row],[Level 6]]=Transactions[[#This Row],[L4N]],Transactions[[#This Row],[L3N]],IF(Transactions[[#This Row],[Level 6]]=Transactions[[#This Row],[L5N]],Transactions[[#This Row],[L4N]],IF(Transactions[[#This Row],[Level 6]]=Transactions[[#This Row],[L6N]],Transactions[[#This Row],[L5N]],IF(Transactions[[#This Row],[Level 6]]=Transactions[[#This Row],[L7N]],Transactions[[#This Row],[L6N]],Transactions[[#This Row],[L7N]]))))))))</f>
        <v>Other reserves</v>
      </c>
      <c r="BE146" s="26" t="str">
        <f>_xlfn.XLOOKUP(Transformation[[#This Row],[cfrom]],Commodities[Commodity],Commodities[Commodity code])</f>
        <v>4610</v>
      </c>
      <c r="BF146" s="26" t="str">
        <f>_xlfn.XLOOKUP(Transformation[[#This Row],[tfrom]],Transactions[Transaction name],Transactions[Transaction code])</f>
        <v>08812</v>
      </c>
      <c r="BG146" s="26" t="str">
        <f>_xlfn.XLOOKUP(Transformation[[#This Row],[cto]],Commodities[Commodity],Commodities[Commodity code])</f>
        <v>4610</v>
      </c>
      <c r="BH146" s="26" t="str">
        <f>_xlfn.XLOOKUP(Transformation[[#This Row],[tto]],Transactions[Transaction name],Transactions[Transaction code])</f>
        <v>016OPE</v>
      </c>
      <c r="BI146" s="11">
        <v>1</v>
      </c>
      <c r="BJ146" s="4" t="s">
        <v>416</v>
      </c>
      <c r="BK146" s="24" t="str">
        <f>_xlfn.XLOOKUP(Transformation[[#This Row],[Commodity from]],Commodities[Commodity code],Commodities[EnergyCode])</f>
        <v>RG</v>
      </c>
      <c r="BL146" s="4" t="s">
        <v>690</v>
      </c>
      <c r="BM146" s="4" t="s">
        <v>416</v>
      </c>
      <c r="BN146" s="24" t="str">
        <f>_xlfn.XLOOKUP(Transformation[[#This Row],[Commodity to]],Commodities[Commodity code],Commodities[EnergyCode])</f>
        <v>RG</v>
      </c>
      <c r="BO146" s="4" t="s">
        <v>1055</v>
      </c>
      <c r="BP146" s="16" t="s">
        <v>1493</v>
      </c>
      <c r="BQ146" s="33" t="str">
        <f>Transformation[[#This Row],[Commodity from]]&amp;Transformation[[#This Row],[Transaction from]]&amp;Transformation[[#This Row],[Commodity to]]&amp;Transformation[[#This Row],[Transaction to]]</f>
        <v>4610088124610016OPE</v>
      </c>
      <c r="BR146" s="26" t="str">
        <f>Transformation[[#This Row],[crfomid]]&amp;Transformation[[#This Row],[Transaction from]]&amp;"("&amp;Transformation[[#This Row],[Multiplier]]&amp;") -&gt; "&amp;Transformation[[#This Row],[ctoid]]&amp;Transformation[[#This Row],[Transaction to]]</f>
        <v>RG08812(1) -&gt; RG016OPE</v>
      </c>
    </row>
    <row r="147" spans="25:70" x14ac:dyDescent="0.45">
      <c r="Y147" s="5">
        <v>16</v>
      </c>
      <c r="Z147" s="4" t="s">
        <v>958</v>
      </c>
      <c r="AA147" s="4" t="s">
        <v>958</v>
      </c>
      <c r="AB147" s="6"/>
      <c r="AC147" s="24" t="str">
        <f>IFERROR(VLOOKUP(Transactions[[#This Row],[Parent code]],Transactions[[Transaction code]:[Transaction name]],2,0),"")</f>
        <v/>
      </c>
      <c r="AD147" s="4" t="s">
        <v>634</v>
      </c>
      <c r="AF147" s="4" t="s">
        <v>642</v>
      </c>
      <c r="AG147" s="4" t="s">
        <v>1</v>
      </c>
      <c r="AH147" s="4" t="s">
        <v>696</v>
      </c>
      <c r="AK147" s="24" t="str" cm="1">
        <f t="array" ref="AK147">IFERROR(INDEX(Transactions[[Transaction code]:[Transaction name]],_xlfn.XMATCH(Transactions[[#This Row],[Parent code]],Transactions[Transaction name],0),3),Transactions[[#This Row],[Transaction name]])</f>
        <v>Reserves</v>
      </c>
      <c r="AL147" s="24" t="str" cm="1">
        <f t="array" ref="AL147">IFERROR(INDEX(Transactions[[Transaction code]:[Transaction name]],_xlfn.XMATCH(INDEX(Transactions[[Transaction name]:[Parent code]],_xlfn.XMATCH(Transactions[[#This Row],[L1N]],Transactions[Transaction name],0),3),Transactions[Transaction code],0),2),Transactions[[#This Row],[L1N]])</f>
        <v>Reserves</v>
      </c>
      <c r="AM147" s="24" t="str" cm="1">
        <f t="array" ref="AM147">IFERROR(INDEX(Transactions[[Transaction code]:[Transaction name]],_xlfn.XMATCH(INDEX(Transactions[[Transaction name]:[Parent code]],_xlfn.XMATCH(Transactions[[#This Row],[L2N]],Transactions[Transaction name],0),3),Transactions[Transaction code],0),2),Transactions[[#This Row],[L2N]])</f>
        <v>Reserves</v>
      </c>
      <c r="AN147" s="24" t="str" cm="1">
        <f t="array" ref="AN147">IFERROR(INDEX(Transactions[[Transaction code]:[Transaction name]],_xlfn.XMATCH(INDEX(Transactions[[Transaction name]:[Parent code]],_xlfn.XMATCH(Transactions[[#This Row],[L3N]],Transactions[Transaction name],0),3),Transactions[Transaction code],0),2),Transactions[[#This Row],[L3N]])</f>
        <v>Reserves</v>
      </c>
      <c r="AO147" s="24" t="str" cm="1">
        <f t="array" ref="AO147">IFERROR(INDEX(Transactions[[Transaction code]:[Transaction name]],_xlfn.XMATCH(INDEX(Transactions[[Transaction name]:[Parent code]],_xlfn.XMATCH(Transactions[[#This Row],[L4N]],Transactions[Transaction name],0),3),Transactions[Transaction code],0),2),Transactions[[#This Row],[L4N]])</f>
        <v>Reserves</v>
      </c>
      <c r="AP147" s="24" t="str" cm="1">
        <f t="array" ref="AP147">IFERROR(INDEX(Transactions[[Transaction code]:[Transaction name]],_xlfn.XMATCH(INDEX(Transactions[[Transaction name]:[Parent code]],_xlfn.XMATCH(Transactions[[#This Row],[L5N]],Transactions[Transaction name],0),3),Transactions[Transaction code],0),2),Transactions[[#This Row],[L5N]])</f>
        <v>Reserves</v>
      </c>
      <c r="AQ147" s="24" t="str" cm="1">
        <f t="array" ref="AQ147">IFERROR(INDEX(Transactions[[Transaction code]:[Transaction name]],_xlfn.XMATCH(INDEX(Transactions[[Transaction name]:[Parent code]],_xlfn.XMATCH(Transactions[[#This Row],[L6N]],Transactions[Transaction name],0),3),Transactions[Transaction code],0),2),Transactions[[#This Row],[L6N]])</f>
        <v>Reserves</v>
      </c>
      <c r="AR147" s="27" t="str">
        <f>IF(Transactions[[#This Row],[L7N]]=Transactions[[#This Row],[L6N]],Transactions[[#This Row],[L7N]],IF(Transactions[[#This Row],[L6N]]=Transactions[[#This Row],[L5N]],Transactions[[#This Row],[L6N]],IF(Transactions[[#This Row],[L5N]]=Transactions[[#This Row],[L4N]],Transactions[[#This Row],[L5N]],IF(Transactions[[#This Row],[L4N]]=Transactions[[#This Row],[L3N]],Transactions[[#This Row],[L4N]],IF(Transactions[[#This Row],[L3N]]=Transactions[[#This Row],[L2N]],Transactions[[#This Row],[L3N]],IF(Transactions[[#This Row],[L2N]]=Transactions[[#This Row],[L1N]],Transactions[[#This Row],[L2N]],IF(Transactions[[#This Row],[L1N]]=Transactions[[#This Row],[Transaction name]],Transactions[[#This Row],[L1N]],Transactions[[#This Row],[Transaction name]])))))))</f>
        <v>Reserves</v>
      </c>
      <c r="AS147" s="24" t="str">
        <f>IF(Transactions[[#This Row],[Level 0]]=Transactions[[#This Row],[Transaction name]],Transactions[[#This Row],[Transaction name]],IF(Transactions[[#This Row],[Level 0]]=Transactions[[#This Row],[L1N]],Transactions[[#This Row],[Transaction name]],IF(Transactions[[#This Row],[Level 0]]=Transactions[[#This Row],[L2N]],Transactions[[#This Row],[L1N]],IF(Transactions[[#This Row],[Level 0]]=Transactions[[#This Row],[L3N]],Transactions[[#This Row],[L2N]],IF(Transactions[[#This Row],[Level 0]]=Transactions[[#This Row],[L4N]],Transactions[[#This Row],[L3N]],IF(Transactions[[#This Row],[Level 0]]=Transactions[[#This Row],[L5N]],Transactions[[#This Row],[L4N]],IF(Transactions[[#This Row],[Level 0]]=Transactions[[#This Row],[L6N]],Transactions[[#This Row],[L5N]],IF(Transactions[[#This Row],[Level 0]]=Transactions[[#This Row],[L7N]],Transactions[[#This Row],[L6N]],Transactions[[#This Row],[L7N]]))))))))</f>
        <v>Reserves</v>
      </c>
      <c r="AT147" s="24" t="str">
        <f>IF(Transactions[[#This Row],[Level 1]]=Transactions[[#This Row],[Transaction name]],Transactions[[#This Row],[Transaction name]],IF(Transactions[[#This Row],[Level 1]]=Transactions[[#This Row],[L1N]],Transactions[[#This Row],[Transaction name]],IF(Transactions[[#This Row],[Level 1]]=Transactions[[#This Row],[L2N]],Transactions[[#This Row],[L1N]],IF(Transactions[[#This Row],[Level 1]]=Transactions[[#This Row],[L3N]],Transactions[[#This Row],[L2N]],IF(Transactions[[#This Row],[Level 1]]=Transactions[[#This Row],[L4N]],Transactions[[#This Row],[L3N]],IF(Transactions[[#This Row],[Level 1]]=Transactions[[#This Row],[L5N]],Transactions[[#This Row],[L4N]],IF(Transactions[[#This Row],[Level 1]]=Transactions[[#This Row],[L6N]],Transactions[[#This Row],[L5N]],IF(Transactions[[#This Row],[Level 1]]=Transactions[[#This Row],[L7N]],Transactions[[#This Row],[L6N]],Transactions[[#This Row],[L7N]]))))))))</f>
        <v>Reserves</v>
      </c>
      <c r="AU147" s="24" t="str">
        <f>IF(Transactions[[#This Row],[Level 2]]=Transactions[[#This Row],[Transaction name]],Transactions[[#This Row],[Transaction name]],IF(Transactions[[#This Row],[Level 2]]=Transactions[[#This Row],[L1N]],Transactions[[#This Row],[Transaction name]],IF(Transactions[[#This Row],[Level 2]]=Transactions[[#This Row],[L2N]],Transactions[[#This Row],[L1N]],IF(Transactions[[#This Row],[Level 2]]=Transactions[[#This Row],[L3N]],Transactions[[#This Row],[L2N]],IF(Transactions[[#This Row],[Level 2]]=Transactions[[#This Row],[L4N]],Transactions[[#This Row],[L3N]],IF(Transactions[[#This Row],[Level 2]]=Transactions[[#This Row],[L5N]],Transactions[[#This Row],[L4N]],IF(Transactions[[#This Row],[Level 2]]=Transactions[[#This Row],[L6N]],Transactions[[#This Row],[L5N]],IF(Transactions[[#This Row],[Level 2]]=Transactions[[#This Row],[L7N]],Transactions[[#This Row],[L6N]],Transactions[[#This Row],[L7N]]))))))))</f>
        <v>Reserves</v>
      </c>
      <c r="AV147" s="24" t="str">
        <f>IF(Transactions[[#This Row],[Level 3]]=Transactions[[#This Row],[Transaction name]],Transactions[[#This Row],[Transaction name]],IF(Transactions[[#This Row],[Level 3]]=Transactions[[#This Row],[L1N]],Transactions[[#This Row],[Transaction name]],IF(Transactions[[#This Row],[Level 3]]=Transactions[[#This Row],[L2N]],Transactions[[#This Row],[L1N]],IF(Transactions[[#This Row],[Level 3]]=Transactions[[#This Row],[L3N]],Transactions[[#This Row],[L2N]],IF(Transactions[[#This Row],[Level 3]]=Transactions[[#This Row],[L4N]],Transactions[[#This Row],[L3N]],IF(Transactions[[#This Row],[Level 3]]=Transactions[[#This Row],[L5N]],Transactions[[#This Row],[L4N]],IF(Transactions[[#This Row],[Level 3]]=Transactions[[#This Row],[L6N]],Transactions[[#This Row],[L5N]],IF(Transactions[[#This Row],[Level 3]]=Transactions[[#This Row],[L7N]],Transactions[[#This Row],[L6N]],Transactions[[#This Row],[L7N]]))))))))</f>
        <v>Reserves</v>
      </c>
      <c r="AW147" s="24" t="str">
        <f>IF(Transactions[[#This Row],[Level 4]]=Transactions[[#This Row],[Transaction name]],Transactions[[#This Row],[Transaction name]],IF(Transactions[[#This Row],[Level 4]]=Transactions[[#This Row],[L1N]],Transactions[[#This Row],[Transaction name]],IF(Transactions[[#This Row],[Level 4]]=Transactions[[#This Row],[L2N]],Transactions[[#This Row],[L1N]],IF(Transactions[[#This Row],[Level 4]]=Transactions[[#This Row],[L3N]],Transactions[[#This Row],[L2N]],IF(Transactions[[#This Row],[Level 4]]=Transactions[[#This Row],[L4N]],Transactions[[#This Row],[L3N]],IF(Transactions[[#This Row],[Level 4]]=Transactions[[#This Row],[L5N]],Transactions[[#This Row],[L4N]],IF(Transactions[[#This Row],[Level 4]]=Transactions[[#This Row],[L6N]],Transactions[[#This Row],[L5N]],IF(Transactions[[#This Row],[Level 4]]=Transactions[[#This Row],[L7N]],Transactions[[#This Row],[L6N]],Transactions[[#This Row],[L7N]]))))))))</f>
        <v>Reserves</v>
      </c>
      <c r="AX147" s="24" t="str">
        <f>IF(Transactions[[#This Row],[Level 5]]=Transactions[[#This Row],[Transaction name]],Transactions[[#This Row],[Transaction name]],IF(Transactions[[#This Row],[Level 5]]=Transactions[[#This Row],[L1N]],Transactions[[#This Row],[Transaction name]],IF(Transactions[[#This Row],[Level 5]]=Transactions[[#This Row],[L2N]],Transactions[[#This Row],[L1N]],IF(Transactions[[#This Row],[Level 5]]=Transactions[[#This Row],[L3N]],Transactions[[#This Row],[L2N]],IF(Transactions[[#This Row],[Level 5]]=Transactions[[#This Row],[L4N]],Transactions[[#This Row],[L3N]],IF(Transactions[[#This Row],[Level 5]]=Transactions[[#This Row],[L5N]],Transactions[[#This Row],[L4N]],IF(Transactions[[#This Row],[Level 5]]=Transactions[[#This Row],[L6N]],Transactions[[#This Row],[L5N]],IF(Transactions[[#This Row],[Level 5]]=Transactions[[#This Row],[L7N]],Transactions[[#This Row],[L6N]],Transactions[[#This Row],[L7N]]))))))))</f>
        <v>Reserves</v>
      </c>
      <c r="AY147" s="24" t="str">
        <f>IF(Transactions[[#This Row],[Level 6]]=Transactions[[#This Row],[Transaction name]],Transactions[[#This Row],[Transaction name]],IF(Transactions[[#This Row],[Level 6]]=Transactions[[#This Row],[L1N]],Transactions[[#This Row],[Transaction name]],IF(Transactions[[#This Row],[Level 6]]=Transactions[[#This Row],[L2N]],Transactions[[#This Row],[L1N]],IF(Transactions[[#This Row],[Level 6]]=Transactions[[#This Row],[L3N]],Transactions[[#This Row],[L2N]],IF(Transactions[[#This Row],[Level 6]]=Transactions[[#This Row],[L4N]],Transactions[[#This Row],[L3N]],IF(Transactions[[#This Row],[Level 6]]=Transactions[[#This Row],[L5N]],Transactions[[#This Row],[L4N]],IF(Transactions[[#This Row],[Level 6]]=Transactions[[#This Row],[L6N]],Transactions[[#This Row],[L5N]],IF(Transactions[[#This Row],[Level 6]]=Transactions[[#This Row],[L7N]],Transactions[[#This Row],[L6N]],Transactions[[#This Row],[L7N]]))))))))</f>
        <v>Reserves</v>
      </c>
      <c r="BE147" s="26" t="str">
        <f>_xlfn.XLOOKUP(Transformation[[#This Row],[cfrom]],Commodities[Commodity],Commodities[Commodity code])</f>
        <v>5150</v>
      </c>
      <c r="BF147" s="26" t="str">
        <f>_xlfn.XLOOKUP(Transformation[[#This Row],[tfrom]],Transactions[Transaction name],Transactions[Transaction code])</f>
        <v>08812</v>
      </c>
      <c r="BG147" s="26" t="str">
        <f>_xlfn.XLOOKUP(Transformation[[#This Row],[cto]],Commodities[Commodity],Commodities[Commodity code])</f>
        <v>5150</v>
      </c>
      <c r="BH147" s="26" t="str">
        <f>_xlfn.XLOOKUP(Transformation[[#This Row],[tto]],Transactions[Transaction name],Transactions[Transaction code])</f>
        <v>016BSE</v>
      </c>
      <c r="BI147" s="11">
        <v>1</v>
      </c>
      <c r="BJ147" s="4" t="s">
        <v>328</v>
      </c>
      <c r="BK147" s="24" t="str">
        <f>_xlfn.XLOOKUP(Transformation[[#This Row],[Commodity from]],Commodities[Commodity code],Commodities[EnergyCode])</f>
        <v>VW</v>
      </c>
      <c r="BL147" s="4" t="s">
        <v>690</v>
      </c>
      <c r="BM147" s="4" t="s">
        <v>328</v>
      </c>
      <c r="BN147" s="24" t="str">
        <f>_xlfn.XLOOKUP(Transformation[[#This Row],[Commodity to]],Commodities[Commodity code],Commodities[EnergyCode])</f>
        <v>VW</v>
      </c>
      <c r="BO147" s="4" t="s">
        <v>1127</v>
      </c>
      <c r="BP147" s="16" t="s">
        <v>1493</v>
      </c>
      <c r="BQ147" s="33" t="str">
        <f>Transformation[[#This Row],[Commodity from]]&amp;Transformation[[#This Row],[Transaction from]]&amp;Transformation[[#This Row],[Commodity to]]&amp;Transformation[[#This Row],[Transaction to]]</f>
        <v>5150088125150016BSE</v>
      </c>
      <c r="BR147" s="26" t="str">
        <f>Transformation[[#This Row],[crfomid]]&amp;Transformation[[#This Row],[Transaction from]]&amp;"("&amp;Transformation[[#This Row],[Multiplier]]&amp;") -&gt; "&amp;Transformation[[#This Row],[ctoid]]&amp;Transformation[[#This Row],[Transaction to]]</f>
        <v>VW08812(1) -&gt; VW016BSE</v>
      </c>
    </row>
    <row r="148" spans="25:70" x14ac:dyDescent="0.45">
      <c r="Y148" s="4" t="s">
        <v>28</v>
      </c>
      <c r="Z148" s="4" t="s">
        <v>950</v>
      </c>
      <c r="AA148" s="4" t="s">
        <v>950</v>
      </c>
      <c r="AB148" s="5">
        <v>16</v>
      </c>
      <c r="AC148" s="24" t="str">
        <f>IFERROR(VLOOKUP(Transactions[[#This Row],[Parent code]],Transactions[[Transaction code]:[Transaction name]],2,0),"")</f>
        <v>Reserves</v>
      </c>
      <c r="AD148" s="4" t="s">
        <v>634</v>
      </c>
      <c r="AF148" s="4" t="s">
        <v>642</v>
      </c>
      <c r="AG148" s="4" t="s">
        <v>1</v>
      </c>
      <c r="AH148" s="4" t="s">
        <v>696</v>
      </c>
      <c r="AK148" s="24" t="str" cm="1">
        <f t="array" ref="AK148">IFERROR(INDEX(Transactions[[Transaction code]:[Transaction name]],_xlfn.XMATCH(Transactions[[#This Row],[Parent code]],Transactions[Transaction name],0),3),Transactions[[#This Row],[Transaction name]])</f>
        <v>Reserves from crude petroleum</v>
      </c>
      <c r="AL148" s="24" t="str" cm="1">
        <f t="array" ref="AL148">IFERROR(INDEX(Transactions[[Transaction code]:[Transaction name]],_xlfn.XMATCH(INDEX(Transactions[[Transaction name]:[Parent code]],_xlfn.XMATCH(Transactions[[#This Row],[L1N]],Transactions[Transaction name],0),3),Transactions[Transaction code],0),2),Transactions[[#This Row],[L1N]])</f>
        <v>Reserves</v>
      </c>
      <c r="AM148" s="24" t="str" cm="1">
        <f t="array" ref="AM148">IFERROR(INDEX(Transactions[[Transaction code]:[Transaction name]],_xlfn.XMATCH(INDEX(Transactions[[Transaction name]:[Parent code]],_xlfn.XMATCH(Transactions[[#This Row],[L2N]],Transactions[Transaction name],0),3),Transactions[Transaction code],0),2),Transactions[[#This Row],[L2N]])</f>
        <v>Reserves</v>
      </c>
      <c r="AN148" s="24" t="str" cm="1">
        <f t="array" ref="AN148">IFERROR(INDEX(Transactions[[Transaction code]:[Transaction name]],_xlfn.XMATCH(INDEX(Transactions[[Transaction name]:[Parent code]],_xlfn.XMATCH(Transactions[[#This Row],[L3N]],Transactions[Transaction name],0),3),Transactions[Transaction code],0),2),Transactions[[#This Row],[L3N]])</f>
        <v>Reserves</v>
      </c>
      <c r="AO148" s="24" t="str" cm="1">
        <f t="array" ref="AO148">IFERROR(INDEX(Transactions[[Transaction code]:[Transaction name]],_xlfn.XMATCH(INDEX(Transactions[[Transaction name]:[Parent code]],_xlfn.XMATCH(Transactions[[#This Row],[L4N]],Transactions[Transaction name],0),3),Transactions[Transaction code],0),2),Transactions[[#This Row],[L4N]])</f>
        <v>Reserves</v>
      </c>
      <c r="AP148" s="24" t="str" cm="1">
        <f t="array" ref="AP148">IFERROR(INDEX(Transactions[[Transaction code]:[Transaction name]],_xlfn.XMATCH(INDEX(Transactions[[Transaction name]:[Parent code]],_xlfn.XMATCH(Transactions[[#This Row],[L5N]],Transactions[Transaction name],0),3),Transactions[Transaction code],0),2),Transactions[[#This Row],[L5N]])</f>
        <v>Reserves</v>
      </c>
      <c r="AQ148" s="24" t="str" cm="1">
        <f t="array" ref="AQ148">IFERROR(INDEX(Transactions[[Transaction code]:[Transaction name]],_xlfn.XMATCH(INDEX(Transactions[[Transaction name]:[Parent code]],_xlfn.XMATCH(Transactions[[#This Row],[L6N]],Transactions[Transaction name],0),3),Transactions[Transaction code],0),2),Transactions[[#This Row],[L6N]])</f>
        <v>Reserves</v>
      </c>
      <c r="AR148" s="28" t="str">
        <f>IF(Transactions[[#This Row],[L7N]]=Transactions[[#This Row],[L6N]],Transactions[[#This Row],[L7N]],IF(Transactions[[#This Row],[L6N]]=Transactions[[#This Row],[L5N]],Transactions[[#This Row],[L6N]],IF(Transactions[[#This Row],[L5N]]=Transactions[[#This Row],[L4N]],Transactions[[#This Row],[L5N]],IF(Transactions[[#This Row],[L4N]]=Transactions[[#This Row],[L3N]],Transactions[[#This Row],[L4N]],IF(Transactions[[#This Row],[L3N]]=Transactions[[#This Row],[L2N]],Transactions[[#This Row],[L3N]],IF(Transactions[[#This Row],[L2N]]=Transactions[[#This Row],[L1N]],Transactions[[#This Row],[L2N]],IF(Transactions[[#This Row],[L1N]]=Transactions[[#This Row],[Transaction name]],Transactions[[#This Row],[L1N]],Transactions[[#This Row],[Transaction name]])))))))</f>
        <v>Reserves</v>
      </c>
      <c r="AS148" s="24" t="str">
        <f>IF(Transactions[[#This Row],[Level 0]]=Transactions[[#This Row],[Transaction name]],Transactions[[#This Row],[Transaction name]],IF(Transactions[[#This Row],[Level 0]]=Transactions[[#This Row],[L1N]],Transactions[[#This Row],[Transaction name]],IF(Transactions[[#This Row],[Level 0]]=Transactions[[#This Row],[L2N]],Transactions[[#This Row],[L1N]],IF(Transactions[[#This Row],[Level 0]]=Transactions[[#This Row],[L3N]],Transactions[[#This Row],[L2N]],IF(Transactions[[#This Row],[Level 0]]=Transactions[[#This Row],[L4N]],Transactions[[#This Row],[L3N]],IF(Transactions[[#This Row],[Level 0]]=Transactions[[#This Row],[L5N]],Transactions[[#This Row],[L4N]],IF(Transactions[[#This Row],[Level 0]]=Transactions[[#This Row],[L6N]],Transactions[[#This Row],[L5N]],IF(Transactions[[#This Row],[Level 0]]=Transactions[[#This Row],[L7N]],Transactions[[#This Row],[L6N]],Transactions[[#This Row],[L7N]]))))))))</f>
        <v>Reserves from crude petroleum</v>
      </c>
      <c r="AT148" s="24" t="str">
        <f>IF(Transactions[[#This Row],[Level 1]]=Transactions[[#This Row],[Transaction name]],Transactions[[#This Row],[Transaction name]],IF(Transactions[[#This Row],[Level 1]]=Transactions[[#This Row],[L1N]],Transactions[[#This Row],[Transaction name]],IF(Transactions[[#This Row],[Level 1]]=Transactions[[#This Row],[L2N]],Transactions[[#This Row],[L1N]],IF(Transactions[[#This Row],[Level 1]]=Transactions[[#This Row],[L3N]],Transactions[[#This Row],[L2N]],IF(Transactions[[#This Row],[Level 1]]=Transactions[[#This Row],[L4N]],Transactions[[#This Row],[L3N]],IF(Transactions[[#This Row],[Level 1]]=Transactions[[#This Row],[L5N]],Transactions[[#This Row],[L4N]],IF(Transactions[[#This Row],[Level 1]]=Transactions[[#This Row],[L6N]],Transactions[[#This Row],[L5N]],IF(Transactions[[#This Row],[Level 1]]=Transactions[[#This Row],[L7N]],Transactions[[#This Row],[L6N]],Transactions[[#This Row],[L7N]]))))))))</f>
        <v>Reserves from crude petroleum</v>
      </c>
      <c r="AU148" s="24" t="str">
        <f>IF(Transactions[[#This Row],[Level 2]]=Transactions[[#This Row],[Transaction name]],Transactions[[#This Row],[Transaction name]],IF(Transactions[[#This Row],[Level 2]]=Transactions[[#This Row],[L1N]],Transactions[[#This Row],[Transaction name]],IF(Transactions[[#This Row],[Level 2]]=Transactions[[#This Row],[L2N]],Transactions[[#This Row],[L1N]],IF(Transactions[[#This Row],[Level 2]]=Transactions[[#This Row],[L3N]],Transactions[[#This Row],[L2N]],IF(Transactions[[#This Row],[Level 2]]=Transactions[[#This Row],[L4N]],Transactions[[#This Row],[L3N]],IF(Transactions[[#This Row],[Level 2]]=Transactions[[#This Row],[L5N]],Transactions[[#This Row],[L4N]],IF(Transactions[[#This Row],[Level 2]]=Transactions[[#This Row],[L6N]],Transactions[[#This Row],[L5N]],IF(Transactions[[#This Row],[Level 2]]=Transactions[[#This Row],[L7N]],Transactions[[#This Row],[L6N]],Transactions[[#This Row],[L7N]]))))))))</f>
        <v>Reserves from crude petroleum</v>
      </c>
      <c r="AV148" s="24" t="str">
        <f>IF(Transactions[[#This Row],[Level 3]]=Transactions[[#This Row],[Transaction name]],Transactions[[#This Row],[Transaction name]],IF(Transactions[[#This Row],[Level 3]]=Transactions[[#This Row],[L1N]],Transactions[[#This Row],[Transaction name]],IF(Transactions[[#This Row],[Level 3]]=Transactions[[#This Row],[L2N]],Transactions[[#This Row],[L1N]],IF(Transactions[[#This Row],[Level 3]]=Transactions[[#This Row],[L3N]],Transactions[[#This Row],[L2N]],IF(Transactions[[#This Row],[Level 3]]=Transactions[[#This Row],[L4N]],Transactions[[#This Row],[L3N]],IF(Transactions[[#This Row],[Level 3]]=Transactions[[#This Row],[L5N]],Transactions[[#This Row],[L4N]],IF(Transactions[[#This Row],[Level 3]]=Transactions[[#This Row],[L6N]],Transactions[[#This Row],[L5N]],IF(Transactions[[#This Row],[Level 3]]=Transactions[[#This Row],[L7N]],Transactions[[#This Row],[L6N]],Transactions[[#This Row],[L7N]]))))))))</f>
        <v>Reserves from crude petroleum</v>
      </c>
      <c r="AW148" s="24" t="str">
        <f>IF(Transactions[[#This Row],[Level 4]]=Transactions[[#This Row],[Transaction name]],Transactions[[#This Row],[Transaction name]],IF(Transactions[[#This Row],[Level 4]]=Transactions[[#This Row],[L1N]],Transactions[[#This Row],[Transaction name]],IF(Transactions[[#This Row],[Level 4]]=Transactions[[#This Row],[L2N]],Transactions[[#This Row],[L1N]],IF(Transactions[[#This Row],[Level 4]]=Transactions[[#This Row],[L3N]],Transactions[[#This Row],[L2N]],IF(Transactions[[#This Row],[Level 4]]=Transactions[[#This Row],[L4N]],Transactions[[#This Row],[L3N]],IF(Transactions[[#This Row],[Level 4]]=Transactions[[#This Row],[L5N]],Transactions[[#This Row],[L4N]],IF(Transactions[[#This Row],[Level 4]]=Transactions[[#This Row],[L6N]],Transactions[[#This Row],[L5N]],IF(Transactions[[#This Row],[Level 4]]=Transactions[[#This Row],[L7N]],Transactions[[#This Row],[L6N]],Transactions[[#This Row],[L7N]]))))))))</f>
        <v>Reserves from crude petroleum</v>
      </c>
      <c r="AX148" s="24" t="str">
        <f>IF(Transactions[[#This Row],[Level 5]]=Transactions[[#This Row],[Transaction name]],Transactions[[#This Row],[Transaction name]],IF(Transactions[[#This Row],[Level 5]]=Transactions[[#This Row],[L1N]],Transactions[[#This Row],[Transaction name]],IF(Transactions[[#This Row],[Level 5]]=Transactions[[#This Row],[L2N]],Transactions[[#This Row],[L1N]],IF(Transactions[[#This Row],[Level 5]]=Transactions[[#This Row],[L3N]],Transactions[[#This Row],[L2N]],IF(Transactions[[#This Row],[Level 5]]=Transactions[[#This Row],[L4N]],Transactions[[#This Row],[L3N]],IF(Transactions[[#This Row],[Level 5]]=Transactions[[#This Row],[L5N]],Transactions[[#This Row],[L4N]],IF(Transactions[[#This Row],[Level 5]]=Transactions[[#This Row],[L6N]],Transactions[[#This Row],[L5N]],IF(Transactions[[#This Row],[Level 5]]=Transactions[[#This Row],[L7N]],Transactions[[#This Row],[L6N]],Transactions[[#This Row],[L7N]]))))))))</f>
        <v>Reserves from crude petroleum</v>
      </c>
      <c r="AY148" s="24" t="str">
        <f>IF(Transactions[[#This Row],[Level 6]]=Transactions[[#This Row],[Transaction name]],Transactions[[#This Row],[Transaction name]],IF(Transactions[[#This Row],[Level 6]]=Transactions[[#This Row],[L1N]],Transactions[[#This Row],[Transaction name]],IF(Transactions[[#This Row],[Level 6]]=Transactions[[#This Row],[L2N]],Transactions[[#This Row],[L1N]],IF(Transactions[[#This Row],[Level 6]]=Transactions[[#This Row],[L3N]],Transactions[[#This Row],[L2N]],IF(Transactions[[#This Row],[Level 6]]=Transactions[[#This Row],[L4N]],Transactions[[#This Row],[L3N]],IF(Transactions[[#This Row],[Level 6]]=Transactions[[#This Row],[L5N]],Transactions[[#This Row],[L4N]],IF(Transactions[[#This Row],[Level 6]]=Transactions[[#This Row],[L6N]],Transactions[[#This Row],[L5N]],IF(Transactions[[#This Row],[Level 6]]=Transactions[[#This Row],[L7N]],Transactions[[#This Row],[L6N]],Transactions[[#This Row],[L7N]]))))))))</f>
        <v>Reserves from crude petroleum</v>
      </c>
      <c r="BE148" s="26" t="str">
        <f>_xlfn.XLOOKUP(Transformation[[#This Row],[cfrom]],Commodities[Commodity],Commodities[Commodity code])</f>
        <v>5130</v>
      </c>
      <c r="BF148" s="26" t="str">
        <f>_xlfn.XLOOKUP(Transformation[[#This Row],[tfrom]],Transactions[Transaction name],Transactions[Transaction code])</f>
        <v>08811</v>
      </c>
      <c r="BG148" s="26" t="str">
        <f>_xlfn.XLOOKUP(Transformation[[#This Row],[cto]],Commodities[Commodity],Commodities[Commodity code])</f>
        <v>5130</v>
      </c>
      <c r="BH148" s="26" t="str">
        <f>_xlfn.XLOOKUP(Transformation[[#This Row],[tto]],Transactions[Transaction name],Transactions[Transaction code])</f>
        <v>015BSE</v>
      </c>
      <c r="BI148" s="11">
        <v>1</v>
      </c>
      <c r="BJ148" s="4" t="s">
        <v>333</v>
      </c>
      <c r="BK148" s="24" t="str">
        <f>_xlfn.XLOOKUP(Transformation[[#This Row],[Commodity from]],Commodities[Commodity code],Commodities[EnergyCode])</f>
        <v>AW</v>
      </c>
      <c r="BL148" s="4" t="s">
        <v>689</v>
      </c>
      <c r="BM148" s="4" t="s">
        <v>333</v>
      </c>
      <c r="BN148" s="24" t="str">
        <f>_xlfn.XLOOKUP(Transformation[[#This Row],[Commodity to]],Commodities[Commodity code],Commodities[EnergyCode])</f>
        <v>AW</v>
      </c>
      <c r="BO148" s="4" t="s">
        <v>1123</v>
      </c>
      <c r="BP148" s="16" t="s">
        <v>1493</v>
      </c>
      <c r="BQ148" s="33" t="str">
        <f>Transformation[[#This Row],[Commodity from]]&amp;Transformation[[#This Row],[Transaction from]]&amp;Transformation[[#This Row],[Commodity to]]&amp;Transformation[[#This Row],[Transaction to]]</f>
        <v>5130088115130015BSE</v>
      </c>
      <c r="BR148" s="26" t="str">
        <f>Transformation[[#This Row],[crfomid]]&amp;Transformation[[#This Row],[Transaction from]]&amp;"("&amp;Transformation[[#This Row],[Multiplier]]&amp;") -&gt; "&amp;Transformation[[#This Row],[ctoid]]&amp;Transformation[[#This Row],[Transaction to]]</f>
        <v>AW08811(1) -&gt; AW015BSE</v>
      </c>
    </row>
    <row r="149" spans="25:70" x14ac:dyDescent="0.45">
      <c r="Y149" s="4" t="s">
        <v>27</v>
      </c>
      <c r="Z149" s="4" t="s">
        <v>952</v>
      </c>
      <c r="AA149" s="4" t="s">
        <v>952</v>
      </c>
      <c r="AB149" s="4" t="s">
        <v>25</v>
      </c>
      <c r="AC149" s="24" t="str">
        <f>IFERROR(VLOOKUP(Transactions[[#This Row],[Parent code]],Transactions[[Transaction code]:[Transaction name]],2,0),"")</f>
        <v>Reserves from oil shale and tar sands</v>
      </c>
      <c r="AD149" s="4" t="s">
        <v>634</v>
      </c>
      <c r="AF149" s="4" t="s">
        <v>642</v>
      </c>
      <c r="AG149" s="4" t="s">
        <v>1</v>
      </c>
      <c r="AH149" s="4" t="s">
        <v>696</v>
      </c>
      <c r="AK149" s="24" t="str" cm="1">
        <f t="array" ref="AK149">IFERROR(INDEX(Transactions[[Transaction code]:[Transaction name]],_xlfn.XMATCH(Transactions[[#This Row],[Parent code]],Transactions[Transaction name],0),3),Transactions[[#This Row],[Transaction name]])</f>
        <v>Reserves from oil shale</v>
      </c>
      <c r="AL149" s="24" t="str" cm="1">
        <f t="array" ref="AL149">IFERROR(INDEX(Transactions[[Transaction code]:[Transaction name]],_xlfn.XMATCH(INDEX(Transactions[[Transaction name]:[Parent code]],_xlfn.XMATCH(Transactions[[#This Row],[L1N]],Transactions[Transaction name],0),3),Transactions[Transaction code],0),2),Transactions[[#This Row],[L1N]])</f>
        <v>Reserves from oil shale and tar sands</v>
      </c>
      <c r="AM149" s="24" t="str" cm="1">
        <f t="array" ref="AM149">IFERROR(INDEX(Transactions[[Transaction code]:[Transaction name]],_xlfn.XMATCH(INDEX(Transactions[[Transaction name]:[Parent code]],_xlfn.XMATCH(Transactions[[#This Row],[L2N]],Transactions[Transaction name],0),3),Transactions[Transaction code],0),2),Transactions[[#This Row],[L2N]])</f>
        <v>Reserves</v>
      </c>
      <c r="AN149" s="24" t="str" cm="1">
        <f t="array" ref="AN149">IFERROR(INDEX(Transactions[[Transaction code]:[Transaction name]],_xlfn.XMATCH(INDEX(Transactions[[Transaction name]:[Parent code]],_xlfn.XMATCH(Transactions[[#This Row],[L3N]],Transactions[Transaction name],0),3),Transactions[Transaction code],0),2),Transactions[[#This Row],[L3N]])</f>
        <v>Reserves</v>
      </c>
      <c r="AO149" s="24" t="str" cm="1">
        <f t="array" ref="AO149">IFERROR(INDEX(Transactions[[Transaction code]:[Transaction name]],_xlfn.XMATCH(INDEX(Transactions[[Transaction name]:[Parent code]],_xlfn.XMATCH(Transactions[[#This Row],[L4N]],Transactions[Transaction name],0),3),Transactions[Transaction code],0),2),Transactions[[#This Row],[L4N]])</f>
        <v>Reserves</v>
      </c>
      <c r="AP149" s="24" t="str" cm="1">
        <f t="array" ref="AP149">IFERROR(INDEX(Transactions[[Transaction code]:[Transaction name]],_xlfn.XMATCH(INDEX(Transactions[[Transaction name]:[Parent code]],_xlfn.XMATCH(Transactions[[#This Row],[L5N]],Transactions[Transaction name],0),3),Transactions[Transaction code],0),2),Transactions[[#This Row],[L5N]])</f>
        <v>Reserves</v>
      </c>
      <c r="AQ149" s="24" t="str" cm="1">
        <f t="array" ref="AQ149">IFERROR(INDEX(Transactions[[Transaction code]:[Transaction name]],_xlfn.XMATCH(INDEX(Transactions[[Transaction name]:[Parent code]],_xlfn.XMATCH(Transactions[[#This Row],[L6N]],Transactions[Transaction name],0),3),Transactions[Transaction code],0),2),Transactions[[#This Row],[L6N]])</f>
        <v>Reserves</v>
      </c>
      <c r="AR149" s="27" t="str">
        <f>IF(Transactions[[#This Row],[L7N]]=Transactions[[#This Row],[L6N]],Transactions[[#This Row],[L7N]],IF(Transactions[[#This Row],[L6N]]=Transactions[[#This Row],[L5N]],Transactions[[#This Row],[L6N]],IF(Transactions[[#This Row],[L5N]]=Transactions[[#This Row],[L4N]],Transactions[[#This Row],[L5N]],IF(Transactions[[#This Row],[L4N]]=Transactions[[#This Row],[L3N]],Transactions[[#This Row],[L4N]],IF(Transactions[[#This Row],[L3N]]=Transactions[[#This Row],[L2N]],Transactions[[#This Row],[L3N]],IF(Transactions[[#This Row],[L2N]]=Transactions[[#This Row],[L1N]],Transactions[[#This Row],[L2N]],IF(Transactions[[#This Row],[L1N]]=Transactions[[#This Row],[Transaction name]],Transactions[[#This Row],[L1N]],Transactions[[#This Row],[Transaction name]])))))))</f>
        <v>Reserves</v>
      </c>
      <c r="AS149" s="24" t="str">
        <f>IF(Transactions[[#This Row],[Level 0]]=Transactions[[#This Row],[Transaction name]],Transactions[[#This Row],[Transaction name]],IF(Transactions[[#This Row],[Level 0]]=Transactions[[#This Row],[L1N]],Transactions[[#This Row],[Transaction name]],IF(Transactions[[#This Row],[Level 0]]=Transactions[[#This Row],[L2N]],Transactions[[#This Row],[L1N]],IF(Transactions[[#This Row],[Level 0]]=Transactions[[#This Row],[L3N]],Transactions[[#This Row],[L2N]],IF(Transactions[[#This Row],[Level 0]]=Transactions[[#This Row],[L4N]],Transactions[[#This Row],[L3N]],IF(Transactions[[#This Row],[Level 0]]=Transactions[[#This Row],[L5N]],Transactions[[#This Row],[L4N]],IF(Transactions[[#This Row],[Level 0]]=Transactions[[#This Row],[L6N]],Transactions[[#This Row],[L5N]],IF(Transactions[[#This Row],[Level 0]]=Transactions[[#This Row],[L7N]],Transactions[[#This Row],[L6N]],Transactions[[#This Row],[L7N]]))))))))</f>
        <v>Reserves from oil shale and tar sands</v>
      </c>
      <c r="AT149" s="24" t="str">
        <f>IF(Transactions[[#This Row],[Level 1]]=Transactions[[#This Row],[Transaction name]],Transactions[[#This Row],[Transaction name]],IF(Transactions[[#This Row],[Level 1]]=Transactions[[#This Row],[L1N]],Transactions[[#This Row],[Transaction name]],IF(Transactions[[#This Row],[Level 1]]=Transactions[[#This Row],[L2N]],Transactions[[#This Row],[L1N]],IF(Transactions[[#This Row],[Level 1]]=Transactions[[#This Row],[L3N]],Transactions[[#This Row],[L2N]],IF(Transactions[[#This Row],[Level 1]]=Transactions[[#This Row],[L4N]],Transactions[[#This Row],[L3N]],IF(Transactions[[#This Row],[Level 1]]=Transactions[[#This Row],[L5N]],Transactions[[#This Row],[L4N]],IF(Transactions[[#This Row],[Level 1]]=Transactions[[#This Row],[L6N]],Transactions[[#This Row],[L5N]],IF(Transactions[[#This Row],[Level 1]]=Transactions[[#This Row],[L7N]],Transactions[[#This Row],[L6N]],Transactions[[#This Row],[L7N]]))))))))</f>
        <v>Reserves from oil shale</v>
      </c>
      <c r="AU149" s="24" t="str">
        <f>IF(Transactions[[#This Row],[Level 2]]=Transactions[[#This Row],[Transaction name]],Transactions[[#This Row],[Transaction name]],IF(Transactions[[#This Row],[Level 2]]=Transactions[[#This Row],[L1N]],Transactions[[#This Row],[Transaction name]],IF(Transactions[[#This Row],[Level 2]]=Transactions[[#This Row],[L2N]],Transactions[[#This Row],[L1N]],IF(Transactions[[#This Row],[Level 2]]=Transactions[[#This Row],[L3N]],Transactions[[#This Row],[L2N]],IF(Transactions[[#This Row],[Level 2]]=Transactions[[#This Row],[L4N]],Transactions[[#This Row],[L3N]],IF(Transactions[[#This Row],[Level 2]]=Transactions[[#This Row],[L5N]],Transactions[[#This Row],[L4N]],IF(Transactions[[#This Row],[Level 2]]=Transactions[[#This Row],[L6N]],Transactions[[#This Row],[L5N]],IF(Transactions[[#This Row],[Level 2]]=Transactions[[#This Row],[L7N]],Transactions[[#This Row],[L6N]],Transactions[[#This Row],[L7N]]))))))))</f>
        <v>Reserves from oil shale</v>
      </c>
      <c r="AV149" s="24" t="str">
        <f>IF(Transactions[[#This Row],[Level 3]]=Transactions[[#This Row],[Transaction name]],Transactions[[#This Row],[Transaction name]],IF(Transactions[[#This Row],[Level 3]]=Transactions[[#This Row],[L1N]],Transactions[[#This Row],[Transaction name]],IF(Transactions[[#This Row],[Level 3]]=Transactions[[#This Row],[L2N]],Transactions[[#This Row],[L1N]],IF(Transactions[[#This Row],[Level 3]]=Transactions[[#This Row],[L3N]],Transactions[[#This Row],[L2N]],IF(Transactions[[#This Row],[Level 3]]=Transactions[[#This Row],[L4N]],Transactions[[#This Row],[L3N]],IF(Transactions[[#This Row],[Level 3]]=Transactions[[#This Row],[L5N]],Transactions[[#This Row],[L4N]],IF(Transactions[[#This Row],[Level 3]]=Transactions[[#This Row],[L6N]],Transactions[[#This Row],[L5N]],IF(Transactions[[#This Row],[Level 3]]=Transactions[[#This Row],[L7N]],Transactions[[#This Row],[L6N]],Transactions[[#This Row],[L7N]]))))))))</f>
        <v>Reserves from oil shale</v>
      </c>
      <c r="AW149" s="24" t="str">
        <f>IF(Transactions[[#This Row],[Level 4]]=Transactions[[#This Row],[Transaction name]],Transactions[[#This Row],[Transaction name]],IF(Transactions[[#This Row],[Level 4]]=Transactions[[#This Row],[L1N]],Transactions[[#This Row],[Transaction name]],IF(Transactions[[#This Row],[Level 4]]=Transactions[[#This Row],[L2N]],Transactions[[#This Row],[L1N]],IF(Transactions[[#This Row],[Level 4]]=Transactions[[#This Row],[L3N]],Transactions[[#This Row],[L2N]],IF(Transactions[[#This Row],[Level 4]]=Transactions[[#This Row],[L4N]],Transactions[[#This Row],[L3N]],IF(Transactions[[#This Row],[Level 4]]=Transactions[[#This Row],[L5N]],Transactions[[#This Row],[L4N]],IF(Transactions[[#This Row],[Level 4]]=Transactions[[#This Row],[L6N]],Transactions[[#This Row],[L5N]],IF(Transactions[[#This Row],[Level 4]]=Transactions[[#This Row],[L7N]],Transactions[[#This Row],[L6N]],Transactions[[#This Row],[L7N]]))))))))</f>
        <v>Reserves from oil shale</v>
      </c>
      <c r="AX149" s="24" t="str">
        <f>IF(Transactions[[#This Row],[Level 5]]=Transactions[[#This Row],[Transaction name]],Transactions[[#This Row],[Transaction name]],IF(Transactions[[#This Row],[Level 5]]=Transactions[[#This Row],[L1N]],Transactions[[#This Row],[Transaction name]],IF(Transactions[[#This Row],[Level 5]]=Transactions[[#This Row],[L2N]],Transactions[[#This Row],[L1N]],IF(Transactions[[#This Row],[Level 5]]=Transactions[[#This Row],[L3N]],Transactions[[#This Row],[L2N]],IF(Transactions[[#This Row],[Level 5]]=Transactions[[#This Row],[L4N]],Transactions[[#This Row],[L3N]],IF(Transactions[[#This Row],[Level 5]]=Transactions[[#This Row],[L5N]],Transactions[[#This Row],[L4N]],IF(Transactions[[#This Row],[Level 5]]=Transactions[[#This Row],[L6N]],Transactions[[#This Row],[L5N]],IF(Transactions[[#This Row],[Level 5]]=Transactions[[#This Row],[L7N]],Transactions[[#This Row],[L6N]],Transactions[[#This Row],[L7N]]))))))))</f>
        <v>Reserves from oil shale</v>
      </c>
      <c r="AY149" s="24" t="str">
        <f>IF(Transactions[[#This Row],[Level 6]]=Transactions[[#This Row],[Transaction name]],Transactions[[#This Row],[Transaction name]],IF(Transactions[[#This Row],[Level 6]]=Transactions[[#This Row],[L1N]],Transactions[[#This Row],[Transaction name]],IF(Transactions[[#This Row],[Level 6]]=Transactions[[#This Row],[L2N]],Transactions[[#This Row],[L1N]],IF(Transactions[[#This Row],[Level 6]]=Transactions[[#This Row],[L3N]],Transactions[[#This Row],[L2N]],IF(Transactions[[#This Row],[Level 6]]=Transactions[[#This Row],[L4N]],Transactions[[#This Row],[L3N]],IF(Transactions[[#This Row],[Level 6]]=Transactions[[#This Row],[L5N]],Transactions[[#This Row],[L4N]],IF(Transactions[[#This Row],[Level 6]]=Transactions[[#This Row],[L6N]],Transactions[[#This Row],[L5N]],IF(Transactions[[#This Row],[Level 6]]=Transactions[[#This Row],[L7N]],Transactions[[#This Row],[L6N]],Transactions[[#This Row],[L7N]]))))))))</f>
        <v>Reserves from oil shale</v>
      </c>
      <c r="BE149" s="26" t="str">
        <f>_xlfn.XLOOKUP(Transformation[[#This Row],[cfrom]],Commodities[Commodity],Commodities[Commodity code])</f>
        <v>0330</v>
      </c>
      <c r="BF149" s="26" t="str">
        <f>_xlfn.XLOOKUP(Transformation[[#This Row],[tfrom]],Transactions[Transaction name],Transactions[Transaction code])</f>
        <v>08811</v>
      </c>
      <c r="BG149" s="26" t="str">
        <f>_xlfn.XLOOKUP(Transformation[[#This Row],[cto]],Commodities[Commodity],Commodities[Commodity code])</f>
        <v>0330</v>
      </c>
      <c r="BH149" s="26" t="str">
        <f>_xlfn.XLOOKUP(Transformation[[#This Row],[tto]],Transactions[Transaction name],Transactions[Transaction code])</f>
        <v>015CSE</v>
      </c>
      <c r="BI149" s="11">
        <v>1</v>
      </c>
      <c r="BJ149" s="4" t="s">
        <v>491</v>
      </c>
      <c r="BK149" s="24" t="str">
        <f>_xlfn.XLOOKUP(Transformation[[#This Row],[Commodity from]],Commodities[Commodity code],Commodities[EnergyCode])</f>
        <v>BB</v>
      </c>
      <c r="BL149" s="4" t="s">
        <v>689</v>
      </c>
      <c r="BM149" s="4" t="s">
        <v>491</v>
      </c>
      <c r="BN149" s="24" t="str">
        <f>_xlfn.XLOOKUP(Transformation[[#This Row],[Commodity to]],Commodities[Commodity code],Commodities[EnergyCode])</f>
        <v>BB</v>
      </c>
      <c r="BO149" s="4" t="s">
        <v>1210</v>
      </c>
      <c r="BP149" s="16" t="s">
        <v>1493</v>
      </c>
      <c r="BQ149" s="33" t="str">
        <f>Transformation[[#This Row],[Commodity from]]&amp;Transformation[[#This Row],[Transaction from]]&amp;Transformation[[#This Row],[Commodity to]]&amp;Transformation[[#This Row],[Transaction to]]</f>
        <v>0330088110330015CSE</v>
      </c>
      <c r="BR149" s="26" t="str">
        <f>Transformation[[#This Row],[crfomid]]&amp;Transformation[[#This Row],[Transaction from]]&amp;"("&amp;Transformation[[#This Row],[Multiplier]]&amp;") -&gt; "&amp;Transformation[[#This Row],[ctoid]]&amp;Transformation[[#This Row],[Transaction to]]</f>
        <v>BB08811(1) -&gt; BB015CSE</v>
      </c>
    </row>
    <row r="150" spans="25:70" x14ac:dyDescent="0.45">
      <c r="Y150" s="4" t="s">
        <v>25</v>
      </c>
      <c r="Z150" s="4" t="s">
        <v>951</v>
      </c>
      <c r="AA150" s="4" t="s">
        <v>951</v>
      </c>
      <c r="AB150" s="5">
        <v>16</v>
      </c>
      <c r="AC150" s="24" t="str">
        <f>IFERROR(VLOOKUP(Transactions[[#This Row],[Parent code]],Transactions[[Transaction code]:[Transaction name]],2,0),"")</f>
        <v>Reserves</v>
      </c>
      <c r="AD150" s="4" t="s">
        <v>634</v>
      </c>
      <c r="AF150" s="4" t="s">
        <v>642</v>
      </c>
      <c r="AG150" s="4" t="s">
        <v>1</v>
      </c>
      <c r="AH150" s="4" t="s">
        <v>696</v>
      </c>
      <c r="AK150" s="24" t="str" cm="1">
        <f t="array" ref="AK150">IFERROR(INDEX(Transactions[[Transaction code]:[Transaction name]],_xlfn.XMATCH(Transactions[[#This Row],[Parent code]],Transactions[Transaction name],0),3),Transactions[[#This Row],[Transaction name]])</f>
        <v>Reserves from oil shale and tar sands</v>
      </c>
      <c r="AL150" s="24" t="str" cm="1">
        <f t="array" ref="AL150">IFERROR(INDEX(Transactions[[Transaction code]:[Transaction name]],_xlfn.XMATCH(INDEX(Transactions[[Transaction name]:[Parent code]],_xlfn.XMATCH(Transactions[[#This Row],[L1N]],Transactions[Transaction name],0),3),Transactions[Transaction code],0),2),Transactions[[#This Row],[L1N]])</f>
        <v>Reserves</v>
      </c>
      <c r="AM150" s="24" t="str" cm="1">
        <f t="array" ref="AM150">IFERROR(INDEX(Transactions[[Transaction code]:[Transaction name]],_xlfn.XMATCH(INDEX(Transactions[[Transaction name]:[Parent code]],_xlfn.XMATCH(Transactions[[#This Row],[L2N]],Transactions[Transaction name],0),3),Transactions[Transaction code],0),2),Transactions[[#This Row],[L2N]])</f>
        <v>Reserves</v>
      </c>
      <c r="AN150" s="24" t="str" cm="1">
        <f t="array" ref="AN150">IFERROR(INDEX(Transactions[[Transaction code]:[Transaction name]],_xlfn.XMATCH(INDEX(Transactions[[Transaction name]:[Parent code]],_xlfn.XMATCH(Transactions[[#This Row],[L3N]],Transactions[Transaction name],0),3),Transactions[Transaction code],0),2),Transactions[[#This Row],[L3N]])</f>
        <v>Reserves</v>
      </c>
      <c r="AO150" s="24" t="str" cm="1">
        <f t="array" ref="AO150">IFERROR(INDEX(Transactions[[Transaction code]:[Transaction name]],_xlfn.XMATCH(INDEX(Transactions[[Transaction name]:[Parent code]],_xlfn.XMATCH(Transactions[[#This Row],[L4N]],Transactions[Transaction name],0),3),Transactions[Transaction code],0),2),Transactions[[#This Row],[L4N]])</f>
        <v>Reserves</v>
      </c>
      <c r="AP150" s="24" t="str" cm="1">
        <f t="array" ref="AP150">IFERROR(INDEX(Transactions[[Transaction code]:[Transaction name]],_xlfn.XMATCH(INDEX(Transactions[[Transaction name]:[Parent code]],_xlfn.XMATCH(Transactions[[#This Row],[L5N]],Transactions[Transaction name],0),3),Transactions[Transaction code],0),2),Transactions[[#This Row],[L5N]])</f>
        <v>Reserves</v>
      </c>
      <c r="AQ150" s="24" t="str" cm="1">
        <f t="array" ref="AQ150">IFERROR(INDEX(Transactions[[Transaction code]:[Transaction name]],_xlfn.XMATCH(INDEX(Transactions[[Transaction name]:[Parent code]],_xlfn.XMATCH(Transactions[[#This Row],[L6N]],Transactions[Transaction name],0),3),Transactions[Transaction code],0),2),Transactions[[#This Row],[L6N]])</f>
        <v>Reserves</v>
      </c>
      <c r="AR150" s="28" t="str">
        <f>IF(Transactions[[#This Row],[L7N]]=Transactions[[#This Row],[L6N]],Transactions[[#This Row],[L7N]],IF(Transactions[[#This Row],[L6N]]=Transactions[[#This Row],[L5N]],Transactions[[#This Row],[L6N]],IF(Transactions[[#This Row],[L5N]]=Transactions[[#This Row],[L4N]],Transactions[[#This Row],[L5N]],IF(Transactions[[#This Row],[L4N]]=Transactions[[#This Row],[L3N]],Transactions[[#This Row],[L4N]],IF(Transactions[[#This Row],[L3N]]=Transactions[[#This Row],[L2N]],Transactions[[#This Row],[L3N]],IF(Transactions[[#This Row],[L2N]]=Transactions[[#This Row],[L1N]],Transactions[[#This Row],[L2N]],IF(Transactions[[#This Row],[L1N]]=Transactions[[#This Row],[Transaction name]],Transactions[[#This Row],[L1N]],Transactions[[#This Row],[Transaction name]])))))))</f>
        <v>Reserves</v>
      </c>
      <c r="AS150" s="24" t="str">
        <f>IF(Transactions[[#This Row],[Level 0]]=Transactions[[#This Row],[Transaction name]],Transactions[[#This Row],[Transaction name]],IF(Transactions[[#This Row],[Level 0]]=Transactions[[#This Row],[L1N]],Transactions[[#This Row],[Transaction name]],IF(Transactions[[#This Row],[Level 0]]=Transactions[[#This Row],[L2N]],Transactions[[#This Row],[L1N]],IF(Transactions[[#This Row],[Level 0]]=Transactions[[#This Row],[L3N]],Transactions[[#This Row],[L2N]],IF(Transactions[[#This Row],[Level 0]]=Transactions[[#This Row],[L4N]],Transactions[[#This Row],[L3N]],IF(Transactions[[#This Row],[Level 0]]=Transactions[[#This Row],[L5N]],Transactions[[#This Row],[L4N]],IF(Transactions[[#This Row],[Level 0]]=Transactions[[#This Row],[L6N]],Transactions[[#This Row],[L5N]],IF(Transactions[[#This Row],[Level 0]]=Transactions[[#This Row],[L7N]],Transactions[[#This Row],[L6N]],Transactions[[#This Row],[L7N]]))))))))</f>
        <v>Reserves from oil shale and tar sands</v>
      </c>
      <c r="AT150" s="24" t="str">
        <f>IF(Transactions[[#This Row],[Level 1]]=Transactions[[#This Row],[Transaction name]],Transactions[[#This Row],[Transaction name]],IF(Transactions[[#This Row],[Level 1]]=Transactions[[#This Row],[L1N]],Transactions[[#This Row],[Transaction name]],IF(Transactions[[#This Row],[Level 1]]=Transactions[[#This Row],[L2N]],Transactions[[#This Row],[L1N]],IF(Transactions[[#This Row],[Level 1]]=Transactions[[#This Row],[L3N]],Transactions[[#This Row],[L2N]],IF(Transactions[[#This Row],[Level 1]]=Transactions[[#This Row],[L4N]],Transactions[[#This Row],[L3N]],IF(Transactions[[#This Row],[Level 1]]=Transactions[[#This Row],[L5N]],Transactions[[#This Row],[L4N]],IF(Transactions[[#This Row],[Level 1]]=Transactions[[#This Row],[L6N]],Transactions[[#This Row],[L5N]],IF(Transactions[[#This Row],[Level 1]]=Transactions[[#This Row],[L7N]],Transactions[[#This Row],[L6N]],Transactions[[#This Row],[L7N]]))))))))</f>
        <v>Reserves from oil shale and tar sands</v>
      </c>
      <c r="AU150" s="24" t="str">
        <f>IF(Transactions[[#This Row],[Level 2]]=Transactions[[#This Row],[Transaction name]],Transactions[[#This Row],[Transaction name]],IF(Transactions[[#This Row],[Level 2]]=Transactions[[#This Row],[L1N]],Transactions[[#This Row],[Transaction name]],IF(Transactions[[#This Row],[Level 2]]=Transactions[[#This Row],[L2N]],Transactions[[#This Row],[L1N]],IF(Transactions[[#This Row],[Level 2]]=Transactions[[#This Row],[L3N]],Transactions[[#This Row],[L2N]],IF(Transactions[[#This Row],[Level 2]]=Transactions[[#This Row],[L4N]],Transactions[[#This Row],[L3N]],IF(Transactions[[#This Row],[Level 2]]=Transactions[[#This Row],[L5N]],Transactions[[#This Row],[L4N]],IF(Transactions[[#This Row],[Level 2]]=Transactions[[#This Row],[L6N]],Transactions[[#This Row],[L5N]],IF(Transactions[[#This Row],[Level 2]]=Transactions[[#This Row],[L7N]],Transactions[[#This Row],[L6N]],Transactions[[#This Row],[L7N]]))))))))</f>
        <v>Reserves from oil shale and tar sands</v>
      </c>
      <c r="AV150" s="24" t="str">
        <f>IF(Transactions[[#This Row],[Level 3]]=Transactions[[#This Row],[Transaction name]],Transactions[[#This Row],[Transaction name]],IF(Transactions[[#This Row],[Level 3]]=Transactions[[#This Row],[L1N]],Transactions[[#This Row],[Transaction name]],IF(Transactions[[#This Row],[Level 3]]=Transactions[[#This Row],[L2N]],Transactions[[#This Row],[L1N]],IF(Transactions[[#This Row],[Level 3]]=Transactions[[#This Row],[L3N]],Transactions[[#This Row],[L2N]],IF(Transactions[[#This Row],[Level 3]]=Transactions[[#This Row],[L4N]],Transactions[[#This Row],[L3N]],IF(Transactions[[#This Row],[Level 3]]=Transactions[[#This Row],[L5N]],Transactions[[#This Row],[L4N]],IF(Transactions[[#This Row],[Level 3]]=Transactions[[#This Row],[L6N]],Transactions[[#This Row],[L5N]],IF(Transactions[[#This Row],[Level 3]]=Transactions[[#This Row],[L7N]],Transactions[[#This Row],[L6N]],Transactions[[#This Row],[L7N]]))))))))</f>
        <v>Reserves from oil shale and tar sands</v>
      </c>
      <c r="AW150" s="24" t="str">
        <f>IF(Transactions[[#This Row],[Level 4]]=Transactions[[#This Row],[Transaction name]],Transactions[[#This Row],[Transaction name]],IF(Transactions[[#This Row],[Level 4]]=Transactions[[#This Row],[L1N]],Transactions[[#This Row],[Transaction name]],IF(Transactions[[#This Row],[Level 4]]=Transactions[[#This Row],[L2N]],Transactions[[#This Row],[L1N]],IF(Transactions[[#This Row],[Level 4]]=Transactions[[#This Row],[L3N]],Transactions[[#This Row],[L2N]],IF(Transactions[[#This Row],[Level 4]]=Transactions[[#This Row],[L4N]],Transactions[[#This Row],[L3N]],IF(Transactions[[#This Row],[Level 4]]=Transactions[[#This Row],[L5N]],Transactions[[#This Row],[L4N]],IF(Transactions[[#This Row],[Level 4]]=Transactions[[#This Row],[L6N]],Transactions[[#This Row],[L5N]],IF(Transactions[[#This Row],[Level 4]]=Transactions[[#This Row],[L7N]],Transactions[[#This Row],[L6N]],Transactions[[#This Row],[L7N]]))))))))</f>
        <v>Reserves from oil shale and tar sands</v>
      </c>
      <c r="AX150" s="24" t="str">
        <f>IF(Transactions[[#This Row],[Level 5]]=Transactions[[#This Row],[Transaction name]],Transactions[[#This Row],[Transaction name]],IF(Transactions[[#This Row],[Level 5]]=Transactions[[#This Row],[L1N]],Transactions[[#This Row],[Transaction name]],IF(Transactions[[#This Row],[Level 5]]=Transactions[[#This Row],[L2N]],Transactions[[#This Row],[L1N]],IF(Transactions[[#This Row],[Level 5]]=Transactions[[#This Row],[L3N]],Transactions[[#This Row],[L2N]],IF(Transactions[[#This Row],[Level 5]]=Transactions[[#This Row],[L4N]],Transactions[[#This Row],[L3N]],IF(Transactions[[#This Row],[Level 5]]=Transactions[[#This Row],[L5N]],Transactions[[#This Row],[L4N]],IF(Transactions[[#This Row],[Level 5]]=Transactions[[#This Row],[L6N]],Transactions[[#This Row],[L5N]],IF(Transactions[[#This Row],[Level 5]]=Transactions[[#This Row],[L7N]],Transactions[[#This Row],[L6N]],Transactions[[#This Row],[L7N]]))))))))</f>
        <v>Reserves from oil shale and tar sands</v>
      </c>
      <c r="AY150" s="24" t="str">
        <f>IF(Transactions[[#This Row],[Level 6]]=Transactions[[#This Row],[Transaction name]],Transactions[[#This Row],[Transaction name]],IF(Transactions[[#This Row],[Level 6]]=Transactions[[#This Row],[L1N]],Transactions[[#This Row],[Transaction name]],IF(Transactions[[#This Row],[Level 6]]=Transactions[[#This Row],[L2N]],Transactions[[#This Row],[L1N]],IF(Transactions[[#This Row],[Level 6]]=Transactions[[#This Row],[L3N]],Transactions[[#This Row],[L2N]],IF(Transactions[[#This Row],[Level 6]]=Transactions[[#This Row],[L4N]],Transactions[[#This Row],[L3N]],IF(Transactions[[#This Row],[Level 6]]=Transactions[[#This Row],[L5N]],Transactions[[#This Row],[L4N]],IF(Transactions[[#This Row],[Level 6]]=Transactions[[#This Row],[L6N]],Transactions[[#This Row],[L5N]],IF(Transactions[[#This Row],[Level 6]]=Transactions[[#This Row],[L7N]],Transactions[[#This Row],[L6N]],Transactions[[#This Row],[L7N]]))))))))</f>
        <v>Reserves from oil shale and tar sands</v>
      </c>
      <c r="BE150" s="26" t="str">
        <f>_xlfn.XLOOKUP(Transformation[[#This Row],[cfrom]],Commodities[Commodity],Commodities[Commodity code])</f>
        <v>0320</v>
      </c>
      <c r="BF150" s="26" t="str">
        <f>_xlfn.XLOOKUP(Transformation[[#This Row],[tfrom]],Transactions[Transaction name],Transactions[Transaction code])</f>
        <v>08811</v>
      </c>
      <c r="BG150" s="26" t="str">
        <f>_xlfn.XLOOKUP(Transformation[[#This Row],[cto]],Commodities[Commodity],Commodities[Commodity code])</f>
        <v>0320</v>
      </c>
      <c r="BH150" s="26" t="str">
        <f>_xlfn.XLOOKUP(Transformation[[#This Row],[tto]],Transactions[Transaction name],Transactions[Transaction code])</f>
        <v>015CSE</v>
      </c>
      <c r="BI150" s="31">
        <v>1</v>
      </c>
      <c r="BJ150" s="22" t="s">
        <v>493</v>
      </c>
      <c r="BK150" s="26" t="str">
        <f>_xlfn.XLOOKUP(Transformation[[#This Row],[Commodity from]],Commodities[Commodity code],Commodities[EnergyCode])</f>
        <v>BC</v>
      </c>
      <c r="BL150" s="22" t="s">
        <v>689</v>
      </c>
      <c r="BM150" s="22" t="s">
        <v>493</v>
      </c>
      <c r="BN150" s="26" t="str">
        <f>_xlfn.XLOOKUP(Transformation[[#This Row],[Commodity to]],Commodities[Commodity code],Commodities[EnergyCode])</f>
        <v>BC</v>
      </c>
      <c r="BO150" s="4" t="s">
        <v>1210</v>
      </c>
      <c r="BP150" s="22" t="s">
        <v>1493</v>
      </c>
      <c r="BQ150" s="33" t="str">
        <f>Transformation[[#This Row],[Commodity from]]&amp;Transformation[[#This Row],[Transaction from]]&amp;Transformation[[#This Row],[Commodity to]]&amp;Transformation[[#This Row],[Transaction to]]</f>
        <v>0320088110320015CSE</v>
      </c>
      <c r="BR150" s="26" t="str">
        <f>Transformation[[#This Row],[crfomid]]&amp;Transformation[[#This Row],[Transaction from]]&amp;"("&amp;Transformation[[#This Row],[Multiplier]]&amp;") -&gt; "&amp;Transformation[[#This Row],[ctoid]]&amp;Transformation[[#This Row],[Transaction to]]</f>
        <v>BC08811(1) -&gt; BC015CSE</v>
      </c>
    </row>
    <row r="151" spans="25:70" x14ac:dyDescent="0.45">
      <c r="Y151" s="4" t="s">
        <v>26</v>
      </c>
      <c r="Z151" s="4" t="s">
        <v>953</v>
      </c>
      <c r="AA151" s="4" t="s">
        <v>953</v>
      </c>
      <c r="AB151" s="4" t="s">
        <v>25</v>
      </c>
      <c r="AC151" s="24" t="str">
        <f>IFERROR(VLOOKUP(Transactions[[#This Row],[Parent code]],Transactions[[Transaction code]:[Transaction name]],2,0),"")</f>
        <v>Reserves from oil shale and tar sands</v>
      </c>
      <c r="AD151" s="4" t="s">
        <v>634</v>
      </c>
      <c r="AF151" s="4" t="s">
        <v>642</v>
      </c>
      <c r="AG151" s="4" t="s">
        <v>1</v>
      </c>
      <c r="AH151" s="4" t="s">
        <v>696</v>
      </c>
      <c r="AK151" s="24" t="str" cm="1">
        <f t="array" ref="AK151">IFERROR(INDEX(Transactions[[Transaction code]:[Transaction name]],_xlfn.XMATCH(Transactions[[#This Row],[Parent code]],Transactions[Transaction name],0),3),Transactions[[#This Row],[Transaction name]])</f>
        <v>Reserves from tar sands</v>
      </c>
      <c r="AL151" s="24" t="str" cm="1">
        <f t="array" ref="AL151">IFERROR(INDEX(Transactions[[Transaction code]:[Transaction name]],_xlfn.XMATCH(INDEX(Transactions[[Transaction name]:[Parent code]],_xlfn.XMATCH(Transactions[[#This Row],[L1N]],Transactions[Transaction name],0),3),Transactions[Transaction code],0),2),Transactions[[#This Row],[L1N]])</f>
        <v>Reserves from oil shale and tar sands</v>
      </c>
      <c r="AM151" s="24" t="str" cm="1">
        <f t="array" ref="AM151">IFERROR(INDEX(Transactions[[Transaction code]:[Transaction name]],_xlfn.XMATCH(INDEX(Transactions[[Transaction name]:[Parent code]],_xlfn.XMATCH(Transactions[[#This Row],[L2N]],Transactions[Transaction name],0),3),Transactions[Transaction code],0),2),Transactions[[#This Row],[L2N]])</f>
        <v>Reserves</v>
      </c>
      <c r="AN151" s="24" t="str" cm="1">
        <f t="array" ref="AN151">IFERROR(INDEX(Transactions[[Transaction code]:[Transaction name]],_xlfn.XMATCH(INDEX(Transactions[[Transaction name]:[Parent code]],_xlfn.XMATCH(Transactions[[#This Row],[L3N]],Transactions[Transaction name],0),3),Transactions[Transaction code],0),2),Transactions[[#This Row],[L3N]])</f>
        <v>Reserves</v>
      </c>
      <c r="AO151" s="24" t="str" cm="1">
        <f t="array" ref="AO151">IFERROR(INDEX(Transactions[[Transaction code]:[Transaction name]],_xlfn.XMATCH(INDEX(Transactions[[Transaction name]:[Parent code]],_xlfn.XMATCH(Transactions[[#This Row],[L4N]],Transactions[Transaction name],0),3),Transactions[Transaction code],0),2),Transactions[[#This Row],[L4N]])</f>
        <v>Reserves</v>
      </c>
      <c r="AP151" s="24" t="str" cm="1">
        <f t="array" ref="AP151">IFERROR(INDEX(Transactions[[Transaction code]:[Transaction name]],_xlfn.XMATCH(INDEX(Transactions[[Transaction name]:[Parent code]],_xlfn.XMATCH(Transactions[[#This Row],[L5N]],Transactions[Transaction name],0),3),Transactions[Transaction code],0),2),Transactions[[#This Row],[L5N]])</f>
        <v>Reserves</v>
      </c>
      <c r="AQ151" s="24" t="str" cm="1">
        <f t="array" ref="AQ151">IFERROR(INDEX(Transactions[[Transaction code]:[Transaction name]],_xlfn.XMATCH(INDEX(Transactions[[Transaction name]:[Parent code]],_xlfn.XMATCH(Transactions[[#This Row],[L6N]],Transactions[Transaction name],0),3),Transactions[Transaction code],0),2),Transactions[[#This Row],[L6N]])</f>
        <v>Reserves</v>
      </c>
      <c r="AR151" s="28" t="str">
        <f>IF(Transactions[[#This Row],[L7N]]=Transactions[[#This Row],[L6N]],Transactions[[#This Row],[L7N]],IF(Transactions[[#This Row],[L6N]]=Transactions[[#This Row],[L5N]],Transactions[[#This Row],[L6N]],IF(Transactions[[#This Row],[L5N]]=Transactions[[#This Row],[L4N]],Transactions[[#This Row],[L5N]],IF(Transactions[[#This Row],[L4N]]=Transactions[[#This Row],[L3N]],Transactions[[#This Row],[L4N]],IF(Transactions[[#This Row],[L3N]]=Transactions[[#This Row],[L2N]],Transactions[[#This Row],[L3N]],IF(Transactions[[#This Row],[L2N]]=Transactions[[#This Row],[L1N]],Transactions[[#This Row],[L2N]],IF(Transactions[[#This Row],[L1N]]=Transactions[[#This Row],[Transaction name]],Transactions[[#This Row],[L1N]],Transactions[[#This Row],[Transaction name]])))))))</f>
        <v>Reserves</v>
      </c>
      <c r="AS151" s="24" t="str">
        <f>IF(Transactions[[#This Row],[Level 0]]=Transactions[[#This Row],[Transaction name]],Transactions[[#This Row],[Transaction name]],IF(Transactions[[#This Row],[Level 0]]=Transactions[[#This Row],[L1N]],Transactions[[#This Row],[Transaction name]],IF(Transactions[[#This Row],[Level 0]]=Transactions[[#This Row],[L2N]],Transactions[[#This Row],[L1N]],IF(Transactions[[#This Row],[Level 0]]=Transactions[[#This Row],[L3N]],Transactions[[#This Row],[L2N]],IF(Transactions[[#This Row],[Level 0]]=Transactions[[#This Row],[L4N]],Transactions[[#This Row],[L3N]],IF(Transactions[[#This Row],[Level 0]]=Transactions[[#This Row],[L5N]],Transactions[[#This Row],[L4N]],IF(Transactions[[#This Row],[Level 0]]=Transactions[[#This Row],[L6N]],Transactions[[#This Row],[L5N]],IF(Transactions[[#This Row],[Level 0]]=Transactions[[#This Row],[L7N]],Transactions[[#This Row],[L6N]],Transactions[[#This Row],[L7N]]))))))))</f>
        <v>Reserves from oil shale and tar sands</v>
      </c>
      <c r="AT151" s="24" t="str">
        <f>IF(Transactions[[#This Row],[Level 1]]=Transactions[[#This Row],[Transaction name]],Transactions[[#This Row],[Transaction name]],IF(Transactions[[#This Row],[Level 1]]=Transactions[[#This Row],[L1N]],Transactions[[#This Row],[Transaction name]],IF(Transactions[[#This Row],[Level 1]]=Transactions[[#This Row],[L2N]],Transactions[[#This Row],[L1N]],IF(Transactions[[#This Row],[Level 1]]=Transactions[[#This Row],[L3N]],Transactions[[#This Row],[L2N]],IF(Transactions[[#This Row],[Level 1]]=Transactions[[#This Row],[L4N]],Transactions[[#This Row],[L3N]],IF(Transactions[[#This Row],[Level 1]]=Transactions[[#This Row],[L5N]],Transactions[[#This Row],[L4N]],IF(Transactions[[#This Row],[Level 1]]=Transactions[[#This Row],[L6N]],Transactions[[#This Row],[L5N]],IF(Transactions[[#This Row],[Level 1]]=Transactions[[#This Row],[L7N]],Transactions[[#This Row],[L6N]],Transactions[[#This Row],[L7N]]))))))))</f>
        <v>Reserves from tar sands</v>
      </c>
      <c r="AU151" s="24" t="str">
        <f>IF(Transactions[[#This Row],[Level 2]]=Transactions[[#This Row],[Transaction name]],Transactions[[#This Row],[Transaction name]],IF(Transactions[[#This Row],[Level 2]]=Transactions[[#This Row],[L1N]],Transactions[[#This Row],[Transaction name]],IF(Transactions[[#This Row],[Level 2]]=Transactions[[#This Row],[L2N]],Transactions[[#This Row],[L1N]],IF(Transactions[[#This Row],[Level 2]]=Transactions[[#This Row],[L3N]],Transactions[[#This Row],[L2N]],IF(Transactions[[#This Row],[Level 2]]=Transactions[[#This Row],[L4N]],Transactions[[#This Row],[L3N]],IF(Transactions[[#This Row],[Level 2]]=Transactions[[#This Row],[L5N]],Transactions[[#This Row],[L4N]],IF(Transactions[[#This Row],[Level 2]]=Transactions[[#This Row],[L6N]],Transactions[[#This Row],[L5N]],IF(Transactions[[#This Row],[Level 2]]=Transactions[[#This Row],[L7N]],Transactions[[#This Row],[L6N]],Transactions[[#This Row],[L7N]]))))))))</f>
        <v>Reserves from tar sands</v>
      </c>
      <c r="AV151" s="24" t="str">
        <f>IF(Transactions[[#This Row],[Level 3]]=Transactions[[#This Row],[Transaction name]],Transactions[[#This Row],[Transaction name]],IF(Transactions[[#This Row],[Level 3]]=Transactions[[#This Row],[L1N]],Transactions[[#This Row],[Transaction name]],IF(Transactions[[#This Row],[Level 3]]=Transactions[[#This Row],[L2N]],Transactions[[#This Row],[L1N]],IF(Transactions[[#This Row],[Level 3]]=Transactions[[#This Row],[L3N]],Transactions[[#This Row],[L2N]],IF(Transactions[[#This Row],[Level 3]]=Transactions[[#This Row],[L4N]],Transactions[[#This Row],[L3N]],IF(Transactions[[#This Row],[Level 3]]=Transactions[[#This Row],[L5N]],Transactions[[#This Row],[L4N]],IF(Transactions[[#This Row],[Level 3]]=Transactions[[#This Row],[L6N]],Transactions[[#This Row],[L5N]],IF(Transactions[[#This Row],[Level 3]]=Transactions[[#This Row],[L7N]],Transactions[[#This Row],[L6N]],Transactions[[#This Row],[L7N]]))))))))</f>
        <v>Reserves from tar sands</v>
      </c>
      <c r="AW151" s="24" t="str">
        <f>IF(Transactions[[#This Row],[Level 4]]=Transactions[[#This Row],[Transaction name]],Transactions[[#This Row],[Transaction name]],IF(Transactions[[#This Row],[Level 4]]=Transactions[[#This Row],[L1N]],Transactions[[#This Row],[Transaction name]],IF(Transactions[[#This Row],[Level 4]]=Transactions[[#This Row],[L2N]],Transactions[[#This Row],[L1N]],IF(Transactions[[#This Row],[Level 4]]=Transactions[[#This Row],[L3N]],Transactions[[#This Row],[L2N]],IF(Transactions[[#This Row],[Level 4]]=Transactions[[#This Row],[L4N]],Transactions[[#This Row],[L3N]],IF(Transactions[[#This Row],[Level 4]]=Transactions[[#This Row],[L5N]],Transactions[[#This Row],[L4N]],IF(Transactions[[#This Row],[Level 4]]=Transactions[[#This Row],[L6N]],Transactions[[#This Row],[L5N]],IF(Transactions[[#This Row],[Level 4]]=Transactions[[#This Row],[L7N]],Transactions[[#This Row],[L6N]],Transactions[[#This Row],[L7N]]))))))))</f>
        <v>Reserves from tar sands</v>
      </c>
      <c r="AX151" s="24" t="str">
        <f>IF(Transactions[[#This Row],[Level 5]]=Transactions[[#This Row],[Transaction name]],Transactions[[#This Row],[Transaction name]],IF(Transactions[[#This Row],[Level 5]]=Transactions[[#This Row],[L1N]],Transactions[[#This Row],[Transaction name]],IF(Transactions[[#This Row],[Level 5]]=Transactions[[#This Row],[L2N]],Transactions[[#This Row],[L1N]],IF(Transactions[[#This Row],[Level 5]]=Transactions[[#This Row],[L3N]],Transactions[[#This Row],[L2N]],IF(Transactions[[#This Row],[Level 5]]=Transactions[[#This Row],[L4N]],Transactions[[#This Row],[L3N]],IF(Transactions[[#This Row],[Level 5]]=Transactions[[#This Row],[L5N]],Transactions[[#This Row],[L4N]],IF(Transactions[[#This Row],[Level 5]]=Transactions[[#This Row],[L6N]],Transactions[[#This Row],[L5N]],IF(Transactions[[#This Row],[Level 5]]=Transactions[[#This Row],[L7N]],Transactions[[#This Row],[L6N]],Transactions[[#This Row],[L7N]]))))))))</f>
        <v>Reserves from tar sands</v>
      </c>
      <c r="AY151" s="24" t="str">
        <f>IF(Transactions[[#This Row],[Level 6]]=Transactions[[#This Row],[Transaction name]],Transactions[[#This Row],[Transaction name]],IF(Transactions[[#This Row],[Level 6]]=Transactions[[#This Row],[L1N]],Transactions[[#This Row],[Transaction name]],IF(Transactions[[#This Row],[Level 6]]=Transactions[[#This Row],[L2N]],Transactions[[#This Row],[L1N]],IF(Transactions[[#This Row],[Level 6]]=Transactions[[#This Row],[L3N]],Transactions[[#This Row],[L2N]],IF(Transactions[[#This Row],[Level 6]]=Transactions[[#This Row],[L4N]],Transactions[[#This Row],[L3N]],IF(Transactions[[#This Row],[Level 6]]=Transactions[[#This Row],[L5N]],Transactions[[#This Row],[L4N]],IF(Transactions[[#This Row],[Level 6]]=Transactions[[#This Row],[L6N]],Transactions[[#This Row],[L5N]],IF(Transactions[[#This Row],[Level 6]]=Transactions[[#This Row],[L7N]],Transactions[[#This Row],[L6N]],Transactions[[#This Row],[L7N]]))))))))</f>
        <v>Reserves from tar sands</v>
      </c>
      <c r="BE151" s="26" t="str">
        <f>_xlfn.XLOOKUP(Transformation[[#This Row],[cfrom]],Commodities[Commodity],Commodities[Commodity code])</f>
        <v>5220</v>
      </c>
      <c r="BF151" s="26" t="str">
        <f>_xlfn.XLOOKUP(Transformation[[#This Row],[tfrom]],Transactions[Transaction name],Transactions[Transaction code])</f>
        <v>08811</v>
      </c>
      <c r="BG151" s="26" t="str">
        <f>_xlfn.XLOOKUP(Transformation[[#This Row],[cto]],Commodities[Commodity],Commodities[Commodity code])</f>
        <v>5220</v>
      </c>
      <c r="BH151" s="26" t="str">
        <f>_xlfn.XLOOKUP(Transformation[[#This Row],[tto]],Transactions[Transaction name],Transactions[Transaction code])</f>
        <v>015BLE</v>
      </c>
      <c r="BI151" s="11">
        <v>1</v>
      </c>
      <c r="BJ151" s="4" t="s">
        <v>315</v>
      </c>
      <c r="BK151" s="24" t="str">
        <f>_xlfn.XLOOKUP(Transformation[[#This Row],[Commodity from]],Commodities[Commodity code],Commodities[EnergyCode])</f>
        <v>BD</v>
      </c>
      <c r="BL151" s="4" t="s">
        <v>689</v>
      </c>
      <c r="BM151" s="4" t="s">
        <v>315</v>
      </c>
      <c r="BN151" s="24" t="str">
        <f>_xlfn.XLOOKUP(Transformation[[#This Row],[Commodity to]],Commodities[Commodity code],Commodities[EnergyCode])</f>
        <v>BD</v>
      </c>
      <c r="BO151" s="4" t="s">
        <v>1075</v>
      </c>
      <c r="BP151" s="16" t="s">
        <v>1493</v>
      </c>
      <c r="BQ151" s="33" t="str">
        <f>Transformation[[#This Row],[Commodity from]]&amp;Transformation[[#This Row],[Transaction from]]&amp;Transformation[[#This Row],[Commodity to]]&amp;Transformation[[#This Row],[Transaction to]]</f>
        <v>5220088115220015BLE</v>
      </c>
      <c r="BR151" s="26" t="str">
        <f>Transformation[[#This Row],[crfomid]]&amp;Transformation[[#This Row],[Transaction from]]&amp;"("&amp;Transformation[[#This Row],[Multiplier]]&amp;") -&gt; "&amp;Transformation[[#This Row],[ctoid]]&amp;Transformation[[#This Row],[Transaction to]]</f>
        <v>BD08811(1) -&gt; BD015BLE</v>
      </c>
    </row>
    <row r="152" spans="25:70" x14ac:dyDescent="0.45">
      <c r="Y152" s="4" t="s">
        <v>20</v>
      </c>
      <c r="Z152" s="4" t="s">
        <v>956</v>
      </c>
      <c r="AA152" s="4" t="s">
        <v>956</v>
      </c>
      <c r="AB152" s="5">
        <v>16</v>
      </c>
      <c r="AC152" s="24" t="str">
        <f>IFERROR(VLOOKUP(Transactions[[#This Row],[Parent code]],Transactions[[Transaction code]:[Transaction name]],2,0),"")</f>
        <v>Reserves</v>
      </c>
      <c r="AD152" s="4" t="s">
        <v>634</v>
      </c>
      <c r="AF152" s="4" t="s">
        <v>642</v>
      </c>
      <c r="AG152" s="4" t="s">
        <v>1</v>
      </c>
      <c r="AH152" s="4" t="s">
        <v>696</v>
      </c>
      <c r="AK152" s="24" t="str" cm="1">
        <f t="array" ref="AK152">IFERROR(INDEX(Transactions[[Transaction code]:[Transaction name]],_xlfn.XMATCH(Transactions[[#This Row],[Parent code]],Transactions[Transaction name],0),3),Transactions[[#This Row],[Transaction name]])</f>
        <v>Reserves of nuclear resources, Estimated additional</v>
      </c>
      <c r="AL152" s="24" t="str" cm="1">
        <f t="array" ref="AL152">IFERROR(INDEX(Transactions[[Transaction code]:[Transaction name]],_xlfn.XMATCH(INDEX(Transactions[[Transaction name]:[Parent code]],_xlfn.XMATCH(Transactions[[#This Row],[L1N]],Transactions[Transaction name],0),3),Transactions[Transaction code],0),2),Transactions[[#This Row],[L1N]])</f>
        <v>Reserves</v>
      </c>
      <c r="AM152" s="24" t="str" cm="1">
        <f t="array" ref="AM152">IFERROR(INDEX(Transactions[[Transaction code]:[Transaction name]],_xlfn.XMATCH(INDEX(Transactions[[Transaction name]:[Parent code]],_xlfn.XMATCH(Transactions[[#This Row],[L2N]],Transactions[Transaction name],0),3),Transactions[Transaction code],0),2),Transactions[[#This Row],[L2N]])</f>
        <v>Reserves</v>
      </c>
      <c r="AN152" s="24" t="str" cm="1">
        <f t="array" ref="AN152">IFERROR(INDEX(Transactions[[Transaction code]:[Transaction name]],_xlfn.XMATCH(INDEX(Transactions[[Transaction name]:[Parent code]],_xlfn.XMATCH(Transactions[[#This Row],[L3N]],Transactions[Transaction name],0),3),Transactions[Transaction code],0),2),Transactions[[#This Row],[L3N]])</f>
        <v>Reserves</v>
      </c>
      <c r="AO152" s="24" t="str" cm="1">
        <f t="array" ref="AO152">IFERROR(INDEX(Transactions[[Transaction code]:[Transaction name]],_xlfn.XMATCH(INDEX(Transactions[[Transaction name]:[Parent code]],_xlfn.XMATCH(Transactions[[#This Row],[L4N]],Transactions[Transaction name],0),3),Transactions[Transaction code],0),2),Transactions[[#This Row],[L4N]])</f>
        <v>Reserves</v>
      </c>
      <c r="AP152" s="24" t="str" cm="1">
        <f t="array" ref="AP152">IFERROR(INDEX(Transactions[[Transaction code]:[Transaction name]],_xlfn.XMATCH(INDEX(Transactions[[Transaction name]:[Parent code]],_xlfn.XMATCH(Transactions[[#This Row],[L5N]],Transactions[Transaction name],0),3),Transactions[Transaction code],0),2),Transactions[[#This Row],[L5N]])</f>
        <v>Reserves</v>
      </c>
      <c r="AQ152" s="24" t="str" cm="1">
        <f t="array" ref="AQ152">IFERROR(INDEX(Transactions[[Transaction code]:[Transaction name]],_xlfn.XMATCH(INDEX(Transactions[[Transaction name]:[Parent code]],_xlfn.XMATCH(Transactions[[#This Row],[L6N]],Transactions[Transaction name],0),3),Transactions[Transaction code],0),2),Transactions[[#This Row],[L6N]])</f>
        <v>Reserves</v>
      </c>
      <c r="AR152" s="28" t="str">
        <f>IF(Transactions[[#This Row],[L7N]]=Transactions[[#This Row],[L6N]],Transactions[[#This Row],[L7N]],IF(Transactions[[#This Row],[L6N]]=Transactions[[#This Row],[L5N]],Transactions[[#This Row],[L6N]],IF(Transactions[[#This Row],[L5N]]=Transactions[[#This Row],[L4N]],Transactions[[#This Row],[L5N]],IF(Transactions[[#This Row],[L4N]]=Transactions[[#This Row],[L3N]],Transactions[[#This Row],[L4N]],IF(Transactions[[#This Row],[L3N]]=Transactions[[#This Row],[L2N]],Transactions[[#This Row],[L3N]],IF(Transactions[[#This Row],[L2N]]=Transactions[[#This Row],[L1N]],Transactions[[#This Row],[L2N]],IF(Transactions[[#This Row],[L1N]]=Transactions[[#This Row],[Transaction name]],Transactions[[#This Row],[L1N]],Transactions[[#This Row],[Transaction name]])))))))</f>
        <v>Reserves</v>
      </c>
      <c r="AS152" s="24" t="str">
        <f>IF(Transactions[[#This Row],[Level 0]]=Transactions[[#This Row],[Transaction name]],Transactions[[#This Row],[Transaction name]],IF(Transactions[[#This Row],[Level 0]]=Transactions[[#This Row],[L1N]],Transactions[[#This Row],[Transaction name]],IF(Transactions[[#This Row],[Level 0]]=Transactions[[#This Row],[L2N]],Transactions[[#This Row],[L1N]],IF(Transactions[[#This Row],[Level 0]]=Transactions[[#This Row],[L3N]],Transactions[[#This Row],[L2N]],IF(Transactions[[#This Row],[Level 0]]=Transactions[[#This Row],[L4N]],Transactions[[#This Row],[L3N]],IF(Transactions[[#This Row],[Level 0]]=Transactions[[#This Row],[L5N]],Transactions[[#This Row],[L4N]],IF(Transactions[[#This Row],[Level 0]]=Transactions[[#This Row],[L6N]],Transactions[[#This Row],[L5N]],IF(Transactions[[#This Row],[Level 0]]=Transactions[[#This Row],[L7N]],Transactions[[#This Row],[L6N]],Transactions[[#This Row],[L7N]]))))))))</f>
        <v>Reserves of nuclear resources, Estimated additional</v>
      </c>
      <c r="AT152" s="24" t="str">
        <f>IF(Transactions[[#This Row],[Level 1]]=Transactions[[#This Row],[Transaction name]],Transactions[[#This Row],[Transaction name]],IF(Transactions[[#This Row],[Level 1]]=Transactions[[#This Row],[L1N]],Transactions[[#This Row],[Transaction name]],IF(Transactions[[#This Row],[Level 1]]=Transactions[[#This Row],[L2N]],Transactions[[#This Row],[L1N]],IF(Transactions[[#This Row],[Level 1]]=Transactions[[#This Row],[L3N]],Transactions[[#This Row],[L2N]],IF(Transactions[[#This Row],[Level 1]]=Transactions[[#This Row],[L4N]],Transactions[[#This Row],[L3N]],IF(Transactions[[#This Row],[Level 1]]=Transactions[[#This Row],[L5N]],Transactions[[#This Row],[L4N]],IF(Transactions[[#This Row],[Level 1]]=Transactions[[#This Row],[L6N]],Transactions[[#This Row],[L5N]],IF(Transactions[[#This Row],[Level 1]]=Transactions[[#This Row],[L7N]],Transactions[[#This Row],[L6N]],Transactions[[#This Row],[L7N]]))))))))</f>
        <v>Reserves of nuclear resources, Estimated additional</v>
      </c>
      <c r="AU152" s="24" t="str">
        <f>IF(Transactions[[#This Row],[Level 2]]=Transactions[[#This Row],[Transaction name]],Transactions[[#This Row],[Transaction name]],IF(Transactions[[#This Row],[Level 2]]=Transactions[[#This Row],[L1N]],Transactions[[#This Row],[Transaction name]],IF(Transactions[[#This Row],[Level 2]]=Transactions[[#This Row],[L2N]],Transactions[[#This Row],[L1N]],IF(Transactions[[#This Row],[Level 2]]=Transactions[[#This Row],[L3N]],Transactions[[#This Row],[L2N]],IF(Transactions[[#This Row],[Level 2]]=Transactions[[#This Row],[L4N]],Transactions[[#This Row],[L3N]],IF(Transactions[[#This Row],[Level 2]]=Transactions[[#This Row],[L5N]],Transactions[[#This Row],[L4N]],IF(Transactions[[#This Row],[Level 2]]=Transactions[[#This Row],[L6N]],Transactions[[#This Row],[L5N]],IF(Transactions[[#This Row],[Level 2]]=Transactions[[#This Row],[L7N]],Transactions[[#This Row],[L6N]],Transactions[[#This Row],[L7N]]))))))))</f>
        <v>Reserves of nuclear resources, Estimated additional</v>
      </c>
      <c r="AV152" s="24" t="str">
        <f>IF(Transactions[[#This Row],[Level 3]]=Transactions[[#This Row],[Transaction name]],Transactions[[#This Row],[Transaction name]],IF(Transactions[[#This Row],[Level 3]]=Transactions[[#This Row],[L1N]],Transactions[[#This Row],[Transaction name]],IF(Transactions[[#This Row],[Level 3]]=Transactions[[#This Row],[L2N]],Transactions[[#This Row],[L1N]],IF(Transactions[[#This Row],[Level 3]]=Transactions[[#This Row],[L3N]],Transactions[[#This Row],[L2N]],IF(Transactions[[#This Row],[Level 3]]=Transactions[[#This Row],[L4N]],Transactions[[#This Row],[L3N]],IF(Transactions[[#This Row],[Level 3]]=Transactions[[#This Row],[L5N]],Transactions[[#This Row],[L4N]],IF(Transactions[[#This Row],[Level 3]]=Transactions[[#This Row],[L6N]],Transactions[[#This Row],[L5N]],IF(Transactions[[#This Row],[Level 3]]=Transactions[[#This Row],[L7N]],Transactions[[#This Row],[L6N]],Transactions[[#This Row],[L7N]]))))))))</f>
        <v>Reserves of nuclear resources, Estimated additional</v>
      </c>
      <c r="AW152" s="24" t="str">
        <f>IF(Transactions[[#This Row],[Level 4]]=Transactions[[#This Row],[Transaction name]],Transactions[[#This Row],[Transaction name]],IF(Transactions[[#This Row],[Level 4]]=Transactions[[#This Row],[L1N]],Transactions[[#This Row],[Transaction name]],IF(Transactions[[#This Row],[Level 4]]=Transactions[[#This Row],[L2N]],Transactions[[#This Row],[L1N]],IF(Transactions[[#This Row],[Level 4]]=Transactions[[#This Row],[L3N]],Transactions[[#This Row],[L2N]],IF(Transactions[[#This Row],[Level 4]]=Transactions[[#This Row],[L4N]],Transactions[[#This Row],[L3N]],IF(Transactions[[#This Row],[Level 4]]=Transactions[[#This Row],[L5N]],Transactions[[#This Row],[L4N]],IF(Transactions[[#This Row],[Level 4]]=Transactions[[#This Row],[L6N]],Transactions[[#This Row],[L5N]],IF(Transactions[[#This Row],[Level 4]]=Transactions[[#This Row],[L7N]],Transactions[[#This Row],[L6N]],Transactions[[#This Row],[L7N]]))))))))</f>
        <v>Reserves of nuclear resources, Estimated additional</v>
      </c>
      <c r="AX152" s="24" t="str">
        <f>IF(Transactions[[#This Row],[Level 5]]=Transactions[[#This Row],[Transaction name]],Transactions[[#This Row],[Transaction name]],IF(Transactions[[#This Row],[Level 5]]=Transactions[[#This Row],[L1N]],Transactions[[#This Row],[Transaction name]],IF(Transactions[[#This Row],[Level 5]]=Transactions[[#This Row],[L2N]],Transactions[[#This Row],[L1N]],IF(Transactions[[#This Row],[Level 5]]=Transactions[[#This Row],[L3N]],Transactions[[#This Row],[L2N]],IF(Transactions[[#This Row],[Level 5]]=Transactions[[#This Row],[L4N]],Transactions[[#This Row],[L3N]],IF(Transactions[[#This Row],[Level 5]]=Transactions[[#This Row],[L5N]],Transactions[[#This Row],[L4N]],IF(Transactions[[#This Row],[Level 5]]=Transactions[[#This Row],[L6N]],Transactions[[#This Row],[L5N]],IF(Transactions[[#This Row],[Level 5]]=Transactions[[#This Row],[L7N]],Transactions[[#This Row],[L6N]],Transactions[[#This Row],[L7N]]))))))))</f>
        <v>Reserves of nuclear resources, Estimated additional</v>
      </c>
      <c r="AY152" s="24" t="str">
        <f>IF(Transactions[[#This Row],[Level 6]]=Transactions[[#This Row],[Transaction name]],Transactions[[#This Row],[Transaction name]],IF(Transactions[[#This Row],[Level 6]]=Transactions[[#This Row],[L1N]],Transactions[[#This Row],[Transaction name]],IF(Transactions[[#This Row],[Level 6]]=Transactions[[#This Row],[L2N]],Transactions[[#This Row],[L1N]],IF(Transactions[[#This Row],[Level 6]]=Transactions[[#This Row],[L3N]],Transactions[[#This Row],[L2N]],IF(Transactions[[#This Row],[Level 6]]=Transactions[[#This Row],[L4N]],Transactions[[#This Row],[L3N]],IF(Transactions[[#This Row],[Level 6]]=Transactions[[#This Row],[L5N]],Transactions[[#This Row],[L4N]],IF(Transactions[[#This Row],[Level 6]]=Transactions[[#This Row],[L6N]],Transactions[[#This Row],[L5N]],IF(Transactions[[#This Row],[Level 6]]=Transactions[[#This Row],[L7N]],Transactions[[#This Row],[L6N]],Transactions[[#This Row],[L7N]]))))))))</f>
        <v>Reserves of nuclear resources, Estimated additional</v>
      </c>
      <c r="BE152" s="26" t="str">
        <f>_xlfn.XLOOKUP(Transformation[[#This Row],[cfrom]],Commodities[Commodity],Commodities[Commodity code])</f>
        <v>0371</v>
      </c>
      <c r="BF152" s="26" t="str">
        <f>_xlfn.XLOOKUP(Transformation[[#This Row],[tfrom]],Transactions[Transaction name],Transactions[Transaction code])</f>
        <v>08811</v>
      </c>
      <c r="BG152" s="26" t="str">
        <f>_xlfn.XLOOKUP(Transformation[[#This Row],[cto]],Commodities[Commodity],Commodities[Commodity code])</f>
        <v>0371</v>
      </c>
      <c r="BH152" s="26" t="str">
        <f>_xlfn.XLOOKUP(Transformation[[#This Row],[tto]],Transactions[Transaction name],Transactions[Transaction code])</f>
        <v>015CGE</v>
      </c>
      <c r="BI152" s="11">
        <v>1</v>
      </c>
      <c r="BJ152" s="4" t="s">
        <v>476</v>
      </c>
      <c r="BK152" s="24" t="str">
        <f>_xlfn.XLOOKUP(Transformation[[#This Row],[Commodity from]],Commodities[Commodity code],Commodities[EnergyCode])</f>
        <v>BG</v>
      </c>
      <c r="BL152" s="4" t="s">
        <v>689</v>
      </c>
      <c r="BM152" s="4" t="s">
        <v>476</v>
      </c>
      <c r="BN152" s="24" t="str">
        <f>_xlfn.XLOOKUP(Transformation[[#This Row],[Commodity to]],Commodities[Commodity code],Commodities[EnergyCode])</f>
        <v>BG</v>
      </c>
      <c r="BO152" s="4" t="s">
        <v>1218</v>
      </c>
      <c r="BP152" s="16" t="s">
        <v>1493</v>
      </c>
      <c r="BQ152" s="33" t="str">
        <f>Transformation[[#This Row],[Commodity from]]&amp;Transformation[[#This Row],[Transaction from]]&amp;Transformation[[#This Row],[Commodity to]]&amp;Transformation[[#This Row],[Transaction to]]</f>
        <v>0371088110371015CGE</v>
      </c>
      <c r="BR152" s="26" t="str">
        <f>Transformation[[#This Row],[crfomid]]&amp;Transformation[[#This Row],[Transaction from]]&amp;"("&amp;Transformation[[#This Row],[Multiplier]]&amp;") -&gt; "&amp;Transformation[[#This Row],[ctoid]]&amp;Transformation[[#This Row],[Transaction to]]</f>
        <v>BG08811(1) -&gt; BG015CGE</v>
      </c>
    </row>
    <row r="153" spans="25:70" x14ac:dyDescent="0.45">
      <c r="Y153" s="4" t="s">
        <v>21</v>
      </c>
      <c r="Z153" s="4" t="s">
        <v>955</v>
      </c>
      <c r="AA153" s="4" t="s">
        <v>955</v>
      </c>
      <c r="AB153" s="5">
        <v>16</v>
      </c>
      <c r="AC153" s="24" t="str">
        <f>IFERROR(VLOOKUP(Transactions[[#This Row],[Parent code]],Transactions[[Transaction code]:[Transaction name]],2,0),"")</f>
        <v>Reserves</v>
      </c>
      <c r="AD153" s="4" t="s">
        <v>634</v>
      </c>
      <c r="AF153" s="4" t="s">
        <v>642</v>
      </c>
      <c r="AG153" s="4" t="s">
        <v>1</v>
      </c>
      <c r="AH153" s="4" t="s">
        <v>696</v>
      </c>
      <c r="AK153" s="24" t="str" cm="1">
        <f t="array" ref="AK153">IFERROR(INDEX(Transactions[[Transaction code]:[Transaction name]],_xlfn.XMATCH(Transactions[[#This Row],[Parent code]],Transactions[Transaction name],0),3),Transactions[[#This Row],[Transaction name]])</f>
        <v>Reserves of nuclear resources, Reasonably assured</v>
      </c>
      <c r="AL153" s="24" t="str" cm="1">
        <f t="array" ref="AL153">IFERROR(INDEX(Transactions[[Transaction code]:[Transaction name]],_xlfn.XMATCH(INDEX(Transactions[[Transaction name]:[Parent code]],_xlfn.XMATCH(Transactions[[#This Row],[L1N]],Transactions[Transaction name],0),3),Transactions[Transaction code],0),2),Transactions[[#This Row],[L1N]])</f>
        <v>Reserves</v>
      </c>
      <c r="AM153" s="24" t="str" cm="1">
        <f t="array" ref="AM153">IFERROR(INDEX(Transactions[[Transaction code]:[Transaction name]],_xlfn.XMATCH(INDEX(Transactions[[Transaction name]:[Parent code]],_xlfn.XMATCH(Transactions[[#This Row],[L2N]],Transactions[Transaction name],0),3),Transactions[Transaction code],0),2),Transactions[[#This Row],[L2N]])</f>
        <v>Reserves</v>
      </c>
      <c r="AN153" s="24" t="str" cm="1">
        <f t="array" ref="AN153">IFERROR(INDEX(Transactions[[Transaction code]:[Transaction name]],_xlfn.XMATCH(INDEX(Transactions[[Transaction name]:[Parent code]],_xlfn.XMATCH(Transactions[[#This Row],[L3N]],Transactions[Transaction name],0),3),Transactions[Transaction code],0),2),Transactions[[#This Row],[L3N]])</f>
        <v>Reserves</v>
      </c>
      <c r="AO153" s="24" t="str" cm="1">
        <f t="array" ref="AO153">IFERROR(INDEX(Transactions[[Transaction code]:[Transaction name]],_xlfn.XMATCH(INDEX(Transactions[[Transaction name]:[Parent code]],_xlfn.XMATCH(Transactions[[#This Row],[L4N]],Transactions[Transaction name],0),3),Transactions[Transaction code],0),2),Transactions[[#This Row],[L4N]])</f>
        <v>Reserves</v>
      </c>
      <c r="AP153" s="24" t="str" cm="1">
        <f t="array" ref="AP153">IFERROR(INDEX(Transactions[[Transaction code]:[Transaction name]],_xlfn.XMATCH(INDEX(Transactions[[Transaction name]:[Parent code]],_xlfn.XMATCH(Transactions[[#This Row],[L5N]],Transactions[Transaction name],0),3),Transactions[Transaction code],0),2),Transactions[[#This Row],[L5N]])</f>
        <v>Reserves</v>
      </c>
      <c r="AQ153" s="24" t="str" cm="1">
        <f t="array" ref="AQ153">IFERROR(INDEX(Transactions[[Transaction code]:[Transaction name]],_xlfn.XMATCH(INDEX(Transactions[[Transaction name]:[Parent code]],_xlfn.XMATCH(Transactions[[#This Row],[L6N]],Transactions[Transaction name],0),3),Transactions[Transaction code],0),2),Transactions[[#This Row],[L6N]])</f>
        <v>Reserves</v>
      </c>
      <c r="AR153" s="28" t="str">
        <f>IF(Transactions[[#This Row],[L7N]]=Transactions[[#This Row],[L6N]],Transactions[[#This Row],[L7N]],IF(Transactions[[#This Row],[L6N]]=Transactions[[#This Row],[L5N]],Transactions[[#This Row],[L6N]],IF(Transactions[[#This Row],[L5N]]=Transactions[[#This Row],[L4N]],Transactions[[#This Row],[L5N]],IF(Transactions[[#This Row],[L4N]]=Transactions[[#This Row],[L3N]],Transactions[[#This Row],[L4N]],IF(Transactions[[#This Row],[L3N]]=Transactions[[#This Row],[L2N]],Transactions[[#This Row],[L3N]],IF(Transactions[[#This Row],[L2N]]=Transactions[[#This Row],[L1N]],Transactions[[#This Row],[L2N]],IF(Transactions[[#This Row],[L1N]]=Transactions[[#This Row],[Transaction name]],Transactions[[#This Row],[L1N]],Transactions[[#This Row],[Transaction name]])))))))</f>
        <v>Reserves</v>
      </c>
      <c r="AS153" s="24" t="str">
        <f>IF(Transactions[[#This Row],[Level 0]]=Transactions[[#This Row],[Transaction name]],Transactions[[#This Row],[Transaction name]],IF(Transactions[[#This Row],[Level 0]]=Transactions[[#This Row],[L1N]],Transactions[[#This Row],[Transaction name]],IF(Transactions[[#This Row],[Level 0]]=Transactions[[#This Row],[L2N]],Transactions[[#This Row],[L1N]],IF(Transactions[[#This Row],[Level 0]]=Transactions[[#This Row],[L3N]],Transactions[[#This Row],[L2N]],IF(Transactions[[#This Row],[Level 0]]=Transactions[[#This Row],[L4N]],Transactions[[#This Row],[L3N]],IF(Transactions[[#This Row],[Level 0]]=Transactions[[#This Row],[L5N]],Transactions[[#This Row],[L4N]],IF(Transactions[[#This Row],[Level 0]]=Transactions[[#This Row],[L6N]],Transactions[[#This Row],[L5N]],IF(Transactions[[#This Row],[Level 0]]=Transactions[[#This Row],[L7N]],Transactions[[#This Row],[L6N]],Transactions[[#This Row],[L7N]]))))))))</f>
        <v>Reserves of nuclear resources, Reasonably assured</v>
      </c>
      <c r="AT153" s="24" t="str">
        <f>IF(Transactions[[#This Row],[Level 1]]=Transactions[[#This Row],[Transaction name]],Transactions[[#This Row],[Transaction name]],IF(Transactions[[#This Row],[Level 1]]=Transactions[[#This Row],[L1N]],Transactions[[#This Row],[Transaction name]],IF(Transactions[[#This Row],[Level 1]]=Transactions[[#This Row],[L2N]],Transactions[[#This Row],[L1N]],IF(Transactions[[#This Row],[Level 1]]=Transactions[[#This Row],[L3N]],Transactions[[#This Row],[L2N]],IF(Transactions[[#This Row],[Level 1]]=Transactions[[#This Row],[L4N]],Transactions[[#This Row],[L3N]],IF(Transactions[[#This Row],[Level 1]]=Transactions[[#This Row],[L5N]],Transactions[[#This Row],[L4N]],IF(Transactions[[#This Row],[Level 1]]=Transactions[[#This Row],[L6N]],Transactions[[#This Row],[L5N]],IF(Transactions[[#This Row],[Level 1]]=Transactions[[#This Row],[L7N]],Transactions[[#This Row],[L6N]],Transactions[[#This Row],[L7N]]))))))))</f>
        <v>Reserves of nuclear resources, Reasonably assured</v>
      </c>
      <c r="AU153" s="24" t="str">
        <f>IF(Transactions[[#This Row],[Level 2]]=Transactions[[#This Row],[Transaction name]],Transactions[[#This Row],[Transaction name]],IF(Transactions[[#This Row],[Level 2]]=Transactions[[#This Row],[L1N]],Transactions[[#This Row],[Transaction name]],IF(Transactions[[#This Row],[Level 2]]=Transactions[[#This Row],[L2N]],Transactions[[#This Row],[L1N]],IF(Transactions[[#This Row],[Level 2]]=Transactions[[#This Row],[L3N]],Transactions[[#This Row],[L2N]],IF(Transactions[[#This Row],[Level 2]]=Transactions[[#This Row],[L4N]],Transactions[[#This Row],[L3N]],IF(Transactions[[#This Row],[Level 2]]=Transactions[[#This Row],[L5N]],Transactions[[#This Row],[L4N]],IF(Transactions[[#This Row],[Level 2]]=Transactions[[#This Row],[L6N]],Transactions[[#This Row],[L5N]],IF(Transactions[[#This Row],[Level 2]]=Transactions[[#This Row],[L7N]],Transactions[[#This Row],[L6N]],Transactions[[#This Row],[L7N]]))))))))</f>
        <v>Reserves of nuclear resources, Reasonably assured</v>
      </c>
      <c r="AV153" s="24" t="str">
        <f>IF(Transactions[[#This Row],[Level 3]]=Transactions[[#This Row],[Transaction name]],Transactions[[#This Row],[Transaction name]],IF(Transactions[[#This Row],[Level 3]]=Transactions[[#This Row],[L1N]],Transactions[[#This Row],[Transaction name]],IF(Transactions[[#This Row],[Level 3]]=Transactions[[#This Row],[L2N]],Transactions[[#This Row],[L1N]],IF(Transactions[[#This Row],[Level 3]]=Transactions[[#This Row],[L3N]],Transactions[[#This Row],[L2N]],IF(Transactions[[#This Row],[Level 3]]=Transactions[[#This Row],[L4N]],Transactions[[#This Row],[L3N]],IF(Transactions[[#This Row],[Level 3]]=Transactions[[#This Row],[L5N]],Transactions[[#This Row],[L4N]],IF(Transactions[[#This Row],[Level 3]]=Transactions[[#This Row],[L6N]],Transactions[[#This Row],[L5N]],IF(Transactions[[#This Row],[Level 3]]=Transactions[[#This Row],[L7N]],Transactions[[#This Row],[L6N]],Transactions[[#This Row],[L7N]]))))))))</f>
        <v>Reserves of nuclear resources, Reasonably assured</v>
      </c>
      <c r="AW153" s="24" t="str">
        <f>IF(Transactions[[#This Row],[Level 4]]=Transactions[[#This Row],[Transaction name]],Transactions[[#This Row],[Transaction name]],IF(Transactions[[#This Row],[Level 4]]=Transactions[[#This Row],[L1N]],Transactions[[#This Row],[Transaction name]],IF(Transactions[[#This Row],[Level 4]]=Transactions[[#This Row],[L2N]],Transactions[[#This Row],[L1N]],IF(Transactions[[#This Row],[Level 4]]=Transactions[[#This Row],[L3N]],Transactions[[#This Row],[L2N]],IF(Transactions[[#This Row],[Level 4]]=Transactions[[#This Row],[L4N]],Transactions[[#This Row],[L3N]],IF(Transactions[[#This Row],[Level 4]]=Transactions[[#This Row],[L5N]],Transactions[[#This Row],[L4N]],IF(Transactions[[#This Row],[Level 4]]=Transactions[[#This Row],[L6N]],Transactions[[#This Row],[L5N]],IF(Transactions[[#This Row],[Level 4]]=Transactions[[#This Row],[L7N]],Transactions[[#This Row],[L6N]],Transactions[[#This Row],[L7N]]))))))))</f>
        <v>Reserves of nuclear resources, Reasonably assured</v>
      </c>
      <c r="AX153" s="24" t="str">
        <f>IF(Transactions[[#This Row],[Level 5]]=Transactions[[#This Row],[Transaction name]],Transactions[[#This Row],[Transaction name]],IF(Transactions[[#This Row],[Level 5]]=Transactions[[#This Row],[L1N]],Transactions[[#This Row],[Transaction name]],IF(Transactions[[#This Row],[Level 5]]=Transactions[[#This Row],[L2N]],Transactions[[#This Row],[L1N]],IF(Transactions[[#This Row],[Level 5]]=Transactions[[#This Row],[L3N]],Transactions[[#This Row],[L2N]],IF(Transactions[[#This Row],[Level 5]]=Transactions[[#This Row],[L4N]],Transactions[[#This Row],[L3N]],IF(Transactions[[#This Row],[Level 5]]=Transactions[[#This Row],[L5N]],Transactions[[#This Row],[L4N]],IF(Transactions[[#This Row],[Level 5]]=Transactions[[#This Row],[L6N]],Transactions[[#This Row],[L5N]],IF(Transactions[[#This Row],[Level 5]]=Transactions[[#This Row],[L7N]],Transactions[[#This Row],[L6N]],Transactions[[#This Row],[L7N]]))))))))</f>
        <v>Reserves of nuclear resources, Reasonably assured</v>
      </c>
      <c r="AY153" s="24" t="str">
        <f>IF(Transactions[[#This Row],[Level 6]]=Transactions[[#This Row],[Transaction name]],Transactions[[#This Row],[Transaction name]],IF(Transactions[[#This Row],[Level 6]]=Transactions[[#This Row],[L1N]],Transactions[[#This Row],[Transaction name]],IF(Transactions[[#This Row],[Level 6]]=Transactions[[#This Row],[L2N]],Transactions[[#This Row],[L1N]],IF(Transactions[[#This Row],[Level 6]]=Transactions[[#This Row],[L3N]],Transactions[[#This Row],[L2N]],IF(Transactions[[#This Row],[Level 6]]=Transactions[[#This Row],[L4N]],Transactions[[#This Row],[L3N]],IF(Transactions[[#This Row],[Level 6]]=Transactions[[#This Row],[L5N]],Transactions[[#This Row],[L4N]],IF(Transactions[[#This Row],[Level 6]]=Transactions[[#This Row],[L6N]],Transactions[[#This Row],[L5N]],IF(Transactions[[#This Row],[Level 6]]=Transactions[[#This Row],[L7N]],Transactions[[#This Row],[L6N]],Transactions[[#This Row],[L7N]]))))))))</f>
        <v>Reserves of nuclear resources, Reasonably assured</v>
      </c>
      <c r="BE153" s="26" t="str">
        <f>_xlfn.XLOOKUP(Transformation[[#This Row],[cfrom]],Commodities[Commodity],Commodities[Commodity code])</f>
        <v>5300</v>
      </c>
      <c r="BF153" s="26" t="str">
        <f>_xlfn.XLOOKUP(Transformation[[#This Row],[tfrom]],Transactions[Transaction name],Transactions[Transaction code])</f>
        <v>08811</v>
      </c>
      <c r="BG153" s="26" t="str">
        <f>_xlfn.XLOOKUP(Transformation[[#This Row],[cto]],Commodities[Commodity],Commodities[Commodity code])</f>
        <v>5300</v>
      </c>
      <c r="BH153" s="26" t="str">
        <f>_xlfn.XLOOKUP(Transformation[[#This Row],[tto]],Transactions[Transaction name],Transactions[Transaction code])</f>
        <v>015BGE</v>
      </c>
      <c r="BI153" s="11">
        <v>1</v>
      </c>
      <c r="BJ153" s="4" t="s">
        <v>298</v>
      </c>
      <c r="BK153" s="24" t="str">
        <f>_xlfn.XLOOKUP(Transformation[[#This Row],[Commodity from]],Commodities[Commodity code],Commodities[EnergyCode])</f>
        <v>BI</v>
      </c>
      <c r="BL153" s="4" t="s">
        <v>689</v>
      </c>
      <c r="BM153" s="4" t="s">
        <v>298</v>
      </c>
      <c r="BN153" s="24" t="str">
        <f>_xlfn.XLOOKUP(Transformation[[#This Row],[Commodity to]],Commodities[Commodity code],Commodities[EnergyCode])</f>
        <v>BI</v>
      </c>
      <c r="BO153" s="4" t="s">
        <v>1067</v>
      </c>
      <c r="BP153" s="16" t="s">
        <v>1493</v>
      </c>
      <c r="BQ153" s="33" t="str">
        <f>Transformation[[#This Row],[Commodity from]]&amp;Transformation[[#This Row],[Transaction from]]&amp;Transformation[[#This Row],[Commodity to]]&amp;Transformation[[#This Row],[Transaction to]]</f>
        <v>5300088115300015BGE</v>
      </c>
      <c r="BR153" s="26" t="str">
        <f>Transformation[[#This Row],[crfomid]]&amp;Transformation[[#This Row],[Transaction from]]&amp;"("&amp;Transformation[[#This Row],[Multiplier]]&amp;") -&gt; "&amp;Transformation[[#This Row],[ctoid]]&amp;Transformation[[#This Row],[Transaction to]]</f>
        <v>BI08811(1) -&gt; BI015BGE</v>
      </c>
    </row>
    <row r="154" spans="25:70" x14ac:dyDescent="0.45">
      <c r="Y154" s="4" t="s">
        <v>22</v>
      </c>
      <c r="Z154" s="4" t="s">
        <v>954</v>
      </c>
      <c r="AA154" s="4" t="s">
        <v>954</v>
      </c>
      <c r="AB154" s="5">
        <v>16</v>
      </c>
      <c r="AC154" s="24" t="str">
        <f>IFERROR(VLOOKUP(Transactions[[#This Row],[Parent code]],Transactions[[Transaction code]:[Transaction name]],2,0),"")</f>
        <v>Reserves</v>
      </c>
      <c r="AD154" s="4" t="s">
        <v>634</v>
      </c>
      <c r="AF154" s="4" t="s">
        <v>642</v>
      </c>
      <c r="AG154" s="4" t="s">
        <v>1</v>
      </c>
      <c r="AH154" s="4" t="s">
        <v>696</v>
      </c>
      <c r="AK154" s="24" t="str" cm="1">
        <f t="array" ref="AK154">IFERROR(INDEX(Transactions[[Transaction code]:[Transaction name]],_xlfn.XMATCH(Transactions[[#This Row],[Parent code]],Transactions[Transaction name],0),3),Transactions[[#This Row],[Transaction name]])</f>
        <v>Total resources of gases</v>
      </c>
      <c r="AL154" s="24" t="str" cm="1">
        <f t="array" ref="AL154">IFERROR(INDEX(Transactions[[Transaction code]:[Transaction name]],_xlfn.XMATCH(INDEX(Transactions[[Transaction name]:[Parent code]],_xlfn.XMATCH(Transactions[[#This Row],[L1N]],Transactions[Transaction name],0),3),Transactions[Transaction code],0),2),Transactions[[#This Row],[L1N]])</f>
        <v>Reserves</v>
      </c>
      <c r="AM154" s="24" t="str" cm="1">
        <f t="array" ref="AM154">IFERROR(INDEX(Transactions[[Transaction code]:[Transaction name]],_xlfn.XMATCH(INDEX(Transactions[[Transaction name]:[Parent code]],_xlfn.XMATCH(Transactions[[#This Row],[L2N]],Transactions[Transaction name],0),3),Transactions[Transaction code],0),2),Transactions[[#This Row],[L2N]])</f>
        <v>Reserves</v>
      </c>
      <c r="AN154" s="24" t="str" cm="1">
        <f t="array" ref="AN154">IFERROR(INDEX(Transactions[[Transaction code]:[Transaction name]],_xlfn.XMATCH(INDEX(Transactions[[Transaction name]:[Parent code]],_xlfn.XMATCH(Transactions[[#This Row],[L3N]],Transactions[Transaction name],0),3),Transactions[Transaction code],0),2),Transactions[[#This Row],[L3N]])</f>
        <v>Reserves</v>
      </c>
      <c r="AO154" s="24" t="str" cm="1">
        <f t="array" ref="AO154">IFERROR(INDEX(Transactions[[Transaction code]:[Transaction name]],_xlfn.XMATCH(INDEX(Transactions[[Transaction name]:[Parent code]],_xlfn.XMATCH(Transactions[[#This Row],[L4N]],Transactions[Transaction name],0),3),Transactions[Transaction code],0),2),Transactions[[#This Row],[L4N]])</f>
        <v>Reserves</v>
      </c>
      <c r="AP154" s="24" t="str" cm="1">
        <f t="array" ref="AP154">IFERROR(INDEX(Transactions[[Transaction code]:[Transaction name]],_xlfn.XMATCH(INDEX(Transactions[[Transaction name]:[Parent code]],_xlfn.XMATCH(Transactions[[#This Row],[L5N]],Transactions[Transaction name],0),3),Transactions[Transaction code],0),2),Transactions[[#This Row],[L5N]])</f>
        <v>Reserves</v>
      </c>
      <c r="AQ154" s="24" t="str" cm="1">
        <f t="array" ref="AQ154">IFERROR(INDEX(Transactions[[Transaction code]:[Transaction name]],_xlfn.XMATCH(INDEX(Transactions[[Transaction name]:[Parent code]],_xlfn.XMATCH(Transactions[[#This Row],[L6N]],Transactions[Transaction name],0),3),Transactions[Transaction code],0),2),Transactions[[#This Row],[L6N]])</f>
        <v>Reserves</v>
      </c>
      <c r="AR154" s="28" t="str">
        <f>IF(Transactions[[#This Row],[L7N]]=Transactions[[#This Row],[L6N]],Transactions[[#This Row],[L7N]],IF(Transactions[[#This Row],[L6N]]=Transactions[[#This Row],[L5N]],Transactions[[#This Row],[L6N]],IF(Transactions[[#This Row],[L5N]]=Transactions[[#This Row],[L4N]],Transactions[[#This Row],[L5N]],IF(Transactions[[#This Row],[L4N]]=Transactions[[#This Row],[L3N]],Transactions[[#This Row],[L4N]],IF(Transactions[[#This Row],[L3N]]=Transactions[[#This Row],[L2N]],Transactions[[#This Row],[L3N]],IF(Transactions[[#This Row],[L2N]]=Transactions[[#This Row],[L1N]],Transactions[[#This Row],[L2N]],IF(Transactions[[#This Row],[L1N]]=Transactions[[#This Row],[Transaction name]],Transactions[[#This Row],[L1N]],Transactions[[#This Row],[Transaction name]])))))))</f>
        <v>Reserves</v>
      </c>
      <c r="AS154" s="24" t="str">
        <f>IF(Transactions[[#This Row],[Level 0]]=Transactions[[#This Row],[Transaction name]],Transactions[[#This Row],[Transaction name]],IF(Transactions[[#This Row],[Level 0]]=Transactions[[#This Row],[L1N]],Transactions[[#This Row],[Transaction name]],IF(Transactions[[#This Row],[Level 0]]=Transactions[[#This Row],[L2N]],Transactions[[#This Row],[L1N]],IF(Transactions[[#This Row],[Level 0]]=Transactions[[#This Row],[L3N]],Transactions[[#This Row],[L2N]],IF(Transactions[[#This Row],[Level 0]]=Transactions[[#This Row],[L4N]],Transactions[[#This Row],[L3N]],IF(Transactions[[#This Row],[Level 0]]=Transactions[[#This Row],[L5N]],Transactions[[#This Row],[L4N]],IF(Transactions[[#This Row],[Level 0]]=Transactions[[#This Row],[L6N]],Transactions[[#This Row],[L5N]],IF(Transactions[[#This Row],[Level 0]]=Transactions[[#This Row],[L7N]],Transactions[[#This Row],[L6N]],Transactions[[#This Row],[L7N]]))))))))</f>
        <v>Total resources of gases</v>
      </c>
      <c r="AT154" s="24" t="str">
        <f>IF(Transactions[[#This Row],[Level 1]]=Transactions[[#This Row],[Transaction name]],Transactions[[#This Row],[Transaction name]],IF(Transactions[[#This Row],[Level 1]]=Transactions[[#This Row],[L1N]],Transactions[[#This Row],[Transaction name]],IF(Transactions[[#This Row],[Level 1]]=Transactions[[#This Row],[L2N]],Transactions[[#This Row],[L1N]],IF(Transactions[[#This Row],[Level 1]]=Transactions[[#This Row],[L3N]],Transactions[[#This Row],[L2N]],IF(Transactions[[#This Row],[Level 1]]=Transactions[[#This Row],[L4N]],Transactions[[#This Row],[L3N]],IF(Transactions[[#This Row],[Level 1]]=Transactions[[#This Row],[L5N]],Transactions[[#This Row],[L4N]],IF(Transactions[[#This Row],[Level 1]]=Transactions[[#This Row],[L6N]],Transactions[[#This Row],[L5N]],IF(Transactions[[#This Row],[Level 1]]=Transactions[[#This Row],[L7N]],Transactions[[#This Row],[L6N]],Transactions[[#This Row],[L7N]]))))))))</f>
        <v>Total resources of gases</v>
      </c>
      <c r="AU154" s="24" t="str">
        <f>IF(Transactions[[#This Row],[Level 2]]=Transactions[[#This Row],[Transaction name]],Transactions[[#This Row],[Transaction name]],IF(Transactions[[#This Row],[Level 2]]=Transactions[[#This Row],[L1N]],Transactions[[#This Row],[Transaction name]],IF(Transactions[[#This Row],[Level 2]]=Transactions[[#This Row],[L2N]],Transactions[[#This Row],[L1N]],IF(Transactions[[#This Row],[Level 2]]=Transactions[[#This Row],[L3N]],Transactions[[#This Row],[L2N]],IF(Transactions[[#This Row],[Level 2]]=Transactions[[#This Row],[L4N]],Transactions[[#This Row],[L3N]],IF(Transactions[[#This Row],[Level 2]]=Transactions[[#This Row],[L5N]],Transactions[[#This Row],[L4N]],IF(Transactions[[#This Row],[Level 2]]=Transactions[[#This Row],[L6N]],Transactions[[#This Row],[L5N]],IF(Transactions[[#This Row],[Level 2]]=Transactions[[#This Row],[L7N]],Transactions[[#This Row],[L6N]],Transactions[[#This Row],[L7N]]))))))))</f>
        <v>Total resources of gases</v>
      </c>
      <c r="AV154" s="24" t="str">
        <f>IF(Transactions[[#This Row],[Level 3]]=Transactions[[#This Row],[Transaction name]],Transactions[[#This Row],[Transaction name]],IF(Transactions[[#This Row],[Level 3]]=Transactions[[#This Row],[L1N]],Transactions[[#This Row],[Transaction name]],IF(Transactions[[#This Row],[Level 3]]=Transactions[[#This Row],[L2N]],Transactions[[#This Row],[L1N]],IF(Transactions[[#This Row],[Level 3]]=Transactions[[#This Row],[L3N]],Transactions[[#This Row],[L2N]],IF(Transactions[[#This Row],[Level 3]]=Transactions[[#This Row],[L4N]],Transactions[[#This Row],[L3N]],IF(Transactions[[#This Row],[Level 3]]=Transactions[[#This Row],[L5N]],Transactions[[#This Row],[L4N]],IF(Transactions[[#This Row],[Level 3]]=Transactions[[#This Row],[L6N]],Transactions[[#This Row],[L5N]],IF(Transactions[[#This Row],[Level 3]]=Transactions[[#This Row],[L7N]],Transactions[[#This Row],[L6N]],Transactions[[#This Row],[L7N]]))))))))</f>
        <v>Total resources of gases</v>
      </c>
      <c r="AW154" s="24" t="str">
        <f>IF(Transactions[[#This Row],[Level 4]]=Transactions[[#This Row],[Transaction name]],Transactions[[#This Row],[Transaction name]],IF(Transactions[[#This Row],[Level 4]]=Transactions[[#This Row],[L1N]],Transactions[[#This Row],[Transaction name]],IF(Transactions[[#This Row],[Level 4]]=Transactions[[#This Row],[L2N]],Transactions[[#This Row],[L1N]],IF(Transactions[[#This Row],[Level 4]]=Transactions[[#This Row],[L3N]],Transactions[[#This Row],[L2N]],IF(Transactions[[#This Row],[Level 4]]=Transactions[[#This Row],[L4N]],Transactions[[#This Row],[L3N]],IF(Transactions[[#This Row],[Level 4]]=Transactions[[#This Row],[L5N]],Transactions[[#This Row],[L4N]],IF(Transactions[[#This Row],[Level 4]]=Transactions[[#This Row],[L6N]],Transactions[[#This Row],[L5N]],IF(Transactions[[#This Row],[Level 4]]=Transactions[[#This Row],[L7N]],Transactions[[#This Row],[L6N]],Transactions[[#This Row],[L7N]]))))))))</f>
        <v>Total resources of gases</v>
      </c>
      <c r="AX154" s="24" t="str">
        <f>IF(Transactions[[#This Row],[Level 5]]=Transactions[[#This Row],[Transaction name]],Transactions[[#This Row],[Transaction name]],IF(Transactions[[#This Row],[Level 5]]=Transactions[[#This Row],[L1N]],Transactions[[#This Row],[Transaction name]],IF(Transactions[[#This Row],[Level 5]]=Transactions[[#This Row],[L2N]],Transactions[[#This Row],[L1N]],IF(Transactions[[#This Row],[Level 5]]=Transactions[[#This Row],[L3N]],Transactions[[#This Row],[L2N]],IF(Transactions[[#This Row],[Level 5]]=Transactions[[#This Row],[L4N]],Transactions[[#This Row],[L3N]],IF(Transactions[[#This Row],[Level 5]]=Transactions[[#This Row],[L5N]],Transactions[[#This Row],[L4N]],IF(Transactions[[#This Row],[Level 5]]=Transactions[[#This Row],[L6N]],Transactions[[#This Row],[L5N]],IF(Transactions[[#This Row],[Level 5]]=Transactions[[#This Row],[L7N]],Transactions[[#This Row],[L6N]],Transactions[[#This Row],[L7N]]))))))))</f>
        <v>Total resources of gases</v>
      </c>
      <c r="AY154" s="24" t="str">
        <f>IF(Transactions[[#This Row],[Level 6]]=Transactions[[#This Row],[Transaction name]],Transactions[[#This Row],[Transaction name]],IF(Transactions[[#This Row],[Level 6]]=Transactions[[#This Row],[L1N]],Transactions[[#This Row],[Transaction name]],IF(Transactions[[#This Row],[Level 6]]=Transactions[[#This Row],[L2N]],Transactions[[#This Row],[L1N]],IF(Transactions[[#This Row],[Level 6]]=Transactions[[#This Row],[L3N]],Transactions[[#This Row],[L2N]],IF(Transactions[[#This Row],[Level 6]]=Transactions[[#This Row],[L4N]],Transactions[[#This Row],[L3N]],IF(Transactions[[#This Row],[Level 6]]=Transactions[[#This Row],[L5N]],Transactions[[#This Row],[L4N]],IF(Transactions[[#This Row],[Level 6]]=Transactions[[#This Row],[L6N]],Transactions[[#This Row],[L5N]],IF(Transactions[[#This Row],[Level 6]]=Transactions[[#This Row],[L7N]],Transactions[[#This Row],[L6N]],Transactions[[#This Row],[L7N]]))))))))</f>
        <v>Total resources of gases</v>
      </c>
      <c r="BE154" s="26" t="str">
        <f>_xlfn.XLOOKUP(Transformation[[#This Row],[cfrom]],Commodities[Commodity],Commodities[Commodity code])</f>
        <v>0379</v>
      </c>
      <c r="BF154" s="26" t="str">
        <f>_xlfn.XLOOKUP(Transformation[[#This Row],[tfrom]],Transactions[Transaction name],Transactions[Transaction code])</f>
        <v>08811</v>
      </c>
      <c r="BG154" s="26" t="str">
        <f>_xlfn.XLOOKUP(Transformation[[#This Row],[cto]],Commodities[Commodity],Commodities[Commodity code])</f>
        <v>0379</v>
      </c>
      <c r="BH154" s="26" t="str">
        <f>_xlfn.XLOOKUP(Transformation[[#This Row],[tto]],Transactions[Transaction name],Transactions[Transaction code])</f>
        <v>015CGE</v>
      </c>
      <c r="BI154" s="11">
        <v>1</v>
      </c>
      <c r="BJ154" s="4" t="s">
        <v>472</v>
      </c>
      <c r="BK154" s="24" t="str">
        <f>_xlfn.XLOOKUP(Transformation[[#This Row],[Commodity from]],Commodities[Commodity code],Commodities[EnergyCode])</f>
        <v>BO</v>
      </c>
      <c r="BL154" s="4" t="s">
        <v>689</v>
      </c>
      <c r="BM154" s="4" t="s">
        <v>472</v>
      </c>
      <c r="BN154" s="24" t="str">
        <f>_xlfn.XLOOKUP(Transformation[[#This Row],[Commodity to]],Commodities[Commodity code],Commodities[EnergyCode])</f>
        <v>BO</v>
      </c>
      <c r="BO154" s="4" t="s">
        <v>1218</v>
      </c>
      <c r="BP154" s="16" t="s">
        <v>1493</v>
      </c>
      <c r="BQ154" s="33" t="str">
        <f>Transformation[[#This Row],[Commodity from]]&amp;Transformation[[#This Row],[Transaction from]]&amp;Transformation[[#This Row],[Commodity to]]&amp;Transformation[[#This Row],[Transaction to]]</f>
        <v>0379088110379015CGE</v>
      </c>
      <c r="BR154" s="26" t="str">
        <f>Transformation[[#This Row],[crfomid]]&amp;Transformation[[#This Row],[Transaction from]]&amp;"("&amp;Transformation[[#This Row],[Multiplier]]&amp;") -&gt; "&amp;Transformation[[#This Row],[ctoid]]&amp;Transformation[[#This Row],[Transaction to]]</f>
        <v>BO08811(1) -&gt; BO015CGE</v>
      </c>
    </row>
    <row r="155" spans="25:70" x14ac:dyDescent="0.45">
      <c r="Y155" s="6" t="s">
        <v>633</v>
      </c>
      <c r="Z155" s="4" t="s">
        <v>542</v>
      </c>
      <c r="AA155" s="4" t="s">
        <v>542</v>
      </c>
      <c r="AC155" s="24"/>
      <c r="AD155" s="4" t="s">
        <v>542</v>
      </c>
      <c r="AE155" s="4" t="s">
        <v>542</v>
      </c>
      <c r="AF155" s="4" t="s">
        <v>642</v>
      </c>
      <c r="AG155" s="4" t="s">
        <v>1</v>
      </c>
      <c r="AH155" s="4" t="s">
        <v>696</v>
      </c>
      <c r="AK155" s="24" t="str" cm="1">
        <f t="array" ref="AK155">IFERROR(INDEX(Transactions[[Transaction code]:[Transaction name]],_xlfn.XMATCH(Transactions[[#This Row],[Parent code]],Transactions[Transaction name],0),3),Transactions[[#This Row],[Transaction name]])</f>
        <v>Statistical differences</v>
      </c>
      <c r="AL155" s="24" t="str" cm="1">
        <f t="array" ref="AL155">IFERROR(INDEX(Transactions[[Transaction code]:[Transaction name]],_xlfn.XMATCH(INDEX(Transactions[[Transaction name]:[Parent code]],_xlfn.XMATCH(Transactions[[#This Row],[L1N]],Transactions[Transaction name],0),3),Transactions[Transaction code],0),2),Transactions[[#This Row],[L1N]])</f>
        <v>Statistical differences</v>
      </c>
      <c r="AM155" s="24" t="str" cm="1">
        <f t="array" ref="AM155">IFERROR(INDEX(Transactions[[Transaction code]:[Transaction name]],_xlfn.XMATCH(INDEX(Transactions[[Transaction name]:[Parent code]],_xlfn.XMATCH(Transactions[[#This Row],[L2N]],Transactions[Transaction name],0),3),Transactions[Transaction code],0),2),Transactions[[#This Row],[L2N]])</f>
        <v>Statistical differences</v>
      </c>
      <c r="AN155" s="24" t="str" cm="1">
        <f t="array" ref="AN155">IFERROR(INDEX(Transactions[[Transaction code]:[Transaction name]],_xlfn.XMATCH(INDEX(Transactions[[Transaction name]:[Parent code]],_xlfn.XMATCH(Transactions[[#This Row],[L3N]],Transactions[Transaction name],0),3),Transactions[Transaction code],0),2),Transactions[[#This Row],[L3N]])</f>
        <v>Statistical differences</v>
      </c>
      <c r="AO155" s="24" t="str" cm="1">
        <f t="array" ref="AO155">IFERROR(INDEX(Transactions[[Transaction code]:[Transaction name]],_xlfn.XMATCH(INDEX(Transactions[[Transaction name]:[Parent code]],_xlfn.XMATCH(Transactions[[#This Row],[L4N]],Transactions[Transaction name],0),3),Transactions[Transaction code],0),2),Transactions[[#This Row],[L4N]])</f>
        <v>Statistical differences</v>
      </c>
      <c r="AP155" s="24" t="str" cm="1">
        <f t="array" ref="AP155">IFERROR(INDEX(Transactions[[Transaction code]:[Transaction name]],_xlfn.XMATCH(INDEX(Transactions[[Transaction name]:[Parent code]],_xlfn.XMATCH(Transactions[[#This Row],[L5N]],Transactions[Transaction name],0),3),Transactions[Transaction code],0),2),Transactions[[#This Row],[L5N]])</f>
        <v>Statistical differences</v>
      </c>
      <c r="AQ155" s="24" t="str" cm="1">
        <f t="array" ref="AQ155">IFERROR(INDEX(Transactions[[Transaction code]:[Transaction name]],_xlfn.XMATCH(INDEX(Transactions[[Transaction name]:[Parent code]],_xlfn.XMATCH(Transactions[[#This Row],[L6N]],Transactions[Transaction name],0),3),Transactions[Transaction code],0),2),Transactions[[#This Row],[L6N]])</f>
        <v>Statistical differences</v>
      </c>
      <c r="AR155" s="28" t="str">
        <f>IF(Transactions[[#This Row],[L7N]]=Transactions[[#This Row],[L6N]],Transactions[[#This Row],[L7N]],IF(Transactions[[#This Row],[L6N]]=Transactions[[#This Row],[L5N]],Transactions[[#This Row],[L6N]],IF(Transactions[[#This Row],[L5N]]=Transactions[[#This Row],[L4N]],Transactions[[#This Row],[L5N]],IF(Transactions[[#This Row],[L4N]]=Transactions[[#This Row],[L3N]],Transactions[[#This Row],[L4N]],IF(Transactions[[#This Row],[L3N]]=Transactions[[#This Row],[L2N]],Transactions[[#This Row],[L3N]],IF(Transactions[[#This Row],[L2N]]=Transactions[[#This Row],[L1N]],Transactions[[#This Row],[L2N]],IF(Transactions[[#This Row],[L1N]]=Transactions[[#This Row],[Transaction name]],Transactions[[#This Row],[L1N]],Transactions[[#This Row],[Transaction name]])))))))</f>
        <v>Statistical differences</v>
      </c>
      <c r="AS155" s="24" t="str">
        <f>IF(Transactions[[#This Row],[Level 0]]=Transactions[[#This Row],[Transaction name]],Transactions[[#This Row],[Transaction name]],IF(Transactions[[#This Row],[Level 0]]=Transactions[[#This Row],[L1N]],Transactions[[#This Row],[Transaction name]],IF(Transactions[[#This Row],[Level 0]]=Transactions[[#This Row],[L2N]],Transactions[[#This Row],[L1N]],IF(Transactions[[#This Row],[Level 0]]=Transactions[[#This Row],[L3N]],Transactions[[#This Row],[L2N]],IF(Transactions[[#This Row],[Level 0]]=Transactions[[#This Row],[L4N]],Transactions[[#This Row],[L3N]],IF(Transactions[[#This Row],[Level 0]]=Transactions[[#This Row],[L5N]],Transactions[[#This Row],[L4N]],IF(Transactions[[#This Row],[Level 0]]=Transactions[[#This Row],[L6N]],Transactions[[#This Row],[L5N]],IF(Transactions[[#This Row],[Level 0]]=Transactions[[#This Row],[L7N]],Transactions[[#This Row],[L6N]],Transactions[[#This Row],[L7N]]))))))))</f>
        <v>Statistical differences</v>
      </c>
      <c r="AT155" s="24" t="str">
        <f>IF(Transactions[[#This Row],[Level 1]]=Transactions[[#This Row],[Transaction name]],Transactions[[#This Row],[Transaction name]],IF(Transactions[[#This Row],[Level 1]]=Transactions[[#This Row],[L1N]],Transactions[[#This Row],[Transaction name]],IF(Transactions[[#This Row],[Level 1]]=Transactions[[#This Row],[L2N]],Transactions[[#This Row],[L1N]],IF(Transactions[[#This Row],[Level 1]]=Transactions[[#This Row],[L3N]],Transactions[[#This Row],[L2N]],IF(Transactions[[#This Row],[Level 1]]=Transactions[[#This Row],[L4N]],Transactions[[#This Row],[L3N]],IF(Transactions[[#This Row],[Level 1]]=Transactions[[#This Row],[L5N]],Transactions[[#This Row],[L4N]],IF(Transactions[[#This Row],[Level 1]]=Transactions[[#This Row],[L6N]],Transactions[[#This Row],[L5N]],IF(Transactions[[#This Row],[Level 1]]=Transactions[[#This Row],[L7N]],Transactions[[#This Row],[L6N]],Transactions[[#This Row],[L7N]]))))))))</f>
        <v>Statistical differences</v>
      </c>
      <c r="AU155" s="24" t="str">
        <f>IF(Transactions[[#This Row],[Level 2]]=Transactions[[#This Row],[Transaction name]],Transactions[[#This Row],[Transaction name]],IF(Transactions[[#This Row],[Level 2]]=Transactions[[#This Row],[L1N]],Transactions[[#This Row],[Transaction name]],IF(Transactions[[#This Row],[Level 2]]=Transactions[[#This Row],[L2N]],Transactions[[#This Row],[L1N]],IF(Transactions[[#This Row],[Level 2]]=Transactions[[#This Row],[L3N]],Transactions[[#This Row],[L2N]],IF(Transactions[[#This Row],[Level 2]]=Transactions[[#This Row],[L4N]],Transactions[[#This Row],[L3N]],IF(Transactions[[#This Row],[Level 2]]=Transactions[[#This Row],[L5N]],Transactions[[#This Row],[L4N]],IF(Transactions[[#This Row],[Level 2]]=Transactions[[#This Row],[L6N]],Transactions[[#This Row],[L5N]],IF(Transactions[[#This Row],[Level 2]]=Transactions[[#This Row],[L7N]],Transactions[[#This Row],[L6N]],Transactions[[#This Row],[L7N]]))))))))</f>
        <v>Statistical differences</v>
      </c>
      <c r="AV155" s="24" t="str">
        <f>IF(Transactions[[#This Row],[Level 3]]=Transactions[[#This Row],[Transaction name]],Transactions[[#This Row],[Transaction name]],IF(Transactions[[#This Row],[Level 3]]=Transactions[[#This Row],[L1N]],Transactions[[#This Row],[Transaction name]],IF(Transactions[[#This Row],[Level 3]]=Transactions[[#This Row],[L2N]],Transactions[[#This Row],[L1N]],IF(Transactions[[#This Row],[Level 3]]=Transactions[[#This Row],[L3N]],Transactions[[#This Row],[L2N]],IF(Transactions[[#This Row],[Level 3]]=Transactions[[#This Row],[L4N]],Transactions[[#This Row],[L3N]],IF(Transactions[[#This Row],[Level 3]]=Transactions[[#This Row],[L5N]],Transactions[[#This Row],[L4N]],IF(Transactions[[#This Row],[Level 3]]=Transactions[[#This Row],[L6N]],Transactions[[#This Row],[L5N]],IF(Transactions[[#This Row],[Level 3]]=Transactions[[#This Row],[L7N]],Transactions[[#This Row],[L6N]],Transactions[[#This Row],[L7N]]))))))))</f>
        <v>Statistical differences</v>
      </c>
      <c r="AW155" s="24" t="str">
        <f>IF(Transactions[[#This Row],[Level 4]]=Transactions[[#This Row],[Transaction name]],Transactions[[#This Row],[Transaction name]],IF(Transactions[[#This Row],[Level 4]]=Transactions[[#This Row],[L1N]],Transactions[[#This Row],[Transaction name]],IF(Transactions[[#This Row],[Level 4]]=Transactions[[#This Row],[L2N]],Transactions[[#This Row],[L1N]],IF(Transactions[[#This Row],[Level 4]]=Transactions[[#This Row],[L3N]],Transactions[[#This Row],[L2N]],IF(Transactions[[#This Row],[Level 4]]=Transactions[[#This Row],[L4N]],Transactions[[#This Row],[L3N]],IF(Transactions[[#This Row],[Level 4]]=Transactions[[#This Row],[L5N]],Transactions[[#This Row],[L4N]],IF(Transactions[[#This Row],[Level 4]]=Transactions[[#This Row],[L6N]],Transactions[[#This Row],[L5N]],IF(Transactions[[#This Row],[Level 4]]=Transactions[[#This Row],[L7N]],Transactions[[#This Row],[L6N]],Transactions[[#This Row],[L7N]]))))))))</f>
        <v>Statistical differences</v>
      </c>
      <c r="AX155" s="24" t="str">
        <f>IF(Transactions[[#This Row],[Level 5]]=Transactions[[#This Row],[Transaction name]],Transactions[[#This Row],[Transaction name]],IF(Transactions[[#This Row],[Level 5]]=Transactions[[#This Row],[L1N]],Transactions[[#This Row],[Transaction name]],IF(Transactions[[#This Row],[Level 5]]=Transactions[[#This Row],[L2N]],Transactions[[#This Row],[L1N]],IF(Transactions[[#This Row],[Level 5]]=Transactions[[#This Row],[L3N]],Transactions[[#This Row],[L2N]],IF(Transactions[[#This Row],[Level 5]]=Transactions[[#This Row],[L4N]],Transactions[[#This Row],[L3N]],IF(Transactions[[#This Row],[Level 5]]=Transactions[[#This Row],[L5N]],Transactions[[#This Row],[L4N]],IF(Transactions[[#This Row],[Level 5]]=Transactions[[#This Row],[L6N]],Transactions[[#This Row],[L5N]],IF(Transactions[[#This Row],[Level 5]]=Transactions[[#This Row],[L7N]],Transactions[[#This Row],[L6N]],Transactions[[#This Row],[L7N]]))))))))</f>
        <v>Statistical differences</v>
      </c>
      <c r="AY155" s="24" t="str">
        <f>IF(Transactions[[#This Row],[Level 6]]=Transactions[[#This Row],[Transaction name]],Transactions[[#This Row],[Transaction name]],IF(Transactions[[#This Row],[Level 6]]=Transactions[[#This Row],[L1N]],Transactions[[#This Row],[Transaction name]],IF(Transactions[[#This Row],[Level 6]]=Transactions[[#This Row],[L2N]],Transactions[[#This Row],[L1N]],IF(Transactions[[#This Row],[Level 6]]=Transactions[[#This Row],[L3N]],Transactions[[#This Row],[L2N]],IF(Transactions[[#This Row],[Level 6]]=Transactions[[#This Row],[L4N]],Transactions[[#This Row],[L3N]],IF(Transactions[[#This Row],[Level 6]]=Transactions[[#This Row],[L5N]],Transactions[[#This Row],[L4N]],IF(Transactions[[#This Row],[Level 6]]=Transactions[[#This Row],[L6N]],Transactions[[#This Row],[L5N]],IF(Transactions[[#This Row],[Level 6]]=Transactions[[#This Row],[L7N]],Transactions[[#This Row],[L6N]],Transactions[[#This Row],[L7N]]))))))))</f>
        <v>Statistical differences</v>
      </c>
      <c r="BE155" s="26" t="str">
        <f>_xlfn.XLOOKUP(Transformation[[#This Row],[cfrom]],Commodities[Commodity],Commodities[Commodity code])</f>
        <v>1200</v>
      </c>
      <c r="BF155" s="26" t="str">
        <f>_xlfn.XLOOKUP(Transformation[[#This Row],[tfrom]],Transactions[Transaction name],Transactions[Transaction code])</f>
        <v>08811</v>
      </c>
      <c r="BG155" s="26" t="str">
        <f>_xlfn.XLOOKUP(Transformation[[#This Row],[cto]],Commodities[Commodity],Commodities[Commodity code])</f>
        <v>1200</v>
      </c>
      <c r="BH155" s="26" t="str">
        <f>_xlfn.XLOOKUP(Transformation[[#This Row],[tto]],Transactions[Transaction name],Transactions[Transaction code])</f>
        <v>015PTE</v>
      </c>
      <c r="BI155" s="11">
        <v>1</v>
      </c>
      <c r="BJ155" s="4" t="s">
        <v>455</v>
      </c>
      <c r="BK155" s="24" t="str">
        <f>_xlfn.XLOOKUP(Transformation[[#This Row],[Commodity from]],Commodities[Commodity code],Commodities[EnergyCode])</f>
        <v>BP</v>
      </c>
      <c r="BL155" s="4" t="s">
        <v>689</v>
      </c>
      <c r="BM155" s="4" t="s">
        <v>455</v>
      </c>
      <c r="BN155" s="24" t="str">
        <f>_xlfn.XLOOKUP(Transformation[[#This Row],[Commodity to]],Commodities[Commodity code],Commodities[EnergyCode])</f>
        <v>BP</v>
      </c>
      <c r="BO155" s="4" t="s">
        <v>1202</v>
      </c>
      <c r="BP155" s="16" t="s">
        <v>1493</v>
      </c>
      <c r="BQ155" s="33" t="str">
        <f>Transformation[[#This Row],[Commodity from]]&amp;Transformation[[#This Row],[Transaction from]]&amp;Transformation[[#This Row],[Commodity to]]&amp;Transformation[[#This Row],[Transaction to]]</f>
        <v>1200088111200015PTE</v>
      </c>
      <c r="BR155" s="26" t="str">
        <f>Transformation[[#This Row],[crfomid]]&amp;Transformation[[#This Row],[Transaction from]]&amp;"("&amp;Transformation[[#This Row],[Multiplier]]&amp;") -&gt; "&amp;Transformation[[#This Row],[ctoid]]&amp;Transformation[[#This Row],[Transaction to]]</f>
        <v>BP08811(1) -&gt; BP015PTE</v>
      </c>
    </row>
    <row r="156" spans="25:70" x14ac:dyDescent="0.45">
      <c r="Y156" s="5" t="s">
        <v>199</v>
      </c>
      <c r="Z156" s="4" t="s">
        <v>198</v>
      </c>
      <c r="AA156" s="4" t="s">
        <v>198</v>
      </c>
      <c r="AB156" s="4" t="s">
        <v>8</v>
      </c>
      <c r="AC156" s="24" t="str">
        <f>IFERROR(VLOOKUP(Transactions[[#This Row],[Parent code]],Transactions[[Transaction code]:[Transaction name]],2,0),"")</f>
        <v>Total energy supply</v>
      </c>
      <c r="AD156" s="4" t="s">
        <v>631</v>
      </c>
      <c r="AE156" s="4" t="s">
        <v>198</v>
      </c>
      <c r="AF156" s="4" t="s">
        <v>643</v>
      </c>
      <c r="AG156" s="4" t="s">
        <v>1</v>
      </c>
      <c r="AH156" s="4" t="s">
        <v>695</v>
      </c>
      <c r="AK156" s="24" t="str" cm="1">
        <f t="array" ref="AK156">IFERROR(INDEX(Transactions[[Transaction code]:[Transaction name]],_xlfn.XMATCH(Transactions[[#This Row],[Parent code]],Transactions[Transaction name],0),3),Transactions[[#This Row],[Transaction name]])</f>
        <v>Exports</v>
      </c>
      <c r="AL156" s="24" t="str" cm="1">
        <f t="array" ref="AL156">IFERROR(INDEX(Transactions[[Transaction code]:[Transaction name]],_xlfn.XMATCH(INDEX(Transactions[[Transaction name]:[Parent code]],_xlfn.XMATCH(Transactions[[#This Row],[L1N]],Transactions[Transaction name],0),3),Transactions[Transaction code],0),2),Transactions[[#This Row],[L1N]])</f>
        <v>Total energy supply</v>
      </c>
      <c r="AM156" s="24" t="str" cm="1">
        <f t="array" ref="AM156">IFERROR(INDEX(Transactions[[Transaction code]:[Transaction name]],_xlfn.XMATCH(INDEX(Transactions[[Transaction name]:[Parent code]],_xlfn.XMATCH(Transactions[[#This Row],[L2N]],Transactions[Transaction name],0),3),Transactions[Transaction code],0),2),Transactions[[#This Row],[L2N]])</f>
        <v>Total energy supply</v>
      </c>
      <c r="AN156" s="24" t="str" cm="1">
        <f t="array" ref="AN156">IFERROR(INDEX(Transactions[[Transaction code]:[Transaction name]],_xlfn.XMATCH(INDEX(Transactions[[Transaction name]:[Parent code]],_xlfn.XMATCH(Transactions[[#This Row],[L3N]],Transactions[Transaction name],0),3),Transactions[Transaction code],0),2),Transactions[[#This Row],[L3N]])</f>
        <v>Total energy supply</v>
      </c>
      <c r="AO156" s="24" t="str" cm="1">
        <f t="array" ref="AO156">IFERROR(INDEX(Transactions[[Transaction code]:[Transaction name]],_xlfn.XMATCH(INDEX(Transactions[[Transaction name]:[Parent code]],_xlfn.XMATCH(Transactions[[#This Row],[L4N]],Transactions[Transaction name],0),3),Transactions[Transaction code],0),2),Transactions[[#This Row],[L4N]])</f>
        <v>Total energy supply</v>
      </c>
      <c r="AP156" s="24" t="str" cm="1">
        <f t="array" ref="AP156">IFERROR(INDEX(Transactions[[Transaction code]:[Transaction name]],_xlfn.XMATCH(INDEX(Transactions[[Transaction name]:[Parent code]],_xlfn.XMATCH(Transactions[[#This Row],[L5N]],Transactions[Transaction name],0),3),Transactions[Transaction code],0),2),Transactions[[#This Row],[L5N]])</f>
        <v>Total energy supply</v>
      </c>
      <c r="AQ156" s="24" t="str" cm="1">
        <f t="array" ref="AQ156">IFERROR(INDEX(Transactions[[Transaction code]:[Transaction name]],_xlfn.XMATCH(INDEX(Transactions[[Transaction name]:[Parent code]],_xlfn.XMATCH(Transactions[[#This Row],[L6N]],Transactions[Transaction name],0),3),Transactions[Transaction code],0),2),Transactions[[#This Row],[L6N]])</f>
        <v>Total energy supply</v>
      </c>
      <c r="AR156" s="28" t="str">
        <f>IF(Transactions[[#This Row],[L7N]]=Transactions[[#This Row],[L6N]],Transactions[[#This Row],[L7N]],IF(Transactions[[#This Row],[L6N]]=Transactions[[#This Row],[L5N]],Transactions[[#This Row],[L6N]],IF(Transactions[[#This Row],[L5N]]=Transactions[[#This Row],[L4N]],Transactions[[#This Row],[L5N]],IF(Transactions[[#This Row],[L4N]]=Transactions[[#This Row],[L3N]],Transactions[[#This Row],[L4N]],IF(Transactions[[#This Row],[L3N]]=Transactions[[#This Row],[L2N]],Transactions[[#This Row],[L3N]],IF(Transactions[[#This Row],[L2N]]=Transactions[[#This Row],[L1N]],Transactions[[#This Row],[L2N]],IF(Transactions[[#This Row],[L1N]]=Transactions[[#This Row],[Transaction name]],Transactions[[#This Row],[L1N]],Transactions[[#This Row],[Transaction name]])))))))</f>
        <v>Total energy supply</v>
      </c>
      <c r="AS156" s="24" t="str">
        <f>IF(Transactions[[#This Row],[Level 0]]=Transactions[[#This Row],[Transaction name]],Transactions[[#This Row],[Transaction name]],IF(Transactions[[#This Row],[Level 0]]=Transactions[[#This Row],[L1N]],Transactions[[#This Row],[Transaction name]],IF(Transactions[[#This Row],[Level 0]]=Transactions[[#This Row],[L2N]],Transactions[[#This Row],[L1N]],IF(Transactions[[#This Row],[Level 0]]=Transactions[[#This Row],[L3N]],Transactions[[#This Row],[L2N]],IF(Transactions[[#This Row],[Level 0]]=Transactions[[#This Row],[L4N]],Transactions[[#This Row],[L3N]],IF(Transactions[[#This Row],[Level 0]]=Transactions[[#This Row],[L5N]],Transactions[[#This Row],[L4N]],IF(Transactions[[#This Row],[Level 0]]=Transactions[[#This Row],[L6N]],Transactions[[#This Row],[L5N]],IF(Transactions[[#This Row],[Level 0]]=Transactions[[#This Row],[L7N]],Transactions[[#This Row],[L6N]],Transactions[[#This Row],[L7N]]))))))))</f>
        <v>Exports</v>
      </c>
      <c r="AT156" s="24" t="str">
        <f>IF(Transactions[[#This Row],[Level 1]]=Transactions[[#This Row],[Transaction name]],Transactions[[#This Row],[Transaction name]],IF(Transactions[[#This Row],[Level 1]]=Transactions[[#This Row],[L1N]],Transactions[[#This Row],[Transaction name]],IF(Transactions[[#This Row],[Level 1]]=Transactions[[#This Row],[L2N]],Transactions[[#This Row],[L1N]],IF(Transactions[[#This Row],[Level 1]]=Transactions[[#This Row],[L3N]],Transactions[[#This Row],[L2N]],IF(Transactions[[#This Row],[Level 1]]=Transactions[[#This Row],[L4N]],Transactions[[#This Row],[L3N]],IF(Transactions[[#This Row],[Level 1]]=Transactions[[#This Row],[L5N]],Transactions[[#This Row],[L4N]],IF(Transactions[[#This Row],[Level 1]]=Transactions[[#This Row],[L6N]],Transactions[[#This Row],[L5N]],IF(Transactions[[#This Row],[Level 1]]=Transactions[[#This Row],[L7N]],Transactions[[#This Row],[L6N]],Transactions[[#This Row],[L7N]]))))))))</f>
        <v>Exports</v>
      </c>
      <c r="AU156" s="24" t="str">
        <f>IF(Transactions[[#This Row],[Level 2]]=Transactions[[#This Row],[Transaction name]],Transactions[[#This Row],[Transaction name]],IF(Transactions[[#This Row],[Level 2]]=Transactions[[#This Row],[L1N]],Transactions[[#This Row],[Transaction name]],IF(Transactions[[#This Row],[Level 2]]=Transactions[[#This Row],[L2N]],Transactions[[#This Row],[L1N]],IF(Transactions[[#This Row],[Level 2]]=Transactions[[#This Row],[L3N]],Transactions[[#This Row],[L2N]],IF(Transactions[[#This Row],[Level 2]]=Transactions[[#This Row],[L4N]],Transactions[[#This Row],[L3N]],IF(Transactions[[#This Row],[Level 2]]=Transactions[[#This Row],[L5N]],Transactions[[#This Row],[L4N]],IF(Transactions[[#This Row],[Level 2]]=Transactions[[#This Row],[L6N]],Transactions[[#This Row],[L5N]],IF(Transactions[[#This Row],[Level 2]]=Transactions[[#This Row],[L7N]],Transactions[[#This Row],[L6N]],Transactions[[#This Row],[L7N]]))))))))</f>
        <v>Exports</v>
      </c>
      <c r="AV156" s="24" t="str">
        <f>IF(Transactions[[#This Row],[Level 3]]=Transactions[[#This Row],[Transaction name]],Transactions[[#This Row],[Transaction name]],IF(Transactions[[#This Row],[Level 3]]=Transactions[[#This Row],[L1N]],Transactions[[#This Row],[Transaction name]],IF(Transactions[[#This Row],[Level 3]]=Transactions[[#This Row],[L2N]],Transactions[[#This Row],[L1N]],IF(Transactions[[#This Row],[Level 3]]=Transactions[[#This Row],[L3N]],Transactions[[#This Row],[L2N]],IF(Transactions[[#This Row],[Level 3]]=Transactions[[#This Row],[L4N]],Transactions[[#This Row],[L3N]],IF(Transactions[[#This Row],[Level 3]]=Transactions[[#This Row],[L5N]],Transactions[[#This Row],[L4N]],IF(Transactions[[#This Row],[Level 3]]=Transactions[[#This Row],[L6N]],Transactions[[#This Row],[L5N]],IF(Transactions[[#This Row],[Level 3]]=Transactions[[#This Row],[L7N]],Transactions[[#This Row],[L6N]],Transactions[[#This Row],[L7N]]))))))))</f>
        <v>Exports</v>
      </c>
      <c r="AW156" s="24" t="str">
        <f>IF(Transactions[[#This Row],[Level 4]]=Transactions[[#This Row],[Transaction name]],Transactions[[#This Row],[Transaction name]],IF(Transactions[[#This Row],[Level 4]]=Transactions[[#This Row],[L1N]],Transactions[[#This Row],[Transaction name]],IF(Transactions[[#This Row],[Level 4]]=Transactions[[#This Row],[L2N]],Transactions[[#This Row],[L1N]],IF(Transactions[[#This Row],[Level 4]]=Transactions[[#This Row],[L3N]],Transactions[[#This Row],[L2N]],IF(Transactions[[#This Row],[Level 4]]=Transactions[[#This Row],[L4N]],Transactions[[#This Row],[L3N]],IF(Transactions[[#This Row],[Level 4]]=Transactions[[#This Row],[L5N]],Transactions[[#This Row],[L4N]],IF(Transactions[[#This Row],[Level 4]]=Transactions[[#This Row],[L6N]],Transactions[[#This Row],[L5N]],IF(Transactions[[#This Row],[Level 4]]=Transactions[[#This Row],[L7N]],Transactions[[#This Row],[L6N]],Transactions[[#This Row],[L7N]]))))))))</f>
        <v>Exports</v>
      </c>
      <c r="AX156" s="24" t="str">
        <f>IF(Transactions[[#This Row],[Level 5]]=Transactions[[#This Row],[Transaction name]],Transactions[[#This Row],[Transaction name]],IF(Transactions[[#This Row],[Level 5]]=Transactions[[#This Row],[L1N]],Transactions[[#This Row],[Transaction name]],IF(Transactions[[#This Row],[Level 5]]=Transactions[[#This Row],[L2N]],Transactions[[#This Row],[L1N]],IF(Transactions[[#This Row],[Level 5]]=Transactions[[#This Row],[L3N]],Transactions[[#This Row],[L2N]],IF(Transactions[[#This Row],[Level 5]]=Transactions[[#This Row],[L4N]],Transactions[[#This Row],[L3N]],IF(Transactions[[#This Row],[Level 5]]=Transactions[[#This Row],[L5N]],Transactions[[#This Row],[L4N]],IF(Transactions[[#This Row],[Level 5]]=Transactions[[#This Row],[L6N]],Transactions[[#This Row],[L5N]],IF(Transactions[[#This Row],[Level 5]]=Transactions[[#This Row],[L7N]],Transactions[[#This Row],[L6N]],Transactions[[#This Row],[L7N]]))))))))</f>
        <v>Exports</v>
      </c>
      <c r="AY156" s="24" t="str">
        <f>IF(Transactions[[#This Row],[Level 6]]=Transactions[[#This Row],[Transaction name]],Transactions[[#This Row],[Transaction name]],IF(Transactions[[#This Row],[Level 6]]=Transactions[[#This Row],[L1N]],Transactions[[#This Row],[Transaction name]],IF(Transactions[[#This Row],[Level 6]]=Transactions[[#This Row],[L2N]],Transactions[[#This Row],[L1N]],IF(Transactions[[#This Row],[Level 6]]=Transactions[[#This Row],[L3N]],Transactions[[#This Row],[L2N]],IF(Transactions[[#This Row],[Level 6]]=Transactions[[#This Row],[L4N]],Transactions[[#This Row],[L3N]],IF(Transactions[[#This Row],[Level 6]]=Transactions[[#This Row],[L5N]],Transactions[[#This Row],[L4N]],IF(Transactions[[#This Row],[Level 6]]=Transactions[[#This Row],[L6N]],Transactions[[#This Row],[L5N]],IF(Transactions[[#This Row],[Level 6]]=Transactions[[#This Row],[L7N]],Transactions[[#This Row],[L6N]],Transactions[[#This Row],[L7N]]))))))))</f>
        <v>Exports</v>
      </c>
      <c r="BE156" s="26" t="str">
        <f>_xlfn.XLOOKUP(Transformation[[#This Row],[cfrom]],Commodities[Commodity],Commodities[Commodity code])</f>
        <v>5120</v>
      </c>
      <c r="BF156" s="26" t="str">
        <f>_xlfn.XLOOKUP(Transformation[[#This Row],[tfrom]],Transactions[Transaction name],Transactions[Transaction code])</f>
        <v>08811</v>
      </c>
      <c r="BG156" s="26" t="str">
        <f>_xlfn.XLOOKUP(Transformation[[#This Row],[cto]],Commodities[Commodity],Commodities[Commodity code])</f>
        <v>5120</v>
      </c>
      <c r="BH156" s="26" t="str">
        <f>_xlfn.XLOOKUP(Transformation[[#This Row],[tto]],Transactions[Transaction name],Transactions[Transaction code])</f>
        <v>015BE</v>
      </c>
      <c r="BI156" s="11">
        <v>1</v>
      </c>
      <c r="BJ156" s="4" t="s">
        <v>337</v>
      </c>
      <c r="BK156" s="24" t="str">
        <f>_xlfn.XLOOKUP(Transformation[[#This Row],[Commodity from]],Commodities[Commodity code],Commodities[EnergyCode])</f>
        <v>BS</v>
      </c>
      <c r="BL156" s="4" t="s">
        <v>689</v>
      </c>
      <c r="BM156" s="4" t="s">
        <v>337</v>
      </c>
      <c r="BN156" s="24" t="str">
        <f>_xlfn.XLOOKUP(Transformation[[#This Row],[Commodity to]],Commodities[Commodity code],Commodities[EnergyCode])</f>
        <v>BS</v>
      </c>
      <c r="BO156" s="4" t="s">
        <v>1059</v>
      </c>
      <c r="BP156" s="16" t="s">
        <v>1493</v>
      </c>
      <c r="BQ156" s="33" t="str">
        <f>Transformation[[#This Row],[Commodity from]]&amp;Transformation[[#This Row],[Transaction from]]&amp;Transformation[[#This Row],[Commodity to]]&amp;Transformation[[#This Row],[Transaction to]]</f>
        <v>5120088115120015BE</v>
      </c>
      <c r="BR156" s="26" t="str">
        <f>Transformation[[#This Row],[crfomid]]&amp;Transformation[[#This Row],[Transaction from]]&amp;"("&amp;Transformation[[#This Row],[Multiplier]]&amp;") -&gt; "&amp;Transformation[[#This Row],[ctoid]]&amp;Transformation[[#This Row],[Transaction to]]</f>
        <v>BS08811(1) -&gt; BS015BE</v>
      </c>
    </row>
    <row r="157" spans="25:70" x14ac:dyDescent="0.45">
      <c r="Y157" s="5" t="s">
        <v>201</v>
      </c>
      <c r="Z157" s="4" t="s">
        <v>200</v>
      </c>
      <c r="AA157" s="4" t="s">
        <v>200</v>
      </c>
      <c r="AB157" s="6" t="s">
        <v>8</v>
      </c>
      <c r="AC157" s="24" t="str">
        <f>IFERROR(VLOOKUP(Transactions[[#This Row],[Parent code]],Transactions[[Transaction code]:[Transaction name]],2,0),"")</f>
        <v>Total energy supply</v>
      </c>
      <c r="AD157" s="4" t="s">
        <v>631</v>
      </c>
      <c r="AE157" s="4" t="s">
        <v>200</v>
      </c>
      <c r="AF157" s="4" t="s">
        <v>644</v>
      </c>
      <c r="AG157" s="4" t="s">
        <v>1</v>
      </c>
      <c r="AH157" s="4" t="s">
        <v>696</v>
      </c>
      <c r="AK157" s="24" t="str" cm="1">
        <f t="array" ref="AK157">IFERROR(INDEX(Transactions[[Transaction code]:[Transaction name]],_xlfn.XMATCH(Transactions[[#This Row],[Parent code]],Transactions[Transaction name],0),3),Transactions[[#This Row],[Transaction name]])</f>
        <v>Imports</v>
      </c>
      <c r="AL157" s="24" t="str" cm="1">
        <f t="array" ref="AL157">IFERROR(INDEX(Transactions[[Transaction code]:[Transaction name]],_xlfn.XMATCH(INDEX(Transactions[[Transaction name]:[Parent code]],_xlfn.XMATCH(Transactions[[#This Row],[L1N]],Transactions[Transaction name],0),3),Transactions[Transaction code],0),2),Transactions[[#This Row],[L1N]])</f>
        <v>Total energy supply</v>
      </c>
      <c r="AM157" s="24" t="str" cm="1">
        <f t="array" ref="AM157">IFERROR(INDEX(Transactions[[Transaction code]:[Transaction name]],_xlfn.XMATCH(INDEX(Transactions[[Transaction name]:[Parent code]],_xlfn.XMATCH(Transactions[[#This Row],[L2N]],Transactions[Transaction name],0),3),Transactions[Transaction code],0),2),Transactions[[#This Row],[L2N]])</f>
        <v>Total energy supply</v>
      </c>
      <c r="AN157" s="24" t="str" cm="1">
        <f t="array" ref="AN157">IFERROR(INDEX(Transactions[[Transaction code]:[Transaction name]],_xlfn.XMATCH(INDEX(Transactions[[Transaction name]:[Parent code]],_xlfn.XMATCH(Transactions[[#This Row],[L3N]],Transactions[Transaction name],0),3),Transactions[Transaction code],0),2),Transactions[[#This Row],[L3N]])</f>
        <v>Total energy supply</v>
      </c>
      <c r="AO157" s="24" t="str" cm="1">
        <f t="array" ref="AO157">IFERROR(INDEX(Transactions[[Transaction code]:[Transaction name]],_xlfn.XMATCH(INDEX(Transactions[[Transaction name]:[Parent code]],_xlfn.XMATCH(Transactions[[#This Row],[L4N]],Transactions[Transaction name],0),3),Transactions[Transaction code],0),2),Transactions[[#This Row],[L4N]])</f>
        <v>Total energy supply</v>
      </c>
      <c r="AP157" s="24" t="str" cm="1">
        <f t="array" ref="AP157">IFERROR(INDEX(Transactions[[Transaction code]:[Transaction name]],_xlfn.XMATCH(INDEX(Transactions[[Transaction name]:[Parent code]],_xlfn.XMATCH(Transactions[[#This Row],[L5N]],Transactions[Transaction name],0),3),Transactions[Transaction code],0),2),Transactions[[#This Row],[L5N]])</f>
        <v>Total energy supply</v>
      </c>
      <c r="AQ157" s="24" t="str" cm="1">
        <f t="array" ref="AQ157">IFERROR(INDEX(Transactions[[Transaction code]:[Transaction name]],_xlfn.XMATCH(INDEX(Transactions[[Transaction name]:[Parent code]],_xlfn.XMATCH(Transactions[[#This Row],[L6N]],Transactions[Transaction name],0),3),Transactions[Transaction code],0),2),Transactions[[#This Row],[L6N]])</f>
        <v>Total energy supply</v>
      </c>
      <c r="AR157" s="28" t="str">
        <f>IF(Transactions[[#This Row],[L7N]]=Transactions[[#This Row],[L6N]],Transactions[[#This Row],[L7N]],IF(Transactions[[#This Row],[L6N]]=Transactions[[#This Row],[L5N]],Transactions[[#This Row],[L6N]],IF(Transactions[[#This Row],[L5N]]=Transactions[[#This Row],[L4N]],Transactions[[#This Row],[L5N]],IF(Transactions[[#This Row],[L4N]]=Transactions[[#This Row],[L3N]],Transactions[[#This Row],[L4N]],IF(Transactions[[#This Row],[L3N]]=Transactions[[#This Row],[L2N]],Transactions[[#This Row],[L3N]],IF(Transactions[[#This Row],[L2N]]=Transactions[[#This Row],[L1N]],Transactions[[#This Row],[L2N]],IF(Transactions[[#This Row],[L1N]]=Transactions[[#This Row],[Transaction name]],Transactions[[#This Row],[L1N]],Transactions[[#This Row],[Transaction name]])))))))</f>
        <v>Total energy supply</v>
      </c>
      <c r="AS157" s="24" t="str">
        <f>IF(Transactions[[#This Row],[Level 0]]=Transactions[[#This Row],[Transaction name]],Transactions[[#This Row],[Transaction name]],IF(Transactions[[#This Row],[Level 0]]=Transactions[[#This Row],[L1N]],Transactions[[#This Row],[Transaction name]],IF(Transactions[[#This Row],[Level 0]]=Transactions[[#This Row],[L2N]],Transactions[[#This Row],[L1N]],IF(Transactions[[#This Row],[Level 0]]=Transactions[[#This Row],[L3N]],Transactions[[#This Row],[L2N]],IF(Transactions[[#This Row],[Level 0]]=Transactions[[#This Row],[L4N]],Transactions[[#This Row],[L3N]],IF(Transactions[[#This Row],[Level 0]]=Transactions[[#This Row],[L5N]],Transactions[[#This Row],[L4N]],IF(Transactions[[#This Row],[Level 0]]=Transactions[[#This Row],[L6N]],Transactions[[#This Row],[L5N]],IF(Transactions[[#This Row],[Level 0]]=Transactions[[#This Row],[L7N]],Transactions[[#This Row],[L6N]],Transactions[[#This Row],[L7N]]))))))))</f>
        <v>Imports</v>
      </c>
      <c r="AT157" s="24" t="str">
        <f>IF(Transactions[[#This Row],[Level 1]]=Transactions[[#This Row],[Transaction name]],Transactions[[#This Row],[Transaction name]],IF(Transactions[[#This Row],[Level 1]]=Transactions[[#This Row],[L1N]],Transactions[[#This Row],[Transaction name]],IF(Transactions[[#This Row],[Level 1]]=Transactions[[#This Row],[L2N]],Transactions[[#This Row],[L1N]],IF(Transactions[[#This Row],[Level 1]]=Transactions[[#This Row],[L3N]],Transactions[[#This Row],[L2N]],IF(Transactions[[#This Row],[Level 1]]=Transactions[[#This Row],[L4N]],Transactions[[#This Row],[L3N]],IF(Transactions[[#This Row],[Level 1]]=Transactions[[#This Row],[L5N]],Transactions[[#This Row],[L4N]],IF(Transactions[[#This Row],[Level 1]]=Transactions[[#This Row],[L6N]],Transactions[[#This Row],[L5N]],IF(Transactions[[#This Row],[Level 1]]=Transactions[[#This Row],[L7N]],Transactions[[#This Row],[L6N]],Transactions[[#This Row],[L7N]]))))))))</f>
        <v>Imports</v>
      </c>
      <c r="AU157" s="24" t="str">
        <f>IF(Transactions[[#This Row],[Level 2]]=Transactions[[#This Row],[Transaction name]],Transactions[[#This Row],[Transaction name]],IF(Transactions[[#This Row],[Level 2]]=Transactions[[#This Row],[L1N]],Transactions[[#This Row],[Transaction name]],IF(Transactions[[#This Row],[Level 2]]=Transactions[[#This Row],[L2N]],Transactions[[#This Row],[L1N]],IF(Transactions[[#This Row],[Level 2]]=Transactions[[#This Row],[L3N]],Transactions[[#This Row],[L2N]],IF(Transactions[[#This Row],[Level 2]]=Transactions[[#This Row],[L4N]],Transactions[[#This Row],[L3N]],IF(Transactions[[#This Row],[Level 2]]=Transactions[[#This Row],[L5N]],Transactions[[#This Row],[L4N]],IF(Transactions[[#This Row],[Level 2]]=Transactions[[#This Row],[L6N]],Transactions[[#This Row],[L5N]],IF(Transactions[[#This Row],[Level 2]]=Transactions[[#This Row],[L7N]],Transactions[[#This Row],[L6N]],Transactions[[#This Row],[L7N]]))))))))</f>
        <v>Imports</v>
      </c>
      <c r="AV157" s="24" t="str">
        <f>IF(Transactions[[#This Row],[Level 3]]=Transactions[[#This Row],[Transaction name]],Transactions[[#This Row],[Transaction name]],IF(Transactions[[#This Row],[Level 3]]=Transactions[[#This Row],[L1N]],Transactions[[#This Row],[Transaction name]],IF(Transactions[[#This Row],[Level 3]]=Transactions[[#This Row],[L2N]],Transactions[[#This Row],[L1N]],IF(Transactions[[#This Row],[Level 3]]=Transactions[[#This Row],[L3N]],Transactions[[#This Row],[L2N]],IF(Transactions[[#This Row],[Level 3]]=Transactions[[#This Row],[L4N]],Transactions[[#This Row],[L3N]],IF(Transactions[[#This Row],[Level 3]]=Transactions[[#This Row],[L5N]],Transactions[[#This Row],[L4N]],IF(Transactions[[#This Row],[Level 3]]=Transactions[[#This Row],[L6N]],Transactions[[#This Row],[L5N]],IF(Transactions[[#This Row],[Level 3]]=Transactions[[#This Row],[L7N]],Transactions[[#This Row],[L6N]],Transactions[[#This Row],[L7N]]))))))))</f>
        <v>Imports</v>
      </c>
      <c r="AW157" s="24" t="str">
        <f>IF(Transactions[[#This Row],[Level 4]]=Transactions[[#This Row],[Transaction name]],Transactions[[#This Row],[Transaction name]],IF(Transactions[[#This Row],[Level 4]]=Transactions[[#This Row],[L1N]],Transactions[[#This Row],[Transaction name]],IF(Transactions[[#This Row],[Level 4]]=Transactions[[#This Row],[L2N]],Transactions[[#This Row],[L1N]],IF(Transactions[[#This Row],[Level 4]]=Transactions[[#This Row],[L3N]],Transactions[[#This Row],[L2N]],IF(Transactions[[#This Row],[Level 4]]=Transactions[[#This Row],[L4N]],Transactions[[#This Row],[L3N]],IF(Transactions[[#This Row],[Level 4]]=Transactions[[#This Row],[L5N]],Transactions[[#This Row],[L4N]],IF(Transactions[[#This Row],[Level 4]]=Transactions[[#This Row],[L6N]],Transactions[[#This Row],[L5N]],IF(Transactions[[#This Row],[Level 4]]=Transactions[[#This Row],[L7N]],Transactions[[#This Row],[L6N]],Transactions[[#This Row],[L7N]]))))))))</f>
        <v>Imports</v>
      </c>
      <c r="AX157" s="24" t="str">
        <f>IF(Transactions[[#This Row],[Level 5]]=Transactions[[#This Row],[Transaction name]],Transactions[[#This Row],[Transaction name]],IF(Transactions[[#This Row],[Level 5]]=Transactions[[#This Row],[L1N]],Transactions[[#This Row],[Transaction name]],IF(Transactions[[#This Row],[Level 5]]=Transactions[[#This Row],[L2N]],Transactions[[#This Row],[L1N]],IF(Transactions[[#This Row],[Level 5]]=Transactions[[#This Row],[L3N]],Transactions[[#This Row],[L2N]],IF(Transactions[[#This Row],[Level 5]]=Transactions[[#This Row],[L4N]],Transactions[[#This Row],[L3N]],IF(Transactions[[#This Row],[Level 5]]=Transactions[[#This Row],[L5N]],Transactions[[#This Row],[L4N]],IF(Transactions[[#This Row],[Level 5]]=Transactions[[#This Row],[L6N]],Transactions[[#This Row],[L5N]],IF(Transactions[[#This Row],[Level 5]]=Transactions[[#This Row],[L7N]],Transactions[[#This Row],[L6N]],Transactions[[#This Row],[L7N]]))))))))</f>
        <v>Imports</v>
      </c>
      <c r="AY157" s="24" t="str">
        <f>IF(Transactions[[#This Row],[Level 6]]=Transactions[[#This Row],[Transaction name]],Transactions[[#This Row],[Transaction name]],IF(Transactions[[#This Row],[Level 6]]=Transactions[[#This Row],[L1N]],Transactions[[#This Row],[Transaction name]],IF(Transactions[[#This Row],[Level 6]]=Transactions[[#This Row],[L2N]],Transactions[[#This Row],[L1N]],IF(Transactions[[#This Row],[Level 6]]=Transactions[[#This Row],[L3N]],Transactions[[#This Row],[L2N]],IF(Transactions[[#This Row],[Level 6]]=Transactions[[#This Row],[L4N]],Transactions[[#This Row],[L3N]],IF(Transactions[[#This Row],[Level 6]]=Transactions[[#This Row],[L5N]],Transactions[[#This Row],[L4N]],IF(Transactions[[#This Row],[Level 6]]=Transactions[[#This Row],[L6N]],Transactions[[#This Row],[L5N]],IF(Transactions[[#This Row],[Level 6]]=Transactions[[#This Row],[L7N]],Transactions[[#This Row],[L6N]],Transactions[[#This Row],[L7N]]))))))))</f>
        <v>Imports</v>
      </c>
      <c r="BE157" s="26" t="str">
        <f>_xlfn.XLOOKUP(Transformation[[#This Row],[cfrom]],Commodities[Commodity],Commodities[Commodity code])</f>
        <v>4695</v>
      </c>
      <c r="BF157" s="26" t="str">
        <f>_xlfn.XLOOKUP(Transformation[[#This Row],[tfrom]],Transactions[Transaction name],Transactions[Transaction code])</f>
        <v>08811</v>
      </c>
      <c r="BG157" s="26" t="str">
        <f>_xlfn.XLOOKUP(Transformation[[#This Row],[cto]],Commodities[Commodity],Commodities[Commodity code])</f>
        <v>4695</v>
      </c>
      <c r="BH157" s="26" t="str">
        <f>_xlfn.XLOOKUP(Transformation[[#This Row],[tto]],Transactions[Transaction name],Transactions[Transaction code])</f>
        <v>015OPE</v>
      </c>
      <c r="BI157" s="11">
        <v>1</v>
      </c>
      <c r="BJ157" s="4" t="s">
        <v>351</v>
      </c>
      <c r="BK157" s="24" t="str">
        <f>_xlfn.XLOOKUP(Transformation[[#This Row],[Commodity from]],Commodities[Commodity code],Commodities[EnergyCode])</f>
        <v>BT</v>
      </c>
      <c r="BL157" s="4" t="s">
        <v>689</v>
      </c>
      <c r="BM157" s="4" t="s">
        <v>351</v>
      </c>
      <c r="BN157" s="24" t="str">
        <f>_xlfn.XLOOKUP(Transformation[[#This Row],[Commodity to]],Commodities[Commodity code],Commodities[EnergyCode])</f>
        <v>BT</v>
      </c>
      <c r="BO157" s="4" t="s">
        <v>1051</v>
      </c>
      <c r="BP157" s="16" t="s">
        <v>1493</v>
      </c>
      <c r="BQ157" s="33" t="str">
        <f>Transformation[[#This Row],[Commodity from]]&amp;Transformation[[#This Row],[Transaction from]]&amp;Transformation[[#This Row],[Commodity to]]&amp;Transformation[[#This Row],[Transaction to]]</f>
        <v>4695088114695015OPE</v>
      </c>
      <c r="BR157" s="26" t="str">
        <f>Transformation[[#This Row],[crfomid]]&amp;Transformation[[#This Row],[Transaction from]]&amp;"("&amp;Transformation[[#This Row],[Multiplier]]&amp;") -&gt; "&amp;Transformation[[#This Row],[ctoid]]&amp;Transformation[[#This Row],[Transaction to]]</f>
        <v>BT08811(1) -&gt; BT015OPE</v>
      </c>
    </row>
    <row r="158" spans="25:70" x14ac:dyDescent="0.45">
      <c r="Y158" s="5" t="s">
        <v>195</v>
      </c>
      <c r="Z158" s="4" t="s">
        <v>194</v>
      </c>
      <c r="AA158" s="4" t="s">
        <v>194</v>
      </c>
      <c r="AB158" s="4" t="s">
        <v>8</v>
      </c>
      <c r="AC158" s="24" t="str">
        <f>IFERROR(VLOOKUP(Transactions[[#This Row],[Parent code]],Transactions[[Transaction code]:[Transaction name]],2,0),"")</f>
        <v>Total energy supply</v>
      </c>
      <c r="AD158" s="4" t="s">
        <v>631</v>
      </c>
      <c r="AE158" s="4" t="s">
        <v>919</v>
      </c>
      <c r="AF158" s="4" t="s">
        <v>642</v>
      </c>
      <c r="AG158" s="4" t="s">
        <v>1</v>
      </c>
      <c r="AH158" s="4" t="s">
        <v>695</v>
      </c>
      <c r="AK158" s="24" t="str" cm="1">
        <f t="array" ref="AK158">IFERROR(INDEX(Transactions[[Transaction code]:[Transaction name]],_xlfn.XMATCH(Transactions[[#This Row],[Parent code]],Transactions[Transaction name],0),3),Transactions[[#This Row],[Transaction name]])</f>
        <v>International aviation bunkers</v>
      </c>
      <c r="AL158" s="24" t="str" cm="1">
        <f t="array" ref="AL158">IFERROR(INDEX(Transactions[[Transaction code]:[Transaction name]],_xlfn.XMATCH(INDEX(Transactions[[Transaction name]:[Parent code]],_xlfn.XMATCH(Transactions[[#This Row],[L1N]],Transactions[Transaction name],0),3),Transactions[Transaction code],0),2),Transactions[[#This Row],[L1N]])</f>
        <v>Total energy supply</v>
      </c>
      <c r="AM158" s="24" t="str" cm="1">
        <f t="array" ref="AM158">IFERROR(INDEX(Transactions[[Transaction code]:[Transaction name]],_xlfn.XMATCH(INDEX(Transactions[[Transaction name]:[Parent code]],_xlfn.XMATCH(Transactions[[#This Row],[L2N]],Transactions[Transaction name],0),3),Transactions[Transaction code],0),2),Transactions[[#This Row],[L2N]])</f>
        <v>Total energy supply</v>
      </c>
      <c r="AN158" s="24" t="str" cm="1">
        <f t="array" ref="AN158">IFERROR(INDEX(Transactions[[Transaction code]:[Transaction name]],_xlfn.XMATCH(INDEX(Transactions[[Transaction name]:[Parent code]],_xlfn.XMATCH(Transactions[[#This Row],[L3N]],Transactions[Transaction name],0),3),Transactions[Transaction code],0),2),Transactions[[#This Row],[L3N]])</f>
        <v>Total energy supply</v>
      </c>
      <c r="AO158" s="24" t="str" cm="1">
        <f t="array" ref="AO158">IFERROR(INDEX(Transactions[[Transaction code]:[Transaction name]],_xlfn.XMATCH(INDEX(Transactions[[Transaction name]:[Parent code]],_xlfn.XMATCH(Transactions[[#This Row],[L4N]],Transactions[Transaction name],0),3),Transactions[Transaction code],0),2),Transactions[[#This Row],[L4N]])</f>
        <v>Total energy supply</v>
      </c>
      <c r="AP158" s="24" t="str" cm="1">
        <f t="array" ref="AP158">IFERROR(INDEX(Transactions[[Transaction code]:[Transaction name]],_xlfn.XMATCH(INDEX(Transactions[[Transaction name]:[Parent code]],_xlfn.XMATCH(Transactions[[#This Row],[L5N]],Transactions[Transaction name],0),3),Transactions[Transaction code],0),2),Transactions[[#This Row],[L5N]])</f>
        <v>Total energy supply</v>
      </c>
      <c r="AQ158" s="24" t="str" cm="1">
        <f t="array" ref="AQ158">IFERROR(INDEX(Transactions[[Transaction code]:[Transaction name]],_xlfn.XMATCH(INDEX(Transactions[[Transaction name]:[Parent code]],_xlfn.XMATCH(Transactions[[#This Row],[L6N]],Transactions[Transaction name],0),3),Transactions[Transaction code],0),2),Transactions[[#This Row],[L6N]])</f>
        <v>Total energy supply</v>
      </c>
      <c r="AR158" s="28" t="str">
        <f>IF(Transactions[[#This Row],[L7N]]=Transactions[[#This Row],[L6N]],Transactions[[#This Row],[L7N]],IF(Transactions[[#This Row],[L6N]]=Transactions[[#This Row],[L5N]],Transactions[[#This Row],[L6N]],IF(Transactions[[#This Row],[L5N]]=Transactions[[#This Row],[L4N]],Transactions[[#This Row],[L5N]],IF(Transactions[[#This Row],[L4N]]=Transactions[[#This Row],[L3N]],Transactions[[#This Row],[L4N]],IF(Transactions[[#This Row],[L3N]]=Transactions[[#This Row],[L2N]],Transactions[[#This Row],[L3N]],IF(Transactions[[#This Row],[L2N]]=Transactions[[#This Row],[L1N]],Transactions[[#This Row],[L2N]],IF(Transactions[[#This Row],[L1N]]=Transactions[[#This Row],[Transaction name]],Transactions[[#This Row],[L1N]],Transactions[[#This Row],[Transaction name]])))))))</f>
        <v>Total energy supply</v>
      </c>
      <c r="AS158" s="24" t="str">
        <f>IF(Transactions[[#This Row],[Level 0]]=Transactions[[#This Row],[Transaction name]],Transactions[[#This Row],[Transaction name]],IF(Transactions[[#This Row],[Level 0]]=Transactions[[#This Row],[L1N]],Transactions[[#This Row],[Transaction name]],IF(Transactions[[#This Row],[Level 0]]=Transactions[[#This Row],[L2N]],Transactions[[#This Row],[L1N]],IF(Transactions[[#This Row],[Level 0]]=Transactions[[#This Row],[L3N]],Transactions[[#This Row],[L2N]],IF(Transactions[[#This Row],[Level 0]]=Transactions[[#This Row],[L4N]],Transactions[[#This Row],[L3N]],IF(Transactions[[#This Row],[Level 0]]=Transactions[[#This Row],[L5N]],Transactions[[#This Row],[L4N]],IF(Transactions[[#This Row],[Level 0]]=Transactions[[#This Row],[L6N]],Transactions[[#This Row],[L5N]],IF(Transactions[[#This Row],[Level 0]]=Transactions[[#This Row],[L7N]],Transactions[[#This Row],[L6N]],Transactions[[#This Row],[L7N]]))))))))</f>
        <v>International aviation bunkers</v>
      </c>
      <c r="AT158" s="24" t="str">
        <f>IF(Transactions[[#This Row],[Level 1]]=Transactions[[#This Row],[Transaction name]],Transactions[[#This Row],[Transaction name]],IF(Transactions[[#This Row],[Level 1]]=Transactions[[#This Row],[L1N]],Transactions[[#This Row],[Transaction name]],IF(Transactions[[#This Row],[Level 1]]=Transactions[[#This Row],[L2N]],Transactions[[#This Row],[L1N]],IF(Transactions[[#This Row],[Level 1]]=Transactions[[#This Row],[L3N]],Transactions[[#This Row],[L2N]],IF(Transactions[[#This Row],[Level 1]]=Transactions[[#This Row],[L4N]],Transactions[[#This Row],[L3N]],IF(Transactions[[#This Row],[Level 1]]=Transactions[[#This Row],[L5N]],Transactions[[#This Row],[L4N]],IF(Transactions[[#This Row],[Level 1]]=Transactions[[#This Row],[L6N]],Transactions[[#This Row],[L5N]],IF(Transactions[[#This Row],[Level 1]]=Transactions[[#This Row],[L7N]],Transactions[[#This Row],[L6N]],Transactions[[#This Row],[L7N]]))))))))</f>
        <v>International aviation bunkers</v>
      </c>
      <c r="AU158" s="24" t="str">
        <f>IF(Transactions[[#This Row],[Level 2]]=Transactions[[#This Row],[Transaction name]],Transactions[[#This Row],[Transaction name]],IF(Transactions[[#This Row],[Level 2]]=Transactions[[#This Row],[L1N]],Transactions[[#This Row],[Transaction name]],IF(Transactions[[#This Row],[Level 2]]=Transactions[[#This Row],[L2N]],Transactions[[#This Row],[L1N]],IF(Transactions[[#This Row],[Level 2]]=Transactions[[#This Row],[L3N]],Transactions[[#This Row],[L2N]],IF(Transactions[[#This Row],[Level 2]]=Transactions[[#This Row],[L4N]],Transactions[[#This Row],[L3N]],IF(Transactions[[#This Row],[Level 2]]=Transactions[[#This Row],[L5N]],Transactions[[#This Row],[L4N]],IF(Transactions[[#This Row],[Level 2]]=Transactions[[#This Row],[L6N]],Transactions[[#This Row],[L5N]],IF(Transactions[[#This Row],[Level 2]]=Transactions[[#This Row],[L7N]],Transactions[[#This Row],[L6N]],Transactions[[#This Row],[L7N]]))))))))</f>
        <v>International aviation bunkers</v>
      </c>
      <c r="AV158" s="24" t="str">
        <f>IF(Transactions[[#This Row],[Level 3]]=Transactions[[#This Row],[Transaction name]],Transactions[[#This Row],[Transaction name]],IF(Transactions[[#This Row],[Level 3]]=Transactions[[#This Row],[L1N]],Transactions[[#This Row],[Transaction name]],IF(Transactions[[#This Row],[Level 3]]=Transactions[[#This Row],[L2N]],Transactions[[#This Row],[L1N]],IF(Transactions[[#This Row],[Level 3]]=Transactions[[#This Row],[L3N]],Transactions[[#This Row],[L2N]],IF(Transactions[[#This Row],[Level 3]]=Transactions[[#This Row],[L4N]],Transactions[[#This Row],[L3N]],IF(Transactions[[#This Row],[Level 3]]=Transactions[[#This Row],[L5N]],Transactions[[#This Row],[L4N]],IF(Transactions[[#This Row],[Level 3]]=Transactions[[#This Row],[L6N]],Transactions[[#This Row],[L5N]],IF(Transactions[[#This Row],[Level 3]]=Transactions[[#This Row],[L7N]],Transactions[[#This Row],[L6N]],Transactions[[#This Row],[L7N]]))))))))</f>
        <v>International aviation bunkers</v>
      </c>
      <c r="AW158" s="24" t="str">
        <f>IF(Transactions[[#This Row],[Level 4]]=Transactions[[#This Row],[Transaction name]],Transactions[[#This Row],[Transaction name]],IF(Transactions[[#This Row],[Level 4]]=Transactions[[#This Row],[L1N]],Transactions[[#This Row],[Transaction name]],IF(Transactions[[#This Row],[Level 4]]=Transactions[[#This Row],[L2N]],Transactions[[#This Row],[L1N]],IF(Transactions[[#This Row],[Level 4]]=Transactions[[#This Row],[L3N]],Transactions[[#This Row],[L2N]],IF(Transactions[[#This Row],[Level 4]]=Transactions[[#This Row],[L4N]],Transactions[[#This Row],[L3N]],IF(Transactions[[#This Row],[Level 4]]=Transactions[[#This Row],[L5N]],Transactions[[#This Row],[L4N]],IF(Transactions[[#This Row],[Level 4]]=Transactions[[#This Row],[L6N]],Transactions[[#This Row],[L5N]],IF(Transactions[[#This Row],[Level 4]]=Transactions[[#This Row],[L7N]],Transactions[[#This Row],[L6N]],Transactions[[#This Row],[L7N]]))))))))</f>
        <v>International aviation bunkers</v>
      </c>
      <c r="AX158" s="24" t="str">
        <f>IF(Transactions[[#This Row],[Level 5]]=Transactions[[#This Row],[Transaction name]],Transactions[[#This Row],[Transaction name]],IF(Transactions[[#This Row],[Level 5]]=Transactions[[#This Row],[L1N]],Transactions[[#This Row],[Transaction name]],IF(Transactions[[#This Row],[Level 5]]=Transactions[[#This Row],[L2N]],Transactions[[#This Row],[L1N]],IF(Transactions[[#This Row],[Level 5]]=Transactions[[#This Row],[L3N]],Transactions[[#This Row],[L2N]],IF(Transactions[[#This Row],[Level 5]]=Transactions[[#This Row],[L4N]],Transactions[[#This Row],[L3N]],IF(Transactions[[#This Row],[Level 5]]=Transactions[[#This Row],[L5N]],Transactions[[#This Row],[L4N]],IF(Transactions[[#This Row],[Level 5]]=Transactions[[#This Row],[L6N]],Transactions[[#This Row],[L5N]],IF(Transactions[[#This Row],[Level 5]]=Transactions[[#This Row],[L7N]],Transactions[[#This Row],[L6N]],Transactions[[#This Row],[L7N]]))))))))</f>
        <v>International aviation bunkers</v>
      </c>
      <c r="AY158" s="24" t="str">
        <f>IF(Transactions[[#This Row],[Level 6]]=Transactions[[#This Row],[Transaction name]],Transactions[[#This Row],[Transaction name]],IF(Transactions[[#This Row],[Level 6]]=Transactions[[#This Row],[L1N]],Transactions[[#This Row],[Transaction name]],IF(Transactions[[#This Row],[Level 6]]=Transactions[[#This Row],[L2N]],Transactions[[#This Row],[L1N]],IF(Transactions[[#This Row],[Level 6]]=Transactions[[#This Row],[L3N]],Transactions[[#This Row],[L2N]],IF(Transactions[[#This Row],[Level 6]]=Transactions[[#This Row],[L4N]],Transactions[[#This Row],[L3N]],IF(Transactions[[#This Row],[Level 6]]=Transactions[[#This Row],[L5N]],Transactions[[#This Row],[L4N]],IF(Transactions[[#This Row],[Level 6]]=Transactions[[#This Row],[L6N]],Transactions[[#This Row],[L5N]],IF(Transactions[[#This Row],[Level 6]]=Transactions[[#This Row],[L7N]],Transactions[[#This Row],[L6N]],Transactions[[#This Row],[L7N]]))))))))</f>
        <v>International aviation bunkers</v>
      </c>
      <c r="BE158" s="26" t="str">
        <f>_xlfn.XLOOKUP(Transformation[[#This Row],[cfrom]],Commodities[Commodity],Commodities[Commodity code])</f>
        <v>0100</v>
      </c>
      <c r="BF158" s="26" t="str">
        <f>_xlfn.XLOOKUP(Transformation[[#This Row],[tfrom]],Transactions[Transaction name],Transactions[Transaction code])</f>
        <v>08811</v>
      </c>
      <c r="BG158" s="26" t="str">
        <f>_xlfn.XLOOKUP(Transformation[[#This Row],[cto]],Commodities[Commodity],Commodities[Commodity code])</f>
        <v>0100</v>
      </c>
      <c r="BH158" s="26" t="str">
        <f>_xlfn.XLOOKUP(Transformation[[#This Row],[tto]],Transactions[Transaction name],Transactions[Transaction code])</f>
        <v>015HCOE</v>
      </c>
      <c r="BI158" s="11">
        <v>1</v>
      </c>
      <c r="BJ158" s="4" t="s">
        <v>532</v>
      </c>
      <c r="BK158" s="24" t="str">
        <f>_xlfn.XLOOKUP(Transformation[[#This Row],[Commodity from]],Commodities[Commodity code],Commodities[EnergyCode])</f>
        <v>CL</v>
      </c>
      <c r="BL158" s="4" t="s">
        <v>689</v>
      </c>
      <c r="BM158" s="4" t="s">
        <v>532</v>
      </c>
      <c r="BN158" s="24" t="str">
        <f>_xlfn.XLOOKUP(Transformation[[#This Row],[Commodity to]],Commodities[Commodity code],Commodities[EnergyCode])</f>
        <v>CL</v>
      </c>
      <c r="BO158" s="4" t="s">
        <v>1186</v>
      </c>
      <c r="BP158" s="16" t="s">
        <v>1493</v>
      </c>
      <c r="BQ158" s="33" t="str">
        <f>Transformation[[#This Row],[Commodity from]]&amp;Transformation[[#This Row],[Transaction from]]&amp;Transformation[[#This Row],[Commodity to]]&amp;Transformation[[#This Row],[Transaction to]]</f>
        <v>0100088110100015HCOE</v>
      </c>
      <c r="BR158" s="26" t="str">
        <f>Transformation[[#This Row],[crfomid]]&amp;Transformation[[#This Row],[Transaction from]]&amp;"("&amp;Transformation[[#This Row],[Multiplier]]&amp;") -&gt; "&amp;Transformation[[#This Row],[ctoid]]&amp;Transformation[[#This Row],[Transaction to]]</f>
        <v>CL08811(1) -&gt; CL015HCOE</v>
      </c>
    </row>
    <row r="159" spans="25:70" x14ac:dyDescent="0.45">
      <c r="Y159" s="5" t="s">
        <v>197</v>
      </c>
      <c r="Z159" s="4" t="s">
        <v>196</v>
      </c>
      <c r="AA159" s="4" t="s">
        <v>196</v>
      </c>
      <c r="AB159" s="4" t="s">
        <v>8</v>
      </c>
      <c r="AC159" s="24" t="str">
        <f>IFERROR(VLOOKUP(Transactions[[#This Row],[Parent code]],Transactions[[Transaction code]:[Transaction name]],2,0),"")</f>
        <v>Total energy supply</v>
      </c>
      <c r="AD159" s="4" t="s">
        <v>631</v>
      </c>
      <c r="AE159" s="4" t="s">
        <v>920</v>
      </c>
      <c r="AF159" s="4" t="s">
        <v>642</v>
      </c>
      <c r="AG159" s="4" t="s">
        <v>1</v>
      </c>
      <c r="AH159" s="4" t="s">
        <v>695</v>
      </c>
      <c r="AK159" s="24" t="str" cm="1">
        <f t="array" ref="AK159">IFERROR(INDEX(Transactions[[Transaction code]:[Transaction name]],_xlfn.XMATCH(Transactions[[#This Row],[Parent code]],Transactions[Transaction name],0),3),Transactions[[#This Row],[Transaction name]])</f>
        <v>International marine bunkers</v>
      </c>
      <c r="AL159" s="24" t="str" cm="1">
        <f t="array" ref="AL159">IFERROR(INDEX(Transactions[[Transaction code]:[Transaction name]],_xlfn.XMATCH(INDEX(Transactions[[Transaction name]:[Parent code]],_xlfn.XMATCH(Transactions[[#This Row],[L1N]],Transactions[Transaction name],0),3),Transactions[Transaction code],0),2),Transactions[[#This Row],[L1N]])</f>
        <v>Total energy supply</v>
      </c>
      <c r="AM159" s="24" t="str" cm="1">
        <f t="array" ref="AM159">IFERROR(INDEX(Transactions[[Transaction code]:[Transaction name]],_xlfn.XMATCH(INDEX(Transactions[[Transaction name]:[Parent code]],_xlfn.XMATCH(Transactions[[#This Row],[L2N]],Transactions[Transaction name],0),3),Transactions[Transaction code],0),2),Transactions[[#This Row],[L2N]])</f>
        <v>Total energy supply</v>
      </c>
      <c r="AN159" s="24" t="str" cm="1">
        <f t="array" ref="AN159">IFERROR(INDEX(Transactions[[Transaction code]:[Transaction name]],_xlfn.XMATCH(INDEX(Transactions[[Transaction name]:[Parent code]],_xlfn.XMATCH(Transactions[[#This Row],[L3N]],Transactions[Transaction name],0),3),Transactions[Transaction code],0),2),Transactions[[#This Row],[L3N]])</f>
        <v>Total energy supply</v>
      </c>
      <c r="AO159" s="24" t="str" cm="1">
        <f t="array" ref="AO159">IFERROR(INDEX(Transactions[[Transaction code]:[Transaction name]],_xlfn.XMATCH(INDEX(Transactions[[Transaction name]:[Parent code]],_xlfn.XMATCH(Transactions[[#This Row],[L4N]],Transactions[Transaction name],0),3),Transactions[Transaction code],0),2),Transactions[[#This Row],[L4N]])</f>
        <v>Total energy supply</v>
      </c>
      <c r="AP159" s="24" t="str" cm="1">
        <f t="array" ref="AP159">IFERROR(INDEX(Transactions[[Transaction code]:[Transaction name]],_xlfn.XMATCH(INDEX(Transactions[[Transaction name]:[Parent code]],_xlfn.XMATCH(Transactions[[#This Row],[L5N]],Transactions[Transaction name],0),3),Transactions[Transaction code],0),2),Transactions[[#This Row],[L5N]])</f>
        <v>Total energy supply</v>
      </c>
      <c r="AQ159" s="24" t="str" cm="1">
        <f t="array" ref="AQ159">IFERROR(INDEX(Transactions[[Transaction code]:[Transaction name]],_xlfn.XMATCH(INDEX(Transactions[[Transaction name]:[Parent code]],_xlfn.XMATCH(Transactions[[#This Row],[L6N]],Transactions[Transaction name],0),3),Transactions[Transaction code],0),2),Transactions[[#This Row],[L6N]])</f>
        <v>Total energy supply</v>
      </c>
      <c r="AR159" s="28" t="str">
        <f>IF(Transactions[[#This Row],[L7N]]=Transactions[[#This Row],[L6N]],Transactions[[#This Row],[L7N]],IF(Transactions[[#This Row],[L6N]]=Transactions[[#This Row],[L5N]],Transactions[[#This Row],[L6N]],IF(Transactions[[#This Row],[L5N]]=Transactions[[#This Row],[L4N]],Transactions[[#This Row],[L5N]],IF(Transactions[[#This Row],[L4N]]=Transactions[[#This Row],[L3N]],Transactions[[#This Row],[L4N]],IF(Transactions[[#This Row],[L3N]]=Transactions[[#This Row],[L2N]],Transactions[[#This Row],[L3N]],IF(Transactions[[#This Row],[L2N]]=Transactions[[#This Row],[L1N]],Transactions[[#This Row],[L2N]],IF(Transactions[[#This Row],[L1N]]=Transactions[[#This Row],[Transaction name]],Transactions[[#This Row],[L1N]],Transactions[[#This Row],[Transaction name]])))))))</f>
        <v>Total energy supply</v>
      </c>
      <c r="AS159" s="24" t="str">
        <f>IF(Transactions[[#This Row],[Level 0]]=Transactions[[#This Row],[Transaction name]],Transactions[[#This Row],[Transaction name]],IF(Transactions[[#This Row],[Level 0]]=Transactions[[#This Row],[L1N]],Transactions[[#This Row],[Transaction name]],IF(Transactions[[#This Row],[Level 0]]=Transactions[[#This Row],[L2N]],Transactions[[#This Row],[L1N]],IF(Transactions[[#This Row],[Level 0]]=Transactions[[#This Row],[L3N]],Transactions[[#This Row],[L2N]],IF(Transactions[[#This Row],[Level 0]]=Transactions[[#This Row],[L4N]],Transactions[[#This Row],[L3N]],IF(Transactions[[#This Row],[Level 0]]=Transactions[[#This Row],[L5N]],Transactions[[#This Row],[L4N]],IF(Transactions[[#This Row],[Level 0]]=Transactions[[#This Row],[L6N]],Transactions[[#This Row],[L5N]],IF(Transactions[[#This Row],[Level 0]]=Transactions[[#This Row],[L7N]],Transactions[[#This Row],[L6N]],Transactions[[#This Row],[L7N]]))))))))</f>
        <v>International marine bunkers</v>
      </c>
      <c r="AT159" s="24" t="str">
        <f>IF(Transactions[[#This Row],[Level 1]]=Transactions[[#This Row],[Transaction name]],Transactions[[#This Row],[Transaction name]],IF(Transactions[[#This Row],[Level 1]]=Transactions[[#This Row],[L1N]],Transactions[[#This Row],[Transaction name]],IF(Transactions[[#This Row],[Level 1]]=Transactions[[#This Row],[L2N]],Transactions[[#This Row],[L1N]],IF(Transactions[[#This Row],[Level 1]]=Transactions[[#This Row],[L3N]],Transactions[[#This Row],[L2N]],IF(Transactions[[#This Row],[Level 1]]=Transactions[[#This Row],[L4N]],Transactions[[#This Row],[L3N]],IF(Transactions[[#This Row],[Level 1]]=Transactions[[#This Row],[L5N]],Transactions[[#This Row],[L4N]],IF(Transactions[[#This Row],[Level 1]]=Transactions[[#This Row],[L6N]],Transactions[[#This Row],[L5N]],IF(Transactions[[#This Row],[Level 1]]=Transactions[[#This Row],[L7N]],Transactions[[#This Row],[L6N]],Transactions[[#This Row],[L7N]]))))))))</f>
        <v>International marine bunkers</v>
      </c>
      <c r="AU159" s="24" t="str">
        <f>IF(Transactions[[#This Row],[Level 2]]=Transactions[[#This Row],[Transaction name]],Transactions[[#This Row],[Transaction name]],IF(Transactions[[#This Row],[Level 2]]=Transactions[[#This Row],[L1N]],Transactions[[#This Row],[Transaction name]],IF(Transactions[[#This Row],[Level 2]]=Transactions[[#This Row],[L2N]],Transactions[[#This Row],[L1N]],IF(Transactions[[#This Row],[Level 2]]=Transactions[[#This Row],[L3N]],Transactions[[#This Row],[L2N]],IF(Transactions[[#This Row],[Level 2]]=Transactions[[#This Row],[L4N]],Transactions[[#This Row],[L3N]],IF(Transactions[[#This Row],[Level 2]]=Transactions[[#This Row],[L5N]],Transactions[[#This Row],[L4N]],IF(Transactions[[#This Row],[Level 2]]=Transactions[[#This Row],[L6N]],Transactions[[#This Row],[L5N]],IF(Transactions[[#This Row],[Level 2]]=Transactions[[#This Row],[L7N]],Transactions[[#This Row],[L6N]],Transactions[[#This Row],[L7N]]))))))))</f>
        <v>International marine bunkers</v>
      </c>
      <c r="AV159" s="24" t="str">
        <f>IF(Transactions[[#This Row],[Level 3]]=Transactions[[#This Row],[Transaction name]],Transactions[[#This Row],[Transaction name]],IF(Transactions[[#This Row],[Level 3]]=Transactions[[#This Row],[L1N]],Transactions[[#This Row],[Transaction name]],IF(Transactions[[#This Row],[Level 3]]=Transactions[[#This Row],[L2N]],Transactions[[#This Row],[L1N]],IF(Transactions[[#This Row],[Level 3]]=Transactions[[#This Row],[L3N]],Transactions[[#This Row],[L2N]],IF(Transactions[[#This Row],[Level 3]]=Transactions[[#This Row],[L4N]],Transactions[[#This Row],[L3N]],IF(Transactions[[#This Row],[Level 3]]=Transactions[[#This Row],[L5N]],Transactions[[#This Row],[L4N]],IF(Transactions[[#This Row],[Level 3]]=Transactions[[#This Row],[L6N]],Transactions[[#This Row],[L5N]],IF(Transactions[[#This Row],[Level 3]]=Transactions[[#This Row],[L7N]],Transactions[[#This Row],[L6N]],Transactions[[#This Row],[L7N]]))))))))</f>
        <v>International marine bunkers</v>
      </c>
      <c r="AW159" s="24" t="str">
        <f>IF(Transactions[[#This Row],[Level 4]]=Transactions[[#This Row],[Transaction name]],Transactions[[#This Row],[Transaction name]],IF(Transactions[[#This Row],[Level 4]]=Transactions[[#This Row],[L1N]],Transactions[[#This Row],[Transaction name]],IF(Transactions[[#This Row],[Level 4]]=Transactions[[#This Row],[L2N]],Transactions[[#This Row],[L1N]],IF(Transactions[[#This Row],[Level 4]]=Transactions[[#This Row],[L3N]],Transactions[[#This Row],[L2N]],IF(Transactions[[#This Row],[Level 4]]=Transactions[[#This Row],[L4N]],Transactions[[#This Row],[L3N]],IF(Transactions[[#This Row],[Level 4]]=Transactions[[#This Row],[L5N]],Transactions[[#This Row],[L4N]],IF(Transactions[[#This Row],[Level 4]]=Transactions[[#This Row],[L6N]],Transactions[[#This Row],[L5N]],IF(Transactions[[#This Row],[Level 4]]=Transactions[[#This Row],[L7N]],Transactions[[#This Row],[L6N]],Transactions[[#This Row],[L7N]]))))))))</f>
        <v>International marine bunkers</v>
      </c>
      <c r="AX159" s="24" t="str">
        <f>IF(Transactions[[#This Row],[Level 5]]=Transactions[[#This Row],[Transaction name]],Transactions[[#This Row],[Transaction name]],IF(Transactions[[#This Row],[Level 5]]=Transactions[[#This Row],[L1N]],Transactions[[#This Row],[Transaction name]],IF(Transactions[[#This Row],[Level 5]]=Transactions[[#This Row],[L2N]],Transactions[[#This Row],[L1N]],IF(Transactions[[#This Row],[Level 5]]=Transactions[[#This Row],[L3N]],Transactions[[#This Row],[L2N]],IF(Transactions[[#This Row],[Level 5]]=Transactions[[#This Row],[L4N]],Transactions[[#This Row],[L3N]],IF(Transactions[[#This Row],[Level 5]]=Transactions[[#This Row],[L5N]],Transactions[[#This Row],[L4N]],IF(Transactions[[#This Row],[Level 5]]=Transactions[[#This Row],[L6N]],Transactions[[#This Row],[L5N]],IF(Transactions[[#This Row],[Level 5]]=Transactions[[#This Row],[L7N]],Transactions[[#This Row],[L6N]],Transactions[[#This Row],[L7N]]))))))))</f>
        <v>International marine bunkers</v>
      </c>
      <c r="AY159" s="24" t="str">
        <f>IF(Transactions[[#This Row],[Level 6]]=Transactions[[#This Row],[Transaction name]],Transactions[[#This Row],[Transaction name]],IF(Transactions[[#This Row],[Level 6]]=Transactions[[#This Row],[L1N]],Transactions[[#This Row],[Transaction name]],IF(Transactions[[#This Row],[Level 6]]=Transactions[[#This Row],[L2N]],Transactions[[#This Row],[L1N]],IF(Transactions[[#This Row],[Level 6]]=Transactions[[#This Row],[L3N]],Transactions[[#This Row],[L2N]],IF(Transactions[[#This Row],[Level 6]]=Transactions[[#This Row],[L4N]],Transactions[[#This Row],[L3N]],IF(Transactions[[#This Row],[Level 6]]=Transactions[[#This Row],[L5N]],Transactions[[#This Row],[L4N]],IF(Transactions[[#This Row],[Level 6]]=Transactions[[#This Row],[L6N]],Transactions[[#This Row],[L5N]],IF(Transactions[[#This Row],[Level 6]]=Transactions[[#This Row],[L7N]],Transactions[[#This Row],[L6N]],Transactions[[#This Row],[L7N]]))))))))</f>
        <v>International marine bunkers</v>
      </c>
      <c r="BE159" s="26" t="str">
        <f>_xlfn.XLOOKUP(Transformation[[#This Row],[cfrom]],Commodities[Commodity],Commodities[Commodity code])</f>
        <v>4100</v>
      </c>
      <c r="BF159" s="26" t="str">
        <f>_xlfn.XLOOKUP(Transformation[[#This Row],[tfrom]],Transactions[Transaction name],Transactions[Transaction code])</f>
        <v>08811</v>
      </c>
      <c r="BG159" s="26" t="str">
        <f>_xlfn.XLOOKUP(Transformation[[#This Row],[cto]],Commodities[Commodity],Commodities[Commodity code])</f>
        <v>4100</v>
      </c>
      <c r="BH159" s="26" t="str">
        <f>_xlfn.XLOOKUP(Transformation[[#This Row],[tto]],Transactions[Transaction name],Transactions[Transaction code])</f>
        <v>015COE</v>
      </c>
      <c r="BI159" s="11">
        <v>1</v>
      </c>
      <c r="BJ159" s="4" t="s">
        <v>439</v>
      </c>
      <c r="BK159" s="24" t="str">
        <f>_xlfn.XLOOKUP(Transformation[[#This Row],[Commodity from]],Commodities[Commodity code],Commodities[EnergyCode])</f>
        <v>CR</v>
      </c>
      <c r="BL159" s="4" t="s">
        <v>689</v>
      </c>
      <c r="BM159" s="4" t="s">
        <v>439</v>
      </c>
      <c r="BN159" s="24" t="str">
        <f>_xlfn.XLOOKUP(Transformation[[#This Row],[Commodity to]],Commodities[Commodity code],Commodities[EnergyCode])</f>
        <v>CR</v>
      </c>
      <c r="BO159" s="4" t="s">
        <v>1226</v>
      </c>
      <c r="BP159" s="16" t="s">
        <v>1493</v>
      </c>
      <c r="BQ159" s="33" t="str">
        <f>Transformation[[#This Row],[Commodity from]]&amp;Transformation[[#This Row],[Transaction from]]&amp;Transformation[[#This Row],[Commodity to]]&amp;Transformation[[#This Row],[Transaction to]]</f>
        <v>4100088114100015COE</v>
      </c>
      <c r="BR159" s="26" t="str">
        <f>Transformation[[#This Row],[crfomid]]&amp;Transformation[[#This Row],[Transaction from]]&amp;"("&amp;Transformation[[#This Row],[Multiplier]]&amp;") -&gt; "&amp;Transformation[[#This Row],[ctoid]]&amp;Transformation[[#This Row],[Transaction to]]</f>
        <v>CR08811(1) -&gt; CR015COE</v>
      </c>
    </row>
    <row r="160" spans="25:70" x14ac:dyDescent="0.45">
      <c r="Y160" s="5" t="s">
        <v>9</v>
      </c>
      <c r="Z160" s="4" t="s">
        <v>646</v>
      </c>
      <c r="AA160" s="4" t="s">
        <v>646</v>
      </c>
      <c r="AB160" s="4" t="s">
        <v>206</v>
      </c>
      <c r="AC160" s="24" t="str">
        <f>IFERROR(VLOOKUP(Transactions[[#This Row],[Parent code]],Transactions[[Transaction code]:[Transaction name]],2,0),"")</f>
        <v>Production</v>
      </c>
      <c r="AD160" s="4" t="s">
        <v>189</v>
      </c>
      <c r="AE160" s="4" t="s">
        <v>959</v>
      </c>
      <c r="AF160" s="4" t="s">
        <v>642</v>
      </c>
      <c r="AG160" s="4" t="s">
        <v>1</v>
      </c>
      <c r="AH160" s="4" t="s">
        <v>696</v>
      </c>
      <c r="AJ160" s="4" t="s">
        <v>0</v>
      </c>
      <c r="AK160" s="24" t="str" cm="1">
        <f t="array" ref="AK160">IFERROR(INDEX(Transactions[[Transaction code]:[Transaction name]],_xlfn.XMATCH(Transactions[[#This Row],[Parent code]],Transactions[Transaction name],0),3),Transactions[[#This Row],[Transaction name]])</f>
        <v>Electricity, CHP and Heat plants - Main activity</v>
      </c>
      <c r="AL160" s="24" t="str" cm="1">
        <f t="array" ref="AL160">IFERROR(INDEX(Transactions[[Transaction code]:[Transaction name]],_xlfn.XMATCH(INDEX(Transactions[[Transaction name]:[Parent code]],_xlfn.XMATCH(Transactions[[#This Row],[L1N]],Transactions[Transaction name],0),3),Transactions[Transaction code],0),2),Transactions[[#This Row],[L1N]])</f>
        <v>Production</v>
      </c>
      <c r="AM160" s="24" t="str" cm="1">
        <f t="array" ref="AM160">IFERROR(INDEX(Transactions[[Transaction code]:[Transaction name]],_xlfn.XMATCH(INDEX(Transactions[[Transaction name]:[Parent code]],_xlfn.XMATCH(Transactions[[#This Row],[L2N]],Transactions[Transaction name],0),3),Transactions[Transaction code],0),2),Transactions[[#This Row],[L2N]])</f>
        <v>Total energy supply</v>
      </c>
      <c r="AN160" s="24" t="str" cm="1">
        <f t="array" ref="AN160">IFERROR(INDEX(Transactions[[Transaction code]:[Transaction name]],_xlfn.XMATCH(INDEX(Transactions[[Transaction name]:[Parent code]],_xlfn.XMATCH(Transactions[[#This Row],[L3N]],Transactions[Transaction name],0),3),Transactions[Transaction code],0),2),Transactions[[#This Row],[L3N]])</f>
        <v>Total energy supply</v>
      </c>
      <c r="AO160" s="24" t="str" cm="1">
        <f t="array" ref="AO160">IFERROR(INDEX(Transactions[[Transaction code]:[Transaction name]],_xlfn.XMATCH(INDEX(Transactions[[Transaction name]:[Parent code]],_xlfn.XMATCH(Transactions[[#This Row],[L4N]],Transactions[Transaction name],0),3),Transactions[Transaction code],0),2),Transactions[[#This Row],[L4N]])</f>
        <v>Total energy supply</v>
      </c>
      <c r="AP160" s="24" t="str" cm="1">
        <f t="array" ref="AP160">IFERROR(INDEX(Transactions[[Transaction code]:[Transaction name]],_xlfn.XMATCH(INDEX(Transactions[[Transaction name]:[Parent code]],_xlfn.XMATCH(Transactions[[#This Row],[L5N]],Transactions[Transaction name],0),3),Transactions[Transaction code],0),2),Transactions[[#This Row],[L5N]])</f>
        <v>Total energy supply</v>
      </c>
      <c r="AQ160" s="24" t="str" cm="1">
        <f t="array" ref="AQ160">IFERROR(INDEX(Transactions[[Transaction code]:[Transaction name]],_xlfn.XMATCH(INDEX(Transactions[[Transaction name]:[Parent code]],_xlfn.XMATCH(Transactions[[#This Row],[L6N]],Transactions[Transaction name],0),3),Transactions[Transaction code],0),2),Transactions[[#This Row],[L6N]])</f>
        <v>Total energy supply</v>
      </c>
      <c r="AR160" s="28" t="str">
        <f>IF(Transactions[[#This Row],[L7N]]=Transactions[[#This Row],[L6N]],Transactions[[#This Row],[L7N]],IF(Transactions[[#This Row],[L6N]]=Transactions[[#This Row],[L5N]],Transactions[[#This Row],[L6N]],IF(Transactions[[#This Row],[L5N]]=Transactions[[#This Row],[L4N]],Transactions[[#This Row],[L5N]],IF(Transactions[[#This Row],[L4N]]=Transactions[[#This Row],[L3N]],Transactions[[#This Row],[L4N]],IF(Transactions[[#This Row],[L3N]]=Transactions[[#This Row],[L2N]],Transactions[[#This Row],[L3N]],IF(Transactions[[#This Row],[L2N]]=Transactions[[#This Row],[L1N]],Transactions[[#This Row],[L2N]],IF(Transactions[[#This Row],[L1N]]=Transactions[[#This Row],[Transaction name]],Transactions[[#This Row],[L1N]],Transactions[[#This Row],[Transaction name]])))))))</f>
        <v>Total energy supply</v>
      </c>
      <c r="AS160" s="24" t="str">
        <f>IF(Transactions[[#This Row],[Level 0]]=Transactions[[#This Row],[Transaction name]],Transactions[[#This Row],[Transaction name]],IF(Transactions[[#This Row],[Level 0]]=Transactions[[#This Row],[L1N]],Transactions[[#This Row],[Transaction name]],IF(Transactions[[#This Row],[Level 0]]=Transactions[[#This Row],[L2N]],Transactions[[#This Row],[L1N]],IF(Transactions[[#This Row],[Level 0]]=Transactions[[#This Row],[L3N]],Transactions[[#This Row],[L2N]],IF(Transactions[[#This Row],[Level 0]]=Transactions[[#This Row],[L4N]],Transactions[[#This Row],[L3N]],IF(Transactions[[#This Row],[Level 0]]=Transactions[[#This Row],[L5N]],Transactions[[#This Row],[L4N]],IF(Transactions[[#This Row],[Level 0]]=Transactions[[#This Row],[L6N]],Transactions[[#This Row],[L5N]],IF(Transactions[[#This Row],[Level 0]]=Transactions[[#This Row],[L7N]],Transactions[[#This Row],[L6N]],Transactions[[#This Row],[L7N]]))))))))</f>
        <v>Production</v>
      </c>
      <c r="AT160" s="24" t="str">
        <f>IF(Transactions[[#This Row],[Level 1]]=Transactions[[#This Row],[Transaction name]],Transactions[[#This Row],[Transaction name]],IF(Transactions[[#This Row],[Level 1]]=Transactions[[#This Row],[L1N]],Transactions[[#This Row],[Transaction name]],IF(Transactions[[#This Row],[Level 1]]=Transactions[[#This Row],[L2N]],Transactions[[#This Row],[L1N]],IF(Transactions[[#This Row],[Level 1]]=Transactions[[#This Row],[L3N]],Transactions[[#This Row],[L2N]],IF(Transactions[[#This Row],[Level 1]]=Transactions[[#This Row],[L4N]],Transactions[[#This Row],[L3N]],IF(Transactions[[#This Row],[Level 1]]=Transactions[[#This Row],[L5N]],Transactions[[#This Row],[L4N]],IF(Transactions[[#This Row],[Level 1]]=Transactions[[#This Row],[L6N]],Transactions[[#This Row],[L5N]],IF(Transactions[[#This Row],[Level 1]]=Transactions[[#This Row],[L7N]],Transactions[[#This Row],[L6N]],Transactions[[#This Row],[L7N]]))))))))</f>
        <v>Electricity, CHP and Heat plants - Main activity</v>
      </c>
      <c r="AU160" s="24" t="str">
        <f>IF(Transactions[[#This Row],[Level 2]]=Transactions[[#This Row],[Transaction name]],Transactions[[#This Row],[Transaction name]],IF(Transactions[[#This Row],[Level 2]]=Transactions[[#This Row],[L1N]],Transactions[[#This Row],[Transaction name]],IF(Transactions[[#This Row],[Level 2]]=Transactions[[#This Row],[L2N]],Transactions[[#This Row],[L1N]],IF(Transactions[[#This Row],[Level 2]]=Transactions[[#This Row],[L3N]],Transactions[[#This Row],[L2N]],IF(Transactions[[#This Row],[Level 2]]=Transactions[[#This Row],[L4N]],Transactions[[#This Row],[L3N]],IF(Transactions[[#This Row],[Level 2]]=Transactions[[#This Row],[L5N]],Transactions[[#This Row],[L4N]],IF(Transactions[[#This Row],[Level 2]]=Transactions[[#This Row],[L6N]],Transactions[[#This Row],[L5N]],IF(Transactions[[#This Row],[Level 2]]=Transactions[[#This Row],[L7N]],Transactions[[#This Row],[L6N]],Transactions[[#This Row],[L7N]]))))))))</f>
        <v>Electricity, CHP and Heat plants - Main activity</v>
      </c>
      <c r="AV160" s="24" t="str">
        <f>IF(Transactions[[#This Row],[Level 3]]=Transactions[[#This Row],[Transaction name]],Transactions[[#This Row],[Transaction name]],IF(Transactions[[#This Row],[Level 3]]=Transactions[[#This Row],[L1N]],Transactions[[#This Row],[Transaction name]],IF(Transactions[[#This Row],[Level 3]]=Transactions[[#This Row],[L2N]],Transactions[[#This Row],[L1N]],IF(Transactions[[#This Row],[Level 3]]=Transactions[[#This Row],[L3N]],Transactions[[#This Row],[L2N]],IF(Transactions[[#This Row],[Level 3]]=Transactions[[#This Row],[L4N]],Transactions[[#This Row],[L3N]],IF(Transactions[[#This Row],[Level 3]]=Transactions[[#This Row],[L5N]],Transactions[[#This Row],[L4N]],IF(Transactions[[#This Row],[Level 3]]=Transactions[[#This Row],[L6N]],Transactions[[#This Row],[L5N]],IF(Transactions[[#This Row],[Level 3]]=Transactions[[#This Row],[L7N]],Transactions[[#This Row],[L6N]],Transactions[[#This Row],[L7N]]))))))))</f>
        <v>Electricity, CHP and Heat plants - Main activity</v>
      </c>
      <c r="AW160" s="24" t="str">
        <f>IF(Transactions[[#This Row],[Level 4]]=Transactions[[#This Row],[Transaction name]],Transactions[[#This Row],[Transaction name]],IF(Transactions[[#This Row],[Level 4]]=Transactions[[#This Row],[L1N]],Transactions[[#This Row],[Transaction name]],IF(Transactions[[#This Row],[Level 4]]=Transactions[[#This Row],[L2N]],Transactions[[#This Row],[L1N]],IF(Transactions[[#This Row],[Level 4]]=Transactions[[#This Row],[L3N]],Transactions[[#This Row],[L2N]],IF(Transactions[[#This Row],[Level 4]]=Transactions[[#This Row],[L4N]],Transactions[[#This Row],[L3N]],IF(Transactions[[#This Row],[Level 4]]=Transactions[[#This Row],[L5N]],Transactions[[#This Row],[L4N]],IF(Transactions[[#This Row],[Level 4]]=Transactions[[#This Row],[L6N]],Transactions[[#This Row],[L5N]],IF(Transactions[[#This Row],[Level 4]]=Transactions[[#This Row],[L7N]],Transactions[[#This Row],[L6N]],Transactions[[#This Row],[L7N]]))))))))</f>
        <v>Electricity, CHP and Heat plants - Main activity</v>
      </c>
      <c r="AX160" s="24" t="str">
        <f>IF(Transactions[[#This Row],[Level 5]]=Transactions[[#This Row],[Transaction name]],Transactions[[#This Row],[Transaction name]],IF(Transactions[[#This Row],[Level 5]]=Transactions[[#This Row],[L1N]],Transactions[[#This Row],[Transaction name]],IF(Transactions[[#This Row],[Level 5]]=Transactions[[#This Row],[L2N]],Transactions[[#This Row],[L1N]],IF(Transactions[[#This Row],[Level 5]]=Transactions[[#This Row],[L3N]],Transactions[[#This Row],[L2N]],IF(Transactions[[#This Row],[Level 5]]=Transactions[[#This Row],[L4N]],Transactions[[#This Row],[L3N]],IF(Transactions[[#This Row],[Level 5]]=Transactions[[#This Row],[L5N]],Transactions[[#This Row],[L4N]],IF(Transactions[[#This Row],[Level 5]]=Transactions[[#This Row],[L6N]],Transactions[[#This Row],[L5N]],IF(Transactions[[#This Row],[Level 5]]=Transactions[[#This Row],[L7N]],Transactions[[#This Row],[L6N]],Transactions[[#This Row],[L7N]]))))))))</f>
        <v>Electricity, CHP and Heat plants - Main activity</v>
      </c>
      <c r="AY160" s="24" t="str">
        <f>IF(Transactions[[#This Row],[Level 6]]=Transactions[[#This Row],[Transaction name]],Transactions[[#This Row],[Transaction name]],IF(Transactions[[#This Row],[Level 6]]=Transactions[[#This Row],[L1N]],Transactions[[#This Row],[Transaction name]],IF(Transactions[[#This Row],[Level 6]]=Transactions[[#This Row],[L2N]],Transactions[[#This Row],[L1N]],IF(Transactions[[#This Row],[Level 6]]=Transactions[[#This Row],[L3N]],Transactions[[#This Row],[L2N]],IF(Transactions[[#This Row],[Level 6]]=Transactions[[#This Row],[L4N]],Transactions[[#This Row],[L3N]],IF(Transactions[[#This Row],[Level 6]]=Transactions[[#This Row],[L5N]],Transactions[[#This Row],[L4N]],IF(Transactions[[#This Row],[Level 6]]=Transactions[[#This Row],[L6N]],Transactions[[#This Row],[L5N]],IF(Transactions[[#This Row],[Level 6]]=Transactions[[#This Row],[L7N]],Transactions[[#This Row],[L6N]],Transactions[[#This Row],[L7N]]))))))))</f>
        <v>Electricity, CHP and Heat plants - Main activity</v>
      </c>
      <c r="BE160" s="26" t="str">
        <f>_xlfn.XLOOKUP(Transformation[[#This Row],[cfrom]],Commodities[Commodity],Commodities[Commodity code])</f>
        <v>0340</v>
      </c>
      <c r="BF160" s="26" t="str">
        <f>_xlfn.XLOOKUP(Transformation[[#This Row],[tfrom]],Transactions[Transaction name],Transactions[Transaction code])</f>
        <v>08811</v>
      </c>
      <c r="BG160" s="26" t="str">
        <f>_xlfn.XLOOKUP(Transformation[[#This Row],[cto]],Commodities[Commodity],Commodities[Commodity code])</f>
        <v>0340</v>
      </c>
      <c r="BH160" s="26" t="str">
        <f>_xlfn.XLOOKUP(Transformation[[#This Row],[tto]],Transactions[Transaction name],Transactions[Transaction code])</f>
        <v>015CSE</v>
      </c>
      <c r="BI160" s="11">
        <v>1</v>
      </c>
      <c r="BJ160" s="4" t="s">
        <v>489</v>
      </c>
      <c r="BK160" s="24" t="str">
        <f>_xlfn.XLOOKUP(Transformation[[#This Row],[Commodity from]],Commodities[Commodity code],Commodities[EnergyCode])</f>
        <v>CT</v>
      </c>
      <c r="BL160" s="4" t="s">
        <v>689</v>
      </c>
      <c r="BM160" s="4" t="s">
        <v>489</v>
      </c>
      <c r="BN160" s="24" t="str">
        <f>_xlfn.XLOOKUP(Transformation[[#This Row],[Commodity to]],Commodities[Commodity code],Commodities[EnergyCode])</f>
        <v>CT</v>
      </c>
      <c r="BO160" s="4" t="s">
        <v>1210</v>
      </c>
      <c r="BP160" s="16" t="s">
        <v>1493</v>
      </c>
      <c r="BQ160" s="33" t="str">
        <f>Transformation[[#This Row],[Commodity from]]&amp;Transformation[[#This Row],[Transaction from]]&amp;Transformation[[#This Row],[Commodity to]]&amp;Transformation[[#This Row],[Transaction to]]</f>
        <v>0340088110340015CSE</v>
      </c>
      <c r="BR160" s="26" t="str">
        <f>Transformation[[#This Row],[crfomid]]&amp;Transformation[[#This Row],[Transaction from]]&amp;"("&amp;Transformation[[#This Row],[Multiplier]]&amp;") -&gt; "&amp;Transformation[[#This Row],[ctoid]]&amp;Transformation[[#This Row],[Transaction to]]</f>
        <v>CT08811(1) -&gt; CT015CSE</v>
      </c>
    </row>
    <row r="161" spans="25:70" x14ac:dyDescent="0.45">
      <c r="Y161" s="5" t="s">
        <v>1081</v>
      </c>
      <c r="Z161" s="4" t="s">
        <v>1057</v>
      </c>
      <c r="AA161" s="4" t="s">
        <v>1346</v>
      </c>
      <c r="AB161" s="4" t="s">
        <v>9</v>
      </c>
      <c r="AC161" s="24" t="str">
        <f>IFERROR(VLOOKUP(Transactions[[#This Row],[Parent code]],Transactions[[Transaction code]:[Transaction name]],2,0),"")</f>
        <v>Electricity, CHP and Heat plants - Main activity</v>
      </c>
      <c r="AD161" s="4" t="s">
        <v>189</v>
      </c>
      <c r="AE161" s="4" t="s">
        <v>959</v>
      </c>
      <c r="AF161" s="4" t="s">
        <v>642</v>
      </c>
      <c r="AG161" s="4" t="s">
        <v>1</v>
      </c>
      <c r="AH161" s="4" t="s">
        <v>696</v>
      </c>
      <c r="AI161" s="12" t="s">
        <v>1416</v>
      </c>
      <c r="AJ161" s="4" t="s">
        <v>0</v>
      </c>
      <c r="AK161" s="24" t="str" cm="1">
        <f t="array" ref="AK161">IFERROR(INDEX(Transactions[[Transaction code]:[Transaction name]],_xlfn.XMATCH(Transactions[[#This Row],[Parent code]],Transactions[Transaction name],0),3),Transactions[[#This Row],[Transaction name]])</f>
        <v>Electricity, CHP and Heat plants - Main activity - bagasse</v>
      </c>
      <c r="AL161" s="24" t="str" cm="1">
        <f t="array" ref="AL161">IFERROR(INDEX(Transactions[[Transaction code]:[Transaction name]],_xlfn.XMATCH(INDEX(Transactions[[Transaction name]:[Parent code]],_xlfn.XMATCH(Transactions[[#This Row],[L1N]],Transactions[Transaction name],0),3),Transactions[Transaction code],0),2),Transactions[[#This Row],[L1N]])</f>
        <v>Electricity, CHP and Heat plants - Main activity</v>
      </c>
      <c r="AM161" s="24" t="str" cm="1">
        <f t="array" ref="AM161">IFERROR(INDEX(Transactions[[Transaction code]:[Transaction name]],_xlfn.XMATCH(INDEX(Transactions[[Transaction name]:[Parent code]],_xlfn.XMATCH(Transactions[[#This Row],[L2N]],Transactions[Transaction name],0),3),Transactions[Transaction code],0),2),Transactions[[#This Row],[L2N]])</f>
        <v>Production</v>
      </c>
      <c r="AN161" s="24" t="str" cm="1">
        <f t="array" ref="AN161">IFERROR(INDEX(Transactions[[Transaction code]:[Transaction name]],_xlfn.XMATCH(INDEX(Transactions[[Transaction name]:[Parent code]],_xlfn.XMATCH(Transactions[[#This Row],[L3N]],Transactions[Transaction name],0),3),Transactions[Transaction code],0),2),Transactions[[#This Row],[L3N]])</f>
        <v>Total energy supply</v>
      </c>
      <c r="AO161" s="24" t="str" cm="1">
        <f t="array" ref="AO161">IFERROR(INDEX(Transactions[[Transaction code]:[Transaction name]],_xlfn.XMATCH(INDEX(Transactions[[Transaction name]:[Parent code]],_xlfn.XMATCH(Transactions[[#This Row],[L4N]],Transactions[Transaction name],0),3),Transactions[Transaction code],0),2),Transactions[[#This Row],[L4N]])</f>
        <v>Total energy supply</v>
      </c>
      <c r="AP161" s="24" t="str" cm="1">
        <f t="array" ref="AP161">IFERROR(INDEX(Transactions[[Transaction code]:[Transaction name]],_xlfn.XMATCH(INDEX(Transactions[[Transaction name]:[Parent code]],_xlfn.XMATCH(Transactions[[#This Row],[L5N]],Transactions[Transaction name],0),3),Transactions[Transaction code],0),2),Transactions[[#This Row],[L5N]])</f>
        <v>Total energy supply</v>
      </c>
      <c r="AQ161" s="24" t="str" cm="1">
        <f t="array" ref="AQ161">IFERROR(INDEX(Transactions[[Transaction code]:[Transaction name]],_xlfn.XMATCH(INDEX(Transactions[[Transaction name]:[Parent code]],_xlfn.XMATCH(Transactions[[#This Row],[L6N]],Transactions[Transaction name],0),3),Transactions[Transaction code],0),2),Transactions[[#This Row],[L6N]])</f>
        <v>Total energy supply</v>
      </c>
      <c r="AR161" s="28" t="str">
        <f>IF(Transactions[[#This Row],[L7N]]=Transactions[[#This Row],[L6N]],Transactions[[#This Row],[L7N]],IF(Transactions[[#This Row],[L6N]]=Transactions[[#This Row],[L5N]],Transactions[[#This Row],[L6N]],IF(Transactions[[#This Row],[L5N]]=Transactions[[#This Row],[L4N]],Transactions[[#This Row],[L5N]],IF(Transactions[[#This Row],[L4N]]=Transactions[[#This Row],[L3N]],Transactions[[#This Row],[L4N]],IF(Transactions[[#This Row],[L3N]]=Transactions[[#This Row],[L2N]],Transactions[[#This Row],[L3N]],IF(Transactions[[#This Row],[L2N]]=Transactions[[#This Row],[L1N]],Transactions[[#This Row],[L2N]],IF(Transactions[[#This Row],[L1N]]=Transactions[[#This Row],[Transaction name]],Transactions[[#This Row],[L1N]],Transactions[[#This Row],[Transaction name]])))))))</f>
        <v>Total energy supply</v>
      </c>
      <c r="AS161" s="24" t="str">
        <f>IF(Transactions[[#This Row],[Level 0]]=Transactions[[#This Row],[Transaction name]],Transactions[[#This Row],[Transaction name]],IF(Transactions[[#This Row],[Level 0]]=Transactions[[#This Row],[L1N]],Transactions[[#This Row],[Transaction name]],IF(Transactions[[#This Row],[Level 0]]=Transactions[[#This Row],[L2N]],Transactions[[#This Row],[L1N]],IF(Transactions[[#This Row],[Level 0]]=Transactions[[#This Row],[L3N]],Transactions[[#This Row],[L2N]],IF(Transactions[[#This Row],[Level 0]]=Transactions[[#This Row],[L4N]],Transactions[[#This Row],[L3N]],IF(Transactions[[#This Row],[Level 0]]=Transactions[[#This Row],[L5N]],Transactions[[#This Row],[L4N]],IF(Transactions[[#This Row],[Level 0]]=Transactions[[#This Row],[L6N]],Transactions[[#This Row],[L5N]],IF(Transactions[[#This Row],[Level 0]]=Transactions[[#This Row],[L7N]],Transactions[[#This Row],[L6N]],Transactions[[#This Row],[L7N]]))))))))</f>
        <v>Production</v>
      </c>
      <c r="AT161" s="24" t="str">
        <f>IF(Transactions[[#This Row],[Level 1]]=Transactions[[#This Row],[Transaction name]],Transactions[[#This Row],[Transaction name]],IF(Transactions[[#This Row],[Level 1]]=Transactions[[#This Row],[L1N]],Transactions[[#This Row],[Transaction name]],IF(Transactions[[#This Row],[Level 1]]=Transactions[[#This Row],[L2N]],Transactions[[#This Row],[L1N]],IF(Transactions[[#This Row],[Level 1]]=Transactions[[#This Row],[L3N]],Transactions[[#This Row],[L2N]],IF(Transactions[[#This Row],[Level 1]]=Transactions[[#This Row],[L4N]],Transactions[[#This Row],[L3N]],IF(Transactions[[#This Row],[Level 1]]=Transactions[[#This Row],[L5N]],Transactions[[#This Row],[L4N]],IF(Transactions[[#This Row],[Level 1]]=Transactions[[#This Row],[L6N]],Transactions[[#This Row],[L5N]],IF(Transactions[[#This Row],[Level 1]]=Transactions[[#This Row],[L7N]],Transactions[[#This Row],[L6N]],Transactions[[#This Row],[L7N]]))))))))</f>
        <v>Electricity, CHP and Heat plants - Main activity</v>
      </c>
      <c r="AU161" s="24" t="str">
        <f>IF(Transactions[[#This Row],[Level 2]]=Transactions[[#This Row],[Transaction name]],Transactions[[#This Row],[Transaction name]],IF(Transactions[[#This Row],[Level 2]]=Transactions[[#This Row],[L1N]],Transactions[[#This Row],[Transaction name]],IF(Transactions[[#This Row],[Level 2]]=Transactions[[#This Row],[L2N]],Transactions[[#This Row],[L1N]],IF(Transactions[[#This Row],[Level 2]]=Transactions[[#This Row],[L3N]],Transactions[[#This Row],[L2N]],IF(Transactions[[#This Row],[Level 2]]=Transactions[[#This Row],[L4N]],Transactions[[#This Row],[L3N]],IF(Transactions[[#This Row],[Level 2]]=Transactions[[#This Row],[L5N]],Transactions[[#This Row],[L4N]],IF(Transactions[[#This Row],[Level 2]]=Transactions[[#This Row],[L6N]],Transactions[[#This Row],[L5N]],IF(Transactions[[#This Row],[Level 2]]=Transactions[[#This Row],[L7N]],Transactions[[#This Row],[L6N]],Transactions[[#This Row],[L7N]]))))))))</f>
        <v>Electricity, CHP and Heat plants - Main activity - bagasse</v>
      </c>
      <c r="AV161" s="24" t="str">
        <f>IF(Transactions[[#This Row],[Level 3]]=Transactions[[#This Row],[Transaction name]],Transactions[[#This Row],[Transaction name]],IF(Transactions[[#This Row],[Level 3]]=Transactions[[#This Row],[L1N]],Transactions[[#This Row],[Transaction name]],IF(Transactions[[#This Row],[Level 3]]=Transactions[[#This Row],[L2N]],Transactions[[#This Row],[L1N]],IF(Transactions[[#This Row],[Level 3]]=Transactions[[#This Row],[L3N]],Transactions[[#This Row],[L2N]],IF(Transactions[[#This Row],[Level 3]]=Transactions[[#This Row],[L4N]],Transactions[[#This Row],[L3N]],IF(Transactions[[#This Row],[Level 3]]=Transactions[[#This Row],[L5N]],Transactions[[#This Row],[L4N]],IF(Transactions[[#This Row],[Level 3]]=Transactions[[#This Row],[L6N]],Transactions[[#This Row],[L5N]],IF(Transactions[[#This Row],[Level 3]]=Transactions[[#This Row],[L7N]],Transactions[[#This Row],[L6N]],Transactions[[#This Row],[L7N]]))))))))</f>
        <v>Electricity, CHP and Heat plants - Main activity - bagasse</v>
      </c>
      <c r="AW161" s="24" t="str">
        <f>IF(Transactions[[#This Row],[Level 4]]=Transactions[[#This Row],[Transaction name]],Transactions[[#This Row],[Transaction name]],IF(Transactions[[#This Row],[Level 4]]=Transactions[[#This Row],[L1N]],Transactions[[#This Row],[Transaction name]],IF(Transactions[[#This Row],[Level 4]]=Transactions[[#This Row],[L2N]],Transactions[[#This Row],[L1N]],IF(Transactions[[#This Row],[Level 4]]=Transactions[[#This Row],[L3N]],Transactions[[#This Row],[L2N]],IF(Transactions[[#This Row],[Level 4]]=Transactions[[#This Row],[L4N]],Transactions[[#This Row],[L3N]],IF(Transactions[[#This Row],[Level 4]]=Transactions[[#This Row],[L5N]],Transactions[[#This Row],[L4N]],IF(Transactions[[#This Row],[Level 4]]=Transactions[[#This Row],[L6N]],Transactions[[#This Row],[L5N]],IF(Transactions[[#This Row],[Level 4]]=Transactions[[#This Row],[L7N]],Transactions[[#This Row],[L6N]],Transactions[[#This Row],[L7N]]))))))))</f>
        <v>Electricity, CHP and Heat plants - Main activity - bagasse</v>
      </c>
      <c r="AX161" s="24" t="str">
        <f>IF(Transactions[[#This Row],[Level 5]]=Transactions[[#This Row],[Transaction name]],Transactions[[#This Row],[Transaction name]],IF(Transactions[[#This Row],[Level 5]]=Transactions[[#This Row],[L1N]],Transactions[[#This Row],[Transaction name]],IF(Transactions[[#This Row],[Level 5]]=Transactions[[#This Row],[L2N]],Transactions[[#This Row],[L1N]],IF(Transactions[[#This Row],[Level 5]]=Transactions[[#This Row],[L3N]],Transactions[[#This Row],[L2N]],IF(Transactions[[#This Row],[Level 5]]=Transactions[[#This Row],[L4N]],Transactions[[#This Row],[L3N]],IF(Transactions[[#This Row],[Level 5]]=Transactions[[#This Row],[L5N]],Transactions[[#This Row],[L4N]],IF(Transactions[[#This Row],[Level 5]]=Transactions[[#This Row],[L6N]],Transactions[[#This Row],[L5N]],IF(Transactions[[#This Row],[Level 5]]=Transactions[[#This Row],[L7N]],Transactions[[#This Row],[L6N]],Transactions[[#This Row],[L7N]]))))))))</f>
        <v>Electricity, CHP and Heat plants - Main activity - bagasse</v>
      </c>
      <c r="AY161" s="24" t="str">
        <f>IF(Transactions[[#This Row],[Level 6]]=Transactions[[#This Row],[Transaction name]],Transactions[[#This Row],[Transaction name]],IF(Transactions[[#This Row],[Level 6]]=Transactions[[#This Row],[L1N]],Transactions[[#This Row],[Transaction name]],IF(Transactions[[#This Row],[Level 6]]=Transactions[[#This Row],[L2N]],Transactions[[#This Row],[L1N]],IF(Transactions[[#This Row],[Level 6]]=Transactions[[#This Row],[L3N]],Transactions[[#This Row],[L2N]],IF(Transactions[[#This Row],[Level 6]]=Transactions[[#This Row],[L4N]],Transactions[[#This Row],[L3N]],IF(Transactions[[#This Row],[Level 6]]=Transactions[[#This Row],[L5N]],Transactions[[#This Row],[L4N]],IF(Transactions[[#This Row],[Level 6]]=Transactions[[#This Row],[L6N]],Transactions[[#This Row],[L5N]],IF(Transactions[[#This Row],[Level 6]]=Transactions[[#This Row],[L7N]],Transactions[[#This Row],[L6N]],Transactions[[#This Row],[L7N]]))))))))</f>
        <v>Electricity, CHP and Heat plants - Main activity - bagasse</v>
      </c>
      <c r="BE161" s="26" t="str">
        <f>_xlfn.XLOOKUP(Transformation[[#This Row],[cfrom]],Commodities[Commodity],Commodities[Commodity code])</f>
        <v>4670</v>
      </c>
      <c r="BF161" s="26" t="str">
        <f>_xlfn.XLOOKUP(Transformation[[#This Row],[tfrom]],Transactions[Transaction name],Transactions[Transaction code])</f>
        <v>08811</v>
      </c>
      <c r="BG161" s="26" t="str">
        <f>_xlfn.XLOOKUP(Transformation[[#This Row],[cto]],Commodities[Commodity],Commodities[Commodity code])</f>
        <v>4670</v>
      </c>
      <c r="BH161" s="26" t="str">
        <f>_xlfn.XLOOKUP(Transformation[[#This Row],[tto]],Transactions[Transaction name],Transactions[Transaction code])</f>
        <v>015DE</v>
      </c>
      <c r="BI161" s="11">
        <v>1</v>
      </c>
      <c r="BJ161" s="4" t="s">
        <v>372</v>
      </c>
      <c r="BK161" s="24" t="str">
        <f>_xlfn.XLOOKUP(Transformation[[#This Row],[Commodity from]],Commodities[Commodity code],Commodities[EnergyCode])</f>
        <v>DL</v>
      </c>
      <c r="BL161" s="4" t="s">
        <v>689</v>
      </c>
      <c r="BM161" s="4" t="s">
        <v>372</v>
      </c>
      <c r="BN161" s="24" t="str">
        <f>_xlfn.XLOOKUP(Transformation[[#This Row],[Commodity to]],Commodities[Commodity code],Commodities[EnergyCode])</f>
        <v>DL</v>
      </c>
      <c r="BO161" s="4" t="s">
        <v>1035</v>
      </c>
      <c r="BP161" s="16" t="s">
        <v>1493</v>
      </c>
      <c r="BQ161" s="33" t="str">
        <f>Transformation[[#This Row],[Commodity from]]&amp;Transformation[[#This Row],[Transaction from]]&amp;Transformation[[#This Row],[Commodity to]]&amp;Transformation[[#This Row],[Transaction to]]</f>
        <v>4670088114670015DE</v>
      </c>
      <c r="BR161" s="26" t="str">
        <f>Transformation[[#This Row],[crfomid]]&amp;Transformation[[#This Row],[Transaction from]]&amp;"("&amp;Transformation[[#This Row],[Multiplier]]&amp;") -&gt; "&amp;Transformation[[#This Row],[ctoid]]&amp;Transformation[[#This Row],[Transaction to]]</f>
        <v>DL08811(1) -&gt; DL015DE</v>
      </c>
    </row>
    <row r="162" spans="25:70" x14ac:dyDescent="0.45">
      <c r="Y162" s="5" t="s">
        <v>1089</v>
      </c>
      <c r="Z162" s="4" t="s">
        <v>1065</v>
      </c>
      <c r="AA162" s="4" t="s">
        <v>1350</v>
      </c>
      <c r="AB162" s="4" t="s">
        <v>9</v>
      </c>
      <c r="AC162" s="24" t="str">
        <f>IFERROR(VLOOKUP(Transactions[[#This Row],[Parent code]],Transactions[[Transaction code]:[Transaction name]],2,0),"")</f>
        <v>Electricity, CHP and Heat plants - Main activity</v>
      </c>
      <c r="AD162" s="4" t="s">
        <v>189</v>
      </c>
      <c r="AE162" s="4" t="s">
        <v>959</v>
      </c>
      <c r="AF162" s="4" t="s">
        <v>642</v>
      </c>
      <c r="AG162" s="4" t="s">
        <v>1</v>
      </c>
      <c r="AH162" s="4" t="s">
        <v>696</v>
      </c>
      <c r="AI162" s="12" t="s">
        <v>1416</v>
      </c>
      <c r="AJ162" s="4" t="s">
        <v>0</v>
      </c>
      <c r="AK162" s="24" t="str" cm="1">
        <f t="array" ref="AK162">IFERROR(INDEX(Transactions[[Transaction code]:[Transaction name]],_xlfn.XMATCH(Transactions[[#This Row],[Parent code]],Transactions[Transaction name],0),3),Transactions[[#This Row],[Transaction name]])</f>
        <v>Electricity, CHP and Heat plants - Main activity - biogases</v>
      </c>
      <c r="AL162" s="24" t="str" cm="1">
        <f t="array" ref="AL162">IFERROR(INDEX(Transactions[[Transaction code]:[Transaction name]],_xlfn.XMATCH(INDEX(Transactions[[Transaction name]:[Parent code]],_xlfn.XMATCH(Transactions[[#This Row],[L1N]],Transactions[Transaction name],0),3),Transactions[Transaction code],0),2),Transactions[[#This Row],[L1N]])</f>
        <v>Electricity, CHP and Heat plants - Main activity</v>
      </c>
      <c r="AM162" s="24" t="str" cm="1">
        <f t="array" ref="AM162">IFERROR(INDEX(Transactions[[Transaction code]:[Transaction name]],_xlfn.XMATCH(INDEX(Transactions[[Transaction name]:[Parent code]],_xlfn.XMATCH(Transactions[[#This Row],[L2N]],Transactions[Transaction name],0),3),Transactions[Transaction code],0),2),Transactions[[#This Row],[L2N]])</f>
        <v>Production</v>
      </c>
      <c r="AN162" s="24" t="str" cm="1">
        <f t="array" ref="AN162">IFERROR(INDEX(Transactions[[Transaction code]:[Transaction name]],_xlfn.XMATCH(INDEX(Transactions[[Transaction name]:[Parent code]],_xlfn.XMATCH(Transactions[[#This Row],[L3N]],Transactions[Transaction name],0),3),Transactions[Transaction code],0),2),Transactions[[#This Row],[L3N]])</f>
        <v>Total energy supply</v>
      </c>
      <c r="AO162" s="24" t="str" cm="1">
        <f t="array" ref="AO162">IFERROR(INDEX(Transactions[[Transaction code]:[Transaction name]],_xlfn.XMATCH(INDEX(Transactions[[Transaction name]:[Parent code]],_xlfn.XMATCH(Transactions[[#This Row],[L4N]],Transactions[Transaction name],0),3),Transactions[Transaction code],0),2),Transactions[[#This Row],[L4N]])</f>
        <v>Total energy supply</v>
      </c>
      <c r="AP162" s="24" t="str" cm="1">
        <f t="array" ref="AP162">IFERROR(INDEX(Transactions[[Transaction code]:[Transaction name]],_xlfn.XMATCH(INDEX(Transactions[[Transaction name]:[Parent code]],_xlfn.XMATCH(Transactions[[#This Row],[L5N]],Transactions[Transaction name],0),3),Transactions[Transaction code],0),2),Transactions[[#This Row],[L5N]])</f>
        <v>Total energy supply</v>
      </c>
      <c r="AQ162" s="24" t="str" cm="1">
        <f t="array" ref="AQ162">IFERROR(INDEX(Transactions[[Transaction code]:[Transaction name]],_xlfn.XMATCH(INDEX(Transactions[[Transaction name]:[Parent code]],_xlfn.XMATCH(Transactions[[#This Row],[L6N]],Transactions[Transaction name],0),3),Transactions[Transaction code],0),2),Transactions[[#This Row],[L6N]])</f>
        <v>Total energy supply</v>
      </c>
      <c r="AR162" s="28" t="str">
        <f>IF(Transactions[[#This Row],[L7N]]=Transactions[[#This Row],[L6N]],Transactions[[#This Row],[L7N]],IF(Transactions[[#This Row],[L6N]]=Transactions[[#This Row],[L5N]],Transactions[[#This Row],[L6N]],IF(Transactions[[#This Row],[L5N]]=Transactions[[#This Row],[L4N]],Transactions[[#This Row],[L5N]],IF(Transactions[[#This Row],[L4N]]=Transactions[[#This Row],[L3N]],Transactions[[#This Row],[L4N]],IF(Transactions[[#This Row],[L3N]]=Transactions[[#This Row],[L2N]],Transactions[[#This Row],[L3N]],IF(Transactions[[#This Row],[L2N]]=Transactions[[#This Row],[L1N]],Transactions[[#This Row],[L2N]],IF(Transactions[[#This Row],[L1N]]=Transactions[[#This Row],[Transaction name]],Transactions[[#This Row],[L1N]],Transactions[[#This Row],[Transaction name]])))))))</f>
        <v>Total energy supply</v>
      </c>
      <c r="AS162" s="24" t="str">
        <f>IF(Transactions[[#This Row],[Level 0]]=Transactions[[#This Row],[Transaction name]],Transactions[[#This Row],[Transaction name]],IF(Transactions[[#This Row],[Level 0]]=Transactions[[#This Row],[L1N]],Transactions[[#This Row],[Transaction name]],IF(Transactions[[#This Row],[Level 0]]=Transactions[[#This Row],[L2N]],Transactions[[#This Row],[L1N]],IF(Transactions[[#This Row],[Level 0]]=Transactions[[#This Row],[L3N]],Transactions[[#This Row],[L2N]],IF(Transactions[[#This Row],[Level 0]]=Transactions[[#This Row],[L4N]],Transactions[[#This Row],[L3N]],IF(Transactions[[#This Row],[Level 0]]=Transactions[[#This Row],[L5N]],Transactions[[#This Row],[L4N]],IF(Transactions[[#This Row],[Level 0]]=Transactions[[#This Row],[L6N]],Transactions[[#This Row],[L5N]],IF(Transactions[[#This Row],[Level 0]]=Transactions[[#This Row],[L7N]],Transactions[[#This Row],[L6N]],Transactions[[#This Row],[L7N]]))))))))</f>
        <v>Production</v>
      </c>
      <c r="AT162" s="24" t="str">
        <f>IF(Transactions[[#This Row],[Level 1]]=Transactions[[#This Row],[Transaction name]],Transactions[[#This Row],[Transaction name]],IF(Transactions[[#This Row],[Level 1]]=Transactions[[#This Row],[L1N]],Transactions[[#This Row],[Transaction name]],IF(Transactions[[#This Row],[Level 1]]=Transactions[[#This Row],[L2N]],Transactions[[#This Row],[L1N]],IF(Transactions[[#This Row],[Level 1]]=Transactions[[#This Row],[L3N]],Transactions[[#This Row],[L2N]],IF(Transactions[[#This Row],[Level 1]]=Transactions[[#This Row],[L4N]],Transactions[[#This Row],[L3N]],IF(Transactions[[#This Row],[Level 1]]=Transactions[[#This Row],[L5N]],Transactions[[#This Row],[L4N]],IF(Transactions[[#This Row],[Level 1]]=Transactions[[#This Row],[L6N]],Transactions[[#This Row],[L5N]],IF(Transactions[[#This Row],[Level 1]]=Transactions[[#This Row],[L7N]],Transactions[[#This Row],[L6N]],Transactions[[#This Row],[L7N]]))))))))</f>
        <v>Electricity, CHP and Heat plants - Main activity</v>
      </c>
      <c r="AU162" s="24" t="str">
        <f>IF(Transactions[[#This Row],[Level 2]]=Transactions[[#This Row],[Transaction name]],Transactions[[#This Row],[Transaction name]],IF(Transactions[[#This Row],[Level 2]]=Transactions[[#This Row],[L1N]],Transactions[[#This Row],[Transaction name]],IF(Transactions[[#This Row],[Level 2]]=Transactions[[#This Row],[L2N]],Transactions[[#This Row],[L1N]],IF(Transactions[[#This Row],[Level 2]]=Transactions[[#This Row],[L3N]],Transactions[[#This Row],[L2N]],IF(Transactions[[#This Row],[Level 2]]=Transactions[[#This Row],[L4N]],Transactions[[#This Row],[L3N]],IF(Transactions[[#This Row],[Level 2]]=Transactions[[#This Row],[L5N]],Transactions[[#This Row],[L4N]],IF(Transactions[[#This Row],[Level 2]]=Transactions[[#This Row],[L6N]],Transactions[[#This Row],[L5N]],IF(Transactions[[#This Row],[Level 2]]=Transactions[[#This Row],[L7N]],Transactions[[#This Row],[L6N]],Transactions[[#This Row],[L7N]]))))))))</f>
        <v>Electricity, CHP and Heat plants - Main activity - biogases</v>
      </c>
      <c r="AV162" s="24" t="str">
        <f>IF(Transactions[[#This Row],[Level 3]]=Transactions[[#This Row],[Transaction name]],Transactions[[#This Row],[Transaction name]],IF(Transactions[[#This Row],[Level 3]]=Transactions[[#This Row],[L1N]],Transactions[[#This Row],[Transaction name]],IF(Transactions[[#This Row],[Level 3]]=Transactions[[#This Row],[L2N]],Transactions[[#This Row],[L1N]],IF(Transactions[[#This Row],[Level 3]]=Transactions[[#This Row],[L3N]],Transactions[[#This Row],[L2N]],IF(Transactions[[#This Row],[Level 3]]=Transactions[[#This Row],[L4N]],Transactions[[#This Row],[L3N]],IF(Transactions[[#This Row],[Level 3]]=Transactions[[#This Row],[L5N]],Transactions[[#This Row],[L4N]],IF(Transactions[[#This Row],[Level 3]]=Transactions[[#This Row],[L6N]],Transactions[[#This Row],[L5N]],IF(Transactions[[#This Row],[Level 3]]=Transactions[[#This Row],[L7N]],Transactions[[#This Row],[L6N]],Transactions[[#This Row],[L7N]]))))))))</f>
        <v>Electricity, CHP and Heat plants - Main activity - biogases</v>
      </c>
      <c r="AW162" s="24" t="str">
        <f>IF(Transactions[[#This Row],[Level 4]]=Transactions[[#This Row],[Transaction name]],Transactions[[#This Row],[Transaction name]],IF(Transactions[[#This Row],[Level 4]]=Transactions[[#This Row],[L1N]],Transactions[[#This Row],[Transaction name]],IF(Transactions[[#This Row],[Level 4]]=Transactions[[#This Row],[L2N]],Transactions[[#This Row],[L1N]],IF(Transactions[[#This Row],[Level 4]]=Transactions[[#This Row],[L3N]],Transactions[[#This Row],[L2N]],IF(Transactions[[#This Row],[Level 4]]=Transactions[[#This Row],[L4N]],Transactions[[#This Row],[L3N]],IF(Transactions[[#This Row],[Level 4]]=Transactions[[#This Row],[L5N]],Transactions[[#This Row],[L4N]],IF(Transactions[[#This Row],[Level 4]]=Transactions[[#This Row],[L6N]],Transactions[[#This Row],[L5N]],IF(Transactions[[#This Row],[Level 4]]=Transactions[[#This Row],[L7N]],Transactions[[#This Row],[L6N]],Transactions[[#This Row],[L7N]]))))))))</f>
        <v>Electricity, CHP and Heat plants - Main activity - biogases</v>
      </c>
      <c r="AX162" s="24" t="str">
        <f>IF(Transactions[[#This Row],[Level 5]]=Transactions[[#This Row],[Transaction name]],Transactions[[#This Row],[Transaction name]],IF(Transactions[[#This Row],[Level 5]]=Transactions[[#This Row],[L1N]],Transactions[[#This Row],[Transaction name]],IF(Transactions[[#This Row],[Level 5]]=Transactions[[#This Row],[L2N]],Transactions[[#This Row],[L1N]],IF(Transactions[[#This Row],[Level 5]]=Transactions[[#This Row],[L3N]],Transactions[[#This Row],[L2N]],IF(Transactions[[#This Row],[Level 5]]=Transactions[[#This Row],[L4N]],Transactions[[#This Row],[L3N]],IF(Transactions[[#This Row],[Level 5]]=Transactions[[#This Row],[L5N]],Transactions[[#This Row],[L4N]],IF(Transactions[[#This Row],[Level 5]]=Transactions[[#This Row],[L6N]],Transactions[[#This Row],[L5N]],IF(Transactions[[#This Row],[Level 5]]=Transactions[[#This Row],[L7N]],Transactions[[#This Row],[L6N]],Transactions[[#This Row],[L7N]]))))))))</f>
        <v>Electricity, CHP and Heat plants - Main activity - biogases</v>
      </c>
      <c r="AY162" s="24" t="str">
        <f>IF(Transactions[[#This Row],[Level 6]]=Transactions[[#This Row],[Transaction name]],Transactions[[#This Row],[Transaction name]],IF(Transactions[[#This Row],[Level 6]]=Transactions[[#This Row],[L1N]],Transactions[[#This Row],[Transaction name]],IF(Transactions[[#This Row],[Level 6]]=Transactions[[#This Row],[L2N]],Transactions[[#This Row],[L1N]],IF(Transactions[[#This Row],[Level 6]]=Transactions[[#This Row],[L3N]],Transactions[[#This Row],[L2N]],IF(Transactions[[#This Row],[Level 6]]=Transactions[[#This Row],[L4N]],Transactions[[#This Row],[L3N]],IF(Transactions[[#This Row],[Level 6]]=Transactions[[#This Row],[L5N]],Transactions[[#This Row],[L4N]],IF(Transactions[[#This Row],[Level 6]]=Transactions[[#This Row],[L6N]],Transactions[[#This Row],[L5N]],IF(Transactions[[#This Row],[Level 6]]=Transactions[[#This Row],[L7N]],Transactions[[#This Row],[L6N]],Transactions[[#This Row],[L7N]]))))))))</f>
        <v>Electricity, CHP and Heat plants - Main activity - biogases</v>
      </c>
      <c r="BE162" s="26" t="str">
        <f>_xlfn.XLOOKUP(Transformation[[#This Row],[cfrom]],Commodities[Commodity],Commodities[Commodity code])</f>
        <v>5110</v>
      </c>
      <c r="BF162" s="26" t="str">
        <f>_xlfn.XLOOKUP(Transformation[[#This Row],[tfrom]],Transactions[Transaction name],Transactions[Transaction code])</f>
        <v>08811</v>
      </c>
      <c r="BG162" s="26" t="str">
        <f>_xlfn.XLOOKUP(Transformation[[#This Row],[cto]],Commodities[Commodity],Commodities[Commodity code])</f>
        <v>5110</v>
      </c>
      <c r="BH162" s="26" t="str">
        <f>_xlfn.XLOOKUP(Transformation[[#This Row],[tto]],Transactions[Transaction name],Transactions[Transaction code])</f>
        <v>015WDE</v>
      </c>
      <c r="BI162" s="11">
        <v>1</v>
      </c>
      <c r="BJ162" s="4" t="s">
        <v>340</v>
      </c>
      <c r="BK162" s="24" t="str">
        <f>_xlfn.XLOOKUP(Transformation[[#This Row],[Commodity from]],Commodities[Commodity code],Commodities[EnergyCode])</f>
        <v>FW</v>
      </c>
      <c r="BL162" s="4" t="s">
        <v>689</v>
      </c>
      <c r="BM162" s="4" t="s">
        <v>340</v>
      </c>
      <c r="BN162" s="24" t="str">
        <f>_xlfn.XLOOKUP(Transformation[[#This Row],[Commodity to]],Commodities[Commodity code],Commodities[EnergyCode])</f>
        <v>FW</v>
      </c>
      <c r="BO162" s="4" t="s">
        <v>1115</v>
      </c>
      <c r="BP162" s="16" t="s">
        <v>1493</v>
      </c>
      <c r="BQ162" s="33" t="str">
        <f>Transformation[[#This Row],[Commodity from]]&amp;Transformation[[#This Row],[Transaction from]]&amp;Transformation[[#This Row],[Commodity to]]&amp;Transformation[[#This Row],[Transaction to]]</f>
        <v>5110088115110015WDE</v>
      </c>
      <c r="BR162" s="26" t="str">
        <f>Transformation[[#This Row],[crfomid]]&amp;Transformation[[#This Row],[Transaction from]]&amp;"("&amp;Transformation[[#This Row],[Multiplier]]&amp;") -&gt; "&amp;Transformation[[#This Row],[ctoid]]&amp;Transformation[[#This Row],[Transaction to]]</f>
        <v>FW08811(1) -&gt; FW015WDE</v>
      </c>
    </row>
    <row r="163" spans="25:70" x14ac:dyDescent="0.45">
      <c r="Y163" s="5" t="s">
        <v>1240</v>
      </c>
      <c r="Z163" s="4" t="s">
        <v>1176</v>
      </c>
      <c r="AA163" s="4" t="s">
        <v>1374</v>
      </c>
      <c r="AB163" s="4" t="s">
        <v>9</v>
      </c>
      <c r="AC163" s="24" t="str">
        <f>IFERROR(VLOOKUP(Transactions[[#This Row],[Parent code]],Transactions[[Transaction code]:[Transaction name]],2,0),"")</f>
        <v>Electricity, CHP and Heat plants - Main activity</v>
      </c>
      <c r="AD163" s="4" t="s">
        <v>189</v>
      </c>
      <c r="AE163" s="4" t="s">
        <v>959</v>
      </c>
      <c r="AF163" s="4" t="s">
        <v>642</v>
      </c>
      <c r="AG163" s="4" t="s">
        <v>1</v>
      </c>
      <c r="AH163" s="4" t="s">
        <v>696</v>
      </c>
      <c r="AI163" s="12" t="s">
        <v>1416</v>
      </c>
      <c r="AJ163" s="4" t="s">
        <v>0</v>
      </c>
      <c r="AK163" s="24" t="str" cm="1">
        <f t="array" ref="AK163">IFERROR(INDEX(Transactions[[Transaction code]:[Transaction name]],_xlfn.XMATCH(Transactions[[#This Row],[Parent code]],Transactions[Transaction name],0),3),Transactions[[#This Row],[Transaction name]])</f>
        <v>Electricity, CHP and Heat plants - Main activity - brown coal</v>
      </c>
      <c r="AL163" s="24" t="str" cm="1">
        <f t="array" ref="AL163">IFERROR(INDEX(Transactions[[Transaction code]:[Transaction name]],_xlfn.XMATCH(INDEX(Transactions[[Transaction name]:[Parent code]],_xlfn.XMATCH(Transactions[[#This Row],[L1N]],Transactions[Transaction name],0),3),Transactions[Transaction code],0),2),Transactions[[#This Row],[L1N]])</f>
        <v>Electricity, CHP and Heat plants - Main activity</v>
      </c>
      <c r="AM163" s="24" t="str" cm="1">
        <f t="array" ref="AM163">IFERROR(INDEX(Transactions[[Transaction code]:[Transaction name]],_xlfn.XMATCH(INDEX(Transactions[[Transaction name]:[Parent code]],_xlfn.XMATCH(Transactions[[#This Row],[L2N]],Transactions[Transaction name],0),3),Transactions[Transaction code],0),2),Transactions[[#This Row],[L2N]])</f>
        <v>Production</v>
      </c>
      <c r="AN163" s="24" t="str" cm="1">
        <f t="array" ref="AN163">IFERROR(INDEX(Transactions[[Transaction code]:[Transaction name]],_xlfn.XMATCH(INDEX(Transactions[[Transaction name]:[Parent code]],_xlfn.XMATCH(Transactions[[#This Row],[L3N]],Transactions[Transaction name],0),3),Transactions[Transaction code],0),2),Transactions[[#This Row],[L3N]])</f>
        <v>Total energy supply</v>
      </c>
      <c r="AO163" s="24" t="str" cm="1">
        <f t="array" ref="AO163">IFERROR(INDEX(Transactions[[Transaction code]:[Transaction name]],_xlfn.XMATCH(INDEX(Transactions[[Transaction name]:[Parent code]],_xlfn.XMATCH(Transactions[[#This Row],[L4N]],Transactions[Transaction name],0),3),Transactions[Transaction code],0),2),Transactions[[#This Row],[L4N]])</f>
        <v>Total energy supply</v>
      </c>
      <c r="AP163" s="24" t="str" cm="1">
        <f t="array" ref="AP163">IFERROR(INDEX(Transactions[[Transaction code]:[Transaction name]],_xlfn.XMATCH(INDEX(Transactions[[Transaction name]:[Parent code]],_xlfn.XMATCH(Transactions[[#This Row],[L5N]],Transactions[Transaction name],0),3),Transactions[Transaction code],0),2),Transactions[[#This Row],[L5N]])</f>
        <v>Total energy supply</v>
      </c>
      <c r="AQ163" s="24" t="str" cm="1">
        <f t="array" ref="AQ163">IFERROR(INDEX(Transactions[[Transaction code]:[Transaction name]],_xlfn.XMATCH(INDEX(Transactions[[Transaction name]:[Parent code]],_xlfn.XMATCH(Transactions[[#This Row],[L6N]],Transactions[Transaction name],0),3),Transactions[Transaction code],0),2),Transactions[[#This Row],[L6N]])</f>
        <v>Total energy supply</v>
      </c>
      <c r="AR163" s="28" t="str">
        <f>IF(Transactions[[#This Row],[L7N]]=Transactions[[#This Row],[L6N]],Transactions[[#This Row],[L7N]],IF(Transactions[[#This Row],[L6N]]=Transactions[[#This Row],[L5N]],Transactions[[#This Row],[L6N]],IF(Transactions[[#This Row],[L5N]]=Transactions[[#This Row],[L4N]],Transactions[[#This Row],[L5N]],IF(Transactions[[#This Row],[L4N]]=Transactions[[#This Row],[L3N]],Transactions[[#This Row],[L4N]],IF(Transactions[[#This Row],[L3N]]=Transactions[[#This Row],[L2N]],Transactions[[#This Row],[L3N]],IF(Transactions[[#This Row],[L2N]]=Transactions[[#This Row],[L1N]],Transactions[[#This Row],[L2N]],IF(Transactions[[#This Row],[L1N]]=Transactions[[#This Row],[Transaction name]],Transactions[[#This Row],[L1N]],Transactions[[#This Row],[Transaction name]])))))))</f>
        <v>Total energy supply</v>
      </c>
      <c r="AS163" s="24" t="str">
        <f>IF(Transactions[[#This Row],[Level 0]]=Transactions[[#This Row],[Transaction name]],Transactions[[#This Row],[Transaction name]],IF(Transactions[[#This Row],[Level 0]]=Transactions[[#This Row],[L1N]],Transactions[[#This Row],[Transaction name]],IF(Transactions[[#This Row],[Level 0]]=Transactions[[#This Row],[L2N]],Transactions[[#This Row],[L1N]],IF(Transactions[[#This Row],[Level 0]]=Transactions[[#This Row],[L3N]],Transactions[[#This Row],[L2N]],IF(Transactions[[#This Row],[Level 0]]=Transactions[[#This Row],[L4N]],Transactions[[#This Row],[L3N]],IF(Transactions[[#This Row],[Level 0]]=Transactions[[#This Row],[L5N]],Transactions[[#This Row],[L4N]],IF(Transactions[[#This Row],[Level 0]]=Transactions[[#This Row],[L6N]],Transactions[[#This Row],[L5N]],IF(Transactions[[#This Row],[Level 0]]=Transactions[[#This Row],[L7N]],Transactions[[#This Row],[L6N]],Transactions[[#This Row],[L7N]]))))))))</f>
        <v>Production</v>
      </c>
      <c r="AT163" s="24" t="str">
        <f>IF(Transactions[[#This Row],[Level 1]]=Transactions[[#This Row],[Transaction name]],Transactions[[#This Row],[Transaction name]],IF(Transactions[[#This Row],[Level 1]]=Transactions[[#This Row],[L1N]],Transactions[[#This Row],[Transaction name]],IF(Transactions[[#This Row],[Level 1]]=Transactions[[#This Row],[L2N]],Transactions[[#This Row],[L1N]],IF(Transactions[[#This Row],[Level 1]]=Transactions[[#This Row],[L3N]],Transactions[[#This Row],[L2N]],IF(Transactions[[#This Row],[Level 1]]=Transactions[[#This Row],[L4N]],Transactions[[#This Row],[L3N]],IF(Transactions[[#This Row],[Level 1]]=Transactions[[#This Row],[L5N]],Transactions[[#This Row],[L4N]],IF(Transactions[[#This Row],[Level 1]]=Transactions[[#This Row],[L6N]],Transactions[[#This Row],[L5N]],IF(Transactions[[#This Row],[Level 1]]=Transactions[[#This Row],[L7N]],Transactions[[#This Row],[L6N]],Transactions[[#This Row],[L7N]]))))))))</f>
        <v>Electricity, CHP and Heat plants - Main activity</v>
      </c>
      <c r="AU163" s="24" t="str">
        <f>IF(Transactions[[#This Row],[Level 2]]=Transactions[[#This Row],[Transaction name]],Transactions[[#This Row],[Transaction name]],IF(Transactions[[#This Row],[Level 2]]=Transactions[[#This Row],[L1N]],Transactions[[#This Row],[Transaction name]],IF(Transactions[[#This Row],[Level 2]]=Transactions[[#This Row],[L2N]],Transactions[[#This Row],[L1N]],IF(Transactions[[#This Row],[Level 2]]=Transactions[[#This Row],[L3N]],Transactions[[#This Row],[L2N]],IF(Transactions[[#This Row],[Level 2]]=Transactions[[#This Row],[L4N]],Transactions[[#This Row],[L3N]],IF(Transactions[[#This Row],[Level 2]]=Transactions[[#This Row],[L5N]],Transactions[[#This Row],[L4N]],IF(Transactions[[#This Row],[Level 2]]=Transactions[[#This Row],[L6N]],Transactions[[#This Row],[L5N]],IF(Transactions[[#This Row],[Level 2]]=Transactions[[#This Row],[L7N]],Transactions[[#This Row],[L6N]],Transactions[[#This Row],[L7N]]))))))))</f>
        <v>Electricity, CHP and Heat plants - Main activity - brown coal</v>
      </c>
      <c r="AV163" s="24" t="str">
        <f>IF(Transactions[[#This Row],[Level 3]]=Transactions[[#This Row],[Transaction name]],Transactions[[#This Row],[Transaction name]],IF(Transactions[[#This Row],[Level 3]]=Transactions[[#This Row],[L1N]],Transactions[[#This Row],[Transaction name]],IF(Transactions[[#This Row],[Level 3]]=Transactions[[#This Row],[L2N]],Transactions[[#This Row],[L1N]],IF(Transactions[[#This Row],[Level 3]]=Transactions[[#This Row],[L3N]],Transactions[[#This Row],[L2N]],IF(Transactions[[#This Row],[Level 3]]=Transactions[[#This Row],[L4N]],Transactions[[#This Row],[L3N]],IF(Transactions[[#This Row],[Level 3]]=Transactions[[#This Row],[L5N]],Transactions[[#This Row],[L4N]],IF(Transactions[[#This Row],[Level 3]]=Transactions[[#This Row],[L6N]],Transactions[[#This Row],[L5N]],IF(Transactions[[#This Row],[Level 3]]=Transactions[[#This Row],[L7N]],Transactions[[#This Row],[L6N]],Transactions[[#This Row],[L7N]]))))))))</f>
        <v>Electricity, CHP and Heat plants - Main activity - brown coal</v>
      </c>
      <c r="AW163" s="24" t="str">
        <f>IF(Transactions[[#This Row],[Level 4]]=Transactions[[#This Row],[Transaction name]],Transactions[[#This Row],[Transaction name]],IF(Transactions[[#This Row],[Level 4]]=Transactions[[#This Row],[L1N]],Transactions[[#This Row],[Transaction name]],IF(Transactions[[#This Row],[Level 4]]=Transactions[[#This Row],[L2N]],Transactions[[#This Row],[L1N]],IF(Transactions[[#This Row],[Level 4]]=Transactions[[#This Row],[L3N]],Transactions[[#This Row],[L2N]],IF(Transactions[[#This Row],[Level 4]]=Transactions[[#This Row],[L4N]],Transactions[[#This Row],[L3N]],IF(Transactions[[#This Row],[Level 4]]=Transactions[[#This Row],[L5N]],Transactions[[#This Row],[L4N]],IF(Transactions[[#This Row],[Level 4]]=Transactions[[#This Row],[L6N]],Transactions[[#This Row],[L5N]],IF(Transactions[[#This Row],[Level 4]]=Transactions[[#This Row],[L7N]],Transactions[[#This Row],[L6N]],Transactions[[#This Row],[L7N]]))))))))</f>
        <v>Electricity, CHP and Heat plants - Main activity - brown coal</v>
      </c>
      <c r="AX163" s="24" t="str">
        <f>IF(Transactions[[#This Row],[Level 5]]=Transactions[[#This Row],[Transaction name]],Transactions[[#This Row],[Transaction name]],IF(Transactions[[#This Row],[Level 5]]=Transactions[[#This Row],[L1N]],Transactions[[#This Row],[Transaction name]],IF(Transactions[[#This Row],[Level 5]]=Transactions[[#This Row],[L2N]],Transactions[[#This Row],[L1N]],IF(Transactions[[#This Row],[Level 5]]=Transactions[[#This Row],[L3N]],Transactions[[#This Row],[L2N]],IF(Transactions[[#This Row],[Level 5]]=Transactions[[#This Row],[L4N]],Transactions[[#This Row],[L3N]],IF(Transactions[[#This Row],[Level 5]]=Transactions[[#This Row],[L5N]],Transactions[[#This Row],[L4N]],IF(Transactions[[#This Row],[Level 5]]=Transactions[[#This Row],[L6N]],Transactions[[#This Row],[L5N]],IF(Transactions[[#This Row],[Level 5]]=Transactions[[#This Row],[L7N]],Transactions[[#This Row],[L6N]],Transactions[[#This Row],[L7N]]))))))))</f>
        <v>Electricity, CHP and Heat plants - Main activity - brown coal</v>
      </c>
      <c r="AY163" s="24" t="str">
        <f>IF(Transactions[[#This Row],[Level 6]]=Transactions[[#This Row],[Transaction name]],Transactions[[#This Row],[Transaction name]],IF(Transactions[[#This Row],[Level 6]]=Transactions[[#This Row],[L1N]],Transactions[[#This Row],[Transaction name]],IF(Transactions[[#This Row],[Level 6]]=Transactions[[#This Row],[L2N]],Transactions[[#This Row],[L1N]],IF(Transactions[[#This Row],[Level 6]]=Transactions[[#This Row],[L3N]],Transactions[[#This Row],[L2N]],IF(Transactions[[#This Row],[Level 6]]=Transactions[[#This Row],[L4N]],Transactions[[#This Row],[L3N]],IF(Transactions[[#This Row],[Level 6]]=Transactions[[#This Row],[L5N]],Transactions[[#This Row],[L4N]],IF(Transactions[[#This Row],[Level 6]]=Transactions[[#This Row],[L6N]],Transactions[[#This Row],[L5N]],IF(Transactions[[#This Row],[Level 6]]=Transactions[[#This Row],[L7N]],Transactions[[#This Row],[L6N]],Transactions[[#This Row],[L7N]]))))))))</f>
        <v>Electricity, CHP and Heat plants - Main activity - brown coal</v>
      </c>
      <c r="BE163" s="26" t="str">
        <f>_xlfn.XLOOKUP(Transformation[[#This Row],[cfrom]],Commodities[Commodity],Commodities[Commodity code])</f>
        <v>0360</v>
      </c>
      <c r="BF163" s="26" t="str">
        <f>_xlfn.XLOOKUP(Transformation[[#This Row],[tfrom]],Transactions[Transaction name],Transactions[Transaction code])</f>
        <v>08811</v>
      </c>
      <c r="BG163" s="26" t="str">
        <f>_xlfn.XLOOKUP(Transformation[[#This Row],[cto]],Commodities[Commodity],Commodities[Commodity code])</f>
        <v>0360</v>
      </c>
      <c r="BH163" s="26" t="str">
        <f>_xlfn.XLOOKUP(Transformation[[#This Row],[tto]],Transactions[Transaction name],Transactions[Transaction code])</f>
        <v>015CGE</v>
      </c>
      <c r="BI163" s="11">
        <v>1</v>
      </c>
      <c r="BJ163" s="4" t="s">
        <v>483</v>
      </c>
      <c r="BK163" s="24" t="str">
        <f>_xlfn.XLOOKUP(Transformation[[#This Row],[Commodity from]],Commodities[Commodity code],Commodities[EnergyCode])</f>
        <v>GG</v>
      </c>
      <c r="BL163" s="4" t="s">
        <v>689</v>
      </c>
      <c r="BM163" s="4" t="s">
        <v>483</v>
      </c>
      <c r="BN163" s="24" t="str">
        <f>_xlfn.XLOOKUP(Transformation[[#This Row],[Commodity to]],Commodities[Commodity code],Commodities[EnergyCode])</f>
        <v>GG</v>
      </c>
      <c r="BO163" s="4" t="s">
        <v>1218</v>
      </c>
      <c r="BP163" s="16" t="s">
        <v>1493</v>
      </c>
      <c r="BQ163" s="33" t="str">
        <f>Transformation[[#This Row],[Commodity from]]&amp;Transformation[[#This Row],[Transaction from]]&amp;Transformation[[#This Row],[Commodity to]]&amp;Transformation[[#This Row],[Transaction to]]</f>
        <v>0360088110360015CGE</v>
      </c>
      <c r="BR163" s="26" t="str">
        <f>Transformation[[#This Row],[crfomid]]&amp;Transformation[[#This Row],[Transaction from]]&amp;"("&amp;Transformation[[#This Row],[Multiplier]]&amp;") -&gt; "&amp;Transformation[[#This Row],[ctoid]]&amp;Transformation[[#This Row],[Transaction to]]</f>
        <v>GG08811(1) -&gt; GG015CGE</v>
      </c>
    </row>
    <row r="164" spans="25:70" x14ac:dyDescent="0.45">
      <c r="Y164" s="5" t="s">
        <v>335</v>
      </c>
      <c r="Z164" s="4" t="s">
        <v>662</v>
      </c>
      <c r="AA164" s="4" t="s">
        <v>1315</v>
      </c>
      <c r="AB164" s="4" t="s">
        <v>9</v>
      </c>
      <c r="AC164" s="24" t="str">
        <f>IFERROR(VLOOKUP(Transactions[[#This Row],[Parent code]],Transactions[[Transaction code]:[Transaction name]],2,0),"")</f>
        <v>Electricity, CHP and Heat plants - Main activity</v>
      </c>
      <c r="AD164" s="4" t="s">
        <v>189</v>
      </c>
      <c r="AE164" s="4" t="s">
        <v>959</v>
      </c>
      <c r="AF164" s="4" t="s">
        <v>642</v>
      </c>
      <c r="AG164" s="4" t="s">
        <v>1</v>
      </c>
      <c r="AH164" s="4" t="s">
        <v>696</v>
      </c>
      <c r="AJ164" s="4" t="s">
        <v>0</v>
      </c>
      <c r="AK164" s="24" t="str" cm="1">
        <f t="array" ref="AK164">IFERROR(INDEX(Transactions[[Transaction code]:[Transaction name]],_xlfn.XMATCH(Transactions[[#This Row],[Parent code]],Transactions[Transaction name],0),3),Transactions[[#This Row],[Transaction name]])</f>
        <v>Electricity, CHP and Heat plants - Main activity - chemical heat/sources</v>
      </c>
      <c r="AL164" s="24" t="str" cm="1">
        <f t="array" ref="AL164">IFERROR(INDEX(Transactions[[Transaction code]:[Transaction name]],_xlfn.XMATCH(INDEX(Transactions[[Transaction name]:[Parent code]],_xlfn.XMATCH(Transactions[[#This Row],[L1N]],Transactions[Transaction name],0),3),Transactions[Transaction code],0),2),Transactions[[#This Row],[L1N]])</f>
        <v>Electricity, CHP and Heat plants - Main activity</v>
      </c>
      <c r="AM164" s="24" t="str" cm="1">
        <f t="array" ref="AM164">IFERROR(INDEX(Transactions[[Transaction code]:[Transaction name]],_xlfn.XMATCH(INDEX(Transactions[[Transaction name]:[Parent code]],_xlfn.XMATCH(Transactions[[#This Row],[L2N]],Transactions[Transaction name],0),3),Transactions[Transaction code],0),2),Transactions[[#This Row],[L2N]])</f>
        <v>Production</v>
      </c>
      <c r="AN164" s="24" t="str" cm="1">
        <f t="array" ref="AN164">IFERROR(INDEX(Transactions[[Transaction code]:[Transaction name]],_xlfn.XMATCH(INDEX(Transactions[[Transaction name]:[Parent code]],_xlfn.XMATCH(Transactions[[#This Row],[L3N]],Transactions[Transaction name],0),3),Transactions[Transaction code],0),2),Transactions[[#This Row],[L3N]])</f>
        <v>Total energy supply</v>
      </c>
      <c r="AO164" s="24" t="str" cm="1">
        <f t="array" ref="AO164">IFERROR(INDEX(Transactions[[Transaction code]:[Transaction name]],_xlfn.XMATCH(INDEX(Transactions[[Transaction name]:[Parent code]],_xlfn.XMATCH(Transactions[[#This Row],[L4N]],Transactions[Transaction name],0),3),Transactions[Transaction code],0),2),Transactions[[#This Row],[L4N]])</f>
        <v>Total energy supply</v>
      </c>
      <c r="AP164" s="24" t="str" cm="1">
        <f t="array" ref="AP164">IFERROR(INDEX(Transactions[[Transaction code]:[Transaction name]],_xlfn.XMATCH(INDEX(Transactions[[Transaction name]:[Parent code]],_xlfn.XMATCH(Transactions[[#This Row],[L5N]],Transactions[Transaction name],0),3),Transactions[Transaction code],0),2),Transactions[[#This Row],[L5N]])</f>
        <v>Total energy supply</v>
      </c>
      <c r="AQ164" s="24" t="str" cm="1">
        <f t="array" ref="AQ164">IFERROR(INDEX(Transactions[[Transaction code]:[Transaction name]],_xlfn.XMATCH(INDEX(Transactions[[Transaction name]:[Parent code]],_xlfn.XMATCH(Transactions[[#This Row],[L6N]],Transactions[Transaction name],0),3),Transactions[Transaction code],0),2),Transactions[[#This Row],[L6N]])</f>
        <v>Total energy supply</v>
      </c>
      <c r="AR164" s="28" t="str">
        <f>IF(Transactions[[#This Row],[L7N]]=Transactions[[#This Row],[L6N]],Transactions[[#This Row],[L7N]],IF(Transactions[[#This Row],[L6N]]=Transactions[[#This Row],[L5N]],Transactions[[#This Row],[L6N]],IF(Transactions[[#This Row],[L5N]]=Transactions[[#This Row],[L4N]],Transactions[[#This Row],[L5N]],IF(Transactions[[#This Row],[L4N]]=Transactions[[#This Row],[L3N]],Transactions[[#This Row],[L4N]],IF(Transactions[[#This Row],[L3N]]=Transactions[[#This Row],[L2N]],Transactions[[#This Row],[L3N]],IF(Transactions[[#This Row],[L2N]]=Transactions[[#This Row],[L1N]],Transactions[[#This Row],[L2N]],IF(Transactions[[#This Row],[L1N]]=Transactions[[#This Row],[Transaction name]],Transactions[[#This Row],[L1N]],Transactions[[#This Row],[Transaction name]])))))))</f>
        <v>Total energy supply</v>
      </c>
      <c r="AS164" s="24" t="str">
        <f>IF(Transactions[[#This Row],[Level 0]]=Transactions[[#This Row],[Transaction name]],Transactions[[#This Row],[Transaction name]],IF(Transactions[[#This Row],[Level 0]]=Transactions[[#This Row],[L1N]],Transactions[[#This Row],[Transaction name]],IF(Transactions[[#This Row],[Level 0]]=Transactions[[#This Row],[L2N]],Transactions[[#This Row],[L1N]],IF(Transactions[[#This Row],[Level 0]]=Transactions[[#This Row],[L3N]],Transactions[[#This Row],[L2N]],IF(Transactions[[#This Row],[Level 0]]=Transactions[[#This Row],[L4N]],Transactions[[#This Row],[L3N]],IF(Transactions[[#This Row],[Level 0]]=Transactions[[#This Row],[L5N]],Transactions[[#This Row],[L4N]],IF(Transactions[[#This Row],[Level 0]]=Transactions[[#This Row],[L6N]],Transactions[[#This Row],[L5N]],IF(Transactions[[#This Row],[Level 0]]=Transactions[[#This Row],[L7N]],Transactions[[#This Row],[L6N]],Transactions[[#This Row],[L7N]]))))))))</f>
        <v>Production</v>
      </c>
      <c r="AT164" s="24" t="str">
        <f>IF(Transactions[[#This Row],[Level 1]]=Transactions[[#This Row],[Transaction name]],Transactions[[#This Row],[Transaction name]],IF(Transactions[[#This Row],[Level 1]]=Transactions[[#This Row],[L1N]],Transactions[[#This Row],[Transaction name]],IF(Transactions[[#This Row],[Level 1]]=Transactions[[#This Row],[L2N]],Transactions[[#This Row],[L1N]],IF(Transactions[[#This Row],[Level 1]]=Transactions[[#This Row],[L3N]],Transactions[[#This Row],[L2N]],IF(Transactions[[#This Row],[Level 1]]=Transactions[[#This Row],[L4N]],Transactions[[#This Row],[L3N]],IF(Transactions[[#This Row],[Level 1]]=Transactions[[#This Row],[L5N]],Transactions[[#This Row],[L4N]],IF(Transactions[[#This Row],[Level 1]]=Transactions[[#This Row],[L6N]],Transactions[[#This Row],[L5N]],IF(Transactions[[#This Row],[Level 1]]=Transactions[[#This Row],[L7N]],Transactions[[#This Row],[L6N]],Transactions[[#This Row],[L7N]]))))))))</f>
        <v>Electricity, CHP and Heat plants - Main activity</v>
      </c>
      <c r="AU164" s="24" t="str">
        <f>IF(Transactions[[#This Row],[Level 2]]=Transactions[[#This Row],[Transaction name]],Transactions[[#This Row],[Transaction name]],IF(Transactions[[#This Row],[Level 2]]=Transactions[[#This Row],[L1N]],Transactions[[#This Row],[Transaction name]],IF(Transactions[[#This Row],[Level 2]]=Transactions[[#This Row],[L2N]],Transactions[[#This Row],[L1N]],IF(Transactions[[#This Row],[Level 2]]=Transactions[[#This Row],[L3N]],Transactions[[#This Row],[L2N]],IF(Transactions[[#This Row],[Level 2]]=Transactions[[#This Row],[L4N]],Transactions[[#This Row],[L3N]],IF(Transactions[[#This Row],[Level 2]]=Transactions[[#This Row],[L5N]],Transactions[[#This Row],[L4N]],IF(Transactions[[#This Row],[Level 2]]=Transactions[[#This Row],[L6N]],Transactions[[#This Row],[L5N]],IF(Transactions[[#This Row],[Level 2]]=Transactions[[#This Row],[L7N]],Transactions[[#This Row],[L6N]],Transactions[[#This Row],[L7N]]))))))))</f>
        <v>Electricity, CHP and Heat plants - Main activity - chemical heat/sources</v>
      </c>
      <c r="AV164" s="24" t="str">
        <f>IF(Transactions[[#This Row],[Level 3]]=Transactions[[#This Row],[Transaction name]],Transactions[[#This Row],[Transaction name]],IF(Transactions[[#This Row],[Level 3]]=Transactions[[#This Row],[L1N]],Transactions[[#This Row],[Transaction name]],IF(Transactions[[#This Row],[Level 3]]=Transactions[[#This Row],[L2N]],Transactions[[#This Row],[L1N]],IF(Transactions[[#This Row],[Level 3]]=Transactions[[#This Row],[L3N]],Transactions[[#This Row],[L2N]],IF(Transactions[[#This Row],[Level 3]]=Transactions[[#This Row],[L4N]],Transactions[[#This Row],[L3N]],IF(Transactions[[#This Row],[Level 3]]=Transactions[[#This Row],[L5N]],Transactions[[#This Row],[L4N]],IF(Transactions[[#This Row],[Level 3]]=Transactions[[#This Row],[L6N]],Transactions[[#This Row],[L5N]],IF(Transactions[[#This Row],[Level 3]]=Transactions[[#This Row],[L7N]],Transactions[[#This Row],[L6N]],Transactions[[#This Row],[L7N]]))))))))</f>
        <v>Electricity, CHP and Heat plants - Main activity - chemical heat/sources</v>
      </c>
      <c r="AW164" s="24" t="str">
        <f>IF(Transactions[[#This Row],[Level 4]]=Transactions[[#This Row],[Transaction name]],Transactions[[#This Row],[Transaction name]],IF(Transactions[[#This Row],[Level 4]]=Transactions[[#This Row],[L1N]],Transactions[[#This Row],[Transaction name]],IF(Transactions[[#This Row],[Level 4]]=Transactions[[#This Row],[L2N]],Transactions[[#This Row],[L1N]],IF(Transactions[[#This Row],[Level 4]]=Transactions[[#This Row],[L3N]],Transactions[[#This Row],[L2N]],IF(Transactions[[#This Row],[Level 4]]=Transactions[[#This Row],[L4N]],Transactions[[#This Row],[L3N]],IF(Transactions[[#This Row],[Level 4]]=Transactions[[#This Row],[L5N]],Transactions[[#This Row],[L4N]],IF(Transactions[[#This Row],[Level 4]]=Transactions[[#This Row],[L6N]],Transactions[[#This Row],[L5N]],IF(Transactions[[#This Row],[Level 4]]=Transactions[[#This Row],[L7N]],Transactions[[#This Row],[L6N]],Transactions[[#This Row],[L7N]]))))))))</f>
        <v>Electricity, CHP and Heat plants - Main activity - chemical heat/sources</v>
      </c>
      <c r="AX164" s="24" t="str">
        <f>IF(Transactions[[#This Row],[Level 5]]=Transactions[[#This Row],[Transaction name]],Transactions[[#This Row],[Transaction name]],IF(Transactions[[#This Row],[Level 5]]=Transactions[[#This Row],[L1N]],Transactions[[#This Row],[Transaction name]],IF(Transactions[[#This Row],[Level 5]]=Transactions[[#This Row],[L2N]],Transactions[[#This Row],[L1N]],IF(Transactions[[#This Row],[Level 5]]=Transactions[[#This Row],[L3N]],Transactions[[#This Row],[L2N]],IF(Transactions[[#This Row],[Level 5]]=Transactions[[#This Row],[L4N]],Transactions[[#This Row],[L3N]],IF(Transactions[[#This Row],[Level 5]]=Transactions[[#This Row],[L5N]],Transactions[[#This Row],[L4N]],IF(Transactions[[#This Row],[Level 5]]=Transactions[[#This Row],[L6N]],Transactions[[#This Row],[L5N]],IF(Transactions[[#This Row],[Level 5]]=Transactions[[#This Row],[L7N]],Transactions[[#This Row],[L6N]],Transactions[[#This Row],[L7N]]))))))))</f>
        <v>Electricity, CHP and Heat plants - Main activity - chemical heat/sources</v>
      </c>
      <c r="AY164" s="24" t="str">
        <f>IF(Transactions[[#This Row],[Level 6]]=Transactions[[#This Row],[Transaction name]],Transactions[[#This Row],[Transaction name]],IF(Transactions[[#This Row],[Level 6]]=Transactions[[#This Row],[L1N]],Transactions[[#This Row],[Transaction name]],IF(Transactions[[#This Row],[Level 6]]=Transactions[[#This Row],[L2N]],Transactions[[#This Row],[L1N]],IF(Transactions[[#This Row],[Level 6]]=Transactions[[#This Row],[L3N]],Transactions[[#This Row],[L2N]],IF(Transactions[[#This Row],[Level 6]]=Transactions[[#This Row],[L4N]],Transactions[[#This Row],[L3N]],IF(Transactions[[#This Row],[Level 6]]=Transactions[[#This Row],[L5N]],Transactions[[#This Row],[L4N]],IF(Transactions[[#This Row],[Level 6]]=Transactions[[#This Row],[L6N]],Transactions[[#This Row],[L5N]],IF(Transactions[[#This Row],[Level 6]]=Transactions[[#This Row],[L7N]],Transactions[[#This Row],[L6N]],Transactions[[#This Row],[L7N]]))))))))</f>
        <v>Electricity, CHP and Heat plants - Main activity - chemical heat/sources</v>
      </c>
      <c r="BE164" s="26" t="str">
        <f>_xlfn.XLOOKUP(Transformation[[#This Row],[cfrom]],Commodities[Commodity],Commodities[Commodity code])</f>
        <v>4200</v>
      </c>
      <c r="BF164" s="26" t="str">
        <f>_xlfn.XLOOKUP(Transformation[[#This Row],[tfrom]],Transactions[Transaction name],Transactions[Transaction code])</f>
        <v>08811</v>
      </c>
      <c r="BG164" s="26" t="str">
        <f>_xlfn.XLOOKUP(Transformation[[#This Row],[cto]],Commodities[Commodity],Commodities[Commodity code])</f>
        <v>4200</v>
      </c>
      <c r="BH164" s="26" t="str">
        <f>_xlfn.XLOOKUP(Transformation[[#This Row],[tto]],Transactions[Transaction name],Transactions[Transaction code])</f>
        <v>015COE</v>
      </c>
      <c r="BI164" s="11">
        <v>1</v>
      </c>
      <c r="BJ164" s="4" t="s">
        <v>435</v>
      </c>
      <c r="BK164" s="24" t="str">
        <f>_xlfn.XLOOKUP(Transformation[[#This Row],[Commodity from]],Commodities[Commodity code],Commodities[EnergyCode])</f>
        <v>GL</v>
      </c>
      <c r="BL164" s="4" t="s">
        <v>689</v>
      </c>
      <c r="BM164" s="4" t="s">
        <v>435</v>
      </c>
      <c r="BN164" s="24" t="str">
        <f>_xlfn.XLOOKUP(Transformation[[#This Row],[Commodity to]],Commodities[Commodity code],Commodities[EnergyCode])</f>
        <v>GL</v>
      </c>
      <c r="BO164" s="4" t="s">
        <v>1226</v>
      </c>
      <c r="BP164" s="16" t="s">
        <v>1493</v>
      </c>
      <c r="BQ164" s="33" t="str">
        <f>Transformation[[#This Row],[Commodity from]]&amp;Transformation[[#This Row],[Transaction from]]&amp;Transformation[[#This Row],[Commodity to]]&amp;Transformation[[#This Row],[Transaction to]]</f>
        <v>4200088114200015COE</v>
      </c>
      <c r="BR164" s="26" t="str">
        <f>Transformation[[#This Row],[crfomid]]&amp;Transformation[[#This Row],[Transaction from]]&amp;"("&amp;Transformation[[#This Row],[Multiplier]]&amp;") -&gt; "&amp;Transformation[[#This Row],[ctoid]]&amp;Transformation[[#This Row],[Transaction to]]</f>
        <v>GL08811(1) -&gt; GL015COE</v>
      </c>
    </row>
    <row r="165" spans="25:70" x14ac:dyDescent="0.45">
      <c r="Y165" s="5" t="s">
        <v>358</v>
      </c>
      <c r="Z165" s="4" t="s">
        <v>645</v>
      </c>
      <c r="AA165" s="4" t="s">
        <v>1307</v>
      </c>
      <c r="AB165" s="4" t="s">
        <v>9</v>
      </c>
      <c r="AC165" s="24" t="str">
        <f>IFERROR(VLOOKUP(Transactions[[#This Row],[Parent code]],Transactions[[Transaction code]:[Transaction name]],2,0),"")</f>
        <v>Electricity, CHP and Heat plants - Main activity</v>
      </c>
      <c r="AD165" s="4" t="s">
        <v>189</v>
      </c>
      <c r="AE165" s="4" t="s">
        <v>959</v>
      </c>
      <c r="AF165" s="4" t="s">
        <v>642</v>
      </c>
      <c r="AG165" s="4" t="s">
        <v>1</v>
      </c>
      <c r="AH165" s="4" t="s">
        <v>696</v>
      </c>
      <c r="AI165" s="12" t="s">
        <v>1416</v>
      </c>
      <c r="AJ165" s="4" t="s">
        <v>0</v>
      </c>
      <c r="AK165" s="24" t="str" cm="1">
        <f t="array" ref="AK165">IFERROR(INDEX(Transactions[[Transaction code]:[Transaction name]],_xlfn.XMATCH(Transactions[[#This Row],[Parent code]],Transactions[Transaction name],0),3),Transactions[[#This Row],[Transaction name]])</f>
        <v>Electricity, CHP and Heat plants - Main activity - combustible fuels</v>
      </c>
      <c r="AL165" s="24" t="str" cm="1">
        <f t="array" ref="AL165">IFERROR(INDEX(Transactions[[Transaction code]:[Transaction name]],_xlfn.XMATCH(INDEX(Transactions[[Transaction name]:[Parent code]],_xlfn.XMATCH(Transactions[[#This Row],[L1N]],Transactions[Transaction name],0),3),Transactions[Transaction code],0),2),Transactions[[#This Row],[L1N]])</f>
        <v>Electricity, CHP and Heat plants - Main activity</v>
      </c>
      <c r="AM165" s="24" t="str" cm="1">
        <f t="array" ref="AM165">IFERROR(INDEX(Transactions[[Transaction code]:[Transaction name]],_xlfn.XMATCH(INDEX(Transactions[[Transaction name]:[Parent code]],_xlfn.XMATCH(Transactions[[#This Row],[L2N]],Transactions[Transaction name],0),3),Transactions[Transaction code],0),2),Transactions[[#This Row],[L2N]])</f>
        <v>Production</v>
      </c>
      <c r="AN165" s="24" t="str" cm="1">
        <f t="array" ref="AN165">IFERROR(INDEX(Transactions[[Transaction code]:[Transaction name]],_xlfn.XMATCH(INDEX(Transactions[[Transaction name]:[Parent code]],_xlfn.XMATCH(Transactions[[#This Row],[L3N]],Transactions[Transaction name],0),3),Transactions[Transaction code],0),2),Transactions[[#This Row],[L3N]])</f>
        <v>Total energy supply</v>
      </c>
      <c r="AO165" s="24" t="str" cm="1">
        <f t="array" ref="AO165">IFERROR(INDEX(Transactions[[Transaction code]:[Transaction name]],_xlfn.XMATCH(INDEX(Transactions[[Transaction name]:[Parent code]],_xlfn.XMATCH(Transactions[[#This Row],[L4N]],Transactions[Transaction name],0),3),Transactions[Transaction code],0),2),Transactions[[#This Row],[L4N]])</f>
        <v>Total energy supply</v>
      </c>
      <c r="AP165" s="24" t="str" cm="1">
        <f t="array" ref="AP165">IFERROR(INDEX(Transactions[[Transaction code]:[Transaction name]],_xlfn.XMATCH(INDEX(Transactions[[Transaction name]:[Parent code]],_xlfn.XMATCH(Transactions[[#This Row],[L5N]],Transactions[Transaction name],0),3),Transactions[Transaction code],0),2),Transactions[[#This Row],[L5N]])</f>
        <v>Total energy supply</v>
      </c>
      <c r="AQ165" s="24" t="str" cm="1">
        <f t="array" ref="AQ165">IFERROR(INDEX(Transactions[[Transaction code]:[Transaction name]],_xlfn.XMATCH(INDEX(Transactions[[Transaction name]:[Parent code]],_xlfn.XMATCH(Transactions[[#This Row],[L6N]],Transactions[Transaction name],0),3),Transactions[Transaction code],0),2),Transactions[[#This Row],[L6N]])</f>
        <v>Total energy supply</v>
      </c>
      <c r="AR165" s="28" t="str">
        <f>IF(Transactions[[#This Row],[L7N]]=Transactions[[#This Row],[L6N]],Transactions[[#This Row],[L7N]],IF(Transactions[[#This Row],[L6N]]=Transactions[[#This Row],[L5N]],Transactions[[#This Row],[L6N]],IF(Transactions[[#This Row],[L5N]]=Transactions[[#This Row],[L4N]],Transactions[[#This Row],[L5N]],IF(Transactions[[#This Row],[L4N]]=Transactions[[#This Row],[L3N]],Transactions[[#This Row],[L4N]],IF(Transactions[[#This Row],[L3N]]=Transactions[[#This Row],[L2N]],Transactions[[#This Row],[L3N]],IF(Transactions[[#This Row],[L2N]]=Transactions[[#This Row],[L1N]],Transactions[[#This Row],[L2N]],IF(Transactions[[#This Row],[L1N]]=Transactions[[#This Row],[Transaction name]],Transactions[[#This Row],[L1N]],Transactions[[#This Row],[Transaction name]])))))))</f>
        <v>Total energy supply</v>
      </c>
      <c r="AS165" s="24" t="str">
        <f>IF(Transactions[[#This Row],[Level 0]]=Transactions[[#This Row],[Transaction name]],Transactions[[#This Row],[Transaction name]],IF(Transactions[[#This Row],[Level 0]]=Transactions[[#This Row],[L1N]],Transactions[[#This Row],[Transaction name]],IF(Transactions[[#This Row],[Level 0]]=Transactions[[#This Row],[L2N]],Transactions[[#This Row],[L1N]],IF(Transactions[[#This Row],[Level 0]]=Transactions[[#This Row],[L3N]],Transactions[[#This Row],[L2N]],IF(Transactions[[#This Row],[Level 0]]=Transactions[[#This Row],[L4N]],Transactions[[#This Row],[L3N]],IF(Transactions[[#This Row],[Level 0]]=Transactions[[#This Row],[L5N]],Transactions[[#This Row],[L4N]],IF(Transactions[[#This Row],[Level 0]]=Transactions[[#This Row],[L6N]],Transactions[[#This Row],[L5N]],IF(Transactions[[#This Row],[Level 0]]=Transactions[[#This Row],[L7N]],Transactions[[#This Row],[L6N]],Transactions[[#This Row],[L7N]]))))))))</f>
        <v>Production</v>
      </c>
      <c r="AT165" s="24" t="str">
        <f>IF(Transactions[[#This Row],[Level 1]]=Transactions[[#This Row],[Transaction name]],Transactions[[#This Row],[Transaction name]],IF(Transactions[[#This Row],[Level 1]]=Transactions[[#This Row],[L1N]],Transactions[[#This Row],[Transaction name]],IF(Transactions[[#This Row],[Level 1]]=Transactions[[#This Row],[L2N]],Transactions[[#This Row],[L1N]],IF(Transactions[[#This Row],[Level 1]]=Transactions[[#This Row],[L3N]],Transactions[[#This Row],[L2N]],IF(Transactions[[#This Row],[Level 1]]=Transactions[[#This Row],[L4N]],Transactions[[#This Row],[L3N]],IF(Transactions[[#This Row],[Level 1]]=Transactions[[#This Row],[L5N]],Transactions[[#This Row],[L4N]],IF(Transactions[[#This Row],[Level 1]]=Transactions[[#This Row],[L6N]],Transactions[[#This Row],[L5N]],IF(Transactions[[#This Row],[Level 1]]=Transactions[[#This Row],[L7N]],Transactions[[#This Row],[L6N]],Transactions[[#This Row],[L7N]]))))))))</f>
        <v>Electricity, CHP and Heat plants - Main activity</v>
      </c>
      <c r="AU165" s="24" t="str">
        <f>IF(Transactions[[#This Row],[Level 2]]=Transactions[[#This Row],[Transaction name]],Transactions[[#This Row],[Transaction name]],IF(Transactions[[#This Row],[Level 2]]=Transactions[[#This Row],[L1N]],Transactions[[#This Row],[Transaction name]],IF(Transactions[[#This Row],[Level 2]]=Transactions[[#This Row],[L2N]],Transactions[[#This Row],[L1N]],IF(Transactions[[#This Row],[Level 2]]=Transactions[[#This Row],[L3N]],Transactions[[#This Row],[L2N]],IF(Transactions[[#This Row],[Level 2]]=Transactions[[#This Row],[L4N]],Transactions[[#This Row],[L3N]],IF(Transactions[[#This Row],[Level 2]]=Transactions[[#This Row],[L5N]],Transactions[[#This Row],[L4N]],IF(Transactions[[#This Row],[Level 2]]=Transactions[[#This Row],[L6N]],Transactions[[#This Row],[L5N]],IF(Transactions[[#This Row],[Level 2]]=Transactions[[#This Row],[L7N]],Transactions[[#This Row],[L6N]],Transactions[[#This Row],[L7N]]))))))))</f>
        <v>Electricity, CHP and Heat plants - Main activity - combustible fuels</v>
      </c>
      <c r="AV165" s="24" t="str">
        <f>IF(Transactions[[#This Row],[Level 3]]=Transactions[[#This Row],[Transaction name]],Transactions[[#This Row],[Transaction name]],IF(Transactions[[#This Row],[Level 3]]=Transactions[[#This Row],[L1N]],Transactions[[#This Row],[Transaction name]],IF(Transactions[[#This Row],[Level 3]]=Transactions[[#This Row],[L2N]],Transactions[[#This Row],[L1N]],IF(Transactions[[#This Row],[Level 3]]=Transactions[[#This Row],[L3N]],Transactions[[#This Row],[L2N]],IF(Transactions[[#This Row],[Level 3]]=Transactions[[#This Row],[L4N]],Transactions[[#This Row],[L3N]],IF(Transactions[[#This Row],[Level 3]]=Transactions[[#This Row],[L5N]],Transactions[[#This Row],[L4N]],IF(Transactions[[#This Row],[Level 3]]=Transactions[[#This Row],[L6N]],Transactions[[#This Row],[L5N]],IF(Transactions[[#This Row],[Level 3]]=Transactions[[#This Row],[L7N]],Transactions[[#This Row],[L6N]],Transactions[[#This Row],[L7N]]))))))))</f>
        <v>Electricity, CHP and Heat plants - Main activity - combustible fuels</v>
      </c>
      <c r="AW165" s="24" t="str">
        <f>IF(Transactions[[#This Row],[Level 4]]=Transactions[[#This Row],[Transaction name]],Transactions[[#This Row],[Transaction name]],IF(Transactions[[#This Row],[Level 4]]=Transactions[[#This Row],[L1N]],Transactions[[#This Row],[Transaction name]],IF(Transactions[[#This Row],[Level 4]]=Transactions[[#This Row],[L2N]],Transactions[[#This Row],[L1N]],IF(Transactions[[#This Row],[Level 4]]=Transactions[[#This Row],[L3N]],Transactions[[#This Row],[L2N]],IF(Transactions[[#This Row],[Level 4]]=Transactions[[#This Row],[L4N]],Transactions[[#This Row],[L3N]],IF(Transactions[[#This Row],[Level 4]]=Transactions[[#This Row],[L5N]],Transactions[[#This Row],[L4N]],IF(Transactions[[#This Row],[Level 4]]=Transactions[[#This Row],[L6N]],Transactions[[#This Row],[L5N]],IF(Transactions[[#This Row],[Level 4]]=Transactions[[#This Row],[L7N]],Transactions[[#This Row],[L6N]],Transactions[[#This Row],[L7N]]))))))))</f>
        <v>Electricity, CHP and Heat plants - Main activity - combustible fuels</v>
      </c>
      <c r="AX165" s="24" t="str">
        <f>IF(Transactions[[#This Row],[Level 5]]=Transactions[[#This Row],[Transaction name]],Transactions[[#This Row],[Transaction name]],IF(Transactions[[#This Row],[Level 5]]=Transactions[[#This Row],[L1N]],Transactions[[#This Row],[Transaction name]],IF(Transactions[[#This Row],[Level 5]]=Transactions[[#This Row],[L2N]],Transactions[[#This Row],[L1N]],IF(Transactions[[#This Row],[Level 5]]=Transactions[[#This Row],[L3N]],Transactions[[#This Row],[L2N]],IF(Transactions[[#This Row],[Level 5]]=Transactions[[#This Row],[L4N]],Transactions[[#This Row],[L3N]],IF(Transactions[[#This Row],[Level 5]]=Transactions[[#This Row],[L5N]],Transactions[[#This Row],[L4N]],IF(Transactions[[#This Row],[Level 5]]=Transactions[[#This Row],[L6N]],Transactions[[#This Row],[L5N]],IF(Transactions[[#This Row],[Level 5]]=Transactions[[#This Row],[L7N]],Transactions[[#This Row],[L6N]],Transactions[[#This Row],[L7N]]))))))))</f>
        <v>Electricity, CHP and Heat plants - Main activity - combustible fuels</v>
      </c>
      <c r="AY165" s="24" t="str">
        <f>IF(Transactions[[#This Row],[Level 6]]=Transactions[[#This Row],[Transaction name]],Transactions[[#This Row],[Transaction name]],IF(Transactions[[#This Row],[Level 6]]=Transactions[[#This Row],[L1N]],Transactions[[#This Row],[Transaction name]],IF(Transactions[[#This Row],[Level 6]]=Transactions[[#This Row],[L2N]],Transactions[[#This Row],[L1N]],IF(Transactions[[#This Row],[Level 6]]=Transactions[[#This Row],[L3N]],Transactions[[#This Row],[L2N]],IF(Transactions[[#This Row],[Level 6]]=Transactions[[#This Row],[L4N]],Transactions[[#This Row],[L3N]],IF(Transactions[[#This Row],[Level 6]]=Transactions[[#This Row],[L5N]],Transactions[[#This Row],[L4N]],IF(Transactions[[#This Row],[Level 6]]=Transactions[[#This Row],[L6N]],Transactions[[#This Row],[L5N]],IF(Transactions[[#This Row],[Level 6]]=Transactions[[#This Row],[L7N]],Transactions[[#This Row],[L6N]],Transactions[[#This Row],[L7N]]))))))))</f>
        <v>Electricity, CHP and Heat plants - Main activity - combustible fuels</v>
      </c>
      <c r="BE165" s="26" t="str">
        <f>_xlfn.XLOOKUP(Transformation[[#This Row],[cfrom]],Commodities[Commodity],Commodities[Commodity code])</f>
        <v>6100</v>
      </c>
      <c r="BF165" s="26" t="str">
        <f>_xlfn.XLOOKUP(Transformation[[#This Row],[tfrom]],Transactions[Transaction name],Transactions[Transaction code])</f>
        <v>08811</v>
      </c>
      <c r="BG165" s="26" t="str">
        <f>_xlfn.XLOOKUP(Transformation[[#This Row],[cto]],Commodities[Commodity],Commodities[Commodity code])</f>
        <v>6100</v>
      </c>
      <c r="BH165" s="26" t="str">
        <f>_xlfn.XLOOKUP(Transformation[[#This Row],[tto]],Transactions[Transaction name],Transactions[Transaction code])</f>
        <v>015ISWE</v>
      </c>
      <c r="BI165" s="11">
        <v>1</v>
      </c>
      <c r="BJ165" s="4" t="s">
        <v>291</v>
      </c>
      <c r="BK165" s="24" t="str">
        <f>_xlfn.XLOOKUP(Transformation[[#This Row],[Commodity from]],Commodities[Commodity code],Commodities[EnergyCode])</f>
        <v>IW</v>
      </c>
      <c r="BL165" s="4" t="s">
        <v>689</v>
      </c>
      <c r="BM165" s="4" t="s">
        <v>291</v>
      </c>
      <c r="BN165" s="24" t="str">
        <f>_xlfn.XLOOKUP(Transformation[[#This Row],[Commodity to]],Commodities[Commodity code],Commodities[EnergyCode])</f>
        <v>IW</v>
      </c>
      <c r="BO165" s="4" t="s">
        <v>1155</v>
      </c>
      <c r="BP165" s="16" t="s">
        <v>1493</v>
      </c>
      <c r="BQ165" s="33" t="str">
        <f>Transformation[[#This Row],[Commodity from]]&amp;Transformation[[#This Row],[Transaction from]]&amp;Transformation[[#This Row],[Commodity to]]&amp;Transformation[[#This Row],[Transaction to]]</f>
        <v>6100088116100015ISWE</v>
      </c>
      <c r="BR165" s="26" t="str">
        <f>Transformation[[#This Row],[crfomid]]&amp;Transformation[[#This Row],[Transaction from]]&amp;"("&amp;Transformation[[#This Row],[Multiplier]]&amp;") -&gt; "&amp;Transformation[[#This Row],[ctoid]]&amp;Transformation[[#This Row],[Transaction to]]</f>
        <v>IW08811(1) -&gt; IW015ISWE</v>
      </c>
    </row>
    <row r="166" spans="25:70" x14ac:dyDescent="0.45">
      <c r="Y166" s="5" t="s">
        <v>1292</v>
      </c>
      <c r="Z166" s="4" t="s">
        <v>1224</v>
      </c>
      <c r="AA166" s="4" t="s">
        <v>1398</v>
      </c>
      <c r="AB166" s="4" t="s">
        <v>9</v>
      </c>
      <c r="AC166" s="24" t="str">
        <f>IFERROR(VLOOKUP(Transactions[[#This Row],[Parent code]],Transactions[[Transaction code]:[Transaction name]],2,0),"")</f>
        <v>Electricity, CHP and Heat plants - Main activity</v>
      </c>
      <c r="AD166" s="4" t="s">
        <v>189</v>
      </c>
      <c r="AE166" s="4" t="s">
        <v>959</v>
      </c>
      <c r="AF166" s="4" t="s">
        <v>642</v>
      </c>
      <c r="AG166" s="4" t="s">
        <v>1</v>
      </c>
      <c r="AH166" s="4" t="s">
        <v>696</v>
      </c>
      <c r="AI166" s="12" t="s">
        <v>1416</v>
      </c>
      <c r="AJ166" s="4" t="s">
        <v>0</v>
      </c>
      <c r="AK166" s="24" t="str" cm="1">
        <f t="array" ref="AK166">IFERROR(INDEX(Transactions[[Transaction code]:[Transaction name]],_xlfn.XMATCH(Transactions[[#This Row],[Parent code]],Transactions[Transaction name],0),3),Transactions[[#This Row],[Transaction name]])</f>
        <v>Electricity, CHP and Heat plants - Main activity - crude oil</v>
      </c>
      <c r="AL166" s="24" t="str" cm="1">
        <f t="array" ref="AL166">IFERROR(INDEX(Transactions[[Transaction code]:[Transaction name]],_xlfn.XMATCH(INDEX(Transactions[[Transaction name]:[Parent code]],_xlfn.XMATCH(Transactions[[#This Row],[L1N]],Transactions[Transaction name],0),3),Transactions[Transaction code],0),2),Transactions[[#This Row],[L1N]])</f>
        <v>Electricity, CHP and Heat plants - Main activity</v>
      </c>
      <c r="AM166" s="24" t="str" cm="1">
        <f t="array" ref="AM166">IFERROR(INDEX(Transactions[[Transaction code]:[Transaction name]],_xlfn.XMATCH(INDEX(Transactions[[Transaction name]:[Parent code]],_xlfn.XMATCH(Transactions[[#This Row],[L2N]],Transactions[Transaction name],0),3),Transactions[Transaction code],0),2),Transactions[[#This Row],[L2N]])</f>
        <v>Production</v>
      </c>
      <c r="AN166" s="24" t="str" cm="1">
        <f t="array" ref="AN166">IFERROR(INDEX(Transactions[[Transaction code]:[Transaction name]],_xlfn.XMATCH(INDEX(Transactions[[Transaction name]:[Parent code]],_xlfn.XMATCH(Transactions[[#This Row],[L3N]],Transactions[Transaction name],0),3),Transactions[Transaction code],0),2),Transactions[[#This Row],[L3N]])</f>
        <v>Total energy supply</v>
      </c>
      <c r="AO166" s="24" t="str" cm="1">
        <f t="array" ref="AO166">IFERROR(INDEX(Transactions[[Transaction code]:[Transaction name]],_xlfn.XMATCH(INDEX(Transactions[[Transaction name]:[Parent code]],_xlfn.XMATCH(Transactions[[#This Row],[L4N]],Transactions[Transaction name],0),3),Transactions[Transaction code],0),2),Transactions[[#This Row],[L4N]])</f>
        <v>Total energy supply</v>
      </c>
      <c r="AP166" s="24" t="str" cm="1">
        <f t="array" ref="AP166">IFERROR(INDEX(Transactions[[Transaction code]:[Transaction name]],_xlfn.XMATCH(INDEX(Transactions[[Transaction name]:[Parent code]],_xlfn.XMATCH(Transactions[[#This Row],[L5N]],Transactions[Transaction name],0),3),Transactions[Transaction code],0),2),Transactions[[#This Row],[L5N]])</f>
        <v>Total energy supply</v>
      </c>
      <c r="AQ166" s="24" t="str" cm="1">
        <f t="array" ref="AQ166">IFERROR(INDEX(Transactions[[Transaction code]:[Transaction name]],_xlfn.XMATCH(INDEX(Transactions[[Transaction name]:[Parent code]],_xlfn.XMATCH(Transactions[[#This Row],[L6N]],Transactions[Transaction name],0),3),Transactions[Transaction code],0),2),Transactions[[#This Row],[L6N]])</f>
        <v>Total energy supply</v>
      </c>
      <c r="AR166" s="28" t="str">
        <f>IF(Transactions[[#This Row],[L7N]]=Transactions[[#This Row],[L6N]],Transactions[[#This Row],[L7N]],IF(Transactions[[#This Row],[L6N]]=Transactions[[#This Row],[L5N]],Transactions[[#This Row],[L6N]],IF(Transactions[[#This Row],[L5N]]=Transactions[[#This Row],[L4N]],Transactions[[#This Row],[L5N]],IF(Transactions[[#This Row],[L4N]]=Transactions[[#This Row],[L3N]],Transactions[[#This Row],[L4N]],IF(Transactions[[#This Row],[L3N]]=Transactions[[#This Row],[L2N]],Transactions[[#This Row],[L3N]],IF(Transactions[[#This Row],[L2N]]=Transactions[[#This Row],[L1N]],Transactions[[#This Row],[L2N]],IF(Transactions[[#This Row],[L1N]]=Transactions[[#This Row],[Transaction name]],Transactions[[#This Row],[L1N]],Transactions[[#This Row],[Transaction name]])))))))</f>
        <v>Total energy supply</v>
      </c>
      <c r="AS166" s="24" t="str">
        <f>IF(Transactions[[#This Row],[Level 0]]=Transactions[[#This Row],[Transaction name]],Transactions[[#This Row],[Transaction name]],IF(Transactions[[#This Row],[Level 0]]=Transactions[[#This Row],[L1N]],Transactions[[#This Row],[Transaction name]],IF(Transactions[[#This Row],[Level 0]]=Transactions[[#This Row],[L2N]],Transactions[[#This Row],[L1N]],IF(Transactions[[#This Row],[Level 0]]=Transactions[[#This Row],[L3N]],Transactions[[#This Row],[L2N]],IF(Transactions[[#This Row],[Level 0]]=Transactions[[#This Row],[L4N]],Transactions[[#This Row],[L3N]],IF(Transactions[[#This Row],[Level 0]]=Transactions[[#This Row],[L5N]],Transactions[[#This Row],[L4N]],IF(Transactions[[#This Row],[Level 0]]=Transactions[[#This Row],[L6N]],Transactions[[#This Row],[L5N]],IF(Transactions[[#This Row],[Level 0]]=Transactions[[#This Row],[L7N]],Transactions[[#This Row],[L6N]],Transactions[[#This Row],[L7N]]))))))))</f>
        <v>Production</v>
      </c>
      <c r="AT166" s="24" t="str">
        <f>IF(Transactions[[#This Row],[Level 1]]=Transactions[[#This Row],[Transaction name]],Transactions[[#This Row],[Transaction name]],IF(Transactions[[#This Row],[Level 1]]=Transactions[[#This Row],[L1N]],Transactions[[#This Row],[Transaction name]],IF(Transactions[[#This Row],[Level 1]]=Transactions[[#This Row],[L2N]],Transactions[[#This Row],[L1N]],IF(Transactions[[#This Row],[Level 1]]=Transactions[[#This Row],[L3N]],Transactions[[#This Row],[L2N]],IF(Transactions[[#This Row],[Level 1]]=Transactions[[#This Row],[L4N]],Transactions[[#This Row],[L3N]],IF(Transactions[[#This Row],[Level 1]]=Transactions[[#This Row],[L5N]],Transactions[[#This Row],[L4N]],IF(Transactions[[#This Row],[Level 1]]=Transactions[[#This Row],[L6N]],Transactions[[#This Row],[L5N]],IF(Transactions[[#This Row],[Level 1]]=Transactions[[#This Row],[L7N]],Transactions[[#This Row],[L6N]],Transactions[[#This Row],[L7N]]))))))))</f>
        <v>Electricity, CHP and Heat plants - Main activity</v>
      </c>
      <c r="AU166" s="24" t="str">
        <f>IF(Transactions[[#This Row],[Level 2]]=Transactions[[#This Row],[Transaction name]],Transactions[[#This Row],[Transaction name]],IF(Transactions[[#This Row],[Level 2]]=Transactions[[#This Row],[L1N]],Transactions[[#This Row],[Transaction name]],IF(Transactions[[#This Row],[Level 2]]=Transactions[[#This Row],[L2N]],Transactions[[#This Row],[L1N]],IF(Transactions[[#This Row],[Level 2]]=Transactions[[#This Row],[L3N]],Transactions[[#This Row],[L2N]],IF(Transactions[[#This Row],[Level 2]]=Transactions[[#This Row],[L4N]],Transactions[[#This Row],[L3N]],IF(Transactions[[#This Row],[Level 2]]=Transactions[[#This Row],[L5N]],Transactions[[#This Row],[L4N]],IF(Transactions[[#This Row],[Level 2]]=Transactions[[#This Row],[L6N]],Transactions[[#This Row],[L5N]],IF(Transactions[[#This Row],[Level 2]]=Transactions[[#This Row],[L7N]],Transactions[[#This Row],[L6N]],Transactions[[#This Row],[L7N]]))))))))</f>
        <v>Electricity, CHP and Heat plants - Main activity - crude oil</v>
      </c>
      <c r="AV166" s="24" t="str">
        <f>IF(Transactions[[#This Row],[Level 3]]=Transactions[[#This Row],[Transaction name]],Transactions[[#This Row],[Transaction name]],IF(Transactions[[#This Row],[Level 3]]=Transactions[[#This Row],[L1N]],Transactions[[#This Row],[Transaction name]],IF(Transactions[[#This Row],[Level 3]]=Transactions[[#This Row],[L2N]],Transactions[[#This Row],[L1N]],IF(Transactions[[#This Row],[Level 3]]=Transactions[[#This Row],[L3N]],Transactions[[#This Row],[L2N]],IF(Transactions[[#This Row],[Level 3]]=Transactions[[#This Row],[L4N]],Transactions[[#This Row],[L3N]],IF(Transactions[[#This Row],[Level 3]]=Transactions[[#This Row],[L5N]],Transactions[[#This Row],[L4N]],IF(Transactions[[#This Row],[Level 3]]=Transactions[[#This Row],[L6N]],Transactions[[#This Row],[L5N]],IF(Transactions[[#This Row],[Level 3]]=Transactions[[#This Row],[L7N]],Transactions[[#This Row],[L6N]],Transactions[[#This Row],[L7N]]))))))))</f>
        <v>Electricity, CHP and Heat plants - Main activity - crude oil</v>
      </c>
      <c r="AW166" s="24" t="str">
        <f>IF(Transactions[[#This Row],[Level 4]]=Transactions[[#This Row],[Transaction name]],Transactions[[#This Row],[Transaction name]],IF(Transactions[[#This Row],[Level 4]]=Transactions[[#This Row],[L1N]],Transactions[[#This Row],[Transaction name]],IF(Transactions[[#This Row],[Level 4]]=Transactions[[#This Row],[L2N]],Transactions[[#This Row],[L1N]],IF(Transactions[[#This Row],[Level 4]]=Transactions[[#This Row],[L3N]],Transactions[[#This Row],[L2N]],IF(Transactions[[#This Row],[Level 4]]=Transactions[[#This Row],[L4N]],Transactions[[#This Row],[L3N]],IF(Transactions[[#This Row],[Level 4]]=Transactions[[#This Row],[L5N]],Transactions[[#This Row],[L4N]],IF(Transactions[[#This Row],[Level 4]]=Transactions[[#This Row],[L6N]],Transactions[[#This Row],[L5N]],IF(Transactions[[#This Row],[Level 4]]=Transactions[[#This Row],[L7N]],Transactions[[#This Row],[L6N]],Transactions[[#This Row],[L7N]]))))))))</f>
        <v>Electricity, CHP and Heat plants - Main activity - crude oil</v>
      </c>
      <c r="AX166" s="24" t="str">
        <f>IF(Transactions[[#This Row],[Level 5]]=Transactions[[#This Row],[Transaction name]],Transactions[[#This Row],[Transaction name]],IF(Transactions[[#This Row],[Level 5]]=Transactions[[#This Row],[L1N]],Transactions[[#This Row],[Transaction name]],IF(Transactions[[#This Row],[Level 5]]=Transactions[[#This Row],[L2N]],Transactions[[#This Row],[L1N]],IF(Transactions[[#This Row],[Level 5]]=Transactions[[#This Row],[L3N]],Transactions[[#This Row],[L2N]],IF(Transactions[[#This Row],[Level 5]]=Transactions[[#This Row],[L4N]],Transactions[[#This Row],[L3N]],IF(Transactions[[#This Row],[Level 5]]=Transactions[[#This Row],[L5N]],Transactions[[#This Row],[L4N]],IF(Transactions[[#This Row],[Level 5]]=Transactions[[#This Row],[L6N]],Transactions[[#This Row],[L5N]],IF(Transactions[[#This Row],[Level 5]]=Transactions[[#This Row],[L7N]],Transactions[[#This Row],[L6N]],Transactions[[#This Row],[L7N]]))))))))</f>
        <v>Electricity, CHP and Heat plants - Main activity - crude oil</v>
      </c>
      <c r="AY166" s="24" t="str">
        <f>IF(Transactions[[#This Row],[Level 6]]=Transactions[[#This Row],[Transaction name]],Transactions[[#This Row],[Transaction name]],IF(Transactions[[#This Row],[Level 6]]=Transactions[[#This Row],[L1N]],Transactions[[#This Row],[Transaction name]],IF(Transactions[[#This Row],[Level 6]]=Transactions[[#This Row],[L2N]],Transactions[[#This Row],[L1N]],IF(Transactions[[#This Row],[Level 6]]=Transactions[[#This Row],[L3N]],Transactions[[#This Row],[L2N]],IF(Transactions[[#This Row],[Level 6]]=Transactions[[#This Row],[L4N]],Transactions[[#This Row],[L3N]],IF(Transactions[[#This Row],[Level 6]]=Transactions[[#This Row],[L5N]],Transactions[[#This Row],[L4N]],IF(Transactions[[#This Row],[Level 6]]=Transactions[[#This Row],[L6N]],Transactions[[#This Row],[L5N]],IF(Transactions[[#This Row],[Level 6]]=Transactions[[#This Row],[L7N]],Transactions[[#This Row],[L6N]],Transactions[[#This Row],[L7N]]))))))))</f>
        <v>Electricity, CHP and Heat plants - Main activity - crude oil</v>
      </c>
      <c r="BE166" s="26" t="str">
        <f>_xlfn.XLOOKUP(Transformation[[#This Row],[cfrom]],Commodities[Commodity],Commodities[Commodity code])</f>
        <v>4661</v>
      </c>
      <c r="BF166" s="26" t="str">
        <f>_xlfn.XLOOKUP(Transformation[[#This Row],[tfrom]],Transactions[Transaction name],Transactions[Transaction code])</f>
        <v>08811</v>
      </c>
      <c r="BG166" s="26" t="str">
        <f>_xlfn.XLOOKUP(Transformation[[#This Row],[cto]],Commodities[Commodity],Commodities[Commodity code])</f>
        <v>4661</v>
      </c>
      <c r="BH166" s="26" t="str">
        <f>_xlfn.XLOOKUP(Transformation[[#This Row],[tto]],Transactions[Transaction name],Transactions[Transaction code])</f>
        <v>015OPE</v>
      </c>
      <c r="BI166" s="11">
        <v>1</v>
      </c>
      <c r="BJ166" s="4" t="s">
        <v>381</v>
      </c>
      <c r="BK166" s="24" t="str">
        <f>_xlfn.XLOOKUP(Transformation[[#This Row],[Commodity from]],Commodities[Commodity code],Commodities[EnergyCode])</f>
        <v>JF</v>
      </c>
      <c r="BL166" s="4" t="s">
        <v>689</v>
      </c>
      <c r="BM166" s="4" t="s">
        <v>381</v>
      </c>
      <c r="BN166" s="24" t="str">
        <f>_xlfn.XLOOKUP(Transformation[[#This Row],[Commodity to]],Commodities[Commodity code],Commodities[EnergyCode])</f>
        <v>JF</v>
      </c>
      <c r="BO166" s="4" t="s">
        <v>1051</v>
      </c>
      <c r="BP166" s="16" t="s">
        <v>1493</v>
      </c>
      <c r="BQ166" s="33" t="str">
        <f>Transformation[[#This Row],[Commodity from]]&amp;Transformation[[#This Row],[Transaction from]]&amp;Transformation[[#This Row],[Commodity to]]&amp;Transformation[[#This Row],[Transaction to]]</f>
        <v>4661088114661015OPE</v>
      </c>
      <c r="BR166" s="26" t="str">
        <f>Transformation[[#This Row],[crfomid]]&amp;Transformation[[#This Row],[Transaction from]]&amp;"("&amp;Transformation[[#This Row],[Multiplier]]&amp;") -&gt; "&amp;Transformation[[#This Row],[ctoid]]&amp;Transformation[[#This Row],[Transaction to]]</f>
        <v>JF08811(1) -&gt; JF015OPE</v>
      </c>
    </row>
    <row r="167" spans="25:70" x14ac:dyDescent="0.45">
      <c r="Y167" s="5" t="s">
        <v>1017</v>
      </c>
      <c r="Z167" s="4" t="s">
        <v>1025</v>
      </c>
      <c r="AA167" s="4" t="s">
        <v>1338</v>
      </c>
      <c r="AB167" s="4" t="s">
        <v>9</v>
      </c>
      <c r="AC167" s="24" t="str">
        <f>IFERROR(VLOOKUP(Transactions[[#This Row],[Parent code]],Transactions[[Transaction code]:[Transaction name]],2,0),"")</f>
        <v>Electricity, CHP and Heat plants - Main activity</v>
      </c>
      <c r="AD167" s="4" t="s">
        <v>189</v>
      </c>
      <c r="AE167" s="4" t="s">
        <v>959</v>
      </c>
      <c r="AF167" s="4" t="s">
        <v>642</v>
      </c>
      <c r="AG167" s="4" t="s">
        <v>1</v>
      </c>
      <c r="AH167" s="4" t="s">
        <v>696</v>
      </c>
      <c r="AI167" s="12" t="s">
        <v>1416</v>
      </c>
      <c r="AJ167" s="4" t="s">
        <v>0</v>
      </c>
      <c r="AK167" s="24" t="str" cm="1">
        <f t="array" ref="AK167">IFERROR(INDEX(Transactions[[Transaction code]:[Transaction name]],_xlfn.XMATCH(Transactions[[#This Row],[Parent code]],Transactions[Transaction name],0),3),Transactions[[#This Row],[Transaction name]])</f>
        <v>Electricity, CHP and Heat plants - Main activity - fuel oil</v>
      </c>
      <c r="AL167" s="24" t="str" cm="1">
        <f t="array" ref="AL167">IFERROR(INDEX(Transactions[[Transaction code]:[Transaction name]],_xlfn.XMATCH(INDEX(Transactions[[Transaction name]:[Parent code]],_xlfn.XMATCH(Transactions[[#This Row],[L1N]],Transactions[Transaction name],0),3),Transactions[Transaction code],0),2),Transactions[[#This Row],[L1N]])</f>
        <v>Electricity, CHP and Heat plants - Main activity</v>
      </c>
      <c r="AM167" s="24" t="str" cm="1">
        <f t="array" ref="AM167">IFERROR(INDEX(Transactions[[Transaction code]:[Transaction name]],_xlfn.XMATCH(INDEX(Transactions[[Transaction name]:[Parent code]],_xlfn.XMATCH(Transactions[[#This Row],[L2N]],Transactions[Transaction name],0),3),Transactions[Transaction code],0),2),Transactions[[#This Row],[L2N]])</f>
        <v>Production</v>
      </c>
      <c r="AN167" s="24" t="str" cm="1">
        <f t="array" ref="AN167">IFERROR(INDEX(Transactions[[Transaction code]:[Transaction name]],_xlfn.XMATCH(INDEX(Transactions[[Transaction name]:[Parent code]],_xlfn.XMATCH(Transactions[[#This Row],[L3N]],Transactions[Transaction name],0),3),Transactions[Transaction code],0),2),Transactions[[#This Row],[L3N]])</f>
        <v>Total energy supply</v>
      </c>
      <c r="AO167" s="24" t="str" cm="1">
        <f t="array" ref="AO167">IFERROR(INDEX(Transactions[[Transaction code]:[Transaction name]],_xlfn.XMATCH(INDEX(Transactions[[Transaction name]:[Parent code]],_xlfn.XMATCH(Transactions[[#This Row],[L4N]],Transactions[Transaction name],0),3),Transactions[Transaction code],0),2),Transactions[[#This Row],[L4N]])</f>
        <v>Total energy supply</v>
      </c>
      <c r="AP167" s="24" t="str" cm="1">
        <f t="array" ref="AP167">IFERROR(INDEX(Transactions[[Transaction code]:[Transaction name]],_xlfn.XMATCH(INDEX(Transactions[[Transaction name]:[Parent code]],_xlfn.XMATCH(Transactions[[#This Row],[L5N]],Transactions[Transaction name],0),3),Transactions[Transaction code],0),2),Transactions[[#This Row],[L5N]])</f>
        <v>Total energy supply</v>
      </c>
      <c r="AQ167" s="24" t="str" cm="1">
        <f t="array" ref="AQ167">IFERROR(INDEX(Transactions[[Transaction code]:[Transaction name]],_xlfn.XMATCH(INDEX(Transactions[[Transaction name]:[Parent code]],_xlfn.XMATCH(Transactions[[#This Row],[L6N]],Transactions[Transaction name],0),3),Transactions[Transaction code],0),2),Transactions[[#This Row],[L6N]])</f>
        <v>Total energy supply</v>
      </c>
      <c r="AR167" s="28" t="str">
        <f>IF(Transactions[[#This Row],[L7N]]=Transactions[[#This Row],[L6N]],Transactions[[#This Row],[L7N]],IF(Transactions[[#This Row],[L6N]]=Transactions[[#This Row],[L5N]],Transactions[[#This Row],[L6N]],IF(Transactions[[#This Row],[L5N]]=Transactions[[#This Row],[L4N]],Transactions[[#This Row],[L5N]],IF(Transactions[[#This Row],[L4N]]=Transactions[[#This Row],[L3N]],Transactions[[#This Row],[L4N]],IF(Transactions[[#This Row],[L3N]]=Transactions[[#This Row],[L2N]],Transactions[[#This Row],[L3N]],IF(Transactions[[#This Row],[L2N]]=Transactions[[#This Row],[L1N]],Transactions[[#This Row],[L2N]],IF(Transactions[[#This Row],[L1N]]=Transactions[[#This Row],[Transaction name]],Transactions[[#This Row],[L1N]],Transactions[[#This Row],[Transaction name]])))))))</f>
        <v>Total energy supply</v>
      </c>
      <c r="AS167" s="24" t="str">
        <f>IF(Transactions[[#This Row],[Level 0]]=Transactions[[#This Row],[Transaction name]],Transactions[[#This Row],[Transaction name]],IF(Transactions[[#This Row],[Level 0]]=Transactions[[#This Row],[L1N]],Transactions[[#This Row],[Transaction name]],IF(Transactions[[#This Row],[Level 0]]=Transactions[[#This Row],[L2N]],Transactions[[#This Row],[L1N]],IF(Transactions[[#This Row],[Level 0]]=Transactions[[#This Row],[L3N]],Transactions[[#This Row],[L2N]],IF(Transactions[[#This Row],[Level 0]]=Transactions[[#This Row],[L4N]],Transactions[[#This Row],[L3N]],IF(Transactions[[#This Row],[Level 0]]=Transactions[[#This Row],[L5N]],Transactions[[#This Row],[L4N]],IF(Transactions[[#This Row],[Level 0]]=Transactions[[#This Row],[L6N]],Transactions[[#This Row],[L5N]],IF(Transactions[[#This Row],[Level 0]]=Transactions[[#This Row],[L7N]],Transactions[[#This Row],[L6N]],Transactions[[#This Row],[L7N]]))))))))</f>
        <v>Production</v>
      </c>
      <c r="AT167" s="24" t="str">
        <f>IF(Transactions[[#This Row],[Level 1]]=Transactions[[#This Row],[Transaction name]],Transactions[[#This Row],[Transaction name]],IF(Transactions[[#This Row],[Level 1]]=Transactions[[#This Row],[L1N]],Transactions[[#This Row],[Transaction name]],IF(Transactions[[#This Row],[Level 1]]=Transactions[[#This Row],[L2N]],Transactions[[#This Row],[L1N]],IF(Transactions[[#This Row],[Level 1]]=Transactions[[#This Row],[L3N]],Transactions[[#This Row],[L2N]],IF(Transactions[[#This Row],[Level 1]]=Transactions[[#This Row],[L4N]],Transactions[[#This Row],[L3N]],IF(Transactions[[#This Row],[Level 1]]=Transactions[[#This Row],[L5N]],Transactions[[#This Row],[L4N]],IF(Transactions[[#This Row],[Level 1]]=Transactions[[#This Row],[L6N]],Transactions[[#This Row],[L5N]],IF(Transactions[[#This Row],[Level 1]]=Transactions[[#This Row],[L7N]],Transactions[[#This Row],[L6N]],Transactions[[#This Row],[L7N]]))))))))</f>
        <v>Electricity, CHP and Heat plants - Main activity</v>
      </c>
      <c r="AU167" s="24" t="str">
        <f>IF(Transactions[[#This Row],[Level 2]]=Transactions[[#This Row],[Transaction name]],Transactions[[#This Row],[Transaction name]],IF(Transactions[[#This Row],[Level 2]]=Transactions[[#This Row],[L1N]],Transactions[[#This Row],[Transaction name]],IF(Transactions[[#This Row],[Level 2]]=Transactions[[#This Row],[L2N]],Transactions[[#This Row],[L1N]],IF(Transactions[[#This Row],[Level 2]]=Transactions[[#This Row],[L3N]],Transactions[[#This Row],[L2N]],IF(Transactions[[#This Row],[Level 2]]=Transactions[[#This Row],[L4N]],Transactions[[#This Row],[L3N]],IF(Transactions[[#This Row],[Level 2]]=Transactions[[#This Row],[L5N]],Transactions[[#This Row],[L4N]],IF(Transactions[[#This Row],[Level 2]]=Transactions[[#This Row],[L6N]],Transactions[[#This Row],[L5N]],IF(Transactions[[#This Row],[Level 2]]=Transactions[[#This Row],[L7N]],Transactions[[#This Row],[L6N]],Transactions[[#This Row],[L7N]]))))))))</f>
        <v>Electricity, CHP and Heat plants - Main activity - fuel oil</v>
      </c>
      <c r="AV167" s="24" t="str">
        <f>IF(Transactions[[#This Row],[Level 3]]=Transactions[[#This Row],[Transaction name]],Transactions[[#This Row],[Transaction name]],IF(Transactions[[#This Row],[Level 3]]=Transactions[[#This Row],[L1N]],Transactions[[#This Row],[Transaction name]],IF(Transactions[[#This Row],[Level 3]]=Transactions[[#This Row],[L2N]],Transactions[[#This Row],[L1N]],IF(Transactions[[#This Row],[Level 3]]=Transactions[[#This Row],[L3N]],Transactions[[#This Row],[L2N]],IF(Transactions[[#This Row],[Level 3]]=Transactions[[#This Row],[L4N]],Transactions[[#This Row],[L3N]],IF(Transactions[[#This Row],[Level 3]]=Transactions[[#This Row],[L5N]],Transactions[[#This Row],[L4N]],IF(Transactions[[#This Row],[Level 3]]=Transactions[[#This Row],[L6N]],Transactions[[#This Row],[L5N]],IF(Transactions[[#This Row],[Level 3]]=Transactions[[#This Row],[L7N]],Transactions[[#This Row],[L6N]],Transactions[[#This Row],[L7N]]))))))))</f>
        <v>Electricity, CHP and Heat plants - Main activity - fuel oil</v>
      </c>
      <c r="AW167" s="24" t="str">
        <f>IF(Transactions[[#This Row],[Level 4]]=Transactions[[#This Row],[Transaction name]],Transactions[[#This Row],[Transaction name]],IF(Transactions[[#This Row],[Level 4]]=Transactions[[#This Row],[L1N]],Transactions[[#This Row],[Transaction name]],IF(Transactions[[#This Row],[Level 4]]=Transactions[[#This Row],[L2N]],Transactions[[#This Row],[L1N]],IF(Transactions[[#This Row],[Level 4]]=Transactions[[#This Row],[L3N]],Transactions[[#This Row],[L2N]],IF(Transactions[[#This Row],[Level 4]]=Transactions[[#This Row],[L4N]],Transactions[[#This Row],[L3N]],IF(Transactions[[#This Row],[Level 4]]=Transactions[[#This Row],[L5N]],Transactions[[#This Row],[L4N]],IF(Transactions[[#This Row],[Level 4]]=Transactions[[#This Row],[L6N]],Transactions[[#This Row],[L5N]],IF(Transactions[[#This Row],[Level 4]]=Transactions[[#This Row],[L7N]],Transactions[[#This Row],[L6N]],Transactions[[#This Row],[L7N]]))))))))</f>
        <v>Electricity, CHP and Heat plants - Main activity - fuel oil</v>
      </c>
      <c r="AX167" s="24" t="str">
        <f>IF(Transactions[[#This Row],[Level 5]]=Transactions[[#This Row],[Transaction name]],Transactions[[#This Row],[Transaction name]],IF(Transactions[[#This Row],[Level 5]]=Transactions[[#This Row],[L1N]],Transactions[[#This Row],[Transaction name]],IF(Transactions[[#This Row],[Level 5]]=Transactions[[#This Row],[L2N]],Transactions[[#This Row],[L1N]],IF(Transactions[[#This Row],[Level 5]]=Transactions[[#This Row],[L3N]],Transactions[[#This Row],[L2N]],IF(Transactions[[#This Row],[Level 5]]=Transactions[[#This Row],[L4N]],Transactions[[#This Row],[L3N]],IF(Transactions[[#This Row],[Level 5]]=Transactions[[#This Row],[L5N]],Transactions[[#This Row],[L4N]],IF(Transactions[[#This Row],[Level 5]]=Transactions[[#This Row],[L6N]],Transactions[[#This Row],[L5N]],IF(Transactions[[#This Row],[Level 5]]=Transactions[[#This Row],[L7N]],Transactions[[#This Row],[L6N]],Transactions[[#This Row],[L7N]]))))))))</f>
        <v>Electricity, CHP and Heat plants - Main activity - fuel oil</v>
      </c>
      <c r="AY167" s="24" t="str">
        <f>IF(Transactions[[#This Row],[Level 6]]=Transactions[[#This Row],[Transaction name]],Transactions[[#This Row],[Transaction name]],IF(Transactions[[#This Row],[Level 6]]=Transactions[[#This Row],[L1N]],Transactions[[#This Row],[Transaction name]],IF(Transactions[[#This Row],[Level 6]]=Transactions[[#This Row],[L2N]],Transactions[[#This Row],[L1N]],IF(Transactions[[#This Row],[Level 6]]=Transactions[[#This Row],[L3N]],Transactions[[#This Row],[L2N]],IF(Transactions[[#This Row],[Level 6]]=Transactions[[#This Row],[L4N]],Transactions[[#This Row],[L3N]],IF(Transactions[[#This Row],[Level 6]]=Transactions[[#This Row],[L5N]],Transactions[[#This Row],[L4N]],IF(Transactions[[#This Row],[Level 6]]=Transactions[[#This Row],[L6N]],Transactions[[#This Row],[L5N]],IF(Transactions[[#This Row],[Level 6]]=Transactions[[#This Row],[L7N]],Transactions[[#This Row],[L6N]],Transactions[[#This Row],[L7N]]))))))))</f>
        <v>Electricity, CHP and Heat plants - Main activity - fuel oil</v>
      </c>
      <c r="BE167" s="26" t="str">
        <f>_xlfn.XLOOKUP(Transformation[[#This Row],[cfrom]],Commodities[Commodity],Commodities[Commodity code])</f>
        <v>4669</v>
      </c>
      <c r="BF167" s="26" t="str">
        <f>_xlfn.XLOOKUP(Transformation[[#This Row],[tfrom]],Transactions[Transaction name],Transactions[Transaction code])</f>
        <v>08811</v>
      </c>
      <c r="BG167" s="26" t="str">
        <f>_xlfn.XLOOKUP(Transformation[[#This Row],[cto]],Commodities[Commodity],Commodities[Commodity code])</f>
        <v>4669</v>
      </c>
      <c r="BH167" s="26" t="str">
        <f>_xlfn.XLOOKUP(Transformation[[#This Row],[tto]],Transactions[Transaction name],Transactions[Transaction code])</f>
        <v>015OPE</v>
      </c>
      <c r="BI167" s="11">
        <v>1</v>
      </c>
      <c r="BJ167" s="4" t="s">
        <v>377</v>
      </c>
      <c r="BK167" s="24" t="str">
        <f>_xlfn.XLOOKUP(Transformation[[#This Row],[Commodity from]],Commodities[Commodity code],Commodities[EnergyCode])</f>
        <v>KR</v>
      </c>
      <c r="BL167" s="4" t="s">
        <v>689</v>
      </c>
      <c r="BM167" s="4" t="s">
        <v>377</v>
      </c>
      <c r="BN167" s="24" t="str">
        <f>_xlfn.XLOOKUP(Transformation[[#This Row],[Commodity to]],Commodities[Commodity code],Commodities[EnergyCode])</f>
        <v>KR</v>
      </c>
      <c r="BO167" s="4" t="s">
        <v>1051</v>
      </c>
      <c r="BP167" s="16" t="s">
        <v>1493</v>
      </c>
      <c r="BQ167" s="33" t="str">
        <f>Transformation[[#This Row],[Commodity from]]&amp;Transformation[[#This Row],[Transaction from]]&amp;Transformation[[#This Row],[Commodity to]]&amp;Transformation[[#This Row],[Transaction to]]</f>
        <v>4669088114669015OPE</v>
      </c>
      <c r="BR167" s="26" t="str">
        <f>Transformation[[#This Row],[crfomid]]&amp;Transformation[[#This Row],[Transaction from]]&amp;"("&amp;Transformation[[#This Row],[Multiplier]]&amp;") -&gt; "&amp;Transformation[[#This Row],[ctoid]]&amp;Transformation[[#This Row],[Transaction to]]</f>
        <v>KR08811(1) -&gt; KR015OPE</v>
      </c>
    </row>
    <row r="168" spans="25:70" x14ac:dyDescent="0.45">
      <c r="Y168" s="5" t="s">
        <v>1296</v>
      </c>
      <c r="Z168" s="4" t="s">
        <v>1216</v>
      </c>
      <c r="AA168" s="4" t="s">
        <v>1382</v>
      </c>
      <c r="AB168" s="4" t="s">
        <v>9</v>
      </c>
      <c r="AC168" s="24" t="str">
        <f>IFERROR(VLOOKUP(Transactions[[#This Row],[Parent code]],Transactions[[Transaction code]:[Transaction name]],2,0),"")</f>
        <v>Electricity, CHP and Heat plants - Main activity</v>
      </c>
      <c r="AD168" s="4" t="s">
        <v>189</v>
      </c>
      <c r="AE168" s="4" t="s">
        <v>959</v>
      </c>
      <c r="AF168" s="4" t="s">
        <v>642</v>
      </c>
      <c r="AG168" s="4" t="s">
        <v>1</v>
      </c>
      <c r="AH168" s="4" t="s">
        <v>696</v>
      </c>
      <c r="AI168" s="12" t="s">
        <v>1416</v>
      </c>
      <c r="AJ168" s="4" t="s">
        <v>0</v>
      </c>
      <c r="AK168" s="24" t="str" cm="1">
        <f t="array" ref="AK168">IFERROR(INDEX(Transactions[[Transaction code]:[Transaction name]],_xlfn.XMATCH(Transactions[[#This Row],[Parent code]],Transactions[Transaction name],0),3),Transactions[[#This Row],[Transaction name]])</f>
        <v>Electricity, CHP and Heat plants - Main activity - gas coal products</v>
      </c>
      <c r="AL168" s="24" t="str" cm="1">
        <f t="array" ref="AL168">IFERROR(INDEX(Transactions[[Transaction code]:[Transaction name]],_xlfn.XMATCH(INDEX(Transactions[[Transaction name]:[Parent code]],_xlfn.XMATCH(Transactions[[#This Row],[L1N]],Transactions[Transaction name],0),3),Transactions[Transaction code],0),2),Transactions[[#This Row],[L1N]])</f>
        <v>Electricity, CHP and Heat plants - Main activity</v>
      </c>
      <c r="AM168" s="24" t="str" cm="1">
        <f t="array" ref="AM168">IFERROR(INDEX(Transactions[[Transaction code]:[Transaction name]],_xlfn.XMATCH(INDEX(Transactions[[Transaction name]:[Parent code]],_xlfn.XMATCH(Transactions[[#This Row],[L2N]],Transactions[Transaction name],0),3),Transactions[Transaction code],0),2),Transactions[[#This Row],[L2N]])</f>
        <v>Production</v>
      </c>
      <c r="AN168" s="24" t="str" cm="1">
        <f t="array" ref="AN168">IFERROR(INDEX(Transactions[[Transaction code]:[Transaction name]],_xlfn.XMATCH(INDEX(Transactions[[Transaction name]:[Parent code]],_xlfn.XMATCH(Transactions[[#This Row],[L3N]],Transactions[Transaction name],0),3),Transactions[Transaction code],0),2),Transactions[[#This Row],[L3N]])</f>
        <v>Total energy supply</v>
      </c>
      <c r="AO168" s="24" t="str" cm="1">
        <f t="array" ref="AO168">IFERROR(INDEX(Transactions[[Transaction code]:[Transaction name]],_xlfn.XMATCH(INDEX(Transactions[[Transaction name]:[Parent code]],_xlfn.XMATCH(Transactions[[#This Row],[L4N]],Transactions[Transaction name],0),3),Transactions[Transaction code],0),2),Transactions[[#This Row],[L4N]])</f>
        <v>Total energy supply</v>
      </c>
      <c r="AP168" s="24" t="str" cm="1">
        <f t="array" ref="AP168">IFERROR(INDEX(Transactions[[Transaction code]:[Transaction name]],_xlfn.XMATCH(INDEX(Transactions[[Transaction name]:[Parent code]],_xlfn.XMATCH(Transactions[[#This Row],[L5N]],Transactions[Transaction name],0),3),Transactions[Transaction code],0),2),Transactions[[#This Row],[L5N]])</f>
        <v>Total energy supply</v>
      </c>
      <c r="AQ168" s="24" t="str" cm="1">
        <f t="array" ref="AQ168">IFERROR(INDEX(Transactions[[Transaction code]:[Transaction name]],_xlfn.XMATCH(INDEX(Transactions[[Transaction name]:[Parent code]],_xlfn.XMATCH(Transactions[[#This Row],[L6N]],Transactions[Transaction name],0),3),Transactions[Transaction code],0),2),Transactions[[#This Row],[L6N]])</f>
        <v>Total energy supply</v>
      </c>
      <c r="AR168" s="28" t="str">
        <f>IF(Transactions[[#This Row],[L7N]]=Transactions[[#This Row],[L6N]],Transactions[[#This Row],[L7N]],IF(Transactions[[#This Row],[L6N]]=Transactions[[#This Row],[L5N]],Transactions[[#This Row],[L6N]],IF(Transactions[[#This Row],[L5N]]=Transactions[[#This Row],[L4N]],Transactions[[#This Row],[L5N]],IF(Transactions[[#This Row],[L4N]]=Transactions[[#This Row],[L3N]],Transactions[[#This Row],[L4N]],IF(Transactions[[#This Row],[L3N]]=Transactions[[#This Row],[L2N]],Transactions[[#This Row],[L3N]],IF(Transactions[[#This Row],[L2N]]=Transactions[[#This Row],[L1N]],Transactions[[#This Row],[L2N]],IF(Transactions[[#This Row],[L1N]]=Transactions[[#This Row],[Transaction name]],Transactions[[#This Row],[L1N]],Transactions[[#This Row],[Transaction name]])))))))</f>
        <v>Total energy supply</v>
      </c>
      <c r="AS168" s="24" t="str">
        <f>IF(Transactions[[#This Row],[Level 0]]=Transactions[[#This Row],[Transaction name]],Transactions[[#This Row],[Transaction name]],IF(Transactions[[#This Row],[Level 0]]=Transactions[[#This Row],[L1N]],Transactions[[#This Row],[Transaction name]],IF(Transactions[[#This Row],[Level 0]]=Transactions[[#This Row],[L2N]],Transactions[[#This Row],[L1N]],IF(Transactions[[#This Row],[Level 0]]=Transactions[[#This Row],[L3N]],Transactions[[#This Row],[L2N]],IF(Transactions[[#This Row],[Level 0]]=Transactions[[#This Row],[L4N]],Transactions[[#This Row],[L3N]],IF(Transactions[[#This Row],[Level 0]]=Transactions[[#This Row],[L5N]],Transactions[[#This Row],[L4N]],IF(Transactions[[#This Row],[Level 0]]=Transactions[[#This Row],[L6N]],Transactions[[#This Row],[L5N]],IF(Transactions[[#This Row],[Level 0]]=Transactions[[#This Row],[L7N]],Transactions[[#This Row],[L6N]],Transactions[[#This Row],[L7N]]))))))))</f>
        <v>Production</v>
      </c>
      <c r="AT168" s="24" t="str">
        <f>IF(Transactions[[#This Row],[Level 1]]=Transactions[[#This Row],[Transaction name]],Transactions[[#This Row],[Transaction name]],IF(Transactions[[#This Row],[Level 1]]=Transactions[[#This Row],[L1N]],Transactions[[#This Row],[Transaction name]],IF(Transactions[[#This Row],[Level 1]]=Transactions[[#This Row],[L2N]],Transactions[[#This Row],[L1N]],IF(Transactions[[#This Row],[Level 1]]=Transactions[[#This Row],[L3N]],Transactions[[#This Row],[L2N]],IF(Transactions[[#This Row],[Level 1]]=Transactions[[#This Row],[L4N]],Transactions[[#This Row],[L3N]],IF(Transactions[[#This Row],[Level 1]]=Transactions[[#This Row],[L5N]],Transactions[[#This Row],[L4N]],IF(Transactions[[#This Row],[Level 1]]=Transactions[[#This Row],[L6N]],Transactions[[#This Row],[L5N]],IF(Transactions[[#This Row],[Level 1]]=Transactions[[#This Row],[L7N]],Transactions[[#This Row],[L6N]],Transactions[[#This Row],[L7N]]))))))))</f>
        <v>Electricity, CHP and Heat plants - Main activity</v>
      </c>
      <c r="AU168" s="24" t="str">
        <f>IF(Transactions[[#This Row],[Level 2]]=Transactions[[#This Row],[Transaction name]],Transactions[[#This Row],[Transaction name]],IF(Transactions[[#This Row],[Level 2]]=Transactions[[#This Row],[L1N]],Transactions[[#This Row],[Transaction name]],IF(Transactions[[#This Row],[Level 2]]=Transactions[[#This Row],[L2N]],Transactions[[#This Row],[L1N]],IF(Transactions[[#This Row],[Level 2]]=Transactions[[#This Row],[L3N]],Transactions[[#This Row],[L2N]],IF(Transactions[[#This Row],[Level 2]]=Transactions[[#This Row],[L4N]],Transactions[[#This Row],[L3N]],IF(Transactions[[#This Row],[Level 2]]=Transactions[[#This Row],[L5N]],Transactions[[#This Row],[L4N]],IF(Transactions[[#This Row],[Level 2]]=Transactions[[#This Row],[L6N]],Transactions[[#This Row],[L5N]],IF(Transactions[[#This Row],[Level 2]]=Transactions[[#This Row],[L7N]],Transactions[[#This Row],[L6N]],Transactions[[#This Row],[L7N]]))))))))</f>
        <v>Electricity, CHP and Heat plants - Main activity - gas coal products</v>
      </c>
      <c r="AV168" s="24" t="str">
        <f>IF(Transactions[[#This Row],[Level 3]]=Transactions[[#This Row],[Transaction name]],Transactions[[#This Row],[Transaction name]],IF(Transactions[[#This Row],[Level 3]]=Transactions[[#This Row],[L1N]],Transactions[[#This Row],[Transaction name]],IF(Transactions[[#This Row],[Level 3]]=Transactions[[#This Row],[L2N]],Transactions[[#This Row],[L1N]],IF(Transactions[[#This Row],[Level 3]]=Transactions[[#This Row],[L3N]],Transactions[[#This Row],[L2N]],IF(Transactions[[#This Row],[Level 3]]=Transactions[[#This Row],[L4N]],Transactions[[#This Row],[L3N]],IF(Transactions[[#This Row],[Level 3]]=Transactions[[#This Row],[L5N]],Transactions[[#This Row],[L4N]],IF(Transactions[[#This Row],[Level 3]]=Transactions[[#This Row],[L6N]],Transactions[[#This Row],[L5N]],IF(Transactions[[#This Row],[Level 3]]=Transactions[[#This Row],[L7N]],Transactions[[#This Row],[L6N]],Transactions[[#This Row],[L7N]]))))))))</f>
        <v>Electricity, CHP and Heat plants - Main activity - gas coal products</v>
      </c>
      <c r="AW168" s="24" t="str">
        <f>IF(Transactions[[#This Row],[Level 4]]=Transactions[[#This Row],[Transaction name]],Transactions[[#This Row],[Transaction name]],IF(Transactions[[#This Row],[Level 4]]=Transactions[[#This Row],[L1N]],Transactions[[#This Row],[Transaction name]],IF(Transactions[[#This Row],[Level 4]]=Transactions[[#This Row],[L2N]],Transactions[[#This Row],[L1N]],IF(Transactions[[#This Row],[Level 4]]=Transactions[[#This Row],[L3N]],Transactions[[#This Row],[L2N]],IF(Transactions[[#This Row],[Level 4]]=Transactions[[#This Row],[L4N]],Transactions[[#This Row],[L3N]],IF(Transactions[[#This Row],[Level 4]]=Transactions[[#This Row],[L5N]],Transactions[[#This Row],[L4N]],IF(Transactions[[#This Row],[Level 4]]=Transactions[[#This Row],[L6N]],Transactions[[#This Row],[L5N]],IF(Transactions[[#This Row],[Level 4]]=Transactions[[#This Row],[L7N]],Transactions[[#This Row],[L6N]],Transactions[[#This Row],[L7N]]))))))))</f>
        <v>Electricity, CHP and Heat plants - Main activity - gas coal products</v>
      </c>
      <c r="AX168" s="24" t="str">
        <f>IF(Transactions[[#This Row],[Level 5]]=Transactions[[#This Row],[Transaction name]],Transactions[[#This Row],[Transaction name]],IF(Transactions[[#This Row],[Level 5]]=Transactions[[#This Row],[L1N]],Transactions[[#This Row],[Transaction name]],IF(Transactions[[#This Row],[Level 5]]=Transactions[[#This Row],[L2N]],Transactions[[#This Row],[L1N]],IF(Transactions[[#This Row],[Level 5]]=Transactions[[#This Row],[L3N]],Transactions[[#This Row],[L2N]],IF(Transactions[[#This Row],[Level 5]]=Transactions[[#This Row],[L4N]],Transactions[[#This Row],[L3N]],IF(Transactions[[#This Row],[Level 5]]=Transactions[[#This Row],[L5N]],Transactions[[#This Row],[L4N]],IF(Transactions[[#This Row],[Level 5]]=Transactions[[#This Row],[L6N]],Transactions[[#This Row],[L5N]],IF(Transactions[[#This Row],[Level 5]]=Transactions[[#This Row],[L7N]],Transactions[[#This Row],[L6N]],Transactions[[#This Row],[L7N]]))))))))</f>
        <v>Electricity, CHP and Heat plants - Main activity - gas coal products</v>
      </c>
      <c r="AY168" s="24" t="str">
        <f>IF(Transactions[[#This Row],[Level 6]]=Transactions[[#This Row],[Transaction name]],Transactions[[#This Row],[Transaction name]],IF(Transactions[[#This Row],[Level 6]]=Transactions[[#This Row],[L1N]],Transactions[[#This Row],[Transaction name]],IF(Transactions[[#This Row],[Level 6]]=Transactions[[#This Row],[L2N]],Transactions[[#This Row],[L1N]],IF(Transactions[[#This Row],[Level 6]]=Transactions[[#This Row],[L3N]],Transactions[[#This Row],[L2N]],IF(Transactions[[#This Row],[Level 6]]=Transactions[[#This Row],[L4N]],Transactions[[#This Row],[L3N]],IF(Transactions[[#This Row],[Level 6]]=Transactions[[#This Row],[L5N]],Transactions[[#This Row],[L4N]],IF(Transactions[[#This Row],[Level 6]]=Transactions[[#This Row],[L6N]],Transactions[[#This Row],[L5N]],IF(Transactions[[#This Row],[Level 6]]=Transactions[[#This Row],[L7N]],Transactions[[#This Row],[L6N]],Transactions[[#This Row],[L7N]]))))))))</f>
        <v>Electricity, CHP and Heat plants - Main activity - gas coal products</v>
      </c>
      <c r="BE168" s="26" t="str">
        <f>_xlfn.XLOOKUP(Transformation[[#This Row],[cfrom]],Commodities[Commodity],Commodities[Commodity code])</f>
        <v>0200</v>
      </c>
      <c r="BF168" s="26" t="str">
        <f>_xlfn.XLOOKUP(Transformation[[#This Row],[tfrom]],Transactions[Transaction name],Transactions[Transaction code])</f>
        <v>08811</v>
      </c>
      <c r="BG168" s="26" t="str">
        <f>_xlfn.XLOOKUP(Transformation[[#This Row],[cto]],Commodities[Commodity],Commodities[Commodity code])</f>
        <v>0200</v>
      </c>
      <c r="BH168" s="26" t="str">
        <f>_xlfn.XLOOKUP(Transformation[[#This Row],[tto]],Transactions[Transaction name],Transactions[Transaction code])</f>
        <v>015CBE</v>
      </c>
      <c r="BI168" s="11">
        <v>1</v>
      </c>
      <c r="BJ168" s="4" t="s">
        <v>516</v>
      </c>
      <c r="BK168" s="24" t="str">
        <f>_xlfn.XLOOKUP(Transformation[[#This Row],[Commodity from]],Commodities[Commodity code],Commodities[EnergyCode])</f>
        <v>LB</v>
      </c>
      <c r="BL168" s="4" t="s">
        <v>689</v>
      </c>
      <c r="BM168" s="4" t="s">
        <v>516</v>
      </c>
      <c r="BN168" s="24" t="str">
        <f>_xlfn.XLOOKUP(Transformation[[#This Row],[Commodity to]],Commodities[Commodity code],Commodities[EnergyCode])</f>
        <v>LB</v>
      </c>
      <c r="BO168" s="4" t="s">
        <v>1178</v>
      </c>
      <c r="BP168" s="16" t="s">
        <v>1493</v>
      </c>
      <c r="BQ168" s="33" t="str">
        <f>Transformation[[#This Row],[Commodity from]]&amp;Transformation[[#This Row],[Transaction from]]&amp;Transformation[[#This Row],[Commodity to]]&amp;Transformation[[#This Row],[Transaction to]]</f>
        <v>0200088110200015CBE</v>
      </c>
      <c r="BR168" s="26" t="str">
        <f>Transformation[[#This Row],[crfomid]]&amp;Transformation[[#This Row],[Transaction from]]&amp;"("&amp;Transformation[[#This Row],[Multiplier]]&amp;") -&gt; "&amp;Transformation[[#This Row],[ctoid]]&amp;Transformation[[#This Row],[Transaction to]]</f>
        <v>LB08811(1) -&gt; LB015CBE</v>
      </c>
    </row>
    <row r="169" spans="25:70" x14ac:dyDescent="0.45">
      <c r="Y169" s="5" t="s">
        <v>1041</v>
      </c>
      <c r="Z169" s="4" t="s">
        <v>1033</v>
      </c>
      <c r="AA169" s="4" t="s">
        <v>1342</v>
      </c>
      <c r="AB169" s="4" t="s">
        <v>9</v>
      </c>
      <c r="AC169" s="24" t="str">
        <f>IFERROR(VLOOKUP(Transactions[[#This Row],[Parent code]],Transactions[[Transaction code]:[Transaction name]],2,0),"")</f>
        <v>Electricity, CHP and Heat plants - Main activity</v>
      </c>
      <c r="AD169" s="4" t="s">
        <v>189</v>
      </c>
      <c r="AE169" s="4" t="s">
        <v>959</v>
      </c>
      <c r="AF169" s="4" t="s">
        <v>642</v>
      </c>
      <c r="AG169" s="4" t="s">
        <v>1</v>
      </c>
      <c r="AH169" s="4" t="s">
        <v>696</v>
      </c>
      <c r="AI169" s="12" t="s">
        <v>1416</v>
      </c>
      <c r="AJ169" s="4" t="s">
        <v>0</v>
      </c>
      <c r="AK169" s="24" t="str" cm="1">
        <f t="array" ref="AK169">IFERROR(INDEX(Transactions[[Transaction code]:[Transaction name]],_xlfn.XMATCH(Transactions[[#This Row],[Parent code]],Transactions[Transaction name],0),3),Transactions[[#This Row],[Transaction name]])</f>
        <v>Electricity, CHP and Heat plants - Main activity - gas oil/diesel oil</v>
      </c>
      <c r="AL169" s="24" t="str" cm="1">
        <f t="array" ref="AL169">IFERROR(INDEX(Transactions[[Transaction code]:[Transaction name]],_xlfn.XMATCH(INDEX(Transactions[[Transaction name]:[Parent code]],_xlfn.XMATCH(Transactions[[#This Row],[L1N]],Transactions[Transaction name],0),3),Transactions[Transaction code],0),2),Transactions[[#This Row],[L1N]])</f>
        <v>Electricity, CHP and Heat plants - Main activity</v>
      </c>
      <c r="AM169" s="24" t="str" cm="1">
        <f t="array" ref="AM169">IFERROR(INDEX(Transactions[[Transaction code]:[Transaction name]],_xlfn.XMATCH(INDEX(Transactions[[Transaction name]:[Parent code]],_xlfn.XMATCH(Transactions[[#This Row],[L2N]],Transactions[Transaction name],0),3),Transactions[Transaction code],0),2),Transactions[[#This Row],[L2N]])</f>
        <v>Production</v>
      </c>
      <c r="AN169" s="24" t="str" cm="1">
        <f t="array" ref="AN169">IFERROR(INDEX(Transactions[[Transaction code]:[Transaction name]],_xlfn.XMATCH(INDEX(Transactions[[Transaction name]:[Parent code]],_xlfn.XMATCH(Transactions[[#This Row],[L3N]],Transactions[Transaction name],0),3),Transactions[Transaction code],0),2),Transactions[[#This Row],[L3N]])</f>
        <v>Total energy supply</v>
      </c>
      <c r="AO169" s="24" t="str" cm="1">
        <f t="array" ref="AO169">IFERROR(INDEX(Transactions[[Transaction code]:[Transaction name]],_xlfn.XMATCH(INDEX(Transactions[[Transaction name]:[Parent code]],_xlfn.XMATCH(Transactions[[#This Row],[L4N]],Transactions[Transaction name],0),3),Transactions[Transaction code],0),2),Transactions[[#This Row],[L4N]])</f>
        <v>Total energy supply</v>
      </c>
      <c r="AP169" s="24" t="str" cm="1">
        <f t="array" ref="AP169">IFERROR(INDEX(Transactions[[Transaction code]:[Transaction name]],_xlfn.XMATCH(INDEX(Transactions[[Transaction name]:[Parent code]],_xlfn.XMATCH(Transactions[[#This Row],[L5N]],Transactions[Transaction name],0),3),Transactions[Transaction code],0),2),Transactions[[#This Row],[L5N]])</f>
        <v>Total energy supply</v>
      </c>
      <c r="AQ169" s="24" t="str" cm="1">
        <f t="array" ref="AQ169">IFERROR(INDEX(Transactions[[Transaction code]:[Transaction name]],_xlfn.XMATCH(INDEX(Transactions[[Transaction name]:[Parent code]],_xlfn.XMATCH(Transactions[[#This Row],[L6N]],Transactions[Transaction name],0),3),Transactions[Transaction code],0),2),Transactions[[#This Row],[L6N]])</f>
        <v>Total energy supply</v>
      </c>
      <c r="AR169" s="28" t="str">
        <f>IF(Transactions[[#This Row],[L7N]]=Transactions[[#This Row],[L6N]],Transactions[[#This Row],[L7N]],IF(Transactions[[#This Row],[L6N]]=Transactions[[#This Row],[L5N]],Transactions[[#This Row],[L6N]],IF(Transactions[[#This Row],[L5N]]=Transactions[[#This Row],[L4N]],Transactions[[#This Row],[L5N]],IF(Transactions[[#This Row],[L4N]]=Transactions[[#This Row],[L3N]],Transactions[[#This Row],[L4N]],IF(Transactions[[#This Row],[L3N]]=Transactions[[#This Row],[L2N]],Transactions[[#This Row],[L3N]],IF(Transactions[[#This Row],[L2N]]=Transactions[[#This Row],[L1N]],Transactions[[#This Row],[L2N]],IF(Transactions[[#This Row],[L1N]]=Transactions[[#This Row],[Transaction name]],Transactions[[#This Row],[L1N]],Transactions[[#This Row],[Transaction name]])))))))</f>
        <v>Total energy supply</v>
      </c>
      <c r="AS169" s="24" t="str">
        <f>IF(Transactions[[#This Row],[Level 0]]=Transactions[[#This Row],[Transaction name]],Transactions[[#This Row],[Transaction name]],IF(Transactions[[#This Row],[Level 0]]=Transactions[[#This Row],[L1N]],Transactions[[#This Row],[Transaction name]],IF(Transactions[[#This Row],[Level 0]]=Transactions[[#This Row],[L2N]],Transactions[[#This Row],[L1N]],IF(Transactions[[#This Row],[Level 0]]=Transactions[[#This Row],[L3N]],Transactions[[#This Row],[L2N]],IF(Transactions[[#This Row],[Level 0]]=Transactions[[#This Row],[L4N]],Transactions[[#This Row],[L3N]],IF(Transactions[[#This Row],[Level 0]]=Transactions[[#This Row],[L5N]],Transactions[[#This Row],[L4N]],IF(Transactions[[#This Row],[Level 0]]=Transactions[[#This Row],[L6N]],Transactions[[#This Row],[L5N]],IF(Transactions[[#This Row],[Level 0]]=Transactions[[#This Row],[L7N]],Transactions[[#This Row],[L6N]],Transactions[[#This Row],[L7N]]))))))))</f>
        <v>Production</v>
      </c>
      <c r="AT169" s="24" t="str">
        <f>IF(Transactions[[#This Row],[Level 1]]=Transactions[[#This Row],[Transaction name]],Transactions[[#This Row],[Transaction name]],IF(Transactions[[#This Row],[Level 1]]=Transactions[[#This Row],[L1N]],Transactions[[#This Row],[Transaction name]],IF(Transactions[[#This Row],[Level 1]]=Transactions[[#This Row],[L2N]],Transactions[[#This Row],[L1N]],IF(Transactions[[#This Row],[Level 1]]=Transactions[[#This Row],[L3N]],Transactions[[#This Row],[L2N]],IF(Transactions[[#This Row],[Level 1]]=Transactions[[#This Row],[L4N]],Transactions[[#This Row],[L3N]],IF(Transactions[[#This Row],[Level 1]]=Transactions[[#This Row],[L5N]],Transactions[[#This Row],[L4N]],IF(Transactions[[#This Row],[Level 1]]=Transactions[[#This Row],[L6N]],Transactions[[#This Row],[L5N]],IF(Transactions[[#This Row],[Level 1]]=Transactions[[#This Row],[L7N]],Transactions[[#This Row],[L6N]],Transactions[[#This Row],[L7N]]))))))))</f>
        <v>Electricity, CHP and Heat plants - Main activity</v>
      </c>
      <c r="AU169" s="24" t="str">
        <f>IF(Transactions[[#This Row],[Level 2]]=Transactions[[#This Row],[Transaction name]],Transactions[[#This Row],[Transaction name]],IF(Transactions[[#This Row],[Level 2]]=Transactions[[#This Row],[L1N]],Transactions[[#This Row],[Transaction name]],IF(Transactions[[#This Row],[Level 2]]=Transactions[[#This Row],[L2N]],Transactions[[#This Row],[L1N]],IF(Transactions[[#This Row],[Level 2]]=Transactions[[#This Row],[L3N]],Transactions[[#This Row],[L2N]],IF(Transactions[[#This Row],[Level 2]]=Transactions[[#This Row],[L4N]],Transactions[[#This Row],[L3N]],IF(Transactions[[#This Row],[Level 2]]=Transactions[[#This Row],[L5N]],Transactions[[#This Row],[L4N]],IF(Transactions[[#This Row],[Level 2]]=Transactions[[#This Row],[L6N]],Transactions[[#This Row],[L5N]],IF(Transactions[[#This Row],[Level 2]]=Transactions[[#This Row],[L7N]],Transactions[[#This Row],[L6N]],Transactions[[#This Row],[L7N]]))))))))</f>
        <v>Electricity, CHP and Heat plants - Main activity - gas oil/diesel oil</v>
      </c>
      <c r="AV169" s="24" t="str">
        <f>IF(Transactions[[#This Row],[Level 3]]=Transactions[[#This Row],[Transaction name]],Transactions[[#This Row],[Transaction name]],IF(Transactions[[#This Row],[Level 3]]=Transactions[[#This Row],[L1N]],Transactions[[#This Row],[Transaction name]],IF(Transactions[[#This Row],[Level 3]]=Transactions[[#This Row],[L2N]],Transactions[[#This Row],[L1N]],IF(Transactions[[#This Row],[Level 3]]=Transactions[[#This Row],[L3N]],Transactions[[#This Row],[L2N]],IF(Transactions[[#This Row],[Level 3]]=Transactions[[#This Row],[L4N]],Transactions[[#This Row],[L3N]],IF(Transactions[[#This Row],[Level 3]]=Transactions[[#This Row],[L5N]],Transactions[[#This Row],[L4N]],IF(Transactions[[#This Row],[Level 3]]=Transactions[[#This Row],[L6N]],Transactions[[#This Row],[L5N]],IF(Transactions[[#This Row],[Level 3]]=Transactions[[#This Row],[L7N]],Transactions[[#This Row],[L6N]],Transactions[[#This Row],[L7N]]))))))))</f>
        <v>Electricity, CHP and Heat plants - Main activity - gas oil/diesel oil</v>
      </c>
      <c r="AW169" s="24" t="str">
        <f>IF(Transactions[[#This Row],[Level 4]]=Transactions[[#This Row],[Transaction name]],Transactions[[#This Row],[Transaction name]],IF(Transactions[[#This Row],[Level 4]]=Transactions[[#This Row],[L1N]],Transactions[[#This Row],[Transaction name]],IF(Transactions[[#This Row],[Level 4]]=Transactions[[#This Row],[L2N]],Transactions[[#This Row],[L1N]],IF(Transactions[[#This Row],[Level 4]]=Transactions[[#This Row],[L3N]],Transactions[[#This Row],[L2N]],IF(Transactions[[#This Row],[Level 4]]=Transactions[[#This Row],[L4N]],Transactions[[#This Row],[L3N]],IF(Transactions[[#This Row],[Level 4]]=Transactions[[#This Row],[L5N]],Transactions[[#This Row],[L4N]],IF(Transactions[[#This Row],[Level 4]]=Transactions[[#This Row],[L6N]],Transactions[[#This Row],[L5N]],IF(Transactions[[#This Row],[Level 4]]=Transactions[[#This Row],[L7N]],Transactions[[#This Row],[L6N]],Transactions[[#This Row],[L7N]]))))))))</f>
        <v>Electricity, CHP and Heat plants - Main activity - gas oil/diesel oil</v>
      </c>
      <c r="AX169" s="24" t="str">
        <f>IF(Transactions[[#This Row],[Level 5]]=Transactions[[#This Row],[Transaction name]],Transactions[[#This Row],[Transaction name]],IF(Transactions[[#This Row],[Level 5]]=Transactions[[#This Row],[L1N]],Transactions[[#This Row],[Transaction name]],IF(Transactions[[#This Row],[Level 5]]=Transactions[[#This Row],[L2N]],Transactions[[#This Row],[L1N]],IF(Transactions[[#This Row],[Level 5]]=Transactions[[#This Row],[L3N]],Transactions[[#This Row],[L2N]],IF(Transactions[[#This Row],[Level 5]]=Transactions[[#This Row],[L4N]],Transactions[[#This Row],[L3N]],IF(Transactions[[#This Row],[Level 5]]=Transactions[[#This Row],[L5N]],Transactions[[#This Row],[L4N]],IF(Transactions[[#This Row],[Level 5]]=Transactions[[#This Row],[L6N]],Transactions[[#This Row],[L5N]],IF(Transactions[[#This Row],[Level 5]]=Transactions[[#This Row],[L7N]],Transactions[[#This Row],[L6N]],Transactions[[#This Row],[L7N]]))))))))</f>
        <v>Electricity, CHP and Heat plants - Main activity - gas oil/diesel oil</v>
      </c>
      <c r="AY169" s="24" t="str">
        <f>IF(Transactions[[#This Row],[Level 6]]=Transactions[[#This Row],[Transaction name]],Transactions[[#This Row],[Transaction name]],IF(Transactions[[#This Row],[Level 6]]=Transactions[[#This Row],[L1N]],Transactions[[#This Row],[Transaction name]],IF(Transactions[[#This Row],[Level 6]]=Transactions[[#This Row],[L2N]],Transactions[[#This Row],[L1N]],IF(Transactions[[#This Row],[Level 6]]=Transactions[[#This Row],[L3N]],Transactions[[#This Row],[L2N]],IF(Transactions[[#This Row],[Level 6]]=Transactions[[#This Row],[L4N]],Transactions[[#This Row],[L3N]],IF(Transactions[[#This Row],[Level 6]]=Transactions[[#This Row],[L5N]],Transactions[[#This Row],[L4N]],IF(Transactions[[#This Row],[Level 6]]=Transactions[[#This Row],[L6N]],Transactions[[#This Row],[L5N]],IF(Transactions[[#This Row],[Level 6]]=Transactions[[#This Row],[L7N]],Transactions[[#This Row],[L6N]],Transactions[[#This Row],[L7N]]))))))))</f>
        <v>Electricity, CHP and Heat plants - Main activity - gas oil/diesel oil</v>
      </c>
      <c r="BE169" s="26" t="str">
        <f>_xlfn.XLOOKUP(Transformation[[#This Row],[cfrom]],Commodities[Commodity],Commodities[Commodity code])</f>
        <v>4630</v>
      </c>
      <c r="BF169" s="26" t="str">
        <f>_xlfn.XLOOKUP(Transformation[[#This Row],[tfrom]],Transactions[Transaction name],Transactions[Transaction code])</f>
        <v>08811</v>
      </c>
      <c r="BG169" s="26" t="str">
        <f>_xlfn.XLOOKUP(Transformation[[#This Row],[cto]],Commodities[Commodity],Commodities[Commodity code])</f>
        <v>4630</v>
      </c>
      <c r="BH169" s="26" t="str">
        <f>_xlfn.XLOOKUP(Transformation[[#This Row],[tto]],Transactions[Transaction name],Transactions[Transaction code])</f>
        <v>015OPE</v>
      </c>
      <c r="BI169" s="11">
        <v>1</v>
      </c>
      <c r="BJ169" s="4" t="s">
        <v>408</v>
      </c>
      <c r="BK169" s="24" t="str">
        <f>_xlfn.XLOOKUP(Transformation[[#This Row],[Commodity from]],Commodities[Commodity code],Commodities[EnergyCode])</f>
        <v>LP</v>
      </c>
      <c r="BL169" s="4" t="s">
        <v>689</v>
      </c>
      <c r="BM169" s="4" t="s">
        <v>408</v>
      </c>
      <c r="BN169" s="24" t="str">
        <f>_xlfn.XLOOKUP(Transformation[[#This Row],[Commodity to]],Commodities[Commodity code],Commodities[EnergyCode])</f>
        <v>LP</v>
      </c>
      <c r="BO169" s="4" t="s">
        <v>1051</v>
      </c>
      <c r="BP169" s="16" t="s">
        <v>1493</v>
      </c>
      <c r="BQ169" s="33" t="str">
        <f>Transformation[[#This Row],[Commodity from]]&amp;Transformation[[#This Row],[Transaction from]]&amp;Transformation[[#This Row],[Commodity to]]&amp;Transformation[[#This Row],[Transaction to]]</f>
        <v>4630088114630015OPE</v>
      </c>
      <c r="BR169" s="26" t="str">
        <f>Transformation[[#This Row],[crfomid]]&amp;Transformation[[#This Row],[Transaction from]]&amp;"("&amp;Transformation[[#This Row],[Multiplier]]&amp;") -&gt; "&amp;Transformation[[#This Row],[ctoid]]&amp;Transformation[[#This Row],[Transaction to]]</f>
        <v>LP08811(1) -&gt; LP015OPE</v>
      </c>
    </row>
    <row r="170" spans="25:70" x14ac:dyDescent="0.45">
      <c r="Y170" s="5" t="s">
        <v>343</v>
      </c>
      <c r="Z170" s="4" t="s">
        <v>661</v>
      </c>
      <c r="AA170" s="4" t="s">
        <v>1311</v>
      </c>
      <c r="AB170" s="4" t="s">
        <v>9</v>
      </c>
      <c r="AC170" s="24" t="str">
        <f>IFERROR(VLOOKUP(Transactions[[#This Row],[Parent code]],Transactions[[Transaction code]:[Transaction name]],2,0),"")</f>
        <v>Electricity, CHP and Heat plants - Main activity</v>
      </c>
      <c r="AD170" s="4" t="s">
        <v>189</v>
      </c>
      <c r="AE170" s="4" t="s">
        <v>959</v>
      </c>
      <c r="AF170" s="4" t="s">
        <v>642</v>
      </c>
      <c r="AG170" s="4" t="s">
        <v>1</v>
      </c>
      <c r="AH170" s="4" t="s">
        <v>696</v>
      </c>
      <c r="AJ170" s="4" t="s">
        <v>0</v>
      </c>
      <c r="AK170" s="24" t="str" cm="1">
        <f t="array" ref="AK170">IFERROR(INDEX(Transactions[[Transaction code]:[Transaction name]],_xlfn.XMATCH(Transactions[[#This Row],[Parent code]],Transactions[Transaction name],0),3),Transactions[[#This Row],[Transaction name]])</f>
        <v>Electricity, CHP and Heat plants - Main activity - Geothermal</v>
      </c>
      <c r="AL170" s="24" t="str" cm="1">
        <f t="array" ref="AL170">IFERROR(INDEX(Transactions[[Transaction code]:[Transaction name]],_xlfn.XMATCH(INDEX(Transactions[[Transaction name]:[Parent code]],_xlfn.XMATCH(Transactions[[#This Row],[L1N]],Transactions[Transaction name],0),3),Transactions[Transaction code],0),2),Transactions[[#This Row],[L1N]])</f>
        <v>Electricity, CHP and Heat plants - Main activity</v>
      </c>
      <c r="AM170" s="24" t="str" cm="1">
        <f t="array" ref="AM170">IFERROR(INDEX(Transactions[[Transaction code]:[Transaction name]],_xlfn.XMATCH(INDEX(Transactions[[Transaction name]:[Parent code]],_xlfn.XMATCH(Transactions[[#This Row],[L2N]],Transactions[Transaction name],0),3),Transactions[Transaction code],0),2),Transactions[[#This Row],[L2N]])</f>
        <v>Production</v>
      </c>
      <c r="AN170" s="24" t="str" cm="1">
        <f t="array" ref="AN170">IFERROR(INDEX(Transactions[[Transaction code]:[Transaction name]],_xlfn.XMATCH(INDEX(Transactions[[Transaction name]:[Parent code]],_xlfn.XMATCH(Transactions[[#This Row],[L3N]],Transactions[Transaction name],0),3),Transactions[Transaction code],0),2),Transactions[[#This Row],[L3N]])</f>
        <v>Total energy supply</v>
      </c>
      <c r="AO170" s="24" t="str" cm="1">
        <f t="array" ref="AO170">IFERROR(INDEX(Transactions[[Transaction code]:[Transaction name]],_xlfn.XMATCH(INDEX(Transactions[[Transaction name]:[Parent code]],_xlfn.XMATCH(Transactions[[#This Row],[L4N]],Transactions[Transaction name],0),3),Transactions[Transaction code],0),2),Transactions[[#This Row],[L4N]])</f>
        <v>Total energy supply</v>
      </c>
      <c r="AP170" s="24" t="str" cm="1">
        <f t="array" ref="AP170">IFERROR(INDEX(Transactions[[Transaction code]:[Transaction name]],_xlfn.XMATCH(INDEX(Transactions[[Transaction name]:[Parent code]],_xlfn.XMATCH(Transactions[[#This Row],[L5N]],Transactions[Transaction name],0),3),Transactions[Transaction code],0),2),Transactions[[#This Row],[L5N]])</f>
        <v>Total energy supply</v>
      </c>
      <c r="AQ170" s="24" t="str" cm="1">
        <f t="array" ref="AQ170">IFERROR(INDEX(Transactions[[Transaction code]:[Transaction name]],_xlfn.XMATCH(INDEX(Transactions[[Transaction name]:[Parent code]],_xlfn.XMATCH(Transactions[[#This Row],[L6N]],Transactions[Transaction name],0),3),Transactions[Transaction code],0),2),Transactions[[#This Row],[L6N]])</f>
        <v>Total energy supply</v>
      </c>
      <c r="AR170" s="28" t="str">
        <f>IF(Transactions[[#This Row],[L7N]]=Transactions[[#This Row],[L6N]],Transactions[[#This Row],[L7N]],IF(Transactions[[#This Row],[L6N]]=Transactions[[#This Row],[L5N]],Transactions[[#This Row],[L6N]],IF(Transactions[[#This Row],[L5N]]=Transactions[[#This Row],[L4N]],Transactions[[#This Row],[L5N]],IF(Transactions[[#This Row],[L4N]]=Transactions[[#This Row],[L3N]],Transactions[[#This Row],[L4N]],IF(Transactions[[#This Row],[L3N]]=Transactions[[#This Row],[L2N]],Transactions[[#This Row],[L3N]],IF(Transactions[[#This Row],[L2N]]=Transactions[[#This Row],[L1N]],Transactions[[#This Row],[L2N]],IF(Transactions[[#This Row],[L1N]]=Transactions[[#This Row],[Transaction name]],Transactions[[#This Row],[L1N]],Transactions[[#This Row],[Transaction name]])))))))</f>
        <v>Total energy supply</v>
      </c>
      <c r="AS170" s="24" t="str">
        <f>IF(Transactions[[#This Row],[Level 0]]=Transactions[[#This Row],[Transaction name]],Transactions[[#This Row],[Transaction name]],IF(Transactions[[#This Row],[Level 0]]=Transactions[[#This Row],[L1N]],Transactions[[#This Row],[Transaction name]],IF(Transactions[[#This Row],[Level 0]]=Transactions[[#This Row],[L2N]],Transactions[[#This Row],[L1N]],IF(Transactions[[#This Row],[Level 0]]=Transactions[[#This Row],[L3N]],Transactions[[#This Row],[L2N]],IF(Transactions[[#This Row],[Level 0]]=Transactions[[#This Row],[L4N]],Transactions[[#This Row],[L3N]],IF(Transactions[[#This Row],[Level 0]]=Transactions[[#This Row],[L5N]],Transactions[[#This Row],[L4N]],IF(Transactions[[#This Row],[Level 0]]=Transactions[[#This Row],[L6N]],Transactions[[#This Row],[L5N]],IF(Transactions[[#This Row],[Level 0]]=Transactions[[#This Row],[L7N]],Transactions[[#This Row],[L6N]],Transactions[[#This Row],[L7N]]))))))))</f>
        <v>Production</v>
      </c>
      <c r="AT170" s="24" t="str">
        <f>IF(Transactions[[#This Row],[Level 1]]=Transactions[[#This Row],[Transaction name]],Transactions[[#This Row],[Transaction name]],IF(Transactions[[#This Row],[Level 1]]=Transactions[[#This Row],[L1N]],Transactions[[#This Row],[Transaction name]],IF(Transactions[[#This Row],[Level 1]]=Transactions[[#This Row],[L2N]],Transactions[[#This Row],[L1N]],IF(Transactions[[#This Row],[Level 1]]=Transactions[[#This Row],[L3N]],Transactions[[#This Row],[L2N]],IF(Transactions[[#This Row],[Level 1]]=Transactions[[#This Row],[L4N]],Transactions[[#This Row],[L3N]],IF(Transactions[[#This Row],[Level 1]]=Transactions[[#This Row],[L5N]],Transactions[[#This Row],[L4N]],IF(Transactions[[#This Row],[Level 1]]=Transactions[[#This Row],[L6N]],Transactions[[#This Row],[L5N]],IF(Transactions[[#This Row],[Level 1]]=Transactions[[#This Row],[L7N]],Transactions[[#This Row],[L6N]],Transactions[[#This Row],[L7N]]))))))))</f>
        <v>Electricity, CHP and Heat plants - Main activity</v>
      </c>
      <c r="AU170" s="24" t="str">
        <f>IF(Transactions[[#This Row],[Level 2]]=Transactions[[#This Row],[Transaction name]],Transactions[[#This Row],[Transaction name]],IF(Transactions[[#This Row],[Level 2]]=Transactions[[#This Row],[L1N]],Transactions[[#This Row],[Transaction name]],IF(Transactions[[#This Row],[Level 2]]=Transactions[[#This Row],[L2N]],Transactions[[#This Row],[L1N]],IF(Transactions[[#This Row],[Level 2]]=Transactions[[#This Row],[L3N]],Transactions[[#This Row],[L2N]],IF(Transactions[[#This Row],[Level 2]]=Transactions[[#This Row],[L4N]],Transactions[[#This Row],[L3N]],IF(Transactions[[#This Row],[Level 2]]=Transactions[[#This Row],[L5N]],Transactions[[#This Row],[L4N]],IF(Transactions[[#This Row],[Level 2]]=Transactions[[#This Row],[L6N]],Transactions[[#This Row],[L5N]],IF(Transactions[[#This Row],[Level 2]]=Transactions[[#This Row],[L7N]],Transactions[[#This Row],[L6N]],Transactions[[#This Row],[L7N]]))))))))</f>
        <v>Electricity, CHP and Heat plants - Main activity - Geothermal</v>
      </c>
      <c r="AV170" s="24" t="str">
        <f>IF(Transactions[[#This Row],[Level 3]]=Transactions[[#This Row],[Transaction name]],Transactions[[#This Row],[Transaction name]],IF(Transactions[[#This Row],[Level 3]]=Transactions[[#This Row],[L1N]],Transactions[[#This Row],[Transaction name]],IF(Transactions[[#This Row],[Level 3]]=Transactions[[#This Row],[L2N]],Transactions[[#This Row],[L1N]],IF(Transactions[[#This Row],[Level 3]]=Transactions[[#This Row],[L3N]],Transactions[[#This Row],[L2N]],IF(Transactions[[#This Row],[Level 3]]=Transactions[[#This Row],[L4N]],Transactions[[#This Row],[L3N]],IF(Transactions[[#This Row],[Level 3]]=Transactions[[#This Row],[L5N]],Transactions[[#This Row],[L4N]],IF(Transactions[[#This Row],[Level 3]]=Transactions[[#This Row],[L6N]],Transactions[[#This Row],[L5N]],IF(Transactions[[#This Row],[Level 3]]=Transactions[[#This Row],[L7N]],Transactions[[#This Row],[L6N]],Transactions[[#This Row],[L7N]]))))))))</f>
        <v>Electricity, CHP and Heat plants - Main activity - Geothermal</v>
      </c>
      <c r="AW170" s="24" t="str">
        <f>IF(Transactions[[#This Row],[Level 4]]=Transactions[[#This Row],[Transaction name]],Transactions[[#This Row],[Transaction name]],IF(Transactions[[#This Row],[Level 4]]=Transactions[[#This Row],[L1N]],Transactions[[#This Row],[Transaction name]],IF(Transactions[[#This Row],[Level 4]]=Transactions[[#This Row],[L2N]],Transactions[[#This Row],[L1N]],IF(Transactions[[#This Row],[Level 4]]=Transactions[[#This Row],[L3N]],Transactions[[#This Row],[L2N]],IF(Transactions[[#This Row],[Level 4]]=Transactions[[#This Row],[L4N]],Transactions[[#This Row],[L3N]],IF(Transactions[[#This Row],[Level 4]]=Transactions[[#This Row],[L5N]],Transactions[[#This Row],[L4N]],IF(Transactions[[#This Row],[Level 4]]=Transactions[[#This Row],[L6N]],Transactions[[#This Row],[L5N]],IF(Transactions[[#This Row],[Level 4]]=Transactions[[#This Row],[L7N]],Transactions[[#This Row],[L6N]],Transactions[[#This Row],[L7N]]))))))))</f>
        <v>Electricity, CHP and Heat plants - Main activity - Geothermal</v>
      </c>
      <c r="AX170" s="24" t="str">
        <f>IF(Transactions[[#This Row],[Level 5]]=Transactions[[#This Row],[Transaction name]],Transactions[[#This Row],[Transaction name]],IF(Transactions[[#This Row],[Level 5]]=Transactions[[#This Row],[L1N]],Transactions[[#This Row],[Transaction name]],IF(Transactions[[#This Row],[Level 5]]=Transactions[[#This Row],[L2N]],Transactions[[#This Row],[L1N]],IF(Transactions[[#This Row],[Level 5]]=Transactions[[#This Row],[L3N]],Transactions[[#This Row],[L2N]],IF(Transactions[[#This Row],[Level 5]]=Transactions[[#This Row],[L4N]],Transactions[[#This Row],[L3N]],IF(Transactions[[#This Row],[Level 5]]=Transactions[[#This Row],[L5N]],Transactions[[#This Row],[L4N]],IF(Transactions[[#This Row],[Level 5]]=Transactions[[#This Row],[L6N]],Transactions[[#This Row],[L5N]],IF(Transactions[[#This Row],[Level 5]]=Transactions[[#This Row],[L7N]],Transactions[[#This Row],[L6N]],Transactions[[#This Row],[L7N]]))))))))</f>
        <v>Electricity, CHP and Heat plants - Main activity - Geothermal</v>
      </c>
      <c r="AY170" s="24" t="str">
        <f>IF(Transactions[[#This Row],[Level 6]]=Transactions[[#This Row],[Transaction name]],Transactions[[#This Row],[Transaction name]],IF(Transactions[[#This Row],[Level 6]]=Transactions[[#This Row],[L1N]],Transactions[[#This Row],[Transaction name]],IF(Transactions[[#This Row],[Level 6]]=Transactions[[#This Row],[L2N]],Transactions[[#This Row],[L1N]],IF(Transactions[[#This Row],[Level 6]]=Transactions[[#This Row],[L3N]],Transactions[[#This Row],[L2N]],IF(Transactions[[#This Row],[Level 6]]=Transactions[[#This Row],[L4N]],Transactions[[#This Row],[L3N]],IF(Transactions[[#This Row],[Level 6]]=Transactions[[#This Row],[L5N]],Transactions[[#This Row],[L4N]],IF(Transactions[[#This Row],[Level 6]]=Transactions[[#This Row],[L6N]],Transactions[[#This Row],[L5N]],IF(Transactions[[#This Row],[Level 6]]=Transactions[[#This Row],[L7N]],Transactions[[#This Row],[L6N]],Transactions[[#This Row],[L7N]]))))))))</f>
        <v>Electricity, CHP and Heat plants - Main activity - Geothermal</v>
      </c>
      <c r="BE170" s="26" t="str">
        <f>_xlfn.XLOOKUP(Transformation[[#This Row],[cfrom]],Commodities[Commodity],Commodities[Commodity code])</f>
        <v>4652</v>
      </c>
      <c r="BF170" s="26" t="str">
        <f>_xlfn.XLOOKUP(Transformation[[#This Row],[tfrom]],Transactions[Transaction name],Transactions[Transaction code])</f>
        <v>08811</v>
      </c>
      <c r="BG170" s="26" t="str">
        <f>_xlfn.XLOOKUP(Transformation[[#This Row],[cto]],Commodities[Commodity],Commodities[Commodity code])</f>
        <v>4652</v>
      </c>
      <c r="BH170" s="26" t="str">
        <f>_xlfn.XLOOKUP(Transformation[[#This Row],[tto]],Transactions[Transaction name],Transactions[Transaction code])</f>
        <v>015OPE</v>
      </c>
      <c r="BI170" s="11">
        <v>1</v>
      </c>
      <c r="BJ170" s="4" t="s">
        <v>394</v>
      </c>
      <c r="BK170" s="24" t="str">
        <f>_xlfn.XLOOKUP(Transformation[[#This Row],[Commodity from]],Commodities[Commodity code],Commodities[EnergyCode])</f>
        <v>MO</v>
      </c>
      <c r="BL170" s="4" t="s">
        <v>689</v>
      </c>
      <c r="BM170" s="4" t="s">
        <v>394</v>
      </c>
      <c r="BN170" s="24" t="str">
        <f>_xlfn.XLOOKUP(Transformation[[#This Row],[Commodity to]],Commodities[Commodity code],Commodities[EnergyCode])</f>
        <v>MO</v>
      </c>
      <c r="BO170" s="4" t="s">
        <v>1051</v>
      </c>
      <c r="BP170" s="16" t="s">
        <v>1493</v>
      </c>
      <c r="BQ170" s="33" t="str">
        <f>Transformation[[#This Row],[Commodity from]]&amp;Transformation[[#This Row],[Transaction from]]&amp;Transformation[[#This Row],[Commodity to]]&amp;Transformation[[#This Row],[Transaction to]]</f>
        <v>4652088114652015OPE</v>
      </c>
      <c r="BR170" s="26" t="str">
        <f>Transformation[[#This Row],[crfomid]]&amp;Transformation[[#This Row],[Transaction from]]&amp;"("&amp;Transformation[[#This Row],[Multiplier]]&amp;") -&gt; "&amp;Transformation[[#This Row],[ctoid]]&amp;Transformation[[#This Row],[Transaction to]]</f>
        <v>MO08811(1) -&gt; MO015OPE</v>
      </c>
    </row>
    <row r="171" spans="25:70" x14ac:dyDescent="0.45">
      <c r="Y171" s="5" t="s">
        <v>1241</v>
      </c>
      <c r="Z171" s="4" t="s">
        <v>1184</v>
      </c>
      <c r="AA171" s="4" t="s">
        <v>1378</v>
      </c>
      <c r="AB171" s="4" t="s">
        <v>9</v>
      </c>
      <c r="AC171" s="24" t="str">
        <f>IFERROR(VLOOKUP(Transactions[[#This Row],[Parent code]],Transactions[[Transaction code]:[Transaction name]],2,0),"")</f>
        <v>Electricity, CHP and Heat plants - Main activity</v>
      </c>
      <c r="AD171" s="4" t="s">
        <v>189</v>
      </c>
      <c r="AE171" s="4" t="s">
        <v>959</v>
      </c>
      <c r="AF171" s="4" t="s">
        <v>642</v>
      </c>
      <c r="AG171" s="4" t="s">
        <v>1</v>
      </c>
      <c r="AH171" s="4" t="s">
        <v>696</v>
      </c>
      <c r="AI171" s="12" t="s">
        <v>1416</v>
      </c>
      <c r="AJ171" s="4" t="s">
        <v>0</v>
      </c>
      <c r="AK171" s="24" t="str" cm="1">
        <f t="array" ref="AK171">IFERROR(INDEX(Transactions[[Transaction code]:[Transaction name]],_xlfn.XMATCH(Transactions[[#This Row],[Parent code]],Transactions[Transaction name],0),3),Transactions[[#This Row],[Transaction name]])</f>
        <v>Electricity, CHP and Heat plants - Main activity - hard coal</v>
      </c>
      <c r="AL171" s="24" t="str" cm="1">
        <f t="array" ref="AL171">IFERROR(INDEX(Transactions[[Transaction code]:[Transaction name]],_xlfn.XMATCH(INDEX(Transactions[[Transaction name]:[Parent code]],_xlfn.XMATCH(Transactions[[#This Row],[L1N]],Transactions[Transaction name],0),3),Transactions[Transaction code],0),2),Transactions[[#This Row],[L1N]])</f>
        <v>Electricity, CHP and Heat plants - Main activity</v>
      </c>
      <c r="AM171" s="24" t="str" cm="1">
        <f t="array" ref="AM171">IFERROR(INDEX(Transactions[[Transaction code]:[Transaction name]],_xlfn.XMATCH(INDEX(Transactions[[Transaction name]:[Parent code]],_xlfn.XMATCH(Transactions[[#This Row],[L2N]],Transactions[Transaction name],0),3),Transactions[Transaction code],0),2),Transactions[[#This Row],[L2N]])</f>
        <v>Production</v>
      </c>
      <c r="AN171" s="24" t="str" cm="1">
        <f t="array" ref="AN171">IFERROR(INDEX(Transactions[[Transaction code]:[Transaction name]],_xlfn.XMATCH(INDEX(Transactions[[Transaction name]:[Parent code]],_xlfn.XMATCH(Transactions[[#This Row],[L3N]],Transactions[Transaction name],0),3),Transactions[Transaction code],0),2),Transactions[[#This Row],[L3N]])</f>
        <v>Total energy supply</v>
      </c>
      <c r="AO171" s="24" t="str" cm="1">
        <f t="array" ref="AO171">IFERROR(INDEX(Transactions[[Transaction code]:[Transaction name]],_xlfn.XMATCH(INDEX(Transactions[[Transaction name]:[Parent code]],_xlfn.XMATCH(Transactions[[#This Row],[L4N]],Transactions[Transaction name],0),3),Transactions[Transaction code],0),2),Transactions[[#This Row],[L4N]])</f>
        <v>Total energy supply</v>
      </c>
      <c r="AP171" s="24" t="str" cm="1">
        <f t="array" ref="AP171">IFERROR(INDEX(Transactions[[Transaction code]:[Transaction name]],_xlfn.XMATCH(INDEX(Transactions[[Transaction name]:[Parent code]],_xlfn.XMATCH(Transactions[[#This Row],[L5N]],Transactions[Transaction name],0),3),Transactions[Transaction code],0),2),Transactions[[#This Row],[L5N]])</f>
        <v>Total energy supply</v>
      </c>
      <c r="AQ171" s="24" t="str" cm="1">
        <f t="array" ref="AQ171">IFERROR(INDEX(Transactions[[Transaction code]:[Transaction name]],_xlfn.XMATCH(INDEX(Transactions[[Transaction name]:[Parent code]],_xlfn.XMATCH(Transactions[[#This Row],[L6N]],Transactions[Transaction name],0),3),Transactions[Transaction code],0),2),Transactions[[#This Row],[L6N]])</f>
        <v>Total energy supply</v>
      </c>
      <c r="AR171" s="28" t="str">
        <f>IF(Transactions[[#This Row],[L7N]]=Transactions[[#This Row],[L6N]],Transactions[[#This Row],[L7N]],IF(Transactions[[#This Row],[L6N]]=Transactions[[#This Row],[L5N]],Transactions[[#This Row],[L6N]],IF(Transactions[[#This Row],[L5N]]=Transactions[[#This Row],[L4N]],Transactions[[#This Row],[L5N]],IF(Transactions[[#This Row],[L4N]]=Transactions[[#This Row],[L3N]],Transactions[[#This Row],[L4N]],IF(Transactions[[#This Row],[L3N]]=Transactions[[#This Row],[L2N]],Transactions[[#This Row],[L3N]],IF(Transactions[[#This Row],[L2N]]=Transactions[[#This Row],[L1N]],Transactions[[#This Row],[L2N]],IF(Transactions[[#This Row],[L1N]]=Transactions[[#This Row],[Transaction name]],Transactions[[#This Row],[L1N]],Transactions[[#This Row],[Transaction name]])))))))</f>
        <v>Total energy supply</v>
      </c>
      <c r="AS171" s="24" t="str">
        <f>IF(Transactions[[#This Row],[Level 0]]=Transactions[[#This Row],[Transaction name]],Transactions[[#This Row],[Transaction name]],IF(Transactions[[#This Row],[Level 0]]=Transactions[[#This Row],[L1N]],Transactions[[#This Row],[Transaction name]],IF(Transactions[[#This Row],[Level 0]]=Transactions[[#This Row],[L2N]],Transactions[[#This Row],[L1N]],IF(Transactions[[#This Row],[Level 0]]=Transactions[[#This Row],[L3N]],Transactions[[#This Row],[L2N]],IF(Transactions[[#This Row],[Level 0]]=Transactions[[#This Row],[L4N]],Transactions[[#This Row],[L3N]],IF(Transactions[[#This Row],[Level 0]]=Transactions[[#This Row],[L5N]],Transactions[[#This Row],[L4N]],IF(Transactions[[#This Row],[Level 0]]=Transactions[[#This Row],[L6N]],Transactions[[#This Row],[L5N]],IF(Transactions[[#This Row],[Level 0]]=Transactions[[#This Row],[L7N]],Transactions[[#This Row],[L6N]],Transactions[[#This Row],[L7N]]))))))))</f>
        <v>Production</v>
      </c>
      <c r="AT171" s="24" t="str">
        <f>IF(Transactions[[#This Row],[Level 1]]=Transactions[[#This Row],[Transaction name]],Transactions[[#This Row],[Transaction name]],IF(Transactions[[#This Row],[Level 1]]=Transactions[[#This Row],[L1N]],Transactions[[#This Row],[Transaction name]],IF(Transactions[[#This Row],[Level 1]]=Transactions[[#This Row],[L2N]],Transactions[[#This Row],[L1N]],IF(Transactions[[#This Row],[Level 1]]=Transactions[[#This Row],[L3N]],Transactions[[#This Row],[L2N]],IF(Transactions[[#This Row],[Level 1]]=Transactions[[#This Row],[L4N]],Transactions[[#This Row],[L3N]],IF(Transactions[[#This Row],[Level 1]]=Transactions[[#This Row],[L5N]],Transactions[[#This Row],[L4N]],IF(Transactions[[#This Row],[Level 1]]=Transactions[[#This Row],[L6N]],Transactions[[#This Row],[L5N]],IF(Transactions[[#This Row],[Level 1]]=Transactions[[#This Row],[L7N]],Transactions[[#This Row],[L6N]],Transactions[[#This Row],[L7N]]))))))))</f>
        <v>Electricity, CHP and Heat plants - Main activity</v>
      </c>
      <c r="AU171" s="24" t="str">
        <f>IF(Transactions[[#This Row],[Level 2]]=Transactions[[#This Row],[Transaction name]],Transactions[[#This Row],[Transaction name]],IF(Transactions[[#This Row],[Level 2]]=Transactions[[#This Row],[L1N]],Transactions[[#This Row],[Transaction name]],IF(Transactions[[#This Row],[Level 2]]=Transactions[[#This Row],[L2N]],Transactions[[#This Row],[L1N]],IF(Transactions[[#This Row],[Level 2]]=Transactions[[#This Row],[L3N]],Transactions[[#This Row],[L2N]],IF(Transactions[[#This Row],[Level 2]]=Transactions[[#This Row],[L4N]],Transactions[[#This Row],[L3N]],IF(Transactions[[#This Row],[Level 2]]=Transactions[[#This Row],[L5N]],Transactions[[#This Row],[L4N]],IF(Transactions[[#This Row],[Level 2]]=Transactions[[#This Row],[L6N]],Transactions[[#This Row],[L5N]],IF(Transactions[[#This Row],[Level 2]]=Transactions[[#This Row],[L7N]],Transactions[[#This Row],[L6N]],Transactions[[#This Row],[L7N]]))))))))</f>
        <v>Electricity, CHP and Heat plants - Main activity - hard coal</v>
      </c>
      <c r="AV171" s="24" t="str">
        <f>IF(Transactions[[#This Row],[Level 3]]=Transactions[[#This Row],[Transaction name]],Transactions[[#This Row],[Transaction name]],IF(Transactions[[#This Row],[Level 3]]=Transactions[[#This Row],[L1N]],Transactions[[#This Row],[Transaction name]],IF(Transactions[[#This Row],[Level 3]]=Transactions[[#This Row],[L2N]],Transactions[[#This Row],[L1N]],IF(Transactions[[#This Row],[Level 3]]=Transactions[[#This Row],[L3N]],Transactions[[#This Row],[L2N]],IF(Transactions[[#This Row],[Level 3]]=Transactions[[#This Row],[L4N]],Transactions[[#This Row],[L3N]],IF(Transactions[[#This Row],[Level 3]]=Transactions[[#This Row],[L5N]],Transactions[[#This Row],[L4N]],IF(Transactions[[#This Row],[Level 3]]=Transactions[[#This Row],[L6N]],Transactions[[#This Row],[L5N]],IF(Transactions[[#This Row],[Level 3]]=Transactions[[#This Row],[L7N]],Transactions[[#This Row],[L6N]],Transactions[[#This Row],[L7N]]))))))))</f>
        <v>Electricity, CHP and Heat plants - Main activity - hard coal</v>
      </c>
      <c r="AW171" s="24" t="str">
        <f>IF(Transactions[[#This Row],[Level 4]]=Transactions[[#This Row],[Transaction name]],Transactions[[#This Row],[Transaction name]],IF(Transactions[[#This Row],[Level 4]]=Transactions[[#This Row],[L1N]],Transactions[[#This Row],[Transaction name]],IF(Transactions[[#This Row],[Level 4]]=Transactions[[#This Row],[L2N]],Transactions[[#This Row],[L1N]],IF(Transactions[[#This Row],[Level 4]]=Transactions[[#This Row],[L3N]],Transactions[[#This Row],[L2N]],IF(Transactions[[#This Row],[Level 4]]=Transactions[[#This Row],[L4N]],Transactions[[#This Row],[L3N]],IF(Transactions[[#This Row],[Level 4]]=Transactions[[#This Row],[L5N]],Transactions[[#This Row],[L4N]],IF(Transactions[[#This Row],[Level 4]]=Transactions[[#This Row],[L6N]],Transactions[[#This Row],[L5N]],IF(Transactions[[#This Row],[Level 4]]=Transactions[[#This Row],[L7N]],Transactions[[#This Row],[L6N]],Transactions[[#This Row],[L7N]]))))))))</f>
        <v>Electricity, CHP and Heat plants - Main activity - hard coal</v>
      </c>
      <c r="AX171" s="24" t="str">
        <f>IF(Transactions[[#This Row],[Level 5]]=Transactions[[#This Row],[Transaction name]],Transactions[[#This Row],[Transaction name]],IF(Transactions[[#This Row],[Level 5]]=Transactions[[#This Row],[L1N]],Transactions[[#This Row],[Transaction name]],IF(Transactions[[#This Row],[Level 5]]=Transactions[[#This Row],[L2N]],Transactions[[#This Row],[L1N]],IF(Transactions[[#This Row],[Level 5]]=Transactions[[#This Row],[L3N]],Transactions[[#This Row],[L2N]],IF(Transactions[[#This Row],[Level 5]]=Transactions[[#This Row],[L4N]],Transactions[[#This Row],[L3N]],IF(Transactions[[#This Row],[Level 5]]=Transactions[[#This Row],[L5N]],Transactions[[#This Row],[L4N]],IF(Transactions[[#This Row],[Level 5]]=Transactions[[#This Row],[L6N]],Transactions[[#This Row],[L5N]],IF(Transactions[[#This Row],[Level 5]]=Transactions[[#This Row],[L7N]],Transactions[[#This Row],[L6N]],Transactions[[#This Row],[L7N]]))))))))</f>
        <v>Electricity, CHP and Heat plants - Main activity - hard coal</v>
      </c>
      <c r="AY171" s="24" t="str">
        <f>IF(Transactions[[#This Row],[Level 6]]=Transactions[[#This Row],[Transaction name]],Transactions[[#This Row],[Transaction name]],IF(Transactions[[#This Row],[Level 6]]=Transactions[[#This Row],[L1N]],Transactions[[#This Row],[Transaction name]],IF(Transactions[[#This Row],[Level 6]]=Transactions[[#This Row],[L2N]],Transactions[[#This Row],[L1N]],IF(Transactions[[#This Row],[Level 6]]=Transactions[[#This Row],[L3N]],Transactions[[#This Row],[L2N]],IF(Transactions[[#This Row],[Level 6]]=Transactions[[#This Row],[L4N]],Transactions[[#This Row],[L3N]],IF(Transactions[[#This Row],[Level 6]]=Transactions[[#This Row],[L5N]],Transactions[[#This Row],[L4N]],IF(Transactions[[#This Row],[Level 6]]=Transactions[[#This Row],[L6N]],Transactions[[#This Row],[L5N]],IF(Transactions[[#This Row],[Level 6]]=Transactions[[#This Row],[L7N]],Transactions[[#This Row],[L6N]],Transactions[[#This Row],[L7N]]))))))))</f>
        <v>Electricity, CHP and Heat plants - Main activity - hard coal</v>
      </c>
      <c r="BE171" s="26" t="str">
        <f>_xlfn.XLOOKUP(Transformation[[#This Row],[cfrom]],Commodities[Commodity],Commodities[Commodity code])</f>
        <v>6200</v>
      </c>
      <c r="BF171" s="26" t="str">
        <f>_xlfn.XLOOKUP(Transformation[[#This Row],[tfrom]],Transactions[Transaction name],Transactions[Transaction code])</f>
        <v>08811</v>
      </c>
      <c r="BG171" s="26" t="str">
        <f>_xlfn.XLOOKUP(Transformation[[#This Row],[cto]],Commodities[Commodity],Commodities[Commodity code])</f>
        <v>6200</v>
      </c>
      <c r="BH171" s="26" t="str">
        <f>_xlfn.XLOOKUP(Transformation[[#This Row],[tto]],Transactions[Transaction name],Transactions[Transaction code])</f>
        <v>015MSWE</v>
      </c>
      <c r="BI171" s="11">
        <v>1</v>
      </c>
      <c r="BJ171" s="4" t="s">
        <v>288</v>
      </c>
      <c r="BK171" s="24" t="str">
        <f>_xlfn.XLOOKUP(Transformation[[#This Row],[Commodity from]],Commodities[Commodity code],Commodities[EnergyCode])</f>
        <v>MW</v>
      </c>
      <c r="BL171" s="4" t="s">
        <v>689</v>
      </c>
      <c r="BM171" s="4" t="s">
        <v>288</v>
      </c>
      <c r="BN171" s="24" t="str">
        <f>_xlfn.XLOOKUP(Transformation[[#This Row],[Commodity to]],Commodities[Commodity code],Commodities[EnergyCode])</f>
        <v>MW</v>
      </c>
      <c r="BO171" s="4" t="s">
        <v>1139</v>
      </c>
      <c r="BP171" s="16" t="s">
        <v>1493</v>
      </c>
      <c r="BQ171" s="33" t="str">
        <f>Transformation[[#This Row],[Commodity from]]&amp;Transformation[[#This Row],[Transaction from]]&amp;Transformation[[#This Row],[Commodity to]]&amp;Transformation[[#This Row],[Transaction to]]</f>
        <v>6200088116200015MSWE</v>
      </c>
      <c r="BR171" s="26" t="str">
        <f>Transformation[[#This Row],[crfomid]]&amp;Transformation[[#This Row],[Transaction from]]&amp;"("&amp;Transformation[[#This Row],[Multiplier]]&amp;") -&gt; "&amp;Transformation[[#This Row],[ctoid]]&amp;Transformation[[#This Row],[Transaction to]]</f>
        <v>MW08811(1) -&gt; MW015MSWE</v>
      </c>
    </row>
    <row r="172" spans="25:70" x14ac:dyDescent="0.45">
      <c r="Y172" s="5" t="s">
        <v>1161</v>
      </c>
      <c r="Z172" s="4" t="s">
        <v>1153</v>
      </c>
      <c r="AA172" s="4" t="s">
        <v>1370</v>
      </c>
      <c r="AB172" s="4" t="s">
        <v>9</v>
      </c>
      <c r="AC172" s="24" t="str">
        <f>IFERROR(VLOOKUP(Transactions[[#This Row],[Parent code]],Transactions[[Transaction code]:[Transaction name]],2,0),"")</f>
        <v>Electricity, CHP and Heat plants - Main activity</v>
      </c>
      <c r="AD172" s="4" t="s">
        <v>189</v>
      </c>
      <c r="AE172" s="4" t="s">
        <v>959</v>
      </c>
      <c r="AF172" s="4" t="s">
        <v>642</v>
      </c>
      <c r="AG172" s="4" t="s">
        <v>1</v>
      </c>
      <c r="AH172" s="4" t="s">
        <v>696</v>
      </c>
      <c r="AI172" s="12" t="s">
        <v>1416</v>
      </c>
      <c r="AJ172" s="4" t="s">
        <v>0</v>
      </c>
      <c r="AK172" s="24" t="str" cm="1">
        <f t="array" ref="AK172">IFERROR(INDEX(Transactions[[Transaction code]:[Transaction name]],_xlfn.XMATCH(Transactions[[#This Row],[Parent code]],Transactions[Transaction name],0),3),Transactions[[#This Row],[Transaction name]])</f>
        <v>Electricity, CHP and Heat plants - Main activity - industrial solid waste</v>
      </c>
      <c r="AL172" s="24" t="str" cm="1">
        <f t="array" ref="AL172">IFERROR(INDEX(Transactions[[Transaction code]:[Transaction name]],_xlfn.XMATCH(INDEX(Transactions[[Transaction name]:[Parent code]],_xlfn.XMATCH(Transactions[[#This Row],[L1N]],Transactions[Transaction name],0),3),Transactions[Transaction code],0),2),Transactions[[#This Row],[L1N]])</f>
        <v>Electricity, CHP and Heat plants - Main activity</v>
      </c>
      <c r="AM172" s="24" t="str" cm="1">
        <f t="array" ref="AM172">IFERROR(INDEX(Transactions[[Transaction code]:[Transaction name]],_xlfn.XMATCH(INDEX(Transactions[[Transaction name]:[Parent code]],_xlfn.XMATCH(Transactions[[#This Row],[L2N]],Transactions[Transaction name],0),3),Transactions[Transaction code],0),2),Transactions[[#This Row],[L2N]])</f>
        <v>Production</v>
      </c>
      <c r="AN172" s="24" t="str" cm="1">
        <f t="array" ref="AN172">IFERROR(INDEX(Transactions[[Transaction code]:[Transaction name]],_xlfn.XMATCH(INDEX(Transactions[[Transaction name]:[Parent code]],_xlfn.XMATCH(Transactions[[#This Row],[L3N]],Transactions[Transaction name],0),3),Transactions[Transaction code],0),2),Transactions[[#This Row],[L3N]])</f>
        <v>Total energy supply</v>
      </c>
      <c r="AO172" s="24" t="str" cm="1">
        <f t="array" ref="AO172">IFERROR(INDEX(Transactions[[Transaction code]:[Transaction name]],_xlfn.XMATCH(INDEX(Transactions[[Transaction name]:[Parent code]],_xlfn.XMATCH(Transactions[[#This Row],[L4N]],Transactions[Transaction name],0),3),Transactions[Transaction code],0),2),Transactions[[#This Row],[L4N]])</f>
        <v>Total energy supply</v>
      </c>
      <c r="AP172" s="24" t="str" cm="1">
        <f t="array" ref="AP172">IFERROR(INDEX(Transactions[[Transaction code]:[Transaction name]],_xlfn.XMATCH(INDEX(Transactions[[Transaction name]:[Parent code]],_xlfn.XMATCH(Transactions[[#This Row],[L5N]],Transactions[Transaction name],0),3),Transactions[Transaction code],0),2),Transactions[[#This Row],[L5N]])</f>
        <v>Total energy supply</v>
      </c>
      <c r="AQ172" s="24" t="str" cm="1">
        <f t="array" ref="AQ172">IFERROR(INDEX(Transactions[[Transaction code]:[Transaction name]],_xlfn.XMATCH(INDEX(Transactions[[Transaction name]:[Parent code]],_xlfn.XMATCH(Transactions[[#This Row],[L6N]],Transactions[Transaction name],0),3),Transactions[Transaction code],0),2),Transactions[[#This Row],[L6N]])</f>
        <v>Total energy supply</v>
      </c>
      <c r="AR172" s="28" t="str">
        <f>IF(Transactions[[#This Row],[L7N]]=Transactions[[#This Row],[L6N]],Transactions[[#This Row],[L7N]],IF(Transactions[[#This Row],[L6N]]=Transactions[[#This Row],[L5N]],Transactions[[#This Row],[L6N]],IF(Transactions[[#This Row],[L5N]]=Transactions[[#This Row],[L4N]],Transactions[[#This Row],[L5N]],IF(Transactions[[#This Row],[L4N]]=Transactions[[#This Row],[L3N]],Transactions[[#This Row],[L4N]],IF(Transactions[[#This Row],[L3N]]=Transactions[[#This Row],[L2N]],Transactions[[#This Row],[L3N]],IF(Transactions[[#This Row],[L2N]]=Transactions[[#This Row],[L1N]],Transactions[[#This Row],[L2N]],IF(Transactions[[#This Row],[L1N]]=Transactions[[#This Row],[Transaction name]],Transactions[[#This Row],[L1N]],Transactions[[#This Row],[Transaction name]])))))))</f>
        <v>Total energy supply</v>
      </c>
      <c r="AS172" s="24" t="str">
        <f>IF(Transactions[[#This Row],[Level 0]]=Transactions[[#This Row],[Transaction name]],Transactions[[#This Row],[Transaction name]],IF(Transactions[[#This Row],[Level 0]]=Transactions[[#This Row],[L1N]],Transactions[[#This Row],[Transaction name]],IF(Transactions[[#This Row],[Level 0]]=Transactions[[#This Row],[L2N]],Transactions[[#This Row],[L1N]],IF(Transactions[[#This Row],[Level 0]]=Transactions[[#This Row],[L3N]],Transactions[[#This Row],[L2N]],IF(Transactions[[#This Row],[Level 0]]=Transactions[[#This Row],[L4N]],Transactions[[#This Row],[L3N]],IF(Transactions[[#This Row],[Level 0]]=Transactions[[#This Row],[L5N]],Transactions[[#This Row],[L4N]],IF(Transactions[[#This Row],[Level 0]]=Transactions[[#This Row],[L6N]],Transactions[[#This Row],[L5N]],IF(Transactions[[#This Row],[Level 0]]=Transactions[[#This Row],[L7N]],Transactions[[#This Row],[L6N]],Transactions[[#This Row],[L7N]]))))))))</f>
        <v>Production</v>
      </c>
      <c r="AT172" s="24" t="str">
        <f>IF(Transactions[[#This Row],[Level 1]]=Transactions[[#This Row],[Transaction name]],Transactions[[#This Row],[Transaction name]],IF(Transactions[[#This Row],[Level 1]]=Transactions[[#This Row],[L1N]],Transactions[[#This Row],[Transaction name]],IF(Transactions[[#This Row],[Level 1]]=Transactions[[#This Row],[L2N]],Transactions[[#This Row],[L1N]],IF(Transactions[[#This Row],[Level 1]]=Transactions[[#This Row],[L3N]],Transactions[[#This Row],[L2N]],IF(Transactions[[#This Row],[Level 1]]=Transactions[[#This Row],[L4N]],Transactions[[#This Row],[L3N]],IF(Transactions[[#This Row],[Level 1]]=Transactions[[#This Row],[L5N]],Transactions[[#This Row],[L4N]],IF(Transactions[[#This Row],[Level 1]]=Transactions[[#This Row],[L6N]],Transactions[[#This Row],[L5N]],IF(Transactions[[#This Row],[Level 1]]=Transactions[[#This Row],[L7N]],Transactions[[#This Row],[L6N]],Transactions[[#This Row],[L7N]]))))))))</f>
        <v>Electricity, CHP and Heat plants - Main activity</v>
      </c>
      <c r="AU172" s="24" t="str">
        <f>IF(Transactions[[#This Row],[Level 2]]=Transactions[[#This Row],[Transaction name]],Transactions[[#This Row],[Transaction name]],IF(Transactions[[#This Row],[Level 2]]=Transactions[[#This Row],[L1N]],Transactions[[#This Row],[Transaction name]],IF(Transactions[[#This Row],[Level 2]]=Transactions[[#This Row],[L2N]],Transactions[[#This Row],[L1N]],IF(Transactions[[#This Row],[Level 2]]=Transactions[[#This Row],[L3N]],Transactions[[#This Row],[L2N]],IF(Transactions[[#This Row],[Level 2]]=Transactions[[#This Row],[L4N]],Transactions[[#This Row],[L3N]],IF(Transactions[[#This Row],[Level 2]]=Transactions[[#This Row],[L5N]],Transactions[[#This Row],[L4N]],IF(Transactions[[#This Row],[Level 2]]=Transactions[[#This Row],[L6N]],Transactions[[#This Row],[L5N]],IF(Transactions[[#This Row],[Level 2]]=Transactions[[#This Row],[L7N]],Transactions[[#This Row],[L6N]],Transactions[[#This Row],[L7N]]))))))))</f>
        <v>Electricity, CHP and Heat plants - Main activity - industrial solid waste</v>
      </c>
      <c r="AV172" s="24" t="str">
        <f>IF(Transactions[[#This Row],[Level 3]]=Transactions[[#This Row],[Transaction name]],Transactions[[#This Row],[Transaction name]],IF(Transactions[[#This Row],[Level 3]]=Transactions[[#This Row],[L1N]],Transactions[[#This Row],[Transaction name]],IF(Transactions[[#This Row],[Level 3]]=Transactions[[#This Row],[L2N]],Transactions[[#This Row],[L1N]],IF(Transactions[[#This Row],[Level 3]]=Transactions[[#This Row],[L3N]],Transactions[[#This Row],[L2N]],IF(Transactions[[#This Row],[Level 3]]=Transactions[[#This Row],[L4N]],Transactions[[#This Row],[L3N]],IF(Transactions[[#This Row],[Level 3]]=Transactions[[#This Row],[L5N]],Transactions[[#This Row],[L4N]],IF(Transactions[[#This Row],[Level 3]]=Transactions[[#This Row],[L6N]],Transactions[[#This Row],[L5N]],IF(Transactions[[#This Row],[Level 3]]=Transactions[[#This Row],[L7N]],Transactions[[#This Row],[L6N]],Transactions[[#This Row],[L7N]]))))))))</f>
        <v>Electricity, CHP and Heat plants - Main activity - industrial solid waste</v>
      </c>
      <c r="AW172" s="24" t="str">
        <f>IF(Transactions[[#This Row],[Level 4]]=Transactions[[#This Row],[Transaction name]],Transactions[[#This Row],[Transaction name]],IF(Transactions[[#This Row],[Level 4]]=Transactions[[#This Row],[L1N]],Transactions[[#This Row],[Transaction name]],IF(Transactions[[#This Row],[Level 4]]=Transactions[[#This Row],[L2N]],Transactions[[#This Row],[L1N]],IF(Transactions[[#This Row],[Level 4]]=Transactions[[#This Row],[L3N]],Transactions[[#This Row],[L2N]],IF(Transactions[[#This Row],[Level 4]]=Transactions[[#This Row],[L4N]],Transactions[[#This Row],[L3N]],IF(Transactions[[#This Row],[Level 4]]=Transactions[[#This Row],[L5N]],Transactions[[#This Row],[L4N]],IF(Transactions[[#This Row],[Level 4]]=Transactions[[#This Row],[L6N]],Transactions[[#This Row],[L5N]],IF(Transactions[[#This Row],[Level 4]]=Transactions[[#This Row],[L7N]],Transactions[[#This Row],[L6N]],Transactions[[#This Row],[L7N]]))))))))</f>
        <v>Electricity, CHP and Heat plants - Main activity - industrial solid waste</v>
      </c>
      <c r="AX172" s="24" t="str">
        <f>IF(Transactions[[#This Row],[Level 5]]=Transactions[[#This Row],[Transaction name]],Transactions[[#This Row],[Transaction name]],IF(Transactions[[#This Row],[Level 5]]=Transactions[[#This Row],[L1N]],Transactions[[#This Row],[Transaction name]],IF(Transactions[[#This Row],[Level 5]]=Transactions[[#This Row],[L2N]],Transactions[[#This Row],[L1N]],IF(Transactions[[#This Row],[Level 5]]=Transactions[[#This Row],[L3N]],Transactions[[#This Row],[L2N]],IF(Transactions[[#This Row],[Level 5]]=Transactions[[#This Row],[L4N]],Transactions[[#This Row],[L3N]],IF(Transactions[[#This Row],[Level 5]]=Transactions[[#This Row],[L5N]],Transactions[[#This Row],[L4N]],IF(Transactions[[#This Row],[Level 5]]=Transactions[[#This Row],[L6N]],Transactions[[#This Row],[L5N]],IF(Transactions[[#This Row],[Level 5]]=Transactions[[#This Row],[L7N]],Transactions[[#This Row],[L6N]],Transactions[[#This Row],[L7N]]))))))))</f>
        <v>Electricity, CHP and Heat plants - Main activity - industrial solid waste</v>
      </c>
      <c r="AY172" s="24" t="str">
        <f>IF(Transactions[[#This Row],[Level 6]]=Transactions[[#This Row],[Transaction name]],Transactions[[#This Row],[Transaction name]],IF(Transactions[[#This Row],[Level 6]]=Transactions[[#This Row],[L1N]],Transactions[[#This Row],[Transaction name]],IF(Transactions[[#This Row],[Level 6]]=Transactions[[#This Row],[L2N]],Transactions[[#This Row],[L1N]],IF(Transactions[[#This Row],[Level 6]]=Transactions[[#This Row],[L3N]],Transactions[[#This Row],[L2N]],IF(Transactions[[#This Row],[Level 6]]=Transactions[[#This Row],[L4N]],Transactions[[#This Row],[L3N]],IF(Transactions[[#This Row],[Level 6]]=Transactions[[#This Row],[L5N]],Transactions[[#This Row],[L4N]],IF(Transactions[[#This Row],[Level 6]]=Transactions[[#This Row],[L6N]],Transactions[[#This Row],[L5N]],IF(Transactions[[#This Row],[Level 6]]=Transactions[[#This Row],[L7N]],Transactions[[#This Row],[L6N]],Transactions[[#This Row],[L7N]]))))))))</f>
        <v>Electricity, CHP and Heat plants - Main activity - industrial solid waste</v>
      </c>
      <c r="BE172" s="26" t="str">
        <f>_xlfn.XLOOKUP(Transformation[[#This Row],[cfrom]],Commodities[Commodity],Commodities[Commodity code])</f>
        <v>3000</v>
      </c>
      <c r="BF172" s="26" t="str">
        <f>_xlfn.XLOOKUP(Transformation[[#This Row],[tfrom]],Transactions[Transaction name],Transactions[Transaction code])</f>
        <v>08811</v>
      </c>
      <c r="BG172" s="26" t="str">
        <f>_xlfn.XLOOKUP(Transformation[[#This Row],[cto]],Commodities[Commodity],Commodities[Commodity code])</f>
        <v>3000</v>
      </c>
      <c r="BH172" s="26" t="str">
        <f>_xlfn.XLOOKUP(Transformation[[#This Row],[tto]],Transactions[Transaction name],Transactions[Transaction code])</f>
        <v>015NGE</v>
      </c>
      <c r="BI172" s="11">
        <v>1</v>
      </c>
      <c r="BJ172" s="4" t="s">
        <v>446</v>
      </c>
      <c r="BK172" s="24" t="str">
        <f>_xlfn.XLOOKUP(Transformation[[#This Row],[Commodity from]],Commodities[Commodity code],Commodities[EnergyCode])</f>
        <v>NG</v>
      </c>
      <c r="BL172" s="4" t="s">
        <v>689</v>
      </c>
      <c r="BM172" s="4" t="s">
        <v>446</v>
      </c>
      <c r="BN172" s="24" t="str">
        <f>_xlfn.XLOOKUP(Transformation[[#This Row],[Commodity to]],Commodities[Commodity code],Commodities[EnergyCode])</f>
        <v>NG</v>
      </c>
      <c r="BO172" s="4" t="s">
        <v>1234</v>
      </c>
      <c r="BP172" s="16" t="s">
        <v>1493</v>
      </c>
      <c r="BQ172" s="33" t="str">
        <f>Transformation[[#This Row],[Commodity from]]&amp;Transformation[[#This Row],[Transaction from]]&amp;Transformation[[#This Row],[Commodity to]]&amp;Transformation[[#This Row],[Transaction to]]</f>
        <v>3000088113000015NGE</v>
      </c>
      <c r="BR172" s="26" t="str">
        <f>Transformation[[#This Row],[crfomid]]&amp;Transformation[[#This Row],[Transaction from]]&amp;"("&amp;Transformation[[#This Row],[Multiplier]]&amp;") -&gt; "&amp;Transformation[[#This Row],[ctoid]]&amp;Transformation[[#This Row],[Transaction to]]</f>
        <v>NG08811(1) -&gt; NG015NGE</v>
      </c>
    </row>
    <row r="173" spans="25:70" x14ac:dyDescent="0.45">
      <c r="Y173" s="5" t="s">
        <v>1097</v>
      </c>
      <c r="Z173" s="4" t="s">
        <v>1073</v>
      </c>
      <c r="AA173" s="4" t="s">
        <v>1354</v>
      </c>
      <c r="AB173" s="4" t="s">
        <v>9</v>
      </c>
      <c r="AC173" s="24" t="str">
        <f>IFERROR(VLOOKUP(Transactions[[#This Row],[Parent code]],Transactions[[Transaction code]:[Transaction name]],2,0),"")</f>
        <v>Electricity, CHP and Heat plants - Main activity</v>
      </c>
      <c r="AD173" s="4" t="s">
        <v>189</v>
      </c>
      <c r="AE173" s="4" t="s">
        <v>959</v>
      </c>
      <c r="AF173" s="4" t="s">
        <v>642</v>
      </c>
      <c r="AG173" s="4" t="s">
        <v>1</v>
      </c>
      <c r="AH173" s="4" t="s">
        <v>696</v>
      </c>
      <c r="AI173" s="12" t="s">
        <v>1416</v>
      </c>
      <c r="AJ173" s="4" t="s">
        <v>0</v>
      </c>
      <c r="AK173" s="24" t="str" cm="1">
        <f t="array" ref="AK173">IFERROR(INDEX(Transactions[[Transaction code]:[Transaction name]],_xlfn.XMATCH(Transactions[[#This Row],[Parent code]],Transactions[Transaction name],0),3),Transactions[[#This Row],[Transaction name]])</f>
        <v>Electricity, CHP and Heat plants - Main activity - liquid biofuels</v>
      </c>
      <c r="AL173" s="24" t="str" cm="1">
        <f t="array" ref="AL173">IFERROR(INDEX(Transactions[[Transaction code]:[Transaction name]],_xlfn.XMATCH(INDEX(Transactions[[Transaction name]:[Parent code]],_xlfn.XMATCH(Transactions[[#This Row],[L1N]],Transactions[Transaction name],0),3),Transactions[Transaction code],0),2),Transactions[[#This Row],[L1N]])</f>
        <v>Electricity, CHP and Heat plants - Main activity</v>
      </c>
      <c r="AM173" s="24" t="str" cm="1">
        <f t="array" ref="AM173">IFERROR(INDEX(Transactions[[Transaction code]:[Transaction name]],_xlfn.XMATCH(INDEX(Transactions[[Transaction name]:[Parent code]],_xlfn.XMATCH(Transactions[[#This Row],[L2N]],Transactions[Transaction name],0),3),Transactions[Transaction code],0),2),Transactions[[#This Row],[L2N]])</f>
        <v>Production</v>
      </c>
      <c r="AN173" s="24" t="str" cm="1">
        <f t="array" ref="AN173">IFERROR(INDEX(Transactions[[Transaction code]:[Transaction name]],_xlfn.XMATCH(INDEX(Transactions[[Transaction name]:[Parent code]],_xlfn.XMATCH(Transactions[[#This Row],[L3N]],Transactions[Transaction name],0),3),Transactions[Transaction code],0),2),Transactions[[#This Row],[L3N]])</f>
        <v>Total energy supply</v>
      </c>
      <c r="AO173" s="24" t="str" cm="1">
        <f t="array" ref="AO173">IFERROR(INDEX(Transactions[[Transaction code]:[Transaction name]],_xlfn.XMATCH(INDEX(Transactions[[Transaction name]:[Parent code]],_xlfn.XMATCH(Transactions[[#This Row],[L4N]],Transactions[Transaction name],0),3),Transactions[Transaction code],0),2),Transactions[[#This Row],[L4N]])</f>
        <v>Total energy supply</v>
      </c>
      <c r="AP173" s="24" t="str" cm="1">
        <f t="array" ref="AP173">IFERROR(INDEX(Transactions[[Transaction code]:[Transaction name]],_xlfn.XMATCH(INDEX(Transactions[[Transaction name]:[Parent code]],_xlfn.XMATCH(Transactions[[#This Row],[L5N]],Transactions[Transaction name],0),3),Transactions[Transaction code],0),2),Transactions[[#This Row],[L5N]])</f>
        <v>Total energy supply</v>
      </c>
      <c r="AQ173" s="24" t="str" cm="1">
        <f t="array" ref="AQ173">IFERROR(INDEX(Transactions[[Transaction code]:[Transaction name]],_xlfn.XMATCH(INDEX(Transactions[[Transaction name]:[Parent code]],_xlfn.XMATCH(Transactions[[#This Row],[L6N]],Transactions[Transaction name],0),3),Transactions[Transaction code],0),2),Transactions[[#This Row],[L6N]])</f>
        <v>Total energy supply</v>
      </c>
      <c r="AR173" s="28" t="str">
        <f>IF(Transactions[[#This Row],[L7N]]=Transactions[[#This Row],[L6N]],Transactions[[#This Row],[L7N]],IF(Transactions[[#This Row],[L6N]]=Transactions[[#This Row],[L5N]],Transactions[[#This Row],[L6N]],IF(Transactions[[#This Row],[L5N]]=Transactions[[#This Row],[L4N]],Transactions[[#This Row],[L5N]],IF(Transactions[[#This Row],[L4N]]=Transactions[[#This Row],[L3N]],Transactions[[#This Row],[L4N]],IF(Transactions[[#This Row],[L3N]]=Transactions[[#This Row],[L2N]],Transactions[[#This Row],[L3N]],IF(Transactions[[#This Row],[L2N]]=Transactions[[#This Row],[L1N]],Transactions[[#This Row],[L2N]],IF(Transactions[[#This Row],[L1N]]=Transactions[[#This Row],[Transaction name]],Transactions[[#This Row],[L1N]],Transactions[[#This Row],[Transaction name]])))))))</f>
        <v>Total energy supply</v>
      </c>
      <c r="AS173" s="24" t="str">
        <f>IF(Transactions[[#This Row],[Level 0]]=Transactions[[#This Row],[Transaction name]],Transactions[[#This Row],[Transaction name]],IF(Transactions[[#This Row],[Level 0]]=Transactions[[#This Row],[L1N]],Transactions[[#This Row],[Transaction name]],IF(Transactions[[#This Row],[Level 0]]=Transactions[[#This Row],[L2N]],Transactions[[#This Row],[L1N]],IF(Transactions[[#This Row],[Level 0]]=Transactions[[#This Row],[L3N]],Transactions[[#This Row],[L2N]],IF(Transactions[[#This Row],[Level 0]]=Transactions[[#This Row],[L4N]],Transactions[[#This Row],[L3N]],IF(Transactions[[#This Row],[Level 0]]=Transactions[[#This Row],[L5N]],Transactions[[#This Row],[L4N]],IF(Transactions[[#This Row],[Level 0]]=Transactions[[#This Row],[L6N]],Transactions[[#This Row],[L5N]],IF(Transactions[[#This Row],[Level 0]]=Transactions[[#This Row],[L7N]],Transactions[[#This Row],[L6N]],Transactions[[#This Row],[L7N]]))))))))</f>
        <v>Production</v>
      </c>
      <c r="AT173" s="24" t="str">
        <f>IF(Transactions[[#This Row],[Level 1]]=Transactions[[#This Row],[Transaction name]],Transactions[[#This Row],[Transaction name]],IF(Transactions[[#This Row],[Level 1]]=Transactions[[#This Row],[L1N]],Transactions[[#This Row],[Transaction name]],IF(Transactions[[#This Row],[Level 1]]=Transactions[[#This Row],[L2N]],Transactions[[#This Row],[L1N]],IF(Transactions[[#This Row],[Level 1]]=Transactions[[#This Row],[L3N]],Transactions[[#This Row],[L2N]],IF(Transactions[[#This Row],[Level 1]]=Transactions[[#This Row],[L4N]],Transactions[[#This Row],[L3N]],IF(Transactions[[#This Row],[Level 1]]=Transactions[[#This Row],[L5N]],Transactions[[#This Row],[L4N]],IF(Transactions[[#This Row],[Level 1]]=Transactions[[#This Row],[L6N]],Transactions[[#This Row],[L5N]],IF(Transactions[[#This Row],[Level 1]]=Transactions[[#This Row],[L7N]],Transactions[[#This Row],[L6N]],Transactions[[#This Row],[L7N]]))))))))</f>
        <v>Electricity, CHP and Heat plants - Main activity</v>
      </c>
      <c r="AU173" s="24" t="str">
        <f>IF(Transactions[[#This Row],[Level 2]]=Transactions[[#This Row],[Transaction name]],Transactions[[#This Row],[Transaction name]],IF(Transactions[[#This Row],[Level 2]]=Transactions[[#This Row],[L1N]],Transactions[[#This Row],[Transaction name]],IF(Transactions[[#This Row],[Level 2]]=Transactions[[#This Row],[L2N]],Transactions[[#This Row],[L1N]],IF(Transactions[[#This Row],[Level 2]]=Transactions[[#This Row],[L3N]],Transactions[[#This Row],[L2N]],IF(Transactions[[#This Row],[Level 2]]=Transactions[[#This Row],[L4N]],Transactions[[#This Row],[L3N]],IF(Transactions[[#This Row],[Level 2]]=Transactions[[#This Row],[L5N]],Transactions[[#This Row],[L4N]],IF(Transactions[[#This Row],[Level 2]]=Transactions[[#This Row],[L6N]],Transactions[[#This Row],[L5N]],IF(Transactions[[#This Row],[Level 2]]=Transactions[[#This Row],[L7N]],Transactions[[#This Row],[L6N]],Transactions[[#This Row],[L7N]]))))))))</f>
        <v>Electricity, CHP and Heat plants - Main activity - liquid biofuels</v>
      </c>
      <c r="AV173" s="24" t="str">
        <f>IF(Transactions[[#This Row],[Level 3]]=Transactions[[#This Row],[Transaction name]],Transactions[[#This Row],[Transaction name]],IF(Transactions[[#This Row],[Level 3]]=Transactions[[#This Row],[L1N]],Transactions[[#This Row],[Transaction name]],IF(Transactions[[#This Row],[Level 3]]=Transactions[[#This Row],[L2N]],Transactions[[#This Row],[L1N]],IF(Transactions[[#This Row],[Level 3]]=Transactions[[#This Row],[L3N]],Transactions[[#This Row],[L2N]],IF(Transactions[[#This Row],[Level 3]]=Transactions[[#This Row],[L4N]],Transactions[[#This Row],[L3N]],IF(Transactions[[#This Row],[Level 3]]=Transactions[[#This Row],[L5N]],Transactions[[#This Row],[L4N]],IF(Transactions[[#This Row],[Level 3]]=Transactions[[#This Row],[L6N]],Transactions[[#This Row],[L5N]],IF(Transactions[[#This Row],[Level 3]]=Transactions[[#This Row],[L7N]],Transactions[[#This Row],[L6N]],Transactions[[#This Row],[L7N]]))))))))</f>
        <v>Electricity, CHP and Heat plants - Main activity - liquid biofuels</v>
      </c>
      <c r="AW173" s="24" t="str">
        <f>IF(Transactions[[#This Row],[Level 4]]=Transactions[[#This Row],[Transaction name]],Transactions[[#This Row],[Transaction name]],IF(Transactions[[#This Row],[Level 4]]=Transactions[[#This Row],[L1N]],Transactions[[#This Row],[Transaction name]],IF(Transactions[[#This Row],[Level 4]]=Transactions[[#This Row],[L2N]],Transactions[[#This Row],[L1N]],IF(Transactions[[#This Row],[Level 4]]=Transactions[[#This Row],[L3N]],Transactions[[#This Row],[L2N]],IF(Transactions[[#This Row],[Level 4]]=Transactions[[#This Row],[L4N]],Transactions[[#This Row],[L3N]],IF(Transactions[[#This Row],[Level 4]]=Transactions[[#This Row],[L5N]],Transactions[[#This Row],[L4N]],IF(Transactions[[#This Row],[Level 4]]=Transactions[[#This Row],[L6N]],Transactions[[#This Row],[L5N]],IF(Transactions[[#This Row],[Level 4]]=Transactions[[#This Row],[L7N]],Transactions[[#This Row],[L6N]],Transactions[[#This Row],[L7N]]))))))))</f>
        <v>Electricity, CHP and Heat plants - Main activity - liquid biofuels</v>
      </c>
      <c r="AX173" s="24" t="str">
        <f>IF(Transactions[[#This Row],[Level 5]]=Transactions[[#This Row],[Transaction name]],Transactions[[#This Row],[Transaction name]],IF(Transactions[[#This Row],[Level 5]]=Transactions[[#This Row],[L1N]],Transactions[[#This Row],[Transaction name]],IF(Transactions[[#This Row],[Level 5]]=Transactions[[#This Row],[L2N]],Transactions[[#This Row],[L1N]],IF(Transactions[[#This Row],[Level 5]]=Transactions[[#This Row],[L3N]],Transactions[[#This Row],[L2N]],IF(Transactions[[#This Row],[Level 5]]=Transactions[[#This Row],[L4N]],Transactions[[#This Row],[L3N]],IF(Transactions[[#This Row],[Level 5]]=Transactions[[#This Row],[L5N]],Transactions[[#This Row],[L4N]],IF(Transactions[[#This Row],[Level 5]]=Transactions[[#This Row],[L6N]],Transactions[[#This Row],[L5N]],IF(Transactions[[#This Row],[Level 5]]=Transactions[[#This Row],[L7N]],Transactions[[#This Row],[L6N]],Transactions[[#This Row],[L7N]]))))))))</f>
        <v>Electricity, CHP and Heat plants - Main activity - liquid biofuels</v>
      </c>
      <c r="AY173" s="24" t="str">
        <f>IF(Transactions[[#This Row],[Level 6]]=Transactions[[#This Row],[Transaction name]],Transactions[[#This Row],[Transaction name]],IF(Transactions[[#This Row],[Level 6]]=Transactions[[#This Row],[L1N]],Transactions[[#This Row],[Transaction name]],IF(Transactions[[#This Row],[Level 6]]=Transactions[[#This Row],[L2N]],Transactions[[#This Row],[L1N]],IF(Transactions[[#This Row],[Level 6]]=Transactions[[#This Row],[L3N]],Transactions[[#This Row],[L2N]],IF(Transactions[[#This Row],[Level 6]]=Transactions[[#This Row],[L4N]],Transactions[[#This Row],[L3N]],IF(Transactions[[#This Row],[Level 6]]=Transactions[[#This Row],[L5N]],Transactions[[#This Row],[L4N]],IF(Transactions[[#This Row],[Level 6]]=Transactions[[#This Row],[L6N]],Transactions[[#This Row],[L5N]],IF(Transactions[[#This Row],[Level 6]]=Transactions[[#This Row],[L7N]],Transactions[[#This Row],[L6N]],Transactions[[#This Row],[L7N]]))))))))</f>
        <v>Electricity, CHP and Heat plants - Main activity - liquid biofuels</v>
      </c>
      <c r="BE173" s="26" t="str">
        <f>_xlfn.XLOOKUP(Transformation[[#This Row],[cfrom]],Commodities[Commodity],Commodities[Commodity code])</f>
        <v>4640</v>
      </c>
      <c r="BF173" s="26" t="str">
        <f>_xlfn.XLOOKUP(Transformation[[#This Row],[tfrom]],Transactions[Transaction name],Transactions[Transaction code])</f>
        <v>08811</v>
      </c>
      <c r="BG173" s="26" t="str">
        <f>_xlfn.XLOOKUP(Transformation[[#This Row],[cto]],Commodities[Commodity],Commodities[Commodity code])</f>
        <v>4640</v>
      </c>
      <c r="BH173" s="26" t="str">
        <f>_xlfn.XLOOKUP(Transformation[[#This Row],[tto]],Transactions[Transaction name],Transactions[Transaction code])</f>
        <v>015OPE</v>
      </c>
      <c r="BI173" s="11">
        <v>1</v>
      </c>
      <c r="BJ173" s="4" t="s">
        <v>405</v>
      </c>
      <c r="BK173" s="24" t="str">
        <f>_xlfn.XLOOKUP(Transformation[[#This Row],[Commodity from]],Commodities[Commodity code],Commodities[EnergyCode])</f>
        <v>NP</v>
      </c>
      <c r="BL173" s="4" t="s">
        <v>689</v>
      </c>
      <c r="BM173" s="4" t="s">
        <v>405</v>
      </c>
      <c r="BN173" s="24" t="str">
        <f>_xlfn.XLOOKUP(Transformation[[#This Row],[Commodity to]],Commodities[Commodity code],Commodities[EnergyCode])</f>
        <v>NP</v>
      </c>
      <c r="BO173" s="4" t="s">
        <v>1051</v>
      </c>
      <c r="BP173" s="16" t="s">
        <v>1493</v>
      </c>
      <c r="BQ173" s="33" t="str">
        <f>Transformation[[#This Row],[Commodity from]]&amp;Transformation[[#This Row],[Transaction from]]&amp;Transformation[[#This Row],[Commodity to]]&amp;Transformation[[#This Row],[Transaction to]]</f>
        <v>4640088114640015OPE</v>
      </c>
      <c r="BR173" s="26" t="str">
        <f>Transformation[[#This Row],[crfomid]]&amp;Transformation[[#This Row],[Transaction from]]&amp;"("&amp;Transformation[[#This Row],[Multiplier]]&amp;") -&gt; "&amp;Transformation[[#This Row],[ctoid]]&amp;Transformation[[#This Row],[Transaction to]]</f>
        <v>NP08811(1) -&gt; NP015OPE</v>
      </c>
    </row>
    <row r="174" spans="25:70" x14ac:dyDescent="0.45">
      <c r="Y174" s="5" t="s">
        <v>1145</v>
      </c>
      <c r="Z174" s="4" t="s">
        <v>1137</v>
      </c>
      <c r="AA174" s="4" t="s">
        <v>1366</v>
      </c>
      <c r="AB174" s="4" t="s">
        <v>9</v>
      </c>
      <c r="AC174" s="24" t="str">
        <f>IFERROR(VLOOKUP(Transactions[[#This Row],[Parent code]],Transactions[[Transaction code]:[Transaction name]],2,0),"")</f>
        <v>Electricity, CHP and Heat plants - Main activity</v>
      </c>
      <c r="AD174" s="4" t="s">
        <v>189</v>
      </c>
      <c r="AE174" s="4" t="s">
        <v>959</v>
      </c>
      <c r="AF174" s="4" t="s">
        <v>642</v>
      </c>
      <c r="AG174" s="4" t="s">
        <v>1</v>
      </c>
      <c r="AH174" s="4" t="s">
        <v>696</v>
      </c>
      <c r="AI174" s="12" t="s">
        <v>1416</v>
      </c>
      <c r="AJ174" s="4" t="s">
        <v>0</v>
      </c>
      <c r="AK174" s="24" t="str" cm="1">
        <f t="array" ref="AK174">IFERROR(INDEX(Transactions[[Transaction code]:[Transaction name]],_xlfn.XMATCH(Transactions[[#This Row],[Parent code]],Transactions[Transaction name],0),3),Transactions[[#This Row],[Transaction name]])</f>
        <v>Electricity, CHP and Heat plants - Main activity - municipal solid waste</v>
      </c>
      <c r="AL174" s="24" t="str" cm="1">
        <f t="array" ref="AL174">IFERROR(INDEX(Transactions[[Transaction code]:[Transaction name]],_xlfn.XMATCH(INDEX(Transactions[[Transaction name]:[Parent code]],_xlfn.XMATCH(Transactions[[#This Row],[L1N]],Transactions[Transaction name],0),3),Transactions[Transaction code],0),2),Transactions[[#This Row],[L1N]])</f>
        <v>Electricity, CHP and Heat plants - Main activity</v>
      </c>
      <c r="AM174" s="24" t="str" cm="1">
        <f t="array" ref="AM174">IFERROR(INDEX(Transactions[[Transaction code]:[Transaction name]],_xlfn.XMATCH(INDEX(Transactions[[Transaction name]:[Parent code]],_xlfn.XMATCH(Transactions[[#This Row],[L2N]],Transactions[Transaction name],0),3),Transactions[Transaction code],0),2),Transactions[[#This Row],[L2N]])</f>
        <v>Production</v>
      </c>
      <c r="AN174" s="24" t="str" cm="1">
        <f t="array" ref="AN174">IFERROR(INDEX(Transactions[[Transaction code]:[Transaction name]],_xlfn.XMATCH(INDEX(Transactions[[Transaction name]:[Parent code]],_xlfn.XMATCH(Transactions[[#This Row],[L3N]],Transactions[Transaction name],0),3),Transactions[Transaction code],0),2),Transactions[[#This Row],[L3N]])</f>
        <v>Total energy supply</v>
      </c>
      <c r="AO174" s="24" t="str" cm="1">
        <f t="array" ref="AO174">IFERROR(INDEX(Transactions[[Transaction code]:[Transaction name]],_xlfn.XMATCH(INDEX(Transactions[[Transaction name]:[Parent code]],_xlfn.XMATCH(Transactions[[#This Row],[L4N]],Transactions[Transaction name],0),3),Transactions[Transaction code],0),2),Transactions[[#This Row],[L4N]])</f>
        <v>Total energy supply</v>
      </c>
      <c r="AP174" s="24" t="str" cm="1">
        <f t="array" ref="AP174">IFERROR(INDEX(Transactions[[Transaction code]:[Transaction name]],_xlfn.XMATCH(INDEX(Transactions[[Transaction name]:[Parent code]],_xlfn.XMATCH(Transactions[[#This Row],[L5N]],Transactions[Transaction name],0),3),Transactions[Transaction code],0),2),Transactions[[#This Row],[L5N]])</f>
        <v>Total energy supply</v>
      </c>
      <c r="AQ174" s="24" t="str" cm="1">
        <f t="array" ref="AQ174">IFERROR(INDEX(Transactions[[Transaction code]:[Transaction name]],_xlfn.XMATCH(INDEX(Transactions[[Transaction name]:[Parent code]],_xlfn.XMATCH(Transactions[[#This Row],[L6N]],Transactions[Transaction name],0),3),Transactions[Transaction code],0),2),Transactions[[#This Row],[L6N]])</f>
        <v>Total energy supply</v>
      </c>
      <c r="AR174" s="28" t="str">
        <f>IF(Transactions[[#This Row],[L7N]]=Transactions[[#This Row],[L6N]],Transactions[[#This Row],[L7N]],IF(Transactions[[#This Row],[L6N]]=Transactions[[#This Row],[L5N]],Transactions[[#This Row],[L6N]],IF(Transactions[[#This Row],[L5N]]=Transactions[[#This Row],[L4N]],Transactions[[#This Row],[L5N]],IF(Transactions[[#This Row],[L4N]]=Transactions[[#This Row],[L3N]],Transactions[[#This Row],[L4N]],IF(Transactions[[#This Row],[L3N]]=Transactions[[#This Row],[L2N]],Transactions[[#This Row],[L3N]],IF(Transactions[[#This Row],[L2N]]=Transactions[[#This Row],[L1N]],Transactions[[#This Row],[L2N]],IF(Transactions[[#This Row],[L1N]]=Transactions[[#This Row],[Transaction name]],Transactions[[#This Row],[L1N]],Transactions[[#This Row],[Transaction name]])))))))</f>
        <v>Total energy supply</v>
      </c>
      <c r="AS174" s="24" t="str">
        <f>IF(Transactions[[#This Row],[Level 0]]=Transactions[[#This Row],[Transaction name]],Transactions[[#This Row],[Transaction name]],IF(Transactions[[#This Row],[Level 0]]=Transactions[[#This Row],[L1N]],Transactions[[#This Row],[Transaction name]],IF(Transactions[[#This Row],[Level 0]]=Transactions[[#This Row],[L2N]],Transactions[[#This Row],[L1N]],IF(Transactions[[#This Row],[Level 0]]=Transactions[[#This Row],[L3N]],Transactions[[#This Row],[L2N]],IF(Transactions[[#This Row],[Level 0]]=Transactions[[#This Row],[L4N]],Transactions[[#This Row],[L3N]],IF(Transactions[[#This Row],[Level 0]]=Transactions[[#This Row],[L5N]],Transactions[[#This Row],[L4N]],IF(Transactions[[#This Row],[Level 0]]=Transactions[[#This Row],[L6N]],Transactions[[#This Row],[L5N]],IF(Transactions[[#This Row],[Level 0]]=Transactions[[#This Row],[L7N]],Transactions[[#This Row],[L6N]],Transactions[[#This Row],[L7N]]))))))))</f>
        <v>Production</v>
      </c>
      <c r="AT174" s="24" t="str">
        <f>IF(Transactions[[#This Row],[Level 1]]=Transactions[[#This Row],[Transaction name]],Transactions[[#This Row],[Transaction name]],IF(Transactions[[#This Row],[Level 1]]=Transactions[[#This Row],[L1N]],Transactions[[#This Row],[Transaction name]],IF(Transactions[[#This Row],[Level 1]]=Transactions[[#This Row],[L2N]],Transactions[[#This Row],[L1N]],IF(Transactions[[#This Row],[Level 1]]=Transactions[[#This Row],[L3N]],Transactions[[#This Row],[L2N]],IF(Transactions[[#This Row],[Level 1]]=Transactions[[#This Row],[L4N]],Transactions[[#This Row],[L3N]],IF(Transactions[[#This Row],[Level 1]]=Transactions[[#This Row],[L5N]],Transactions[[#This Row],[L4N]],IF(Transactions[[#This Row],[Level 1]]=Transactions[[#This Row],[L6N]],Transactions[[#This Row],[L5N]],IF(Transactions[[#This Row],[Level 1]]=Transactions[[#This Row],[L7N]],Transactions[[#This Row],[L6N]],Transactions[[#This Row],[L7N]]))))))))</f>
        <v>Electricity, CHP and Heat plants - Main activity</v>
      </c>
      <c r="AU174" s="24" t="str">
        <f>IF(Transactions[[#This Row],[Level 2]]=Transactions[[#This Row],[Transaction name]],Transactions[[#This Row],[Transaction name]],IF(Transactions[[#This Row],[Level 2]]=Transactions[[#This Row],[L1N]],Transactions[[#This Row],[Transaction name]],IF(Transactions[[#This Row],[Level 2]]=Transactions[[#This Row],[L2N]],Transactions[[#This Row],[L1N]],IF(Transactions[[#This Row],[Level 2]]=Transactions[[#This Row],[L3N]],Transactions[[#This Row],[L2N]],IF(Transactions[[#This Row],[Level 2]]=Transactions[[#This Row],[L4N]],Transactions[[#This Row],[L3N]],IF(Transactions[[#This Row],[Level 2]]=Transactions[[#This Row],[L5N]],Transactions[[#This Row],[L4N]],IF(Transactions[[#This Row],[Level 2]]=Transactions[[#This Row],[L6N]],Transactions[[#This Row],[L5N]],IF(Transactions[[#This Row],[Level 2]]=Transactions[[#This Row],[L7N]],Transactions[[#This Row],[L6N]],Transactions[[#This Row],[L7N]]))))))))</f>
        <v>Electricity, CHP and Heat plants - Main activity - municipal solid waste</v>
      </c>
      <c r="AV174" s="24" t="str">
        <f>IF(Transactions[[#This Row],[Level 3]]=Transactions[[#This Row],[Transaction name]],Transactions[[#This Row],[Transaction name]],IF(Transactions[[#This Row],[Level 3]]=Transactions[[#This Row],[L1N]],Transactions[[#This Row],[Transaction name]],IF(Transactions[[#This Row],[Level 3]]=Transactions[[#This Row],[L2N]],Transactions[[#This Row],[L1N]],IF(Transactions[[#This Row],[Level 3]]=Transactions[[#This Row],[L3N]],Transactions[[#This Row],[L2N]],IF(Transactions[[#This Row],[Level 3]]=Transactions[[#This Row],[L4N]],Transactions[[#This Row],[L3N]],IF(Transactions[[#This Row],[Level 3]]=Transactions[[#This Row],[L5N]],Transactions[[#This Row],[L4N]],IF(Transactions[[#This Row],[Level 3]]=Transactions[[#This Row],[L6N]],Transactions[[#This Row],[L5N]],IF(Transactions[[#This Row],[Level 3]]=Transactions[[#This Row],[L7N]],Transactions[[#This Row],[L6N]],Transactions[[#This Row],[L7N]]))))))))</f>
        <v>Electricity, CHP and Heat plants - Main activity - municipal solid waste</v>
      </c>
      <c r="AW174" s="24" t="str">
        <f>IF(Transactions[[#This Row],[Level 4]]=Transactions[[#This Row],[Transaction name]],Transactions[[#This Row],[Transaction name]],IF(Transactions[[#This Row],[Level 4]]=Transactions[[#This Row],[L1N]],Transactions[[#This Row],[Transaction name]],IF(Transactions[[#This Row],[Level 4]]=Transactions[[#This Row],[L2N]],Transactions[[#This Row],[L1N]],IF(Transactions[[#This Row],[Level 4]]=Transactions[[#This Row],[L3N]],Transactions[[#This Row],[L2N]],IF(Transactions[[#This Row],[Level 4]]=Transactions[[#This Row],[L4N]],Transactions[[#This Row],[L3N]],IF(Transactions[[#This Row],[Level 4]]=Transactions[[#This Row],[L5N]],Transactions[[#This Row],[L4N]],IF(Transactions[[#This Row],[Level 4]]=Transactions[[#This Row],[L6N]],Transactions[[#This Row],[L5N]],IF(Transactions[[#This Row],[Level 4]]=Transactions[[#This Row],[L7N]],Transactions[[#This Row],[L6N]],Transactions[[#This Row],[L7N]]))))))))</f>
        <v>Electricity, CHP and Heat plants - Main activity - municipal solid waste</v>
      </c>
      <c r="AX174" s="24" t="str">
        <f>IF(Transactions[[#This Row],[Level 5]]=Transactions[[#This Row],[Transaction name]],Transactions[[#This Row],[Transaction name]],IF(Transactions[[#This Row],[Level 5]]=Transactions[[#This Row],[L1N]],Transactions[[#This Row],[Transaction name]],IF(Transactions[[#This Row],[Level 5]]=Transactions[[#This Row],[L2N]],Transactions[[#This Row],[L1N]],IF(Transactions[[#This Row],[Level 5]]=Transactions[[#This Row],[L3N]],Transactions[[#This Row],[L2N]],IF(Transactions[[#This Row],[Level 5]]=Transactions[[#This Row],[L4N]],Transactions[[#This Row],[L3N]],IF(Transactions[[#This Row],[Level 5]]=Transactions[[#This Row],[L5N]],Transactions[[#This Row],[L4N]],IF(Transactions[[#This Row],[Level 5]]=Transactions[[#This Row],[L6N]],Transactions[[#This Row],[L5N]],IF(Transactions[[#This Row],[Level 5]]=Transactions[[#This Row],[L7N]],Transactions[[#This Row],[L6N]],Transactions[[#This Row],[L7N]]))))))))</f>
        <v>Electricity, CHP and Heat plants - Main activity - municipal solid waste</v>
      </c>
      <c r="AY174" s="24" t="str">
        <f>IF(Transactions[[#This Row],[Level 6]]=Transactions[[#This Row],[Transaction name]],Transactions[[#This Row],[Transaction name]],IF(Transactions[[#This Row],[Level 6]]=Transactions[[#This Row],[L1N]],Transactions[[#This Row],[Transaction name]],IF(Transactions[[#This Row],[Level 6]]=Transactions[[#This Row],[L2N]],Transactions[[#This Row],[L1N]],IF(Transactions[[#This Row],[Level 6]]=Transactions[[#This Row],[L3N]],Transactions[[#This Row],[L2N]],IF(Transactions[[#This Row],[Level 6]]=Transactions[[#This Row],[L4N]],Transactions[[#This Row],[L3N]],IF(Transactions[[#This Row],[Level 6]]=Transactions[[#This Row],[L5N]],Transactions[[#This Row],[L4N]],IF(Transactions[[#This Row],[Level 6]]=Transactions[[#This Row],[L6N]],Transactions[[#This Row],[L5N]],IF(Transactions[[#This Row],[Level 6]]=Transactions[[#This Row],[L7N]],Transactions[[#This Row],[L6N]],Transactions[[#This Row],[L7N]]))))))))</f>
        <v>Electricity, CHP and Heat plants - Main activity - municipal solid waste</v>
      </c>
      <c r="BE174" s="26" t="str">
        <f>_xlfn.XLOOKUP(Transformation[[#This Row],[cfrom]],Commodities[Commodity],Commodities[Commodity code])</f>
        <v>0350</v>
      </c>
      <c r="BF174" s="26" t="str">
        <f>_xlfn.XLOOKUP(Transformation[[#This Row],[tfrom]],Transactions[Transaction name],Transactions[Transaction code])</f>
        <v>08811</v>
      </c>
      <c r="BG174" s="26" t="str">
        <f>_xlfn.XLOOKUP(Transformation[[#This Row],[cto]],Commodities[Commodity],Commodities[Commodity code])</f>
        <v>0350</v>
      </c>
      <c r="BH174" s="26" t="str">
        <f>_xlfn.XLOOKUP(Transformation[[#This Row],[tto]],Transactions[Transaction name],Transactions[Transaction code])</f>
        <v>015CGE</v>
      </c>
      <c r="BI174" s="11">
        <v>1</v>
      </c>
      <c r="BJ174" s="4" t="s">
        <v>487</v>
      </c>
      <c r="BK174" s="24" t="str">
        <f>_xlfn.XLOOKUP(Transformation[[#This Row],[Commodity from]],Commodities[Commodity code],Commodities[EnergyCode])</f>
        <v>OG</v>
      </c>
      <c r="BL174" s="4" t="s">
        <v>689</v>
      </c>
      <c r="BM174" s="4" t="s">
        <v>487</v>
      </c>
      <c r="BN174" s="24" t="str">
        <f>_xlfn.XLOOKUP(Transformation[[#This Row],[Commodity to]],Commodities[Commodity code],Commodities[EnergyCode])</f>
        <v>OG</v>
      </c>
      <c r="BO174" s="4" t="s">
        <v>1218</v>
      </c>
      <c r="BP174" s="16" t="s">
        <v>1493</v>
      </c>
      <c r="BQ174" s="33" t="str">
        <f>Transformation[[#This Row],[Commodity from]]&amp;Transformation[[#This Row],[Transaction from]]&amp;Transformation[[#This Row],[Commodity to]]&amp;Transformation[[#This Row],[Transaction to]]</f>
        <v>0350088110350015CGE</v>
      </c>
      <c r="BR174" s="26" t="str">
        <f>Transformation[[#This Row],[crfomid]]&amp;Transformation[[#This Row],[Transaction from]]&amp;"("&amp;Transformation[[#This Row],[Multiplier]]&amp;") -&gt; "&amp;Transformation[[#This Row],[ctoid]]&amp;Transformation[[#This Row],[Transaction to]]</f>
        <v>OG08811(1) -&gt; OG015CGE</v>
      </c>
    </row>
    <row r="175" spans="25:70" x14ac:dyDescent="0.45">
      <c r="Y175" s="5" t="s">
        <v>1291</v>
      </c>
      <c r="Z175" s="4" t="s">
        <v>1232</v>
      </c>
      <c r="AA175" s="4" t="s">
        <v>1402</v>
      </c>
      <c r="AB175" s="4" t="s">
        <v>9</v>
      </c>
      <c r="AC175" s="24" t="str">
        <f>IFERROR(VLOOKUP(Transactions[[#This Row],[Parent code]],Transactions[[Transaction code]:[Transaction name]],2,0),"")</f>
        <v>Electricity, CHP and Heat plants - Main activity</v>
      </c>
      <c r="AD175" s="4" t="s">
        <v>189</v>
      </c>
      <c r="AE175" s="4" t="s">
        <v>959</v>
      </c>
      <c r="AF175" s="4" t="s">
        <v>642</v>
      </c>
      <c r="AG175" s="4" t="s">
        <v>1</v>
      </c>
      <c r="AH175" s="4" t="s">
        <v>696</v>
      </c>
      <c r="AI175" s="12" t="s">
        <v>1416</v>
      </c>
      <c r="AJ175" s="4" t="s">
        <v>0</v>
      </c>
      <c r="AK175" s="24" t="str" cm="1">
        <f t="array" ref="AK175">IFERROR(INDEX(Transactions[[Transaction code]:[Transaction name]],_xlfn.XMATCH(Transactions[[#This Row],[Parent code]],Transactions[Transaction name],0),3),Transactions[[#This Row],[Transaction name]])</f>
        <v>Electricity, CHP and Heat plants - Main activity - natural gas</v>
      </c>
      <c r="AL175" s="24" t="str" cm="1">
        <f t="array" ref="AL175">IFERROR(INDEX(Transactions[[Transaction code]:[Transaction name]],_xlfn.XMATCH(INDEX(Transactions[[Transaction name]:[Parent code]],_xlfn.XMATCH(Transactions[[#This Row],[L1N]],Transactions[Transaction name],0),3),Transactions[Transaction code],0),2),Transactions[[#This Row],[L1N]])</f>
        <v>Electricity, CHP and Heat plants - Main activity</v>
      </c>
      <c r="AM175" s="24" t="str" cm="1">
        <f t="array" ref="AM175">IFERROR(INDEX(Transactions[[Transaction code]:[Transaction name]],_xlfn.XMATCH(INDEX(Transactions[[Transaction name]:[Parent code]],_xlfn.XMATCH(Transactions[[#This Row],[L2N]],Transactions[Transaction name],0),3),Transactions[Transaction code],0),2),Transactions[[#This Row],[L2N]])</f>
        <v>Production</v>
      </c>
      <c r="AN175" s="24" t="str" cm="1">
        <f t="array" ref="AN175">IFERROR(INDEX(Transactions[[Transaction code]:[Transaction name]],_xlfn.XMATCH(INDEX(Transactions[[Transaction name]:[Parent code]],_xlfn.XMATCH(Transactions[[#This Row],[L3N]],Transactions[Transaction name],0),3),Transactions[Transaction code],0),2),Transactions[[#This Row],[L3N]])</f>
        <v>Total energy supply</v>
      </c>
      <c r="AO175" s="24" t="str" cm="1">
        <f t="array" ref="AO175">IFERROR(INDEX(Transactions[[Transaction code]:[Transaction name]],_xlfn.XMATCH(INDEX(Transactions[[Transaction name]:[Parent code]],_xlfn.XMATCH(Transactions[[#This Row],[L4N]],Transactions[Transaction name],0),3),Transactions[Transaction code],0),2),Transactions[[#This Row],[L4N]])</f>
        <v>Total energy supply</v>
      </c>
      <c r="AP175" s="24" t="str" cm="1">
        <f t="array" ref="AP175">IFERROR(INDEX(Transactions[[Transaction code]:[Transaction name]],_xlfn.XMATCH(INDEX(Transactions[[Transaction name]:[Parent code]],_xlfn.XMATCH(Transactions[[#This Row],[L5N]],Transactions[Transaction name],0),3),Transactions[Transaction code],0),2),Transactions[[#This Row],[L5N]])</f>
        <v>Total energy supply</v>
      </c>
      <c r="AQ175" s="24" t="str" cm="1">
        <f t="array" ref="AQ175">IFERROR(INDEX(Transactions[[Transaction code]:[Transaction name]],_xlfn.XMATCH(INDEX(Transactions[[Transaction name]:[Parent code]],_xlfn.XMATCH(Transactions[[#This Row],[L6N]],Transactions[Transaction name],0),3),Transactions[Transaction code],0),2),Transactions[[#This Row],[L6N]])</f>
        <v>Total energy supply</v>
      </c>
      <c r="AR175" s="28" t="str">
        <f>IF(Transactions[[#This Row],[L7N]]=Transactions[[#This Row],[L6N]],Transactions[[#This Row],[L7N]],IF(Transactions[[#This Row],[L6N]]=Transactions[[#This Row],[L5N]],Transactions[[#This Row],[L6N]],IF(Transactions[[#This Row],[L5N]]=Transactions[[#This Row],[L4N]],Transactions[[#This Row],[L5N]],IF(Transactions[[#This Row],[L4N]]=Transactions[[#This Row],[L3N]],Transactions[[#This Row],[L4N]],IF(Transactions[[#This Row],[L3N]]=Transactions[[#This Row],[L2N]],Transactions[[#This Row],[L3N]],IF(Transactions[[#This Row],[L2N]]=Transactions[[#This Row],[L1N]],Transactions[[#This Row],[L2N]],IF(Transactions[[#This Row],[L1N]]=Transactions[[#This Row],[Transaction name]],Transactions[[#This Row],[L1N]],Transactions[[#This Row],[Transaction name]])))))))</f>
        <v>Total energy supply</v>
      </c>
      <c r="AS175" s="24" t="str">
        <f>IF(Transactions[[#This Row],[Level 0]]=Transactions[[#This Row],[Transaction name]],Transactions[[#This Row],[Transaction name]],IF(Transactions[[#This Row],[Level 0]]=Transactions[[#This Row],[L1N]],Transactions[[#This Row],[Transaction name]],IF(Transactions[[#This Row],[Level 0]]=Transactions[[#This Row],[L2N]],Transactions[[#This Row],[L1N]],IF(Transactions[[#This Row],[Level 0]]=Transactions[[#This Row],[L3N]],Transactions[[#This Row],[L2N]],IF(Transactions[[#This Row],[Level 0]]=Transactions[[#This Row],[L4N]],Transactions[[#This Row],[L3N]],IF(Transactions[[#This Row],[Level 0]]=Transactions[[#This Row],[L5N]],Transactions[[#This Row],[L4N]],IF(Transactions[[#This Row],[Level 0]]=Transactions[[#This Row],[L6N]],Transactions[[#This Row],[L5N]],IF(Transactions[[#This Row],[Level 0]]=Transactions[[#This Row],[L7N]],Transactions[[#This Row],[L6N]],Transactions[[#This Row],[L7N]]))))))))</f>
        <v>Production</v>
      </c>
      <c r="AT175" s="24" t="str">
        <f>IF(Transactions[[#This Row],[Level 1]]=Transactions[[#This Row],[Transaction name]],Transactions[[#This Row],[Transaction name]],IF(Transactions[[#This Row],[Level 1]]=Transactions[[#This Row],[L1N]],Transactions[[#This Row],[Transaction name]],IF(Transactions[[#This Row],[Level 1]]=Transactions[[#This Row],[L2N]],Transactions[[#This Row],[L1N]],IF(Transactions[[#This Row],[Level 1]]=Transactions[[#This Row],[L3N]],Transactions[[#This Row],[L2N]],IF(Transactions[[#This Row],[Level 1]]=Transactions[[#This Row],[L4N]],Transactions[[#This Row],[L3N]],IF(Transactions[[#This Row],[Level 1]]=Transactions[[#This Row],[L5N]],Transactions[[#This Row],[L4N]],IF(Transactions[[#This Row],[Level 1]]=Transactions[[#This Row],[L6N]],Transactions[[#This Row],[L5N]],IF(Transactions[[#This Row],[Level 1]]=Transactions[[#This Row],[L7N]],Transactions[[#This Row],[L6N]],Transactions[[#This Row],[L7N]]))))))))</f>
        <v>Electricity, CHP and Heat plants - Main activity</v>
      </c>
      <c r="AU175" s="24" t="str">
        <f>IF(Transactions[[#This Row],[Level 2]]=Transactions[[#This Row],[Transaction name]],Transactions[[#This Row],[Transaction name]],IF(Transactions[[#This Row],[Level 2]]=Transactions[[#This Row],[L1N]],Transactions[[#This Row],[Transaction name]],IF(Transactions[[#This Row],[Level 2]]=Transactions[[#This Row],[L2N]],Transactions[[#This Row],[L1N]],IF(Transactions[[#This Row],[Level 2]]=Transactions[[#This Row],[L3N]],Transactions[[#This Row],[L2N]],IF(Transactions[[#This Row],[Level 2]]=Transactions[[#This Row],[L4N]],Transactions[[#This Row],[L3N]],IF(Transactions[[#This Row],[Level 2]]=Transactions[[#This Row],[L5N]],Transactions[[#This Row],[L4N]],IF(Transactions[[#This Row],[Level 2]]=Transactions[[#This Row],[L6N]],Transactions[[#This Row],[L5N]],IF(Transactions[[#This Row],[Level 2]]=Transactions[[#This Row],[L7N]],Transactions[[#This Row],[L6N]],Transactions[[#This Row],[L7N]]))))))))</f>
        <v>Electricity, CHP and Heat plants - Main activity - natural gas</v>
      </c>
      <c r="AV175" s="24" t="str">
        <f>IF(Transactions[[#This Row],[Level 3]]=Transactions[[#This Row],[Transaction name]],Transactions[[#This Row],[Transaction name]],IF(Transactions[[#This Row],[Level 3]]=Transactions[[#This Row],[L1N]],Transactions[[#This Row],[Transaction name]],IF(Transactions[[#This Row],[Level 3]]=Transactions[[#This Row],[L2N]],Transactions[[#This Row],[L1N]],IF(Transactions[[#This Row],[Level 3]]=Transactions[[#This Row],[L3N]],Transactions[[#This Row],[L2N]],IF(Transactions[[#This Row],[Level 3]]=Transactions[[#This Row],[L4N]],Transactions[[#This Row],[L3N]],IF(Transactions[[#This Row],[Level 3]]=Transactions[[#This Row],[L5N]],Transactions[[#This Row],[L4N]],IF(Transactions[[#This Row],[Level 3]]=Transactions[[#This Row],[L6N]],Transactions[[#This Row],[L5N]],IF(Transactions[[#This Row],[Level 3]]=Transactions[[#This Row],[L7N]],Transactions[[#This Row],[L6N]],Transactions[[#This Row],[L7N]]))))))))</f>
        <v>Electricity, CHP and Heat plants - Main activity - natural gas</v>
      </c>
      <c r="AW175" s="24" t="str">
        <f>IF(Transactions[[#This Row],[Level 4]]=Transactions[[#This Row],[Transaction name]],Transactions[[#This Row],[Transaction name]],IF(Transactions[[#This Row],[Level 4]]=Transactions[[#This Row],[L1N]],Transactions[[#This Row],[Transaction name]],IF(Transactions[[#This Row],[Level 4]]=Transactions[[#This Row],[L2N]],Transactions[[#This Row],[L1N]],IF(Transactions[[#This Row],[Level 4]]=Transactions[[#This Row],[L3N]],Transactions[[#This Row],[L2N]],IF(Transactions[[#This Row],[Level 4]]=Transactions[[#This Row],[L4N]],Transactions[[#This Row],[L3N]],IF(Transactions[[#This Row],[Level 4]]=Transactions[[#This Row],[L5N]],Transactions[[#This Row],[L4N]],IF(Transactions[[#This Row],[Level 4]]=Transactions[[#This Row],[L6N]],Transactions[[#This Row],[L5N]],IF(Transactions[[#This Row],[Level 4]]=Transactions[[#This Row],[L7N]],Transactions[[#This Row],[L6N]],Transactions[[#This Row],[L7N]]))))))))</f>
        <v>Electricity, CHP and Heat plants - Main activity - natural gas</v>
      </c>
      <c r="AX175" s="24" t="str">
        <f>IF(Transactions[[#This Row],[Level 5]]=Transactions[[#This Row],[Transaction name]],Transactions[[#This Row],[Transaction name]],IF(Transactions[[#This Row],[Level 5]]=Transactions[[#This Row],[L1N]],Transactions[[#This Row],[Transaction name]],IF(Transactions[[#This Row],[Level 5]]=Transactions[[#This Row],[L2N]],Transactions[[#This Row],[L1N]],IF(Transactions[[#This Row],[Level 5]]=Transactions[[#This Row],[L3N]],Transactions[[#This Row],[L2N]],IF(Transactions[[#This Row],[Level 5]]=Transactions[[#This Row],[L4N]],Transactions[[#This Row],[L3N]],IF(Transactions[[#This Row],[Level 5]]=Transactions[[#This Row],[L5N]],Transactions[[#This Row],[L4N]],IF(Transactions[[#This Row],[Level 5]]=Transactions[[#This Row],[L6N]],Transactions[[#This Row],[L5N]],IF(Transactions[[#This Row],[Level 5]]=Transactions[[#This Row],[L7N]],Transactions[[#This Row],[L6N]],Transactions[[#This Row],[L7N]]))))))))</f>
        <v>Electricity, CHP and Heat plants - Main activity - natural gas</v>
      </c>
      <c r="AY175" s="24" t="str">
        <f>IF(Transactions[[#This Row],[Level 6]]=Transactions[[#This Row],[Transaction name]],Transactions[[#This Row],[Transaction name]],IF(Transactions[[#This Row],[Level 6]]=Transactions[[#This Row],[L1N]],Transactions[[#This Row],[Transaction name]],IF(Transactions[[#This Row],[Level 6]]=Transactions[[#This Row],[L2N]],Transactions[[#This Row],[L1N]],IF(Transactions[[#This Row],[Level 6]]=Transactions[[#This Row],[L3N]],Transactions[[#This Row],[L2N]],IF(Transactions[[#This Row],[Level 6]]=Transactions[[#This Row],[L4N]],Transactions[[#This Row],[L3N]],IF(Transactions[[#This Row],[Level 6]]=Transactions[[#This Row],[L5N]],Transactions[[#This Row],[L4N]],IF(Transactions[[#This Row],[Level 6]]=Transactions[[#This Row],[L6N]],Transactions[[#This Row],[L5N]],IF(Transactions[[#This Row],[Level 6]]=Transactions[[#This Row],[L7N]],Transactions[[#This Row],[L6N]],Transactions[[#This Row],[L7N]]))))))))</f>
        <v>Electricity, CHP and Heat plants - Main activity - natural gas</v>
      </c>
      <c r="BE175" s="26" t="str">
        <f>_xlfn.XLOOKUP(Transformation[[#This Row],[cfrom]],Commodities[Commodity],Commodities[Commodity code])</f>
        <v>4500</v>
      </c>
      <c r="BF175" s="26" t="str">
        <f>_xlfn.XLOOKUP(Transformation[[#This Row],[tfrom]],Transactions[Transaction name],Transactions[Transaction code])</f>
        <v>08811</v>
      </c>
      <c r="BG175" s="26" t="str">
        <f>_xlfn.XLOOKUP(Transformation[[#This Row],[cto]],Commodities[Commodity],Commodities[Commodity code])</f>
        <v>4500</v>
      </c>
      <c r="BH175" s="26" t="str">
        <f>_xlfn.XLOOKUP(Transformation[[#This Row],[tto]],Transactions[Transaction name],Transactions[Transaction code])</f>
        <v>015COE</v>
      </c>
      <c r="BI175" s="31">
        <v>1</v>
      </c>
      <c r="BJ175" s="22" t="s">
        <v>424</v>
      </c>
      <c r="BK175" s="26" t="str">
        <f>_xlfn.XLOOKUP(Transformation[[#This Row],[Commodity from]],Commodities[Commodity code],Commodities[EnergyCode])</f>
        <v>OH</v>
      </c>
      <c r="BL175" s="22" t="s">
        <v>689</v>
      </c>
      <c r="BM175" s="22" t="s">
        <v>424</v>
      </c>
      <c r="BN175" s="26" t="str">
        <f>_xlfn.XLOOKUP(Transformation[[#This Row],[Commodity to]],Commodities[Commodity code],Commodities[EnergyCode])</f>
        <v>OH</v>
      </c>
      <c r="BO175" s="22" t="s">
        <v>1226</v>
      </c>
      <c r="BP175" s="22" t="s">
        <v>1493</v>
      </c>
      <c r="BQ175" s="33" t="str">
        <f>Transformation[[#This Row],[Commodity from]]&amp;Transformation[[#This Row],[Transaction from]]&amp;Transformation[[#This Row],[Commodity to]]&amp;Transformation[[#This Row],[Transaction to]]</f>
        <v>4500088114500015COE</v>
      </c>
      <c r="BR175" s="26" t="str">
        <f>Transformation[[#This Row],[crfomid]]&amp;Transformation[[#This Row],[Transaction from]]&amp;"("&amp;Transformation[[#This Row],[Multiplier]]&amp;") -&gt; "&amp;Transformation[[#This Row],[ctoid]]&amp;Transformation[[#This Row],[Transaction to]]</f>
        <v>OH08811(1) -&gt; OH015COE</v>
      </c>
    </row>
    <row r="176" spans="25:70" x14ac:dyDescent="0.45">
      <c r="Y176" s="5" t="s">
        <v>319</v>
      </c>
      <c r="Z176" s="4" t="s">
        <v>663</v>
      </c>
      <c r="AA176" s="4" t="s">
        <v>1320</v>
      </c>
      <c r="AB176" s="4" t="s">
        <v>9</v>
      </c>
      <c r="AC176" s="24" t="str">
        <f>IFERROR(VLOOKUP(Transactions[[#This Row],[Parent code]],Transactions[[Transaction code]:[Transaction name]],2,0),"")</f>
        <v>Electricity, CHP and Heat plants - Main activity</v>
      </c>
      <c r="AD176" s="4" t="s">
        <v>189</v>
      </c>
      <c r="AE176" s="4" t="s">
        <v>959</v>
      </c>
      <c r="AF176" s="4" t="s">
        <v>642</v>
      </c>
      <c r="AG176" s="4" t="s">
        <v>1</v>
      </c>
      <c r="AH176" s="4" t="s">
        <v>696</v>
      </c>
      <c r="AJ176" s="4" t="s">
        <v>0</v>
      </c>
      <c r="AK176" s="24" t="str" cm="1">
        <f t="array" ref="AK176">IFERROR(INDEX(Transactions[[Transaction code]:[Transaction name]],_xlfn.XMATCH(Transactions[[#This Row],[Parent code]],Transactions[Transaction name],0),3),Transactions[[#This Row],[Transaction name]])</f>
        <v>Electricity, CHP and Heat plants - Main activity - Nuclear</v>
      </c>
      <c r="AL176" s="24" t="str" cm="1">
        <f t="array" ref="AL176">IFERROR(INDEX(Transactions[[Transaction code]:[Transaction name]],_xlfn.XMATCH(INDEX(Transactions[[Transaction name]:[Parent code]],_xlfn.XMATCH(Transactions[[#This Row],[L1N]],Transactions[Transaction name],0),3),Transactions[Transaction code],0),2),Transactions[[#This Row],[L1N]])</f>
        <v>Electricity, CHP and Heat plants - Main activity</v>
      </c>
      <c r="AM176" s="24" t="str" cm="1">
        <f t="array" ref="AM176">IFERROR(INDEX(Transactions[[Transaction code]:[Transaction name]],_xlfn.XMATCH(INDEX(Transactions[[Transaction name]:[Parent code]],_xlfn.XMATCH(Transactions[[#This Row],[L2N]],Transactions[Transaction name],0),3),Transactions[Transaction code],0),2),Transactions[[#This Row],[L2N]])</f>
        <v>Production</v>
      </c>
      <c r="AN176" s="24" t="str" cm="1">
        <f t="array" ref="AN176">IFERROR(INDEX(Transactions[[Transaction code]:[Transaction name]],_xlfn.XMATCH(INDEX(Transactions[[Transaction name]:[Parent code]],_xlfn.XMATCH(Transactions[[#This Row],[L3N]],Transactions[Transaction name],0),3),Transactions[Transaction code],0),2),Transactions[[#This Row],[L3N]])</f>
        <v>Total energy supply</v>
      </c>
      <c r="AO176" s="24" t="str" cm="1">
        <f t="array" ref="AO176">IFERROR(INDEX(Transactions[[Transaction code]:[Transaction name]],_xlfn.XMATCH(INDEX(Transactions[[Transaction name]:[Parent code]],_xlfn.XMATCH(Transactions[[#This Row],[L4N]],Transactions[Transaction name],0),3),Transactions[Transaction code],0),2),Transactions[[#This Row],[L4N]])</f>
        <v>Total energy supply</v>
      </c>
      <c r="AP176" s="24" t="str" cm="1">
        <f t="array" ref="AP176">IFERROR(INDEX(Transactions[[Transaction code]:[Transaction name]],_xlfn.XMATCH(INDEX(Transactions[[Transaction name]:[Parent code]],_xlfn.XMATCH(Transactions[[#This Row],[L5N]],Transactions[Transaction name],0),3),Transactions[Transaction code],0),2),Transactions[[#This Row],[L5N]])</f>
        <v>Total energy supply</v>
      </c>
      <c r="AQ176" s="24" t="str" cm="1">
        <f t="array" ref="AQ176">IFERROR(INDEX(Transactions[[Transaction code]:[Transaction name]],_xlfn.XMATCH(INDEX(Transactions[[Transaction name]:[Parent code]],_xlfn.XMATCH(Transactions[[#This Row],[L6N]],Transactions[Transaction name],0),3),Transactions[Transaction code],0),2),Transactions[[#This Row],[L6N]])</f>
        <v>Total energy supply</v>
      </c>
      <c r="AR176" s="28" t="str">
        <f>IF(Transactions[[#This Row],[L7N]]=Transactions[[#This Row],[L6N]],Transactions[[#This Row],[L7N]],IF(Transactions[[#This Row],[L6N]]=Transactions[[#This Row],[L5N]],Transactions[[#This Row],[L6N]],IF(Transactions[[#This Row],[L5N]]=Transactions[[#This Row],[L4N]],Transactions[[#This Row],[L5N]],IF(Transactions[[#This Row],[L4N]]=Transactions[[#This Row],[L3N]],Transactions[[#This Row],[L4N]],IF(Transactions[[#This Row],[L3N]]=Transactions[[#This Row],[L2N]],Transactions[[#This Row],[L3N]],IF(Transactions[[#This Row],[L2N]]=Transactions[[#This Row],[L1N]],Transactions[[#This Row],[L2N]],IF(Transactions[[#This Row],[L1N]]=Transactions[[#This Row],[Transaction name]],Transactions[[#This Row],[L1N]],Transactions[[#This Row],[Transaction name]])))))))</f>
        <v>Total energy supply</v>
      </c>
      <c r="AS176" s="24" t="str">
        <f>IF(Transactions[[#This Row],[Level 0]]=Transactions[[#This Row],[Transaction name]],Transactions[[#This Row],[Transaction name]],IF(Transactions[[#This Row],[Level 0]]=Transactions[[#This Row],[L1N]],Transactions[[#This Row],[Transaction name]],IF(Transactions[[#This Row],[Level 0]]=Transactions[[#This Row],[L2N]],Transactions[[#This Row],[L1N]],IF(Transactions[[#This Row],[Level 0]]=Transactions[[#This Row],[L3N]],Transactions[[#This Row],[L2N]],IF(Transactions[[#This Row],[Level 0]]=Transactions[[#This Row],[L4N]],Transactions[[#This Row],[L3N]],IF(Transactions[[#This Row],[Level 0]]=Transactions[[#This Row],[L5N]],Transactions[[#This Row],[L4N]],IF(Transactions[[#This Row],[Level 0]]=Transactions[[#This Row],[L6N]],Transactions[[#This Row],[L5N]],IF(Transactions[[#This Row],[Level 0]]=Transactions[[#This Row],[L7N]],Transactions[[#This Row],[L6N]],Transactions[[#This Row],[L7N]]))))))))</f>
        <v>Production</v>
      </c>
      <c r="AT176" s="24" t="str">
        <f>IF(Transactions[[#This Row],[Level 1]]=Transactions[[#This Row],[Transaction name]],Transactions[[#This Row],[Transaction name]],IF(Transactions[[#This Row],[Level 1]]=Transactions[[#This Row],[L1N]],Transactions[[#This Row],[Transaction name]],IF(Transactions[[#This Row],[Level 1]]=Transactions[[#This Row],[L2N]],Transactions[[#This Row],[L1N]],IF(Transactions[[#This Row],[Level 1]]=Transactions[[#This Row],[L3N]],Transactions[[#This Row],[L2N]],IF(Transactions[[#This Row],[Level 1]]=Transactions[[#This Row],[L4N]],Transactions[[#This Row],[L3N]],IF(Transactions[[#This Row],[Level 1]]=Transactions[[#This Row],[L5N]],Transactions[[#This Row],[L4N]],IF(Transactions[[#This Row],[Level 1]]=Transactions[[#This Row],[L6N]],Transactions[[#This Row],[L5N]],IF(Transactions[[#This Row],[Level 1]]=Transactions[[#This Row],[L7N]],Transactions[[#This Row],[L6N]],Transactions[[#This Row],[L7N]]))))))))</f>
        <v>Electricity, CHP and Heat plants - Main activity</v>
      </c>
      <c r="AU176" s="24" t="str">
        <f>IF(Transactions[[#This Row],[Level 2]]=Transactions[[#This Row],[Transaction name]],Transactions[[#This Row],[Transaction name]],IF(Transactions[[#This Row],[Level 2]]=Transactions[[#This Row],[L1N]],Transactions[[#This Row],[Transaction name]],IF(Transactions[[#This Row],[Level 2]]=Transactions[[#This Row],[L2N]],Transactions[[#This Row],[L1N]],IF(Transactions[[#This Row],[Level 2]]=Transactions[[#This Row],[L3N]],Transactions[[#This Row],[L2N]],IF(Transactions[[#This Row],[Level 2]]=Transactions[[#This Row],[L4N]],Transactions[[#This Row],[L3N]],IF(Transactions[[#This Row],[Level 2]]=Transactions[[#This Row],[L5N]],Transactions[[#This Row],[L4N]],IF(Transactions[[#This Row],[Level 2]]=Transactions[[#This Row],[L6N]],Transactions[[#This Row],[L5N]],IF(Transactions[[#This Row],[Level 2]]=Transactions[[#This Row],[L7N]],Transactions[[#This Row],[L6N]],Transactions[[#This Row],[L7N]]))))))))</f>
        <v>Electricity, CHP and Heat plants - Main activity - Nuclear</v>
      </c>
      <c r="AV176" s="24" t="str">
        <f>IF(Transactions[[#This Row],[Level 3]]=Transactions[[#This Row],[Transaction name]],Transactions[[#This Row],[Transaction name]],IF(Transactions[[#This Row],[Level 3]]=Transactions[[#This Row],[L1N]],Transactions[[#This Row],[Transaction name]],IF(Transactions[[#This Row],[Level 3]]=Transactions[[#This Row],[L2N]],Transactions[[#This Row],[L1N]],IF(Transactions[[#This Row],[Level 3]]=Transactions[[#This Row],[L3N]],Transactions[[#This Row],[L2N]],IF(Transactions[[#This Row],[Level 3]]=Transactions[[#This Row],[L4N]],Transactions[[#This Row],[L3N]],IF(Transactions[[#This Row],[Level 3]]=Transactions[[#This Row],[L5N]],Transactions[[#This Row],[L4N]],IF(Transactions[[#This Row],[Level 3]]=Transactions[[#This Row],[L6N]],Transactions[[#This Row],[L5N]],IF(Transactions[[#This Row],[Level 3]]=Transactions[[#This Row],[L7N]],Transactions[[#This Row],[L6N]],Transactions[[#This Row],[L7N]]))))))))</f>
        <v>Electricity, CHP and Heat plants - Main activity - Nuclear</v>
      </c>
      <c r="AW176" s="24" t="str">
        <f>IF(Transactions[[#This Row],[Level 4]]=Transactions[[#This Row],[Transaction name]],Transactions[[#This Row],[Transaction name]],IF(Transactions[[#This Row],[Level 4]]=Transactions[[#This Row],[L1N]],Transactions[[#This Row],[Transaction name]],IF(Transactions[[#This Row],[Level 4]]=Transactions[[#This Row],[L2N]],Transactions[[#This Row],[L1N]],IF(Transactions[[#This Row],[Level 4]]=Transactions[[#This Row],[L3N]],Transactions[[#This Row],[L2N]],IF(Transactions[[#This Row],[Level 4]]=Transactions[[#This Row],[L4N]],Transactions[[#This Row],[L3N]],IF(Transactions[[#This Row],[Level 4]]=Transactions[[#This Row],[L5N]],Transactions[[#This Row],[L4N]],IF(Transactions[[#This Row],[Level 4]]=Transactions[[#This Row],[L6N]],Transactions[[#This Row],[L5N]],IF(Transactions[[#This Row],[Level 4]]=Transactions[[#This Row],[L7N]],Transactions[[#This Row],[L6N]],Transactions[[#This Row],[L7N]]))))))))</f>
        <v>Electricity, CHP and Heat plants - Main activity - Nuclear</v>
      </c>
      <c r="AX176" s="24" t="str">
        <f>IF(Transactions[[#This Row],[Level 5]]=Transactions[[#This Row],[Transaction name]],Transactions[[#This Row],[Transaction name]],IF(Transactions[[#This Row],[Level 5]]=Transactions[[#This Row],[L1N]],Transactions[[#This Row],[Transaction name]],IF(Transactions[[#This Row],[Level 5]]=Transactions[[#This Row],[L2N]],Transactions[[#This Row],[L1N]],IF(Transactions[[#This Row],[Level 5]]=Transactions[[#This Row],[L3N]],Transactions[[#This Row],[L2N]],IF(Transactions[[#This Row],[Level 5]]=Transactions[[#This Row],[L4N]],Transactions[[#This Row],[L3N]],IF(Transactions[[#This Row],[Level 5]]=Transactions[[#This Row],[L5N]],Transactions[[#This Row],[L4N]],IF(Transactions[[#This Row],[Level 5]]=Transactions[[#This Row],[L6N]],Transactions[[#This Row],[L5N]],IF(Transactions[[#This Row],[Level 5]]=Transactions[[#This Row],[L7N]],Transactions[[#This Row],[L6N]],Transactions[[#This Row],[L7N]]))))))))</f>
        <v>Electricity, CHP and Heat plants - Main activity - Nuclear</v>
      </c>
      <c r="AY176" s="24" t="str">
        <f>IF(Transactions[[#This Row],[Level 6]]=Transactions[[#This Row],[Transaction name]],Transactions[[#This Row],[Transaction name]],IF(Transactions[[#This Row],[Level 6]]=Transactions[[#This Row],[L1N]],Transactions[[#This Row],[Transaction name]],IF(Transactions[[#This Row],[Level 6]]=Transactions[[#This Row],[L2N]],Transactions[[#This Row],[L1N]],IF(Transactions[[#This Row],[Level 6]]=Transactions[[#This Row],[L3N]],Transactions[[#This Row],[L2N]],IF(Transactions[[#This Row],[Level 6]]=Transactions[[#This Row],[L4N]],Transactions[[#This Row],[L3N]],IF(Transactions[[#This Row],[Level 6]]=Transactions[[#This Row],[L5N]],Transactions[[#This Row],[L4N]],IF(Transactions[[#This Row],[Level 6]]=Transactions[[#This Row],[L6N]],Transactions[[#This Row],[L5N]],IF(Transactions[[#This Row],[Level 6]]=Transactions[[#This Row],[L7N]],Transactions[[#This Row],[L6N]],Transactions[[#This Row],[L7N]]))))))))</f>
        <v>Electricity, CHP and Heat plants - Main activity - Nuclear</v>
      </c>
      <c r="BE176" s="26" t="str">
        <f>_xlfn.XLOOKUP(Transformation[[#This Row],[cfrom]],Commodities[Commodity],Commodities[Commodity code])</f>
        <v>0311</v>
      </c>
      <c r="BF176" s="26" t="str">
        <f>_xlfn.XLOOKUP(Transformation[[#This Row],[tfrom]],Transactions[Transaction name],Transactions[Transaction code])</f>
        <v>08811</v>
      </c>
      <c r="BG176" s="26" t="str">
        <f>_xlfn.XLOOKUP(Transformation[[#This Row],[cto]],Commodities[Commodity],Commodities[Commodity code])</f>
        <v>0311</v>
      </c>
      <c r="BH176" s="26" t="str">
        <f>_xlfn.XLOOKUP(Transformation[[#This Row],[tto]],Transactions[Transaction name],Transactions[Transaction code])</f>
        <v>015CSE</v>
      </c>
      <c r="BI176" s="11">
        <v>1</v>
      </c>
      <c r="BJ176" s="4" t="s">
        <v>500</v>
      </c>
      <c r="BK176" s="24" t="str">
        <f>_xlfn.XLOOKUP(Transformation[[#This Row],[Commodity from]],Commodities[Commodity code],Commodities[EnergyCode])</f>
        <v>OK</v>
      </c>
      <c r="BL176" s="4" t="s">
        <v>689</v>
      </c>
      <c r="BM176" s="4" t="s">
        <v>500</v>
      </c>
      <c r="BN176" s="24" t="str">
        <f>_xlfn.XLOOKUP(Transformation[[#This Row],[Commodity to]],Commodities[Commodity code],Commodities[EnergyCode])</f>
        <v>OK</v>
      </c>
      <c r="BO176" s="4" t="s">
        <v>1210</v>
      </c>
      <c r="BP176" s="16" t="s">
        <v>1493</v>
      </c>
      <c r="BQ176" s="33" t="str">
        <f>Transformation[[#This Row],[Commodity from]]&amp;Transformation[[#This Row],[Transaction from]]&amp;Transformation[[#This Row],[Commodity to]]&amp;Transformation[[#This Row],[Transaction to]]</f>
        <v>0311088110311015CSE</v>
      </c>
      <c r="BR176" s="26" t="str">
        <f>Transformation[[#This Row],[crfomid]]&amp;Transformation[[#This Row],[Transaction from]]&amp;"("&amp;Transformation[[#This Row],[Multiplier]]&amp;") -&gt; "&amp;Transformation[[#This Row],[ctoid]]&amp;Transformation[[#This Row],[Transaction to]]</f>
        <v>OK08811(1) -&gt; OK015CSE</v>
      </c>
    </row>
    <row r="177" spans="25:70" x14ac:dyDescent="0.45">
      <c r="Y177" s="5" t="s">
        <v>1009</v>
      </c>
      <c r="Z177" s="4" t="s">
        <v>1049</v>
      </c>
      <c r="AA177" s="4" t="s">
        <v>1334</v>
      </c>
      <c r="AB177" s="4" t="s">
        <v>9</v>
      </c>
      <c r="AC177" s="24" t="str">
        <f>IFERROR(VLOOKUP(Transactions[[#This Row],[Parent code]],Transactions[[Transaction code]:[Transaction name]],2,0),"")</f>
        <v>Electricity, CHP and Heat plants - Main activity</v>
      </c>
      <c r="AD177" s="4" t="s">
        <v>189</v>
      </c>
      <c r="AE177" s="4" t="s">
        <v>959</v>
      </c>
      <c r="AF177" s="4" t="s">
        <v>642</v>
      </c>
      <c r="AG177" s="4" t="s">
        <v>1</v>
      </c>
      <c r="AH177" s="4" t="s">
        <v>696</v>
      </c>
      <c r="AI177" s="12" t="s">
        <v>1416</v>
      </c>
      <c r="AJ177" s="4" t="s">
        <v>0</v>
      </c>
      <c r="AK177" s="24" t="str" cm="1">
        <f t="array" ref="AK177">IFERROR(INDEX(Transactions[[Transaction code]:[Transaction name]],_xlfn.XMATCH(Transactions[[#This Row],[Parent code]],Transactions[Transaction name],0),3),Transactions[[#This Row],[Transaction name]])</f>
        <v>Electricity, CHP and Heat plants - Main activity - other oil products</v>
      </c>
      <c r="AL177" s="24" t="str" cm="1">
        <f t="array" ref="AL177">IFERROR(INDEX(Transactions[[Transaction code]:[Transaction name]],_xlfn.XMATCH(INDEX(Transactions[[Transaction name]:[Parent code]],_xlfn.XMATCH(Transactions[[#This Row],[L1N]],Transactions[Transaction name],0),3),Transactions[Transaction code],0),2),Transactions[[#This Row],[L1N]])</f>
        <v>Electricity, CHP and Heat plants - Main activity</v>
      </c>
      <c r="AM177" s="24" t="str" cm="1">
        <f t="array" ref="AM177">IFERROR(INDEX(Transactions[[Transaction code]:[Transaction name]],_xlfn.XMATCH(INDEX(Transactions[[Transaction name]:[Parent code]],_xlfn.XMATCH(Transactions[[#This Row],[L2N]],Transactions[Transaction name],0),3),Transactions[Transaction code],0),2),Transactions[[#This Row],[L2N]])</f>
        <v>Production</v>
      </c>
      <c r="AN177" s="24" t="str" cm="1">
        <f t="array" ref="AN177">IFERROR(INDEX(Transactions[[Transaction code]:[Transaction name]],_xlfn.XMATCH(INDEX(Transactions[[Transaction name]:[Parent code]],_xlfn.XMATCH(Transactions[[#This Row],[L3N]],Transactions[Transaction name],0),3),Transactions[Transaction code],0),2),Transactions[[#This Row],[L3N]])</f>
        <v>Total energy supply</v>
      </c>
      <c r="AO177" s="24" t="str" cm="1">
        <f t="array" ref="AO177">IFERROR(INDEX(Transactions[[Transaction code]:[Transaction name]],_xlfn.XMATCH(INDEX(Transactions[[Transaction name]:[Parent code]],_xlfn.XMATCH(Transactions[[#This Row],[L4N]],Transactions[Transaction name],0),3),Transactions[Transaction code],0),2),Transactions[[#This Row],[L4N]])</f>
        <v>Total energy supply</v>
      </c>
      <c r="AP177" s="24" t="str" cm="1">
        <f t="array" ref="AP177">IFERROR(INDEX(Transactions[[Transaction code]:[Transaction name]],_xlfn.XMATCH(INDEX(Transactions[[Transaction name]:[Parent code]],_xlfn.XMATCH(Transactions[[#This Row],[L5N]],Transactions[Transaction name],0),3),Transactions[Transaction code],0),2),Transactions[[#This Row],[L5N]])</f>
        <v>Total energy supply</v>
      </c>
      <c r="AQ177" s="24" t="str" cm="1">
        <f t="array" ref="AQ177">IFERROR(INDEX(Transactions[[Transaction code]:[Transaction name]],_xlfn.XMATCH(INDEX(Transactions[[Transaction name]:[Parent code]],_xlfn.XMATCH(Transactions[[#This Row],[L6N]],Transactions[Transaction name],0),3),Transactions[Transaction code],0),2),Transactions[[#This Row],[L6N]])</f>
        <v>Total energy supply</v>
      </c>
      <c r="AR177" s="28" t="str">
        <f>IF(Transactions[[#This Row],[L7N]]=Transactions[[#This Row],[L6N]],Transactions[[#This Row],[L7N]],IF(Transactions[[#This Row],[L6N]]=Transactions[[#This Row],[L5N]],Transactions[[#This Row],[L6N]],IF(Transactions[[#This Row],[L5N]]=Transactions[[#This Row],[L4N]],Transactions[[#This Row],[L5N]],IF(Transactions[[#This Row],[L4N]]=Transactions[[#This Row],[L3N]],Transactions[[#This Row],[L4N]],IF(Transactions[[#This Row],[L3N]]=Transactions[[#This Row],[L2N]],Transactions[[#This Row],[L3N]],IF(Transactions[[#This Row],[L2N]]=Transactions[[#This Row],[L1N]],Transactions[[#This Row],[L2N]],IF(Transactions[[#This Row],[L1N]]=Transactions[[#This Row],[Transaction name]],Transactions[[#This Row],[L1N]],Transactions[[#This Row],[Transaction name]])))))))</f>
        <v>Total energy supply</v>
      </c>
      <c r="AS177" s="24" t="str">
        <f>IF(Transactions[[#This Row],[Level 0]]=Transactions[[#This Row],[Transaction name]],Transactions[[#This Row],[Transaction name]],IF(Transactions[[#This Row],[Level 0]]=Transactions[[#This Row],[L1N]],Transactions[[#This Row],[Transaction name]],IF(Transactions[[#This Row],[Level 0]]=Transactions[[#This Row],[L2N]],Transactions[[#This Row],[L1N]],IF(Transactions[[#This Row],[Level 0]]=Transactions[[#This Row],[L3N]],Transactions[[#This Row],[L2N]],IF(Transactions[[#This Row],[Level 0]]=Transactions[[#This Row],[L4N]],Transactions[[#This Row],[L3N]],IF(Transactions[[#This Row],[Level 0]]=Transactions[[#This Row],[L5N]],Transactions[[#This Row],[L4N]],IF(Transactions[[#This Row],[Level 0]]=Transactions[[#This Row],[L6N]],Transactions[[#This Row],[L5N]],IF(Transactions[[#This Row],[Level 0]]=Transactions[[#This Row],[L7N]],Transactions[[#This Row],[L6N]],Transactions[[#This Row],[L7N]]))))))))</f>
        <v>Production</v>
      </c>
      <c r="AT177" s="24" t="str">
        <f>IF(Transactions[[#This Row],[Level 1]]=Transactions[[#This Row],[Transaction name]],Transactions[[#This Row],[Transaction name]],IF(Transactions[[#This Row],[Level 1]]=Transactions[[#This Row],[L1N]],Transactions[[#This Row],[Transaction name]],IF(Transactions[[#This Row],[Level 1]]=Transactions[[#This Row],[L2N]],Transactions[[#This Row],[L1N]],IF(Transactions[[#This Row],[Level 1]]=Transactions[[#This Row],[L3N]],Transactions[[#This Row],[L2N]],IF(Transactions[[#This Row],[Level 1]]=Transactions[[#This Row],[L4N]],Transactions[[#This Row],[L3N]],IF(Transactions[[#This Row],[Level 1]]=Transactions[[#This Row],[L5N]],Transactions[[#This Row],[L4N]],IF(Transactions[[#This Row],[Level 1]]=Transactions[[#This Row],[L6N]],Transactions[[#This Row],[L5N]],IF(Transactions[[#This Row],[Level 1]]=Transactions[[#This Row],[L7N]],Transactions[[#This Row],[L6N]],Transactions[[#This Row],[L7N]]))))))))</f>
        <v>Electricity, CHP and Heat plants - Main activity</v>
      </c>
      <c r="AU177" s="24" t="str">
        <f>IF(Transactions[[#This Row],[Level 2]]=Transactions[[#This Row],[Transaction name]],Transactions[[#This Row],[Transaction name]],IF(Transactions[[#This Row],[Level 2]]=Transactions[[#This Row],[L1N]],Transactions[[#This Row],[Transaction name]],IF(Transactions[[#This Row],[Level 2]]=Transactions[[#This Row],[L2N]],Transactions[[#This Row],[L1N]],IF(Transactions[[#This Row],[Level 2]]=Transactions[[#This Row],[L3N]],Transactions[[#This Row],[L2N]],IF(Transactions[[#This Row],[Level 2]]=Transactions[[#This Row],[L4N]],Transactions[[#This Row],[L3N]],IF(Transactions[[#This Row],[Level 2]]=Transactions[[#This Row],[L5N]],Transactions[[#This Row],[L4N]],IF(Transactions[[#This Row],[Level 2]]=Transactions[[#This Row],[L6N]],Transactions[[#This Row],[L5N]],IF(Transactions[[#This Row],[Level 2]]=Transactions[[#This Row],[L7N]],Transactions[[#This Row],[L6N]],Transactions[[#This Row],[L7N]]))))))))</f>
        <v>Electricity, CHP and Heat plants - Main activity - other oil products</v>
      </c>
      <c r="AV177" s="24" t="str">
        <f>IF(Transactions[[#This Row],[Level 3]]=Transactions[[#This Row],[Transaction name]],Transactions[[#This Row],[Transaction name]],IF(Transactions[[#This Row],[Level 3]]=Transactions[[#This Row],[L1N]],Transactions[[#This Row],[Transaction name]],IF(Transactions[[#This Row],[Level 3]]=Transactions[[#This Row],[L2N]],Transactions[[#This Row],[L1N]],IF(Transactions[[#This Row],[Level 3]]=Transactions[[#This Row],[L3N]],Transactions[[#This Row],[L2N]],IF(Transactions[[#This Row],[Level 3]]=Transactions[[#This Row],[L4N]],Transactions[[#This Row],[L3N]],IF(Transactions[[#This Row],[Level 3]]=Transactions[[#This Row],[L5N]],Transactions[[#This Row],[L4N]],IF(Transactions[[#This Row],[Level 3]]=Transactions[[#This Row],[L6N]],Transactions[[#This Row],[L5N]],IF(Transactions[[#This Row],[Level 3]]=Transactions[[#This Row],[L7N]],Transactions[[#This Row],[L6N]],Transactions[[#This Row],[L7N]]))))))))</f>
        <v>Electricity, CHP and Heat plants - Main activity - other oil products</v>
      </c>
      <c r="AW177" s="24" t="str">
        <f>IF(Transactions[[#This Row],[Level 4]]=Transactions[[#This Row],[Transaction name]],Transactions[[#This Row],[Transaction name]],IF(Transactions[[#This Row],[Level 4]]=Transactions[[#This Row],[L1N]],Transactions[[#This Row],[Transaction name]],IF(Transactions[[#This Row],[Level 4]]=Transactions[[#This Row],[L2N]],Transactions[[#This Row],[L1N]],IF(Transactions[[#This Row],[Level 4]]=Transactions[[#This Row],[L3N]],Transactions[[#This Row],[L2N]],IF(Transactions[[#This Row],[Level 4]]=Transactions[[#This Row],[L4N]],Transactions[[#This Row],[L3N]],IF(Transactions[[#This Row],[Level 4]]=Transactions[[#This Row],[L5N]],Transactions[[#This Row],[L4N]],IF(Transactions[[#This Row],[Level 4]]=Transactions[[#This Row],[L6N]],Transactions[[#This Row],[L5N]],IF(Transactions[[#This Row],[Level 4]]=Transactions[[#This Row],[L7N]],Transactions[[#This Row],[L6N]],Transactions[[#This Row],[L7N]]))))))))</f>
        <v>Electricity, CHP and Heat plants - Main activity - other oil products</v>
      </c>
      <c r="AX177" s="24" t="str">
        <f>IF(Transactions[[#This Row],[Level 5]]=Transactions[[#This Row],[Transaction name]],Transactions[[#This Row],[Transaction name]],IF(Transactions[[#This Row],[Level 5]]=Transactions[[#This Row],[L1N]],Transactions[[#This Row],[Transaction name]],IF(Transactions[[#This Row],[Level 5]]=Transactions[[#This Row],[L2N]],Transactions[[#This Row],[L1N]],IF(Transactions[[#This Row],[Level 5]]=Transactions[[#This Row],[L3N]],Transactions[[#This Row],[L2N]],IF(Transactions[[#This Row],[Level 5]]=Transactions[[#This Row],[L4N]],Transactions[[#This Row],[L3N]],IF(Transactions[[#This Row],[Level 5]]=Transactions[[#This Row],[L5N]],Transactions[[#This Row],[L4N]],IF(Transactions[[#This Row],[Level 5]]=Transactions[[#This Row],[L6N]],Transactions[[#This Row],[L5N]],IF(Transactions[[#This Row],[Level 5]]=Transactions[[#This Row],[L7N]],Transactions[[#This Row],[L6N]],Transactions[[#This Row],[L7N]]))))))))</f>
        <v>Electricity, CHP and Heat plants - Main activity - other oil products</v>
      </c>
      <c r="AY177" s="24" t="str">
        <f>IF(Transactions[[#This Row],[Level 6]]=Transactions[[#This Row],[Transaction name]],Transactions[[#This Row],[Transaction name]],IF(Transactions[[#This Row],[Level 6]]=Transactions[[#This Row],[L1N]],Transactions[[#This Row],[Transaction name]],IF(Transactions[[#This Row],[Level 6]]=Transactions[[#This Row],[L2N]],Transactions[[#This Row],[L1N]],IF(Transactions[[#This Row],[Level 6]]=Transactions[[#This Row],[L3N]],Transactions[[#This Row],[L2N]],IF(Transactions[[#This Row],[Level 6]]=Transactions[[#This Row],[L4N]],Transactions[[#This Row],[L3N]],IF(Transactions[[#This Row],[Level 6]]=Transactions[[#This Row],[L5N]],Transactions[[#This Row],[L4N]],IF(Transactions[[#This Row],[Level 6]]=Transactions[[#This Row],[L6N]],Transactions[[#This Row],[L5N]],IF(Transactions[[#This Row],[Level 6]]=Transactions[[#This Row],[L7N]],Transactions[[#This Row],[L6N]],Transactions[[#This Row],[L7N]]))))))))</f>
        <v>Electricity, CHP and Heat plants - Main activity - other oil products</v>
      </c>
      <c r="BE177" s="26" t="str">
        <f>_xlfn.XLOOKUP(Transformation[[#This Row],[cfrom]],Commodities[Commodity],Commodities[Commodity code])</f>
        <v>5290</v>
      </c>
      <c r="BF177" s="26" t="str">
        <f>_xlfn.XLOOKUP(Transformation[[#This Row],[tfrom]],Transactions[Transaction name],Transactions[Transaction code])</f>
        <v>08811</v>
      </c>
      <c r="BG177" s="26" t="str">
        <f>_xlfn.XLOOKUP(Transformation[[#This Row],[cto]],Commodities[Commodity],Commodities[Commodity code])</f>
        <v>5290</v>
      </c>
      <c r="BH177" s="26" t="str">
        <f>_xlfn.XLOOKUP(Transformation[[#This Row],[tto]],Transactions[Transaction name],Transactions[Transaction code])</f>
        <v>015BLE</v>
      </c>
      <c r="BI177" s="11">
        <v>1</v>
      </c>
      <c r="BJ177" s="4" t="s">
        <v>301</v>
      </c>
      <c r="BK177" s="24" t="str">
        <f>_xlfn.XLOOKUP(Transformation[[#This Row],[Commodity from]],Commodities[Commodity code],Commodities[EnergyCode])</f>
        <v>OL</v>
      </c>
      <c r="BL177" s="4" t="s">
        <v>689</v>
      </c>
      <c r="BM177" s="4" t="s">
        <v>301</v>
      </c>
      <c r="BN177" s="24" t="str">
        <f>_xlfn.XLOOKUP(Transformation[[#This Row],[Commodity to]],Commodities[Commodity code],Commodities[EnergyCode])</f>
        <v>OL</v>
      </c>
      <c r="BO177" s="4" t="s">
        <v>1075</v>
      </c>
      <c r="BP177" s="16" t="s">
        <v>1493</v>
      </c>
      <c r="BQ177" s="33" t="str">
        <f>Transformation[[#This Row],[Commodity from]]&amp;Transformation[[#This Row],[Transaction from]]&amp;Transformation[[#This Row],[Commodity to]]&amp;Transformation[[#This Row],[Transaction to]]</f>
        <v>5290088115290015BLE</v>
      </c>
      <c r="BR177" s="26" t="str">
        <f>Transformation[[#This Row],[crfomid]]&amp;Transformation[[#This Row],[Transaction from]]&amp;"("&amp;Transformation[[#This Row],[Multiplier]]&amp;") -&gt; "&amp;Transformation[[#This Row],[ctoid]]&amp;Transformation[[#This Row],[Transaction to]]</f>
        <v>OL08811(1) -&gt; OL015BLE</v>
      </c>
    </row>
    <row r="178" spans="25:70" x14ac:dyDescent="0.45">
      <c r="Y178" s="5" t="s">
        <v>1129</v>
      </c>
      <c r="Z178" s="4" t="s">
        <v>1121</v>
      </c>
      <c r="AA178" s="4" t="s">
        <v>1362</v>
      </c>
      <c r="AB178" s="4" t="s">
        <v>9</v>
      </c>
      <c r="AC178" s="24" t="str">
        <f>IFERROR(VLOOKUP(Transactions[[#This Row],[Parent code]],Transactions[[Transaction code]:[Transaction name]],2,0),"")</f>
        <v>Electricity, CHP and Heat plants - Main activity</v>
      </c>
      <c r="AD178" s="4" t="s">
        <v>189</v>
      </c>
      <c r="AE178" s="4" t="s">
        <v>959</v>
      </c>
      <c r="AF178" s="4" t="s">
        <v>642</v>
      </c>
      <c r="AG178" s="4" t="s">
        <v>1</v>
      </c>
      <c r="AH178" s="4" t="s">
        <v>696</v>
      </c>
      <c r="AI178" s="12" t="s">
        <v>1416</v>
      </c>
      <c r="AJ178" s="4" t="s">
        <v>0</v>
      </c>
      <c r="AK178" s="24" t="str" cm="1">
        <f t="array" ref="AK178">IFERROR(INDEX(Transactions[[Transaction code]:[Transaction name]],_xlfn.XMATCH(Transactions[[#This Row],[Parent code]],Transactions[Transaction name],0),3),Transactions[[#This Row],[Transaction name]])</f>
        <v>Electricity, CHP and Heat plants - Main activity - other solid biofuels</v>
      </c>
      <c r="AL178" s="24" t="str" cm="1">
        <f t="array" ref="AL178">IFERROR(INDEX(Transactions[[Transaction code]:[Transaction name]],_xlfn.XMATCH(INDEX(Transactions[[Transaction name]:[Parent code]],_xlfn.XMATCH(Transactions[[#This Row],[L1N]],Transactions[Transaction name],0),3),Transactions[Transaction code],0),2),Transactions[[#This Row],[L1N]])</f>
        <v>Electricity, CHP and Heat plants - Main activity</v>
      </c>
      <c r="AM178" s="24" t="str" cm="1">
        <f t="array" ref="AM178">IFERROR(INDEX(Transactions[[Transaction code]:[Transaction name]],_xlfn.XMATCH(INDEX(Transactions[[Transaction name]:[Parent code]],_xlfn.XMATCH(Transactions[[#This Row],[L2N]],Transactions[Transaction name],0),3),Transactions[Transaction code],0),2),Transactions[[#This Row],[L2N]])</f>
        <v>Production</v>
      </c>
      <c r="AN178" s="24" t="str" cm="1">
        <f t="array" ref="AN178">IFERROR(INDEX(Transactions[[Transaction code]:[Transaction name]],_xlfn.XMATCH(INDEX(Transactions[[Transaction name]:[Parent code]],_xlfn.XMATCH(Transactions[[#This Row],[L3N]],Transactions[Transaction name],0),3),Transactions[Transaction code],0),2),Transactions[[#This Row],[L3N]])</f>
        <v>Total energy supply</v>
      </c>
      <c r="AO178" s="24" t="str" cm="1">
        <f t="array" ref="AO178">IFERROR(INDEX(Transactions[[Transaction code]:[Transaction name]],_xlfn.XMATCH(INDEX(Transactions[[Transaction name]:[Parent code]],_xlfn.XMATCH(Transactions[[#This Row],[L4N]],Transactions[Transaction name],0),3),Transactions[Transaction code],0),2),Transactions[[#This Row],[L4N]])</f>
        <v>Total energy supply</v>
      </c>
      <c r="AP178" s="24" t="str" cm="1">
        <f t="array" ref="AP178">IFERROR(INDEX(Transactions[[Transaction code]:[Transaction name]],_xlfn.XMATCH(INDEX(Transactions[[Transaction name]:[Parent code]],_xlfn.XMATCH(Transactions[[#This Row],[L5N]],Transactions[Transaction name],0),3),Transactions[Transaction code],0),2),Transactions[[#This Row],[L5N]])</f>
        <v>Total energy supply</v>
      </c>
      <c r="AQ178" s="24" t="str" cm="1">
        <f t="array" ref="AQ178">IFERROR(INDEX(Transactions[[Transaction code]:[Transaction name]],_xlfn.XMATCH(INDEX(Transactions[[Transaction name]:[Parent code]],_xlfn.XMATCH(Transactions[[#This Row],[L6N]],Transactions[Transaction name],0),3),Transactions[Transaction code],0),2),Transactions[[#This Row],[L6N]])</f>
        <v>Total energy supply</v>
      </c>
      <c r="AR178" s="28" t="str">
        <f>IF(Transactions[[#This Row],[L7N]]=Transactions[[#This Row],[L6N]],Transactions[[#This Row],[L7N]],IF(Transactions[[#This Row],[L6N]]=Transactions[[#This Row],[L5N]],Transactions[[#This Row],[L6N]],IF(Transactions[[#This Row],[L5N]]=Transactions[[#This Row],[L4N]],Transactions[[#This Row],[L5N]],IF(Transactions[[#This Row],[L4N]]=Transactions[[#This Row],[L3N]],Transactions[[#This Row],[L4N]],IF(Transactions[[#This Row],[L3N]]=Transactions[[#This Row],[L2N]],Transactions[[#This Row],[L3N]],IF(Transactions[[#This Row],[L2N]]=Transactions[[#This Row],[L1N]],Transactions[[#This Row],[L2N]],IF(Transactions[[#This Row],[L1N]]=Transactions[[#This Row],[Transaction name]],Transactions[[#This Row],[L1N]],Transactions[[#This Row],[Transaction name]])))))))</f>
        <v>Total energy supply</v>
      </c>
      <c r="AS178" s="24" t="str">
        <f>IF(Transactions[[#This Row],[Level 0]]=Transactions[[#This Row],[Transaction name]],Transactions[[#This Row],[Transaction name]],IF(Transactions[[#This Row],[Level 0]]=Transactions[[#This Row],[L1N]],Transactions[[#This Row],[Transaction name]],IF(Transactions[[#This Row],[Level 0]]=Transactions[[#This Row],[L2N]],Transactions[[#This Row],[L1N]],IF(Transactions[[#This Row],[Level 0]]=Transactions[[#This Row],[L3N]],Transactions[[#This Row],[L2N]],IF(Transactions[[#This Row],[Level 0]]=Transactions[[#This Row],[L4N]],Transactions[[#This Row],[L3N]],IF(Transactions[[#This Row],[Level 0]]=Transactions[[#This Row],[L5N]],Transactions[[#This Row],[L4N]],IF(Transactions[[#This Row],[Level 0]]=Transactions[[#This Row],[L6N]],Transactions[[#This Row],[L5N]],IF(Transactions[[#This Row],[Level 0]]=Transactions[[#This Row],[L7N]],Transactions[[#This Row],[L6N]],Transactions[[#This Row],[L7N]]))))))))</f>
        <v>Production</v>
      </c>
      <c r="AT178" s="24" t="str">
        <f>IF(Transactions[[#This Row],[Level 1]]=Transactions[[#This Row],[Transaction name]],Transactions[[#This Row],[Transaction name]],IF(Transactions[[#This Row],[Level 1]]=Transactions[[#This Row],[L1N]],Transactions[[#This Row],[Transaction name]],IF(Transactions[[#This Row],[Level 1]]=Transactions[[#This Row],[L2N]],Transactions[[#This Row],[L1N]],IF(Transactions[[#This Row],[Level 1]]=Transactions[[#This Row],[L3N]],Transactions[[#This Row],[L2N]],IF(Transactions[[#This Row],[Level 1]]=Transactions[[#This Row],[L4N]],Transactions[[#This Row],[L3N]],IF(Transactions[[#This Row],[Level 1]]=Transactions[[#This Row],[L5N]],Transactions[[#This Row],[L4N]],IF(Transactions[[#This Row],[Level 1]]=Transactions[[#This Row],[L6N]],Transactions[[#This Row],[L5N]],IF(Transactions[[#This Row],[Level 1]]=Transactions[[#This Row],[L7N]],Transactions[[#This Row],[L6N]],Transactions[[#This Row],[L7N]]))))))))</f>
        <v>Electricity, CHP and Heat plants - Main activity</v>
      </c>
      <c r="AU178" s="24" t="str">
        <f>IF(Transactions[[#This Row],[Level 2]]=Transactions[[#This Row],[Transaction name]],Transactions[[#This Row],[Transaction name]],IF(Transactions[[#This Row],[Level 2]]=Transactions[[#This Row],[L1N]],Transactions[[#This Row],[Transaction name]],IF(Transactions[[#This Row],[Level 2]]=Transactions[[#This Row],[L2N]],Transactions[[#This Row],[L1N]],IF(Transactions[[#This Row],[Level 2]]=Transactions[[#This Row],[L3N]],Transactions[[#This Row],[L2N]],IF(Transactions[[#This Row],[Level 2]]=Transactions[[#This Row],[L4N]],Transactions[[#This Row],[L3N]],IF(Transactions[[#This Row],[Level 2]]=Transactions[[#This Row],[L5N]],Transactions[[#This Row],[L4N]],IF(Transactions[[#This Row],[Level 2]]=Transactions[[#This Row],[L6N]],Transactions[[#This Row],[L5N]],IF(Transactions[[#This Row],[Level 2]]=Transactions[[#This Row],[L7N]],Transactions[[#This Row],[L6N]],Transactions[[#This Row],[L7N]]))))))))</f>
        <v>Electricity, CHP and Heat plants - Main activity - other solid biofuels</v>
      </c>
      <c r="AV178" s="24" t="str">
        <f>IF(Transactions[[#This Row],[Level 3]]=Transactions[[#This Row],[Transaction name]],Transactions[[#This Row],[Transaction name]],IF(Transactions[[#This Row],[Level 3]]=Transactions[[#This Row],[L1N]],Transactions[[#This Row],[Transaction name]],IF(Transactions[[#This Row],[Level 3]]=Transactions[[#This Row],[L2N]],Transactions[[#This Row],[L1N]],IF(Transactions[[#This Row],[Level 3]]=Transactions[[#This Row],[L3N]],Transactions[[#This Row],[L2N]],IF(Transactions[[#This Row],[Level 3]]=Transactions[[#This Row],[L4N]],Transactions[[#This Row],[L3N]],IF(Transactions[[#This Row],[Level 3]]=Transactions[[#This Row],[L5N]],Transactions[[#This Row],[L4N]],IF(Transactions[[#This Row],[Level 3]]=Transactions[[#This Row],[L6N]],Transactions[[#This Row],[L5N]],IF(Transactions[[#This Row],[Level 3]]=Transactions[[#This Row],[L7N]],Transactions[[#This Row],[L6N]],Transactions[[#This Row],[L7N]]))))))))</f>
        <v>Electricity, CHP and Heat plants - Main activity - other solid biofuels</v>
      </c>
      <c r="AW178" s="24" t="str">
        <f>IF(Transactions[[#This Row],[Level 4]]=Transactions[[#This Row],[Transaction name]],Transactions[[#This Row],[Transaction name]],IF(Transactions[[#This Row],[Level 4]]=Transactions[[#This Row],[L1N]],Transactions[[#This Row],[Transaction name]],IF(Transactions[[#This Row],[Level 4]]=Transactions[[#This Row],[L2N]],Transactions[[#This Row],[L1N]],IF(Transactions[[#This Row],[Level 4]]=Transactions[[#This Row],[L3N]],Transactions[[#This Row],[L2N]],IF(Transactions[[#This Row],[Level 4]]=Transactions[[#This Row],[L4N]],Transactions[[#This Row],[L3N]],IF(Transactions[[#This Row],[Level 4]]=Transactions[[#This Row],[L5N]],Transactions[[#This Row],[L4N]],IF(Transactions[[#This Row],[Level 4]]=Transactions[[#This Row],[L6N]],Transactions[[#This Row],[L5N]],IF(Transactions[[#This Row],[Level 4]]=Transactions[[#This Row],[L7N]],Transactions[[#This Row],[L6N]],Transactions[[#This Row],[L7N]]))))))))</f>
        <v>Electricity, CHP and Heat plants - Main activity - other solid biofuels</v>
      </c>
      <c r="AX178" s="24" t="str">
        <f>IF(Transactions[[#This Row],[Level 5]]=Transactions[[#This Row],[Transaction name]],Transactions[[#This Row],[Transaction name]],IF(Transactions[[#This Row],[Level 5]]=Transactions[[#This Row],[L1N]],Transactions[[#This Row],[Transaction name]],IF(Transactions[[#This Row],[Level 5]]=Transactions[[#This Row],[L2N]],Transactions[[#This Row],[L1N]],IF(Transactions[[#This Row],[Level 5]]=Transactions[[#This Row],[L3N]],Transactions[[#This Row],[L2N]],IF(Transactions[[#This Row],[Level 5]]=Transactions[[#This Row],[L4N]],Transactions[[#This Row],[L3N]],IF(Transactions[[#This Row],[Level 5]]=Transactions[[#This Row],[L5N]],Transactions[[#This Row],[L4N]],IF(Transactions[[#This Row],[Level 5]]=Transactions[[#This Row],[L6N]],Transactions[[#This Row],[L5N]],IF(Transactions[[#This Row],[Level 5]]=Transactions[[#This Row],[L7N]],Transactions[[#This Row],[L6N]],Transactions[[#This Row],[L7N]]))))))))</f>
        <v>Electricity, CHP and Heat plants - Main activity - other solid biofuels</v>
      </c>
      <c r="AY178" s="24" t="str">
        <f>IF(Transactions[[#This Row],[Level 6]]=Transactions[[#This Row],[Transaction name]],Transactions[[#This Row],[Transaction name]],IF(Transactions[[#This Row],[Level 6]]=Transactions[[#This Row],[L1N]],Transactions[[#This Row],[Transaction name]],IF(Transactions[[#This Row],[Level 6]]=Transactions[[#This Row],[L2N]],Transactions[[#This Row],[L1N]],IF(Transactions[[#This Row],[Level 6]]=Transactions[[#This Row],[L3N]],Transactions[[#This Row],[L2N]],IF(Transactions[[#This Row],[Level 6]]=Transactions[[#This Row],[L4N]],Transactions[[#This Row],[L3N]],IF(Transactions[[#This Row],[Level 6]]=Transactions[[#This Row],[L5N]],Transactions[[#This Row],[L4N]],IF(Transactions[[#This Row],[Level 6]]=Transactions[[#This Row],[L6N]],Transactions[[#This Row],[L5N]],IF(Transactions[[#This Row],[Level 6]]=Transactions[[#This Row],[L7N]],Transactions[[#This Row],[L6N]],Transactions[[#This Row],[L7N]]))))))))</f>
        <v>Electricity, CHP and Heat plants - Main activity - other solid biofuels</v>
      </c>
      <c r="BE178" s="26" t="str">
        <f>_xlfn.XLOOKUP(Transformation[[#This Row],[cfrom]],Commodities[Commodity],Commodities[Commodity code])</f>
        <v>2000</v>
      </c>
      <c r="BF178" s="26" t="str">
        <f>_xlfn.XLOOKUP(Transformation[[#This Row],[tfrom]],Transactions[Transaction name],Transactions[Transaction code])</f>
        <v>08811</v>
      </c>
      <c r="BG178" s="26" t="str">
        <f>_xlfn.XLOOKUP(Transformation[[#This Row],[cto]],Commodities[Commodity],Commodities[Commodity code])</f>
        <v>2000</v>
      </c>
      <c r="BH178" s="26" t="str">
        <f>_xlfn.XLOOKUP(Transformation[[#This Row],[tto]],Transactions[Transaction name],Transactions[Transaction code])</f>
        <v>015SHE</v>
      </c>
      <c r="BI178" s="11">
        <v>1</v>
      </c>
      <c r="BJ178" s="4" t="s">
        <v>450</v>
      </c>
      <c r="BK178" s="24" t="str">
        <f>_xlfn.XLOOKUP(Transformation[[#This Row],[Commodity from]],Commodities[Commodity code],Commodities[EnergyCode])</f>
        <v>OS</v>
      </c>
      <c r="BL178" s="4" t="s">
        <v>689</v>
      </c>
      <c r="BM178" s="4" t="s">
        <v>450</v>
      </c>
      <c r="BN178" s="24" t="str">
        <f>_xlfn.XLOOKUP(Transformation[[#This Row],[Commodity to]],Commodities[Commodity code],Commodities[EnergyCode])</f>
        <v>OS</v>
      </c>
      <c r="BO178" s="4" t="s">
        <v>1194</v>
      </c>
      <c r="BP178" s="16" t="s">
        <v>1493</v>
      </c>
      <c r="BQ178" s="33" t="str">
        <f>Transformation[[#This Row],[Commodity from]]&amp;Transformation[[#This Row],[Transaction from]]&amp;Transformation[[#This Row],[Commodity to]]&amp;Transformation[[#This Row],[Transaction to]]</f>
        <v>2000088112000015SHE</v>
      </c>
      <c r="BR178" s="26" t="str">
        <f>Transformation[[#This Row],[crfomid]]&amp;Transformation[[#This Row],[Transaction from]]&amp;"("&amp;Transformation[[#This Row],[Multiplier]]&amp;") -&gt; "&amp;Transformation[[#This Row],[ctoid]]&amp;Transformation[[#This Row],[Transaction to]]</f>
        <v>OS08811(1) -&gt; OS015SHE</v>
      </c>
    </row>
    <row r="179" spans="25:70" x14ac:dyDescent="0.45">
      <c r="Y179" s="5" t="s">
        <v>308</v>
      </c>
      <c r="Z179" s="4" t="s">
        <v>664</v>
      </c>
      <c r="AA179" s="4" t="s">
        <v>1323</v>
      </c>
      <c r="AB179" s="6" t="s">
        <v>9</v>
      </c>
      <c r="AC179" s="24" t="str">
        <f>IFERROR(VLOOKUP(Transactions[[#This Row],[Parent code]],Transactions[[Transaction code]:[Transaction name]],2,0),"")</f>
        <v>Electricity, CHP and Heat plants - Main activity</v>
      </c>
      <c r="AD179" s="4" t="s">
        <v>189</v>
      </c>
      <c r="AE179" s="4" t="s">
        <v>959</v>
      </c>
      <c r="AF179" s="4" t="s">
        <v>642</v>
      </c>
      <c r="AG179" s="4" t="s">
        <v>1</v>
      </c>
      <c r="AH179" s="4" t="s">
        <v>696</v>
      </c>
      <c r="AJ179" s="4" t="s">
        <v>0</v>
      </c>
      <c r="AK179" s="24" t="str" cm="1">
        <f t="array" ref="AK179">IFERROR(INDEX(Transactions[[Transaction code]:[Transaction name]],_xlfn.XMATCH(Transactions[[#This Row],[Parent code]],Transactions[Transaction name],0),3),Transactions[[#This Row],[Transaction name]])</f>
        <v>Electricity, CHP and Heat plants - Main activity - other sources</v>
      </c>
      <c r="AL179" s="24" t="str" cm="1">
        <f t="array" ref="AL179">IFERROR(INDEX(Transactions[[Transaction code]:[Transaction name]],_xlfn.XMATCH(INDEX(Transactions[[Transaction name]:[Parent code]],_xlfn.XMATCH(Transactions[[#This Row],[L1N]],Transactions[Transaction name],0),3),Transactions[Transaction code],0),2),Transactions[[#This Row],[L1N]])</f>
        <v>Electricity, CHP and Heat plants - Main activity</v>
      </c>
      <c r="AM179" s="24" t="str" cm="1">
        <f t="array" ref="AM179">IFERROR(INDEX(Transactions[[Transaction code]:[Transaction name]],_xlfn.XMATCH(INDEX(Transactions[[Transaction name]:[Parent code]],_xlfn.XMATCH(Transactions[[#This Row],[L2N]],Transactions[Transaction name],0),3),Transactions[Transaction code],0),2),Transactions[[#This Row],[L2N]])</f>
        <v>Production</v>
      </c>
      <c r="AN179" s="24" t="str" cm="1">
        <f t="array" ref="AN179">IFERROR(INDEX(Transactions[[Transaction code]:[Transaction name]],_xlfn.XMATCH(INDEX(Transactions[[Transaction name]:[Parent code]],_xlfn.XMATCH(Transactions[[#This Row],[L3N]],Transactions[Transaction name],0),3),Transactions[Transaction code],0),2),Transactions[[#This Row],[L3N]])</f>
        <v>Total energy supply</v>
      </c>
      <c r="AO179" s="24" t="str" cm="1">
        <f t="array" ref="AO179">IFERROR(INDEX(Transactions[[Transaction code]:[Transaction name]],_xlfn.XMATCH(INDEX(Transactions[[Transaction name]:[Parent code]],_xlfn.XMATCH(Transactions[[#This Row],[L4N]],Transactions[Transaction name],0),3),Transactions[Transaction code],0),2),Transactions[[#This Row],[L4N]])</f>
        <v>Total energy supply</v>
      </c>
      <c r="AP179" s="24" t="str" cm="1">
        <f t="array" ref="AP179">IFERROR(INDEX(Transactions[[Transaction code]:[Transaction name]],_xlfn.XMATCH(INDEX(Transactions[[Transaction name]:[Parent code]],_xlfn.XMATCH(Transactions[[#This Row],[L5N]],Transactions[Transaction name],0),3),Transactions[Transaction code],0),2),Transactions[[#This Row],[L5N]])</f>
        <v>Total energy supply</v>
      </c>
      <c r="AQ179" s="24" t="str" cm="1">
        <f t="array" ref="AQ179">IFERROR(INDEX(Transactions[[Transaction code]:[Transaction name]],_xlfn.XMATCH(INDEX(Transactions[[Transaction name]:[Parent code]],_xlfn.XMATCH(Transactions[[#This Row],[L6N]],Transactions[Transaction name],0),3),Transactions[Transaction code],0),2),Transactions[[#This Row],[L6N]])</f>
        <v>Total energy supply</v>
      </c>
      <c r="AR179" s="28" t="str">
        <f>IF(Transactions[[#This Row],[L7N]]=Transactions[[#This Row],[L6N]],Transactions[[#This Row],[L7N]],IF(Transactions[[#This Row],[L6N]]=Transactions[[#This Row],[L5N]],Transactions[[#This Row],[L6N]],IF(Transactions[[#This Row],[L5N]]=Transactions[[#This Row],[L4N]],Transactions[[#This Row],[L5N]],IF(Transactions[[#This Row],[L4N]]=Transactions[[#This Row],[L3N]],Transactions[[#This Row],[L4N]],IF(Transactions[[#This Row],[L3N]]=Transactions[[#This Row],[L2N]],Transactions[[#This Row],[L3N]],IF(Transactions[[#This Row],[L2N]]=Transactions[[#This Row],[L1N]],Transactions[[#This Row],[L2N]],IF(Transactions[[#This Row],[L1N]]=Transactions[[#This Row],[Transaction name]],Transactions[[#This Row],[L1N]],Transactions[[#This Row],[Transaction name]])))))))</f>
        <v>Total energy supply</v>
      </c>
      <c r="AS179" s="24" t="str">
        <f>IF(Transactions[[#This Row],[Level 0]]=Transactions[[#This Row],[Transaction name]],Transactions[[#This Row],[Transaction name]],IF(Transactions[[#This Row],[Level 0]]=Transactions[[#This Row],[L1N]],Transactions[[#This Row],[Transaction name]],IF(Transactions[[#This Row],[Level 0]]=Transactions[[#This Row],[L2N]],Transactions[[#This Row],[L1N]],IF(Transactions[[#This Row],[Level 0]]=Transactions[[#This Row],[L3N]],Transactions[[#This Row],[L2N]],IF(Transactions[[#This Row],[Level 0]]=Transactions[[#This Row],[L4N]],Transactions[[#This Row],[L3N]],IF(Transactions[[#This Row],[Level 0]]=Transactions[[#This Row],[L5N]],Transactions[[#This Row],[L4N]],IF(Transactions[[#This Row],[Level 0]]=Transactions[[#This Row],[L6N]],Transactions[[#This Row],[L5N]],IF(Transactions[[#This Row],[Level 0]]=Transactions[[#This Row],[L7N]],Transactions[[#This Row],[L6N]],Transactions[[#This Row],[L7N]]))))))))</f>
        <v>Production</v>
      </c>
      <c r="AT179" s="24" t="str">
        <f>IF(Transactions[[#This Row],[Level 1]]=Transactions[[#This Row],[Transaction name]],Transactions[[#This Row],[Transaction name]],IF(Transactions[[#This Row],[Level 1]]=Transactions[[#This Row],[L1N]],Transactions[[#This Row],[Transaction name]],IF(Transactions[[#This Row],[Level 1]]=Transactions[[#This Row],[L2N]],Transactions[[#This Row],[L1N]],IF(Transactions[[#This Row],[Level 1]]=Transactions[[#This Row],[L3N]],Transactions[[#This Row],[L2N]],IF(Transactions[[#This Row],[Level 1]]=Transactions[[#This Row],[L4N]],Transactions[[#This Row],[L3N]],IF(Transactions[[#This Row],[Level 1]]=Transactions[[#This Row],[L5N]],Transactions[[#This Row],[L4N]],IF(Transactions[[#This Row],[Level 1]]=Transactions[[#This Row],[L6N]],Transactions[[#This Row],[L5N]],IF(Transactions[[#This Row],[Level 1]]=Transactions[[#This Row],[L7N]],Transactions[[#This Row],[L6N]],Transactions[[#This Row],[L7N]]))))))))</f>
        <v>Electricity, CHP and Heat plants - Main activity</v>
      </c>
      <c r="AU179" s="24" t="str">
        <f>IF(Transactions[[#This Row],[Level 2]]=Transactions[[#This Row],[Transaction name]],Transactions[[#This Row],[Transaction name]],IF(Transactions[[#This Row],[Level 2]]=Transactions[[#This Row],[L1N]],Transactions[[#This Row],[Transaction name]],IF(Transactions[[#This Row],[Level 2]]=Transactions[[#This Row],[L2N]],Transactions[[#This Row],[L1N]],IF(Transactions[[#This Row],[Level 2]]=Transactions[[#This Row],[L3N]],Transactions[[#This Row],[L2N]],IF(Transactions[[#This Row],[Level 2]]=Transactions[[#This Row],[L4N]],Transactions[[#This Row],[L3N]],IF(Transactions[[#This Row],[Level 2]]=Transactions[[#This Row],[L5N]],Transactions[[#This Row],[L4N]],IF(Transactions[[#This Row],[Level 2]]=Transactions[[#This Row],[L6N]],Transactions[[#This Row],[L5N]],IF(Transactions[[#This Row],[Level 2]]=Transactions[[#This Row],[L7N]],Transactions[[#This Row],[L6N]],Transactions[[#This Row],[L7N]]))))))))</f>
        <v>Electricity, CHP and Heat plants - Main activity - other sources</v>
      </c>
      <c r="AV179" s="24" t="str">
        <f>IF(Transactions[[#This Row],[Level 3]]=Transactions[[#This Row],[Transaction name]],Transactions[[#This Row],[Transaction name]],IF(Transactions[[#This Row],[Level 3]]=Transactions[[#This Row],[L1N]],Transactions[[#This Row],[Transaction name]],IF(Transactions[[#This Row],[Level 3]]=Transactions[[#This Row],[L2N]],Transactions[[#This Row],[L1N]],IF(Transactions[[#This Row],[Level 3]]=Transactions[[#This Row],[L3N]],Transactions[[#This Row],[L2N]],IF(Transactions[[#This Row],[Level 3]]=Transactions[[#This Row],[L4N]],Transactions[[#This Row],[L3N]],IF(Transactions[[#This Row],[Level 3]]=Transactions[[#This Row],[L5N]],Transactions[[#This Row],[L4N]],IF(Transactions[[#This Row],[Level 3]]=Transactions[[#This Row],[L6N]],Transactions[[#This Row],[L5N]],IF(Transactions[[#This Row],[Level 3]]=Transactions[[#This Row],[L7N]],Transactions[[#This Row],[L6N]],Transactions[[#This Row],[L7N]]))))))))</f>
        <v>Electricity, CHP and Heat plants - Main activity - other sources</v>
      </c>
      <c r="AW179" s="24" t="str">
        <f>IF(Transactions[[#This Row],[Level 4]]=Transactions[[#This Row],[Transaction name]],Transactions[[#This Row],[Transaction name]],IF(Transactions[[#This Row],[Level 4]]=Transactions[[#This Row],[L1N]],Transactions[[#This Row],[Transaction name]],IF(Transactions[[#This Row],[Level 4]]=Transactions[[#This Row],[L2N]],Transactions[[#This Row],[L1N]],IF(Transactions[[#This Row],[Level 4]]=Transactions[[#This Row],[L3N]],Transactions[[#This Row],[L2N]],IF(Transactions[[#This Row],[Level 4]]=Transactions[[#This Row],[L4N]],Transactions[[#This Row],[L3N]],IF(Transactions[[#This Row],[Level 4]]=Transactions[[#This Row],[L5N]],Transactions[[#This Row],[L4N]],IF(Transactions[[#This Row],[Level 4]]=Transactions[[#This Row],[L6N]],Transactions[[#This Row],[L5N]],IF(Transactions[[#This Row],[Level 4]]=Transactions[[#This Row],[L7N]],Transactions[[#This Row],[L6N]],Transactions[[#This Row],[L7N]]))))))))</f>
        <v>Electricity, CHP and Heat plants - Main activity - other sources</v>
      </c>
      <c r="AX179" s="24" t="str">
        <f>IF(Transactions[[#This Row],[Level 5]]=Transactions[[#This Row],[Transaction name]],Transactions[[#This Row],[Transaction name]],IF(Transactions[[#This Row],[Level 5]]=Transactions[[#This Row],[L1N]],Transactions[[#This Row],[Transaction name]],IF(Transactions[[#This Row],[Level 5]]=Transactions[[#This Row],[L2N]],Transactions[[#This Row],[L1N]],IF(Transactions[[#This Row],[Level 5]]=Transactions[[#This Row],[L3N]],Transactions[[#This Row],[L2N]],IF(Transactions[[#This Row],[Level 5]]=Transactions[[#This Row],[L4N]],Transactions[[#This Row],[L3N]],IF(Transactions[[#This Row],[Level 5]]=Transactions[[#This Row],[L5N]],Transactions[[#This Row],[L4N]],IF(Transactions[[#This Row],[Level 5]]=Transactions[[#This Row],[L6N]],Transactions[[#This Row],[L5N]],IF(Transactions[[#This Row],[Level 5]]=Transactions[[#This Row],[L7N]],Transactions[[#This Row],[L6N]],Transactions[[#This Row],[L7N]]))))))))</f>
        <v>Electricity, CHP and Heat plants - Main activity - other sources</v>
      </c>
      <c r="AY179" s="24" t="str">
        <f>IF(Transactions[[#This Row],[Level 6]]=Transactions[[#This Row],[Transaction name]],Transactions[[#This Row],[Transaction name]],IF(Transactions[[#This Row],[Level 6]]=Transactions[[#This Row],[L1N]],Transactions[[#This Row],[Transaction name]],IF(Transactions[[#This Row],[Level 6]]=Transactions[[#This Row],[L2N]],Transactions[[#This Row],[L1N]],IF(Transactions[[#This Row],[Level 6]]=Transactions[[#This Row],[L3N]],Transactions[[#This Row],[L2N]],IF(Transactions[[#This Row],[Level 6]]=Transactions[[#This Row],[L4N]],Transactions[[#This Row],[L3N]],IF(Transactions[[#This Row],[Level 6]]=Transactions[[#This Row],[L5N]],Transactions[[#This Row],[L4N]],IF(Transactions[[#This Row],[Level 6]]=Transactions[[#This Row],[L6N]],Transactions[[#This Row],[L5N]],IF(Transactions[[#This Row],[Level 6]]=Transactions[[#This Row],[L7N]],Transactions[[#This Row],[L6N]],Transactions[[#This Row],[L7N]]))))))))</f>
        <v>Electricity, CHP and Heat plants - Main activity - other sources</v>
      </c>
      <c r="BE179" s="26" t="str">
        <f>_xlfn.XLOOKUP(Transformation[[#This Row],[cfrom]],Commodities[Commodity],Commodities[Commodity code])</f>
        <v>4694</v>
      </c>
      <c r="BF179" s="26" t="str">
        <f>_xlfn.XLOOKUP(Transformation[[#This Row],[tfrom]],Transactions[Transaction name],Transactions[Transaction code])</f>
        <v>08811</v>
      </c>
      <c r="BG179" s="26" t="str">
        <f>_xlfn.XLOOKUP(Transformation[[#This Row],[cto]],Commodities[Commodity],Commodities[Commodity code])</f>
        <v>4694</v>
      </c>
      <c r="BH179" s="26" t="str">
        <f>_xlfn.XLOOKUP(Transformation[[#This Row],[tto]],Transactions[Transaction name],Transactions[Transaction code])</f>
        <v>015OPE</v>
      </c>
      <c r="BI179" s="11">
        <v>1</v>
      </c>
      <c r="BJ179" s="4" t="s">
        <v>353</v>
      </c>
      <c r="BK179" s="24" t="str">
        <f>_xlfn.XLOOKUP(Transformation[[#This Row],[Commodity from]],Commodities[Commodity code],Commodities[EnergyCode])</f>
        <v>PK</v>
      </c>
      <c r="BL179" s="4" t="s">
        <v>689</v>
      </c>
      <c r="BM179" s="4" t="s">
        <v>353</v>
      </c>
      <c r="BN179" s="24" t="str">
        <f>_xlfn.XLOOKUP(Transformation[[#This Row],[Commodity to]],Commodities[Commodity code],Commodities[EnergyCode])</f>
        <v>PK</v>
      </c>
      <c r="BO179" s="4" t="s">
        <v>1051</v>
      </c>
      <c r="BP179" s="16" t="s">
        <v>1493</v>
      </c>
      <c r="BQ179" s="33" t="str">
        <f>Transformation[[#This Row],[Commodity from]]&amp;Transformation[[#This Row],[Transaction from]]&amp;Transformation[[#This Row],[Commodity to]]&amp;Transformation[[#This Row],[Transaction to]]</f>
        <v>4694088114694015OPE</v>
      </c>
      <c r="BR179" s="26" t="str">
        <f>Transformation[[#This Row],[crfomid]]&amp;Transformation[[#This Row],[Transaction from]]&amp;"("&amp;Transformation[[#This Row],[Multiplier]]&amp;") -&gt; "&amp;Transformation[[#This Row],[ctoid]]&amp;Transformation[[#This Row],[Transaction to]]</f>
        <v>PK08811(1) -&gt; PK015OPE</v>
      </c>
    </row>
    <row r="180" spans="25:70" x14ac:dyDescent="0.45">
      <c r="Y180" s="5" t="s">
        <v>1294</v>
      </c>
      <c r="Z180" s="4" t="s">
        <v>1200</v>
      </c>
      <c r="AA180" s="4" t="s">
        <v>1390</v>
      </c>
      <c r="AB180" s="4" t="s">
        <v>9</v>
      </c>
      <c r="AC180" s="24" t="str">
        <f>IFERROR(VLOOKUP(Transactions[[#This Row],[Parent code]],Transactions[[Transaction code]:[Transaction name]],2,0),"")</f>
        <v>Electricity, CHP and Heat plants - Main activity</v>
      </c>
      <c r="AD180" s="4" t="s">
        <v>189</v>
      </c>
      <c r="AE180" s="4" t="s">
        <v>959</v>
      </c>
      <c r="AF180" s="4" t="s">
        <v>642</v>
      </c>
      <c r="AG180" s="4" t="s">
        <v>1</v>
      </c>
      <c r="AH180" s="4" t="s">
        <v>696</v>
      </c>
      <c r="AI180" s="12" t="s">
        <v>1416</v>
      </c>
      <c r="AJ180" s="4" t="s">
        <v>0</v>
      </c>
      <c r="AK180" s="24" t="str" cm="1">
        <f t="array" ref="AK180">IFERROR(INDEX(Transactions[[Transaction code]:[Transaction name]],_xlfn.XMATCH(Transactions[[#This Row],[Parent code]],Transactions[Transaction name],0),3),Transactions[[#This Row],[Transaction name]])</f>
        <v>Electricity, CHP and Heat plants - Main activity - peat</v>
      </c>
      <c r="AL180" s="24" t="str" cm="1">
        <f t="array" ref="AL180">IFERROR(INDEX(Transactions[[Transaction code]:[Transaction name]],_xlfn.XMATCH(INDEX(Transactions[[Transaction name]:[Parent code]],_xlfn.XMATCH(Transactions[[#This Row],[L1N]],Transactions[Transaction name],0),3),Transactions[Transaction code],0),2),Transactions[[#This Row],[L1N]])</f>
        <v>Electricity, CHP and Heat plants - Main activity</v>
      </c>
      <c r="AM180" s="24" t="str" cm="1">
        <f t="array" ref="AM180">IFERROR(INDEX(Transactions[[Transaction code]:[Transaction name]],_xlfn.XMATCH(INDEX(Transactions[[Transaction name]:[Parent code]],_xlfn.XMATCH(Transactions[[#This Row],[L2N]],Transactions[Transaction name],0),3),Transactions[Transaction code],0),2),Transactions[[#This Row],[L2N]])</f>
        <v>Production</v>
      </c>
      <c r="AN180" s="24" t="str" cm="1">
        <f t="array" ref="AN180">IFERROR(INDEX(Transactions[[Transaction code]:[Transaction name]],_xlfn.XMATCH(INDEX(Transactions[[Transaction name]:[Parent code]],_xlfn.XMATCH(Transactions[[#This Row],[L3N]],Transactions[Transaction name],0),3),Transactions[Transaction code],0),2),Transactions[[#This Row],[L3N]])</f>
        <v>Total energy supply</v>
      </c>
      <c r="AO180" s="24" t="str" cm="1">
        <f t="array" ref="AO180">IFERROR(INDEX(Transactions[[Transaction code]:[Transaction name]],_xlfn.XMATCH(INDEX(Transactions[[Transaction name]:[Parent code]],_xlfn.XMATCH(Transactions[[#This Row],[L4N]],Transactions[Transaction name],0),3),Transactions[Transaction code],0),2),Transactions[[#This Row],[L4N]])</f>
        <v>Total energy supply</v>
      </c>
      <c r="AP180" s="24" t="str" cm="1">
        <f t="array" ref="AP180">IFERROR(INDEX(Transactions[[Transaction code]:[Transaction name]],_xlfn.XMATCH(INDEX(Transactions[[Transaction name]:[Parent code]],_xlfn.XMATCH(Transactions[[#This Row],[L5N]],Transactions[Transaction name],0),3),Transactions[Transaction code],0),2),Transactions[[#This Row],[L5N]])</f>
        <v>Total energy supply</v>
      </c>
      <c r="AQ180" s="24" t="str" cm="1">
        <f t="array" ref="AQ180">IFERROR(INDEX(Transactions[[Transaction code]:[Transaction name]],_xlfn.XMATCH(INDEX(Transactions[[Transaction name]:[Parent code]],_xlfn.XMATCH(Transactions[[#This Row],[L6N]],Transactions[Transaction name],0),3),Transactions[Transaction code],0),2),Transactions[[#This Row],[L6N]])</f>
        <v>Total energy supply</v>
      </c>
      <c r="AR180" s="28" t="str">
        <f>IF(Transactions[[#This Row],[L7N]]=Transactions[[#This Row],[L6N]],Transactions[[#This Row],[L7N]],IF(Transactions[[#This Row],[L6N]]=Transactions[[#This Row],[L5N]],Transactions[[#This Row],[L6N]],IF(Transactions[[#This Row],[L5N]]=Transactions[[#This Row],[L4N]],Transactions[[#This Row],[L5N]],IF(Transactions[[#This Row],[L4N]]=Transactions[[#This Row],[L3N]],Transactions[[#This Row],[L4N]],IF(Transactions[[#This Row],[L3N]]=Transactions[[#This Row],[L2N]],Transactions[[#This Row],[L3N]],IF(Transactions[[#This Row],[L2N]]=Transactions[[#This Row],[L1N]],Transactions[[#This Row],[L2N]],IF(Transactions[[#This Row],[L1N]]=Transactions[[#This Row],[Transaction name]],Transactions[[#This Row],[L1N]],Transactions[[#This Row],[Transaction name]])))))))</f>
        <v>Total energy supply</v>
      </c>
      <c r="AS180" s="24" t="str">
        <f>IF(Transactions[[#This Row],[Level 0]]=Transactions[[#This Row],[Transaction name]],Transactions[[#This Row],[Transaction name]],IF(Transactions[[#This Row],[Level 0]]=Transactions[[#This Row],[L1N]],Transactions[[#This Row],[Transaction name]],IF(Transactions[[#This Row],[Level 0]]=Transactions[[#This Row],[L2N]],Transactions[[#This Row],[L1N]],IF(Transactions[[#This Row],[Level 0]]=Transactions[[#This Row],[L3N]],Transactions[[#This Row],[L2N]],IF(Transactions[[#This Row],[Level 0]]=Transactions[[#This Row],[L4N]],Transactions[[#This Row],[L3N]],IF(Transactions[[#This Row],[Level 0]]=Transactions[[#This Row],[L5N]],Transactions[[#This Row],[L4N]],IF(Transactions[[#This Row],[Level 0]]=Transactions[[#This Row],[L6N]],Transactions[[#This Row],[L5N]],IF(Transactions[[#This Row],[Level 0]]=Transactions[[#This Row],[L7N]],Transactions[[#This Row],[L6N]],Transactions[[#This Row],[L7N]]))))))))</f>
        <v>Production</v>
      </c>
      <c r="AT180" s="24" t="str">
        <f>IF(Transactions[[#This Row],[Level 1]]=Transactions[[#This Row],[Transaction name]],Transactions[[#This Row],[Transaction name]],IF(Transactions[[#This Row],[Level 1]]=Transactions[[#This Row],[L1N]],Transactions[[#This Row],[Transaction name]],IF(Transactions[[#This Row],[Level 1]]=Transactions[[#This Row],[L2N]],Transactions[[#This Row],[L1N]],IF(Transactions[[#This Row],[Level 1]]=Transactions[[#This Row],[L3N]],Transactions[[#This Row],[L2N]],IF(Transactions[[#This Row],[Level 1]]=Transactions[[#This Row],[L4N]],Transactions[[#This Row],[L3N]],IF(Transactions[[#This Row],[Level 1]]=Transactions[[#This Row],[L5N]],Transactions[[#This Row],[L4N]],IF(Transactions[[#This Row],[Level 1]]=Transactions[[#This Row],[L6N]],Transactions[[#This Row],[L5N]],IF(Transactions[[#This Row],[Level 1]]=Transactions[[#This Row],[L7N]],Transactions[[#This Row],[L6N]],Transactions[[#This Row],[L7N]]))))))))</f>
        <v>Electricity, CHP and Heat plants - Main activity</v>
      </c>
      <c r="AU180" s="24" t="str">
        <f>IF(Transactions[[#This Row],[Level 2]]=Transactions[[#This Row],[Transaction name]],Transactions[[#This Row],[Transaction name]],IF(Transactions[[#This Row],[Level 2]]=Transactions[[#This Row],[L1N]],Transactions[[#This Row],[Transaction name]],IF(Transactions[[#This Row],[Level 2]]=Transactions[[#This Row],[L2N]],Transactions[[#This Row],[L1N]],IF(Transactions[[#This Row],[Level 2]]=Transactions[[#This Row],[L3N]],Transactions[[#This Row],[L2N]],IF(Transactions[[#This Row],[Level 2]]=Transactions[[#This Row],[L4N]],Transactions[[#This Row],[L3N]],IF(Transactions[[#This Row],[Level 2]]=Transactions[[#This Row],[L5N]],Transactions[[#This Row],[L4N]],IF(Transactions[[#This Row],[Level 2]]=Transactions[[#This Row],[L6N]],Transactions[[#This Row],[L5N]],IF(Transactions[[#This Row],[Level 2]]=Transactions[[#This Row],[L7N]],Transactions[[#This Row],[L6N]],Transactions[[#This Row],[L7N]]))))))))</f>
        <v>Electricity, CHP and Heat plants - Main activity - peat</v>
      </c>
      <c r="AV180" s="24" t="str">
        <f>IF(Transactions[[#This Row],[Level 3]]=Transactions[[#This Row],[Transaction name]],Transactions[[#This Row],[Transaction name]],IF(Transactions[[#This Row],[Level 3]]=Transactions[[#This Row],[L1N]],Transactions[[#This Row],[Transaction name]],IF(Transactions[[#This Row],[Level 3]]=Transactions[[#This Row],[L2N]],Transactions[[#This Row],[L1N]],IF(Transactions[[#This Row],[Level 3]]=Transactions[[#This Row],[L3N]],Transactions[[#This Row],[L2N]],IF(Transactions[[#This Row],[Level 3]]=Transactions[[#This Row],[L4N]],Transactions[[#This Row],[L3N]],IF(Transactions[[#This Row],[Level 3]]=Transactions[[#This Row],[L5N]],Transactions[[#This Row],[L4N]],IF(Transactions[[#This Row],[Level 3]]=Transactions[[#This Row],[L6N]],Transactions[[#This Row],[L5N]],IF(Transactions[[#This Row],[Level 3]]=Transactions[[#This Row],[L7N]],Transactions[[#This Row],[L6N]],Transactions[[#This Row],[L7N]]))))))))</f>
        <v>Electricity, CHP and Heat plants - Main activity - peat</v>
      </c>
      <c r="AW180" s="24" t="str">
        <f>IF(Transactions[[#This Row],[Level 4]]=Transactions[[#This Row],[Transaction name]],Transactions[[#This Row],[Transaction name]],IF(Transactions[[#This Row],[Level 4]]=Transactions[[#This Row],[L1N]],Transactions[[#This Row],[Transaction name]],IF(Transactions[[#This Row],[Level 4]]=Transactions[[#This Row],[L2N]],Transactions[[#This Row],[L1N]],IF(Transactions[[#This Row],[Level 4]]=Transactions[[#This Row],[L3N]],Transactions[[#This Row],[L2N]],IF(Transactions[[#This Row],[Level 4]]=Transactions[[#This Row],[L4N]],Transactions[[#This Row],[L3N]],IF(Transactions[[#This Row],[Level 4]]=Transactions[[#This Row],[L5N]],Transactions[[#This Row],[L4N]],IF(Transactions[[#This Row],[Level 4]]=Transactions[[#This Row],[L6N]],Transactions[[#This Row],[L5N]],IF(Transactions[[#This Row],[Level 4]]=Transactions[[#This Row],[L7N]],Transactions[[#This Row],[L6N]],Transactions[[#This Row],[L7N]]))))))))</f>
        <v>Electricity, CHP and Heat plants - Main activity - peat</v>
      </c>
      <c r="AX180" s="24" t="str">
        <f>IF(Transactions[[#This Row],[Level 5]]=Transactions[[#This Row],[Transaction name]],Transactions[[#This Row],[Transaction name]],IF(Transactions[[#This Row],[Level 5]]=Transactions[[#This Row],[L1N]],Transactions[[#This Row],[Transaction name]],IF(Transactions[[#This Row],[Level 5]]=Transactions[[#This Row],[L2N]],Transactions[[#This Row],[L1N]],IF(Transactions[[#This Row],[Level 5]]=Transactions[[#This Row],[L3N]],Transactions[[#This Row],[L2N]],IF(Transactions[[#This Row],[Level 5]]=Transactions[[#This Row],[L4N]],Transactions[[#This Row],[L3N]],IF(Transactions[[#This Row],[Level 5]]=Transactions[[#This Row],[L5N]],Transactions[[#This Row],[L4N]],IF(Transactions[[#This Row],[Level 5]]=Transactions[[#This Row],[L6N]],Transactions[[#This Row],[L5N]],IF(Transactions[[#This Row],[Level 5]]=Transactions[[#This Row],[L7N]],Transactions[[#This Row],[L6N]],Transactions[[#This Row],[L7N]]))))))))</f>
        <v>Electricity, CHP and Heat plants - Main activity - peat</v>
      </c>
      <c r="AY180" s="24" t="str">
        <f>IF(Transactions[[#This Row],[Level 6]]=Transactions[[#This Row],[Transaction name]],Transactions[[#This Row],[Transaction name]],IF(Transactions[[#This Row],[Level 6]]=Transactions[[#This Row],[L1N]],Transactions[[#This Row],[Transaction name]],IF(Transactions[[#This Row],[Level 6]]=Transactions[[#This Row],[L2N]],Transactions[[#This Row],[L1N]],IF(Transactions[[#This Row],[Level 6]]=Transactions[[#This Row],[L3N]],Transactions[[#This Row],[L2N]],IF(Transactions[[#This Row],[Level 6]]=Transactions[[#This Row],[L4N]],Transactions[[#This Row],[L3N]],IF(Transactions[[#This Row],[Level 6]]=Transactions[[#This Row],[L5N]],Transactions[[#This Row],[L4N]],IF(Transactions[[#This Row],[Level 6]]=Transactions[[#This Row],[L6N]],Transactions[[#This Row],[L5N]],IF(Transactions[[#This Row],[Level 6]]=Transactions[[#This Row],[L7N]],Transactions[[#This Row],[L6N]],Transactions[[#This Row],[L7N]]))))))))</f>
        <v>Electricity, CHP and Heat plants - Main activity - peat</v>
      </c>
      <c r="BE180" s="26" t="str">
        <f>_xlfn.XLOOKUP(Transformation[[#This Row],[cfrom]],Commodities[Commodity],Commodities[Commodity code])</f>
        <v>4699</v>
      </c>
      <c r="BF180" s="26" t="str">
        <f>_xlfn.XLOOKUP(Transformation[[#This Row],[tfrom]],Transactions[Transaction name],Transactions[Transaction code])</f>
        <v>08811</v>
      </c>
      <c r="BG180" s="26" t="str">
        <f>_xlfn.XLOOKUP(Transformation[[#This Row],[cto]],Commodities[Commodity],Commodities[Commodity code])</f>
        <v>4699</v>
      </c>
      <c r="BH180" s="26" t="str">
        <f>_xlfn.XLOOKUP(Transformation[[#This Row],[tto]],Transactions[Transaction name],Transactions[Transaction code])</f>
        <v>015OPE</v>
      </c>
      <c r="BI180" s="11">
        <v>1</v>
      </c>
      <c r="BJ180" s="4" t="s">
        <v>348</v>
      </c>
      <c r="BK180" s="24" t="str">
        <f>_xlfn.XLOOKUP(Transformation[[#This Row],[Commodity from]],Commodities[Commodity code],Commodities[EnergyCode])</f>
        <v>PP</v>
      </c>
      <c r="BL180" s="4" t="s">
        <v>689</v>
      </c>
      <c r="BM180" s="4" t="s">
        <v>348</v>
      </c>
      <c r="BN180" s="24" t="str">
        <f>_xlfn.XLOOKUP(Transformation[[#This Row],[Commodity to]],Commodities[Commodity code],Commodities[EnergyCode])</f>
        <v>PP</v>
      </c>
      <c r="BO180" s="4" t="s">
        <v>1051</v>
      </c>
      <c r="BP180" s="16" t="s">
        <v>1493</v>
      </c>
      <c r="BQ180" s="33" t="str">
        <f>Transformation[[#This Row],[Commodity from]]&amp;Transformation[[#This Row],[Transaction from]]&amp;Transformation[[#This Row],[Commodity to]]&amp;Transformation[[#This Row],[Transaction to]]</f>
        <v>4699088114699015OPE</v>
      </c>
      <c r="BR180" s="26" t="str">
        <f>Transformation[[#This Row],[crfomid]]&amp;Transformation[[#This Row],[Transaction from]]&amp;"("&amp;Transformation[[#This Row],[Multiplier]]&amp;") -&gt; "&amp;Transformation[[#This Row],[ctoid]]&amp;Transformation[[#This Row],[Transaction to]]</f>
        <v>PP08811(1) -&gt; PP015OPE</v>
      </c>
    </row>
    <row r="181" spans="25:70" x14ac:dyDescent="0.45">
      <c r="Y181" s="5" t="s">
        <v>1295</v>
      </c>
      <c r="Z181" s="4" t="s">
        <v>1192</v>
      </c>
      <c r="AA181" s="4" t="s">
        <v>1386</v>
      </c>
      <c r="AB181" s="4" t="s">
        <v>9</v>
      </c>
      <c r="AC181" s="24" t="str">
        <f>IFERROR(VLOOKUP(Transactions[[#This Row],[Parent code]],Transactions[[Transaction code]:[Transaction name]],2,0),"")</f>
        <v>Electricity, CHP and Heat plants - Main activity</v>
      </c>
      <c r="AD181" s="4" t="s">
        <v>189</v>
      </c>
      <c r="AE181" s="4" t="s">
        <v>959</v>
      </c>
      <c r="AF181" s="4" t="s">
        <v>642</v>
      </c>
      <c r="AG181" s="4" t="s">
        <v>1</v>
      </c>
      <c r="AH181" s="4" t="s">
        <v>696</v>
      </c>
      <c r="AI181" s="12" t="s">
        <v>1416</v>
      </c>
      <c r="AJ181" s="4" t="s">
        <v>0</v>
      </c>
      <c r="AK181" s="24" t="str" cm="1">
        <f t="array" ref="AK181">IFERROR(INDEX(Transactions[[Transaction code]:[Transaction name]],_xlfn.XMATCH(Transactions[[#This Row],[Parent code]],Transactions[Transaction name],0),3),Transactions[[#This Row],[Transaction name]])</f>
        <v>Electricity, CHP and Heat plants - Main activity - shale</v>
      </c>
      <c r="AL181" s="24" t="str" cm="1">
        <f t="array" ref="AL181">IFERROR(INDEX(Transactions[[Transaction code]:[Transaction name]],_xlfn.XMATCH(INDEX(Transactions[[Transaction name]:[Parent code]],_xlfn.XMATCH(Transactions[[#This Row],[L1N]],Transactions[Transaction name],0),3),Transactions[Transaction code],0),2),Transactions[[#This Row],[L1N]])</f>
        <v>Electricity, CHP and Heat plants - Main activity</v>
      </c>
      <c r="AM181" s="24" t="str" cm="1">
        <f t="array" ref="AM181">IFERROR(INDEX(Transactions[[Transaction code]:[Transaction name]],_xlfn.XMATCH(INDEX(Transactions[[Transaction name]:[Parent code]],_xlfn.XMATCH(Transactions[[#This Row],[L2N]],Transactions[Transaction name],0),3),Transactions[Transaction code],0),2),Transactions[[#This Row],[L2N]])</f>
        <v>Production</v>
      </c>
      <c r="AN181" s="24" t="str" cm="1">
        <f t="array" ref="AN181">IFERROR(INDEX(Transactions[[Transaction code]:[Transaction name]],_xlfn.XMATCH(INDEX(Transactions[[Transaction name]:[Parent code]],_xlfn.XMATCH(Transactions[[#This Row],[L3N]],Transactions[Transaction name],0),3),Transactions[Transaction code],0),2),Transactions[[#This Row],[L3N]])</f>
        <v>Total energy supply</v>
      </c>
      <c r="AO181" s="24" t="str" cm="1">
        <f t="array" ref="AO181">IFERROR(INDEX(Transactions[[Transaction code]:[Transaction name]],_xlfn.XMATCH(INDEX(Transactions[[Transaction name]:[Parent code]],_xlfn.XMATCH(Transactions[[#This Row],[L4N]],Transactions[Transaction name],0),3),Transactions[Transaction code],0),2),Transactions[[#This Row],[L4N]])</f>
        <v>Total energy supply</v>
      </c>
      <c r="AP181" s="24" t="str" cm="1">
        <f t="array" ref="AP181">IFERROR(INDEX(Transactions[[Transaction code]:[Transaction name]],_xlfn.XMATCH(INDEX(Transactions[[Transaction name]:[Parent code]],_xlfn.XMATCH(Transactions[[#This Row],[L5N]],Transactions[Transaction name],0),3),Transactions[Transaction code],0),2),Transactions[[#This Row],[L5N]])</f>
        <v>Total energy supply</v>
      </c>
      <c r="AQ181" s="24" t="str" cm="1">
        <f t="array" ref="AQ181">IFERROR(INDEX(Transactions[[Transaction code]:[Transaction name]],_xlfn.XMATCH(INDEX(Transactions[[Transaction name]:[Parent code]],_xlfn.XMATCH(Transactions[[#This Row],[L6N]],Transactions[Transaction name],0),3),Transactions[Transaction code],0),2),Transactions[[#This Row],[L6N]])</f>
        <v>Total energy supply</v>
      </c>
      <c r="AR181" s="28" t="str">
        <f>IF(Transactions[[#This Row],[L7N]]=Transactions[[#This Row],[L6N]],Transactions[[#This Row],[L7N]],IF(Transactions[[#This Row],[L6N]]=Transactions[[#This Row],[L5N]],Transactions[[#This Row],[L6N]],IF(Transactions[[#This Row],[L5N]]=Transactions[[#This Row],[L4N]],Transactions[[#This Row],[L5N]],IF(Transactions[[#This Row],[L4N]]=Transactions[[#This Row],[L3N]],Transactions[[#This Row],[L4N]],IF(Transactions[[#This Row],[L3N]]=Transactions[[#This Row],[L2N]],Transactions[[#This Row],[L3N]],IF(Transactions[[#This Row],[L2N]]=Transactions[[#This Row],[L1N]],Transactions[[#This Row],[L2N]],IF(Transactions[[#This Row],[L1N]]=Transactions[[#This Row],[Transaction name]],Transactions[[#This Row],[L1N]],Transactions[[#This Row],[Transaction name]])))))))</f>
        <v>Total energy supply</v>
      </c>
      <c r="AS181" s="24" t="str">
        <f>IF(Transactions[[#This Row],[Level 0]]=Transactions[[#This Row],[Transaction name]],Transactions[[#This Row],[Transaction name]],IF(Transactions[[#This Row],[Level 0]]=Transactions[[#This Row],[L1N]],Transactions[[#This Row],[Transaction name]],IF(Transactions[[#This Row],[Level 0]]=Transactions[[#This Row],[L2N]],Transactions[[#This Row],[L1N]],IF(Transactions[[#This Row],[Level 0]]=Transactions[[#This Row],[L3N]],Transactions[[#This Row],[L2N]],IF(Transactions[[#This Row],[Level 0]]=Transactions[[#This Row],[L4N]],Transactions[[#This Row],[L3N]],IF(Transactions[[#This Row],[Level 0]]=Transactions[[#This Row],[L5N]],Transactions[[#This Row],[L4N]],IF(Transactions[[#This Row],[Level 0]]=Transactions[[#This Row],[L6N]],Transactions[[#This Row],[L5N]],IF(Transactions[[#This Row],[Level 0]]=Transactions[[#This Row],[L7N]],Transactions[[#This Row],[L6N]],Transactions[[#This Row],[L7N]]))))))))</f>
        <v>Production</v>
      </c>
      <c r="AT181" s="24" t="str">
        <f>IF(Transactions[[#This Row],[Level 1]]=Transactions[[#This Row],[Transaction name]],Transactions[[#This Row],[Transaction name]],IF(Transactions[[#This Row],[Level 1]]=Transactions[[#This Row],[L1N]],Transactions[[#This Row],[Transaction name]],IF(Transactions[[#This Row],[Level 1]]=Transactions[[#This Row],[L2N]],Transactions[[#This Row],[L1N]],IF(Transactions[[#This Row],[Level 1]]=Transactions[[#This Row],[L3N]],Transactions[[#This Row],[L2N]],IF(Transactions[[#This Row],[Level 1]]=Transactions[[#This Row],[L4N]],Transactions[[#This Row],[L3N]],IF(Transactions[[#This Row],[Level 1]]=Transactions[[#This Row],[L5N]],Transactions[[#This Row],[L4N]],IF(Transactions[[#This Row],[Level 1]]=Transactions[[#This Row],[L6N]],Transactions[[#This Row],[L5N]],IF(Transactions[[#This Row],[Level 1]]=Transactions[[#This Row],[L7N]],Transactions[[#This Row],[L6N]],Transactions[[#This Row],[L7N]]))))))))</f>
        <v>Electricity, CHP and Heat plants - Main activity</v>
      </c>
      <c r="AU181" s="24" t="str">
        <f>IF(Transactions[[#This Row],[Level 2]]=Transactions[[#This Row],[Transaction name]],Transactions[[#This Row],[Transaction name]],IF(Transactions[[#This Row],[Level 2]]=Transactions[[#This Row],[L1N]],Transactions[[#This Row],[Transaction name]],IF(Transactions[[#This Row],[Level 2]]=Transactions[[#This Row],[L2N]],Transactions[[#This Row],[L1N]],IF(Transactions[[#This Row],[Level 2]]=Transactions[[#This Row],[L3N]],Transactions[[#This Row],[L2N]],IF(Transactions[[#This Row],[Level 2]]=Transactions[[#This Row],[L4N]],Transactions[[#This Row],[L3N]],IF(Transactions[[#This Row],[Level 2]]=Transactions[[#This Row],[L5N]],Transactions[[#This Row],[L4N]],IF(Transactions[[#This Row],[Level 2]]=Transactions[[#This Row],[L6N]],Transactions[[#This Row],[L5N]],IF(Transactions[[#This Row],[Level 2]]=Transactions[[#This Row],[L7N]],Transactions[[#This Row],[L6N]],Transactions[[#This Row],[L7N]]))))))))</f>
        <v>Electricity, CHP and Heat plants - Main activity - shale</v>
      </c>
      <c r="AV181" s="24" t="str">
        <f>IF(Transactions[[#This Row],[Level 3]]=Transactions[[#This Row],[Transaction name]],Transactions[[#This Row],[Transaction name]],IF(Transactions[[#This Row],[Level 3]]=Transactions[[#This Row],[L1N]],Transactions[[#This Row],[Transaction name]],IF(Transactions[[#This Row],[Level 3]]=Transactions[[#This Row],[L2N]],Transactions[[#This Row],[L1N]],IF(Transactions[[#This Row],[Level 3]]=Transactions[[#This Row],[L3N]],Transactions[[#This Row],[L2N]],IF(Transactions[[#This Row],[Level 3]]=Transactions[[#This Row],[L4N]],Transactions[[#This Row],[L3N]],IF(Transactions[[#This Row],[Level 3]]=Transactions[[#This Row],[L5N]],Transactions[[#This Row],[L4N]],IF(Transactions[[#This Row],[Level 3]]=Transactions[[#This Row],[L6N]],Transactions[[#This Row],[L5N]],IF(Transactions[[#This Row],[Level 3]]=Transactions[[#This Row],[L7N]],Transactions[[#This Row],[L6N]],Transactions[[#This Row],[L7N]]))))))))</f>
        <v>Electricity, CHP and Heat plants - Main activity - shale</v>
      </c>
      <c r="AW181" s="24" t="str">
        <f>IF(Transactions[[#This Row],[Level 4]]=Transactions[[#This Row],[Transaction name]],Transactions[[#This Row],[Transaction name]],IF(Transactions[[#This Row],[Level 4]]=Transactions[[#This Row],[L1N]],Transactions[[#This Row],[Transaction name]],IF(Transactions[[#This Row],[Level 4]]=Transactions[[#This Row],[L2N]],Transactions[[#This Row],[L1N]],IF(Transactions[[#This Row],[Level 4]]=Transactions[[#This Row],[L3N]],Transactions[[#This Row],[L2N]],IF(Transactions[[#This Row],[Level 4]]=Transactions[[#This Row],[L4N]],Transactions[[#This Row],[L3N]],IF(Transactions[[#This Row],[Level 4]]=Transactions[[#This Row],[L5N]],Transactions[[#This Row],[L4N]],IF(Transactions[[#This Row],[Level 4]]=Transactions[[#This Row],[L6N]],Transactions[[#This Row],[L5N]],IF(Transactions[[#This Row],[Level 4]]=Transactions[[#This Row],[L7N]],Transactions[[#This Row],[L6N]],Transactions[[#This Row],[L7N]]))))))))</f>
        <v>Electricity, CHP and Heat plants - Main activity - shale</v>
      </c>
      <c r="AX181" s="24" t="str">
        <f>IF(Transactions[[#This Row],[Level 5]]=Transactions[[#This Row],[Transaction name]],Transactions[[#This Row],[Transaction name]],IF(Transactions[[#This Row],[Level 5]]=Transactions[[#This Row],[L1N]],Transactions[[#This Row],[Transaction name]],IF(Transactions[[#This Row],[Level 5]]=Transactions[[#This Row],[L2N]],Transactions[[#This Row],[L1N]],IF(Transactions[[#This Row],[Level 5]]=Transactions[[#This Row],[L3N]],Transactions[[#This Row],[L2N]],IF(Transactions[[#This Row],[Level 5]]=Transactions[[#This Row],[L4N]],Transactions[[#This Row],[L3N]],IF(Transactions[[#This Row],[Level 5]]=Transactions[[#This Row],[L5N]],Transactions[[#This Row],[L4N]],IF(Transactions[[#This Row],[Level 5]]=Transactions[[#This Row],[L6N]],Transactions[[#This Row],[L5N]],IF(Transactions[[#This Row],[Level 5]]=Transactions[[#This Row],[L7N]],Transactions[[#This Row],[L6N]],Transactions[[#This Row],[L7N]]))))))))</f>
        <v>Electricity, CHP and Heat plants - Main activity - shale</v>
      </c>
      <c r="AY181" s="24" t="str">
        <f>IF(Transactions[[#This Row],[Level 6]]=Transactions[[#This Row],[Transaction name]],Transactions[[#This Row],[Transaction name]],IF(Transactions[[#This Row],[Level 6]]=Transactions[[#This Row],[L1N]],Transactions[[#This Row],[Transaction name]],IF(Transactions[[#This Row],[Level 6]]=Transactions[[#This Row],[L2N]],Transactions[[#This Row],[L1N]],IF(Transactions[[#This Row],[Level 6]]=Transactions[[#This Row],[L3N]],Transactions[[#This Row],[L2N]],IF(Transactions[[#This Row],[Level 6]]=Transactions[[#This Row],[L4N]],Transactions[[#This Row],[L3N]],IF(Transactions[[#This Row],[Level 6]]=Transactions[[#This Row],[L5N]],Transactions[[#This Row],[L4N]],IF(Transactions[[#This Row],[Level 6]]=Transactions[[#This Row],[L6N]],Transactions[[#This Row],[L5N]],IF(Transactions[[#This Row],[Level 6]]=Transactions[[#This Row],[L7N]],Transactions[[#This Row],[L6N]],Transactions[[#This Row],[L7N]]))))))))</f>
        <v>Electricity, CHP and Heat plants - Main activity - shale</v>
      </c>
      <c r="BE181" s="26" t="str">
        <f>_xlfn.XLOOKUP(Transformation[[#This Row],[cfrom]],Commodities[Commodity],Commodities[Commodity code])</f>
        <v>1100</v>
      </c>
      <c r="BF181" s="26" t="str">
        <f>_xlfn.XLOOKUP(Transformation[[#This Row],[tfrom]],Transactions[Transaction name],Transactions[Transaction code])</f>
        <v>08811</v>
      </c>
      <c r="BG181" s="26" t="str">
        <f>_xlfn.XLOOKUP(Transformation[[#This Row],[cto]],Commodities[Commodity],Commodities[Commodity code])</f>
        <v>1100</v>
      </c>
      <c r="BH181" s="26" t="str">
        <f>_xlfn.XLOOKUP(Transformation[[#This Row],[tto]],Transactions[Transaction name],Transactions[Transaction code])</f>
        <v>015PTE</v>
      </c>
      <c r="BI181" s="11">
        <v>1</v>
      </c>
      <c r="BJ181" s="4" t="s">
        <v>459</v>
      </c>
      <c r="BK181" s="24" t="str">
        <f>_xlfn.XLOOKUP(Transformation[[#This Row],[Commodity from]],Commodities[Commodity code],Commodities[EnergyCode])</f>
        <v>PT</v>
      </c>
      <c r="BL181" s="4" t="s">
        <v>689</v>
      </c>
      <c r="BM181" s="4" t="s">
        <v>459</v>
      </c>
      <c r="BN181" s="24" t="str">
        <f>_xlfn.XLOOKUP(Transformation[[#This Row],[Commodity to]],Commodities[Commodity code],Commodities[EnergyCode])</f>
        <v>PT</v>
      </c>
      <c r="BO181" s="4" t="s">
        <v>1202</v>
      </c>
      <c r="BP181" s="16" t="s">
        <v>1493</v>
      </c>
      <c r="BQ181" s="33" t="str">
        <f>Transformation[[#This Row],[Commodity from]]&amp;Transformation[[#This Row],[Transaction from]]&amp;Transformation[[#This Row],[Commodity to]]&amp;Transformation[[#This Row],[Transaction to]]</f>
        <v>1100088111100015PTE</v>
      </c>
      <c r="BR181" s="26" t="str">
        <f>Transformation[[#This Row],[crfomid]]&amp;Transformation[[#This Row],[Transaction from]]&amp;"("&amp;Transformation[[#This Row],[Multiplier]]&amp;") -&gt; "&amp;Transformation[[#This Row],[ctoid]]&amp;Transformation[[#This Row],[Transaction to]]</f>
        <v>PT08811(1) -&gt; PT015PTE</v>
      </c>
    </row>
    <row r="182" spans="25:70" x14ac:dyDescent="0.45">
      <c r="Y182" s="5" t="s">
        <v>293</v>
      </c>
      <c r="Z182" s="4" t="s">
        <v>665</v>
      </c>
      <c r="AA182" s="4" t="s">
        <v>1328</v>
      </c>
      <c r="AB182" s="4" t="s">
        <v>9</v>
      </c>
      <c r="AC182" s="24" t="str">
        <f>IFERROR(VLOOKUP(Transactions[[#This Row],[Parent code]],Transactions[[Transaction code]:[Transaction name]],2,0),"")</f>
        <v>Electricity, CHP and Heat plants - Main activity</v>
      </c>
      <c r="AD182" s="4" t="s">
        <v>189</v>
      </c>
      <c r="AE182" s="4" t="s">
        <v>959</v>
      </c>
      <c r="AF182" s="4" t="s">
        <v>642</v>
      </c>
      <c r="AG182" s="4" t="s">
        <v>1</v>
      </c>
      <c r="AH182" s="4" t="s">
        <v>696</v>
      </c>
      <c r="AJ182" s="4" t="s">
        <v>0</v>
      </c>
      <c r="AK182" s="24" t="str" cm="1">
        <f t="array" ref="AK182">IFERROR(INDEX(Transactions[[Transaction code]:[Transaction name]],_xlfn.XMATCH(Transactions[[#This Row],[Parent code]],Transactions[Transaction name],0),3),Transactions[[#This Row],[Transaction name]])</f>
        <v>Electricity, CHP and Heat plants - Main activity - Solar</v>
      </c>
      <c r="AL182" s="24" t="str" cm="1">
        <f t="array" ref="AL182">IFERROR(INDEX(Transactions[[Transaction code]:[Transaction name]],_xlfn.XMATCH(INDEX(Transactions[[Transaction name]:[Parent code]],_xlfn.XMATCH(Transactions[[#This Row],[L1N]],Transactions[Transaction name],0),3),Transactions[Transaction code],0),2),Transactions[[#This Row],[L1N]])</f>
        <v>Electricity, CHP and Heat plants - Main activity</v>
      </c>
      <c r="AM182" s="24" t="str" cm="1">
        <f t="array" ref="AM182">IFERROR(INDEX(Transactions[[Transaction code]:[Transaction name]],_xlfn.XMATCH(INDEX(Transactions[[Transaction name]:[Parent code]],_xlfn.XMATCH(Transactions[[#This Row],[L2N]],Transactions[Transaction name],0),3),Transactions[Transaction code],0),2),Transactions[[#This Row],[L2N]])</f>
        <v>Production</v>
      </c>
      <c r="AN182" s="24" t="str" cm="1">
        <f t="array" ref="AN182">IFERROR(INDEX(Transactions[[Transaction code]:[Transaction name]],_xlfn.XMATCH(INDEX(Transactions[[Transaction name]:[Parent code]],_xlfn.XMATCH(Transactions[[#This Row],[L3N]],Transactions[Transaction name],0),3),Transactions[Transaction code],0),2),Transactions[[#This Row],[L3N]])</f>
        <v>Total energy supply</v>
      </c>
      <c r="AO182" s="24" t="str" cm="1">
        <f t="array" ref="AO182">IFERROR(INDEX(Transactions[[Transaction code]:[Transaction name]],_xlfn.XMATCH(INDEX(Transactions[[Transaction name]:[Parent code]],_xlfn.XMATCH(Transactions[[#This Row],[L4N]],Transactions[Transaction name],0),3),Transactions[Transaction code],0),2),Transactions[[#This Row],[L4N]])</f>
        <v>Total energy supply</v>
      </c>
      <c r="AP182" s="24" t="str" cm="1">
        <f t="array" ref="AP182">IFERROR(INDEX(Transactions[[Transaction code]:[Transaction name]],_xlfn.XMATCH(INDEX(Transactions[[Transaction name]:[Parent code]],_xlfn.XMATCH(Transactions[[#This Row],[L5N]],Transactions[Transaction name],0),3),Transactions[Transaction code],0),2),Transactions[[#This Row],[L5N]])</f>
        <v>Total energy supply</v>
      </c>
      <c r="AQ182" s="24" t="str" cm="1">
        <f t="array" ref="AQ182">IFERROR(INDEX(Transactions[[Transaction code]:[Transaction name]],_xlfn.XMATCH(INDEX(Transactions[[Transaction name]:[Parent code]],_xlfn.XMATCH(Transactions[[#This Row],[L6N]],Transactions[Transaction name],0),3),Transactions[Transaction code],0),2),Transactions[[#This Row],[L6N]])</f>
        <v>Total energy supply</v>
      </c>
      <c r="AR182" s="28" t="str">
        <f>IF(Transactions[[#This Row],[L7N]]=Transactions[[#This Row],[L6N]],Transactions[[#This Row],[L7N]],IF(Transactions[[#This Row],[L6N]]=Transactions[[#This Row],[L5N]],Transactions[[#This Row],[L6N]],IF(Transactions[[#This Row],[L5N]]=Transactions[[#This Row],[L4N]],Transactions[[#This Row],[L5N]],IF(Transactions[[#This Row],[L4N]]=Transactions[[#This Row],[L3N]],Transactions[[#This Row],[L4N]],IF(Transactions[[#This Row],[L3N]]=Transactions[[#This Row],[L2N]],Transactions[[#This Row],[L3N]],IF(Transactions[[#This Row],[L2N]]=Transactions[[#This Row],[L1N]],Transactions[[#This Row],[L2N]],IF(Transactions[[#This Row],[L1N]]=Transactions[[#This Row],[Transaction name]],Transactions[[#This Row],[L1N]],Transactions[[#This Row],[Transaction name]])))))))</f>
        <v>Total energy supply</v>
      </c>
      <c r="AS182" s="24" t="str">
        <f>IF(Transactions[[#This Row],[Level 0]]=Transactions[[#This Row],[Transaction name]],Transactions[[#This Row],[Transaction name]],IF(Transactions[[#This Row],[Level 0]]=Transactions[[#This Row],[L1N]],Transactions[[#This Row],[Transaction name]],IF(Transactions[[#This Row],[Level 0]]=Transactions[[#This Row],[L2N]],Transactions[[#This Row],[L1N]],IF(Transactions[[#This Row],[Level 0]]=Transactions[[#This Row],[L3N]],Transactions[[#This Row],[L2N]],IF(Transactions[[#This Row],[Level 0]]=Transactions[[#This Row],[L4N]],Transactions[[#This Row],[L3N]],IF(Transactions[[#This Row],[Level 0]]=Transactions[[#This Row],[L5N]],Transactions[[#This Row],[L4N]],IF(Transactions[[#This Row],[Level 0]]=Transactions[[#This Row],[L6N]],Transactions[[#This Row],[L5N]],IF(Transactions[[#This Row],[Level 0]]=Transactions[[#This Row],[L7N]],Transactions[[#This Row],[L6N]],Transactions[[#This Row],[L7N]]))))))))</f>
        <v>Production</v>
      </c>
      <c r="AT182" s="24" t="str">
        <f>IF(Transactions[[#This Row],[Level 1]]=Transactions[[#This Row],[Transaction name]],Transactions[[#This Row],[Transaction name]],IF(Transactions[[#This Row],[Level 1]]=Transactions[[#This Row],[L1N]],Transactions[[#This Row],[Transaction name]],IF(Transactions[[#This Row],[Level 1]]=Transactions[[#This Row],[L2N]],Transactions[[#This Row],[L1N]],IF(Transactions[[#This Row],[Level 1]]=Transactions[[#This Row],[L3N]],Transactions[[#This Row],[L2N]],IF(Transactions[[#This Row],[Level 1]]=Transactions[[#This Row],[L4N]],Transactions[[#This Row],[L3N]],IF(Transactions[[#This Row],[Level 1]]=Transactions[[#This Row],[L5N]],Transactions[[#This Row],[L4N]],IF(Transactions[[#This Row],[Level 1]]=Transactions[[#This Row],[L6N]],Transactions[[#This Row],[L5N]],IF(Transactions[[#This Row],[Level 1]]=Transactions[[#This Row],[L7N]],Transactions[[#This Row],[L6N]],Transactions[[#This Row],[L7N]]))))))))</f>
        <v>Electricity, CHP and Heat plants - Main activity</v>
      </c>
      <c r="AU182" s="24" t="str">
        <f>IF(Transactions[[#This Row],[Level 2]]=Transactions[[#This Row],[Transaction name]],Transactions[[#This Row],[Transaction name]],IF(Transactions[[#This Row],[Level 2]]=Transactions[[#This Row],[L1N]],Transactions[[#This Row],[Transaction name]],IF(Transactions[[#This Row],[Level 2]]=Transactions[[#This Row],[L2N]],Transactions[[#This Row],[L1N]],IF(Transactions[[#This Row],[Level 2]]=Transactions[[#This Row],[L3N]],Transactions[[#This Row],[L2N]],IF(Transactions[[#This Row],[Level 2]]=Transactions[[#This Row],[L4N]],Transactions[[#This Row],[L3N]],IF(Transactions[[#This Row],[Level 2]]=Transactions[[#This Row],[L5N]],Transactions[[#This Row],[L4N]],IF(Transactions[[#This Row],[Level 2]]=Transactions[[#This Row],[L6N]],Transactions[[#This Row],[L5N]],IF(Transactions[[#This Row],[Level 2]]=Transactions[[#This Row],[L7N]],Transactions[[#This Row],[L6N]],Transactions[[#This Row],[L7N]]))))))))</f>
        <v>Electricity, CHP and Heat plants - Main activity - Solar</v>
      </c>
      <c r="AV182" s="24" t="str">
        <f>IF(Transactions[[#This Row],[Level 3]]=Transactions[[#This Row],[Transaction name]],Transactions[[#This Row],[Transaction name]],IF(Transactions[[#This Row],[Level 3]]=Transactions[[#This Row],[L1N]],Transactions[[#This Row],[Transaction name]],IF(Transactions[[#This Row],[Level 3]]=Transactions[[#This Row],[L2N]],Transactions[[#This Row],[L1N]],IF(Transactions[[#This Row],[Level 3]]=Transactions[[#This Row],[L3N]],Transactions[[#This Row],[L2N]],IF(Transactions[[#This Row],[Level 3]]=Transactions[[#This Row],[L4N]],Transactions[[#This Row],[L3N]],IF(Transactions[[#This Row],[Level 3]]=Transactions[[#This Row],[L5N]],Transactions[[#This Row],[L4N]],IF(Transactions[[#This Row],[Level 3]]=Transactions[[#This Row],[L6N]],Transactions[[#This Row],[L5N]],IF(Transactions[[#This Row],[Level 3]]=Transactions[[#This Row],[L7N]],Transactions[[#This Row],[L6N]],Transactions[[#This Row],[L7N]]))))))))</f>
        <v>Electricity, CHP and Heat plants - Main activity - Solar</v>
      </c>
      <c r="AW182" s="24" t="str">
        <f>IF(Transactions[[#This Row],[Level 4]]=Transactions[[#This Row],[Transaction name]],Transactions[[#This Row],[Transaction name]],IF(Transactions[[#This Row],[Level 4]]=Transactions[[#This Row],[L1N]],Transactions[[#This Row],[Transaction name]],IF(Transactions[[#This Row],[Level 4]]=Transactions[[#This Row],[L2N]],Transactions[[#This Row],[L1N]],IF(Transactions[[#This Row],[Level 4]]=Transactions[[#This Row],[L3N]],Transactions[[#This Row],[L2N]],IF(Transactions[[#This Row],[Level 4]]=Transactions[[#This Row],[L4N]],Transactions[[#This Row],[L3N]],IF(Transactions[[#This Row],[Level 4]]=Transactions[[#This Row],[L5N]],Transactions[[#This Row],[L4N]],IF(Transactions[[#This Row],[Level 4]]=Transactions[[#This Row],[L6N]],Transactions[[#This Row],[L5N]],IF(Transactions[[#This Row],[Level 4]]=Transactions[[#This Row],[L7N]],Transactions[[#This Row],[L6N]],Transactions[[#This Row],[L7N]]))))))))</f>
        <v>Electricity, CHP and Heat plants - Main activity - Solar</v>
      </c>
      <c r="AX182" s="24" t="str">
        <f>IF(Transactions[[#This Row],[Level 5]]=Transactions[[#This Row],[Transaction name]],Transactions[[#This Row],[Transaction name]],IF(Transactions[[#This Row],[Level 5]]=Transactions[[#This Row],[L1N]],Transactions[[#This Row],[Transaction name]],IF(Transactions[[#This Row],[Level 5]]=Transactions[[#This Row],[L2N]],Transactions[[#This Row],[L1N]],IF(Transactions[[#This Row],[Level 5]]=Transactions[[#This Row],[L3N]],Transactions[[#This Row],[L2N]],IF(Transactions[[#This Row],[Level 5]]=Transactions[[#This Row],[L4N]],Transactions[[#This Row],[L3N]],IF(Transactions[[#This Row],[Level 5]]=Transactions[[#This Row],[L5N]],Transactions[[#This Row],[L4N]],IF(Transactions[[#This Row],[Level 5]]=Transactions[[#This Row],[L6N]],Transactions[[#This Row],[L5N]],IF(Transactions[[#This Row],[Level 5]]=Transactions[[#This Row],[L7N]],Transactions[[#This Row],[L6N]],Transactions[[#This Row],[L7N]]))))))))</f>
        <v>Electricity, CHP and Heat plants - Main activity - Solar</v>
      </c>
      <c r="AY182" s="24" t="str">
        <f>IF(Transactions[[#This Row],[Level 6]]=Transactions[[#This Row],[Transaction name]],Transactions[[#This Row],[Transaction name]],IF(Transactions[[#This Row],[Level 6]]=Transactions[[#This Row],[L1N]],Transactions[[#This Row],[Transaction name]],IF(Transactions[[#This Row],[Level 6]]=Transactions[[#This Row],[L2N]],Transactions[[#This Row],[L1N]],IF(Transactions[[#This Row],[Level 6]]=Transactions[[#This Row],[L3N]],Transactions[[#This Row],[L2N]],IF(Transactions[[#This Row],[Level 6]]=Transactions[[#This Row],[L4N]],Transactions[[#This Row],[L3N]],IF(Transactions[[#This Row],[Level 6]]=Transactions[[#This Row],[L5N]],Transactions[[#This Row],[L4N]],IF(Transactions[[#This Row],[Level 6]]=Transactions[[#This Row],[L6N]],Transactions[[#This Row],[L5N]],IF(Transactions[[#This Row],[Level 6]]=Transactions[[#This Row],[L7N]],Transactions[[#This Row],[L6N]],Transactions[[#This Row],[L7N]]))))))))</f>
        <v>Electricity, CHP and Heat plants - Main activity - Solar</v>
      </c>
      <c r="BE182" s="26" t="str">
        <f>_xlfn.XLOOKUP(Transformation[[#This Row],[cfrom]],Commodities[Commodity],Commodities[Commodity code])</f>
        <v>5140</v>
      </c>
      <c r="BF182" s="26" t="str">
        <f>_xlfn.XLOOKUP(Transformation[[#This Row],[tfrom]],Transactions[Transaction name],Transactions[Transaction code])</f>
        <v>08811</v>
      </c>
      <c r="BG182" s="26" t="str">
        <f>_xlfn.XLOOKUP(Transformation[[#This Row],[cto]],Commodities[Commodity],Commodities[Commodity code])</f>
        <v>5140</v>
      </c>
      <c r="BH182" s="26" t="str">
        <f>_xlfn.XLOOKUP(Transformation[[#This Row],[tto]],Transactions[Transaction name],Transactions[Transaction code])</f>
        <v>015BSE</v>
      </c>
      <c r="BI182" s="11">
        <v>1</v>
      </c>
      <c r="BJ182" s="4" t="s">
        <v>330</v>
      </c>
      <c r="BK182" s="24" t="str">
        <f>_xlfn.XLOOKUP(Transformation[[#This Row],[Commodity from]],Commodities[Commodity code],Commodities[EnergyCode])</f>
        <v>PU</v>
      </c>
      <c r="BL182" s="4" t="s">
        <v>689</v>
      </c>
      <c r="BM182" s="4" t="s">
        <v>330</v>
      </c>
      <c r="BN182" s="24" t="str">
        <f>_xlfn.XLOOKUP(Transformation[[#This Row],[Commodity to]],Commodities[Commodity code],Commodities[EnergyCode])</f>
        <v>PU</v>
      </c>
      <c r="BO182" s="4" t="s">
        <v>1123</v>
      </c>
      <c r="BP182" s="16" t="s">
        <v>1493</v>
      </c>
      <c r="BQ182" s="33" t="str">
        <f>Transformation[[#This Row],[Commodity from]]&amp;Transformation[[#This Row],[Transaction from]]&amp;Transformation[[#This Row],[Commodity to]]&amp;Transformation[[#This Row],[Transaction to]]</f>
        <v>5140088115140015BSE</v>
      </c>
      <c r="BR182" s="26" t="str">
        <f>Transformation[[#This Row],[crfomid]]&amp;Transformation[[#This Row],[Transaction from]]&amp;"("&amp;Transformation[[#This Row],[Multiplier]]&amp;") -&gt; "&amp;Transformation[[#This Row],[ctoid]]&amp;Transformation[[#This Row],[Transaction to]]</f>
        <v>PU08811(1) -&gt; PU015BSE</v>
      </c>
    </row>
    <row r="183" spans="25:70" x14ac:dyDescent="0.45">
      <c r="Y183" s="5" t="s">
        <v>1305</v>
      </c>
      <c r="Z183" s="4" t="s">
        <v>1297</v>
      </c>
      <c r="AA183" s="4" t="s">
        <v>1406</v>
      </c>
      <c r="AB183" s="4" t="s">
        <v>9</v>
      </c>
      <c r="AC183" s="24" t="str">
        <f>IFERROR(VLOOKUP(Transactions[[#This Row],[Parent code]],Transactions[[Transaction code]:[Transaction name]],2,0),"")</f>
        <v>Electricity, CHP and Heat plants - Main activity</v>
      </c>
      <c r="AD183" s="4" t="s">
        <v>189</v>
      </c>
      <c r="AE183" s="4" t="s">
        <v>959</v>
      </c>
      <c r="AF183" s="4" t="s">
        <v>642</v>
      </c>
      <c r="AG183" s="4" t="s">
        <v>1</v>
      </c>
      <c r="AH183" s="4" t="s">
        <v>696</v>
      </c>
      <c r="AJ183" s="4" t="s">
        <v>0</v>
      </c>
      <c r="AK183" s="24" t="str" cm="1">
        <f t="array" ref="AK183">IFERROR(INDEX(Transactions[[Transaction code]:[Transaction name]],_xlfn.XMATCH(Transactions[[#This Row],[Parent code]],Transactions[Transaction name],0),3),Transactions[[#This Row],[Transaction name]])</f>
        <v>Electricity, CHP and Heat plants - Main activity - Solar CSP</v>
      </c>
      <c r="AL183" s="24" t="str" cm="1">
        <f t="array" ref="AL183">IFERROR(INDEX(Transactions[[Transaction code]:[Transaction name]],_xlfn.XMATCH(INDEX(Transactions[[Transaction name]:[Parent code]],_xlfn.XMATCH(Transactions[[#This Row],[L1N]],Transactions[Transaction name],0),3),Transactions[Transaction code],0),2),Transactions[[#This Row],[L1N]])</f>
        <v>Electricity, CHP and Heat plants - Main activity</v>
      </c>
      <c r="AM183" s="24" t="str" cm="1">
        <f t="array" ref="AM183">IFERROR(INDEX(Transactions[[Transaction code]:[Transaction name]],_xlfn.XMATCH(INDEX(Transactions[[Transaction name]:[Parent code]],_xlfn.XMATCH(Transactions[[#This Row],[L2N]],Transactions[Transaction name],0),3),Transactions[Transaction code],0),2),Transactions[[#This Row],[L2N]])</f>
        <v>Production</v>
      </c>
      <c r="AN183" s="24" t="str" cm="1">
        <f t="array" ref="AN183">IFERROR(INDEX(Transactions[[Transaction code]:[Transaction name]],_xlfn.XMATCH(INDEX(Transactions[[Transaction name]:[Parent code]],_xlfn.XMATCH(Transactions[[#This Row],[L3N]],Transactions[Transaction name],0),3),Transactions[Transaction code],0),2),Transactions[[#This Row],[L3N]])</f>
        <v>Total energy supply</v>
      </c>
      <c r="AO183" s="24" t="str" cm="1">
        <f t="array" ref="AO183">IFERROR(INDEX(Transactions[[Transaction code]:[Transaction name]],_xlfn.XMATCH(INDEX(Transactions[[Transaction name]:[Parent code]],_xlfn.XMATCH(Transactions[[#This Row],[L4N]],Transactions[Transaction name],0),3),Transactions[Transaction code],0),2),Transactions[[#This Row],[L4N]])</f>
        <v>Total energy supply</v>
      </c>
      <c r="AP183" s="24" t="str" cm="1">
        <f t="array" ref="AP183">IFERROR(INDEX(Transactions[[Transaction code]:[Transaction name]],_xlfn.XMATCH(INDEX(Transactions[[Transaction name]:[Parent code]],_xlfn.XMATCH(Transactions[[#This Row],[L5N]],Transactions[Transaction name],0),3),Transactions[Transaction code],0),2),Transactions[[#This Row],[L5N]])</f>
        <v>Total energy supply</v>
      </c>
      <c r="AQ183" s="24" t="str" cm="1">
        <f t="array" ref="AQ183">IFERROR(INDEX(Transactions[[Transaction code]:[Transaction name]],_xlfn.XMATCH(INDEX(Transactions[[Transaction name]:[Parent code]],_xlfn.XMATCH(Transactions[[#This Row],[L6N]],Transactions[Transaction name],0),3),Transactions[Transaction code],0),2),Transactions[[#This Row],[L6N]])</f>
        <v>Total energy supply</v>
      </c>
      <c r="AR183" s="28" t="str">
        <f>IF(Transactions[[#This Row],[L7N]]=Transactions[[#This Row],[L6N]],Transactions[[#This Row],[L7N]],IF(Transactions[[#This Row],[L6N]]=Transactions[[#This Row],[L5N]],Transactions[[#This Row],[L6N]],IF(Transactions[[#This Row],[L5N]]=Transactions[[#This Row],[L4N]],Transactions[[#This Row],[L5N]],IF(Transactions[[#This Row],[L4N]]=Transactions[[#This Row],[L3N]],Transactions[[#This Row],[L4N]],IF(Transactions[[#This Row],[L3N]]=Transactions[[#This Row],[L2N]],Transactions[[#This Row],[L3N]],IF(Transactions[[#This Row],[L2N]]=Transactions[[#This Row],[L1N]],Transactions[[#This Row],[L2N]],IF(Transactions[[#This Row],[L1N]]=Transactions[[#This Row],[Transaction name]],Transactions[[#This Row],[L1N]],Transactions[[#This Row],[Transaction name]])))))))</f>
        <v>Total energy supply</v>
      </c>
      <c r="AS183" s="24" t="str">
        <f>IF(Transactions[[#This Row],[Level 0]]=Transactions[[#This Row],[Transaction name]],Transactions[[#This Row],[Transaction name]],IF(Transactions[[#This Row],[Level 0]]=Transactions[[#This Row],[L1N]],Transactions[[#This Row],[Transaction name]],IF(Transactions[[#This Row],[Level 0]]=Transactions[[#This Row],[L2N]],Transactions[[#This Row],[L1N]],IF(Transactions[[#This Row],[Level 0]]=Transactions[[#This Row],[L3N]],Transactions[[#This Row],[L2N]],IF(Transactions[[#This Row],[Level 0]]=Transactions[[#This Row],[L4N]],Transactions[[#This Row],[L3N]],IF(Transactions[[#This Row],[Level 0]]=Transactions[[#This Row],[L5N]],Transactions[[#This Row],[L4N]],IF(Transactions[[#This Row],[Level 0]]=Transactions[[#This Row],[L6N]],Transactions[[#This Row],[L5N]],IF(Transactions[[#This Row],[Level 0]]=Transactions[[#This Row],[L7N]],Transactions[[#This Row],[L6N]],Transactions[[#This Row],[L7N]]))))))))</f>
        <v>Production</v>
      </c>
      <c r="AT183" s="24" t="str">
        <f>IF(Transactions[[#This Row],[Level 1]]=Transactions[[#This Row],[Transaction name]],Transactions[[#This Row],[Transaction name]],IF(Transactions[[#This Row],[Level 1]]=Transactions[[#This Row],[L1N]],Transactions[[#This Row],[Transaction name]],IF(Transactions[[#This Row],[Level 1]]=Transactions[[#This Row],[L2N]],Transactions[[#This Row],[L1N]],IF(Transactions[[#This Row],[Level 1]]=Transactions[[#This Row],[L3N]],Transactions[[#This Row],[L2N]],IF(Transactions[[#This Row],[Level 1]]=Transactions[[#This Row],[L4N]],Transactions[[#This Row],[L3N]],IF(Transactions[[#This Row],[Level 1]]=Transactions[[#This Row],[L5N]],Transactions[[#This Row],[L4N]],IF(Transactions[[#This Row],[Level 1]]=Transactions[[#This Row],[L6N]],Transactions[[#This Row],[L5N]],IF(Transactions[[#This Row],[Level 1]]=Transactions[[#This Row],[L7N]],Transactions[[#This Row],[L6N]],Transactions[[#This Row],[L7N]]))))))))</f>
        <v>Electricity, CHP and Heat plants - Main activity</v>
      </c>
      <c r="AU183" s="24" t="str">
        <f>IF(Transactions[[#This Row],[Level 2]]=Transactions[[#This Row],[Transaction name]],Transactions[[#This Row],[Transaction name]],IF(Transactions[[#This Row],[Level 2]]=Transactions[[#This Row],[L1N]],Transactions[[#This Row],[Transaction name]],IF(Transactions[[#This Row],[Level 2]]=Transactions[[#This Row],[L2N]],Transactions[[#This Row],[L1N]],IF(Transactions[[#This Row],[Level 2]]=Transactions[[#This Row],[L3N]],Transactions[[#This Row],[L2N]],IF(Transactions[[#This Row],[Level 2]]=Transactions[[#This Row],[L4N]],Transactions[[#This Row],[L3N]],IF(Transactions[[#This Row],[Level 2]]=Transactions[[#This Row],[L5N]],Transactions[[#This Row],[L4N]],IF(Transactions[[#This Row],[Level 2]]=Transactions[[#This Row],[L6N]],Transactions[[#This Row],[L5N]],IF(Transactions[[#This Row],[Level 2]]=Transactions[[#This Row],[L7N]],Transactions[[#This Row],[L6N]],Transactions[[#This Row],[L7N]]))))))))</f>
        <v>Electricity, CHP and Heat plants - Main activity - Solar CSP</v>
      </c>
      <c r="AV183" s="24" t="str">
        <f>IF(Transactions[[#This Row],[Level 3]]=Transactions[[#This Row],[Transaction name]],Transactions[[#This Row],[Transaction name]],IF(Transactions[[#This Row],[Level 3]]=Transactions[[#This Row],[L1N]],Transactions[[#This Row],[Transaction name]],IF(Transactions[[#This Row],[Level 3]]=Transactions[[#This Row],[L2N]],Transactions[[#This Row],[L1N]],IF(Transactions[[#This Row],[Level 3]]=Transactions[[#This Row],[L3N]],Transactions[[#This Row],[L2N]],IF(Transactions[[#This Row],[Level 3]]=Transactions[[#This Row],[L4N]],Transactions[[#This Row],[L3N]],IF(Transactions[[#This Row],[Level 3]]=Transactions[[#This Row],[L5N]],Transactions[[#This Row],[L4N]],IF(Transactions[[#This Row],[Level 3]]=Transactions[[#This Row],[L6N]],Transactions[[#This Row],[L5N]],IF(Transactions[[#This Row],[Level 3]]=Transactions[[#This Row],[L7N]],Transactions[[#This Row],[L6N]],Transactions[[#This Row],[L7N]]))))))))</f>
        <v>Electricity, CHP and Heat plants - Main activity - Solar CSP</v>
      </c>
      <c r="AW183" s="24" t="str">
        <f>IF(Transactions[[#This Row],[Level 4]]=Transactions[[#This Row],[Transaction name]],Transactions[[#This Row],[Transaction name]],IF(Transactions[[#This Row],[Level 4]]=Transactions[[#This Row],[L1N]],Transactions[[#This Row],[Transaction name]],IF(Transactions[[#This Row],[Level 4]]=Transactions[[#This Row],[L2N]],Transactions[[#This Row],[L1N]],IF(Transactions[[#This Row],[Level 4]]=Transactions[[#This Row],[L3N]],Transactions[[#This Row],[L2N]],IF(Transactions[[#This Row],[Level 4]]=Transactions[[#This Row],[L4N]],Transactions[[#This Row],[L3N]],IF(Transactions[[#This Row],[Level 4]]=Transactions[[#This Row],[L5N]],Transactions[[#This Row],[L4N]],IF(Transactions[[#This Row],[Level 4]]=Transactions[[#This Row],[L6N]],Transactions[[#This Row],[L5N]],IF(Transactions[[#This Row],[Level 4]]=Transactions[[#This Row],[L7N]],Transactions[[#This Row],[L6N]],Transactions[[#This Row],[L7N]]))))))))</f>
        <v>Electricity, CHP and Heat plants - Main activity - Solar CSP</v>
      </c>
      <c r="AX183" s="24" t="str">
        <f>IF(Transactions[[#This Row],[Level 5]]=Transactions[[#This Row],[Transaction name]],Transactions[[#This Row],[Transaction name]],IF(Transactions[[#This Row],[Level 5]]=Transactions[[#This Row],[L1N]],Transactions[[#This Row],[Transaction name]],IF(Transactions[[#This Row],[Level 5]]=Transactions[[#This Row],[L2N]],Transactions[[#This Row],[L1N]],IF(Transactions[[#This Row],[Level 5]]=Transactions[[#This Row],[L3N]],Transactions[[#This Row],[L2N]],IF(Transactions[[#This Row],[Level 5]]=Transactions[[#This Row],[L4N]],Transactions[[#This Row],[L3N]],IF(Transactions[[#This Row],[Level 5]]=Transactions[[#This Row],[L5N]],Transactions[[#This Row],[L4N]],IF(Transactions[[#This Row],[Level 5]]=Transactions[[#This Row],[L6N]],Transactions[[#This Row],[L5N]],IF(Transactions[[#This Row],[Level 5]]=Transactions[[#This Row],[L7N]],Transactions[[#This Row],[L6N]],Transactions[[#This Row],[L7N]]))))))))</f>
        <v>Electricity, CHP and Heat plants - Main activity - Solar CSP</v>
      </c>
      <c r="AY183" s="24" t="str">
        <f>IF(Transactions[[#This Row],[Level 6]]=Transactions[[#This Row],[Transaction name]],Transactions[[#This Row],[Transaction name]],IF(Transactions[[#This Row],[Level 6]]=Transactions[[#This Row],[L1N]],Transactions[[#This Row],[Transaction name]],IF(Transactions[[#This Row],[Level 6]]=Transactions[[#This Row],[L2N]],Transactions[[#This Row],[L1N]],IF(Transactions[[#This Row],[Level 6]]=Transactions[[#This Row],[L3N]],Transactions[[#This Row],[L2N]],IF(Transactions[[#This Row],[Level 6]]=Transactions[[#This Row],[L4N]],Transactions[[#This Row],[L3N]],IF(Transactions[[#This Row],[Level 6]]=Transactions[[#This Row],[L5N]],Transactions[[#This Row],[L4N]],IF(Transactions[[#This Row],[Level 6]]=Transactions[[#This Row],[L6N]],Transactions[[#This Row],[L5N]],IF(Transactions[[#This Row],[Level 6]]=Transactions[[#This Row],[L7N]],Transactions[[#This Row],[L6N]],Transactions[[#This Row],[L7N]]))))))))</f>
        <v>Electricity, CHP and Heat plants - Main activity - Solar CSP</v>
      </c>
      <c r="BE183" s="26" t="str">
        <f>_xlfn.XLOOKUP(Transformation[[#This Row],[cfrom]],Commodities[Commodity],Commodities[Commodity code])</f>
        <v>4680</v>
      </c>
      <c r="BF183" s="26" t="str">
        <f>_xlfn.XLOOKUP(Transformation[[#This Row],[tfrom]],Transactions[Transaction name],Transactions[Transaction code])</f>
        <v>08811</v>
      </c>
      <c r="BG183" s="26" t="str">
        <f>_xlfn.XLOOKUP(Transformation[[#This Row],[cto]],Commodities[Commodity],Commodities[Commodity code])</f>
        <v>4680</v>
      </c>
      <c r="BH183" s="26" t="str">
        <f>_xlfn.XLOOKUP(Transformation[[#This Row],[tto]],Transactions[Transaction name],Transactions[Transaction code])</f>
        <v>015FOE</v>
      </c>
      <c r="BI183" s="11">
        <v>1</v>
      </c>
      <c r="BJ183" s="4" t="s">
        <v>368</v>
      </c>
      <c r="BK183" s="24" t="str">
        <f>_xlfn.XLOOKUP(Transformation[[#This Row],[Commodity from]],Commodities[Commodity code],Commodities[EnergyCode])</f>
        <v>RF</v>
      </c>
      <c r="BL183" s="4" t="s">
        <v>689</v>
      </c>
      <c r="BM183" s="4" t="s">
        <v>368</v>
      </c>
      <c r="BN183" s="24" t="str">
        <f>_xlfn.XLOOKUP(Transformation[[#This Row],[Commodity to]],Commodities[Commodity code],Commodities[EnergyCode])</f>
        <v>RF</v>
      </c>
      <c r="BO183" s="4" t="s">
        <v>1027</v>
      </c>
      <c r="BP183" s="16" t="s">
        <v>1493</v>
      </c>
      <c r="BQ183" s="33" t="str">
        <f>Transformation[[#This Row],[Commodity from]]&amp;Transformation[[#This Row],[Transaction from]]&amp;Transformation[[#This Row],[Commodity to]]&amp;Transformation[[#This Row],[Transaction to]]</f>
        <v>4680088114680015FOE</v>
      </c>
      <c r="BR183" s="26" t="str">
        <f>Transformation[[#This Row],[crfomid]]&amp;Transformation[[#This Row],[Transaction from]]&amp;"("&amp;Transformation[[#This Row],[Multiplier]]&amp;") -&gt; "&amp;Transformation[[#This Row],[ctoid]]&amp;Transformation[[#This Row],[Transaction to]]</f>
        <v>RF08811(1) -&gt; RF015FOE</v>
      </c>
    </row>
    <row r="184" spans="25:70" x14ac:dyDescent="0.45">
      <c r="Y184" s="5" t="s">
        <v>1293</v>
      </c>
      <c r="Z184" s="4" t="s">
        <v>1208</v>
      </c>
      <c r="AA184" s="4" t="s">
        <v>1394</v>
      </c>
      <c r="AB184" s="4" t="s">
        <v>9</v>
      </c>
      <c r="AC184" s="24" t="str">
        <f>IFERROR(VLOOKUP(Transactions[[#This Row],[Parent code]],Transactions[[Transaction code]:[Transaction name]],2,0),"")</f>
        <v>Electricity, CHP and Heat plants - Main activity</v>
      </c>
      <c r="AD184" s="4" t="s">
        <v>189</v>
      </c>
      <c r="AE184" s="4" t="s">
        <v>959</v>
      </c>
      <c r="AF184" s="4" t="s">
        <v>642</v>
      </c>
      <c r="AG184" s="4" t="s">
        <v>1</v>
      </c>
      <c r="AH184" s="4" t="s">
        <v>696</v>
      </c>
      <c r="AI184" s="12" t="s">
        <v>1416</v>
      </c>
      <c r="AJ184" s="4" t="s">
        <v>0</v>
      </c>
      <c r="AK184" s="24" t="str" cm="1">
        <f t="array" ref="AK184">IFERROR(INDEX(Transactions[[Transaction code]:[Transaction name]],_xlfn.XMATCH(Transactions[[#This Row],[Parent code]],Transactions[Transaction name],0),3),Transactions[[#This Row],[Transaction name]])</f>
        <v>Electricity, CHP and Heat plants - Main activity - solid coal products</v>
      </c>
      <c r="AL184" s="24" t="str" cm="1">
        <f t="array" ref="AL184">IFERROR(INDEX(Transactions[[Transaction code]:[Transaction name]],_xlfn.XMATCH(INDEX(Transactions[[Transaction name]:[Parent code]],_xlfn.XMATCH(Transactions[[#This Row],[L1N]],Transactions[Transaction name],0),3),Transactions[Transaction code],0),2),Transactions[[#This Row],[L1N]])</f>
        <v>Electricity, CHP and Heat plants - Main activity</v>
      </c>
      <c r="AM184" s="24" t="str" cm="1">
        <f t="array" ref="AM184">IFERROR(INDEX(Transactions[[Transaction code]:[Transaction name]],_xlfn.XMATCH(INDEX(Transactions[[Transaction name]:[Parent code]],_xlfn.XMATCH(Transactions[[#This Row],[L2N]],Transactions[Transaction name],0),3),Transactions[Transaction code],0),2),Transactions[[#This Row],[L2N]])</f>
        <v>Production</v>
      </c>
      <c r="AN184" s="24" t="str" cm="1">
        <f t="array" ref="AN184">IFERROR(INDEX(Transactions[[Transaction code]:[Transaction name]],_xlfn.XMATCH(INDEX(Transactions[[Transaction name]:[Parent code]],_xlfn.XMATCH(Transactions[[#This Row],[L3N]],Transactions[Transaction name],0),3),Transactions[Transaction code],0),2),Transactions[[#This Row],[L3N]])</f>
        <v>Total energy supply</v>
      </c>
      <c r="AO184" s="24" t="str" cm="1">
        <f t="array" ref="AO184">IFERROR(INDEX(Transactions[[Transaction code]:[Transaction name]],_xlfn.XMATCH(INDEX(Transactions[[Transaction name]:[Parent code]],_xlfn.XMATCH(Transactions[[#This Row],[L4N]],Transactions[Transaction name],0),3),Transactions[Transaction code],0),2),Transactions[[#This Row],[L4N]])</f>
        <v>Total energy supply</v>
      </c>
      <c r="AP184" s="24" t="str" cm="1">
        <f t="array" ref="AP184">IFERROR(INDEX(Transactions[[Transaction code]:[Transaction name]],_xlfn.XMATCH(INDEX(Transactions[[Transaction name]:[Parent code]],_xlfn.XMATCH(Transactions[[#This Row],[L5N]],Transactions[Transaction name],0),3),Transactions[Transaction code],0),2),Transactions[[#This Row],[L5N]])</f>
        <v>Total energy supply</v>
      </c>
      <c r="AQ184" s="24" t="str" cm="1">
        <f t="array" ref="AQ184">IFERROR(INDEX(Transactions[[Transaction code]:[Transaction name]],_xlfn.XMATCH(INDEX(Transactions[[Transaction name]:[Parent code]],_xlfn.XMATCH(Transactions[[#This Row],[L6N]],Transactions[Transaction name],0),3),Transactions[Transaction code],0),2),Transactions[[#This Row],[L6N]])</f>
        <v>Total energy supply</v>
      </c>
      <c r="AR184" s="28" t="str">
        <f>IF(Transactions[[#This Row],[L7N]]=Transactions[[#This Row],[L6N]],Transactions[[#This Row],[L7N]],IF(Transactions[[#This Row],[L6N]]=Transactions[[#This Row],[L5N]],Transactions[[#This Row],[L6N]],IF(Transactions[[#This Row],[L5N]]=Transactions[[#This Row],[L4N]],Transactions[[#This Row],[L5N]],IF(Transactions[[#This Row],[L4N]]=Transactions[[#This Row],[L3N]],Transactions[[#This Row],[L4N]],IF(Transactions[[#This Row],[L3N]]=Transactions[[#This Row],[L2N]],Transactions[[#This Row],[L3N]],IF(Transactions[[#This Row],[L2N]]=Transactions[[#This Row],[L1N]],Transactions[[#This Row],[L2N]],IF(Transactions[[#This Row],[L1N]]=Transactions[[#This Row],[Transaction name]],Transactions[[#This Row],[L1N]],Transactions[[#This Row],[Transaction name]])))))))</f>
        <v>Total energy supply</v>
      </c>
      <c r="AS184" s="24" t="str">
        <f>IF(Transactions[[#This Row],[Level 0]]=Transactions[[#This Row],[Transaction name]],Transactions[[#This Row],[Transaction name]],IF(Transactions[[#This Row],[Level 0]]=Transactions[[#This Row],[L1N]],Transactions[[#This Row],[Transaction name]],IF(Transactions[[#This Row],[Level 0]]=Transactions[[#This Row],[L2N]],Transactions[[#This Row],[L1N]],IF(Transactions[[#This Row],[Level 0]]=Transactions[[#This Row],[L3N]],Transactions[[#This Row],[L2N]],IF(Transactions[[#This Row],[Level 0]]=Transactions[[#This Row],[L4N]],Transactions[[#This Row],[L3N]],IF(Transactions[[#This Row],[Level 0]]=Transactions[[#This Row],[L5N]],Transactions[[#This Row],[L4N]],IF(Transactions[[#This Row],[Level 0]]=Transactions[[#This Row],[L6N]],Transactions[[#This Row],[L5N]],IF(Transactions[[#This Row],[Level 0]]=Transactions[[#This Row],[L7N]],Transactions[[#This Row],[L6N]],Transactions[[#This Row],[L7N]]))))))))</f>
        <v>Production</v>
      </c>
      <c r="AT184" s="24" t="str">
        <f>IF(Transactions[[#This Row],[Level 1]]=Transactions[[#This Row],[Transaction name]],Transactions[[#This Row],[Transaction name]],IF(Transactions[[#This Row],[Level 1]]=Transactions[[#This Row],[L1N]],Transactions[[#This Row],[Transaction name]],IF(Transactions[[#This Row],[Level 1]]=Transactions[[#This Row],[L2N]],Transactions[[#This Row],[L1N]],IF(Transactions[[#This Row],[Level 1]]=Transactions[[#This Row],[L3N]],Transactions[[#This Row],[L2N]],IF(Transactions[[#This Row],[Level 1]]=Transactions[[#This Row],[L4N]],Transactions[[#This Row],[L3N]],IF(Transactions[[#This Row],[Level 1]]=Transactions[[#This Row],[L5N]],Transactions[[#This Row],[L4N]],IF(Transactions[[#This Row],[Level 1]]=Transactions[[#This Row],[L6N]],Transactions[[#This Row],[L5N]],IF(Transactions[[#This Row],[Level 1]]=Transactions[[#This Row],[L7N]],Transactions[[#This Row],[L6N]],Transactions[[#This Row],[L7N]]))))))))</f>
        <v>Electricity, CHP and Heat plants - Main activity</v>
      </c>
      <c r="AU184" s="24" t="str">
        <f>IF(Transactions[[#This Row],[Level 2]]=Transactions[[#This Row],[Transaction name]],Transactions[[#This Row],[Transaction name]],IF(Transactions[[#This Row],[Level 2]]=Transactions[[#This Row],[L1N]],Transactions[[#This Row],[Transaction name]],IF(Transactions[[#This Row],[Level 2]]=Transactions[[#This Row],[L2N]],Transactions[[#This Row],[L1N]],IF(Transactions[[#This Row],[Level 2]]=Transactions[[#This Row],[L3N]],Transactions[[#This Row],[L2N]],IF(Transactions[[#This Row],[Level 2]]=Transactions[[#This Row],[L4N]],Transactions[[#This Row],[L3N]],IF(Transactions[[#This Row],[Level 2]]=Transactions[[#This Row],[L5N]],Transactions[[#This Row],[L4N]],IF(Transactions[[#This Row],[Level 2]]=Transactions[[#This Row],[L6N]],Transactions[[#This Row],[L5N]],IF(Transactions[[#This Row],[Level 2]]=Transactions[[#This Row],[L7N]],Transactions[[#This Row],[L6N]],Transactions[[#This Row],[L7N]]))))))))</f>
        <v>Electricity, CHP and Heat plants - Main activity - solid coal products</v>
      </c>
      <c r="AV184" s="24" t="str">
        <f>IF(Transactions[[#This Row],[Level 3]]=Transactions[[#This Row],[Transaction name]],Transactions[[#This Row],[Transaction name]],IF(Transactions[[#This Row],[Level 3]]=Transactions[[#This Row],[L1N]],Transactions[[#This Row],[Transaction name]],IF(Transactions[[#This Row],[Level 3]]=Transactions[[#This Row],[L2N]],Transactions[[#This Row],[L1N]],IF(Transactions[[#This Row],[Level 3]]=Transactions[[#This Row],[L3N]],Transactions[[#This Row],[L2N]],IF(Transactions[[#This Row],[Level 3]]=Transactions[[#This Row],[L4N]],Transactions[[#This Row],[L3N]],IF(Transactions[[#This Row],[Level 3]]=Transactions[[#This Row],[L5N]],Transactions[[#This Row],[L4N]],IF(Transactions[[#This Row],[Level 3]]=Transactions[[#This Row],[L6N]],Transactions[[#This Row],[L5N]],IF(Transactions[[#This Row],[Level 3]]=Transactions[[#This Row],[L7N]],Transactions[[#This Row],[L6N]],Transactions[[#This Row],[L7N]]))))))))</f>
        <v>Electricity, CHP and Heat plants - Main activity - solid coal products</v>
      </c>
      <c r="AW184" s="24" t="str">
        <f>IF(Transactions[[#This Row],[Level 4]]=Transactions[[#This Row],[Transaction name]],Transactions[[#This Row],[Transaction name]],IF(Transactions[[#This Row],[Level 4]]=Transactions[[#This Row],[L1N]],Transactions[[#This Row],[Transaction name]],IF(Transactions[[#This Row],[Level 4]]=Transactions[[#This Row],[L2N]],Transactions[[#This Row],[L1N]],IF(Transactions[[#This Row],[Level 4]]=Transactions[[#This Row],[L3N]],Transactions[[#This Row],[L2N]],IF(Transactions[[#This Row],[Level 4]]=Transactions[[#This Row],[L4N]],Transactions[[#This Row],[L3N]],IF(Transactions[[#This Row],[Level 4]]=Transactions[[#This Row],[L5N]],Transactions[[#This Row],[L4N]],IF(Transactions[[#This Row],[Level 4]]=Transactions[[#This Row],[L6N]],Transactions[[#This Row],[L5N]],IF(Transactions[[#This Row],[Level 4]]=Transactions[[#This Row],[L7N]],Transactions[[#This Row],[L6N]],Transactions[[#This Row],[L7N]]))))))))</f>
        <v>Electricity, CHP and Heat plants - Main activity - solid coal products</v>
      </c>
      <c r="AX184" s="24" t="str">
        <f>IF(Transactions[[#This Row],[Level 5]]=Transactions[[#This Row],[Transaction name]],Transactions[[#This Row],[Transaction name]],IF(Transactions[[#This Row],[Level 5]]=Transactions[[#This Row],[L1N]],Transactions[[#This Row],[Transaction name]],IF(Transactions[[#This Row],[Level 5]]=Transactions[[#This Row],[L2N]],Transactions[[#This Row],[L1N]],IF(Transactions[[#This Row],[Level 5]]=Transactions[[#This Row],[L3N]],Transactions[[#This Row],[L2N]],IF(Transactions[[#This Row],[Level 5]]=Transactions[[#This Row],[L4N]],Transactions[[#This Row],[L3N]],IF(Transactions[[#This Row],[Level 5]]=Transactions[[#This Row],[L5N]],Transactions[[#This Row],[L4N]],IF(Transactions[[#This Row],[Level 5]]=Transactions[[#This Row],[L6N]],Transactions[[#This Row],[L5N]],IF(Transactions[[#This Row],[Level 5]]=Transactions[[#This Row],[L7N]],Transactions[[#This Row],[L6N]],Transactions[[#This Row],[L7N]]))))))))</f>
        <v>Electricity, CHP and Heat plants - Main activity - solid coal products</v>
      </c>
      <c r="AY184" s="24" t="str">
        <f>IF(Transactions[[#This Row],[Level 6]]=Transactions[[#This Row],[Transaction name]],Transactions[[#This Row],[Transaction name]],IF(Transactions[[#This Row],[Level 6]]=Transactions[[#This Row],[L1N]],Transactions[[#This Row],[Transaction name]],IF(Transactions[[#This Row],[Level 6]]=Transactions[[#This Row],[L2N]],Transactions[[#This Row],[L1N]],IF(Transactions[[#This Row],[Level 6]]=Transactions[[#This Row],[L3N]],Transactions[[#This Row],[L2N]],IF(Transactions[[#This Row],[Level 6]]=Transactions[[#This Row],[L4N]],Transactions[[#This Row],[L3N]],IF(Transactions[[#This Row],[Level 6]]=Transactions[[#This Row],[L5N]],Transactions[[#This Row],[L4N]],IF(Transactions[[#This Row],[Level 6]]=Transactions[[#This Row],[L6N]],Transactions[[#This Row],[L5N]],IF(Transactions[[#This Row],[Level 6]]=Transactions[[#This Row],[L7N]],Transactions[[#This Row],[L6N]],Transactions[[#This Row],[L7N]]))))))))</f>
        <v>Electricity, CHP and Heat plants - Main activity - solid coal products</v>
      </c>
      <c r="BE184" s="26" t="str">
        <f>_xlfn.XLOOKUP(Transformation[[#This Row],[cfrom]],Commodities[Commodity],Commodities[Commodity code])</f>
        <v>4610</v>
      </c>
      <c r="BF184" s="26" t="str">
        <f>_xlfn.XLOOKUP(Transformation[[#This Row],[tfrom]],Transactions[Transaction name],Transactions[Transaction code])</f>
        <v>08811</v>
      </c>
      <c r="BG184" s="26" t="str">
        <f>_xlfn.XLOOKUP(Transformation[[#This Row],[cto]],Commodities[Commodity],Commodities[Commodity code])</f>
        <v>4610</v>
      </c>
      <c r="BH184" s="26" t="str">
        <f>_xlfn.XLOOKUP(Transformation[[#This Row],[tto]],Transactions[Transaction name],Transactions[Transaction code])</f>
        <v>015OPE</v>
      </c>
      <c r="BI184" s="11">
        <v>1</v>
      </c>
      <c r="BJ184" s="4" t="s">
        <v>416</v>
      </c>
      <c r="BK184" s="24" t="str">
        <f>_xlfn.XLOOKUP(Transformation[[#This Row],[Commodity from]],Commodities[Commodity code],Commodities[EnergyCode])</f>
        <v>RG</v>
      </c>
      <c r="BL184" s="4" t="s">
        <v>689</v>
      </c>
      <c r="BM184" s="4" t="s">
        <v>416</v>
      </c>
      <c r="BN184" s="24" t="str">
        <f>_xlfn.XLOOKUP(Transformation[[#This Row],[Commodity to]],Commodities[Commodity code],Commodities[EnergyCode])</f>
        <v>RG</v>
      </c>
      <c r="BO184" s="4" t="s">
        <v>1051</v>
      </c>
      <c r="BP184" s="16" t="s">
        <v>1493</v>
      </c>
      <c r="BQ184" s="33" t="str">
        <f>Transformation[[#This Row],[Commodity from]]&amp;Transformation[[#This Row],[Transaction from]]&amp;Transformation[[#This Row],[Commodity to]]&amp;Transformation[[#This Row],[Transaction to]]</f>
        <v>4610088114610015OPE</v>
      </c>
      <c r="BR184" s="26" t="str">
        <f>Transformation[[#This Row],[crfomid]]&amp;Transformation[[#This Row],[Transaction from]]&amp;"("&amp;Transformation[[#This Row],[Multiplier]]&amp;") -&gt; "&amp;Transformation[[#This Row],[ctoid]]&amp;Transformation[[#This Row],[Transaction to]]</f>
        <v>RG08811(1) -&gt; RG015OPE</v>
      </c>
    </row>
    <row r="185" spans="25:70" x14ac:dyDescent="0.45">
      <c r="Y185" s="5" t="s">
        <v>1105</v>
      </c>
      <c r="Z185" s="4" t="s">
        <v>1113</v>
      </c>
      <c r="AA185" s="4" t="s">
        <v>1358</v>
      </c>
      <c r="AB185" s="4" t="s">
        <v>9</v>
      </c>
      <c r="AC185" s="24" t="str">
        <f>IFERROR(VLOOKUP(Transactions[[#This Row],[Parent code]],Transactions[[Transaction code]:[Transaction name]],2,0),"")</f>
        <v>Electricity, CHP and Heat plants - Main activity</v>
      </c>
      <c r="AD185" s="4" t="s">
        <v>189</v>
      </c>
      <c r="AE185" s="4" t="s">
        <v>959</v>
      </c>
      <c r="AF185" s="4" t="s">
        <v>642</v>
      </c>
      <c r="AG185" s="4" t="s">
        <v>1</v>
      </c>
      <c r="AH185" s="4" t="s">
        <v>696</v>
      </c>
      <c r="AI185" s="12" t="s">
        <v>1416</v>
      </c>
      <c r="AJ185" s="4" t="s">
        <v>0</v>
      </c>
      <c r="AK185" s="24" t="str" cm="1">
        <f t="array" ref="AK185">IFERROR(INDEX(Transactions[[Transaction code]:[Transaction name]],_xlfn.XMATCH(Transactions[[#This Row],[Parent code]],Transactions[Transaction name],0),3),Transactions[[#This Row],[Transaction name]])</f>
        <v>Electricity, CHP and Heat plants - Main activity - wood</v>
      </c>
      <c r="AL185" s="24" t="str" cm="1">
        <f t="array" ref="AL185">IFERROR(INDEX(Transactions[[Transaction code]:[Transaction name]],_xlfn.XMATCH(INDEX(Transactions[[Transaction name]:[Parent code]],_xlfn.XMATCH(Transactions[[#This Row],[L1N]],Transactions[Transaction name],0),3),Transactions[Transaction code],0),2),Transactions[[#This Row],[L1N]])</f>
        <v>Electricity, CHP and Heat plants - Main activity</v>
      </c>
      <c r="AM185" s="24" t="str" cm="1">
        <f t="array" ref="AM185">IFERROR(INDEX(Transactions[[Transaction code]:[Transaction name]],_xlfn.XMATCH(INDEX(Transactions[[Transaction name]:[Parent code]],_xlfn.XMATCH(Transactions[[#This Row],[L2N]],Transactions[Transaction name],0),3),Transactions[Transaction code],0),2),Transactions[[#This Row],[L2N]])</f>
        <v>Production</v>
      </c>
      <c r="AN185" s="24" t="str" cm="1">
        <f t="array" ref="AN185">IFERROR(INDEX(Transactions[[Transaction code]:[Transaction name]],_xlfn.XMATCH(INDEX(Transactions[[Transaction name]:[Parent code]],_xlfn.XMATCH(Transactions[[#This Row],[L3N]],Transactions[Transaction name],0),3),Transactions[Transaction code],0),2),Transactions[[#This Row],[L3N]])</f>
        <v>Total energy supply</v>
      </c>
      <c r="AO185" s="24" t="str" cm="1">
        <f t="array" ref="AO185">IFERROR(INDEX(Transactions[[Transaction code]:[Transaction name]],_xlfn.XMATCH(INDEX(Transactions[[Transaction name]:[Parent code]],_xlfn.XMATCH(Transactions[[#This Row],[L4N]],Transactions[Transaction name],0),3),Transactions[Transaction code],0),2),Transactions[[#This Row],[L4N]])</f>
        <v>Total energy supply</v>
      </c>
      <c r="AP185" s="24" t="str" cm="1">
        <f t="array" ref="AP185">IFERROR(INDEX(Transactions[[Transaction code]:[Transaction name]],_xlfn.XMATCH(INDEX(Transactions[[Transaction name]:[Parent code]],_xlfn.XMATCH(Transactions[[#This Row],[L5N]],Transactions[Transaction name],0),3),Transactions[Transaction code],0),2),Transactions[[#This Row],[L5N]])</f>
        <v>Total energy supply</v>
      </c>
      <c r="AQ185" s="24" t="str" cm="1">
        <f t="array" ref="AQ185">IFERROR(INDEX(Transactions[[Transaction code]:[Transaction name]],_xlfn.XMATCH(INDEX(Transactions[[Transaction name]:[Parent code]],_xlfn.XMATCH(Transactions[[#This Row],[L6N]],Transactions[Transaction name],0),3),Transactions[Transaction code],0),2),Transactions[[#This Row],[L6N]])</f>
        <v>Total energy supply</v>
      </c>
      <c r="AR185" s="28" t="str">
        <f>IF(Transactions[[#This Row],[L7N]]=Transactions[[#This Row],[L6N]],Transactions[[#This Row],[L7N]],IF(Transactions[[#This Row],[L6N]]=Transactions[[#This Row],[L5N]],Transactions[[#This Row],[L6N]],IF(Transactions[[#This Row],[L5N]]=Transactions[[#This Row],[L4N]],Transactions[[#This Row],[L5N]],IF(Transactions[[#This Row],[L4N]]=Transactions[[#This Row],[L3N]],Transactions[[#This Row],[L4N]],IF(Transactions[[#This Row],[L3N]]=Transactions[[#This Row],[L2N]],Transactions[[#This Row],[L3N]],IF(Transactions[[#This Row],[L2N]]=Transactions[[#This Row],[L1N]],Transactions[[#This Row],[L2N]],IF(Transactions[[#This Row],[L1N]]=Transactions[[#This Row],[Transaction name]],Transactions[[#This Row],[L1N]],Transactions[[#This Row],[Transaction name]])))))))</f>
        <v>Total energy supply</v>
      </c>
      <c r="AS185" s="24" t="str">
        <f>IF(Transactions[[#This Row],[Level 0]]=Transactions[[#This Row],[Transaction name]],Transactions[[#This Row],[Transaction name]],IF(Transactions[[#This Row],[Level 0]]=Transactions[[#This Row],[L1N]],Transactions[[#This Row],[Transaction name]],IF(Transactions[[#This Row],[Level 0]]=Transactions[[#This Row],[L2N]],Transactions[[#This Row],[L1N]],IF(Transactions[[#This Row],[Level 0]]=Transactions[[#This Row],[L3N]],Transactions[[#This Row],[L2N]],IF(Transactions[[#This Row],[Level 0]]=Transactions[[#This Row],[L4N]],Transactions[[#This Row],[L3N]],IF(Transactions[[#This Row],[Level 0]]=Transactions[[#This Row],[L5N]],Transactions[[#This Row],[L4N]],IF(Transactions[[#This Row],[Level 0]]=Transactions[[#This Row],[L6N]],Transactions[[#This Row],[L5N]],IF(Transactions[[#This Row],[Level 0]]=Transactions[[#This Row],[L7N]],Transactions[[#This Row],[L6N]],Transactions[[#This Row],[L7N]]))))))))</f>
        <v>Production</v>
      </c>
      <c r="AT185" s="24" t="str">
        <f>IF(Transactions[[#This Row],[Level 1]]=Transactions[[#This Row],[Transaction name]],Transactions[[#This Row],[Transaction name]],IF(Transactions[[#This Row],[Level 1]]=Transactions[[#This Row],[L1N]],Transactions[[#This Row],[Transaction name]],IF(Transactions[[#This Row],[Level 1]]=Transactions[[#This Row],[L2N]],Transactions[[#This Row],[L1N]],IF(Transactions[[#This Row],[Level 1]]=Transactions[[#This Row],[L3N]],Transactions[[#This Row],[L2N]],IF(Transactions[[#This Row],[Level 1]]=Transactions[[#This Row],[L4N]],Transactions[[#This Row],[L3N]],IF(Transactions[[#This Row],[Level 1]]=Transactions[[#This Row],[L5N]],Transactions[[#This Row],[L4N]],IF(Transactions[[#This Row],[Level 1]]=Transactions[[#This Row],[L6N]],Transactions[[#This Row],[L5N]],IF(Transactions[[#This Row],[Level 1]]=Transactions[[#This Row],[L7N]],Transactions[[#This Row],[L6N]],Transactions[[#This Row],[L7N]]))))))))</f>
        <v>Electricity, CHP and Heat plants - Main activity</v>
      </c>
      <c r="AU185" s="24" t="str">
        <f>IF(Transactions[[#This Row],[Level 2]]=Transactions[[#This Row],[Transaction name]],Transactions[[#This Row],[Transaction name]],IF(Transactions[[#This Row],[Level 2]]=Transactions[[#This Row],[L1N]],Transactions[[#This Row],[Transaction name]],IF(Transactions[[#This Row],[Level 2]]=Transactions[[#This Row],[L2N]],Transactions[[#This Row],[L1N]],IF(Transactions[[#This Row],[Level 2]]=Transactions[[#This Row],[L3N]],Transactions[[#This Row],[L2N]],IF(Transactions[[#This Row],[Level 2]]=Transactions[[#This Row],[L4N]],Transactions[[#This Row],[L3N]],IF(Transactions[[#This Row],[Level 2]]=Transactions[[#This Row],[L5N]],Transactions[[#This Row],[L4N]],IF(Transactions[[#This Row],[Level 2]]=Transactions[[#This Row],[L6N]],Transactions[[#This Row],[L5N]],IF(Transactions[[#This Row],[Level 2]]=Transactions[[#This Row],[L7N]],Transactions[[#This Row],[L6N]],Transactions[[#This Row],[L7N]]))))))))</f>
        <v>Electricity, CHP and Heat plants - Main activity - wood</v>
      </c>
      <c r="AV185" s="24" t="str">
        <f>IF(Transactions[[#This Row],[Level 3]]=Transactions[[#This Row],[Transaction name]],Transactions[[#This Row],[Transaction name]],IF(Transactions[[#This Row],[Level 3]]=Transactions[[#This Row],[L1N]],Transactions[[#This Row],[Transaction name]],IF(Transactions[[#This Row],[Level 3]]=Transactions[[#This Row],[L2N]],Transactions[[#This Row],[L1N]],IF(Transactions[[#This Row],[Level 3]]=Transactions[[#This Row],[L3N]],Transactions[[#This Row],[L2N]],IF(Transactions[[#This Row],[Level 3]]=Transactions[[#This Row],[L4N]],Transactions[[#This Row],[L3N]],IF(Transactions[[#This Row],[Level 3]]=Transactions[[#This Row],[L5N]],Transactions[[#This Row],[L4N]],IF(Transactions[[#This Row],[Level 3]]=Transactions[[#This Row],[L6N]],Transactions[[#This Row],[L5N]],IF(Transactions[[#This Row],[Level 3]]=Transactions[[#This Row],[L7N]],Transactions[[#This Row],[L6N]],Transactions[[#This Row],[L7N]]))))))))</f>
        <v>Electricity, CHP and Heat plants - Main activity - wood</v>
      </c>
      <c r="AW185" s="24" t="str">
        <f>IF(Transactions[[#This Row],[Level 4]]=Transactions[[#This Row],[Transaction name]],Transactions[[#This Row],[Transaction name]],IF(Transactions[[#This Row],[Level 4]]=Transactions[[#This Row],[L1N]],Transactions[[#This Row],[Transaction name]],IF(Transactions[[#This Row],[Level 4]]=Transactions[[#This Row],[L2N]],Transactions[[#This Row],[L1N]],IF(Transactions[[#This Row],[Level 4]]=Transactions[[#This Row],[L3N]],Transactions[[#This Row],[L2N]],IF(Transactions[[#This Row],[Level 4]]=Transactions[[#This Row],[L4N]],Transactions[[#This Row],[L3N]],IF(Transactions[[#This Row],[Level 4]]=Transactions[[#This Row],[L5N]],Transactions[[#This Row],[L4N]],IF(Transactions[[#This Row],[Level 4]]=Transactions[[#This Row],[L6N]],Transactions[[#This Row],[L5N]],IF(Transactions[[#This Row],[Level 4]]=Transactions[[#This Row],[L7N]],Transactions[[#This Row],[L6N]],Transactions[[#This Row],[L7N]]))))))))</f>
        <v>Electricity, CHP and Heat plants - Main activity - wood</v>
      </c>
      <c r="AX185" s="24" t="str">
        <f>IF(Transactions[[#This Row],[Level 5]]=Transactions[[#This Row],[Transaction name]],Transactions[[#This Row],[Transaction name]],IF(Transactions[[#This Row],[Level 5]]=Transactions[[#This Row],[L1N]],Transactions[[#This Row],[Transaction name]],IF(Transactions[[#This Row],[Level 5]]=Transactions[[#This Row],[L2N]],Transactions[[#This Row],[L1N]],IF(Transactions[[#This Row],[Level 5]]=Transactions[[#This Row],[L3N]],Transactions[[#This Row],[L2N]],IF(Transactions[[#This Row],[Level 5]]=Transactions[[#This Row],[L4N]],Transactions[[#This Row],[L3N]],IF(Transactions[[#This Row],[Level 5]]=Transactions[[#This Row],[L5N]],Transactions[[#This Row],[L4N]],IF(Transactions[[#This Row],[Level 5]]=Transactions[[#This Row],[L6N]],Transactions[[#This Row],[L5N]],IF(Transactions[[#This Row],[Level 5]]=Transactions[[#This Row],[L7N]],Transactions[[#This Row],[L6N]],Transactions[[#This Row],[L7N]]))))))))</f>
        <v>Electricity, CHP and Heat plants - Main activity - wood</v>
      </c>
      <c r="AY185" s="24" t="str">
        <f>IF(Transactions[[#This Row],[Level 6]]=Transactions[[#This Row],[Transaction name]],Transactions[[#This Row],[Transaction name]],IF(Transactions[[#This Row],[Level 6]]=Transactions[[#This Row],[L1N]],Transactions[[#This Row],[Transaction name]],IF(Transactions[[#This Row],[Level 6]]=Transactions[[#This Row],[L2N]],Transactions[[#This Row],[L1N]],IF(Transactions[[#This Row],[Level 6]]=Transactions[[#This Row],[L3N]],Transactions[[#This Row],[L2N]],IF(Transactions[[#This Row],[Level 6]]=Transactions[[#This Row],[L4N]],Transactions[[#This Row],[L3N]],IF(Transactions[[#This Row],[Level 6]]=Transactions[[#This Row],[L5N]],Transactions[[#This Row],[L4N]],IF(Transactions[[#This Row],[Level 6]]=Transactions[[#This Row],[L6N]],Transactions[[#This Row],[L5N]],IF(Transactions[[#This Row],[Level 6]]=Transactions[[#This Row],[L7N]],Transactions[[#This Row],[L6N]],Transactions[[#This Row],[L7N]]))))))))</f>
        <v>Electricity, CHP and Heat plants - Main activity - wood</v>
      </c>
      <c r="BE185" s="26" t="str">
        <f>_xlfn.XLOOKUP(Transformation[[#This Row],[cfrom]],Commodities[Commodity],Commodities[Commodity code])</f>
        <v>5150</v>
      </c>
      <c r="BF185" s="26" t="str">
        <f>_xlfn.XLOOKUP(Transformation[[#This Row],[tfrom]],Transactions[Transaction name],Transactions[Transaction code])</f>
        <v>08811</v>
      </c>
      <c r="BG185" s="26" t="str">
        <f>_xlfn.XLOOKUP(Transformation[[#This Row],[cto]],Commodities[Commodity],Commodities[Commodity code])</f>
        <v>5150</v>
      </c>
      <c r="BH185" s="26" t="str">
        <f>_xlfn.XLOOKUP(Transformation[[#This Row],[tto]],Transactions[Transaction name],Transactions[Transaction code])</f>
        <v>015BSE</v>
      </c>
      <c r="BI185" s="11">
        <v>1</v>
      </c>
      <c r="BJ185" s="4" t="s">
        <v>328</v>
      </c>
      <c r="BK185" s="24" t="str">
        <f>_xlfn.XLOOKUP(Transformation[[#This Row],[Commodity from]],Commodities[Commodity code],Commodities[EnergyCode])</f>
        <v>VW</v>
      </c>
      <c r="BL185" s="4" t="s">
        <v>689</v>
      </c>
      <c r="BM185" s="4" t="s">
        <v>328</v>
      </c>
      <c r="BN185" s="24" t="str">
        <f>_xlfn.XLOOKUP(Transformation[[#This Row],[Commodity to]],Commodities[Commodity code],Commodities[EnergyCode])</f>
        <v>VW</v>
      </c>
      <c r="BO185" s="4" t="s">
        <v>1123</v>
      </c>
      <c r="BP185" s="16" t="s">
        <v>1493</v>
      </c>
      <c r="BQ185" s="33" t="str">
        <f>Transformation[[#This Row],[Commodity from]]&amp;Transformation[[#This Row],[Transaction from]]&amp;Transformation[[#This Row],[Commodity to]]&amp;Transformation[[#This Row],[Transaction to]]</f>
        <v>5150088115150015BSE</v>
      </c>
      <c r="BR185" s="26" t="str">
        <f>Transformation[[#This Row],[crfomid]]&amp;Transformation[[#This Row],[Transaction from]]&amp;"("&amp;Transformation[[#This Row],[Multiplier]]&amp;") -&gt; "&amp;Transformation[[#This Row],[ctoid]]&amp;Transformation[[#This Row],[Transaction to]]</f>
        <v>VW08811(1) -&gt; VW015BSE</v>
      </c>
    </row>
    <row r="186" spans="25:70" x14ac:dyDescent="0.45">
      <c r="Y186" s="5" t="s">
        <v>227</v>
      </c>
      <c r="Z186" s="4" t="s">
        <v>226</v>
      </c>
      <c r="AA186" s="4" t="s">
        <v>226</v>
      </c>
      <c r="AB186" s="5" t="s">
        <v>206</v>
      </c>
      <c r="AC186" s="24" t="str">
        <f>IFERROR(VLOOKUP(Transactions[[#This Row],[Parent code]],Transactions[[Transaction code]:[Transaction name]],2,0),"")</f>
        <v>Production</v>
      </c>
      <c r="AD186" s="4" t="s">
        <v>732</v>
      </c>
      <c r="AE186" s="4" t="s">
        <v>383</v>
      </c>
      <c r="AF186" s="4" t="s">
        <v>643</v>
      </c>
      <c r="AG186" s="4" t="s">
        <v>1</v>
      </c>
      <c r="AH186" s="4" t="s">
        <v>696</v>
      </c>
      <c r="AK186" s="24" t="str" cm="1">
        <f t="array" ref="AK186">IFERROR(INDEX(Transactions[[Transaction code]:[Transaction name]],_xlfn.XMATCH(Transactions[[#This Row],[Parent code]],Transactions[Transaction name],0),3),Transactions[[#This Row],[Transaction name]])</f>
        <v>Gross production</v>
      </c>
      <c r="AL186" s="24" t="str" cm="1">
        <f t="array" ref="AL186">IFERROR(INDEX(Transactions[[Transaction code]:[Transaction name]],_xlfn.XMATCH(INDEX(Transactions[[Transaction name]:[Parent code]],_xlfn.XMATCH(Transactions[[#This Row],[L1N]],Transactions[Transaction name],0),3),Transactions[Transaction code],0),2),Transactions[[#This Row],[L1N]])</f>
        <v>Production</v>
      </c>
      <c r="AM186" s="24" t="str" cm="1">
        <f t="array" ref="AM186">IFERROR(INDEX(Transactions[[Transaction code]:[Transaction name]],_xlfn.XMATCH(INDEX(Transactions[[Transaction name]:[Parent code]],_xlfn.XMATCH(Transactions[[#This Row],[L2N]],Transactions[Transaction name],0),3),Transactions[Transaction code],0),2),Transactions[[#This Row],[L2N]])</f>
        <v>Total energy supply</v>
      </c>
      <c r="AN186" s="24" t="str" cm="1">
        <f t="array" ref="AN186">IFERROR(INDEX(Transactions[[Transaction code]:[Transaction name]],_xlfn.XMATCH(INDEX(Transactions[[Transaction name]:[Parent code]],_xlfn.XMATCH(Transactions[[#This Row],[L3N]],Transactions[Transaction name],0),3),Transactions[Transaction code],0),2),Transactions[[#This Row],[L3N]])</f>
        <v>Total energy supply</v>
      </c>
      <c r="AO186" s="24" t="str" cm="1">
        <f t="array" ref="AO186">IFERROR(INDEX(Transactions[[Transaction code]:[Transaction name]],_xlfn.XMATCH(INDEX(Transactions[[Transaction name]:[Parent code]],_xlfn.XMATCH(Transactions[[#This Row],[L4N]],Transactions[Transaction name],0),3),Transactions[Transaction code],0),2),Transactions[[#This Row],[L4N]])</f>
        <v>Total energy supply</v>
      </c>
      <c r="AP186" s="24" t="str" cm="1">
        <f t="array" ref="AP186">IFERROR(INDEX(Transactions[[Transaction code]:[Transaction name]],_xlfn.XMATCH(INDEX(Transactions[[Transaction name]:[Parent code]],_xlfn.XMATCH(Transactions[[#This Row],[L5N]],Transactions[Transaction name],0),3),Transactions[Transaction code],0),2),Transactions[[#This Row],[L5N]])</f>
        <v>Total energy supply</v>
      </c>
      <c r="AQ186" s="24" t="str" cm="1">
        <f t="array" ref="AQ186">IFERROR(INDEX(Transactions[[Transaction code]:[Transaction name]],_xlfn.XMATCH(INDEX(Transactions[[Transaction name]:[Parent code]],_xlfn.XMATCH(Transactions[[#This Row],[L6N]],Transactions[Transaction name],0),3),Transactions[Transaction code],0),2),Transactions[[#This Row],[L6N]])</f>
        <v>Total energy supply</v>
      </c>
      <c r="AR186" s="28" t="str">
        <f>IF(Transactions[[#This Row],[L7N]]=Transactions[[#This Row],[L6N]],Transactions[[#This Row],[L7N]],IF(Transactions[[#This Row],[L6N]]=Transactions[[#This Row],[L5N]],Transactions[[#This Row],[L6N]],IF(Transactions[[#This Row],[L5N]]=Transactions[[#This Row],[L4N]],Transactions[[#This Row],[L5N]],IF(Transactions[[#This Row],[L4N]]=Transactions[[#This Row],[L3N]],Transactions[[#This Row],[L4N]],IF(Transactions[[#This Row],[L3N]]=Transactions[[#This Row],[L2N]],Transactions[[#This Row],[L3N]],IF(Transactions[[#This Row],[L2N]]=Transactions[[#This Row],[L1N]],Transactions[[#This Row],[L2N]],IF(Transactions[[#This Row],[L1N]]=Transactions[[#This Row],[Transaction name]],Transactions[[#This Row],[L1N]],Transactions[[#This Row],[Transaction name]])))))))</f>
        <v>Total energy supply</v>
      </c>
      <c r="AS186" s="24" t="str">
        <f>IF(Transactions[[#This Row],[Level 0]]=Transactions[[#This Row],[Transaction name]],Transactions[[#This Row],[Transaction name]],IF(Transactions[[#This Row],[Level 0]]=Transactions[[#This Row],[L1N]],Transactions[[#This Row],[Transaction name]],IF(Transactions[[#This Row],[Level 0]]=Transactions[[#This Row],[L2N]],Transactions[[#This Row],[L1N]],IF(Transactions[[#This Row],[Level 0]]=Transactions[[#This Row],[L3N]],Transactions[[#This Row],[L2N]],IF(Transactions[[#This Row],[Level 0]]=Transactions[[#This Row],[L4N]],Transactions[[#This Row],[L3N]],IF(Transactions[[#This Row],[Level 0]]=Transactions[[#This Row],[L5N]],Transactions[[#This Row],[L4N]],IF(Transactions[[#This Row],[Level 0]]=Transactions[[#This Row],[L6N]],Transactions[[#This Row],[L5N]],IF(Transactions[[#This Row],[Level 0]]=Transactions[[#This Row],[L7N]],Transactions[[#This Row],[L6N]],Transactions[[#This Row],[L7N]]))))))))</f>
        <v>Production</v>
      </c>
      <c r="AT186" s="24" t="str">
        <f>IF(Transactions[[#This Row],[Level 1]]=Transactions[[#This Row],[Transaction name]],Transactions[[#This Row],[Transaction name]],IF(Transactions[[#This Row],[Level 1]]=Transactions[[#This Row],[L1N]],Transactions[[#This Row],[Transaction name]],IF(Transactions[[#This Row],[Level 1]]=Transactions[[#This Row],[L2N]],Transactions[[#This Row],[L1N]],IF(Transactions[[#This Row],[Level 1]]=Transactions[[#This Row],[L3N]],Transactions[[#This Row],[L2N]],IF(Transactions[[#This Row],[Level 1]]=Transactions[[#This Row],[L4N]],Transactions[[#This Row],[L3N]],IF(Transactions[[#This Row],[Level 1]]=Transactions[[#This Row],[L5N]],Transactions[[#This Row],[L4N]],IF(Transactions[[#This Row],[Level 1]]=Transactions[[#This Row],[L6N]],Transactions[[#This Row],[L5N]],IF(Transactions[[#This Row],[Level 1]]=Transactions[[#This Row],[L7N]],Transactions[[#This Row],[L6N]],Transactions[[#This Row],[L7N]]))))))))</f>
        <v>Gross production</v>
      </c>
      <c r="AU186" s="24" t="str">
        <f>IF(Transactions[[#This Row],[Level 2]]=Transactions[[#This Row],[Transaction name]],Transactions[[#This Row],[Transaction name]],IF(Transactions[[#This Row],[Level 2]]=Transactions[[#This Row],[L1N]],Transactions[[#This Row],[Transaction name]],IF(Transactions[[#This Row],[Level 2]]=Transactions[[#This Row],[L2N]],Transactions[[#This Row],[L1N]],IF(Transactions[[#This Row],[Level 2]]=Transactions[[#This Row],[L3N]],Transactions[[#This Row],[L2N]],IF(Transactions[[#This Row],[Level 2]]=Transactions[[#This Row],[L4N]],Transactions[[#This Row],[L3N]],IF(Transactions[[#This Row],[Level 2]]=Transactions[[#This Row],[L5N]],Transactions[[#This Row],[L4N]],IF(Transactions[[#This Row],[Level 2]]=Transactions[[#This Row],[L6N]],Transactions[[#This Row],[L5N]],IF(Transactions[[#This Row],[Level 2]]=Transactions[[#This Row],[L7N]],Transactions[[#This Row],[L6N]],Transactions[[#This Row],[L7N]]))))))))</f>
        <v>Gross production</v>
      </c>
      <c r="AV186" s="24" t="str">
        <f>IF(Transactions[[#This Row],[Level 3]]=Transactions[[#This Row],[Transaction name]],Transactions[[#This Row],[Transaction name]],IF(Transactions[[#This Row],[Level 3]]=Transactions[[#This Row],[L1N]],Transactions[[#This Row],[Transaction name]],IF(Transactions[[#This Row],[Level 3]]=Transactions[[#This Row],[L2N]],Transactions[[#This Row],[L1N]],IF(Transactions[[#This Row],[Level 3]]=Transactions[[#This Row],[L3N]],Transactions[[#This Row],[L2N]],IF(Transactions[[#This Row],[Level 3]]=Transactions[[#This Row],[L4N]],Transactions[[#This Row],[L3N]],IF(Transactions[[#This Row],[Level 3]]=Transactions[[#This Row],[L5N]],Transactions[[#This Row],[L4N]],IF(Transactions[[#This Row],[Level 3]]=Transactions[[#This Row],[L6N]],Transactions[[#This Row],[L5N]],IF(Transactions[[#This Row],[Level 3]]=Transactions[[#This Row],[L7N]],Transactions[[#This Row],[L6N]],Transactions[[#This Row],[L7N]]))))))))</f>
        <v>Gross production</v>
      </c>
      <c r="AW186" s="24" t="str">
        <f>IF(Transactions[[#This Row],[Level 4]]=Transactions[[#This Row],[Transaction name]],Transactions[[#This Row],[Transaction name]],IF(Transactions[[#This Row],[Level 4]]=Transactions[[#This Row],[L1N]],Transactions[[#This Row],[Transaction name]],IF(Transactions[[#This Row],[Level 4]]=Transactions[[#This Row],[L2N]],Transactions[[#This Row],[L1N]],IF(Transactions[[#This Row],[Level 4]]=Transactions[[#This Row],[L3N]],Transactions[[#This Row],[L2N]],IF(Transactions[[#This Row],[Level 4]]=Transactions[[#This Row],[L4N]],Transactions[[#This Row],[L3N]],IF(Transactions[[#This Row],[Level 4]]=Transactions[[#This Row],[L5N]],Transactions[[#This Row],[L4N]],IF(Transactions[[#This Row],[Level 4]]=Transactions[[#This Row],[L6N]],Transactions[[#This Row],[L5N]],IF(Transactions[[#This Row],[Level 4]]=Transactions[[#This Row],[L7N]],Transactions[[#This Row],[L6N]],Transactions[[#This Row],[L7N]]))))))))</f>
        <v>Gross production</v>
      </c>
      <c r="AX186" s="24" t="str">
        <f>IF(Transactions[[#This Row],[Level 5]]=Transactions[[#This Row],[Transaction name]],Transactions[[#This Row],[Transaction name]],IF(Transactions[[#This Row],[Level 5]]=Transactions[[#This Row],[L1N]],Transactions[[#This Row],[Transaction name]],IF(Transactions[[#This Row],[Level 5]]=Transactions[[#This Row],[L2N]],Transactions[[#This Row],[L1N]],IF(Transactions[[#This Row],[Level 5]]=Transactions[[#This Row],[L3N]],Transactions[[#This Row],[L2N]],IF(Transactions[[#This Row],[Level 5]]=Transactions[[#This Row],[L4N]],Transactions[[#This Row],[L3N]],IF(Transactions[[#This Row],[Level 5]]=Transactions[[#This Row],[L5N]],Transactions[[#This Row],[L4N]],IF(Transactions[[#This Row],[Level 5]]=Transactions[[#This Row],[L6N]],Transactions[[#This Row],[L5N]],IF(Transactions[[#This Row],[Level 5]]=Transactions[[#This Row],[L7N]],Transactions[[#This Row],[L6N]],Transactions[[#This Row],[L7N]]))))))))</f>
        <v>Gross production</v>
      </c>
      <c r="AY186" s="24" t="str">
        <f>IF(Transactions[[#This Row],[Level 6]]=Transactions[[#This Row],[Transaction name]],Transactions[[#This Row],[Transaction name]],IF(Transactions[[#This Row],[Level 6]]=Transactions[[#This Row],[L1N]],Transactions[[#This Row],[Transaction name]],IF(Transactions[[#This Row],[Level 6]]=Transactions[[#This Row],[L2N]],Transactions[[#This Row],[L1N]],IF(Transactions[[#This Row],[Level 6]]=Transactions[[#This Row],[L3N]],Transactions[[#This Row],[L2N]],IF(Transactions[[#This Row],[Level 6]]=Transactions[[#This Row],[L4N]],Transactions[[#This Row],[L3N]],IF(Transactions[[#This Row],[Level 6]]=Transactions[[#This Row],[L5N]],Transactions[[#This Row],[L4N]],IF(Transactions[[#This Row],[Level 6]]=Transactions[[#This Row],[L6N]],Transactions[[#This Row],[L5N]],IF(Transactions[[#This Row],[Level 6]]=Transactions[[#This Row],[L7N]],Transactions[[#This Row],[L6N]],Transactions[[#This Row],[L7N]]))))))))</f>
        <v>Gross production</v>
      </c>
      <c r="BE186" s="26" t="str">
        <f>_xlfn.XLOOKUP(Transformation[[#This Row],[cfrom]],Commodities[Commodity],Commodities[Commodity code])</f>
        <v>8000</v>
      </c>
      <c r="BF186" s="26" t="str">
        <f>_xlfn.XLOOKUP(Transformation[[#This Row],[tfrom]],Transactions[Transaction name],Transactions[Transaction code])</f>
        <v>015HE</v>
      </c>
      <c r="BG186" s="26" t="str">
        <f>_xlfn.XLOOKUP(Transformation[[#This Row],[cto]],Commodities[Commodity],Commodities[Commodity code])</f>
        <v>8000</v>
      </c>
      <c r="BH186" s="26" t="str">
        <f>_xlfn.XLOOKUP(Transformation[[#This Row],[tto]],Transactions[Transaction name],Transactions[Transaction code])</f>
        <v>01</v>
      </c>
      <c r="BI186" s="31">
        <v>1</v>
      </c>
      <c r="BJ186" s="22" t="s">
        <v>262</v>
      </c>
      <c r="BK186" s="26" t="str">
        <f>_xlfn.XLOOKUP(Transformation[[#This Row],[Commodity from]],Commodities[Commodity code],Commodities[EnergyCode])</f>
        <v>ST</v>
      </c>
      <c r="BL186" s="22" t="s">
        <v>680</v>
      </c>
      <c r="BM186" s="22" t="s">
        <v>262</v>
      </c>
      <c r="BN186" s="26" t="str">
        <f>_xlfn.XLOOKUP(Transformation[[#This Row],[Commodity to]],Commodities[Commodity code],Commodities[EnergyCode])</f>
        <v>ST</v>
      </c>
      <c r="BO186" s="22" t="s">
        <v>383</v>
      </c>
      <c r="BP186" s="22" t="s">
        <v>1673</v>
      </c>
      <c r="BQ186" s="33" t="str">
        <f>Transformation[[#This Row],[Commodity from]]&amp;Transformation[[#This Row],[Transaction from]]&amp;Transformation[[#This Row],[Commodity to]]&amp;Transformation[[#This Row],[Transaction to]]</f>
        <v>8000015HE800001</v>
      </c>
      <c r="BR186" s="26" t="str">
        <f>Transformation[[#This Row],[crfomid]]&amp;Transformation[[#This Row],[Transaction from]]&amp;"("&amp;Transformation[[#This Row],[Multiplier]]&amp;") -&gt; "&amp;Transformation[[#This Row],[ctoid]]&amp;Transformation[[#This Row],[Transaction to]]</f>
        <v>ST015HE(1) -&gt; ST01</v>
      </c>
    </row>
    <row r="187" spans="25:70" x14ac:dyDescent="0.45">
      <c r="Y187" s="5" t="s">
        <v>225</v>
      </c>
      <c r="Z187" s="4" t="s">
        <v>224</v>
      </c>
      <c r="AA187" s="4" t="s">
        <v>224</v>
      </c>
      <c r="AB187" s="5" t="s">
        <v>206</v>
      </c>
      <c r="AC187" s="24" t="str">
        <f>IFERROR(VLOOKUP(Transactions[[#This Row],[Parent code]],Transactions[[Transaction code]:[Transaction name]],2,0),"")</f>
        <v>Production</v>
      </c>
      <c r="AD187" s="4" t="s">
        <v>732</v>
      </c>
      <c r="AE187" s="4" t="s">
        <v>383</v>
      </c>
      <c r="AF187" s="4" t="s">
        <v>643</v>
      </c>
      <c r="AG187" s="4" t="s">
        <v>1</v>
      </c>
      <c r="AH187" s="4" t="s">
        <v>696</v>
      </c>
      <c r="AK187" s="24" t="str" cm="1">
        <f t="array" ref="AK187">IFERROR(INDEX(Transactions[[Transaction code]:[Transaction name]],_xlfn.XMATCH(Transactions[[#This Row],[Parent code]],Transactions[Transaction name],0),3),Transactions[[#This Row],[Transaction name]])</f>
        <v>Net production</v>
      </c>
      <c r="AL187" s="24" t="str" cm="1">
        <f t="array" ref="AL187">IFERROR(INDEX(Transactions[[Transaction code]:[Transaction name]],_xlfn.XMATCH(INDEX(Transactions[[Transaction name]:[Parent code]],_xlfn.XMATCH(Transactions[[#This Row],[L1N]],Transactions[Transaction name],0),3),Transactions[Transaction code],0),2),Transactions[[#This Row],[L1N]])</f>
        <v>Production</v>
      </c>
      <c r="AM187" s="24" t="str" cm="1">
        <f t="array" ref="AM187">IFERROR(INDEX(Transactions[[Transaction code]:[Transaction name]],_xlfn.XMATCH(INDEX(Transactions[[Transaction name]:[Parent code]],_xlfn.XMATCH(Transactions[[#This Row],[L2N]],Transactions[Transaction name],0),3),Transactions[Transaction code],0),2),Transactions[[#This Row],[L2N]])</f>
        <v>Total energy supply</v>
      </c>
      <c r="AN187" s="24" t="str" cm="1">
        <f t="array" ref="AN187">IFERROR(INDEX(Transactions[[Transaction code]:[Transaction name]],_xlfn.XMATCH(INDEX(Transactions[[Transaction name]:[Parent code]],_xlfn.XMATCH(Transactions[[#This Row],[L3N]],Transactions[Transaction name],0),3),Transactions[Transaction code],0),2),Transactions[[#This Row],[L3N]])</f>
        <v>Total energy supply</v>
      </c>
      <c r="AO187" s="24" t="str" cm="1">
        <f t="array" ref="AO187">IFERROR(INDEX(Transactions[[Transaction code]:[Transaction name]],_xlfn.XMATCH(INDEX(Transactions[[Transaction name]:[Parent code]],_xlfn.XMATCH(Transactions[[#This Row],[L4N]],Transactions[Transaction name],0),3),Transactions[Transaction code],0),2),Transactions[[#This Row],[L4N]])</f>
        <v>Total energy supply</v>
      </c>
      <c r="AP187" s="24" t="str" cm="1">
        <f t="array" ref="AP187">IFERROR(INDEX(Transactions[[Transaction code]:[Transaction name]],_xlfn.XMATCH(INDEX(Transactions[[Transaction name]:[Parent code]],_xlfn.XMATCH(Transactions[[#This Row],[L5N]],Transactions[Transaction name],0),3),Transactions[Transaction code],0),2),Transactions[[#This Row],[L5N]])</f>
        <v>Total energy supply</v>
      </c>
      <c r="AQ187" s="24" t="str" cm="1">
        <f t="array" ref="AQ187">IFERROR(INDEX(Transactions[[Transaction code]:[Transaction name]],_xlfn.XMATCH(INDEX(Transactions[[Transaction name]:[Parent code]],_xlfn.XMATCH(Transactions[[#This Row],[L6N]],Transactions[Transaction name],0),3),Transactions[Transaction code],0),2),Transactions[[#This Row],[L6N]])</f>
        <v>Total energy supply</v>
      </c>
      <c r="AR187" s="28" t="str">
        <f>IF(Transactions[[#This Row],[L7N]]=Transactions[[#This Row],[L6N]],Transactions[[#This Row],[L7N]],IF(Transactions[[#This Row],[L6N]]=Transactions[[#This Row],[L5N]],Transactions[[#This Row],[L6N]],IF(Transactions[[#This Row],[L5N]]=Transactions[[#This Row],[L4N]],Transactions[[#This Row],[L5N]],IF(Transactions[[#This Row],[L4N]]=Transactions[[#This Row],[L3N]],Transactions[[#This Row],[L4N]],IF(Transactions[[#This Row],[L3N]]=Transactions[[#This Row],[L2N]],Transactions[[#This Row],[L3N]],IF(Transactions[[#This Row],[L2N]]=Transactions[[#This Row],[L1N]],Transactions[[#This Row],[L2N]],IF(Transactions[[#This Row],[L1N]]=Transactions[[#This Row],[Transaction name]],Transactions[[#This Row],[L1N]],Transactions[[#This Row],[Transaction name]])))))))</f>
        <v>Total energy supply</v>
      </c>
      <c r="AS187" s="24" t="str">
        <f>IF(Transactions[[#This Row],[Level 0]]=Transactions[[#This Row],[Transaction name]],Transactions[[#This Row],[Transaction name]],IF(Transactions[[#This Row],[Level 0]]=Transactions[[#This Row],[L1N]],Transactions[[#This Row],[Transaction name]],IF(Transactions[[#This Row],[Level 0]]=Transactions[[#This Row],[L2N]],Transactions[[#This Row],[L1N]],IF(Transactions[[#This Row],[Level 0]]=Transactions[[#This Row],[L3N]],Transactions[[#This Row],[L2N]],IF(Transactions[[#This Row],[Level 0]]=Transactions[[#This Row],[L4N]],Transactions[[#This Row],[L3N]],IF(Transactions[[#This Row],[Level 0]]=Transactions[[#This Row],[L5N]],Transactions[[#This Row],[L4N]],IF(Transactions[[#This Row],[Level 0]]=Transactions[[#This Row],[L6N]],Transactions[[#This Row],[L5N]],IF(Transactions[[#This Row],[Level 0]]=Transactions[[#This Row],[L7N]],Transactions[[#This Row],[L6N]],Transactions[[#This Row],[L7N]]))))))))</f>
        <v>Production</v>
      </c>
      <c r="AT187" s="24" t="str">
        <f>IF(Transactions[[#This Row],[Level 1]]=Transactions[[#This Row],[Transaction name]],Transactions[[#This Row],[Transaction name]],IF(Transactions[[#This Row],[Level 1]]=Transactions[[#This Row],[L1N]],Transactions[[#This Row],[Transaction name]],IF(Transactions[[#This Row],[Level 1]]=Transactions[[#This Row],[L2N]],Transactions[[#This Row],[L1N]],IF(Transactions[[#This Row],[Level 1]]=Transactions[[#This Row],[L3N]],Transactions[[#This Row],[L2N]],IF(Transactions[[#This Row],[Level 1]]=Transactions[[#This Row],[L4N]],Transactions[[#This Row],[L3N]],IF(Transactions[[#This Row],[Level 1]]=Transactions[[#This Row],[L5N]],Transactions[[#This Row],[L4N]],IF(Transactions[[#This Row],[Level 1]]=Transactions[[#This Row],[L6N]],Transactions[[#This Row],[L5N]],IF(Transactions[[#This Row],[Level 1]]=Transactions[[#This Row],[L7N]],Transactions[[#This Row],[L6N]],Transactions[[#This Row],[L7N]]))))))))</f>
        <v>Net production</v>
      </c>
      <c r="AU187" s="24" t="str">
        <f>IF(Transactions[[#This Row],[Level 2]]=Transactions[[#This Row],[Transaction name]],Transactions[[#This Row],[Transaction name]],IF(Transactions[[#This Row],[Level 2]]=Transactions[[#This Row],[L1N]],Transactions[[#This Row],[Transaction name]],IF(Transactions[[#This Row],[Level 2]]=Transactions[[#This Row],[L2N]],Transactions[[#This Row],[L1N]],IF(Transactions[[#This Row],[Level 2]]=Transactions[[#This Row],[L3N]],Transactions[[#This Row],[L2N]],IF(Transactions[[#This Row],[Level 2]]=Transactions[[#This Row],[L4N]],Transactions[[#This Row],[L3N]],IF(Transactions[[#This Row],[Level 2]]=Transactions[[#This Row],[L5N]],Transactions[[#This Row],[L4N]],IF(Transactions[[#This Row],[Level 2]]=Transactions[[#This Row],[L6N]],Transactions[[#This Row],[L5N]],IF(Transactions[[#This Row],[Level 2]]=Transactions[[#This Row],[L7N]],Transactions[[#This Row],[L6N]],Transactions[[#This Row],[L7N]]))))))))</f>
        <v>Net production</v>
      </c>
      <c r="AV187" s="24" t="str">
        <f>IF(Transactions[[#This Row],[Level 3]]=Transactions[[#This Row],[Transaction name]],Transactions[[#This Row],[Transaction name]],IF(Transactions[[#This Row],[Level 3]]=Transactions[[#This Row],[L1N]],Transactions[[#This Row],[Transaction name]],IF(Transactions[[#This Row],[Level 3]]=Transactions[[#This Row],[L2N]],Transactions[[#This Row],[L1N]],IF(Transactions[[#This Row],[Level 3]]=Transactions[[#This Row],[L3N]],Transactions[[#This Row],[L2N]],IF(Transactions[[#This Row],[Level 3]]=Transactions[[#This Row],[L4N]],Transactions[[#This Row],[L3N]],IF(Transactions[[#This Row],[Level 3]]=Transactions[[#This Row],[L5N]],Transactions[[#This Row],[L4N]],IF(Transactions[[#This Row],[Level 3]]=Transactions[[#This Row],[L6N]],Transactions[[#This Row],[L5N]],IF(Transactions[[#This Row],[Level 3]]=Transactions[[#This Row],[L7N]],Transactions[[#This Row],[L6N]],Transactions[[#This Row],[L7N]]))))))))</f>
        <v>Net production</v>
      </c>
      <c r="AW187" s="24" t="str">
        <f>IF(Transactions[[#This Row],[Level 4]]=Transactions[[#This Row],[Transaction name]],Transactions[[#This Row],[Transaction name]],IF(Transactions[[#This Row],[Level 4]]=Transactions[[#This Row],[L1N]],Transactions[[#This Row],[Transaction name]],IF(Transactions[[#This Row],[Level 4]]=Transactions[[#This Row],[L2N]],Transactions[[#This Row],[L1N]],IF(Transactions[[#This Row],[Level 4]]=Transactions[[#This Row],[L3N]],Transactions[[#This Row],[L2N]],IF(Transactions[[#This Row],[Level 4]]=Transactions[[#This Row],[L4N]],Transactions[[#This Row],[L3N]],IF(Transactions[[#This Row],[Level 4]]=Transactions[[#This Row],[L5N]],Transactions[[#This Row],[L4N]],IF(Transactions[[#This Row],[Level 4]]=Transactions[[#This Row],[L6N]],Transactions[[#This Row],[L5N]],IF(Transactions[[#This Row],[Level 4]]=Transactions[[#This Row],[L7N]],Transactions[[#This Row],[L6N]],Transactions[[#This Row],[L7N]]))))))))</f>
        <v>Net production</v>
      </c>
      <c r="AX187" s="24" t="str">
        <f>IF(Transactions[[#This Row],[Level 5]]=Transactions[[#This Row],[Transaction name]],Transactions[[#This Row],[Transaction name]],IF(Transactions[[#This Row],[Level 5]]=Transactions[[#This Row],[L1N]],Transactions[[#This Row],[Transaction name]],IF(Transactions[[#This Row],[Level 5]]=Transactions[[#This Row],[L2N]],Transactions[[#This Row],[L1N]],IF(Transactions[[#This Row],[Level 5]]=Transactions[[#This Row],[L3N]],Transactions[[#This Row],[L2N]],IF(Transactions[[#This Row],[Level 5]]=Transactions[[#This Row],[L4N]],Transactions[[#This Row],[L3N]],IF(Transactions[[#This Row],[Level 5]]=Transactions[[#This Row],[L5N]],Transactions[[#This Row],[L4N]],IF(Transactions[[#This Row],[Level 5]]=Transactions[[#This Row],[L6N]],Transactions[[#This Row],[L5N]],IF(Transactions[[#This Row],[Level 5]]=Transactions[[#This Row],[L7N]],Transactions[[#This Row],[L6N]],Transactions[[#This Row],[L7N]]))))))))</f>
        <v>Net production</v>
      </c>
      <c r="AY187" s="24" t="str">
        <f>IF(Transactions[[#This Row],[Level 6]]=Transactions[[#This Row],[Transaction name]],Transactions[[#This Row],[Transaction name]],IF(Transactions[[#This Row],[Level 6]]=Transactions[[#This Row],[L1N]],Transactions[[#This Row],[Transaction name]],IF(Transactions[[#This Row],[Level 6]]=Transactions[[#This Row],[L2N]],Transactions[[#This Row],[L1N]],IF(Transactions[[#This Row],[Level 6]]=Transactions[[#This Row],[L3N]],Transactions[[#This Row],[L2N]],IF(Transactions[[#This Row],[Level 6]]=Transactions[[#This Row],[L4N]],Transactions[[#This Row],[L3N]],IF(Transactions[[#This Row],[Level 6]]=Transactions[[#This Row],[L5N]],Transactions[[#This Row],[L4N]],IF(Transactions[[#This Row],[Level 6]]=Transactions[[#This Row],[L6N]],Transactions[[#This Row],[L5N]],IF(Transactions[[#This Row],[Level 6]]=Transactions[[#This Row],[L7N]],Transactions[[#This Row],[L6N]],Transactions[[#This Row],[L7N]]))))))))</f>
        <v>Net production</v>
      </c>
      <c r="BE187" s="26" t="str">
        <f>_xlfn.XLOOKUP(Transformation[[#This Row],[cfrom]],Commodities[Commodity],Commodities[Commodity code])</f>
        <v>7000</v>
      </c>
      <c r="BF187" s="26" t="str">
        <f>_xlfn.XLOOKUP(Transformation[[#This Row],[tfrom]],Transactions[Transaction name],Transactions[Transaction code])</f>
        <v>015GE</v>
      </c>
      <c r="BG187" s="26" t="str">
        <f>_xlfn.XLOOKUP(Transformation[[#This Row],[cto]],Commodities[Commodity],Commodities[Commodity code])</f>
        <v>8000</v>
      </c>
      <c r="BH187" s="26" t="str">
        <f>_xlfn.XLOOKUP(Transformation[[#This Row],[tto]],Transactions[Transaction name],Transactions[Transaction code])</f>
        <v>015GE</v>
      </c>
      <c r="BI187" s="31">
        <v>-10</v>
      </c>
      <c r="BJ187" s="22" t="s">
        <v>544</v>
      </c>
      <c r="BK187" s="26" t="str">
        <f>_xlfn.XLOOKUP(Transformation[[#This Row],[Commodity from]],Commodities[Commodity code],Commodities[EnergyCode])</f>
        <v>EL</v>
      </c>
      <c r="BL187" s="22" t="s">
        <v>660</v>
      </c>
      <c r="BM187" s="22" t="s">
        <v>262</v>
      </c>
      <c r="BN187" s="26" t="str">
        <f>_xlfn.XLOOKUP(Transformation[[#This Row],[Commodity to]],Commodities[Commodity code],Commodities[EnergyCode])</f>
        <v>ST</v>
      </c>
      <c r="BO187" s="22" t="s">
        <v>660</v>
      </c>
      <c r="BP187" s="22" t="s">
        <v>1552</v>
      </c>
      <c r="BQ187" s="33" t="str">
        <f>Transformation[[#This Row],[Commodity from]]&amp;Transformation[[#This Row],[Transaction from]]&amp;Transformation[[#This Row],[Commodity to]]&amp;Transformation[[#This Row],[Transaction to]]</f>
        <v>7000015GE8000015GE</v>
      </c>
      <c r="BR187" s="26" t="str">
        <f>Transformation[[#This Row],[crfomid]]&amp;Transformation[[#This Row],[Transaction from]]&amp;"("&amp;Transformation[[#This Row],[Multiplier]]&amp;") -&gt; "&amp;Transformation[[#This Row],[ctoid]]&amp;Transformation[[#This Row],[Transaction to]]</f>
        <v>EL015GE(-10) -&gt; ST015GE</v>
      </c>
    </row>
    <row r="188" spans="25:70" x14ac:dyDescent="0.45">
      <c r="Y188" s="5" t="s">
        <v>206</v>
      </c>
      <c r="Z188" s="4" t="s">
        <v>383</v>
      </c>
      <c r="AA188" s="4" t="s">
        <v>383</v>
      </c>
      <c r="AB188" s="4" t="s">
        <v>8</v>
      </c>
      <c r="AC188" s="24" t="str">
        <f>IFERROR(VLOOKUP(Transactions[[#This Row],[Parent code]],Transactions[[Transaction code]:[Transaction name]],2,0),"")</f>
        <v>Total energy supply</v>
      </c>
      <c r="AD188" s="4" t="s">
        <v>631</v>
      </c>
      <c r="AE188" s="4" t="s">
        <v>383</v>
      </c>
      <c r="AF188" s="4" t="s">
        <v>643</v>
      </c>
      <c r="AG188" s="4" t="s">
        <v>1</v>
      </c>
      <c r="AH188" s="4" t="s">
        <v>696</v>
      </c>
      <c r="AK188" s="24" t="str" cm="1">
        <f t="array" ref="AK188">IFERROR(INDEX(Transactions[[Transaction code]:[Transaction name]],_xlfn.XMATCH(Transactions[[#This Row],[Parent code]],Transactions[Transaction name],0),3),Transactions[[#This Row],[Transaction name]])</f>
        <v>Production</v>
      </c>
      <c r="AL188" s="24" t="str" cm="1">
        <f t="array" ref="AL188">IFERROR(INDEX(Transactions[[Transaction code]:[Transaction name]],_xlfn.XMATCH(INDEX(Transactions[[Transaction name]:[Parent code]],_xlfn.XMATCH(Transactions[[#This Row],[L1N]],Transactions[Transaction name],0),3),Transactions[Transaction code],0),2),Transactions[[#This Row],[L1N]])</f>
        <v>Total energy supply</v>
      </c>
      <c r="AM188" s="24" t="str" cm="1">
        <f t="array" ref="AM188">IFERROR(INDEX(Transactions[[Transaction code]:[Transaction name]],_xlfn.XMATCH(INDEX(Transactions[[Transaction name]:[Parent code]],_xlfn.XMATCH(Transactions[[#This Row],[L2N]],Transactions[Transaction name],0),3),Transactions[Transaction code],0),2),Transactions[[#This Row],[L2N]])</f>
        <v>Total energy supply</v>
      </c>
      <c r="AN188" s="24" t="str" cm="1">
        <f t="array" ref="AN188">IFERROR(INDEX(Transactions[[Transaction code]:[Transaction name]],_xlfn.XMATCH(INDEX(Transactions[[Transaction name]:[Parent code]],_xlfn.XMATCH(Transactions[[#This Row],[L3N]],Transactions[Transaction name],0),3),Transactions[Transaction code],0),2),Transactions[[#This Row],[L3N]])</f>
        <v>Total energy supply</v>
      </c>
      <c r="AO188" s="24" t="str" cm="1">
        <f t="array" ref="AO188">IFERROR(INDEX(Transactions[[Transaction code]:[Transaction name]],_xlfn.XMATCH(INDEX(Transactions[[Transaction name]:[Parent code]],_xlfn.XMATCH(Transactions[[#This Row],[L4N]],Transactions[Transaction name],0),3),Transactions[Transaction code],0),2),Transactions[[#This Row],[L4N]])</f>
        <v>Total energy supply</v>
      </c>
      <c r="AP188" s="24" t="str" cm="1">
        <f t="array" ref="AP188">IFERROR(INDEX(Transactions[[Transaction code]:[Transaction name]],_xlfn.XMATCH(INDEX(Transactions[[Transaction name]:[Parent code]],_xlfn.XMATCH(Transactions[[#This Row],[L5N]],Transactions[Transaction name],0),3),Transactions[Transaction code],0),2),Transactions[[#This Row],[L5N]])</f>
        <v>Total energy supply</v>
      </c>
      <c r="AQ188" s="24" t="str" cm="1">
        <f t="array" ref="AQ188">IFERROR(INDEX(Transactions[[Transaction code]:[Transaction name]],_xlfn.XMATCH(INDEX(Transactions[[Transaction name]:[Parent code]],_xlfn.XMATCH(Transactions[[#This Row],[L6N]],Transactions[Transaction name],0),3),Transactions[Transaction code],0),2),Transactions[[#This Row],[L6N]])</f>
        <v>Total energy supply</v>
      </c>
      <c r="AR188" s="28" t="str">
        <f>IF(Transactions[[#This Row],[L7N]]=Transactions[[#This Row],[L6N]],Transactions[[#This Row],[L7N]],IF(Transactions[[#This Row],[L6N]]=Transactions[[#This Row],[L5N]],Transactions[[#This Row],[L6N]],IF(Transactions[[#This Row],[L5N]]=Transactions[[#This Row],[L4N]],Transactions[[#This Row],[L5N]],IF(Transactions[[#This Row],[L4N]]=Transactions[[#This Row],[L3N]],Transactions[[#This Row],[L4N]],IF(Transactions[[#This Row],[L3N]]=Transactions[[#This Row],[L2N]],Transactions[[#This Row],[L3N]],IF(Transactions[[#This Row],[L2N]]=Transactions[[#This Row],[L1N]],Transactions[[#This Row],[L2N]],IF(Transactions[[#This Row],[L1N]]=Transactions[[#This Row],[Transaction name]],Transactions[[#This Row],[L1N]],Transactions[[#This Row],[Transaction name]])))))))</f>
        <v>Total energy supply</v>
      </c>
      <c r="AS188" s="24" t="str">
        <f>IF(Transactions[[#This Row],[Level 0]]=Transactions[[#This Row],[Transaction name]],Transactions[[#This Row],[Transaction name]],IF(Transactions[[#This Row],[Level 0]]=Transactions[[#This Row],[L1N]],Transactions[[#This Row],[Transaction name]],IF(Transactions[[#This Row],[Level 0]]=Transactions[[#This Row],[L2N]],Transactions[[#This Row],[L1N]],IF(Transactions[[#This Row],[Level 0]]=Transactions[[#This Row],[L3N]],Transactions[[#This Row],[L2N]],IF(Transactions[[#This Row],[Level 0]]=Transactions[[#This Row],[L4N]],Transactions[[#This Row],[L3N]],IF(Transactions[[#This Row],[Level 0]]=Transactions[[#This Row],[L5N]],Transactions[[#This Row],[L4N]],IF(Transactions[[#This Row],[Level 0]]=Transactions[[#This Row],[L6N]],Transactions[[#This Row],[L5N]],IF(Transactions[[#This Row],[Level 0]]=Transactions[[#This Row],[L7N]],Transactions[[#This Row],[L6N]],Transactions[[#This Row],[L7N]]))))))))</f>
        <v>Production</v>
      </c>
      <c r="AT188" s="24" t="str">
        <f>IF(Transactions[[#This Row],[Level 1]]=Transactions[[#This Row],[Transaction name]],Transactions[[#This Row],[Transaction name]],IF(Transactions[[#This Row],[Level 1]]=Transactions[[#This Row],[L1N]],Transactions[[#This Row],[Transaction name]],IF(Transactions[[#This Row],[Level 1]]=Transactions[[#This Row],[L2N]],Transactions[[#This Row],[L1N]],IF(Transactions[[#This Row],[Level 1]]=Transactions[[#This Row],[L3N]],Transactions[[#This Row],[L2N]],IF(Transactions[[#This Row],[Level 1]]=Transactions[[#This Row],[L4N]],Transactions[[#This Row],[L3N]],IF(Transactions[[#This Row],[Level 1]]=Transactions[[#This Row],[L5N]],Transactions[[#This Row],[L4N]],IF(Transactions[[#This Row],[Level 1]]=Transactions[[#This Row],[L6N]],Transactions[[#This Row],[L5N]],IF(Transactions[[#This Row],[Level 1]]=Transactions[[#This Row],[L7N]],Transactions[[#This Row],[L6N]],Transactions[[#This Row],[L7N]]))))))))</f>
        <v>Production</v>
      </c>
      <c r="AU188" s="24" t="str">
        <f>IF(Transactions[[#This Row],[Level 2]]=Transactions[[#This Row],[Transaction name]],Transactions[[#This Row],[Transaction name]],IF(Transactions[[#This Row],[Level 2]]=Transactions[[#This Row],[L1N]],Transactions[[#This Row],[Transaction name]],IF(Transactions[[#This Row],[Level 2]]=Transactions[[#This Row],[L2N]],Transactions[[#This Row],[L1N]],IF(Transactions[[#This Row],[Level 2]]=Transactions[[#This Row],[L3N]],Transactions[[#This Row],[L2N]],IF(Transactions[[#This Row],[Level 2]]=Transactions[[#This Row],[L4N]],Transactions[[#This Row],[L3N]],IF(Transactions[[#This Row],[Level 2]]=Transactions[[#This Row],[L5N]],Transactions[[#This Row],[L4N]],IF(Transactions[[#This Row],[Level 2]]=Transactions[[#This Row],[L6N]],Transactions[[#This Row],[L5N]],IF(Transactions[[#This Row],[Level 2]]=Transactions[[#This Row],[L7N]],Transactions[[#This Row],[L6N]],Transactions[[#This Row],[L7N]]))))))))</f>
        <v>Production</v>
      </c>
      <c r="AV188" s="24" t="str">
        <f>IF(Transactions[[#This Row],[Level 3]]=Transactions[[#This Row],[Transaction name]],Transactions[[#This Row],[Transaction name]],IF(Transactions[[#This Row],[Level 3]]=Transactions[[#This Row],[L1N]],Transactions[[#This Row],[Transaction name]],IF(Transactions[[#This Row],[Level 3]]=Transactions[[#This Row],[L2N]],Transactions[[#This Row],[L1N]],IF(Transactions[[#This Row],[Level 3]]=Transactions[[#This Row],[L3N]],Transactions[[#This Row],[L2N]],IF(Transactions[[#This Row],[Level 3]]=Transactions[[#This Row],[L4N]],Transactions[[#This Row],[L3N]],IF(Transactions[[#This Row],[Level 3]]=Transactions[[#This Row],[L5N]],Transactions[[#This Row],[L4N]],IF(Transactions[[#This Row],[Level 3]]=Transactions[[#This Row],[L6N]],Transactions[[#This Row],[L5N]],IF(Transactions[[#This Row],[Level 3]]=Transactions[[#This Row],[L7N]],Transactions[[#This Row],[L6N]],Transactions[[#This Row],[L7N]]))))))))</f>
        <v>Production</v>
      </c>
      <c r="AW188" s="24" t="str">
        <f>IF(Transactions[[#This Row],[Level 4]]=Transactions[[#This Row],[Transaction name]],Transactions[[#This Row],[Transaction name]],IF(Transactions[[#This Row],[Level 4]]=Transactions[[#This Row],[L1N]],Transactions[[#This Row],[Transaction name]],IF(Transactions[[#This Row],[Level 4]]=Transactions[[#This Row],[L2N]],Transactions[[#This Row],[L1N]],IF(Transactions[[#This Row],[Level 4]]=Transactions[[#This Row],[L3N]],Transactions[[#This Row],[L2N]],IF(Transactions[[#This Row],[Level 4]]=Transactions[[#This Row],[L4N]],Transactions[[#This Row],[L3N]],IF(Transactions[[#This Row],[Level 4]]=Transactions[[#This Row],[L5N]],Transactions[[#This Row],[L4N]],IF(Transactions[[#This Row],[Level 4]]=Transactions[[#This Row],[L6N]],Transactions[[#This Row],[L5N]],IF(Transactions[[#This Row],[Level 4]]=Transactions[[#This Row],[L7N]],Transactions[[#This Row],[L6N]],Transactions[[#This Row],[L7N]]))))))))</f>
        <v>Production</v>
      </c>
      <c r="AX188" s="24" t="str">
        <f>IF(Transactions[[#This Row],[Level 5]]=Transactions[[#This Row],[Transaction name]],Transactions[[#This Row],[Transaction name]],IF(Transactions[[#This Row],[Level 5]]=Transactions[[#This Row],[L1N]],Transactions[[#This Row],[Transaction name]],IF(Transactions[[#This Row],[Level 5]]=Transactions[[#This Row],[L2N]],Transactions[[#This Row],[L1N]],IF(Transactions[[#This Row],[Level 5]]=Transactions[[#This Row],[L3N]],Transactions[[#This Row],[L2N]],IF(Transactions[[#This Row],[Level 5]]=Transactions[[#This Row],[L4N]],Transactions[[#This Row],[L3N]],IF(Transactions[[#This Row],[Level 5]]=Transactions[[#This Row],[L5N]],Transactions[[#This Row],[L4N]],IF(Transactions[[#This Row],[Level 5]]=Transactions[[#This Row],[L6N]],Transactions[[#This Row],[L5N]],IF(Transactions[[#This Row],[Level 5]]=Transactions[[#This Row],[L7N]],Transactions[[#This Row],[L6N]],Transactions[[#This Row],[L7N]]))))))))</f>
        <v>Production</v>
      </c>
      <c r="AY188" s="24" t="str">
        <f>IF(Transactions[[#This Row],[Level 6]]=Transactions[[#This Row],[Transaction name]],Transactions[[#This Row],[Transaction name]],IF(Transactions[[#This Row],[Level 6]]=Transactions[[#This Row],[L1N]],Transactions[[#This Row],[Transaction name]],IF(Transactions[[#This Row],[Level 6]]=Transactions[[#This Row],[L2N]],Transactions[[#This Row],[L1N]],IF(Transactions[[#This Row],[Level 6]]=Transactions[[#This Row],[L3N]],Transactions[[#This Row],[L2N]],IF(Transactions[[#This Row],[Level 6]]=Transactions[[#This Row],[L4N]],Transactions[[#This Row],[L3N]],IF(Transactions[[#This Row],[Level 6]]=Transactions[[#This Row],[L5N]],Transactions[[#This Row],[L4N]],IF(Transactions[[#This Row],[Level 6]]=Transactions[[#This Row],[L6N]],Transactions[[#This Row],[L5N]],IF(Transactions[[#This Row],[Level 6]]=Transactions[[#This Row],[L7N]],Transactions[[#This Row],[L6N]],Transactions[[#This Row],[L7N]]))))))))</f>
        <v>Production</v>
      </c>
      <c r="BE188" s="26" t="str">
        <f>_xlfn.XLOOKUP(Transformation[[#This Row],[cfrom]],Commodities[Commodity],Commodities[Commodity code])</f>
        <v>8000</v>
      </c>
      <c r="BF188" s="26" t="str">
        <f>_xlfn.XLOOKUP(Transformation[[#This Row],[tfrom]],Transactions[Transaction name],Transactions[Transaction code])</f>
        <v>015GE</v>
      </c>
      <c r="BG188" s="26" t="str">
        <f>_xlfn.XLOOKUP(Transformation[[#This Row],[cto]],Commodities[Commodity],Commodities[Commodity code])</f>
        <v>8000</v>
      </c>
      <c r="BH188" s="26" t="str">
        <f>_xlfn.XLOOKUP(Transformation[[#This Row],[tto]],Transactions[Transaction name],Transactions[Transaction code])</f>
        <v>01</v>
      </c>
      <c r="BI188" s="31">
        <v>2</v>
      </c>
      <c r="BJ188" s="22" t="s">
        <v>262</v>
      </c>
      <c r="BK188" s="26" t="str">
        <f>_xlfn.XLOOKUP(Transformation[[#This Row],[Commodity from]],Commodities[Commodity code],Commodities[EnergyCode])</f>
        <v>ST</v>
      </c>
      <c r="BL188" s="22" t="s">
        <v>660</v>
      </c>
      <c r="BM188" s="22" t="s">
        <v>262</v>
      </c>
      <c r="BN188" s="26" t="str">
        <f>_xlfn.XLOOKUP(Transformation[[#This Row],[Commodity to]],Commodities[Commodity code],Commodities[EnergyCode])</f>
        <v>ST</v>
      </c>
      <c r="BO188" s="22" t="s">
        <v>383</v>
      </c>
      <c r="BP188" s="22" t="s">
        <v>1670</v>
      </c>
      <c r="BQ188" s="33" t="str">
        <f>Transformation[[#This Row],[Commodity from]]&amp;Transformation[[#This Row],[Transaction from]]&amp;Transformation[[#This Row],[Commodity to]]&amp;Transformation[[#This Row],[Transaction to]]</f>
        <v>8000015GE800001</v>
      </c>
      <c r="BR188" s="26" t="str">
        <f>Transformation[[#This Row],[crfomid]]&amp;Transformation[[#This Row],[Transaction from]]&amp;"("&amp;Transformation[[#This Row],[Multiplier]]&amp;") -&gt; "&amp;Transformation[[#This Row],[ctoid]]&amp;Transformation[[#This Row],[Transaction to]]</f>
        <v>ST015GE(2) -&gt; ST01</v>
      </c>
    </row>
    <row r="189" spans="25:70" x14ac:dyDescent="0.45">
      <c r="Y189" s="5" t="s">
        <v>380</v>
      </c>
      <c r="Z189" s="4" t="s">
        <v>379</v>
      </c>
      <c r="AA189" s="4" t="s">
        <v>379</v>
      </c>
      <c r="AB189" s="6" t="s">
        <v>206</v>
      </c>
      <c r="AC189" s="24" t="str">
        <f>IFERROR(VLOOKUP(Transactions[[#This Row],[Parent code]],Transactions[[Transaction code]:[Transaction name]],2,0),"")</f>
        <v>Production</v>
      </c>
      <c r="AD189" s="4" t="s">
        <v>732</v>
      </c>
      <c r="AE189" s="4" t="s">
        <v>383</v>
      </c>
      <c r="AF189" s="4" t="s">
        <v>642</v>
      </c>
      <c r="AG189" s="4" t="s">
        <v>1</v>
      </c>
      <c r="AH189" s="4" t="s">
        <v>696</v>
      </c>
      <c r="AK189" s="24" t="str" cm="1">
        <f t="array" ref="AK189">IFERROR(INDEX(Transactions[[Transaction code]:[Transaction name]],_xlfn.XMATCH(Transactions[[#This Row],[Parent code]],Transactions[Transaction name],0),3),Transactions[[#This Row],[Transaction name]])</f>
        <v>Production from off-shore</v>
      </c>
      <c r="AL189" s="24" t="str" cm="1">
        <f t="array" ref="AL189">IFERROR(INDEX(Transactions[[Transaction code]:[Transaction name]],_xlfn.XMATCH(INDEX(Transactions[[Transaction name]:[Parent code]],_xlfn.XMATCH(Transactions[[#This Row],[L1N]],Transactions[Transaction name],0),3),Transactions[Transaction code],0),2),Transactions[[#This Row],[L1N]])</f>
        <v>Production</v>
      </c>
      <c r="AM189" s="24" t="str" cm="1">
        <f t="array" ref="AM189">IFERROR(INDEX(Transactions[[Transaction code]:[Transaction name]],_xlfn.XMATCH(INDEX(Transactions[[Transaction name]:[Parent code]],_xlfn.XMATCH(Transactions[[#This Row],[L2N]],Transactions[Transaction name],0),3),Transactions[Transaction code],0),2),Transactions[[#This Row],[L2N]])</f>
        <v>Total energy supply</v>
      </c>
      <c r="AN189" s="24" t="str" cm="1">
        <f t="array" ref="AN189">IFERROR(INDEX(Transactions[[Transaction code]:[Transaction name]],_xlfn.XMATCH(INDEX(Transactions[[Transaction name]:[Parent code]],_xlfn.XMATCH(Transactions[[#This Row],[L3N]],Transactions[Transaction name],0),3),Transactions[Transaction code],0),2),Transactions[[#This Row],[L3N]])</f>
        <v>Total energy supply</v>
      </c>
      <c r="AO189" s="24" t="str" cm="1">
        <f t="array" ref="AO189">IFERROR(INDEX(Transactions[[Transaction code]:[Transaction name]],_xlfn.XMATCH(INDEX(Transactions[[Transaction name]:[Parent code]],_xlfn.XMATCH(Transactions[[#This Row],[L4N]],Transactions[Transaction name],0),3),Transactions[Transaction code],0),2),Transactions[[#This Row],[L4N]])</f>
        <v>Total energy supply</v>
      </c>
      <c r="AP189" s="24" t="str" cm="1">
        <f t="array" ref="AP189">IFERROR(INDEX(Transactions[[Transaction code]:[Transaction name]],_xlfn.XMATCH(INDEX(Transactions[[Transaction name]:[Parent code]],_xlfn.XMATCH(Transactions[[#This Row],[L5N]],Transactions[Transaction name],0),3),Transactions[Transaction code],0),2),Transactions[[#This Row],[L5N]])</f>
        <v>Total energy supply</v>
      </c>
      <c r="AQ189" s="24" t="str" cm="1">
        <f t="array" ref="AQ189">IFERROR(INDEX(Transactions[[Transaction code]:[Transaction name]],_xlfn.XMATCH(INDEX(Transactions[[Transaction name]:[Parent code]],_xlfn.XMATCH(Transactions[[#This Row],[L6N]],Transactions[Transaction name],0),3),Transactions[Transaction code],0),2),Transactions[[#This Row],[L6N]])</f>
        <v>Total energy supply</v>
      </c>
      <c r="AR189" s="28" t="str">
        <f>IF(Transactions[[#This Row],[L7N]]=Transactions[[#This Row],[L6N]],Transactions[[#This Row],[L7N]],IF(Transactions[[#This Row],[L6N]]=Transactions[[#This Row],[L5N]],Transactions[[#This Row],[L6N]],IF(Transactions[[#This Row],[L5N]]=Transactions[[#This Row],[L4N]],Transactions[[#This Row],[L5N]],IF(Transactions[[#This Row],[L4N]]=Transactions[[#This Row],[L3N]],Transactions[[#This Row],[L4N]],IF(Transactions[[#This Row],[L3N]]=Transactions[[#This Row],[L2N]],Transactions[[#This Row],[L3N]],IF(Transactions[[#This Row],[L2N]]=Transactions[[#This Row],[L1N]],Transactions[[#This Row],[L2N]],IF(Transactions[[#This Row],[L1N]]=Transactions[[#This Row],[Transaction name]],Transactions[[#This Row],[L1N]],Transactions[[#This Row],[Transaction name]])))))))</f>
        <v>Total energy supply</v>
      </c>
      <c r="AS189" s="24" t="str">
        <f>IF(Transactions[[#This Row],[Level 0]]=Transactions[[#This Row],[Transaction name]],Transactions[[#This Row],[Transaction name]],IF(Transactions[[#This Row],[Level 0]]=Transactions[[#This Row],[L1N]],Transactions[[#This Row],[Transaction name]],IF(Transactions[[#This Row],[Level 0]]=Transactions[[#This Row],[L2N]],Transactions[[#This Row],[L1N]],IF(Transactions[[#This Row],[Level 0]]=Transactions[[#This Row],[L3N]],Transactions[[#This Row],[L2N]],IF(Transactions[[#This Row],[Level 0]]=Transactions[[#This Row],[L4N]],Transactions[[#This Row],[L3N]],IF(Transactions[[#This Row],[Level 0]]=Transactions[[#This Row],[L5N]],Transactions[[#This Row],[L4N]],IF(Transactions[[#This Row],[Level 0]]=Transactions[[#This Row],[L6N]],Transactions[[#This Row],[L5N]],IF(Transactions[[#This Row],[Level 0]]=Transactions[[#This Row],[L7N]],Transactions[[#This Row],[L6N]],Transactions[[#This Row],[L7N]]))))))))</f>
        <v>Production</v>
      </c>
      <c r="AT189" s="24" t="str">
        <f>IF(Transactions[[#This Row],[Level 1]]=Transactions[[#This Row],[Transaction name]],Transactions[[#This Row],[Transaction name]],IF(Transactions[[#This Row],[Level 1]]=Transactions[[#This Row],[L1N]],Transactions[[#This Row],[Transaction name]],IF(Transactions[[#This Row],[Level 1]]=Transactions[[#This Row],[L2N]],Transactions[[#This Row],[L1N]],IF(Transactions[[#This Row],[Level 1]]=Transactions[[#This Row],[L3N]],Transactions[[#This Row],[L2N]],IF(Transactions[[#This Row],[Level 1]]=Transactions[[#This Row],[L4N]],Transactions[[#This Row],[L3N]],IF(Transactions[[#This Row],[Level 1]]=Transactions[[#This Row],[L5N]],Transactions[[#This Row],[L4N]],IF(Transactions[[#This Row],[Level 1]]=Transactions[[#This Row],[L6N]],Transactions[[#This Row],[L5N]],IF(Transactions[[#This Row],[Level 1]]=Transactions[[#This Row],[L7N]],Transactions[[#This Row],[L6N]],Transactions[[#This Row],[L7N]]))))))))</f>
        <v>Production from off-shore</v>
      </c>
      <c r="AU189" s="24" t="str">
        <f>IF(Transactions[[#This Row],[Level 2]]=Transactions[[#This Row],[Transaction name]],Transactions[[#This Row],[Transaction name]],IF(Transactions[[#This Row],[Level 2]]=Transactions[[#This Row],[L1N]],Transactions[[#This Row],[Transaction name]],IF(Transactions[[#This Row],[Level 2]]=Transactions[[#This Row],[L2N]],Transactions[[#This Row],[L1N]],IF(Transactions[[#This Row],[Level 2]]=Transactions[[#This Row],[L3N]],Transactions[[#This Row],[L2N]],IF(Transactions[[#This Row],[Level 2]]=Transactions[[#This Row],[L4N]],Transactions[[#This Row],[L3N]],IF(Transactions[[#This Row],[Level 2]]=Transactions[[#This Row],[L5N]],Transactions[[#This Row],[L4N]],IF(Transactions[[#This Row],[Level 2]]=Transactions[[#This Row],[L6N]],Transactions[[#This Row],[L5N]],IF(Transactions[[#This Row],[Level 2]]=Transactions[[#This Row],[L7N]],Transactions[[#This Row],[L6N]],Transactions[[#This Row],[L7N]]))))))))</f>
        <v>Production from off-shore</v>
      </c>
      <c r="AV189" s="24" t="str">
        <f>IF(Transactions[[#This Row],[Level 3]]=Transactions[[#This Row],[Transaction name]],Transactions[[#This Row],[Transaction name]],IF(Transactions[[#This Row],[Level 3]]=Transactions[[#This Row],[L1N]],Transactions[[#This Row],[Transaction name]],IF(Transactions[[#This Row],[Level 3]]=Transactions[[#This Row],[L2N]],Transactions[[#This Row],[L1N]],IF(Transactions[[#This Row],[Level 3]]=Transactions[[#This Row],[L3N]],Transactions[[#This Row],[L2N]],IF(Transactions[[#This Row],[Level 3]]=Transactions[[#This Row],[L4N]],Transactions[[#This Row],[L3N]],IF(Transactions[[#This Row],[Level 3]]=Transactions[[#This Row],[L5N]],Transactions[[#This Row],[L4N]],IF(Transactions[[#This Row],[Level 3]]=Transactions[[#This Row],[L6N]],Transactions[[#This Row],[L5N]],IF(Transactions[[#This Row],[Level 3]]=Transactions[[#This Row],[L7N]],Transactions[[#This Row],[L6N]],Transactions[[#This Row],[L7N]]))))))))</f>
        <v>Production from off-shore</v>
      </c>
      <c r="AW189" s="24" t="str">
        <f>IF(Transactions[[#This Row],[Level 4]]=Transactions[[#This Row],[Transaction name]],Transactions[[#This Row],[Transaction name]],IF(Transactions[[#This Row],[Level 4]]=Transactions[[#This Row],[L1N]],Transactions[[#This Row],[Transaction name]],IF(Transactions[[#This Row],[Level 4]]=Transactions[[#This Row],[L2N]],Transactions[[#This Row],[L1N]],IF(Transactions[[#This Row],[Level 4]]=Transactions[[#This Row],[L3N]],Transactions[[#This Row],[L2N]],IF(Transactions[[#This Row],[Level 4]]=Transactions[[#This Row],[L4N]],Transactions[[#This Row],[L3N]],IF(Transactions[[#This Row],[Level 4]]=Transactions[[#This Row],[L5N]],Transactions[[#This Row],[L4N]],IF(Transactions[[#This Row],[Level 4]]=Transactions[[#This Row],[L6N]],Transactions[[#This Row],[L5N]],IF(Transactions[[#This Row],[Level 4]]=Transactions[[#This Row],[L7N]],Transactions[[#This Row],[L6N]],Transactions[[#This Row],[L7N]]))))))))</f>
        <v>Production from off-shore</v>
      </c>
      <c r="AX189" s="24" t="str">
        <f>IF(Transactions[[#This Row],[Level 5]]=Transactions[[#This Row],[Transaction name]],Transactions[[#This Row],[Transaction name]],IF(Transactions[[#This Row],[Level 5]]=Transactions[[#This Row],[L1N]],Transactions[[#This Row],[Transaction name]],IF(Transactions[[#This Row],[Level 5]]=Transactions[[#This Row],[L2N]],Transactions[[#This Row],[L1N]],IF(Transactions[[#This Row],[Level 5]]=Transactions[[#This Row],[L3N]],Transactions[[#This Row],[L2N]],IF(Transactions[[#This Row],[Level 5]]=Transactions[[#This Row],[L4N]],Transactions[[#This Row],[L3N]],IF(Transactions[[#This Row],[Level 5]]=Transactions[[#This Row],[L5N]],Transactions[[#This Row],[L4N]],IF(Transactions[[#This Row],[Level 5]]=Transactions[[#This Row],[L6N]],Transactions[[#This Row],[L5N]],IF(Transactions[[#This Row],[Level 5]]=Transactions[[#This Row],[L7N]],Transactions[[#This Row],[L6N]],Transactions[[#This Row],[L7N]]))))))))</f>
        <v>Production from off-shore</v>
      </c>
      <c r="AY189" s="24" t="str">
        <f>IF(Transactions[[#This Row],[Level 6]]=Transactions[[#This Row],[Transaction name]],Transactions[[#This Row],[Transaction name]],IF(Transactions[[#This Row],[Level 6]]=Transactions[[#This Row],[L1N]],Transactions[[#This Row],[Transaction name]],IF(Transactions[[#This Row],[Level 6]]=Transactions[[#This Row],[L2N]],Transactions[[#This Row],[L1N]],IF(Transactions[[#This Row],[Level 6]]=Transactions[[#This Row],[L3N]],Transactions[[#This Row],[L2N]],IF(Transactions[[#This Row],[Level 6]]=Transactions[[#This Row],[L4N]],Transactions[[#This Row],[L3N]],IF(Transactions[[#This Row],[Level 6]]=Transactions[[#This Row],[L5N]],Transactions[[#This Row],[L4N]],IF(Transactions[[#This Row],[Level 6]]=Transactions[[#This Row],[L6N]],Transactions[[#This Row],[L5N]],IF(Transactions[[#This Row],[Level 6]]=Transactions[[#This Row],[L7N]],Transactions[[#This Row],[L6N]],Transactions[[#This Row],[L7N]]))))))))</f>
        <v>Production from off-shore</v>
      </c>
      <c r="BE189" s="26" t="str">
        <f>_xlfn.XLOOKUP(Transformation[[#This Row],[cfrom]],Commodities[Commodity],Commodities[Commodity code])</f>
        <v>7000</v>
      </c>
      <c r="BF189" s="26" t="str">
        <f>_xlfn.XLOOKUP(Transformation[[#This Row],[tfrom]],Transactions[Transaction name],Transactions[Transaction code])</f>
        <v>015NE</v>
      </c>
      <c r="BG189" s="26" t="str">
        <f>_xlfn.XLOOKUP(Transformation[[#This Row],[cto]],Commodities[Commodity],Commodities[Commodity code])</f>
        <v>9101</v>
      </c>
      <c r="BH189" s="26" t="str">
        <f>_xlfn.XLOOKUP(Transformation[[#This Row],[tto]],Transactions[Transaction name],Transactions[Transaction code])</f>
        <v>015NE</v>
      </c>
      <c r="BI189" s="11">
        <v>-3</v>
      </c>
      <c r="BJ189" s="4" t="s">
        <v>544</v>
      </c>
      <c r="BK189" s="24" t="str">
        <f>_xlfn.XLOOKUP(Transformation[[#This Row],[Commodity from]],Commodities[Commodity code],Commodities[EnergyCode])</f>
        <v>EL</v>
      </c>
      <c r="BL189" s="4" t="s">
        <v>681</v>
      </c>
      <c r="BM189" s="4" t="s">
        <v>256</v>
      </c>
      <c r="BN189" s="24" t="str">
        <f>_xlfn.XLOOKUP(Transformation[[#This Row],[Commodity to]],Commodities[Commodity code],Commodities[EnergyCode])</f>
        <v>EN</v>
      </c>
      <c r="BO189" s="4" t="s">
        <v>681</v>
      </c>
      <c r="BP189" s="16" t="s">
        <v>1493</v>
      </c>
      <c r="BQ189" s="33" t="str">
        <f>Transformation[[#This Row],[Commodity from]]&amp;Transformation[[#This Row],[Transaction from]]&amp;Transformation[[#This Row],[Commodity to]]&amp;Transformation[[#This Row],[Transaction to]]</f>
        <v>7000015NE9101015NE</v>
      </c>
      <c r="BR189" s="26" t="str">
        <f>Transformation[[#This Row],[crfomid]]&amp;Transformation[[#This Row],[Transaction from]]&amp;"("&amp;Transformation[[#This Row],[Multiplier]]&amp;") -&gt; "&amp;Transformation[[#This Row],[ctoid]]&amp;Transformation[[#This Row],[Transaction to]]</f>
        <v>EL015NE(-3) -&gt; EN015NE</v>
      </c>
    </row>
    <row r="190" spans="25:70" x14ac:dyDescent="0.45">
      <c r="Y190" s="5" t="s">
        <v>1085</v>
      </c>
      <c r="Z190" s="4" t="s">
        <v>1061</v>
      </c>
      <c r="AA190" s="4" t="s">
        <v>1346</v>
      </c>
      <c r="AB190" s="4" t="s">
        <v>2</v>
      </c>
      <c r="AC190" s="24" t="str">
        <f>IFERROR(VLOOKUP(Transactions[[#This Row],[Parent code]],Transactions[[Transaction code]:[Transaction name]],2,0),"")</f>
        <v>Production, Autoproducers total</v>
      </c>
      <c r="AD190" s="4" t="s">
        <v>189</v>
      </c>
      <c r="AE190" s="4" t="s">
        <v>959</v>
      </c>
      <c r="AF190" s="4" t="s">
        <v>642</v>
      </c>
      <c r="AG190" s="4" t="s">
        <v>1</v>
      </c>
      <c r="AH190" s="4" t="s">
        <v>696</v>
      </c>
      <c r="AI190" s="12" t="s">
        <v>1416</v>
      </c>
      <c r="AJ190" s="4" t="s">
        <v>0</v>
      </c>
      <c r="AK190" s="24" t="str" cm="1">
        <f t="array" ref="AK190">IFERROR(INDEX(Transactions[[Transaction code]:[Transaction name]],_xlfn.XMATCH(Transactions[[#This Row],[Parent code]],Transactions[Transaction name],0),3),Transactions[[#This Row],[Transaction name]])</f>
        <v>Electricity, CHP and Heat plants - Autoproducer - bagasse</v>
      </c>
      <c r="AL190" s="24" t="str" cm="1">
        <f t="array" ref="AL190">IFERROR(INDEX(Transactions[[Transaction code]:[Transaction name]],_xlfn.XMATCH(INDEX(Transactions[[Transaction name]:[Parent code]],_xlfn.XMATCH(Transactions[[#This Row],[L1N]],Transactions[Transaction name],0),3),Transactions[Transaction code],0),2),Transactions[[#This Row],[L1N]])</f>
        <v>Production, Autoproducers total</v>
      </c>
      <c r="AM190" s="24" t="str" cm="1">
        <f t="array" ref="AM190">IFERROR(INDEX(Transactions[[Transaction code]:[Transaction name]],_xlfn.XMATCH(INDEX(Transactions[[Transaction name]:[Parent code]],_xlfn.XMATCH(Transactions[[#This Row],[L2N]],Transactions[Transaction name],0),3),Transactions[Transaction code],0),2),Transactions[[#This Row],[L2N]])</f>
        <v>Production</v>
      </c>
      <c r="AN190" s="24" t="str" cm="1">
        <f t="array" ref="AN190">IFERROR(INDEX(Transactions[[Transaction code]:[Transaction name]],_xlfn.XMATCH(INDEX(Transactions[[Transaction name]:[Parent code]],_xlfn.XMATCH(Transactions[[#This Row],[L3N]],Transactions[Transaction name],0),3),Transactions[Transaction code],0),2),Transactions[[#This Row],[L3N]])</f>
        <v>Total energy supply</v>
      </c>
      <c r="AO190" s="24" t="str" cm="1">
        <f t="array" ref="AO190">IFERROR(INDEX(Transactions[[Transaction code]:[Transaction name]],_xlfn.XMATCH(INDEX(Transactions[[Transaction name]:[Parent code]],_xlfn.XMATCH(Transactions[[#This Row],[L4N]],Transactions[Transaction name],0),3),Transactions[Transaction code],0),2),Transactions[[#This Row],[L4N]])</f>
        <v>Total energy supply</v>
      </c>
      <c r="AP190" s="24" t="str" cm="1">
        <f t="array" ref="AP190">IFERROR(INDEX(Transactions[[Transaction code]:[Transaction name]],_xlfn.XMATCH(INDEX(Transactions[[Transaction name]:[Parent code]],_xlfn.XMATCH(Transactions[[#This Row],[L5N]],Transactions[Transaction name],0),3),Transactions[Transaction code],0),2),Transactions[[#This Row],[L5N]])</f>
        <v>Total energy supply</v>
      </c>
      <c r="AQ190" s="24" t="str" cm="1">
        <f t="array" ref="AQ190">IFERROR(INDEX(Transactions[[Transaction code]:[Transaction name]],_xlfn.XMATCH(INDEX(Transactions[[Transaction name]:[Parent code]],_xlfn.XMATCH(Transactions[[#This Row],[L6N]],Transactions[Transaction name],0),3),Transactions[Transaction code],0),2),Transactions[[#This Row],[L6N]])</f>
        <v>Total energy supply</v>
      </c>
      <c r="AR190" s="28" t="str">
        <f>IF(Transactions[[#This Row],[L7N]]=Transactions[[#This Row],[L6N]],Transactions[[#This Row],[L7N]],IF(Transactions[[#This Row],[L6N]]=Transactions[[#This Row],[L5N]],Transactions[[#This Row],[L6N]],IF(Transactions[[#This Row],[L5N]]=Transactions[[#This Row],[L4N]],Transactions[[#This Row],[L5N]],IF(Transactions[[#This Row],[L4N]]=Transactions[[#This Row],[L3N]],Transactions[[#This Row],[L4N]],IF(Transactions[[#This Row],[L3N]]=Transactions[[#This Row],[L2N]],Transactions[[#This Row],[L3N]],IF(Transactions[[#This Row],[L2N]]=Transactions[[#This Row],[L1N]],Transactions[[#This Row],[L2N]],IF(Transactions[[#This Row],[L1N]]=Transactions[[#This Row],[Transaction name]],Transactions[[#This Row],[L1N]],Transactions[[#This Row],[Transaction name]])))))))</f>
        <v>Total energy supply</v>
      </c>
      <c r="AS190" s="24" t="str">
        <f>IF(Transactions[[#This Row],[Level 0]]=Transactions[[#This Row],[Transaction name]],Transactions[[#This Row],[Transaction name]],IF(Transactions[[#This Row],[Level 0]]=Transactions[[#This Row],[L1N]],Transactions[[#This Row],[Transaction name]],IF(Transactions[[#This Row],[Level 0]]=Transactions[[#This Row],[L2N]],Transactions[[#This Row],[L1N]],IF(Transactions[[#This Row],[Level 0]]=Transactions[[#This Row],[L3N]],Transactions[[#This Row],[L2N]],IF(Transactions[[#This Row],[Level 0]]=Transactions[[#This Row],[L4N]],Transactions[[#This Row],[L3N]],IF(Transactions[[#This Row],[Level 0]]=Transactions[[#This Row],[L5N]],Transactions[[#This Row],[L4N]],IF(Transactions[[#This Row],[Level 0]]=Transactions[[#This Row],[L6N]],Transactions[[#This Row],[L5N]],IF(Transactions[[#This Row],[Level 0]]=Transactions[[#This Row],[L7N]],Transactions[[#This Row],[L6N]],Transactions[[#This Row],[L7N]]))))))))</f>
        <v>Production</v>
      </c>
      <c r="AT190" s="24" t="str">
        <f>IF(Transactions[[#This Row],[Level 1]]=Transactions[[#This Row],[Transaction name]],Transactions[[#This Row],[Transaction name]],IF(Transactions[[#This Row],[Level 1]]=Transactions[[#This Row],[L1N]],Transactions[[#This Row],[Transaction name]],IF(Transactions[[#This Row],[Level 1]]=Transactions[[#This Row],[L2N]],Transactions[[#This Row],[L1N]],IF(Transactions[[#This Row],[Level 1]]=Transactions[[#This Row],[L3N]],Transactions[[#This Row],[L2N]],IF(Transactions[[#This Row],[Level 1]]=Transactions[[#This Row],[L4N]],Transactions[[#This Row],[L3N]],IF(Transactions[[#This Row],[Level 1]]=Transactions[[#This Row],[L5N]],Transactions[[#This Row],[L4N]],IF(Transactions[[#This Row],[Level 1]]=Transactions[[#This Row],[L6N]],Transactions[[#This Row],[L5N]],IF(Transactions[[#This Row],[Level 1]]=Transactions[[#This Row],[L7N]],Transactions[[#This Row],[L6N]],Transactions[[#This Row],[L7N]]))))))))</f>
        <v>Production, Autoproducers total</v>
      </c>
      <c r="AU190" s="24" t="str">
        <f>IF(Transactions[[#This Row],[Level 2]]=Transactions[[#This Row],[Transaction name]],Transactions[[#This Row],[Transaction name]],IF(Transactions[[#This Row],[Level 2]]=Transactions[[#This Row],[L1N]],Transactions[[#This Row],[Transaction name]],IF(Transactions[[#This Row],[Level 2]]=Transactions[[#This Row],[L2N]],Transactions[[#This Row],[L1N]],IF(Transactions[[#This Row],[Level 2]]=Transactions[[#This Row],[L3N]],Transactions[[#This Row],[L2N]],IF(Transactions[[#This Row],[Level 2]]=Transactions[[#This Row],[L4N]],Transactions[[#This Row],[L3N]],IF(Transactions[[#This Row],[Level 2]]=Transactions[[#This Row],[L5N]],Transactions[[#This Row],[L4N]],IF(Transactions[[#This Row],[Level 2]]=Transactions[[#This Row],[L6N]],Transactions[[#This Row],[L5N]],IF(Transactions[[#This Row],[Level 2]]=Transactions[[#This Row],[L7N]],Transactions[[#This Row],[L6N]],Transactions[[#This Row],[L7N]]))))))))</f>
        <v>Electricity, CHP and Heat plants - Autoproducer - bagasse</v>
      </c>
      <c r="AV190" s="24" t="str">
        <f>IF(Transactions[[#This Row],[Level 3]]=Transactions[[#This Row],[Transaction name]],Transactions[[#This Row],[Transaction name]],IF(Transactions[[#This Row],[Level 3]]=Transactions[[#This Row],[L1N]],Transactions[[#This Row],[Transaction name]],IF(Transactions[[#This Row],[Level 3]]=Transactions[[#This Row],[L2N]],Transactions[[#This Row],[L1N]],IF(Transactions[[#This Row],[Level 3]]=Transactions[[#This Row],[L3N]],Transactions[[#This Row],[L2N]],IF(Transactions[[#This Row],[Level 3]]=Transactions[[#This Row],[L4N]],Transactions[[#This Row],[L3N]],IF(Transactions[[#This Row],[Level 3]]=Transactions[[#This Row],[L5N]],Transactions[[#This Row],[L4N]],IF(Transactions[[#This Row],[Level 3]]=Transactions[[#This Row],[L6N]],Transactions[[#This Row],[L5N]],IF(Transactions[[#This Row],[Level 3]]=Transactions[[#This Row],[L7N]],Transactions[[#This Row],[L6N]],Transactions[[#This Row],[L7N]]))))))))</f>
        <v>Electricity, CHP and Heat plants - Autoproducer - bagasse</v>
      </c>
      <c r="AW190" s="24" t="str">
        <f>IF(Transactions[[#This Row],[Level 4]]=Transactions[[#This Row],[Transaction name]],Transactions[[#This Row],[Transaction name]],IF(Transactions[[#This Row],[Level 4]]=Transactions[[#This Row],[L1N]],Transactions[[#This Row],[Transaction name]],IF(Transactions[[#This Row],[Level 4]]=Transactions[[#This Row],[L2N]],Transactions[[#This Row],[L1N]],IF(Transactions[[#This Row],[Level 4]]=Transactions[[#This Row],[L3N]],Transactions[[#This Row],[L2N]],IF(Transactions[[#This Row],[Level 4]]=Transactions[[#This Row],[L4N]],Transactions[[#This Row],[L3N]],IF(Transactions[[#This Row],[Level 4]]=Transactions[[#This Row],[L5N]],Transactions[[#This Row],[L4N]],IF(Transactions[[#This Row],[Level 4]]=Transactions[[#This Row],[L6N]],Transactions[[#This Row],[L5N]],IF(Transactions[[#This Row],[Level 4]]=Transactions[[#This Row],[L7N]],Transactions[[#This Row],[L6N]],Transactions[[#This Row],[L7N]]))))))))</f>
        <v>Electricity, CHP and Heat plants - Autoproducer - bagasse</v>
      </c>
      <c r="AX190" s="24" t="str">
        <f>IF(Transactions[[#This Row],[Level 5]]=Transactions[[#This Row],[Transaction name]],Transactions[[#This Row],[Transaction name]],IF(Transactions[[#This Row],[Level 5]]=Transactions[[#This Row],[L1N]],Transactions[[#This Row],[Transaction name]],IF(Transactions[[#This Row],[Level 5]]=Transactions[[#This Row],[L2N]],Transactions[[#This Row],[L1N]],IF(Transactions[[#This Row],[Level 5]]=Transactions[[#This Row],[L3N]],Transactions[[#This Row],[L2N]],IF(Transactions[[#This Row],[Level 5]]=Transactions[[#This Row],[L4N]],Transactions[[#This Row],[L3N]],IF(Transactions[[#This Row],[Level 5]]=Transactions[[#This Row],[L5N]],Transactions[[#This Row],[L4N]],IF(Transactions[[#This Row],[Level 5]]=Transactions[[#This Row],[L6N]],Transactions[[#This Row],[L5N]],IF(Transactions[[#This Row],[Level 5]]=Transactions[[#This Row],[L7N]],Transactions[[#This Row],[L6N]],Transactions[[#This Row],[L7N]]))))))))</f>
        <v>Electricity, CHP and Heat plants - Autoproducer - bagasse</v>
      </c>
      <c r="AY190" s="24" t="str">
        <f>IF(Transactions[[#This Row],[Level 6]]=Transactions[[#This Row],[Transaction name]],Transactions[[#This Row],[Transaction name]],IF(Transactions[[#This Row],[Level 6]]=Transactions[[#This Row],[L1N]],Transactions[[#This Row],[Transaction name]],IF(Transactions[[#This Row],[Level 6]]=Transactions[[#This Row],[L2N]],Transactions[[#This Row],[L1N]],IF(Transactions[[#This Row],[Level 6]]=Transactions[[#This Row],[L3N]],Transactions[[#This Row],[L2N]],IF(Transactions[[#This Row],[Level 6]]=Transactions[[#This Row],[L4N]],Transactions[[#This Row],[L3N]],IF(Transactions[[#This Row],[Level 6]]=Transactions[[#This Row],[L5N]],Transactions[[#This Row],[L4N]],IF(Transactions[[#This Row],[Level 6]]=Transactions[[#This Row],[L6N]],Transactions[[#This Row],[L5N]],IF(Transactions[[#This Row],[Level 6]]=Transactions[[#This Row],[L7N]],Transactions[[#This Row],[L6N]],Transactions[[#This Row],[L7N]]))))))))</f>
        <v>Electricity, CHP and Heat plants - Autoproducer - bagasse</v>
      </c>
      <c r="BE190" s="26" t="str">
        <f>_xlfn.XLOOKUP(Transformation[[#This Row],[cfrom]],Commodities[Commodity],Commodities[Commodity code])</f>
        <v>7000</v>
      </c>
      <c r="BF190" s="26" t="str">
        <f>_xlfn.XLOOKUP(Transformation[[#This Row],[tfrom]],Transactions[Transaction name],Transactions[Transaction code])</f>
        <v>015PH</v>
      </c>
      <c r="BG190" s="26" t="str">
        <f>_xlfn.XLOOKUP(Transformation[[#This Row],[cto]],Commodities[Commodity],Commodities[Commodity code])</f>
        <v>7000H</v>
      </c>
      <c r="BH190" s="26" t="str">
        <f>_xlfn.XLOOKUP(Transformation[[#This Row],[tto]],Transactions[Transaction name],Transactions[Transaction code])</f>
        <v>01</v>
      </c>
      <c r="BI190" s="11">
        <v>-1</v>
      </c>
      <c r="BJ190" s="4" t="s">
        <v>544</v>
      </c>
      <c r="BK190" s="24" t="str">
        <f>_xlfn.XLOOKUP(Transformation[[#This Row],[Commodity from]],Commodities[Commodity code],Commodities[EnergyCode])</f>
        <v>EL</v>
      </c>
      <c r="BL190" s="4" t="s">
        <v>1413</v>
      </c>
      <c r="BM190" s="4" t="s">
        <v>281</v>
      </c>
      <c r="BN190" s="24" t="str">
        <f>_xlfn.XLOOKUP(Transformation[[#This Row],[Commodity to]],Commodities[Commodity code],Commodities[EnergyCode])</f>
        <v>EH</v>
      </c>
      <c r="BO190" s="4" t="s">
        <v>383</v>
      </c>
      <c r="BP190" s="4" t="s">
        <v>1414</v>
      </c>
      <c r="BQ190" s="33" t="str">
        <f>Transformation[[#This Row],[Commodity from]]&amp;Transformation[[#This Row],[Transaction from]]&amp;Transformation[[#This Row],[Commodity to]]&amp;Transformation[[#This Row],[Transaction to]]</f>
        <v>7000015PH7000H01</v>
      </c>
      <c r="BR190" s="26" t="str">
        <f>Transformation[[#This Row],[crfomid]]&amp;Transformation[[#This Row],[Transaction from]]&amp;"("&amp;Transformation[[#This Row],[Multiplier]]&amp;") -&gt; "&amp;Transformation[[#This Row],[ctoid]]&amp;Transformation[[#This Row],[Transaction to]]</f>
        <v>EL015PH(-1) -&gt; EH01</v>
      </c>
    </row>
    <row r="191" spans="25:70" x14ac:dyDescent="0.45">
      <c r="Y191" s="5" t="s">
        <v>1093</v>
      </c>
      <c r="Z191" s="4" t="s">
        <v>1069</v>
      </c>
      <c r="AA191" s="4" t="s">
        <v>1350</v>
      </c>
      <c r="AB191" s="4" t="s">
        <v>2</v>
      </c>
      <c r="AC191" s="24" t="str">
        <f>IFERROR(VLOOKUP(Transactions[[#This Row],[Parent code]],Transactions[[Transaction code]:[Transaction name]],2,0),"")</f>
        <v>Production, Autoproducers total</v>
      </c>
      <c r="AD191" s="4" t="s">
        <v>189</v>
      </c>
      <c r="AE191" s="4" t="s">
        <v>959</v>
      </c>
      <c r="AF191" s="4" t="s">
        <v>642</v>
      </c>
      <c r="AG191" s="4" t="s">
        <v>1</v>
      </c>
      <c r="AH191" s="4" t="s">
        <v>696</v>
      </c>
      <c r="AI191" s="12" t="s">
        <v>1416</v>
      </c>
      <c r="AJ191" s="4" t="s">
        <v>0</v>
      </c>
      <c r="AK191" s="24" t="str" cm="1">
        <f t="array" ref="AK191">IFERROR(INDEX(Transactions[[Transaction code]:[Transaction name]],_xlfn.XMATCH(Transactions[[#This Row],[Parent code]],Transactions[Transaction name],0),3),Transactions[[#This Row],[Transaction name]])</f>
        <v>Electricity, CHP and Heat plants - Autoproducer - biogases</v>
      </c>
      <c r="AL191" s="24" t="str" cm="1">
        <f t="array" ref="AL191">IFERROR(INDEX(Transactions[[Transaction code]:[Transaction name]],_xlfn.XMATCH(INDEX(Transactions[[Transaction name]:[Parent code]],_xlfn.XMATCH(Transactions[[#This Row],[L1N]],Transactions[Transaction name],0),3),Transactions[Transaction code],0),2),Transactions[[#This Row],[L1N]])</f>
        <v>Production, Autoproducers total</v>
      </c>
      <c r="AM191" s="24" t="str" cm="1">
        <f t="array" ref="AM191">IFERROR(INDEX(Transactions[[Transaction code]:[Transaction name]],_xlfn.XMATCH(INDEX(Transactions[[Transaction name]:[Parent code]],_xlfn.XMATCH(Transactions[[#This Row],[L2N]],Transactions[Transaction name],0),3),Transactions[Transaction code],0),2),Transactions[[#This Row],[L2N]])</f>
        <v>Production</v>
      </c>
      <c r="AN191" s="24" t="str" cm="1">
        <f t="array" ref="AN191">IFERROR(INDEX(Transactions[[Transaction code]:[Transaction name]],_xlfn.XMATCH(INDEX(Transactions[[Transaction name]:[Parent code]],_xlfn.XMATCH(Transactions[[#This Row],[L3N]],Transactions[Transaction name],0),3),Transactions[Transaction code],0),2),Transactions[[#This Row],[L3N]])</f>
        <v>Total energy supply</v>
      </c>
      <c r="AO191" s="24" t="str" cm="1">
        <f t="array" ref="AO191">IFERROR(INDEX(Transactions[[Transaction code]:[Transaction name]],_xlfn.XMATCH(INDEX(Transactions[[Transaction name]:[Parent code]],_xlfn.XMATCH(Transactions[[#This Row],[L4N]],Transactions[Transaction name],0),3),Transactions[Transaction code],0),2),Transactions[[#This Row],[L4N]])</f>
        <v>Total energy supply</v>
      </c>
      <c r="AP191" s="24" t="str" cm="1">
        <f t="array" ref="AP191">IFERROR(INDEX(Transactions[[Transaction code]:[Transaction name]],_xlfn.XMATCH(INDEX(Transactions[[Transaction name]:[Parent code]],_xlfn.XMATCH(Transactions[[#This Row],[L5N]],Transactions[Transaction name],0),3),Transactions[Transaction code],0),2),Transactions[[#This Row],[L5N]])</f>
        <v>Total energy supply</v>
      </c>
      <c r="AQ191" s="24" t="str" cm="1">
        <f t="array" ref="AQ191">IFERROR(INDEX(Transactions[[Transaction code]:[Transaction name]],_xlfn.XMATCH(INDEX(Transactions[[Transaction name]:[Parent code]],_xlfn.XMATCH(Transactions[[#This Row],[L6N]],Transactions[Transaction name],0),3),Transactions[Transaction code],0),2),Transactions[[#This Row],[L6N]])</f>
        <v>Total energy supply</v>
      </c>
      <c r="AR191" s="28" t="str">
        <f>IF(Transactions[[#This Row],[L7N]]=Transactions[[#This Row],[L6N]],Transactions[[#This Row],[L7N]],IF(Transactions[[#This Row],[L6N]]=Transactions[[#This Row],[L5N]],Transactions[[#This Row],[L6N]],IF(Transactions[[#This Row],[L5N]]=Transactions[[#This Row],[L4N]],Transactions[[#This Row],[L5N]],IF(Transactions[[#This Row],[L4N]]=Transactions[[#This Row],[L3N]],Transactions[[#This Row],[L4N]],IF(Transactions[[#This Row],[L3N]]=Transactions[[#This Row],[L2N]],Transactions[[#This Row],[L3N]],IF(Transactions[[#This Row],[L2N]]=Transactions[[#This Row],[L1N]],Transactions[[#This Row],[L2N]],IF(Transactions[[#This Row],[L1N]]=Transactions[[#This Row],[Transaction name]],Transactions[[#This Row],[L1N]],Transactions[[#This Row],[Transaction name]])))))))</f>
        <v>Total energy supply</v>
      </c>
      <c r="AS191" s="24" t="str">
        <f>IF(Transactions[[#This Row],[Level 0]]=Transactions[[#This Row],[Transaction name]],Transactions[[#This Row],[Transaction name]],IF(Transactions[[#This Row],[Level 0]]=Transactions[[#This Row],[L1N]],Transactions[[#This Row],[Transaction name]],IF(Transactions[[#This Row],[Level 0]]=Transactions[[#This Row],[L2N]],Transactions[[#This Row],[L1N]],IF(Transactions[[#This Row],[Level 0]]=Transactions[[#This Row],[L3N]],Transactions[[#This Row],[L2N]],IF(Transactions[[#This Row],[Level 0]]=Transactions[[#This Row],[L4N]],Transactions[[#This Row],[L3N]],IF(Transactions[[#This Row],[Level 0]]=Transactions[[#This Row],[L5N]],Transactions[[#This Row],[L4N]],IF(Transactions[[#This Row],[Level 0]]=Transactions[[#This Row],[L6N]],Transactions[[#This Row],[L5N]],IF(Transactions[[#This Row],[Level 0]]=Transactions[[#This Row],[L7N]],Transactions[[#This Row],[L6N]],Transactions[[#This Row],[L7N]]))))))))</f>
        <v>Production</v>
      </c>
      <c r="AT191" s="24" t="str">
        <f>IF(Transactions[[#This Row],[Level 1]]=Transactions[[#This Row],[Transaction name]],Transactions[[#This Row],[Transaction name]],IF(Transactions[[#This Row],[Level 1]]=Transactions[[#This Row],[L1N]],Transactions[[#This Row],[Transaction name]],IF(Transactions[[#This Row],[Level 1]]=Transactions[[#This Row],[L2N]],Transactions[[#This Row],[L1N]],IF(Transactions[[#This Row],[Level 1]]=Transactions[[#This Row],[L3N]],Transactions[[#This Row],[L2N]],IF(Transactions[[#This Row],[Level 1]]=Transactions[[#This Row],[L4N]],Transactions[[#This Row],[L3N]],IF(Transactions[[#This Row],[Level 1]]=Transactions[[#This Row],[L5N]],Transactions[[#This Row],[L4N]],IF(Transactions[[#This Row],[Level 1]]=Transactions[[#This Row],[L6N]],Transactions[[#This Row],[L5N]],IF(Transactions[[#This Row],[Level 1]]=Transactions[[#This Row],[L7N]],Transactions[[#This Row],[L6N]],Transactions[[#This Row],[L7N]]))))))))</f>
        <v>Production, Autoproducers total</v>
      </c>
      <c r="AU191" s="24" t="str">
        <f>IF(Transactions[[#This Row],[Level 2]]=Transactions[[#This Row],[Transaction name]],Transactions[[#This Row],[Transaction name]],IF(Transactions[[#This Row],[Level 2]]=Transactions[[#This Row],[L1N]],Transactions[[#This Row],[Transaction name]],IF(Transactions[[#This Row],[Level 2]]=Transactions[[#This Row],[L2N]],Transactions[[#This Row],[L1N]],IF(Transactions[[#This Row],[Level 2]]=Transactions[[#This Row],[L3N]],Transactions[[#This Row],[L2N]],IF(Transactions[[#This Row],[Level 2]]=Transactions[[#This Row],[L4N]],Transactions[[#This Row],[L3N]],IF(Transactions[[#This Row],[Level 2]]=Transactions[[#This Row],[L5N]],Transactions[[#This Row],[L4N]],IF(Transactions[[#This Row],[Level 2]]=Transactions[[#This Row],[L6N]],Transactions[[#This Row],[L5N]],IF(Transactions[[#This Row],[Level 2]]=Transactions[[#This Row],[L7N]],Transactions[[#This Row],[L6N]],Transactions[[#This Row],[L7N]]))))))))</f>
        <v>Electricity, CHP and Heat plants - Autoproducer - biogases</v>
      </c>
      <c r="AV191" s="24" t="str">
        <f>IF(Transactions[[#This Row],[Level 3]]=Transactions[[#This Row],[Transaction name]],Transactions[[#This Row],[Transaction name]],IF(Transactions[[#This Row],[Level 3]]=Transactions[[#This Row],[L1N]],Transactions[[#This Row],[Transaction name]],IF(Transactions[[#This Row],[Level 3]]=Transactions[[#This Row],[L2N]],Transactions[[#This Row],[L1N]],IF(Transactions[[#This Row],[Level 3]]=Transactions[[#This Row],[L3N]],Transactions[[#This Row],[L2N]],IF(Transactions[[#This Row],[Level 3]]=Transactions[[#This Row],[L4N]],Transactions[[#This Row],[L3N]],IF(Transactions[[#This Row],[Level 3]]=Transactions[[#This Row],[L5N]],Transactions[[#This Row],[L4N]],IF(Transactions[[#This Row],[Level 3]]=Transactions[[#This Row],[L6N]],Transactions[[#This Row],[L5N]],IF(Transactions[[#This Row],[Level 3]]=Transactions[[#This Row],[L7N]],Transactions[[#This Row],[L6N]],Transactions[[#This Row],[L7N]]))))))))</f>
        <v>Electricity, CHP and Heat plants - Autoproducer - biogases</v>
      </c>
      <c r="AW191" s="24" t="str">
        <f>IF(Transactions[[#This Row],[Level 4]]=Transactions[[#This Row],[Transaction name]],Transactions[[#This Row],[Transaction name]],IF(Transactions[[#This Row],[Level 4]]=Transactions[[#This Row],[L1N]],Transactions[[#This Row],[Transaction name]],IF(Transactions[[#This Row],[Level 4]]=Transactions[[#This Row],[L2N]],Transactions[[#This Row],[L1N]],IF(Transactions[[#This Row],[Level 4]]=Transactions[[#This Row],[L3N]],Transactions[[#This Row],[L2N]],IF(Transactions[[#This Row],[Level 4]]=Transactions[[#This Row],[L4N]],Transactions[[#This Row],[L3N]],IF(Transactions[[#This Row],[Level 4]]=Transactions[[#This Row],[L5N]],Transactions[[#This Row],[L4N]],IF(Transactions[[#This Row],[Level 4]]=Transactions[[#This Row],[L6N]],Transactions[[#This Row],[L5N]],IF(Transactions[[#This Row],[Level 4]]=Transactions[[#This Row],[L7N]],Transactions[[#This Row],[L6N]],Transactions[[#This Row],[L7N]]))))))))</f>
        <v>Electricity, CHP and Heat plants - Autoproducer - biogases</v>
      </c>
      <c r="AX191" s="24" t="str">
        <f>IF(Transactions[[#This Row],[Level 5]]=Transactions[[#This Row],[Transaction name]],Transactions[[#This Row],[Transaction name]],IF(Transactions[[#This Row],[Level 5]]=Transactions[[#This Row],[L1N]],Transactions[[#This Row],[Transaction name]],IF(Transactions[[#This Row],[Level 5]]=Transactions[[#This Row],[L2N]],Transactions[[#This Row],[L1N]],IF(Transactions[[#This Row],[Level 5]]=Transactions[[#This Row],[L3N]],Transactions[[#This Row],[L2N]],IF(Transactions[[#This Row],[Level 5]]=Transactions[[#This Row],[L4N]],Transactions[[#This Row],[L3N]],IF(Transactions[[#This Row],[Level 5]]=Transactions[[#This Row],[L5N]],Transactions[[#This Row],[L4N]],IF(Transactions[[#This Row],[Level 5]]=Transactions[[#This Row],[L6N]],Transactions[[#This Row],[L5N]],IF(Transactions[[#This Row],[Level 5]]=Transactions[[#This Row],[L7N]],Transactions[[#This Row],[L6N]],Transactions[[#This Row],[L7N]]))))))))</f>
        <v>Electricity, CHP and Heat plants - Autoproducer - biogases</v>
      </c>
      <c r="AY191" s="24" t="str">
        <f>IF(Transactions[[#This Row],[Level 6]]=Transactions[[#This Row],[Transaction name]],Transactions[[#This Row],[Transaction name]],IF(Transactions[[#This Row],[Level 6]]=Transactions[[#This Row],[L1N]],Transactions[[#This Row],[Transaction name]],IF(Transactions[[#This Row],[Level 6]]=Transactions[[#This Row],[L2N]],Transactions[[#This Row],[L1N]],IF(Transactions[[#This Row],[Level 6]]=Transactions[[#This Row],[L3N]],Transactions[[#This Row],[L2N]],IF(Transactions[[#This Row],[Level 6]]=Transactions[[#This Row],[L4N]],Transactions[[#This Row],[L3N]],IF(Transactions[[#This Row],[Level 6]]=Transactions[[#This Row],[L5N]],Transactions[[#This Row],[L4N]],IF(Transactions[[#This Row],[Level 6]]=Transactions[[#This Row],[L6N]],Transactions[[#This Row],[L5N]],IF(Transactions[[#This Row],[Level 6]]=Transactions[[#This Row],[L7N]],Transactions[[#This Row],[L6N]],Transactions[[#This Row],[L7N]]))))))))</f>
        <v>Electricity, CHP and Heat plants - Autoproducer - biogases</v>
      </c>
      <c r="BE191" s="26" t="str">
        <f>_xlfn.XLOOKUP(Transformation[[#This Row],[cfrom]],Commodities[Commodity],Commodities[Commodity code])</f>
        <v>7000</v>
      </c>
      <c r="BF191" s="26" t="str">
        <f>_xlfn.XLOOKUP(Transformation[[#This Row],[tfrom]],Transactions[Transaction name],Transactions[Transaction code])</f>
        <v>015PH</v>
      </c>
      <c r="BG191" s="26" t="str">
        <f>_xlfn.XLOOKUP(Transformation[[#This Row],[cto]],Commodities[Commodity],Commodities[Commodity code])</f>
        <v>7000</v>
      </c>
      <c r="BH191" s="26" t="str">
        <f>_xlfn.XLOOKUP(Transformation[[#This Row],[tto]],Transactions[Transaction name],Transactions[Transaction code])</f>
        <v>0926</v>
      </c>
      <c r="BI191" s="31">
        <v>1</v>
      </c>
      <c r="BJ191" s="22" t="s">
        <v>544</v>
      </c>
      <c r="BK191" s="26" t="str">
        <f>_xlfn.XLOOKUP(Transformation[[#This Row],[Commodity from]],Commodities[Commodity code],Commodities[EnergyCode])</f>
        <v>EL</v>
      </c>
      <c r="BL191" s="22" t="s">
        <v>1413</v>
      </c>
      <c r="BM191" s="22" t="s">
        <v>544</v>
      </c>
      <c r="BN191" s="26" t="str">
        <f>_xlfn.XLOOKUP(Transformation[[#This Row],[Commodity to]],Commodities[Commodity code],Commodities[EnergyCode])</f>
        <v>EL</v>
      </c>
      <c r="BO191" s="22" t="s">
        <v>713</v>
      </c>
      <c r="BP191" s="22" t="s">
        <v>1652</v>
      </c>
      <c r="BQ191" s="33" t="str">
        <f>Transformation[[#This Row],[Commodity from]]&amp;Transformation[[#This Row],[Transaction from]]&amp;Transformation[[#This Row],[Commodity to]]&amp;Transformation[[#This Row],[Transaction to]]</f>
        <v>7000015PH70000926</v>
      </c>
      <c r="BR191" s="26" t="str">
        <f>Transformation[[#This Row],[crfomid]]&amp;Transformation[[#This Row],[Transaction from]]&amp;"("&amp;Transformation[[#This Row],[Multiplier]]&amp;") -&gt; "&amp;Transformation[[#This Row],[ctoid]]&amp;Transformation[[#This Row],[Transaction to]]</f>
        <v>EL015PH(1) -&gt; EL0926</v>
      </c>
    </row>
    <row r="192" spans="25:70" x14ac:dyDescent="0.45">
      <c r="Y192" s="5" t="s">
        <v>1172</v>
      </c>
      <c r="Z192" s="4" t="s">
        <v>1180</v>
      </c>
      <c r="AA192" s="4" t="s">
        <v>1374</v>
      </c>
      <c r="AB192" s="4" t="s">
        <v>2</v>
      </c>
      <c r="AC192" s="24" t="str">
        <f>IFERROR(VLOOKUP(Transactions[[#This Row],[Parent code]],Transactions[[Transaction code]:[Transaction name]],2,0),"")</f>
        <v>Production, Autoproducers total</v>
      </c>
      <c r="AD192" s="4" t="s">
        <v>189</v>
      </c>
      <c r="AE192" s="4" t="s">
        <v>959</v>
      </c>
      <c r="AF192" s="4" t="s">
        <v>642</v>
      </c>
      <c r="AG192" s="4" t="s">
        <v>1</v>
      </c>
      <c r="AH192" s="4" t="s">
        <v>696</v>
      </c>
      <c r="AI192" s="12" t="s">
        <v>1416</v>
      </c>
      <c r="AJ192" s="4" t="s">
        <v>0</v>
      </c>
      <c r="AK192" s="24" t="str" cm="1">
        <f t="array" ref="AK192">IFERROR(INDEX(Transactions[[Transaction code]:[Transaction name]],_xlfn.XMATCH(Transactions[[#This Row],[Parent code]],Transactions[Transaction name],0),3),Transactions[[#This Row],[Transaction name]])</f>
        <v>Electricity, CHP and Heat plants - Autoproducer - brown coal</v>
      </c>
      <c r="AL192" s="24" t="str" cm="1">
        <f t="array" ref="AL192">IFERROR(INDEX(Transactions[[Transaction code]:[Transaction name]],_xlfn.XMATCH(INDEX(Transactions[[Transaction name]:[Parent code]],_xlfn.XMATCH(Transactions[[#This Row],[L1N]],Transactions[Transaction name],0),3),Transactions[Transaction code],0),2),Transactions[[#This Row],[L1N]])</f>
        <v>Production, Autoproducers total</v>
      </c>
      <c r="AM192" s="24" t="str" cm="1">
        <f t="array" ref="AM192">IFERROR(INDEX(Transactions[[Transaction code]:[Transaction name]],_xlfn.XMATCH(INDEX(Transactions[[Transaction name]:[Parent code]],_xlfn.XMATCH(Transactions[[#This Row],[L2N]],Transactions[Transaction name],0),3),Transactions[Transaction code],0),2),Transactions[[#This Row],[L2N]])</f>
        <v>Production</v>
      </c>
      <c r="AN192" s="24" t="str" cm="1">
        <f t="array" ref="AN192">IFERROR(INDEX(Transactions[[Transaction code]:[Transaction name]],_xlfn.XMATCH(INDEX(Transactions[[Transaction name]:[Parent code]],_xlfn.XMATCH(Transactions[[#This Row],[L3N]],Transactions[Transaction name],0),3),Transactions[Transaction code],0),2),Transactions[[#This Row],[L3N]])</f>
        <v>Total energy supply</v>
      </c>
      <c r="AO192" s="24" t="str" cm="1">
        <f t="array" ref="AO192">IFERROR(INDEX(Transactions[[Transaction code]:[Transaction name]],_xlfn.XMATCH(INDEX(Transactions[[Transaction name]:[Parent code]],_xlfn.XMATCH(Transactions[[#This Row],[L4N]],Transactions[Transaction name],0),3),Transactions[Transaction code],0),2),Transactions[[#This Row],[L4N]])</f>
        <v>Total energy supply</v>
      </c>
      <c r="AP192" s="24" t="str" cm="1">
        <f t="array" ref="AP192">IFERROR(INDEX(Transactions[[Transaction code]:[Transaction name]],_xlfn.XMATCH(INDEX(Transactions[[Transaction name]:[Parent code]],_xlfn.XMATCH(Transactions[[#This Row],[L5N]],Transactions[Transaction name],0),3),Transactions[Transaction code],0),2),Transactions[[#This Row],[L5N]])</f>
        <v>Total energy supply</v>
      </c>
      <c r="AQ192" s="24" t="str" cm="1">
        <f t="array" ref="AQ192">IFERROR(INDEX(Transactions[[Transaction code]:[Transaction name]],_xlfn.XMATCH(INDEX(Transactions[[Transaction name]:[Parent code]],_xlfn.XMATCH(Transactions[[#This Row],[L6N]],Transactions[Transaction name],0),3),Transactions[Transaction code],0),2),Transactions[[#This Row],[L6N]])</f>
        <v>Total energy supply</v>
      </c>
      <c r="AR192" s="28" t="str">
        <f>IF(Transactions[[#This Row],[L7N]]=Transactions[[#This Row],[L6N]],Transactions[[#This Row],[L7N]],IF(Transactions[[#This Row],[L6N]]=Transactions[[#This Row],[L5N]],Transactions[[#This Row],[L6N]],IF(Transactions[[#This Row],[L5N]]=Transactions[[#This Row],[L4N]],Transactions[[#This Row],[L5N]],IF(Transactions[[#This Row],[L4N]]=Transactions[[#This Row],[L3N]],Transactions[[#This Row],[L4N]],IF(Transactions[[#This Row],[L3N]]=Transactions[[#This Row],[L2N]],Transactions[[#This Row],[L3N]],IF(Transactions[[#This Row],[L2N]]=Transactions[[#This Row],[L1N]],Transactions[[#This Row],[L2N]],IF(Transactions[[#This Row],[L1N]]=Transactions[[#This Row],[Transaction name]],Transactions[[#This Row],[L1N]],Transactions[[#This Row],[Transaction name]])))))))</f>
        <v>Total energy supply</v>
      </c>
      <c r="AS192" s="24" t="str">
        <f>IF(Transactions[[#This Row],[Level 0]]=Transactions[[#This Row],[Transaction name]],Transactions[[#This Row],[Transaction name]],IF(Transactions[[#This Row],[Level 0]]=Transactions[[#This Row],[L1N]],Transactions[[#This Row],[Transaction name]],IF(Transactions[[#This Row],[Level 0]]=Transactions[[#This Row],[L2N]],Transactions[[#This Row],[L1N]],IF(Transactions[[#This Row],[Level 0]]=Transactions[[#This Row],[L3N]],Transactions[[#This Row],[L2N]],IF(Transactions[[#This Row],[Level 0]]=Transactions[[#This Row],[L4N]],Transactions[[#This Row],[L3N]],IF(Transactions[[#This Row],[Level 0]]=Transactions[[#This Row],[L5N]],Transactions[[#This Row],[L4N]],IF(Transactions[[#This Row],[Level 0]]=Transactions[[#This Row],[L6N]],Transactions[[#This Row],[L5N]],IF(Transactions[[#This Row],[Level 0]]=Transactions[[#This Row],[L7N]],Transactions[[#This Row],[L6N]],Transactions[[#This Row],[L7N]]))))))))</f>
        <v>Production</v>
      </c>
      <c r="AT192" s="24" t="str">
        <f>IF(Transactions[[#This Row],[Level 1]]=Transactions[[#This Row],[Transaction name]],Transactions[[#This Row],[Transaction name]],IF(Transactions[[#This Row],[Level 1]]=Transactions[[#This Row],[L1N]],Transactions[[#This Row],[Transaction name]],IF(Transactions[[#This Row],[Level 1]]=Transactions[[#This Row],[L2N]],Transactions[[#This Row],[L1N]],IF(Transactions[[#This Row],[Level 1]]=Transactions[[#This Row],[L3N]],Transactions[[#This Row],[L2N]],IF(Transactions[[#This Row],[Level 1]]=Transactions[[#This Row],[L4N]],Transactions[[#This Row],[L3N]],IF(Transactions[[#This Row],[Level 1]]=Transactions[[#This Row],[L5N]],Transactions[[#This Row],[L4N]],IF(Transactions[[#This Row],[Level 1]]=Transactions[[#This Row],[L6N]],Transactions[[#This Row],[L5N]],IF(Transactions[[#This Row],[Level 1]]=Transactions[[#This Row],[L7N]],Transactions[[#This Row],[L6N]],Transactions[[#This Row],[L7N]]))))))))</f>
        <v>Production, Autoproducers total</v>
      </c>
      <c r="AU192" s="24" t="str">
        <f>IF(Transactions[[#This Row],[Level 2]]=Transactions[[#This Row],[Transaction name]],Transactions[[#This Row],[Transaction name]],IF(Transactions[[#This Row],[Level 2]]=Transactions[[#This Row],[L1N]],Transactions[[#This Row],[Transaction name]],IF(Transactions[[#This Row],[Level 2]]=Transactions[[#This Row],[L2N]],Transactions[[#This Row],[L1N]],IF(Transactions[[#This Row],[Level 2]]=Transactions[[#This Row],[L3N]],Transactions[[#This Row],[L2N]],IF(Transactions[[#This Row],[Level 2]]=Transactions[[#This Row],[L4N]],Transactions[[#This Row],[L3N]],IF(Transactions[[#This Row],[Level 2]]=Transactions[[#This Row],[L5N]],Transactions[[#This Row],[L4N]],IF(Transactions[[#This Row],[Level 2]]=Transactions[[#This Row],[L6N]],Transactions[[#This Row],[L5N]],IF(Transactions[[#This Row],[Level 2]]=Transactions[[#This Row],[L7N]],Transactions[[#This Row],[L6N]],Transactions[[#This Row],[L7N]]))))))))</f>
        <v>Electricity, CHP and Heat plants - Autoproducer - brown coal</v>
      </c>
      <c r="AV192" s="24" t="str">
        <f>IF(Transactions[[#This Row],[Level 3]]=Transactions[[#This Row],[Transaction name]],Transactions[[#This Row],[Transaction name]],IF(Transactions[[#This Row],[Level 3]]=Transactions[[#This Row],[L1N]],Transactions[[#This Row],[Transaction name]],IF(Transactions[[#This Row],[Level 3]]=Transactions[[#This Row],[L2N]],Transactions[[#This Row],[L1N]],IF(Transactions[[#This Row],[Level 3]]=Transactions[[#This Row],[L3N]],Transactions[[#This Row],[L2N]],IF(Transactions[[#This Row],[Level 3]]=Transactions[[#This Row],[L4N]],Transactions[[#This Row],[L3N]],IF(Transactions[[#This Row],[Level 3]]=Transactions[[#This Row],[L5N]],Transactions[[#This Row],[L4N]],IF(Transactions[[#This Row],[Level 3]]=Transactions[[#This Row],[L6N]],Transactions[[#This Row],[L5N]],IF(Transactions[[#This Row],[Level 3]]=Transactions[[#This Row],[L7N]],Transactions[[#This Row],[L6N]],Transactions[[#This Row],[L7N]]))))))))</f>
        <v>Electricity, CHP and Heat plants - Autoproducer - brown coal</v>
      </c>
      <c r="AW192" s="24" t="str">
        <f>IF(Transactions[[#This Row],[Level 4]]=Transactions[[#This Row],[Transaction name]],Transactions[[#This Row],[Transaction name]],IF(Transactions[[#This Row],[Level 4]]=Transactions[[#This Row],[L1N]],Transactions[[#This Row],[Transaction name]],IF(Transactions[[#This Row],[Level 4]]=Transactions[[#This Row],[L2N]],Transactions[[#This Row],[L1N]],IF(Transactions[[#This Row],[Level 4]]=Transactions[[#This Row],[L3N]],Transactions[[#This Row],[L2N]],IF(Transactions[[#This Row],[Level 4]]=Transactions[[#This Row],[L4N]],Transactions[[#This Row],[L3N]],IF(Transactions[[#This Row],[Level 4]]=Transactions[[#This Row],[L5N]],Transactions[[#This Row],[L4N]],IF(Transactions[[#This Row],[Level 4]]=Transactions[[#This Row],[L6N]],Transactions[[#This Row],[L5N]],IF(Transactions[[#This Row],[Level 4]]=Transactions[[#This Row],[L7N]],Transactions[[#This Row],[L6N]],Transactions[[#This Row],[L7N]]))))))))</f>
        <v>Electricity, CHP and Heat plants - Autoproducer - brown coal</v>
      </c>
      <c r="AX192" s="24" t="str">
        <f>IF(Transactions[[#This Row],[Level 5]]=Transactions[[#This Row],[Transaction name]],Transactions[[#This Row],[Transaction name]],IF(Transactions[[#This Row],[Level 5]]=Transactions[[#This Row],[L1N]],Transactions[[#This Row],[Transaction name]],IF(Transactions[[#This Row],[Level 5]]=Transactions[[#This Row],[L2N]],Transactions[[#This Row],[L1N]],IF(Transactions[[#This Row],[Level 5]]=Transactions[[#This Row],[L3N]],Transactions[[#This Row],[L2N]],IF(Transactions[[#This Row],[Level 5]]=Transactions[[#This Row],[L4N]],Transactions[[#This Row],[L3N]],IF(Transactions[[#This Row],[Level 5]]=Transactions[[#This Row],[L5N]],Transactions[[#This Row],[L4N]],IF(Transactions[[#This Row],[Level 5]]=Transactions[[#This Row],[L6N]],Transactions[[#This Row],[L5N]],IF(Transactions[[#This Row],[Level 5]]=Transactions[[#This Row],[L7N]],Transactions[[#This Row],[L6N]],Transactions[[#This Row],[L7N]]))))))))</f>
        <v>Electricity, CHP and Heat plants - Autoproducer - brown coal</v>
      </c>
      <c r="AY192" s="24" t="str">
        <f>IF(Transactions[[#This Row],[Level 6]]=Transactions[[#This Row],[Transaction name]],Transactions[[#This Row],[Transaction name]],IF(Transactions[[#This Row],[Level 6]]=Transactions[[#This Row],[L1N]],Transactions[[#This Row],[Transaction name]],IF(Transactions[[#This Row],[Level 6]]=Transactions[[#This Row],[L2N]],Transactions[[#This Row],[L1N]],IF(Transactions[[#This Row],[Level 6]]=Transactions[[#This Row],[L3N]],Transactions[[#This Row],[L2N]],IF(Transactions[[#This Row],[Level 6]]=Transactions[[#This Row],[L4N]],Transactions[[#This Row],[L3N]],IF(Transactions[[#This Row],[Level 6]]=Transactions[[#This Row],[L5N]],Transactions[[#This Row],[L4N]],IF(Transactions[[#This Row],[Level 6]]=Transactions[[#This Row],[L6N]],Transactions[[#This Row],[L5N]],IF(Transactions[[#This Row],[Level 6]]=Transactions[[#This Row],[L7N]],Transactions[[#This Row],[L6N]],Transactions[[#This Row],[L7N]]))))))))</f>
        <v>Electricity, CHP and Heat plants - Autoproducer - brown coal</v>
      </c>
      <c r="BE192" s="26" t="str">
        <f>_xlfn.XLOOKUP(Transformation[[#This Row],[cfrom]],Commodities[Commodity],Commodities[Commodity code])</f>
        <v>7000</v>
      </c>
      <c r="BF192" s="26" t="str">
        <f>_xlfn.XLOOKUP(Transformation[[#This Row],[tfrom]],Transactions[Transaction name],Transactions[Transaction code])</f>
        <v>015ST</v>
      </c>
      <c r="BG192" s="26" t="str">
        <f>_xlfn.XLOOKUP(Transformation[[#This Row],[cto]],Commodities[Commodity],Commodities[Commodity code])</f>
        <v>7000S</v>
      </c>
      <c r="BH192" s="26" t="str">
        <f>_xlfn.XLOOKUP(Transformation[[#This Row],[tto]],Transactions[Transaction name],Transactions[Transaction code])</f>
        <v>01</v>
      </c>
      <c r="BI192" s="31">
        <v>-1</v>
      </c>
      <c r="BJ192" s="22" t="s">
        <v>544</v>
      </c>
      <c r="BK192" s="26" t="str">
        <f>_xlfn.XLOOKUP(Transformation[[#This Row],[Commodity from]],Commodities[Commodity code],Commodities[EnergyCode])</f>
        <v>EL</v>
      </c>
      <c r="BL192" s="22" t="s">
        <v>1299</v>
      </c>
      <c r="BM192" s="22" t="s">
        <v>272</v>
      </c>
      <c r="BN192" s="26" t="str">
        <f>_xlfn.XLOOKUP(Transformation[[#This Row],[Commodity to]],Commodities[Commodity code],Commodities[EnergyCode])</f>
        <v>ES</v>
      </c>
      <c r="BO192" s="22" t="s">
        <v>383</v>
      </c>
      <c r="BP192" s="22" t="s">
        <v>1659</v>
      </c>
      <c r="BQ192" s="33" t="str">
        <f>Transformation[[#This Row],[Commodity from]]&amp;Transformation[[#This Row],[Transaction from]]&amp;Transformation[[#This Row],[Commodity to]]&amp;Transformation[[#This Row],[Transaction to]]</f>
        <v>7000015ST7000S01</v>
      </c>
      <c r="BR192" s="26" t="str">
        <f>Transformation[[#This Row],[crfomid]]&amp;Transformation[[#This Row],[Transaction from]]&amp;"("&amp;Transformation[[#This Row],[Multiplier]]&amp;") -&gt; "&amp;Transformation[[#This Row],[ctoid]]&amp;Transformation[[#This Row],[Transaction to]]</f>
        <v>EL015ST(-1) -&gt; ES01</v>
      </c>
    </row>
    <row r="193" spans="25:70" x14ac:dyDescent="0.45">
      <c r="Y193" s="5" t="s">
        <v>250</v>
      </c>
      <c r="Z193" s="4" t="s">
        <v>668</v>
      </c>
      <c r="AA193" s="4" t="s">
        <v>1315</v>
      </c>
      <c r="AB193" s="4" t="s">
        <v>2</v>
      </c>
      <c r="AC193" s="24" t="str">
        <f>IFERROR(VLOOKUP(Transactions[[#This Row],[Parent code]],Transactions[[Transaction code]:[Transaction name]],2,0),"")</f>
        <v>Production, Autoproducers total</v>
      </c>
      <c r="AD193" s="4" t="s">
        <v>189</v>
      </c>
      <c r="AE193" s="4" t="s">
        <v>959</v>
      </c>
      <c r="AF193" s="4" t="s">
        <v>642</v>
      </c>
      <c r="AG193" s="4" t="s">
        <v>1</v>
      </c>
      <c r="AH193" s="4" t="s">
        <v>696</v>
      </c>
      <c r="AJ193" s="4" t="s">
        <v>0</v>
      </c>
      <c r="AK193" s="24" t="str" cm="1">
        <f t="array" ref="AK193">IFERROR(INDEX(Transactions[[Transaction code]:[Transaction name]],_xlfn.XMATCH(Transactions[[#This Row],[Parent code]],Transactions[Transaction name],0),3),Transactions[[#This Row],[Transaction name]])</f>
        <v>Electricity, CHP and Heat plants - Autoproducer - chemical heat/sources</v>
      </c>
      <c r="AL193" s="24" t="str" cm="1">
        <f t="array" ref="AL193">IFERROR(INDEX(Transactions[[Transaction code]:[Transaction name]],_xlfn.XMATCH(INDEX(Transactions[[Transaction name]:[Parent code]],_xlfn.XMATCH(Transactions[[#This Row],[L1N]],Transactions[Transaction name],0),3),Transactions[Transaction code],0),2),Transactions[[#This Row],[L1N]])</f>
        <v>Production, Autoproducers total</v>
      </c>
      <c r="AM193" s="24" t="str" cm="1">
        <f t="array" ref="AM193">IFERROR(INDEX(Transactions[[Transaction code]:[Transaction name]],_xlfn.XMATCH(INDEX(Transactions[[Transaction name]:[Parent code]],_xlfn.XMATCH(Transactions[[#This Row],[L2N]],Transactions[Transaction name],0),3),Transactions[Transaction code],0),2),Transactions[[#This Row],[L2N]])</f>
        <v>Production</v>
      </c>
      <c r="AN193" s="24" t="str" cm="1">
        <f t="array" ref="AN193">IFERROR(INDEX(Transactions[[Transaction code]:[Transaction name]],_xlfn.XMATCH(INDEX(Transactions[[Transaction name]:[Parent code]],_xlfn.XMATCH(Transactions[[#This Row],[L3N]],Transactions[Transaction name],0),3),Transactions[Transaction code],0),2),Transactions[[#This Row],[L3N]])</f>
        <v>Total energy supply</v>
      </c>
      <c r="AO193" s="24" t="str" cm="1">
        <f t="array" ref="AO193">IFERROR(INDEX(Transactions[[Transaction code]:[Transaction name]],_xlfn.XMATCH(INDEX(Transactions[[Transaction name]:[Parent code]],_xlfn.XMATCH(Transactions[[#This Row],[L4N]],Transactions[Transaction name],0),3),Transactions[Transaction code],0),2),Transactions[[#This Row],[L4N]])</f>
        <v>Total energy supply</v>
      </c>
      <c r="AP193" s="24" t="str" cm="1">
        <f t="array" ref="AP193">IFERROR(INDEX(Transactions[[Transaction code]:[Transaction name]],_xlfn.XMATCH(INDEX(Transactions[[Transaction name]:[Parent code]],_xlfn.XMATCH(Transactions[[#This Row],[L5N]],Transactions[Transaction name],0),3),Transactions[Transaction code],0),2),Transactions[[#This Row],[L5N]])</f>
        <v>Total energy supply</v>
      </c>
      <c r="AQ193" s="24" t="str" cm="1">
        <f t="array" ref="AQ193">IFERROR(INDEX(Transactions[[Transaction code]:[Transaction name]],_xlfn.XMATCH(INDEX(Transactions[[Transaction name]:[Parent code]],_xlfn.XMATCH(Transactions[[#This Row],[L6N]],Transactions[Transaction name],0),3),Transactions[Transaction code],0),2),Transactions[[#This Row],[L6N]])</f>
        <v>Total energy supply</v>
      </c>
      <c r="AR193" s="28" t="str">
        <f>IF(Transactions[[#This Row],[L7N]]=Transactions[[#This Row],[L6N]],Transactions[[#This Row],[L7N]],IF(Transactions[[#This Row],[L6N]]=Transactions[[#This Row],[L5N]],Transactions[[#This Row],[L6N]],IF(Transactions[[#This Row],[L5N]]=Transactions[[#This Row],[L4N]],Transactions[[#This Row],[L5N]],IF(Transactions[[#This Row],[L4N]]=Transactions[[#This Row],[L3N]],Transactions[[#This Row],[L4N]],IF(Transactions[[#This Row],[L3N]]=Transactions[[#This Row],[L2N]],Transactions[[#This Row],[L3N]],IF(Transactions[[#This Row],[L2N]]=Transactions[[#This Row],[L1N]],Transactions[[#This Row],[L2N]],IF(Transactions[[#This Row],[L1N]]=Transactions[[#This Row],[Transaction name]],Transactions[[#This Row],[L1N]],Transactions[[#This Row],[Transaction name]])))))))</f>
        <v>Total energy supply</v>
      </c>
      <c r="AS193" s="24" t="str">
        <f>IF(Transactions[[#This Row],[Level 0]]=Transactions[[#This Row],[Transaction name]],Transactions[[#This Row],[Transaction name]],IF(Transactions[[#This Row],[Level 0]]=Transactions[[#This Row],[L1N]],Transactions[[#This Row],[Transaction name]],IF(Transactions[[#This Row],[Level 0]]=Transactions[[#This Row],[L2N]],Transactions[[#This Row],[L1N]],IF(Transactions[[#This Row],[Level 0]]=Transactions[[#This Row],[L3N]],Transactions[[#This Row],[L2N]],IF(Transactions[[#This Row],[Level 0]]=Transactions[[#This Row],[L4N]],Transactions[[#This Row],[L3N]],IF(Transactions[[#This Row],[Level 0]]=Transactions[[#This Row],[L5N]],Transactions[[#This Row],[L4N]],IF(Transactions[[#This Row],[Level 0]]=Transactions[[#This Row],[L6N]],Transactions[[#This Row],[L5N]],IF(Transactions[[#This Row],[Level 0]]=Transactions[[#This Row],[L7N]],Transactions[[#This Row],[L6N]],Transactions[[#This Row],[L7N]]))))))))</f>
        <v>Production</v>
      </c>
      <c r="AT193" s="24" t="str">
        <f>IF(Transactions[[#This Row],[Level 1]]=Transactions[[#This Row],[Transaction name]],Transactions[[#This Row],[Transaction name]],IF(Transactions[[#This Row],[Level 1]]=Transactions[[#This Row],[L1N]],Transactions[[#This Row],[Transaction name]],IF(Transactions[[#This Row],[Level 1]]=Transactions[[#This Row],[L2N]],Transactions[[#This Row],[L1N]],IF(Transactions[[#This Row],[Level 1]]=Transactions[[#This Row],[L3N]],Transactions[[#This Row],[L2N]],IF(Transactions[[#This Row],[Level 1]]=Transactions[[#This Row],[L4N]],Transactions[[#This Row],[L3N]],IF(Transactions[[#This Row],[Level 1]]=Transactions[[#This Row],[L5N]],Transactions[[#This Row],[L4N]],IF(Transactions[[#This Row],[Level 1]]=Transactions[[#This Row],[L6N]],Transactions[[#This Row],[L5N]],IF(Transactions[[#This Row],[Level 1]]=Transactions[[#This Row],[L7N]],Transactions[[#This Row],[L6N]],Transactions[[#This Row],[L7N]]))))))))</f>
        <v>Production, Autoproducers total</v>
      </c>
      <c r="AU193" s="24" t="str">
        <f>IF(Transactions[[#This Row],[Level 2]]=Transactions[[#This Row],[Transaction name]],Transactions[[#This Row],[Transaction name]],IF(Transactions[[#This Row],[Level 2]]=Transactions[[#This Row],[L1N]],Transactions[[#This Row],[Transaction name]],IF(Transactions[[#This Row],[Level 2]]=Transactions[[#This Row],[L2N]],Transactions[[#This Row],[L1N]],IF(Transactions[[#This Row],[Level 2]]=Transactions[[#This Row],[L3N]],Transactions[[#This Row],[L2N]],IF(Transactions[[#This Row],[Level 2]]=Transactions[[#This Row],[L4N]],Transactions[[#This Row],[L3N]],IF(Transactions[[#This Row],[Level 2]]=Transactions[[#This Row],[L5N]],Transactions[[#This Row],[L4N]],IF(Transactions[[#This Row],[Level 2]]=Transactions[[#This Row],[L6N]],Transactions[[#This Row],[L5N]],IF(Transactions[[#This Row],[Level 2]]=Transactions[[#This Row],[L7N]],Transactions[[#This Row],[L6N]],Transactions[[#This Row],[L7N]]))))))))</f>
        <v>Electricity, CHP and Heat plants - Autoproducer - chemical heat/sources</v>
      </c>
      <c r="AV193" s="24" t="str">
        <f>IF(Transactions[[#This Row],[Level 3]]=Transactions[[#This Row],[Transaction name]],Transactions[[#This Row],[Transaction name]],IF(Transactions[[#This Row],[Level 3]]=Transactions[[#This Row],[L1N]],Transactions[[#This Row],[Transaction name]],IF(Transactions[[#This Row],[Level 3]]=Transactions[[#This Row],[L2N]],Transactions[[#This Row],[L1N]],IF(Transactions[[#This Row],[Level 3]]=Transactions[[#This Row],[L3N]],Transactions[[#This Row],[L2N]],IF(Transactions[[#This Row],[Level 3]]=Transactions[[#This Row],[L4N]],Transactions[[#This Row],[L3N]],IF(Transactions[[#This Row],[Level 3]]=Transactions[[#This Row],[L5N]],Transactions[[#This Row],[L4N]],IF(Transactions[[#This Row],[Level 3]]=Transactions[[#This Row],[L6N]],Transactions[[#This Row],[L5N]],IF(Transactions[[#This Row],[Level 3]]=Transactions[[#This Row],[L7N]],Transactions[[#This Row],[L6N]],Transactions[[#This Row],[L7N]]))))))))</f>
        <v>Electricity, CHP and Heat plants - Autoproducer - chemical heat/sources</v>
      </c>
      <c r="AW193" s="24" t="str">
        <f>IF(Transactions[[#This Row],[Level 4]]=Transactions[[#This Row],[Transaction name]],Transactions[[#This Row],[Transaction name]],IF(Transactions[[#This Row],[Level 4]]=Transactions[[#This Row],[L1N]],Transactions[[#This Row],[Transaction name]],IF(Transactions[[#This Row],[Level 4]]=Transactions[[#This Row],[L2N]],Transactions[[#This Row],[L1N]],IF(Transactions[[#This Row],[Level 4]]=Transactions[[#This Row],[L3N]],Transactions[[#This Row],[L2N]],IF(Transactions[[#This Row],[Level 4]]=Transactions[[#This Row],[L4N]],Transactions[[#This Row],[L3N]],IF(Transactions[[#This Row],[Level 4]]=Transactions[[#This Row],[L5N]],Transactions[[#This Row],[L4N]],IF(Transactions[[#This Row],[Level 4]]=Transactions[[#This Row],[L6N]],Transactions[[#This Row],[L5N]],IF(Transactions[[#This Row],[Level 4]]=Transactions[[#This Row],[L7N]],Transactions[[#This Row],[L6N]],Transactions[[#This Row],[L7N]]))))))))</f>
        <v>Electricity, CHP and Heat plants - Autoproducer - chemical heat/sources</v>
      </c>
      <c r="AX193" s="24" t="str">
        <f>IF(Transactions[[#This Row],[Level 5]]=Transactions[[#This Row],[Transaction name]],Transactions[[#This Row],[Transaction name]],IF(Transactions[[#This Row],[Level 5]]=Transactions[[#This Row],[L1N]],Transactions[[#This Row],[Transaction name]],IF(Transactions[[#This Row],[Level 5]]=Transactions[[#This Row],[L2N]],Transactions[[#This Row],[L1N]],IF(Transactions[[#This Row],[Level 5]]=Transactions[[#This Row],[L3N]],Transactions[[#This Row],[L2N]],IF(Transactions[[#This Row],[Level 5]]=Transactions[[#This Row],[L4N]],Transactions[[#This Row],[L3N]],IF(Transactions[[#This Row],[Level 5]]=Transactions[[#This Row],[L5N]],Transactions[[#This Row],[L4N]],IF(Transactions[[#This Row],[Level 5]]=Transactions[[#This Row],[L6N]],Transactions[[#This Row],[L5N]],IF(Transactions[[#This Row],[Level 5]]=Transactions[[#This Row],[L7N]],Transactions[[#This Row],[L6N]],Transactions[[#This Row],[L7N]]))))))))</f>
        <v>Electricity, CHP and Heat plants - Autoproducer - chemical heat/sources</v>
      </c>
      <c r="AY193" s="24" t="str">
        <f>IF(Transactions[[#This Row],[Level 6]]=Transactions[[#This Row],[Transaction name]],Transactions[[#This Row],[Transaction name]],IF(Transactions[[#This Row],[Level 6]]=Transactions[[#This Row],[L1N]],Transactions[[#This Row],[Transaction name]],IF(Transactions[[#This Row],[Level 6]]=Transactions[[#This Row],[L2N]],Transactions[[#This Row],[L1N]],IF(Transactions[[#This Row],[Level 6]]=Transactions[[#This Row],[L3N]],Transactions[[#This Row],[L2N]],IF(Transactions[[#This Row],[Level 6]]=Transactions[[#This Row],[L4N]],Transactions[[#This Row],[L3N]],IF(Transactions[[#This Row],[Level 6]]=Transactions[[#This Row],[L5N]],Transactions[[#This Row],[L4N]],IF(Transactions[[#This Row],[Level 6]]=Transactions[[#This Row],[L6N]],Transactions[[#This Row],[L5N]],IF(Transactions[[#This Row],[Level 6]]=Transactions[[#This Row],[L7N]],Transactions[[#This Row],[L6N]],Transactions[[#This Row],[L7N]]))))))))</f>
        <v>Electricity, CHP and Heat plants - Autoproducer - chemical heat/sources</v>
      </c>
      <c r="BE193" s="26" t="str">
        <f>_xlfn.XLOOKUP(Transformation[[#This Row],[cfrom]],Commodities[Commodity],Commodities[Commodity code])</f>
        <v>7000</v>
      </c>
      <c r="BF193" s="26" t="str">
        <f>_xlfn.XLOOKUP(Transformation[[#This Row],[tfrom]],Transactions[Transaction name],Transactions[Transaction code])</f>
        <v>015ST</v>
      </c>
      <c r="BG193" s="26" t="str">
        <f>_xlfn.XLOOKUP(Transformation[[#This Row],[cto]],Commodities[Commodity],Commodities[Commodity code])</f>
        <v>8000</v>
      </c>
      <c r="BH193" s="26" t="str">
        <f>_xlfn.XLOOKUP(Transformation[[#This Row],[tto]],Transactions[Transaction name],Transactions[Transaction code])</f>
        <v>015ST</v>
      </c>
      <c r="BI193" s="11">
        <v>-3</v>
      </c>
      <c r="BJ193" s="4" t="s">
        <v>544</v>
      </c>
      <c r="BK193" s="24" t="str">
        <f>_xlfn.XLOOKUP(Transformation[[#This Row],[Commodity from]],Commodities[Commodity code],Commodities[EnergyCode])</f>
        <v>EL</v>
      </c>
      <c r="BL193" s="4" t="s">
        <v>1299</v>
      </c>
      <c r="BM193" s="22" t="s">
        <v>262</v>
      </c>
      <c r="BN193" s="24" t="str">
        <f>_xlfn.XLOOKUP(Transformation[[#This Row],[Commodity to]],Commodities[Commodity code],Commodities[EnergyCode])</f>
        <v>ST</v>
      </c>
      <c r="BO193" s="4" t="s">
        <v>1299</v>
      </c>
      <c r="BP193" s="16" t="s">
        <v>1493</v>
      </c>
      <c r="BQ193" s="33" t="str">
        <f>Transformation[[#This Row],[Commodity from]]&amp;Transformation[[#This Row],[Transaction from]]&amp;Transformation[[#This Row],[Commodity to]]&amp;Transformation[[#This Row],[Transaction to]]</f>
        <v>7000015ST8000015ST</v>
      </c>
      <c r="BR193" s="26" t="str">
        <f>Transformation[[#This Row],[crfomid]]&amp;Transformation[[#This Row],[Transaction from]]&amp;"("&amp;Transformation[[#This Row],[Multiplier]]&amp;") -&gt; "&amp;Transformation[[#This Row],[ctoid]]&amp;Transformation[[#This Row],[Transaction to]]</f>
        <v>EL015ST(-3) -&gt; ST015ST</v>
      </c>
    </row>
    <row r="194" spans="25:70" x14ac:dyDescent="0.45">
      <c r="Y194" s="5" t="s">
        <v>276</v>
      </c>
      <c r="Z194" s="4" t="s">
        <v>666</v>
      </c>
      <c r="AA194" s="4" t="s">
        <v>1307</v>
      </c>
      <c r="AB194" s="4" t="s">
        <v>2</v>
      </c>
      <c r="AC194" s="24" t="str">
        <f>IFERROR(VLOOKUP(Transactions[[#This Row],[Parent code]],Transactions[[Transaction code]:[Transaction name]],2,0),"")</f>
        <v>Production, Autoproducers total</v>
      </c>
      <c r="AD194" s="4" t="s">
        <v>189</v>
      </c>
      <c r="AE194" s="4" t="s">
        <v>959</v>
      </c>
      <c r="AF194" s="4" t="s">
        <v>642</v>
      </c>
      <c r="AG194" s="4" t="s">
        <v>1</v>
      </c>
      <c r="AH194" s="4" t="s">
        <v>696</v>
      </c>
      <c r="AI194" s="12" t="s">
        <v>1416</v>
      </c>
      <c r="AJ194" s="4" t="s">
        <v>0</v>
      </c>
      <c r="AK194" s="24" t="str" cm="1">
        <f t="array" ref="AK194">IFERROR(INDEX(Transactions[[Transaction code]:[Transaction name]],_xlfn.XMATCH(Transactions[[#This Row],[Parent code]],Transactions[Transaction name],0),3),Transactions[[#This Row],[Transaction name]])</f>
        <v>Electricity, CHP and Heat plants - Autoproducer - combustible fuels</v>
      </c>
      <c r="AL194" s="24" t="str" cm="1">
        <f t="array" ref="AL194">IFERROR(INDEX(Transactions[[Transaction code]:[Transaction name]],_xlfn.XMATCH(INDEX(Transactions[[Transaction name]:[Parent code]],_xlfn.XMATCH(Transactions[[#This Row],[L1N]],Transactions[Transaction name],0),3),Transactions[Transaction code],0),2),Transactions[[#This Row],[L1N]])</f>
        <v>Production, Autoproducers total</v>
      </c>
      <c r="AM194" s="24" t="str" cm="1">
        <f t="array" ref="AM194">IFERROR(INDEX(Transactions[[Transaction code]:[Transaction name]],_xlfn.XMATCH(INDEX(Transactions[[Transaction name]:[Parent code]],_xlfn.XMATCH(Transactions[[#This Row],[L2N]],Transactions[Transaction name],0),3),Transactions[Transaction code],0),2),Transactions[[#This Row],[L2N]])</f>
        <v>Production</v>
      </c>
      <c r="AN194" s="24" t="str" cm="1">
        <f t="array" ref="AN194">IFERROR(INDEX(Transactions[[Transaction code]:[Transaction name]],_xlfn.XMATCH(INDEX(Transactions[[Transaction name]:[Parent code]],_xlfn.XMATCH(Transactions[[#This Row],[L3N]],Transactions[Transaction name],0),3),Transactions[Transaction code],0),2),Transactions[[#This Row],[L3N]])</f>
        <v>Total energy supply</v>
      </c>
      <c r="AO194" s="24" t="str" cm="1">
        <f t="array" ref="AO194">IFERROR(INDEX(Transactions[[Transaction code]:[Transaction name]],_xlfn.XMATCH(INDEX(Transactions[[Transaction name]:[Parent code]],_xlfn.XMATCH(Transactions[[#This Row],[L4N]],Transactions[Transaction name],0),3),Transactions[Transaction code],0),2),Transactions[[#This Row],[L4N]])</f>
        <v>Total energy supply</v>
      </c>
      <c r="AP194" s="24" t="str" cm="1">
        <f t="array" ref="AP194">IFERROR(INDEX(Transactions[[Transaction code]:[Transaction name]],_xlfn.XMATCH(INDEX(Transactions[[Transaction name]:[Parent code]],_xlfn.XMATCH(Transactions[[#This Row],[L5N]],Transactions[Transaction name],0),3),Transactions[Transaction code],0),2),Transactions[[#This Row],[L5N]])</f>
        <v>Total energy supply</v>
      </c>
      <c r="AQ194" s="24" t="str" cm="1">
        <f t="array" ref="AQ194">IFERROR(INDEX(Transactions[[Transaction code]:[Transaction name]],_xlfn.XMATCH(INDEX(Transactions[[Transaction name]:[Parent code]],_xlfn.XMATCH(Transactions[[#This Row],[L6N]],Transactions[Transaction name],0),3),Transactions[Transaction code],0),2),Transactions[[#This Row],[L6N]])</f>
        <v>Total energy supply</v>
      </c>
      <c r="AR194" s="28" t="str">
        <f>IF(Transactions[[#This Row],[L7N]]=Transactions[[#This Row],[L6N]],Transactions[[#This Row],[L7N]],IF(Transactions[[#This Row],[L6N]]=Transactions[[#This Row],[L5N]],Transactions[[#This Row],[L6N]],IF(Transactions[[#This Row],[L5N]]=Transactions[[#This Row],[L4N]],Transactions[[#This Row],[L5N]],IF(Transactions[[#This Row],[L4N]]=Transactions[[#This Row],[L3N]],Transactions[[#This Row],[L4N]],IF(Transactions[[#This Row],[L3N]]=Transactions[[#This Row],[L2N]],Transactions[[#This Row],[L3N]],IF(Transactions[[#This Row],[L2N]]=Transactions[[#This Row],[L1N]],Transactions[[#This Row],[L2N]],IF(Transactions[[#This Row],[L1N]]=Transactions[[#This Row],[Transaction name]],Transactions[[#This Row],[L1N]],Transactions[[#This Row],[Transaction name]])))))))</f>
        <v>Total energy supply</v>
      </c>
      <c r="AS194" s="24" t="str">
        <f>IF(Transactions[[#This Row],[Level 0]]=Transactions[[#This Row],[Transaction name]],Transactions[[#This Row],[Transaction name]],IF(Transactions[[#This Row],[Level 0]]=Transactions[[#This Row],[L1N]],Transactions[[#This Row],[Transaction name]],IF(Transactions[[#This Row],[Level 0]]=Transactions[[#This Row],[L2N]],Transactions[[#This Row],[L1N]],IF(Transactions[[#This Row],[Level 0]]=Transactions[[#This Row],[L3N]],Transactions[[#This Row],[L2N]],IF(Transactions[[#This Row],[Level 0]]=Transactions[[#This Row],[L4N]],Transactions[[#This Row],[L3N]],IF(Transactions[[#This Row],[Level 0]]=Transactions[[#This Row],[L5N]],Transactions[[#This Row],[L4N]],IF(Transactions[[#This Row],[Level 0]]=Transactions[[#This Row],[L6N]],Transactions[[#This Row],[L5N]],IF(Transactions[[#This Row],[Level 0]]=Transactions[[#This Row],[L7N]],Transactions[[#This Row],[L6N]],Transactions[[#This Row],[L7N]]))))))))</f>
        <v>Production</v>
      </c>
      <c r="AT194" s="24" t="str">
        <f>IF(Transactions[[#This Row],[Level 1]]=Transactions[[#This Row],[Transaction name]],Transactions[[#This Row],[Transaction name]],IF(Transactions[[#This Row],[Level 1]]=Transactions[[#This Row],[L1N]],Transactions[[#This Row],[Transaction name]],IF(Transactions[[#This Row],[Level 1]]=Transactions[[#This Row],[L2N]],Transactions[[#This Row],[L1N]],IF(Transactions[[#This Row],[Level 1]]=Transactions[[#This Row],[L3N]],Transactions[[#This Row],[L2N]],IF(Transactions[[#This Row],[Level 1]]=Transactions[[#This Row],[L4N]],Transactions[[#This Row],[L3N]],IF(Transactions[[#This Row],[Level 1]]=Transactions[[#This Row],[L5N]],Transactions[[#This Row],[L4N]],IF(Transactions[[#This Row],[Level 1]]=Transactions[[#This Row],[L6N]],Transactions[[#This Row],[L5N]],IF(Transactions[[#This Row],[Level 1]]=Transactions[[#This Row],[L7N]],Transactions[[#This Row],[L6N]],Transactions[[#This Row],[L7N]]))))))))</f>
        <v>Production, Autoproducers total</v>
      </c>
      <c r="AU194" s="24" t="str">
        <f>IF(Transactions[[#This Row],[Level 2]]=Transactions[[#This Row],[Transaction name]],Transactions[[#This Row],[Transaction name]],IF(Transactions[[#This Row],[Level 2]]=Transactions[[#This Row],[L1N]],Transactions[[#This Row],[Transaction name]],IF(Transactions[[#This Row],[Level 2]]=Transactions[[#This Row],[L2N]],Transactions[[#This Row],[L1N]],IF(Transactions[[#This Row],[Level 2]]=Transactions[[#This Row],[L3N]],Transactions[[#This Row],[L2N]],IF(Transactions[[#This Row],[Level 2]]=Transactions[[#This Row],[L4N]],Transactions[[#This Row],[L3N]],IF(Transactions[[#This Row],[Level 2]]=Transactions[[#This Row],[L5N]],Transactions[[#This Row],[L4N]],IF(Transactions[[#This Row],[Level 2]]=Transactions[[#This Row],[L6N]],Transactions[[#This Row],[L5N]],IF(Transactions[[#This Row],[Level 2]]=Transactions[[#This Row],[L7N]],Transactions[[#This Row],[L6N]],Transactions[[#This Row],[L7N]]))))))))</f>
        <v>Electricity, CHP and Heat plants - Autoproducer - combustible fuels</v>
      </c>
      <c r="AV194" s="24" t="str">
        <f>IF(Transactions[[#This Row],[Level 3]]=Transactions[[#This Row],[Transaction name]],Transactions[[#This Row],[Transaction name]],IF(Transactions[[#This Row],[Level 3]]=Transactions[[#This Row],[L1N]],Transactions[[#This Row],[Transaction name]],IF(Transactions[[#This Row],[Level 3]]=Transactions[[#This Row],[L2N]],Transactions[[#This Row],[L1N]],IF(Transactions[[#This Row],[Level 3]]=Transactions[[#This Row],[L3N]],Transactions[[#This Row],[L2N]],IF(Transactions[[#This Row],[Level 3]]=Transactions[[#This Row],[L4N]],Transactions[[#This Row],[L3N]],IF(Transactions[[#This Row],[Level 3]]=Transactions[[#This Row],[L5N]],Transactions[[#This Row],[L4N]],IF(Transactions[[#This Row],[Level 3]]=Transactions[[#This Row],[L6N]],Transactions[[#This Row],[L5N]],IF(Transactions[[#This Row],[Level 3]]=Transactions[[#This Row],[L7N]],Transactions[[#This Row],[L6N]],Transactions[[#This Row],[L7N]]))))))))</f>
        <v>Electricity, CHP and Heat plants - Autoproducer - combustible fuels</v>
      </c>
      <c r="AW194" s="24" t="str">
        <f>IF(Transactions[[#This Row],[Level 4]]=Transactions[[#This Row],[Transaction name]],Transactions[[#This Row],[Transaction name]],IF(Transactions[[#This Row],[Level 4]]=Transactions[[#This Row],[L1N]],Transactions[[#This Row],[Transaction name]],IF(Transactions[[#This Row],[Level 4]]=Transactions[[#This Row],[L2N]],Transactions[[#This Row],[L1N]],IF(Transactions[[#This Row],[Level 4]]=Transactions[[#This Row],[L3N]],Transactions[[#This Row],[L2N]],IF(Transactions[[#This Row],[Level 4]]=Transactions[[#This Row],[L4N]],Transactions[[#This Row],[L3N]],IF(Transactions[[#This Row],[Level 4]]=Transactions[[#This Row],[L5N]],Transactions[[#This Row],[L4N]],IF(Transactions[[#This Row],[Level 4]]=Transactions[[#This Row],[L6N]],Transactions[[#This Row],[L5N]],IF(Transactions[[#This Row],[Level 4]]=Transactions[[#This Row],[L7N]],Transactions[[#This Row],[L6N]],Transactions[[#This Row],[L7N]]))))))))</f>
        <v>Electricity, CHP and Heat plants - Autoproducer - combustible fuels</v>
      </c>
      <c r="AX194" s="24" t="str">
        <f>IF(Transactions[[#This Row],[Level 5]]=Transactions[[#This Row],[Transaction name]],Transactions[[#This Row],[Transaction name]],IF(Transactions[[#This Row],[Level 5]]=Transactions[[#This Row],[L1N]],Transactions[[#This Row],[Transaction name]],IF(Transactions[[#This Row],[Level 5]]=Transactions[[#This Row],[L2N]],Transactions[[#This Row],[L1N]],IF(Transactions[[#This Row],[Level 5]]=Transactions[[#This Row],[L3N]],Transactions[[#This Row],[L2N]],IF(Transactions[[#This Row],[Level 5]]=Transactions[[#This Row],[L4N]],Transactions[[#This Row],[L3N]],IF(Transactions[[#This Row],[Level 5]]=Transactions[[#This Row],[L5N]],Transactions[[#This Row],[L4N]],IF(Transactions[[#This Row],[Level 5]]=Transactions[[#This Row],[L6N]],Transactions[[#This Row],[L5N]],IF(Transactions[[#This Row],[Level 5]]=Transactions[[#This Row],[L7N]],Transactions[[#This Row],[L6N]],Transactions[[#This Row],[L7N]]))))))))</f>
        <v>Electricity, CHP and Heat plants - Autoproducer - combustible fuels</v>
      </c>
      <c r="AY194" s="24" t="str">
        <f>IF(Transactions[[#This Row],[Level 6]]=Transactions[[#This Row],[Transaction name]],Transactions[[#This Row],[Transaction name]],IF(Transactions[[#This Row],[Level 6]]=Transactions[[#This Row],[L1N]],Transactions[[#This Row],[Transaction name]],IF(Transactions[[#This Row],[Level 6]]=Transactions[[#This Row],[L2N]],Transactions[[#This Row],[L1N]],IF(Transactions[[#This Row],[Level 6]]=Transactions[[#This Row],[L3N]],Transactions[[#This Row],[L2N]],IF(Transactions[[#This Row],[Level 6]]=Transactions[[#This Row],[L4N]],Transactions[[#This Row],[L3N]],IF(Transactions[[#This Row],[Level 6]]=Transactions[[#This Row],[L5N]],Transactions[[#This Row],[L4N]],IF(Transactions[[#This Row],[Level 6]]=Transactions[[#This Row],[L6N]],Transactions[[#This Row],[L5N]],IF(Transactions[[#This Row],[Level 6]]=Transactions[[#This Row],[L7N]],Transactions[[#This Row],[L6N]],Transactions[[#This Row],[L7N]]))))))))</f>
        <v>Electricity, CHP and Heat plants - Autoproducer - combustible fuels</v>
      </c>
      <c r="BE194" s="26" t="str">
        <f>_xlfn.XLOOKUP(Transformation[[#This Row],[cfrom]],Commodities[Commodity],Commodities[Commodity code])</f>
        <v>7000</v>
      </c>
      <c r="BF194" s="26" t="str">
        <f>_xlfn.XLOOKUP(Transformation[[#This Row],[tfrom]],Transactions[Transaction name],Transactions[Transaction code])</f>
        <v>015ST</v>
      </c>
      <c r="BG194" s="26" t="str">
        <f>_xlfn.XLOOKUP(Transformation[[#This Row],[cto]],Commodities[Commodity],Commodities[Commodity code])</f>
        <v>8000</v>
      </c>
      <c r="BH194" s="26" t="str">
        <f>_xlfn.XLOOKUP(Transformation[[#This Row],[tto]],Transactions[Transaction name],Transactions[Transaction code])</f>
        <v>01</v>
      </c>
      <c r="BI194" s="31">
        <v>3</v>
      </c>
      <c r="BJ194" s="22" t="s">
        <v>544</v>
      </c>
      <c r="BK194" s="26" t="str">
        <f>_xlfn.XLOOKUP(Transformation[[#This Row],[Commodity from]],Commodities[Commodity code],Commodities[EnergyCode])</f>
        <v>EL</v>
      </c>
      <c r="BL194" s="22" t="s">
        <v>1299</v>
      </c>
      <c r="BM194" s="22" t="s">
        <v>262</v>
      </c>
      <c r="BN194" s="26" t="str">
        <f>_xlfn.XLOOKUP(Transformation[[#This Row],[Commodity to]],Commodities[Commodity code],Commodities[EnergyCode])</f>
        <v>ST</v>
      </c>
      <c r="BO194" s="22" t="s">
        <v>383</v>
      </c>
      <c r="BP194" s="22" t="s">
        <v>1671</v>
      </c>
      <c r="BQ194" s="33" t="str">
        <f>Transformation[[#This Row],[Commodity from]]&amp;Transformation[[#This Row],[Transaction from]]&amp;Transformation[[#This Row],[Commodity to]]&amp;Transformation[[#This Row],[Transaction to]]</f>
        <v>7000015ST800001</v>
      </c>
      <c r="BR194" s="26" t="str">
        <f>Transformation[[#This Row],[crfomid]]&amp;Transformation[[#This Row],[Transaction from]]&amp;"("&amp;Transformation[[#This Row],[Multiplier]]&amp;") -&gt; "&amp;Transformation[[#This Row],[ctoid]]&amp;Transformation[[#This Row],[Transaction to]]</f>
        <v>EL015ST(3) -&gt; ST01</v>
      </c>
    </row>
    <row r="195" spans="25:70" x14ac:dyDescent="0.45">
      <c r="Y195" s="5" t="s">
        <v>1280</v>
      </c>
      <c r="Z195" s="4" t="s">
        <v>1228</v>
      </c>
      <c r="AA195" s="4" t="s">
        <v>1398</v>
      </c>
      <c r="AB195" s="4" t="s">
        <v>2</v>
      </c>
      <c r="AC195" s="24" t="str">
        <f>IFERROR(VLOOKUP(Transactions[[#This Row],[Parent code]],Transactions[[Transaction code]:[Transaction name]],2,0),"")</f>
        <v>Production, Autoproducers total</v>
      </c>
      <c r="AD195" s="4" t="s">
        <v>189</v>
      </c>
      <c r="AE195" s="4" t="s">
        <v>959</v>
      </c>
      <c r="AF195" s="4" t="s">
        <v>642</v>
      </c>
      <c r="AG195" s="4" t="s">
        <v>1</v>
      </c>
      <c r="AH195" s="4" t="s">
        <v>696</v>
      </c>
      <c r="AI195" s="12" t="s">
        <v>1416</v>
      </c>
      <c r="AJ195" s="4" t="s">
        <v>0</v>
      </c>
      <c r="AK195" s="24" t="str" cm="1">
        <f t="array" ref="AK195">IFERROR(INDEX(Transactions[[Transaction code]:[Transaction name]],_xlfn.XMATCH(Transactions[[#This Row],[Parent code]],Transactions[Transaction name],0),3),Transactions[[#This Row],[Transaction name]])</f>
        <v>Electricity, CHP and Heat plants - Autoproducer - crude oil</v>
      </c>
      <c r="AL195" s="24" t="str" cm="1">
        <f t="array" ref="AL195">IFERROR(INDEX(Transactions[[Transaction code]:[Transaction name]],_xlfn.XMATCH(INDEX(Transactions[[Transaction name]:[Parent code]],_xlfn.XMATCH(Transactions[[#This Row],[L1N]],Transactions[Transaction name],0),3),Transactions[Transaction code],0),2),Transactions[[#This Row],[L1N]])</f>
        <v>Production, Autoproducers total</v>
      </c>
      <c r="AM195" s="24" t="str" cm="1">
        <f t="array" ref="AM195">IFERROR(INDEX(Transactions[[Transaction code]:[Transaction name]],_xlfn.XMATCH(INDEX(Transactions[[Transaction name]:[Parent code]],_xlfn.XMATCH(Transactions[[#This Row],[L2N]],Transactions[Transaction name],0),3),Transactions[Transaction code],0),2),Transactions[[#This Row],[L2N]])</f>
        <v>Production</v>
      </c>
      <c r="AN195" s="24" t="str" cm="1">
        <f t="array" ref="AN195">IFERROR(INDEX(Transactions[[Transaction code]:[Transaction name]],_xlfn.XMATCH(INDEX(Transactions[[Transaction name]:[Parent code]],_xlfn.XMATCH(Transactions[[#This Row],[L3N]],Transactions[Transaction name],0),3),Transactions[Transaction code],0),2),Transactions[[#This Row],[L3N]])</f>
        <v>Total energy supply</v>
      </c>
      <c r="AO195" s="24" t="str" cm="1">
        <f t="array" ref="AO195">IFERROR(INDEX(Transactions[[Transaction code]:[Transaction name]],_xlfn.XMATCH(INDEX(Transactions[[Transaction name]:[Parent code]],_xlfn.XMATCH(Transactions[[#This Row],[L4N]],Transactions[Transaction name],0),3),Transactions[Transaction code],0),2),Transactions[[#This Row],[L4N]])</f>
        <v>Total energy supply</v>
      </c>
      <c r="AP195" s="24" t="str" cm="1">
        <f t="array" ref="AP195">IFERROR(INDEX(Transactions[[Transaction code]:[Transaction name]],_xlfn.XMATCH(INDEX(Transactions[[Transaction name]:[Parent code]],_xlfn.XMATCH(Transactions[[#This Row],[L5N]],Transactions[Transaction name],0),3),Transactions[Transaction code],0),2),Transactions[[#This Row],[L5N]])</f>
        <v>Total energy supply</v>
      </c>
      <c r="AQ195" s="24" t="str" cm="1">
        <f t="array" ref="AQ195">IFERROR(INDEX(Transactions[[Transaction code]:[Transaction name]],_xlfn.XMATCH(INDEX(Transactions[[Transaction name]:[Parent code]],_xlfn.XMATCH(Transactions[[#This Row],[L6N]],Transactions[Transaction name],0),3),Transactions[Transaction code],0),2),Transactions[[#This Row],[L6N]])</f>
        <v>Total energy supply</v>
      </c>
      <c r="AR195" s="28" t="str">
        <f>IF(Transactions[[#This Row],[L7N]]=Transactions[[#This Row],[L6N]],Transactions[[#This Row],[L7N]],IF(Transactions[[#This Row],[L6N]]=Transactions[[#This Row],[L5N]],Transactions[[#This Row],[L6N]],IF(Transactions[[#This Row],[L5N]]=Transactions[[#This Row],[L4N]],Transactions[[#This Row],[L5N]],IF(Transactions[[#This Row],[L4N]]=Transactions[[#This Row],[L3N]],Transactions[[#This Row],[L4N]],IF(Transactions[[#This Row],[L3N]]=Transactions[[#This Row],[L2N]],Transactions[[#This Row],[L3N]],IF(Transactions[[#This Row],[L2N]]=Transactions[[#This Row],[L1N]],Transactions[[#This Row],[L2N]],IF(Transactions[[#This Row],[L1N]]=Transactions[[#This Row],[Transaction name]],Transactions[[#This Row],[L1N]],Transactions[[#This Row],[Transaction name]])))))))</f>
        <v>Total energy supply</v>
      </c>
      <c r="AS195" s="24" t="str">
        <f>IF(Transactions[[#This Row],[Level 0]]=Transactions[[#This Row],[Transaction name]],Transactions[[#This Row],[Transaction name]],IF(Transactions[[#This Row],[Level 0]]=Transactions[[#This Row],[L1N]],Transactions[[#This Row],[Transaction name]],IF(Transactions[[#This Row],[Level 0]]=Transactions[[#This Row],[L2N]],Transactions[[#This Row],[L1N]],IF(Transactions[[#This Row],[Level 0]]=Transactions[[#This Row],[L3N]],Transactions[[#This Row],[L2N]],IF(Transactions[[#This Row],[Level 0]]=Transactions[[#This Row],[L4N]],Transactions[[#This Row],[L3N]],IF(Transactions[[#This Row],[Level 0]]=Transactions[[#This Row],[L5N]],Transactions[[#This Row],[L4N]],IF(Transactions[[#This Row],[Level 0]]=Transactions[[#This Row],[L6N]],Transactions[[#This Row],[L5N]],IF(Transactions[[#This Row],[Level 0]]=Transactions[[#This Row],[L7N]],Transactions[[#This Row],[L6N]],Transactions[[#This Row],[L7N]]))))))))</f>
        <v>Production</v>
      </c>
      <c r="AT195" s="24" t="str">
        <f>IF(Transactions[[#This Row],[Level 1]]=Transactions[[#This Row],[Transaction name]],Transactions[[#This Row],[Transaction name]],IF(Transactions[[#This Row],[Level 1]]=Transactions[[#This Row],[L1N]],Transactions[[#This Row],[Transaction name]],IF(Transactions[[#This Row],[Level 1]]=Transactions[[#This Row],[L2N]],Transactions[[#This Row],[L1N]],IF(Transactions[[#This Row],[Level 1]]=Transactions[[#This Row],[L3N]],Transactions[[#This Row],[L2N]],IF(Transactions[[#This Row],[Level 1]]=Transactions[[#This Row],[L4N]],Transactions[[#This Row],[L3N]],IF(Transactions[[#This Row],[Level 1]]=Transactions[[#This Row],[L5N]],Transactions[[#This Row],[L4N]],IF(Transactions[[#This Row],[Level 1]]=Transactions[[#This Row],[L6N]],Transactions[[#This Row],[L5N]],IF(Transactions[[#This Row],[Level 1]]=Transactions[[#This Row],[L7N]],Transactions[[#This Row],[L6N]],Transactions[[#This Row],[L7N]]))))))))</f>
        <v>Production, Autoproducers total</v>
      </c>
      <c r="AU195" s="24" t="str">
        <f>IF(Transactions[[#This Row],[Level 2]]=Transactions[[#This Row],[Transaction name]],Transactions[[#This Row],[Transaction name]],IF(Transactions[[#This Row],[Level 2]]=Transactions[[#This Row],[L1N]],Transactions[[#This Row],[Transaction name]],IF(Transactions[[#This Row],[Level 2]]=Transactions[[#This Row],[L2N]],Transactions[[#This Row],[L1N]],IF(Transactions[[#This Row],[Level 2]]=Transactions[[#This Row],[L3N]],Transactions[[#This Row],[L2N]],IF(Transactions[[#This Row],[Level 2]]=Transactions[[#This Row],[L4N]],Transactions[[#This Row],[L3N]],IF(Transactions[[#This Row],[Level 2]]=Transactions[[#This Row],[L5N]],Transactions[[#This Row],[L4N]],IF(Transactions[[#This Row],[Level 2]]=Transactions[[#This Row],[L6N]],Transactions[[#This Row],[L5N]],IF(Transactions[[#This Row],[Level 2]]=Transactions[[#This Row],[L7N]],Transactions[[#This Row],[L6N]],Transactions[[#This Row],[L7N]]))))))))</f>
        <v>Electricity, CHP and Heat plants - Autoproducer - crude oil</v>
      </c>
      <c r="AV195" s="24" t="str">
        <f>IF(Transactions[[#This Row],[Level 3]]=Transactions[[#This Row],[Transaction name]],Transactions[[#This Row],[Transaction name]],IF(Transactions[[#This Row],[Level 3]]=Transactions[[#This Row],[L1N]],Transactions[[#This Row],[Transaction name]],IF(Transactions[[#This Row],[Level 3]]=Transactions[[#This Row],[L2N]],Transactions[[#This Row],[L1N]],IF(Transactions[[#This Row],[Level 3]]=Transactions[[#This Row],[L3N]],Transactions[[#This Row],[L2N]],IF(Transactions[[#This Row],[Level 3]]=Transactions[[#This Row],[L4N]],Transactions[[#This Row],[L3N]],IF(Transactions[[#This Row],[Level 3]]=Transactions[[#This Row],[L5N]],Transactions[[#This Row],[L4N]],IF(Transactions[[#This Row],[Level 3]]=Transactions[[#This Row],[L6N]],Transactions[[#This Row],[L5N]],IF(Transactions[[#This Row],[Level 3]]=Transactions[[#This Row],[L7N]],Transactions[[#This Row],[L6N]],Transactions[[#This Row],[L7N]]))))))))</f>
        <v>Electricity, CHP and Heat plants - Autoproducer - crude oil</v>
      </c>
      <c r="AW195" s="24" t="str">
        <f>IF(Transactions[[#This Row],[Level 4]]=Transactions[[#This Row],[Transaction name]],Transactions[[#This Row],[Transaction name]],IF(Transactions[[#This Row],[Level 4]]=Transactions[[#This Row],[L1N]],Transactions[[#This Row],[Transaction name]],IF(Transactions[[#This Row],[Level 4]]=Transactions[[#This Row],[L2N]],Transactions[[#This Row],[L1N]],IF(Transactions[[#This Row],[Level 4]]=Transactions[[#This Row],[L3N]],Transactions[[#This Row],[L2N]],IF(Transactions[[#This Row],[Level 4]]=Transactions[[#This Row],[L4N]],Transactions[[#This Row],[L3N]],IF(Transactions[[#This Row],[Level 4]]=Transactions[[#This Row],[L5N]],Transactions[[#This Row],[L4N]],IF(Transactions[[#This Row],[Level 4]]=Transactions[[#This Row],[L6N]],Transactions[[#This Row],[L5N]],IF(Transactions[[#This Row],[Level 4]]=Transactions[[#This Row],[L7N]],Transactions[[#This Row],[L6N]],Transactions[[#This Row],[L7N]]))))))))</f>
        <v>Electricity, CHP and Heat plants - Autoproducer - crude oil</v>
      </c>
      <c r="AX195" s="24" t="str">
        <f>IF(Transactions[[#This Row],[Level 5]]=Transactions[[#This Row],[Transaction name]],Transactions[[#This Row],[Transaction name]],IF(Transactions[[#This Row],[Level 5]]=Transactions[[#This Row],[L1N]],Transactions[[#This Row],[Transaction name]],IF(Transactions[[#This Row],[Level 5]]=Transactions[[#This Row],[L2N]],Transactions[[#This Row],[L1N]],IF(Transactions[[#This Row],[Level 5]]=Transactions[[#This Row],[L3N]],Transactions[[#This Row],[L2N]],IF(Transactions[[#This Row],[Level 5]]=Transactions[[#This Row],[L4N]],Transactions[[#This Row],[L3N]],IF(Transactions[[#This Row],[Level 5]]=Transactions[[#This Row],[L5N]],Transactions[[#This Row],[L4N]],IF(Transactions[[#This Row],[Level 5]]=Transactions[[#This Row],[L6N]],Transactions[[#This Row],[L5N]],IF(Transactions[[#This Row],[Level 5]]=Transactions[[#This Row],[L7N]],Transactions[[#This Row],[L6N]],Transactions[[#This Row],[L7N]]))))))))</f>
        <v>Electricity, CHP and Heat plants - Autoproducer - crude oil</v>
      </c>
      <c r="AY195" s="24" t="str">
        <f>IF(Transactions[[#This Row],[Level 6]]=Transactions[[#This Row],[Transaction name]],Transactions[[#This Row],[Transaction name]],IF(Transactions[[#This Row],[Level 6]]=Transactions[[#This Row],[L1N]],Transactions[[#This Row],[Transaction name]],IF(Transactions[[#This Row],[Level 6]]=Transactions[[#This Row],[L2N]],Transactions[[#This Row],[L1N]],IF(Transactions[[#This Row],[Level 6]]=Transactions[[#This Row],[L3N]],Transactions[[#This Row],[L2N]],IF(Transactions[[#This Row],[Level 6]]=Transactions[[#This Row],[L4N]],Transactions[[#This Row],[L3N]],IF(Transactions[[#This Row],[Level 6]]=Transactions[[#This Row],[L5N]],Transactions[[#This Row],[L4N]],IF(Transactions[[#This Row],[Level 6]]=Transactions[[#This Row],[L6N]],Transactions[[#This Row],[L5N]],IF(Transactions[[#This Row],[Level 6]]=Transactions[[#This Row],[L7N]],Transactions[[#This Row],[L6N]],Transactions[[#This Row],[L7N]]))))))))</f>
        <v>Electricity, CHP and Heat plants - Autoproducer - crude oil</v>
      </c>
      <c r="BE195" s="26" t="str">
        <f>_xlfn.XLOOKUP(Transformation[[#This Row],[cfrom]],Commodities[Commodity],Commodities[Commodity code])</f>
        <v>7000S</v>
      </c>
      <c r="BF195" s="26" t="str">
        <f>_xlfn.XLOOKUP(Transformation[[#This Row],[tfrom]],Transactions[Transaction name],Transactions[Transaction code])</f>
        <v>015ST</v>
      </c>
      <c r="BG195" s="26" t="str">
        <f>_xlfn.XLOOKUP(Transformation[[#This Row],[cto]],Commodities[Commodity],Commodities[Commodity code])</f>
        <v>7000S</v>
      </c>
      <c r="BH195" s="26" t="str">
        <f>_xlfn.XLOOKUP(Transformation[[#This Row],[tto]],Transactions[Transaction name],Transactions[Transaction code])</f>
        <v>01</v>
      </c>
      <c r="BI195" s="31">
        <v>-1</v>
      </c>
      <c r="BJ195" s="22" t="s">
        <v>272</v>
      </c>
      <c r="BK195" s="26" t="str">
        <f>_xlfn.XLOOKUP(Transformation[[#This Row],[Commodity from]],Commodities[Commodity code],Commodities[EnergyCode])</f>
        <v>ES</v>
      </c>
      <c r="BL195" s="22" t="s">
        <v>1299</v>
      </c>
      <c r="BM195" s="22" t="s">
        <v>272</v>
      </c>
      <c r="BN195" s="26" t="str">
        <f>_xlfn.XLOOKUP(Transformation[[#This Row],[Commodity to]],Commodities[Commodity code],Commodities[EnergyCode])</f>
        <v>ES</v>
      </c>
      <c r="BO195" s="22" t="s">
        <v>383</v>
      </c>
      <c r="BP195" s="22" t="s">
        <v>1656</v>
      </c>
      <c r="BQ195" s="33" t="str">
        <f>Transformation[[#This Row],[Commodity from]]&amp;Transformation[[#This Row],[Transaction from]]&amp;Transformation[[#This Row],[Commodity to]]&amp;Transformation[[#This Row],[Transaction to]]</f>
        <v>7000S015ST7000S01</v>
      </c>
      <c r="BR195" s="26" t="str">
        <f>Transformation[[#This Row],[crfomid]]&amp;Transformation[[#This Row],[Transaction from]]&amp;"("&amp;Transformation[[#This Row],[Multiplier]]&amp;") -&gt; "&amp;Transformation[[#This Row],[ctoid]]&amp;Transformation[[#This Row],[Transaction to]]</f>
        <v>ES015ST(-1) -&gt; ES01</v>
      </c>
    </row>
    <row r="196" spans="25:70" x14ac:dyDescent="0.45">
      <c r="Y196" s="5" t="s">
        <v>1021</v>
      </c>
      <c r="Z196" s="4" t="s">
        <v>1029</v>
      </c>
      <c r="AA196" s="4" t="s">
        <v>1338</v>
      </c>
      <c r="AB196" s="4" t="s">
        <v>2</v>
      </c>
      <c r="AC196" s="24" t="str">
        <f>IFERROR(VLOOKUP(Transactions[[#This Row],[Parent code]],Transactions[[Transaction code]:[Transaction name]],2,0),"")</f>
        <v>Production, Autoproducers total</v>
      </c>
      <c r="AD196" s="4" t="s">
        <v>189</v>
      </c>
      <c r="AE196" s="4" t="s">
        <v>959</v>
      </c>
      <c r="AF196" s="4" t="s">
        <v>642</v>
      </c>
      <c r="AG196" s="4" t="s">
        <v>1</v>
      </c>
      <c r="AH196" s="4" t="s">
        <v>696</v>
      </c>
      <c r="AI196" s="12" t="s">
        <v>1416</v>
      </c>
      <c r="AJ196" s="4" t="s">
        <v>0</v>
      </c>
      <c r="AK196" s="24" t="str" cm="1">
        <f t="array" ref="AK196">IFERROR(INDEX(Transactions[[Transaction code]:[Transaction name]],_xlfn.XMATCH(Transactions[[#This Row],[Parent code]],Transactions[Transaction name],0),3),Transactions[[#This Row],[Transaction name]])</f>
        <v>Electricity, CHP and Heat plants - Autoproducer - fuel oil</v>
      </c>
      <c r="AL196" s="24" t="str" cm="1">
        <f t="array" ref="AL196">IFERROR(INDEX(Transactions[[Transaction code]:[Transaction name]],_xlfn.XMATCH(INDEX(Transactions[[Transaction name]:[Parent code]],_xlfn.XMATCH(Transactions[[#This Row],[L1N]],Transactions[Transaction name],0),3),Transactions[Transaction code],0),2),Transactions[[#This Row],[L1N]])</f>
        <v>Production, Autoproducers total</v>
      </c>
      <c r="AM196" s="24" t="str" cm="1">
        <f t="array" ref="AM196">IFERROR(INDEX(Transactions[[Transaction code]:[Transaction name]],_xlfn.XMATCH(INDEX(Transactions[[Transaction name]:[Parent code]],_xlfn.XMATCH(Transactions[[#This Row],[L2N]],Transactions[Transaction name],0),3),Transactions[Transaction code],0),2),Transactions[[#This Row],[L2N]])</f>
        <v>Production</v>
      </c>
      <c r="AN196" s="24" t="str" cm="1">
        <f t="array" ref="AN196">IFERROR(INDEX(Transactions[[Transaction code]:[Transaction name]],_xlfn.XMATCH(INDEX(Transactions[[Transaction name]:[Parent code]],_xlfn.XMATCH(Transactions[[#This Row],[L3N]],Transactions[Transaction name],0),3),Transactions[Transaction code],0),2),Transactions[[#This Row],[L3N]])</f>
        <v>Total energy supply</v>
      </c>
      <c r="AO196" s="24" t="str" cm="1">
        <f t="array" ref="AO196">IFERROR(INDEX(Transactions[[Transaction code]:[Transaction name]],_xlfn.XMATCH(INDEX(Transactions[[Transaction name]:[Parent code]],_xlfn.XMATCH(Transactions[[#This Row],[L4N]],Transactions[Transaction name],0),3),Transactions[Transaction code],0),2),Transactions[[#This Row],[L4N]])</f>
        <v>Total energy supply</v>
      </c>
      <c r="AP196" s="24" t="str" cm="1">
        <f t="array" ref="AP196">IFERROR(INDEX(Transactions[[Transaction code]:[Transaction name]],_xlfn.XMATCH(INDEX(Transactions[[Transaction name]:[Parent code]],_xlfn.XMATCH(Transactions[[#This Row],[L5N]],Transactions[Transaction name],0),3),Transactions[Transaction code],0),2),Transactions[[#This Row],[L5N]])</f>
        <v>Total energy supply</v>
      </c>
      <c r="AQ196" s="24" t="str" cm="1">
        <f t="array" ref="AQ196">IFERROR(INDEX(Transactions[[Transaction code]:[Transaction name]],_xlfn.XMATCH(INDEX(Transactions[[Transaction name]:[Parent code]],_xlfn.XMATCH(Transactions[[#This Row],[L6N]],Transactions[Transaction name],0),3),Transactions[Transaction code],0),2),Transactions[[#This Row],[L6N]])</f>
        <v>Total energy supply</v>
      </c>
      <c r="AR196" s="28" t="str">
        <f>IF(Transactions[[#This Row],[L7N]]=Transactions[[#This Row],[L6N]],Transactions[[#This Row],[L7N]],IF(Transactions[[#This Row],[L6N]]=Transactions[[#This Row],[L5N]],Transactions[[#This Row],[L6N]],IF(Transactions[[#This Row],[L5N]]=Transactions[[#This Row],[L4N]],Transactions[[#This Row],[L5N]],IF(Transactions[[#This Row],[L4N]]=Transactions[[#This Row],[L3N]],Transactions[[#This Row],[L4N]],IF(Transactions[[#This Row],[L3N]]=Transactions[[#This Row],[L2N]],Transactions[[#This Row],[L3N]],IF(Transactions[[#This Row],[L2N]]=Transactions[[#This Row],[L1N]],Transactions[[#This Row],[L2N]],IF(Transactions[[#This Row],[L1N]]=Transactions[[#This Row],[Transaction name]],Transactions[[#This Row],[L1N]],Transactions[[#This Row],[Transaction name]])))))))</f>
        <v>Total energy supply</v>
      </c>
      <c r="AS196" s="24" t="str">
        <f>IF(Transactions[[#This Row],[Level 0]]=Transactions[[#This Row],[Transaction name]],Transactions[[#This Row],[Transaction name]],IF(Transactions[[#This Row],[Level 0]]=Transactions[[#This Row],[L1N]],Transactions[[#This Row],[Transaction name]],IF(Transactions[[#This Row],[Level 0]]=Transactions[[#This Row],[L2N]],Transactions[[#This Row],[L1N]],IF(Transactions[[#This Row],[Level 0]]=Transactions[[#This Row],[L3N]],Transactions[[#This Row],[L2N]],IF(Transactions[[#This Row],[Level 0]]=Transactions[[#This Row],[L4N]],Transactions[[#This Row],[L3N]],IF(Transactions[[#This Row],[Level 0]]=Transactions[[#This Row],[L5N]],Transactions[[#This Row],[L4N]],IF(Transactions[[#This Row],[Level 0]]=Transactions[[#This Row],[L6N]],Transactions[[#This Row],[L5N]],IF(Transactions[[#This Row],[Level 0]]=Transactions[[#This Row],[L7N]],Transactions[[#This Row],[L6N]],Transactions[[#This Row],[L7N]]))))))))</f>
        <v>Production</v>
      </c>
      <c r="AT196" s="24" t="str">
        <f>IF(Transactions[[#This Row],[Level 1]]=Transactions[[#This Row],[Transaction name]],Transactions[[#This Row],[Transaction name]],IF(Transactions[[#This Row],[Level 1]]=Transactions[[#This Row],[L1N]],Transactions[[#This Row],[Transaction name]],IF(Transactions[[#This Row],[Level 1]]=Transactions[[#This Row],[L2N]],Transactions[[#This Row],[L1N]],IF(Transactions[[#This Row],[Level 1]]=Transactions[[#This Row],[L3N]],Transactions[[#This Row],[L2N]],IF(Transactions[[#This Row],[Level 1]]=Transactions[[#This Row],[L4N]],Transactions[[#This Row],[L3N]],IF(Transactions[[#This Row],[Level 1]]=Transactions[[#This Row],[L5N]],Transactions[[#This Row],[L4N]],IF(Transactions[[#This Row],[Level 1]]=Transactions[[#This Row],[L6N]],Transactions[[#This Row],[L5N]],IF(Transactions[[#This Row],[Level 1]]=Transactions[[#This Row],[L7N]],Transactions[[#This Row],[L6N]],Transactions[[#This Row],[L7N]]))))))))</f>
        <v>Production, Autoproducers total</v>
      </c>
      <c r="AU196" s="24" t="str">
        <f>IF(Transactions[[#This Row],[Level 2]]=Transactions[[#This Row],[Transaction name]],Transactions[[#This Row],[Transaction name]],IF(Transactions[[#This Row],[Level 2]]=Transactions[[#This Row],[L1N]],Transactions[[#This Row],[Transaction name]],IF(Transactions[[#This Row],[Level 2]]=Transactions[[#This Row],[L2N]],Transactions[[#This Row],[L1N]],IF(Transactions[[#This Row],[Level 2]]=Transactions[[#This Row],[L3N]],Transactions[[#This Row],[L2N]],IF(Transactions[[#This Row],[Level 2]]=Transactions[[#This Row],[L4N]],Transactions[[#This Row],[L3N]],IF(Transactions[[#This Row],[Level 2]]=Transactions[[#This Row],[L5N]],Transactions[[#This Row],[L4N]],IF(Transactions[[#This Row],[Level 2]]=Transactions[[#This Row],[L6N]],Transactions[[#This Row],[L5N]],IF(Transactions[[#This Row],[Level 2]]=Transactions[[#This Row],[L7N]],Transactions[[#This Row],[L6N]],Transactions[[#This Row],[L7N]]))))))))</f>
        <v>Electricity, CHP and Heat plants - Autoproducer - fuel oil</v>
      </c>
      <c r="AV196" s="24" t="str">
        <f>IF(Transactions[[#This Row],[Level 3]]=Transactions[[#This Row],[Transaction name]],Transactions[[#This Row],[Transaction name]],IF(Transactions[[#This Row],[Level 3]]=Transactions[[#This Row],[L1N]],Transactions[[#This Row],[Transaction name]],IF(Transactions[[#This Row],[Level 3]]=Transactions[[#This Row],[L2N]],Transactions[[#This Row],[L1N]],IF(Transactions[[#This Row],[Level 3]]=Transactions[[#This Row],[L3N]],Transactions[[#This Row],[L2N]],IF(Transactions[[#This Row],[Level 3]]=Transactions[[#This Row],[L4N]],Transactions[[#This Row],[L3N]],IF(Transactions[[#This Row],[Level 3]]=Transactions[[#This Row],[L5N]],Transactions[[#This Row],[L4N]],IF(Transactions[[#This Row],[Level 3]]=Transactions[[#This Row],[L6N]],Transactions[[#This Row],[L5N]],IF(Transactions[[#This Row],[Level 3]]=Transactions[[#This Row],[L7N]],Transactions[[#This Row],[L6N]],Transactions[[#This Row],[L7N]]))))))))</f>
        <v>Electricity, CHP and Heat plants - Autoproducer - fuel oil</v>
      </c>
      <c r="AW196" s="24" t="str">
        <f>IF(Transactions[[#This Row],[Level 4]]=Transactions[[#This Row],[Transaction name]],Transactions[[#This Row],[Transaction name]],IF(Transactions[[#This Row],[Level 4]]=Transactions[[#This Row],[L1N]],Transactions[[#This Row],[Transaction name]],IF(Transactions[[#This Row],[Level 4]]=Transactions[[#This Row],[L2N]],Transactions[[#This Row],[L1N]],IF(Transactions[[#This Row],[Level 4]]=Transactions[[#This Row],[L3N]],Transactions[[#This Row],[L2N]],IF(Transactions[[#This Row],[Level 4]]=Transactions[[#This Row],[L4N]],Transactions[[#This Row],[L3N]],IF(Transactions[[#This Row],[Level 4]]=Transactions[[#This Row],[L5N]],Transactions[[#This Row],[L4N]],IF(Transactions[[#This Row],[Level 4]]=Transactions[[#This Row],[L6N]],Transactions[[#This Row],[L5N]],IF(Transactions[[#This Row],[Level 4]]=Transactions[[#This Row],[L7N]],Transactions[[#This Row],[L6N]],Transactions[[#This Row],[L7N]]))))))))</f>
        <v>Electricity, CHP and Heat plants - Autoproducer - fuel oil</v>
      </c>
      <c r="AX196" s="24" t="str">
        <f>IF(Transactions[[#This Row],[Level 5]]=Transactions[[#This Row],[Transaction name]],Transactions[[#This Row],[Transaction name]],IF(Transactions[[#This Row],[Level 5]]=Transactions[[#This Row],[L1N]],Transactions[[#This Row],[Transaction name]],IF(Transactions[[#This Row],[Level 5]]=Transactions[[#This Row],[L2N]],Transactions[[#This Row],[L1N]],IF(Transactions[[#This Row],[Level 5]]=Transactions[[#This Row],[L3N]],Transactions[[#This Row],[L2N]],IF(Transactions[[#This Row],[Level 5]]=Transactions[[#This Row],[L4N]],Transactions[[#This Row],[L3N]],IF(Transactions[[#This Row],[Level 5]]=Transactions[[#This Row],[L5N]],Transactions[[#This Row],[L4N]],IF(Transactions[[#This Row],[Level 5]]=Transactions[[#This Row],[L6N]],Transactions[[#This Row],[L5N]],IF(Transactions[[#This Row],[Level 5]]=Transactions[[#This Row],[L7N]],Transactions[[#This Row],[L6N]],Transactions[[#This Row],[L7N]]))))))))</f>
        <v>Electricity, CHP and Heat plants - Autoproducer - fuel oil</v>
      </c>
      <c r="AY196" s="24" t="str">
        <f>IF(Transactions[[#This Row],[Level 6]]=Transactions[[#This Row],[Transaction name]],Transactions[[#This Row],[Transaction name]],IF(Transactions[[#This Row],[Level 6]]=Transactions[[#This Row],[L1N]],Transactions[[#This Row],[Transaction name]],IF(Transactions[[#This Row],[Level 6]]=Transactions[[#This Row],[L2N]],Transactions[[#This Row],[L1N]],IF(Transactions[[#This Row],[Level 6]]=Transactions[[#This Row],[L3N]],Transactions[[#This Row],[L2N]],IF(Transactions[[#This Row],[Level 6]]=Transactions[[#This Row],[L4N]],Transactions[[#This Row],[L3N]],IF(Transactions[[#This Row],[Level 6]]=Transactions[[#This Row],[L5N]],Transactions[[#This Row],[L4N]],IF(Transactions[[#This Row],[Level 6]]=Transactions[[#This Row],[L6N]],Transactions[[#This Row],[L5N]],IF(Transactions[[#This Row],[Level 6]]=Transactions[[#This Row],[L7N]],Transactions[[#This Row],[L6N]],Transactions[[#This Row],[L7N]]))))))))</f>
        <v>Electricity, CHP and Heat plants - Autoproducer - fuel oil</v>
      </c>
      <c r="BE196" s="26" t="str">
        <f>_xlfn.XLOOKUP(Transformation[[#This Row],[cfrom]],Commodities[Commodity],Commodities[Commodity code])</f>
        <v>8000</v>
      </c>
      <c r="BF196" s="26" t="str">
        <f>_xlfn.XLOOKUP(Transformation[[#This Row],[tfrom]],Transactions[Transaction name],Transactions[Transaction code])</f>
        <v>085EP</v>
      </c>
      <c r="BG196" s="26" t="str">
        <f>_xlfn.XLOOKUP(Transformation[[#This Row],[cto]],Commodities[Commodity],Commodities[Commodity code])</f>
        <v>8000</v>
      </c>
      <c r="BH196" s="26" t="str">
        <f>_xlfn.XLOOKUP(Transformation[[#This Row],[tto]],Transactions[Transaction name],Transactions[Transaction code])</f>
        <v>016HE</v>
      </c>
      <c r="BI196" s="31">
        <v>1</v>
      </c>
      <c r="BJ196" s="22" t="s">
        <v>262</v>
      </c>
      <c r="BK196" s="26" t="str">
        <f>_xlfn.XLOOKUP(Transformation[[#This Row],[Commodity from]],Commodities[Commodity code],Commodities[EnergyCode])</f>
        <v>ST</v>
      </c>
      <c r="BL196" s="22" t="s">
        <v>724</v>
      </c>
      <c r="BM196" s="22" t="s">
        <v>262</v>
      </c>
      <c r="BN196" s="26" t="str">
        <f>_xlfn.XLOOKUP(Transformation[[#This Row],[Commodity to]],Commodities[Commodity code],Commodities[EnergyCode])</f>
        <v>ST</v>
      </c>
      <c r="BO196" s="22" t="s">
        <v>686</v>
      </c>
      <c r="BP196" s="22"/>
      <c r="BQ196" s="33" t="str">
        <f>Transformation[[#This Row],[Commodity from]]&amp;Transformation[[#This Row],[Transaction from]]&amp;Transformation[[#This Row],[Commodity to]]&amp;Transformation[[#This Row],[Transaction to]]</f>
        <v>8000085EP8000016HE</v>
      </c>
      <c r="BR196" s="26" t="str">
        <f>Transformation[[#This Row],[crfomid]]&amp;Transformation[[#This Row],[Transaction from]]&amp;"("&amp;Transformation[[#This Row],[Multiplier]]&amp;") -&gt; "&amp;Transformation[[#This Row],[ctoid]]&amp;Transformation[[#This Row],[Transaction to]]</f>
        <v>ST085EP(1) -&gt; ST016HE</v>
      </c>
    </row>
    <row r="197" spans="25:70" x14ac:dyDescent="0.45">
      <c r="Y197" s="5" t="s">
        <v>1252</v>
      </c>
      <c r="Z197" s="4" t="s">
        <v>1220</v>
      </c>
      <c r="AA197" s="4" t="s">
        <v>1382</v>
      </c>
      <c r="AB197" s="4" t="s">
        <v>2</v>
      </c>
      <c r="AC197" s="24" t="str">
        <f>IFERROR(VLOOKUP(Transactions[[#This Row],[Parent code]],Transactions[[Transaction code]:[Transaction name]],2,0),"")</f>
        <v>Production, Autoproducers total</v>
      </c>
      <c r="AD197" s="4" t="s">
        <v>189</v>
      </c>
      <c r="AE197" s="4" t="s">
        <v>959</v>
      </c>
      <c r="AF197" s="4" t="s">
        <v>642</v>
      </c>
      <c r="AG197" s="4" t="s">
        <v>1</v>
      </c>
      <c r="AH197" s="4" t="s">
        <v>696</v>
      </c>
      <c r="AI197" s="12" t="s">
        <v>1416</v>
      </c>
      <c r="AJ197" s="4" t="s">
        <v>0</v>
      </c>
      <c r="AK197" s="24" t="str" cm="1">
        <f t="array" ref="AK197">IFERROR(INDEX(Transactions[[Transaction code]:[Transaction name]],_xlfn.XMATCH(Transactions[[#This Row],[Parent code]],Transactions[Transaction name],0),3),Transactions[[#This Row],[Transaction name]])</f>
        <v>Electricity, CHP and Heat plants - Autoproducer - gas coal products</v>
      </c>
      <c r="AL197" s="24" t="str" cm="1">
        <f t="array" ref="AL197">IFERROR(INDEX(Transactions[[Transaction code]:[Transaction name]],_xlfn.XMATCH(INDEX(Transactions[[Transaction name]:[Parent code]],_xlfn.XMATCH(Transactions[[#This Row],[L1N]],Transactions[Transaction name],0),3),Transactions[Transaction code],0),2),Transactions[[#This Row],[L1N]])</f>
        <v>Production, Autoproducers total</v>
      </c>
      <c r="AM197" s="24" t="str" cm="1">
        <f t="array" ref="AM197">IFERROR(INDEX(Transactions[[Transaction code]:[Transaction name]],_xlfn.XMATCH(INDEX(Transactions[[Transaction name]:[Parent code]],_xlfn.XMATCH(Transactions[[#This Row],[L2N]],Transactions[Transaction name],0),3),Transactions[Transaction code],0),2),Transactions[[#This Row],[L2N]])</f>
        <v>Production</v>
      </c>
      <c r="AN197" s="24" t="str" cm="1">
        <f t="array" ref="AN197">IFERROR(INDEX(Transactions[[Transaction code]:[Transaction name]],_xlfn.XMATCH(INDEX(Transactions[[Transaction name]:[Parent code]],_xlfn.XMATCH(Transactions[[#This Row],[L3N]],Transactions[Transaction name],0),3),Transactions[Transaction code],0),2),Transactions[[#This Row],[L3N]])</f>
        <v>Total energy supply</v>
      </c>
      <c r="AO197" s="24" t="str" cm="1">
        <f t="array" ref="AO197">IFERROR(INDEX(Transactions[[Transaction code]:[Transaction name]],_xlfn.XMATCH(INDEX(Transactions[[Transaction name]:[Parent code]],_xlfn.XMATCH(Transactions[[#This Row],[L4N]],Transactions[Transaction name],0),3),Transactions[Transaction code],0),2),Transactions[[#This Row],[L4N]])</f>
        <v>Total energy supply</v>
      </c>
      <c r="AP197" s="24" t="str" cm="1">
        <f t="array" ref="AP197">IFERROR(INDEX(Transactions[[Transaction code]:[Transaction name]],_xlfn.XMATCH(INDEX(Transactions[[Transaction name]:[Parent code]],_xlfn.XMATCH(Transactions[[#This Row],[L5N]],Transactions[Transaction name],0),3),Transactions[Transaction code],0),2),Transactions[[#This Row],[L5N]])</f>
        <v>Total energy supply</v>
      </c>
      <c r="AQ197" s="24" t="str" cm="1">
        <f t="array" ref="AQ197">IFERROR(INDEX(Transactions[[Transaction code]:[Transaction name]],_xlfn.XMATCH(INDEX(Transactions[[Transaction name]:[Parent code]],_xlfn.XMATCH(Transactions[[#This Row],[L6N]],Transactions[Transaction name],0),3),Transactions[Transaction code],0),2),Transactions[[#This Row],[L6N]])</f>
        <v>Total energy supply</v>
      </c>
      <c r="AR197" s="28" t="str">
        <f>IF(Transactions[[#This Row],[L7N]]=Transactions[[#This Row],[L6N]],Transactions[[#This Row],[L7N]],IF(Transactions[[#This Row],[L6N]]=Transactions[[#This Row],[L5N]],Transactions[[#This Row],[L6N]],IF(Transactions[[#This Row],[L5N]]=Transactions[[#This Row],[L4N]],Transactions[[#This Row],[L5N]],IF(Transactions[[#This Row],[L4N]]=Transactions[[#This Row],[L3N]],Transactions[[#This Row],[L4N]],IF(Transactions[[#This Row],[L3N]]=Transactions[[#This Row],[L2N]],Transactions[[#This Row],[L3N]],IF(Transactions[[#This Row],[L2N]]=Transactions[[#This Row],[L1N]],Transactions[[#This Row],[L2N]],IF(Transactions[[#This Row],[L1N]]=Transactions[[#This Row],[Transaction name]],Transactions[[#This Row],[L1N]],Transactions[[#This Row],[Transaction name]])))))))</f>
        <v>Total energy supply</v>
      </c>
      <c r="AS197" s="24" t="str">
        <f>IF(Transactions[[#This Row],[Level 0]]=Transactions[[#This Row],[Transaction name]],Transactions[[#This Row],[Transaction name]],IF(Transactions[[#This Row],[Level 0]]=Transactions[[#This Row],[L1N]],Transactions[[#This Row],[Transaction name]],IF(Transactions[[#This Row],[Level 0]]=Transactions[[#This Row],[L2N]],Transactions[[#This Row],[L1N]],IF(Transactions[[#This Row],[Level 0]]=Transactions[[#This Row],[L3N]],Transactions[[#This Row],[L2N]],IF(Transactions[[#This Row],[Level 0]]=Transactions[[#This Row],[L4N]],Transactions[[#This Row],[L3N]],IF(Transactions[[#This Row],[Level 0]]=Transactions[[#This Row],[L5N]],Transactions[[#This Row],[L4N]],IF(Transactions[[#This Row],[Level 0]]=Transactions[[#This Row],[L6N]],Transactions[[#This Row],[L5N]],IF(Transactions[[#This Row],[Level 0]]=Transactions[[#This Row],[L7N]],Transactions[[#This Row],[L6N]],Transactions[[#This Row],[L7N]]))))))))</f>
        <v>Production</v>
      </c>
      <c r="AT197" s="24" t="str">
        <f>IF(Transactions[[#This Row],[Level 1]]=Transactions[[#This Row],[Transaction name]],Transactions[[#This Row],[Transaction name]],IF(Transactions[[#This Row],[Level 1]]=Transactions[[#This Row],[L1N]],Transactions[[#This Row],[Transaction name]],IF(Transactions[[#This Row],[Level 1]]=Transactions[[#This Row],[L2N]],Transactions[[#This Row],[L1N]],IF(Transactions[[#This Row],[Level 1]]=Transactions[[#This Row],[L3N]],Transactions[[#This Row],[L2N]],IF(Transactions[[#This Row],[Level 1]]=Transactions[[#This Row],[L4N]],Transactions[[#This Row],[L3N]],IF(Transactions[[#This Row],[Level 1]]=Transactions[[#This Row],[L5N]],Transactions[[#This Row],[L4N]],IF(Transactions[[#This Row],[Level 1]]=Transactions[[#This Row],[L6N]],Transactions[[#This Row],[L5N]],IF(Transactions[[#This Row],[Level 1]]=Transactions[[#This Row],[L7N]],Transactions[[#This Row],[L6N]],Transactions[[#This Row],[L7N]]))))))))</f>
        <v>Production, Autoproducers total</v>
      </c>
      <c r="AU197" s="24" t="str">
        <f>IF(Transactions[[#This Row],[Level 2]]=Transactions[[#This Row],[Transaction name]],Transactions[[#This Row],[Transaction name]],IF(Transactions[[#This Row],[Level 2]]=Transactions[[#This Row],[L1N]],Transactions[[#This Row],[Transaction name]],IF(Transactions[[#This Row],[Level 2]]=Transactions[[#This Row],[L2N]],Transactions[[#This Row],[L1N]],IF(Transactions[[#This Row],[Level 2]]=Transactions[[#This Row],[L3N]],Transactions[[#This Row],[L2N]],IF(Transactions[[#This Row],[Level 2]]=Transactions[[#This Row],[L4N]],Transactions[[#This Row],[L3N]],IF(Transactions[[#This Row],[Level 2]]=Transactions[[#This Row],[L5N]],Transactions[[#This Row],[L4N]],IF(Transactions[[#This Row],[Level 2]]=Transactions[[#This Row],[L6N]],Transactions[[#This Row],[L5N]],IF(Transactions[[#This Row],[Level 2]]=Transactions[[#This Row],[L7N]],Transactions[[#This Row],[L6N]],Transactions[[#This Row],[L7N]]))))))))</f>
        <v>Electricity, CHP and Heat plants - Autoproducer - gas coal products</v>
      </c>
      <c r="AV197" s="24" t="str">
        <f>IF(Transactions[[#This Row],[Level 3]]=Transactions[[#This Row],[Transaction name]],Transactions[[#This Row],[Transaction name]],IF(Transactions[[#This Row],[Level 3]]=Transactions[[#This Row],[L1N]],Transactions[[#This Row],[Transaction name]],IF(Transactions[[#This Row],[Level 3]]=Transactions[[#This Row],[L2N]],Transactions[[#This Row],[L1N]],IF(Transactions[[#This Row],[Level 3]]=Transactions[[#This Row],[L3N]],Transactions[[#This Row],[L2N]],IF(Transactions[[#This Row],[Level 3]]=Transactions[[#This Row],[L4N]],Transactions[[#This Row],[L3N]],IF(Transactions[[#This Row],[Level 3]]=Transactions[[#This Row],[L5N]],Transactions[[#This Row],[L4N]],IF(Transactions[[#This Row],[Level 3]]=Transactions[[#This Row],[L6N]],Transactions[[#This Row],[L5N]],IF(Transactions[[#This Row],[Level 3]]=Transactions[[#This Row],[L7N]],Transactions[[#This Row],[L6N]],Transactions[[#This Row],[L7N]]))))))))</f>
        <v>Electricity, CHP and Heat plants - Autoproducer - gas coal products</v>
      </c>
      <c r="AW197" s="24" t="str">
        <f>IF(Transactions[[#This Row],[Level 4]]=Transactions[[#This Row],[Transaction name]],Transactions[[#This Row],[Transaction name]],IF(Transactions[[#This Row],[Level 4]]=Transactions[[#This Row],[L1N]],Transactions[[#This Row],[Transaction name]],IF(Transactions[[#This Row],[Level 4]]=Transactions[[#This Row],[L2N]],Transactions[[#This Row],[L1N]],IF(Transactions[[#This Row],[Level 4]]=Transactions[[#This Row],[L3N]],Transactions[[#This Row],[L2N]],IF(Transactions[[#This Row],[Level 4]]=Transactions[[#This Row],[L4N]],Transactions[[#This Row],[L3N]],IF(Transactions[[#This Row],[Level 4]]=Transactions[[#This Row],[L5N]],Transactions[[#This Row],[L4N]],IF(Transactions[[#This Row],[Level 4]]=Transactions[[#This Row],[L6N]],Transactions[[#This Row],[L5N]],IF(Transactions[[#This Row],[Level 4]]=Transactions[[#This Row],[L7N]],Transactions[[#This Row],[L6N]],Transactions[[#This Row],[L7N]]))))))))</f>
        <v>Electricity, CHP and Heat plants - Autoproducer - gas coal products</v>
      </c>
      <c r="AX197" s="24" t="str">
        <f>IF(Transactions[[#This Row],[Level 5]]=Transactions[[#This Row],[Transaction name]],Transactions[[#This Row],[Transaction name]],IF(Transactions[[#This Row],[Level 5]]=Transactions[[#This Row],[L1N]],Transactions[[#This Row],[Transaction name]],IF(Transactions[[#This Row],[Level 5]]=Transactions[[#This Row],[L2N]],Transactions[[#This Row],[L1N]],IF(Transactions[[#This Row],[Level 5]]=Transactions[[#This Row],[L3N]],Transactions[[#This Row],[L2N]],IF(Transactions[[#This Row],[Level 5]]=Transactions[[#This Row],[L4N]],Transactions[[#This Row],[L3N]],IF(Transactions[[#This Row],[Level 5]]=Transactions[[#This Row],[L5N]],Transactions[[#This Row],[L4N]],IF(Transactions[[#This Row],[Level 5]]=Transactions[[#This Row],[L6N]],Transactions[[#This Row],[L5N]],IF(Transactions[[#This Row],[Level 5]]=Transactions[[#This Row],[L7N]],Transactions[[#This Row],[L6N]],Transactions[[#This Row],[L7N]]))))))))</f>
        <v>Electricity, CHP and Heat plants - Autoproducer - gas coal products</v>
      </c>
      <c r="AY197" s="24" t="str">
        <f>IF(Transactions[[#This Row],[Level 6]]=Transactions[[#This Row],[Transaction name]],Transactions[[#This Row],[Transaction name]],IF(Transactions[[#This Row],[Level 6]]=Transactions[[#This Row],[L1N]],Transactions[[#This Row],[Transaction name]],IF(Transactions[[#This Row],[Level 6]]=Transactions[[#This Row],[L2N]],Transactions[[#This Row],[L1N]],IF(Transactions[[#This Row],[Level 6]]=Transactions[[#This Row],[L3N]],Transactions[[#This Row],[L2N]],IF(Transactions[[#This Row],[Level 6]]=Transactions[[#This Row],[L4N]],Transactions[[#This Row],[L3N]],IF(Transactions[[#This Row],[Level 6]]=Transactions[[#This Row],[L5N]],Transactions[[#This Row],[L4N]],IF(Transactions[[#This Row],[Level 6]]=Transactions[[#This Row],[L6N]],Transactions[[#This Row],[L5N]],IF(Transactions[[#This Row],[Level 6]]=Transactions[[#This Row],[L7N]],Transactions[[#This Row],[L6N]],Transactions[[#This Row],[L7N]]))))))))</f>
        <v>Electricity, CHP and Heat plants - Autoproducer - gas coal products</v>
      </c>
      <c r="BE197" s="26" t="str">
        <f>_xlfn.XLOOKUP(Transformation[[#This Row],[cfrom]],Commodities[Commodity],Commodities[Commodity code])</f>
        <v>8000</v>
      </c>
      <c r="BF197" s="26" t="str">
        <f>_xlfn.XLOOKUP(Transformation[[#This Row],[tfrom]],Transactions[Transaction name],Transactions[Transaction code])</f>
        <v>085EP</v>
      </c>
      <c r="BG197" s="26" t="str">
        <f>_xlfn.XLOOKUP(Transformation[[#This Row],[cto]],Commodities[Commodity],Commodities[Commodity code])</f>
        <v>8000</v>
      </c>
      <c r="BH197" s="26" t="str">
        <f>_xlfn.XLOOKUP(Transformation[[#This Row],[tto]],Transactions[Transaction name],Transactions[Transaction code])</f>
        <v>085EP</v>
      </c>
      <c r="BI197" s="31">
        <v>-1</v>
      </c>
      <c r="BJ197" s="22" t="s">
        <v>262</v>
      </c>
      <c r="BK197" s="26" t="str">
        <f>_xlfn.XLOOKUP(Transformation[[#This Row],[Commodity from]],Commodities[Commodity code],Commodities[EnergyCode])</f>
        <v>ST</v>
      </c>
      <c r="BL197" s="22" t="s">
        <v>724</v>
      </c>
      <c r="BM197" s="22" t="s">
        <v>262</v>
      </c>
      <c r="BN197" s="26" t="str">
        <f>_xlfn.XLOOKUP(Transformation[[#This Row],[Commodity to]],Commodities[Commodity code],Commodities[EnergyCode])</f>
        <v>ST</v>
      </c>
      <c r="BO197" s="22" t="s">
        <v>724</v>
      </c>
      <c r="BP197" s="22"/>
      <c r="BQ197" s="33" t="str">
        <f>Transformation[[#This Row],[Commodity from]]&amp;Transformation[[#This Row],[Transaction from]]&amp;Transformation[[#This Row],[Commodity to]]&amp;Transformation[[#This Row],[Transaction to]]</f>
        <v>8000085EP8000085EP</v>
      </c>
      <c r="BR197" s="26" t="str">
        <f>Transformation[[#This Row],[crfomid]]&amp;Transformation[[#This Row],[Transaction from]]&amp;"("&amp;Transformation[[#This Row],[Multiplier]]&amp;") -&gt; "&amp;Transformation[[#This Row],[ctoid]]&amp;Transformation[[#This Row],[Transaction to]]</f>
        <v>ST085EP(-1) -&gt; ST085EP</v>
      </c>
    </row>
    <row r="198" spans="25:70" x14ac:dyDescent="0.45">
      <c r="Y198" s="5" t="s">
        <v>1045</v>
      </c>
      <c r="Z198" s="4" t="s">
        <v>1037</v>
      </c>
      <c r="AA198" s="4" t="s">
        <v>1342</v>
      </c>
      <c r="AB198" s="4" t="s">
        <v>2</v>
      </c>
      <c r="AC198" s="24" t="str">
        <f>IFERROR(VLOOKUP(Transactions[[#This Row],[Parent code]],Transactions[[Transaction code]:[Transaction name]],2,0),"")</f>
        <v>Production, Autoproducers total</v>
      </c>
      <c r="AD198" s="4" t="s">
        <v>189</v>
      </c>
      <c r="AE198" s="4" t="s">
        <v>959</v>
      </c>
      <c r="AF198" s="4" t="s">
        <v>642</v>
      </c>
      <c r="AG198" s="4" t="s">
        <v>1</v>
      </c>
      <c r="AH198" s="4" t="s">
        <v>696</v>
      </c>
      <c r="AI198" s="12" t="s">
        <v>1416</v>
      </c>
      <c r="AJ198" s="4" t="s">
        <v>0</v>
      </c>
      <c r="AK198" s="24" t="str" cm="1">
        <f t="array" ref="AK198">IFERROR(INDEX(Transactions[[Transaction code]:[Transaction name]],_xlfn.XMATCH(Transactions[[#This Row],[Parent code]],Transactions[Transaction name],0),3),Transactions[[#This Row],[Transaction name]])</f>
        <v>Electricity, CHP and Heat plants - Autoproducer - gas oil/diesel oil</v>
      </c>
      <c r="AL198" s="24" t="str" cm="1">
        <f t="array" ref="AL198">IFERROR(INDEX(Transactions[[Transaction code]:[Transaction name]],_xlfn.XMATCH(INDEX(Transactions[[Transaction name]:[Parent code]],_xlfn.XMATCH(Transactions[[#This Row],[L1N]],Transactions[Transaction name],0),3),Transactions[Transaction code],0),2),Transactions[[#This Row],[L1N]])</f>
        <v>Production, Autoproducers total</v>
      </c>
      <c r="AM198" s="24" t="str" cm="1">
        <f t="array" ref="AM198">IFERROR(INDEX(Transactions[[Transaction code]:[Transaction name]],_xlfn.XMATCH(INDEX(Transactions[[Transaction name]:[Parent code]],_xlfn.XMATCH(Transactions[[#This Row],[L2N]],Transactions[Transaction name],0),3),Transactions[Transaction code],0),2),Transactions[[#This Row],[L2N]])</f>
        <v>Production</v>
      </c>
      <c r="AN198" s="24" t="str" cm="1">
        <f t="array" ref="AN198">IFERROR(INDEX(Transactions[[Transaction code]:[Transaction name]],_xlfn.XMATCH(INDEX(Transactions[[Transaction name]:[Parent code]],_xlfn.XMATCH(Transactions[[#This Row],[L3N]],Transactions[Transaction name],0),3),Transactions[Transaction code],0),2),Transactions[[#This Row],[L3N]])</f>
        <v>Total energy supply</v>
      </c>
      <c r="AO198" s="24" t="str" cm="1">
        <f t="array" ref="AO198">IFERROR(INDEX(Transactions[[Transaction code]:[Transaction name]],_xlfn.XMATCH(INDEX(Transactions[[Transaction name]:[Parent code]],_xlfn.XMATCH(Transactions[[#This Row],[L4N]],Transactions[Transaction name],0),3),Transactions[Transaction code],0),2),Transactions[[#This Row],[L4N]])</f>
        <v>Total energy supply</v>
      </c>
      <c r="AP198" s="24" t="str" cm="1">
        <f t="array" ref="AP198">IFERROR(INDEX(Transactions[[Transaction code]:[Transaction name]],_xlfn.XMATCH(INDEX(Transactions[[Transaction name]:[Parent code]],_xlfn.XMATCH(Transactions[[#This Row],[L5N]],Transactions[Transaction name],0),3),Transactions[Transaction code],0),2),Transactions[[#This Row],[L5N]])</f>
        <v>Total energy supply</v>
      </c>
      <c r="AQ198" s="24" t="str" cm="1">
        <f t="array" ref="AQ198">IFERROR(INDEX(Transactions[[Transaction code]:[Transaction name]],_xlfn.XMATCH(INDEX(Transactions[[Transaction name]:[Parent code]],_xlfn.XMATCH(Transactions[[#This Row],[L6N]],Transactions[Transaction name],0),3),Transactions[Transaction code],0),2),Transactions[[#This Row],[L6N]])</f>
        <v>Total energy supply</v>
      </c>
      <c r="AR198" s="28" t="str">
        <f>IF(Transactions[[#This Row],[L7N]]=Transactions[[#This Row],[L6N]],Transactions[[#This Row],[L7N]],IF(Transactions[[#This Row],[L6N]]=Transactions[[#This Row],[L5N]],Transactions[[#This Row],[L6N]],IF(Transactions[[#This Row],[L5N]]=Transactions[[#This Row],[L4N]],Transactions[[#This Row],[L5N]],IF(Transactions[[#This Row],[L4N]]=Transactions[[#This Row],[L3N]],Transactions[[#This Row],[L4N]],IF(Transactions[[#This Row],[L3N]]=Transactions[[#This Row],[L2N]],Transactions[[#This Row],[L3N]],IF(Transactions[[#This Row],[L2N]]=Transactions[[#This Row],[L1N]],Transactions[[#This Row],[L2N]],IF(Transactions[[#This Row],[L1N]]=Transactions[[#This Row],[Transaction name]],Transactions[[#This Row],[L1N]],Transactions[[#This Row],[Transaction name]])))))))</f>
        <v>Total energy supply</v>
      </c>
      <c r="AS198" s="24" t="str">
        <f>IF(Transactions[[#This Row],[Level 0]]=Transactions[[#This Row],[Transaction name]],Transactions[[#This Row],[Transaction name]],IF(Transactions[[#This Row],[Level 0]]=Transactions[[#This Row],[L1N]],Transactions[[#This Row],[Transaction name]],IF(Transactions[[#This Row],[Level 0]]=Transactions[[#This Row],[L2N]],Transactions[[#This Row],[L1N]],IF(Transactions[[#This Row],[Level 0]]=Transactions[[#This Row],[L3N]],Transactions[[#This Row],[L2N]],IF(Transactions[[#This Row],[Level 0]]=Transactions[[#This Row],[L4N]],Transactions[[#This Row],[L3N]],IF(Transactions[[#This Row],[Level 0]]=Transactions[[#This Row],[L5N]],Transactions[[#This Row],[L4N]],IF(Transactions[[#This Row],[Level 0]]=Transactions[[#This Row],[L6N]],Transactions[[#This Row],[L5N]],IF(Transactions[[#This Row],[Level 0]]=Transactions[[#This Row],[L7N]],Transactions[[#This Row],[L6N]],Transactions[[#This Row],[L7N]]))))))))</f>
        <v>Production</v>
      </c>
      <c r="AT198" s="24" t="str">
        <f>IF(Transactions[[#This Row],[Level 1]]=Transactions[[#This Row],[Transaction name]],Transactions[[#This Row],[Transaction name]],IF(Transactions[[#This Row],[Level 1]]=Transactions[[#This Row],[L1N]],Transactions[[#This Row],[Transaction name]],IF(Transactions[[#This Row],[Level 1]]=Transactions[[#This Row],[L2N]],Transactions[[#This Row],[L1N]],IF(Transactions[[#This Row],[Level 1]]=Transactions[[#This Row],[L3N]],Transactions[[#This Row],[L2N]],IF(Transactions[[#This Row],[Level 1]]=Transactions[[#This Row],[L4N]],Transactions[[#This Row],[L3N]],IF(Transactions[[#This Row],[Level 1]]=Transactions[[#This Row],[L5N]],Transactions[[#This Row],[L4N]],IF(Transactions[[#This Row],[Level 1]]=Transactions[[#This Row],[L6N]],Transactions[[#This Row],[L5N]],IF(Transactions[[#This Row],[Level 1]]=Transactions[[#This Row],[L7N]],Transactions[[#This Row],[L6N]],Transactions[[#This Row],[L7N]]))))))))</f>
        <v>Production, Autoproducers total</v>
      </c>
      <c r="AU198" s="24" t="str">
        <f>IF(Transactions[[#This Row],[Level 2]]=Transactions[[#This Row],[Transaction name]],Transactions[[#This Row],[Transaction name]],IF(Transactions[[#This Row],[Level 2]]=Transactions[[#This Row],[L1N]],Transactions[[#This Row],[Transaction name]],IF(Transactions[[#This Row],[Level 2]]=Transactions[[#This Row],[L2N]],Transactions[[#This Row],[L1N]],IF(Transactions[[#This Row],[Level 2]]=Transactions[[#This Row],[L3N]],Transactions[[#This Row],[L2N]],IF(Transactions[[#This Row],[Level 2]]=Transactions[[#This Row],[L4N]],Transactions[[#This Row],[L3N]],IF(Transactions[[#This Row],[Level 2]]=Transactions[[#This Row],[L5N]],Transactions[[#This Row],[L4N]],IF(Transactions[[#This Row],[Level 2]]=Transactions[[#This Row],[L6N]],Transactions[[#This Row],[L5N]],IF(Transactions[[#This Row],[Level 2]]=Transactions[[#This Row],[L7N]],Transactions[[#This Row],[L6N]],Transactions[[#This Row],[L7N]]))))))))</f>
        <v>Electricity, CHP and Heat plants - Autoproducer - gas oil/diesel oil</v>
      </c>
      <c r="AV198" s="24" t="str">
        <f>IF(Transactions[[#This Row],[Level 3]]=Transactions[[#This Row],[Transaction name]],Transactions[[#This Row],[Transaction name]],IF(Transactions[[#This Row],[Level 3]]=Transactions[[#This Row],[L1N]],Transactions[[#This Row],[Transaction name]],IF(Transactions[[#This Row],[Level 3]]=Transactions[[#This Row],[L2N]],Transactions[[#This Row],[L1N]],IF(Transactions[[#This Row],[Level 3]]=Transactions[[#This Row],[L3N]],Transactions[[#This Row],[L2N]],IF(Transactions[[#This Row],[Level 3]]=Transactions[[#This Row],[L4N]],Transactions[[#This Row],[L3N]],IF(Transactions[[#This Row],[Level 3]]=Transactions[[#This Row],[L5N]],Transactions[[#This Row],[L4N]],IF(Transactions[[#This Row],[Level 3]]=Transactions[[#This Row],[L6N]],Transactions[[#This Row],[L5N]],IF(Transactions[[#This Row],[Level 3]]=Transactions[[#This Row],[L7N]],Transactions[[#This Row],[L6N]],Transactions[[#This Row],[L7N]]))))))))</f>
        <v>Electricity, CHP and Heat plants - Autoproducer - gas oil/diesel oil</v>
      </c>
      <c r="AW198" s="24" t="str">
        <f>IF(Transactions[[#This Row],[Level 4]]=Transactions[[#This Row],[Transaction name]],Transactions[[#This Row],[Transaction name]],IF(Transactions[[#This Row],[Level 4]]=Transactions[[#This Row],[L1N]],Transactions[[#This Row],[Transaction name]],IF(Transactions[[#This Row],[Level 4]]=Transactions[[#This Row],[L2N]],Transactions[[#This Row],[L1N]],IF(Transactions[[#This Row],[Level 4]]=Transactions[[#This Row],[L3N]],Transactions[[#This Row],[L2N]],IF(Transactions[[#This Row],[Level 4]]=Transactions[[#This Row],[L4N]],Transactions[[#This Row],[L3N]],IF(Transactions[[#This Row],[Level 4]]=Transactions[[#This Row],[L5N]],Transactions[[#This Row],[L4N]],IF(Transactions[[#This Row],[Level 4]]=Transactions[[#This Row],[L6N]],Transactions[[#This Row],[L5N]],IF(Transactions[[#This Row],[Level 4]]=Transactions[[#This Row],[L7N]],Transactions[[#This Row],[L6N]],Transactions[[#This Row],[L7N]]))))))))</f>
        <v>Electricity, CHP and Heat plants - Autoproducer - gas oil/diesel oil</v>
      </c>
      <c r="AX198" s="24" t="str">
        <f>IF(Transactions[[#This Row],[Level 5]]=Transactions[[#This Row],[Transaction name]],Transactions[[#This Row],[Transaction name]],IF(Transactions[[#This Row],[Level 5]]=Transactions[[#This Row],[L1N]],Transactions[[#This Row],[Transaction name]],IF(Transactions[[#This Row],[Level 5]]=Transactions[[#This Row],[L2N]],Transactions[[#This Row],[L1N]],IF(Transactions[[#This Row],[Level 5]]=Transactions[[#This Row],[L3N]],Transactions[[#This Row],[L2N]],IF(Transactions[[#This Row],[Level 5]]=Transactions[[#This Row],[L4N]],Transactions[[#This Row],[L3N]],IF(Transactions[[#This Row],[Level 5]]=Transactions[[#This Row],[L5N]],Transactions[[#This Row],[L4N]],IF(Transactions[[#This Row],[Level 5]]=Transactions[[#This Row],[L6N]],Transactions[[#This Row],[L5N]],IF(Transactions[[#This Row],[Level 5]]=Transactions[[#This Row],[L7N]],Transactions[[#This Row],[L6N]],Transactions[[#This Row],[L7N]]))))))))</f>
        <v>Electricity, CHP and Heat plants - Autoproducer - gas oil/diesel oil</v>
      </c>
      <c r="AY198" s="24" t="str">
        <f>IF(Transactions[[#This Row],[Level 6]]=Transactions[[#This Row],[Transaction name]],Transactions[[#This Row],[Transaction name]],IF(Transactions[[#This Row],[Level 6]]=Transactions[[#This Row],[L1N]],Transactions[[#This Row],[Transaction name]],IF(Transactions[[#This Row],[Level 6]]=Transactions[[#This Row],[L2N]],Transactions[[#This Row],[L1N]],IF(Transactions[[#This Row],[Level 6]]=Transactions[[#This Row],[L3N]],Transactions[[#This Row],[L2N]],IF(Transactions[[#This Row],[Level 6]]=Transactions[[#This Row],[L4N]],Transactions[[#This Row],[L3N]],IF(Transactions[[#This Row],[Level 6]]=Transactions[[#This Row],[L5N]],Transactions[[#This Row],[L4N]],IF(Transactions[[#This Row],[Level 6]]=Transactions[[#This Row],[L6N]],Transactions[[#This Row],[L5N]],IF(Transactions[[#This Row],[Level 6]]=Transactions[[#This Row],[L7N]],Transactions[[#This Row],[L6N]],Transactions[[#This Row],[L7N]]))))))))</f>
        <v>Electricity, CHP and Heat plants - Autoproducer - gas oil/diesel oil</v>
      </c>
      <c r="BE198" s="26" t="str">
        <f>_xlfn.XLOOKUP(Transformation[[#This Row],[cfrom]],Commodities[Commodity],Commodities[Commodity code])</f>
        <v>5222</v>
      </c>
      <c r="BF198" s="26" t="str">
        <f>_xlfn.XLOOKUP(Transformation[[#This Row],[tfrom]],Transactions[Transaction name],Transactions[Transaction code])</f>
        <v>04</v>
      </c>
      <c r="BG198" s="26" t="str">
        <f>_xlfn.XLOOKUP(Transformation[[#This Row],[cto]],Commodities[Commodity],Commodities[Commodity code])</f>
        <v>5222</v>
      </c>
      <c r="BH198" s="26" t="str">
        <f>_xlfn.XLOOKUP(Transformation[[#This Row],[tto]],Transactions[Transaction name],Transactions[Transaction code])</f>
        <v>03</v>
      </c>
      <c r="BI198" s="32">
        <v>-2</v>
      </c>
      <c r="BJ198" s="22" t="s">
        <v>962</v>
      </c>
      <c r="BK198" s="26" t="str">
        <f>_xlfn.XLOOKUP(Transformation[[#This Row],[Commodity from]],Commodities[Commodity code],Commodities[EnergyCode])</f>
        <v>ZD</v>
      </c>
      <c r="BL198" s="22" t="s">
        <v>198</v>
      </c>
      <c r="BM198" s="22" t="s">
        <v>962</v>
      </c>
      <c r="BN198" s="26" t="str">
        <f>_xlfn.XLOOKUP(Transformation[[#This Row],[Commodity to]],Commodities[Commodity code],Commodities[EnergyCode])</f>
        <v>ZD</v>
      </c>
      <c r="BO198" s="22" t="s">
        <v>200</v>
      </c>
      <c r="BP198" s="22" t="s">
        <v>1648</v>
      </c>
      <c r="BQ198" s="33" t="str">
        <f>Transformation[[#This Row],[Commodity from]]&amp;Transformation[[#This Row],[Transaction from]]&amp;Transformation[[#This Row],[Commodity to]]&amp;Transformation[[#This Row],[Transaction to]]</f>
        <v>522204522203</v>
      </c>
      <c r="BR198" s="26" t="str">
        <f>Transformation[[#This Row],[crfomid]]&amp;Transformation[[#This Row],[Transaction from]]&amp;"("&amp;Transformation[[#This Row],[Multiplier]]&amp;") -&gt; "&amp;Transformation[[#This Row],[ctoid]]&amp;Transformation[[#This Row],[Transaction to]]</f>
        <v>ZD04(-2) -&gt; ZD03</v>
      </c>
    </row>
    <row r="199" spans="25:70" x14ac:dyDescent="0.45">
      <c r="Y199" s="5" t="s">
        <v>263</v>
      </c>
      <c r="Z199" s="4" t="s">
        <v>667</v>
      </c>
      <c r="AA199" s="4" t="s">
        <v>1311</v>
      </c>
      <c r="AB199" s="4" t="s">
        <v>2</v>
      </c>
      <c r="AC199" s="24" t="str">
        <f>IFERROR(VLOOKUP(Transactions[[#This Row],[Parent code]],Transactions[[Transaction code]:[Transaction name]],2,0),"")</f>
        <v>Production, Autoproducers total</v>
      </c>
      <c r="AD199" s="4" t="s">
        <v>189</v>
      </c>
      <c r="AE199" s="4" t="s">
        <v>959</v>
      </c>
      <c r="AF199" s="4" t="s">
        <v>642</v>
      </c>
      <c r="AG199" s="4" t="s">
        <v>1</v>
      </c>
      <c r="AH199" s="4" t="s">
        <v>696</v>
      </c>
      <c r="AJ199" s="4" t="s">
        <v>0</v>
      </c>
      <c r="AK199" s="24" t="str" cm="1">
        <f t="array" ref="AK199">IFERROR(INDEX(Transactions[[Transaction code]:[Transaction name]],_xlfn.XMATCH(Transactions[[#This Row],[Parent code]],Transactions[Transaction name],0),3),Transactions[[#This Row],[Transaction name]])</f>
        <v>Electricity, CHP and Heat plants - Autoproducer - Geothermal</v>
      </c>
      <c r="AL199" s="24" t="str" cm="1">
        <f t="array" ref="AL199">IFERROR(INDEX(Transactions[[Transaction code]:[Transaction name]],_xlfn.XMATCH(INDEX(Transactions[[Transaction name]:[Parent code]],_xlfn.XMATCH(Transactions[[#This Row],[L1N]],Transactions[Transaction name],0),3),Transactions[Transaction code],0),2),Transactions[[#This Row],[L1N]])</f>
        <v>Production, Autoproducers total</v>
      </c>
      <c r="AM199" s="24" t="str" cm="1">
        <f t="array" ref="AM199">IFERROR(INDEX(Transactions[[Transaction code]:[Transaction name]],_xlfn.XMATCH(INDEX(Transactions[[Transaction name]:[Parent code]],_xlfn.XMATCH(Transactions[[#This Row],[L2N]],Transactions[Transaction name],0),3),Transactions[Transaction code],0),2),Transactions[[#This Row],[L2N]])</f>
        <v>Production</v>
      </c>
      <c r="AN199" s="24" t="str" cm="1">
        <f t="array" ref="AN199">IFERROR(INDEX(Transactions[[Transaction code]:[Transaction name]],_xlfn.XMATCH(INDEX(Transactions[[Transaction name]:[Parent code]],_xlfn.XMATCH(Transactions[[#This Row],[L3N]],Transactions[Transaction name],0),3),Transactions[Transaction code],0),2),Transactions[[#This Row],[L3N]])</f>
        <v>Total energy supply</v>
      </c>
      <c r="AO199" s="24" t="str" cm="1">
        <f t="array" ref="AO199">IFERROR(INDEX(Transactions[[Transaction code]:[Transaction name]],_xlfn.XMATCH(INDEX(Transactions[[Transaction name]:[Parent code]],_xlfn.XMATCH(Transactions[[#This Row],[L4N]],Transactions[Transaction name],0),3),Transactions[Transaction code],0),2),Transactions[[#This Row],[L4N]])</f>
        <v>Total energy supply</v>
      </c>
      <c r="AP199" s="24" t="str" cm="1">
        <f t="array" ref="AP199">IFERROR(INDEX(Transactions[[Transaction code]:[Transaction name]],_xlfn.XMATCH(INDEX(Transactions[[Transaction name]:[Parent code]],_xlfn.XMATCH(Transactions[[#This Row],[L5N]],Transactions[Transaction name],0),3),Transactions[Transaction code],0),2),Transactions[[#This Row],[L5N]])</f>
        <v>Total energy supply</v>
      </c>
      <c r="AQ199" s="24" t="str" cm="1">
        <f t="array" ref="AQ199">IFERROR(INDEX(Transactions[[Transaction code]:[Transaction name]],_xlfn.XMATCH(INDEX(Transactions[[Transaction name]:[Parent code]],_xlfn.XMATCH(Transactions[[#This Row],[L6N]],Transactions[Transaction name],0),3),Transactions[Transaction code],0),2),Transactions[[#This Row],[L6N]])</f>
        <v>Total energy supply</v>
      </c>
      <c r="AR199" s="28" t="str">
        <f>IF(Transactions[[#This Row],[L7N]]=Transactions[[#This Row],[L6N]],Transactions[[#This Row],[L7N]],IF(Transactions[[#This Row],[L6N]]=Transactions[[#This Row],[L5N]],Transactions[[#This Row],[L6N]],IF(Transactions[[#This Row],[L5N]]=Transactions[[#This Row],[L4N]],Transactions[[#This Row],[L5N]],IF(Transactions[[#This Row],[L4N]]=Transactions[[#This Row],[L3N]],Transactions[[#This Row],[L4N]],IF(Transactions[[#This Row],[L3N]]=Transactions[[#This Row],[L2N]],Transactions[[#This Row],[L3N]],IF(Transactions[[#This Row],[L2N]]=Transactions[[#This Row],[L1N]],Transactions[[#This Row],[L2N]],IF(Transactions[[#This Row],[L1N]]=Transactions[[#This Row],[Transaction name]],Transactions[[#This Row],[L1N]],Transactions[[#This Row],[Transaction name]])))))))</f>
        <v>Total energy supply</v>
      </c>
      <c r="AS199" s="24" t="str">
        <f>IF(Transactions[[#This Row],[Level 0]]=Transactions[[#This Row],[Transaction name]],Transactions[[#This Row],[Transaction name]],IF(Transactions[[#This Row],[Level 0]]=Transactions[[#This Row],[L1N]],Transactions[[#This Row],[Transaction name]],IF(Transactions[[#This Row],[Level 0]]=Transactions[[#This Row],[L2N]],Transactions[[#This Row],[L1N]],IF(Transactions[[#This Row],[Level 0]]=Transactions[[#This Row],[L3N]],Transactions[[#This Row],[L2N]],IF(Transactions[[#This Row],[Level 0]]=Transactions[[#This Row],[L4N]],Transactions[[#This Row],[L3N]],IF(Transactions[[#This Row],[Level 0]]=Transactions[[#This Row],[L5N]],Transactions[[#This Row],[L4N]],IF(Transactions[[#This Row],[Level 0]]=Transactions[[#This Row],[L6N]],Transactions[[#This Row],[L5N]],IF(Transactions[[#This Row],[Level 0]]=Transactions[[#This Row],[L7N]],Transactions[[#This Row],[L6N]],Transactions[[#This Row],[L7N]]))))))))</f>
        <v>Production</v>
      </c>
      <c r="AT199" s="24" t="str">
        <f>IF(Transactions[[#This Row],[Level 1]]=Transactions[[#This Row],[Transaction name]],Transactions[[#This Row],[Transaction name]],IF(Transactions[[#This Row],[Level 1]]=Transactions[[#This Row],[L1N]],Transactions[[#This Row],[Transaction name]],IF(Transactions[[#This Row],[Level 1]]=Transactions[[#This Row],[L2N]],Transactions[[#This Row],[L1N]],IF(Transactions[[#This Row],[Level 1]]=Transactions[[#This Row],[L3N]],Transactions[[#This Row],[L2N]],IF(Transactions[[#This Row],[Level 1]]=Transactions[[#This Row],[L4N]],Transactions[[#This Row],[L3N]],IF(Transactions[[#This Row],[Level 1]]=Transactions[[#This Row],[L5N]],Transactions[[#This Row],[L4N]],IF(Transactions[[#This Row],[Level 1]]=Transactions[[#This Row],[L6N]],Transactions[[#This Row],[L5N]],IF(Transactions[[#This Row],[Level 1]]=Transactions[[#This Row],[L7N]],Transactions[[#This Row],[L6N]],Transactions[[#This Row],[L7N]]))))))))</f>
        <v>Production, Autoproducers total</v>
      </c>
      <c r="AU199" s="24" t="str">
        <f>IF(Transactions[[#This Row],[Level 2]]=Transactions[[#This Row],[Transaction name]],Transactions[[#This Row],[Transaction name]],IF(Transactions[[#This Row],[Level 2]]=Transactions[[#This Row],[L1N]],Transactions[[#This Row],[Transaction name]],IF(Transactions[[#This Row],[Level 2]]=Transactions[[#This Row],[L2N]],Transactions[[#This Row],[L1N]],IF(Transactions[[#This Row],[Level 2]]=Transactions[[#This Row],[L3N]],Transactions[[#This Row],[L2N]],IF(Transactions[[#This Row],[Level 2]]=Transactions[[#This Row],[L4N]],Transactions[[#This Row],[L3N]],IF(Transactions[[#This Row],[Level 2]]=Transactions[[#This Row],[L5N]],Transactions[[#This Row],[L4N]],IF(Transactions[[#This Row],[Level 2]]=Transactions[[#This Row],[L6N]],Transactions[[#This Row],[L5N]],IF(Transactions[[#This Row],[Level 2]]=Transactions[[#This Row],[L7N]],Transactions[[#This Row],[L6N]],Transactions[[#This Row],[L7N]]))))))))</f>
        <v>Electricity, CHP and Heat plants - Autoproducer - Geothermal</v>
      </c>
      <c r="AV199" s="24" t="str">
        <f>IF(Transactions[[#This Row],[Level 3]]=Transactions[[#This Row],[Transaction name]],Transactions[[#This Row],[Transaction name]],IF(Transactions[[#This Row],[Level 3]]=Transactions[[#This Row],[L1N]],Transactions[[#This Row],[Transaction name]],IF(Transactions[[#This Row],[Level 3]]=Transactions[[#This Row],[L2N]],Transactions[[#This Row],[L1N]],IF(Transactions[[#This Row],[Level 3]]=Transactions[[#This Row],[L3N]],Transactions[[#This Row],[L2N]],IF(Transactions[[#This Row],[Level 3]]=Transactions[[#This Row],[L4N]],Transactions[[#This Row],[L3N]],IF(Transactions[[#This Row],[Level 3]]=Transactions[[#This Row],[L5N]],Transactions[[#This Row],[L4N]],IF(Transactions[[#This Row],[Level 3]]=Transactions[[#This Row],[L6N]],Transactions[[#This Row],[L5N]],IF(Transactions[[#This Row],[Level 3]]=Transactions[[#This Row],[L7N]],Transactions[[#This Row],[L6N]],Transactions[[#This Row],[L7N]]))))))))</f>
        <v>Electricity, CHP and Heat plants - Autoproducer - Geothermal</v>
      </c>
      <c r="AW199" s="24" t="str">
        <f>IF(Transactions[[#This Row],[Level 4]]=Transactions[[#This Row],[Transaction name]],Transactions[[#This Row],[Transaction name]],IF(Transactions[[#This Row],[Level 4]]=Transactions[[#This Row],[L1N]],Transactions[[#This Row],[Transaction name]],IF(Transactions[[#This Row],[Level 4]]=Transactions[[#This Row],[L2N]],Transactions[[#This Row],[L1N]],IF(Transactions[[#This Row],[Level 4]]=Transactions[[#This Row],[L3N]],Transactions[[#This Row],[L2N]],IF(Transactions[[#This Row],[Level 4]]=Transactions[[#This Row],[L4N]],Transactions[[#This Row],[L3N]],IF(Transactions[[#This Row],[Level 4]]=Transactions[[#This Row],[L5N]],Transactions[[#This Row],[L4N]],IF(Transactions[[#This Row],[Level 4]]=Transactions[[#This Row],[L6N]],Transactions[[#This Row],[L5N]],IF(Transactions[[#This Row],[Level 4]]=Transactions[[#This Row],[L7N]],Transactions[[#This Row],[L6N]],Transactions[[#This Row],[L7N]]))))))))</f>
        <v>Electricity, CHP and Heat plants - Autoproducer - Geothermal</v>
      </c>
      <c r="AX199" s="24" t="str">
        <f>IF(Transactions[[#This Row],[Level 5]]=Transactions[[#This Row],[Transaction name]],Transactions[[#This Row],[Transaction name]],IF(Transactions[[#This Row],[Level 5]]=Transactions[[#This Row],[L1N]],Transactions[[#This Row],[Transaction name]],IF(Transactions[[#This Row],[Level 5]]=Transactions[[#This Row],[L2N]],Transactions[[#This Row],[L1N]],IF(Transactions[[#This Row],[Level 5]]=Transactions[[#This Row],[L3N]],Transactions[[#This Row],[L2N]],IF(Transactions[[#This Row],[Level 5]]=Transactions[[#This Row],[L4N]],Transactions[[#This Row],[L3N]],IF(Transactions[[#This Row],[Level 5]]=Transactions[[#This Row],[L5N]],Transactions[[#This Row],[L4N]],IF(Transactions[[#This Row],[Level 5]]=Transactions[[#This Row],[L6N]],Transactions[[#This Row],[L5N]],IF(Transactions[[#This Row],[Level 5]]=Transactions[[#This Row],[L7N]],Transactions[[#This Row],[L6N]],Transactions[[#This Row],[L7N]]))))))))</f>
        <v>Electricity, CHP and Heat plants - Autoproducer - Geothermal</v>
      </c>
      <c r="AY199" s="24" t="str">
        <f>IF(Transactions[[#This Row],[Level 6]]=Transactions[[#This Row],[Transaction name]],Transactions[[#This Row],[Transaction name]],IF(Transactions[[#This Row],[Level 6]]=Transactions[[#This Row],[L1N]],Transactions[[#This Row],[Transaction name]],IF(Transactions[[#This Row],[Level 6]]=Transactions[[#This Row],[L2N]],Transactions[[#This Row],[L1N]],IF(Transactions[[#This Row],[Level 6]]=Transactions[[#This Row],[L3N]],Transactions[[#This Row],[L2N]],IF(Transactions[[#This Row],[Level 6]]=Transactions[[#This Row],[L4N]],Transactions[[#This Row],[L3N]],IF(Transactions[[#This Row],[Level 6]]=Transactions[[#This Row],[L5N]],Transactions[[#This Row],[L4N]],IF(Transactions[[#This Row],[Level 6]]=Transactions[[#This Row],[L6N]],Transactions[[#This Row],[L5N]],IF(Transactions[[#This Row],[Level 6]]=Transactions[[#This Row],[L7N]],Transactions[[#This Row],[L6N]],Transactions[[#This Row],[L7N]]))))))))</f>
        <v>Electricity, CHP and Heat plants - Autoproducer - Geothermal</v>
      </c>
      <c r="BE199" s="26" t="str">
        <f>_xlfn.XLOOKUP(Transformation[[#This Row],[cfrom]],Commodities[Commodity],Commodities[Commodity code])</f>
        <v>5212</v>
      </c>
      <c r="BF199" s="26" t="str">
        <f>_xlfn.XLOOKUP(Transformation[[#This Row],[tfrom]],Transactions[Transaction name],Transactions[Transaction code])</f>
        <v>04</v>
      </c>
      <c r="BG199" s="26" t="str">
        <f>_xlfn.XLOOKUP(Transformation[[#This Row],[cto]],Commodities[Commodity],Commodities[Commodity code])</f>
        <v>5212</v>
      </c>
      <c r="BH199" s="26" t="str">
        <f>_xlfn.XLOOKUP(Transformation[[#This Row],[tto]],Transactions[Transaction name],Transactions[Transaction code])</f>
        <v>04</v>
      </c>
      <c r="BI199" s="32">
        <v>-2</v>
      </c>
      <c r="BJ199" s="22" t="s">
        <v>317</v>
      </c>
      <c r="BK199" s="26" t="str">
        <f>_xlfn.XLOOKUP(Transformation[[#This Row],[Commodity from]],Commodities[Commodity code],Commodities[EnergyCode])</f>
        <v>ZG</v>
      </c>
      <c r="BL199" s="22" t="s">
        <v>198</v>
      </c>
      <c r="BM199" s="22" t="s">
        <v>317</v>
      </c>
      <c r="BN199" s="26" t="str">
        <f>_xlfn.XLOOKUP(Transformation[[#This Row],[Commodity to]],Commodities[Commodity code],Commodities[EnergyCode])</f>
        <v>ZG</v>
      </c>
      <c r="BO199" s="22" t="s">
        <v>198</v>
      </c>
      <c r="BP199" s="22" t="s">
        <v>1648</v>
      </c>
      <c r="BQ199" s="33" t="str">
        <f>Transformation[[#This Row],[Commodity from]]&amp;Transformation[[#This Row],[Transaction from]]&amp;Transformation[[#This Row],[Commodity to]]&amp;Transformation[[#This Row],[Transaction to]]</f>
        <v>521204521204</v>
      </c>
      <c r="BR199" s="26" t="str">
        <f>Transformation[[#This Row],[crfomid]]&amp;Transformation[[#This Row],[Transaction from]]&amp;"("&amp;Transformation[[#This Row],[Multiplier]]&amp;") -&gt; "&amp;Transformation[[#This Row],[ctoid]]&amp;Transformation[[#This Row],[Transaction to]]</f>
        <v>ZG04(-2) -&gt; ZG04</v>
      </c>
    </row>
    <row r="200" spans="25:70" x14ac:dyDescent="0.45">
      <c r="Y200" s="5" t="s">
        <v>1245</v>
      </c>
      <c r="Z200" s="4" t="s">
        <v>1188</v>
      </c>
      <c r="AA200" s="4" t="s">
        <v>1378</v>
      </c>
      <c r="AB200" s="4" t="s">
        <v>2</v>
      </c>
      <c r="AC200" s="24" t="str">
        <f>IFERROR(VLOOKUP(Transactions[[#This Row],[Parent code]],Transactions[[Transaction code]:[Transaction name]],2,0),"")</f>
        <v>Production, Autoproducers total</v>
      </c>
      <c r="AD200" s="4" t="s">
        <v>189</v>
      </c>
      <c r="AE200" s="4" t="s">
        <v>959</v>
      </c>
      <c r="AF200" s="4" t="s">
        <v>642</v>
      </c>
      <c r="AG200" s="4" t="s">
        <v>1</v>
      </c>
      <c r="AH200" s="4" t="s">
        <v>696</v>
      </c>
      <c r="AI200" s="12" t="s">
        <v>1416</v>
      </c>
      <c r="AJ200" s="4" t="s">
        <v>0</v>
      </c>
      <c r="AK200" s="24" t="str" cm="1">
        <f t="array" ref="AK200">IFERROR(INDEX(Transactions[[Transaction code]:[Transaction name]],_xlfn.XMATCH(Transactions[[#This Row],[Parent code]],Transactions[Transaction name],0),3),Transactions[[#This Row],[Transaction name]])</f>
        <v>Electricity, CHP and Heat plants - Autoproducer - hard coal</v>
      </c>
      <c r="AL200" s="24" t="str" cm="1">
        <f t="array" ref="AL200">IFERROR(INDEX(Transactions[[Transaction code]:[Transaction name]],_xlfn.XMATCH(INDEX(Transactions[[Transaction name]:[Parent code]],_xlfn.XMATCH(Transactions[[#This Row],[L1N]],Transactions[Transaction name],0),3),Transactions[Transaction code],0),2),Transactions[[#This Row],[L1N]])</f>
        <v>Production, Autoproducers total</v>
      </c>
      <c r="AM200" s="24" t="str" cm="1">
        <f t="array" ref="AM200">IFERROR(INDEX(Transactions[[Transaction code]:[Transaction name]],_xlfn.XMATCH(INDEX(Transactions[[Transaction name]:[Parent code]],_xlfn.XMATCH(Transactions[[#This Row],[L2N]],Transactions[Transaction name],0),3),Transactions[Transaction code],0),2),Transactions[[#This Row],[L2N]])</f>
        <v>Production</v>
      </c>
      <c r="AN200" s="24" t="str" cm="1">
        <f t="array" ref="AN200">IFERROR(INDEX(Transactions[[Transaction code]:[Transaction name]],_xlfn.XMATCH(INDEX(Transactions[[Transaction name]:[Parent code]],_xlfn.XMATCH(Transactions[[#This Row],[L3N]],Transactions[Transaction name],0),3),Transactions[Transaction code],0),2),Transactions[[#This Row],[L3N]])</f>
        <v>Total energy supply</v>
      </c>
      <c r="AO200" s="24" t="str" cm="1">
        <f t="array" ref="AO200">IFERROR(INDEX(Transactions[[Transaction code]:[Transaction name]],_xlfn.XMATCH(INDEX(Transactions[[Transaction name]:[Parent code]],_xlfn.XMATCH(Transactions[[#This Row],[L4N]],Transactions[Transaction name],0),3),Transactions[Transaction code],0),2),Transactions[[#This Row],[L4N]])</f>
        <v>Total energy supply</v>
      </c>
      <c r="AP200" s="24" t="str" cm="1">
        <f t="array" ref="AP200">IFERROR(INDEX(Transactions[[Transaction code]:[Transaction name]],_xlfn.XMATCH(INDEX(Transactions[[Transaction name]:[Parent code]],_xlfn.XMATCH(Transactions[[#This Row],[L5N]],Transactions[Transaction name],0),3),Transactions[Transaction code],0),2),Transactions[[#This Row],[L5N]])</f>
        <v>Total energy supply</v>
      </c>
      <c r="AQ200" s="24" t="str" cm="1">
        <f t="array" ref="AQ200">IFERROR(INDEX(Transactions[[Transaction code]:[Transaction name]],_xlfn.XMATCH(INDEX(Transactions[[Transaction name]:[Parent code]],_xlfn.XMATCH(Transactions[[#This Row],[L6N]],Transactions[Transaction name],0),3),Transactions[Transaction code],0),2),Transactions[[#This Row],[L6N]])</f>
        <v>Total energy supply</v>
      </c>
      <c r="AR200" s="28" t="str">
        <f>IF(Transactions[[#This Row],[L7N]]=Transactions[[#This Row],[L6N]],Transactions[[#This Row],[L7N]],IF(Transactions[[#This Row],[L6N]]=Transactions[[#This Row],[L5N]],Transactions[[#This Row],[L6N]],IF(Transactions[[#This Row],[L5N]]=Transactions[[#This Row],[L4N]],Transactions[[#This Row],[L5N]],IF(Transactions[[#This Row],[L4N]]=Transactions[[#This Row],[L3N]],Transactions[[#This Row],[L4N]],IF(Transactions[[#This Row],[L3N]]=Transactions[[#This Row],[L2N]],Transactions[[#This Row],[L3N]],IF(Transactions[[#This Row],[L2N]]=Transactions[[#This Row],[L1N]],Transactions[[#This Row],[L2N]],IF(Transactions[[#This Row],[L1N]]=Transactions[[#This Row],[Transaction name]],Transactions[[#This Row],[L1N]],Transactions[[#This Row],[Transaction name]])))))))</f>
        <v>Total energy supply</v>
      </c>
      <c r="AS200" s="24" t="str">
        <f>IF(Transactions[[#This Row],[Level 0]]=Transactions[[#This Row],[Transaction name]],Transactions[[#This Row],[Transaction name]],IF(Transactions[[#This Row],[Level 0]]=Transactions[[#This Row],[L1N]],Transactions[[#This Row],[Transaction name]],IF(Transactions[[#This Row],[Level 0]]=Transactions[[#This Row],[L2N]],Transactions[[#This Row],[L1N]],IF(Transactions[[#This Row],[Level 0]]=Transactions[[#This Row],[L3N]],Transactions[[#This Row],[L2N]],IF(Transactions[[#This Row],[Level 0]]=Transactions[[#This Row],[L4N]],Transactions[[#This Row],[L3N]],IF(Transactions[[#This Row],[Level 0]]=Transactions[[#This Row],[L5N]],Transactions[[#This Row],[L4N]],IF(Transactions[[#This Row],[Level 0]]=Transactions[[#This Row],[L6N]],Transactions[[#This Row],[L5N]],IF(Transactions[[#This Row],[Level 0]]=Transactions[[#This Row],[L7N]],Transactions[[#This Row],[L6N]],Transactions[[#This Row],[L7N]]))))))))</f>
        <v>Production</v>
      </c>
      <c r="AT200" s="24" t="str">
        <f>IF(Transactions[[#This Row],[Level 1]]=Transactions[[#This Row],[Transaction name]],Transactions[[#This Row],[Transaction name]],IF(Transactions[[#This Row],[Level 1]]=Transactions[[#This Row],[L1N]],Transactions[[#This Row],[Transaction name]],IF(Transactions[[#This Row],[Level 1]]=Transactions[[#This Row],[L2N]],Transactions[[#This Row],[L1N]],IF(Transactions[[#This Row],[Level 1]]=Transactions[[#This Row],[L3N]],Transactions[[#This Row],[L2N]],IF(Transactions[[#This Row],[Level 1]]=Transactions[[#This Row],[L4N]],Transactions[[#This Row],[L3N]],IF(Transactions[[#This Row],[Level 1]]=Transactions[[#This Row],[L5N]],Transactions[[#This Row],[L4N]],IF(Transactions[[#This Row],[Level 1]]=Transactions[[#This Row],[L6N]],Transactions[[#This Row],[L5N]],IF(Transactions[[#This Row],[Level 1]]=Transactions[[#This Row],[L7N]],Transactions[[#This Row],[L6N]],Transactions[[#This Row],[L7N]]))))))))</f>
        <v>Production, Autoproducers total</v>
      </c>
      <c r="AU200" s="24" t="str">
        <f>IF(Transactions[[#This Row],[Level 2]]=Transactions[[#This Row],[Transaction name]],Transactions[[#This Row],[Transaction name]],IF(Transactions[[#This Row],[Level 2]]=Transactions[[#This Row],[L1N]],Transactions[[#This Row],[Transaction name]],IF(Transactions[[#This Row],[Level 2]]=Transactions[[#This Row],[L2N]],Transactions[[#This Row],[L1N]],IF(Transactions[[#This Row],[Level 2]]=Transactions[[#This Row],[L3N]],Transactions[[#This Row],[L2N]],IF(Transactions[[#This Row],[Level 2]]=Transactions[[#This Row],[L4N]],Transactions[[#This Row],[L3N]],IF(Transactions[[#This Row],[Level 2]]=Transactions[[#This Row],[L5N]],Transactions[[#This Row],[L4N]],IF(Transactions[[#This Row],[Level 2]]=Transactions[[#This Row],[L6N]],Transactions[[#This Row],[L5N]],IF(Transactions[[#This Row],[Level 2]]=Transactions[[#This Row],[L7N]],Transactions[[#This Row],[L6N]],Transactions[[#This Row],[L7N]]))))))))</f>
        <v>Electricity, CHP and Heat plants - Autoproducer - hard coal</v>
      </c>
      <c r="AV200" s="24" t="str">
        <f>IF(Transactions[[#This Row],[Level 3]]=Transactions[[#This Row],[Transaction name]],Transactions[[#This Row],[Transaction name]],IF(Transactions[[#This Row],[Level 3]]=Transactions[[#This Row],[L1N]],Transactions[[#This Row],[Transaction name]],IF(Transactions[[#This Row],[Level 3]]=Transactions[[#This Row],[L2N]],Transactions[[#This Row],[L1N]],IF(Transactions[[#This Row],[Level 3]]=Transactions[[#This Row],[L3N]],Transactions[[#This Row],[L2N]],IF(Transactions[[#This Row],[Level 3]]=Transactions[[#This Row],[L4N]],Transactions[[#This Row],[L3N]],IF(Transactions[[#This Row],[Level 3]]=Transactions[[#This Row],[L5N]],Transactions[[#This Row],[L4N]],IF(Transactions[[#This Row],[Level 3]]=Transactions[[#This Row],[L6N]],Transactions[[#This Row],[L5N]],IF(Transactions[[#This Row],[Level 3]]=Transactions[[#This Row],[L7N]],Transactions[[#This Row],[L6N]],Transactions[[#This Row],[L7N]]))))))))</f>
        <v>Electricity, CHP and Heat plants - Autoproducer - hard coal</v>
      </c>
      <c r="AW200" s="24" t="str">
        <f>IF(Transactions[[#This Row],[Level 4]]=Transactions[[#This Row],[Transaction name]],Transactions[[#This Row],[Transaction name]],IF(Transactions[[#This Row],[Level 4]]=Transactions[[#This Row],[L1N]],Transactions[[#This Row],[Transaction name]],IF(Transactions[[#This Row],[Level 4]]=Transactions[[#This Row],[L2N]],Transactions[[#This Row],[L1N]],IF(Transactions[[#This Row],[Level 4]]=Transactions[[#This Row],[L3N]],Transactions[[#This Row],[L2N]],IF(Transactions[[#This Row],[Level 4]]=Transactions[[#This Row],[L4N]],Transactions[[#This Row],[L3N]],IF(Transactions[[#This Row],[Level 4]]=Transactions[[#This Row],[L5N]],Transactions[[#This Row],[L4N]],IF(Transactions[[#This Row],[Level 4]]=Transactions[[#This Row],[L6N]],Transactions[[#This Row],[L5N]],IF(Transactions[[#This Row],[Level 4]]=Transactions[[#This Row],[L7N]],Transactions[[#This Row],[L6N]],Transactions[[#This Row],[L7N]]))))))))</f>
        <v>Electricity, CHP and Heat plants - Autoproducer - hard coal</v>
      </c>
      <c r="AX200" s="24" t="str">
        <f>IF(Transactions[[#This Row],[Level 5]]=Transactions[[#This Row],[Transaction name]],Transactions[[#This Row],[Transaction name]],IF(Transactions[[#This Row],[Level 5]]=Transactions[[#This Row],[L1N]],Transactions[[#This Row],[Transaction name]],IF(Transactions[[#This Row],[Level 5]]=Transactions[[#This Row],[L2N]],Transactions[[#This Row],[L1N]],IF(Transactions[[#This Row],[Level 5]]=Transactions[[#This Row],[L3N]],Transactions[[#This Row],[L2N]],IF(Transactions[[#This Row],[Level 5]]=Transactions[[#This Row],[L4N]],Transactions[[#This Row],[L3N]],IF(Transactions[[#This Row],[Level 5]]=Transactions[[#This Row],[L5N]],Transactions[[#This Row],[L4N]],IF(Transactions[[#This Row],[Level 5]]=Transactions[[#This Row],[L6N]],Transactions[[#This Row],[L5N]],IF(Transactions[[#This Row],[Level 5]]=Transactions[[#This Row],[L7N]],Transactions[[#This Row],[L6N]],Transactions[[#This Row],[L7N]]))))))))</f>
        <v>Electricity, CHP and Heat plants - Autoproducer - hard coal</v>
      </c>
      <c r="AY200" s="24" t="str">
        <f>IF(Transactions[[#This Row],[Level 6]]=Transactions[[#This Row],[Transaction name]],Transactions[[#This Row],[Transaction name]],IF(Transactions[[#This Row],[Level 6]]=Transactions[[#This Row],[L1N]],Transactions[[#This Row],[Transaction name]],IF(Transactions[[#This Row],[Level 6]]=Transactions[[#This Row],[L2N]],Transactions[[#This Row],[L1N]],IF(Transactions[[#This Row],[Level 6]]=Transactions[[#This Row],[L3N]],Transactions[[#This Row],[L2N]],IF(Transactions[[#This Row],[Level 6]]=Transactions[[#This Row],[L4N]],Transactions[[#This Row],[L3N]],IF(Transactions[[#This Row],[Level 6]]=Transactions[[#This Row],[L5N]],Transactions[[#This Row],[L4N]],IF(Transactions[[#This Row],[Level 6]]=Transactions[[#This Row],[L6N]],Transactions[[#This Row],[L5N]],IF(Transactions[[#This Row],[Level 6]]=Transactions[[#This Row],[L7N]],Transactions[[#This Row],[L6N]],Transactions[[#This Row],[L7N]]))))))))</f>
        <v>Electricity, CHP and Heat plants - Autoproducer - hard coal</v>
      </c>
      <c r="BE200" s="26" t="str">
        <f>_xlfn.XLOOKUP(Transformation[[#This Row],[cfrom]],Commodities[Commodity],Commodities[Commodity code])</f>
        <v>5232</v>
      </c>
      <c r="BF200" s="26" t="str">
        <f>_xlfn.XLOOKUP(Transformation[[#This Row],[tfrom]],Transactions[Transaction name],Transactions[Transaction code])</f>
        <v>04</v>
      </c>
      <c r="BG200" s="26" t="str">
        <f>_xlfn.XLOOKUP(Transformation[[#This Row],[cto]],Commodities[Commodity],Commodities[Commodity code])</f>
        <v>5232</v>
      </c>
      <c r="BH200" s="26" t="str">
        <f>_xlfn.XLOOKUP(Transformation[[#This Row],[tto]],Transactions[Transaction name],Transactions[Transaction code])</f>
        <v>03</v>
      </c>
      <c r="BI200" s="32">
        <v>-2</v>
      </c>
      <c r="BJ200" s="22" t="s">
        <v>306</v>
      </c>
      <c r="BK200" s="26" t="str">
        <f>_xlfn.XLOOKUP(Transformation[[#This Row],[Commodity from]],Commodities[Commodity code],Commodities[EnergyCode])</f>
        <v>ZJ</v>
      </c>
      <c r="BL200" s="22" t="s">
        <v>198</v>
      </c>
      <c r="BM200" s="22" t="s">
        <v>306</v>
      </c>
      <c r="BN200" s="26" t="str">
        <f>_xlfn.XLOOKUP(Transformation[[#This Row],[Commodity to]],Commodities[Commodity code],Commodities[EnergyCode])</f>
        <v>ZJ</v>
      </c>
      <c r="BO200" s="22" t="s">
        <v>200</v>
      </c>
      <c r="BP200" s="22" t="s">
        <v>1648</v>
      </c>
      <c r="BQ200" s="33" t="str">
        <f>Transformation[[#This Row],[Commodity from]]&amp;Transformation[[#This Row],[Transaction from]]&amp;Transformation[[#This Row],[Commodity to]]&amp;Transformation[[#This Row],[Transaction to]]</f>
        <v>523204523203</v>
      </c>
      <c r="BR200" s="26" t="str">
        <f>Transformation[[#This Row],[crfomid]]&amp;Transformation[[#This Row],[Transaction from]]&amp;"("&amp;Transformation[[#This Row],[Multiplier]]&amp;") -&gt; "&amp;Transformation[[#This Row],[ctoid]]&amp;Transformation[[#This Row],[Transaction to]]</f>
        <v>ZJ04(-2) -&gt; ZJ03</v>
      </c>
    </row>
    <row r="201" spans="25:70" x14ac:dyDescent="0.45">
      <c r="Y201" s="5" t="s">
        <v>1165</v>
      </c>
      <c r="Z201" s="4" t="s">
        <v>1157</v>
      </c>
      <c r="AA201" s="4" t="s">
        <v>1370</v>
      </c>
      <c r="AB201" s="4" t="s">
        <v>2</v>
      </c>
      <c r="AC201" s="24" t="str">
        <f>IFERROR(VLOOKUP(Transactions[[#This Row],[Parent code]],Transactions[[Transaction code]:[Transaction name]],2,0),"")</f>
        <v>Production, Autoproducers total</v>
      </c>
      <c r="AD201" s="4" t="s">
        <v>189</v>
      </c>
      <c r="AE201" s="4" t="s">
        <v>959</v>
      </c>
      <c r="AF201" s="4" t="s">
        <v>642</v>
      </c>
      <c r="AG201" s="4" t="s">
        <v>1</v>
      </c>
      <c r="AH201" s="4" t="s">
        <v>696</v>
      </c>
      <c r="AI201" s="12" t="s">
        <v>1416</v>
      </c>
      <c r="AJ201" s="4" t="s">
        <v>0</v>
      </c>
      <c r="AK201" s="24" t="str" cm="1">
        <f t="array" ref="AK201">IFERROR(INDEX(Transactions[[Transaction code]:[Transaction name]],_xlfn.XMATCH(Transactions[[#This Row],[Parent code]],Transactions[Transaction name],0),3),Transactions[[#This Row],[Transaction name]])</f>
        <v>Electricity, CHP and Heat plants - Autoproducer - industrial solid waste</v>
      </c>
      <c r="AL201" s="24" t="str" cm="1">
        <f t="array" ref="AL201">IFERROR(INDEX(Transactions[[Transaction code]:[Transaction name]],_xlfn.XMATCH(INDEX(Transactions[[Transaction name]:[Parent code]],_xlfn.XMATCH(Transactions[[#This Row],[L1N]],Transactions[Transaction name],0),3),Transactions[Transaction code],0),2),Transactions[[#This Row],[L1N]])</f>
        <v>Production, Autoproducers total</v>
      </c>
      <c r="AM201" s="24" t="str" cm="1">
        <f t="array" ref="AM201">IFERROR(INDEX(Transactions[[Transaction code]:[Transaction name]],_xlfn.XMATCH(INDEX(Transactions[[Transaction name]:[Parent code]],_xlfn.XMATCH(Transactions[[#This Row],[L2N]],Transactions[Transaction name],0),3),Transactions[Transaction code],0),2),Transactions[[#This Row],[L2N]])</f>
        <v>Production</v>
      </c>
      <c r="AN201" s="24" t="str" cm="1">
        <f t="array" ref="AN201">IFERROR(INDEX(Transactions[[Transaction code]:[Transaction name]],_xlfn.XMATCH(INDEX(Transactions[[Transaction name]:[Parent code]],_xlfn.XMATCH(Transactions[[#This Row],[L3N]],Transactions[Transaction name],0),3),Transactions[Transaction code],0),2),Transactions[[#This Row],[L3N]])</f>
        <v>Total energy supply</v>
      </c>
      <c r="AO201" s="24" t="str" cm="1">
        <f t="array" ref="AO201">IFERROR(INDEX(Transactions[[Transaction code]:[Transaction name]],_xlfn.XMATCH(INDEX(Transactions[[Transaction name]:[Parent code]],_xlfn.XMATCH(Transactions[[#This Row],[L4N]],Transactions[Transaction name],0),3),Transactions[Transaction code],0),2),Transactions[[#This Row],[L4N]])</f>
        <v>Total energy supply</v>
      </c>
      <c r="AP201" s="24" t="str" cm="1">
        <f t="array" ref="AP201">IFERROR(INDEX(Transactions[[Transaction code]:[Transaction name]],_xlfn.XMATCH(INDEX(Transactions[[Transaction name]:[Parent code]],_xlfn.XMATCH(Transactions[[#This Row],[L5N]],Transactions[Transaction name],0),3),Transactions[Transaction code],0),2),Transactions[[#This Row],[L5N]])</f>
        <v>Total energy supply</v>
      </c>
      <c r="AQ201" s="24" t="str" cm="1">
        <f t="array" ref="AQ201">IFERROR(INDEX(Transactions[[Transaction code]:[Transaction name]],_xlfn.XMATCH(INDEX(Transactions[[Transaction name]:[Parent code]],_xlfn.XMATCH(Transactions[[#This Row],[L6N]],Transactions[Transaction name],0),3),Transactions[Transaction code],0),2),Transactions[[#This Row],[L6N]])</f>
        <v>Total energy supply</v>
      </c>
      <c r="AR201" s="28" t="str">
        <f>IF(Transactions[[#This Row],[L7N]]=Transactions[[#This Row],[L6N]],Transactions[[#This Row],[L7N]],IF(Transactions[[#This Row],[L6N]]=Transactions[[#This Row],[L5N]],Transactions[[#This Row],[L6N]],IF(Transactions[[#This Row],[L5N]]=Transactions[[#This Row],[L4N]],Transactions[[#This Row],[L5N]],IF(Transactions[[#This Row],[L4N]]=Transactions[[#This Row],[L3N]],Transactions[[#This Row],[L4N]],IF(Transactions[[#This Row],[L3N]]=Transactions[[#This Row],[L2N]],Transactions[[#This Row],[L3N]],IF(Transactions[[#This Row],[L2N]]=Transactions[[#This Row],[L1N]],Transactions[[#This Row],[L2N]],IF(Transactions[[#This Row],[L1N]]=Transactions[[#This Row],[Transaction name]],Transactions[[#This Row],[L1N]],Transactions[[#This Row],[Transaction name]])))))))</f>
        <v>Total energy supply</v>
      </c>
      <c r="AS201" s="24" t="str">
        <f>IF(Transactions[[#This Row],[Level 0]]=Transactions[[#This Row],[Transaction name]],Transactions[[#This Row],[Transaction name]],IF(Transactions[[#This Row],[Level 0]]=Transactions[[#This Row],[L1N]],Transactions[[#This Row],[Transaction name]],IF(Transactions[[#This Row],[Level 0]]=Transactions[[#This Row],[L2N]],Transactions[[#This Row],[L1N]],IF(Transactions[[#This Row],[Level 0]]=Transactions[[#This Row],[L3N]],Transactions[[#This Row],[L2N]],IF(Transactions[[#This Row],[Level 0]]=Transactions[[#This Row],[L4N]],Transactions[[#This Row],[L3N]],IF(Transactions[[#This Row],[Level 0]]=Transactions[[#This Row],[L5N]],Transactions[[#This Row],[L4N]],IF(Transactions[[#This Row],[Level 0]]=Transactions[[#This Row],[L6N]],Transactions[[#This Row],[L5N]],IF(Transactions[[#This Row],[Level 0]]=Transactions[[#This Row],[L7N]],Transactions[[#This Row],[L6N]],Transactions[[#This Row],[L7N]]))))))))</f>
        <v>Production</v>
      </c>
      <c r="AT201" s="24" t="str">
        <f>IF(Transactions[[#This Row],[Level 1]]=Transactions[[#This Row],[Transaction name]],Transactions[[#This Row],[Transaction name]],IF(Transactions[[#This Row],[Level 1]]=Transactions[[#This Row],[L1N]],Transactions[[#This Row],[Transaction name]],IF(Transactions[[#This Row],[Level 1]]=Transactions[[#This Row],[L2N]],Transactions[[#This Row],[L1N]],IF(Transactions[[#This Row],[Level 1]]=Transactions[[#This Row],[L3N]],Transactions[[#This Row],[L2N]],IF(Transactions[[#This Row],[Level 1]]=Transactions[[#This Row],[L4N]],Transactions[[#This Row],[L3N]],IF(Transactions[[#This Row],[Level 1]]=Transactions[[#This Row],[L5N]],Transactions[[#This Row],[L4N]],IF(Transactions[[#This Row],[Level 1]]=Transactions[[#This Row],[L6N]],Transactions[[#This Row],[L5N]],IF(Transactions[[#This Row],[Level 1]]=Transactions[[#This Row],[L7N]],Transactions[[#This Row],[L6N]],Transactions[[#This Row],[L7N]]))))))))</f>
        <v>Production, Autoproducers total</v>
      </c>
      <c r="AU201" s="24" t="str">
        <f>IF(Transactions[[#This Row],[Level 2]]=Transactions[[#This Row],[Transaction name]],Transactions[[#This Row],[Transaction name]],IF(Transactions[[#This Row],[Level 2]]=Transactions[[#This Row],[L1N]],Transactions[[#This Row],[Transaction name]],IF(Transactions[[#This Row],[Level 2]]=Transactions[[#This Row],[L2N]],Transactions[[#This Row],[L1N]],IF(Transactions[[#This Row],[Level 2]]=Transactions[[#This Row],[L3N]],Transactions[[#This Row],[L2N]],IF(Transactions[[#This Row],[Level 2]]=Transactions[[#This Row],[L4N]],Transactions[[#This Row],[L3N]],IF(Transactions[[#This Row],[Level 2]]=Transactions[[#This Row],[L5N]],Transactions[[#This Row],[L4N]],IF(Transactions[[#This Row],[Level 2]]=Transactions[[#This Row],[L6N]],Transactions[[#This Row],[L5N]],IF(Transactions[[#This Row],[Level 2]]=Transactions[[#This Row],[L7N]],Transactions[[#This Row],[L6N]],Transactions[[#This Row],[L7N]]))))))))</f>
        <v>Electricity, CHP and Heat plants - Autoproducer - industrial solid waste</v>
      </c>
      <c r="AV201" s="24" t="str">
        <f>IF(Transactions[[#This Row],[Level 3]]=Transactions[[#This Row],[Transaction name]],Transactions[[#This Row],[Transaction name]],IF(Transactions[[#This Row],[Level 3]]=Transactions[[#This Row],[L1N]],Transactions[[#This Row],[Transaction name]],IF(Transactions[[#This Row],[Level 3]]=Transactions[[#This Row],[L2N]],Transactions[[#This Row],[L1N]],IF(Transactions[[#This Row],[Level 3]]=Transactions[[#This Row],[L3N]],Transactions[[#This Row],[L2N]],IF(Transactions[[#This Row],[Level 3]]=Transactions[[#This Row],[L4N]],Transactions[[#This Row],[L3N]],IF(Transactions[[#This Row],[Level 3]]=Transactions[[#This Row],[L5N]],Transactions[[#This Row],[L4N]],IF(Transactions[[#This Row],[Level 3]]=Transactions[[#This Row],[L6N]],Transactions[[#This Row],[L5N]],IF(Transactions[[#This Row],[Level 3]]=Transactions[[#This Row],[L7N]],Transactions[[#This Row],[L6N]],Transactions[[#This Row],[L7N]]))))))))</f>
        <v>Electricity, CHP and Heat plants - Autoproducer - industrial solid waste</v>
      </c>
      <c r="AW201" s="24" t="str">
        <f>IF(Transactions[[#This Row],[Level 4]]=Transactions[[#This Row],[Transaction name]],Transactions[[#This Row],[Transaction name]],IF(Transactions[[#This Row],[Level 4]]=Transactions[[#This Row],[L1N]],Transactions[[#This Row],[Transaction name]],IF(Transactions[[#This Row],[Level 4]]=Transactions[[#This Row],[L2N]],Transactions[[#This Row],[L1N]],IF(Transactions[[#This Row],[Level 4]]=Transactions[[#This Row],[L3N]],Transactions[[#This Row],[L2N]],IF(Transactions[[#This Row],[Level 4]]=Transactions[[#This Row],[L4N]],Transactions[[#This Row],[L3N]],IF(Transactions[[#This Row],[Level 4]]=Transactions[[#This Row],[L5N]],Transactions[[#This Row],[L4N]],IF(Transactions[[#This Row],[Level 4]]=Transactions[[#This Row],[L6N]],Transactions[[#This Row],[L5N]],IF(Transactions[[#This Row],[Level 4]]=Transactions[[#This Row],[L7N]],Transactions[[#This Row],[L6N]],Transactions[[#This Row],[L7N]]))))))))</f>
        <v>Electricity, CHP and Heat plants - Autoproducer - industrial solid waste</v>
      </c>
      <c r="AX201" s="24" t="str">
        <f>IF(Transactions[[#This Row],[Level 5]]=Transactions[[#This Row],[Transaction name]],Transactions[[#This Row],[Transaction name]],IF(Transactions[[#This Row],[Level 5]]=Transactions[[#This Row],[L1N]],Transactions[[#This Row],[Transaction name]],IF(Transactions[[#This Row],[Level 5]]=Transactions[[#This Row],[L2N]],Transactions[[#This Row],[L1N]],IF(Transactions[[#This Row],[Level 5]]=Transactions[[#This Row],[L3N]],Transactions[[#This Row],[L2N]],IF(Transactions[[#This Row],[Level 5]]=Transactions[[#This Row],[L4N]],Transactions[[#This Row],[L3N]],IF(Transactions[[#This Row],[Level 5]]=Transactions[[#This Row],[L5N]],Transactions[[#This Row],[L4N]],IF(Transactions[[#This Row],[Level 5]]=Transactions[[#This Row],[L6N]],Transactions[[#This Row],[L5N]],IF(Transactions[[#This Row],[Level 5]]=Transactions[[#This Row],[L7N]],Transactions[[#This Row],[L6N]],Transactions[[#This Row],[L7N]]))))))))</f>
        <v>Electricity, CHP and Heat plants - Autoproducer - industrial solid waste</v>
      </c>
      <c r="AY201" s="24" t="str">
        <f>IF(Transactions[[#This Row],[Level 6]]=Transactions[[#This Row],[Transaction name]],Transactions[[#This Row],[Transaction name]],IF(Transactions[[#This Row],[Level 6]]=Transactions[[#This Row],[L1N]],Transactions[[#This Row],[Transaction name]],IF(Transactions[[#This Row],[Level 6]]=Transactions[[#This Row],[L2N]],Transactions[[#This Row],[L1N]],IF(Transactions[[#This Row],[Level 6]]=Transactions[[#This Row],[L3N]],Transactions[[#This Row],[L2N]],IF(Transactions[[#This Row],[Level 6]]=Transactions[[#This Row],[L4N]],Transactions[[#This Row],[L3N]],IF(Transactions[[#This Row],[Level 6]]=Transactions[[#This Row],[L5N]],Transactions[[#This Row],[L4N]],IF(Transactions[[#This Row],[Level 6]]=Transactions[[#This Row],[L6N]],Transactions[[#This Row],[L5N]],IF(Transactions[[#This Row],[Level 6]]=Transactions[[#This Row],[L7N]],Transactions[[#This Row],[L6N]],Transactions[[#This Row],[L7N]]))))))))</f>
        <v>Electricity, CHP and Heat plants - Autoproducer - industrial solid waste</v>
      </c>
      <c r="BE201" s="26" t="str">
        <f>_xlfn.XLOOKUP(Transformation[[#This Row],[cfrom]],Commodities[Commodity],Commodities[Commodity code])</f>
        <v>8000</v>
      </c>
      <c r="BF201" s="26" t="str">
        <f>_xlfn.XLOOKUP(Transformation[[#This Row],[tfrom]],Transactions[Transaction name],Transactions[Transaction code])</f>
        <v>016HH</v>
      </c>
      <c r="BG201" s="26" t="str">
        <f>_xlfn.XLOOKUP(Transformation[[#This Row],[cto]],Commodities[Commodity],Commodities[Commodity code])</f>
        <v>8000</v>
      </c>
      <c r="BH201" s="26" t="str">
        <f>_xlfn.XLOOKUP(Transformation[[#This Row],[tto]],Transactions[Transaction name],Transactions[Transaction code])</f>
        <v>01</v>
      </c>
      <c r="BI201" s="31">
        <v>1</v>
      </c>
      <c r="BJ201" s="22" t="s">
        <v>262</v>
      </c>
      <c r="BK201" s="26" t="str">
        <f>_xlfn.XLOOKUP(Transformation[[#This Row],[Commodity from]],Commodities[Commodity code],Commodities[EnergyCode])</f>
        <v>ST</v>
      </c>
      <c r="BL201" s="22" t="s">
        <v>678</v>
      </c>
      <c r="BM201" s="22" t="s">
        <v>262</v>
      </c>
      <c r="BN201" s="26" t="str">
        <f>_xlfn.XLOOKUP(Transformation[[#This Row],[Commodity to]],Commodities[Commodity code],Commodities[EnergyCode])</f>
        <v>ST</v>
      </c>
      <c r="BO201" s="22" t="s">
        <v>383</v>
      </c>
      <c r="BP201" s="22" t="s">
        <v>1673</v>
      </c>
      <c r="BQ201" s="33" t="str">
        <f>Transformation[[#This Row],[Commodity from]]&amp;Transformation[[#This Row],[Transaction from]]&amp;Transformation[[#This Row],[Commodity to]]&amp;Transformation[[#This Row],[Transaction to]]</f>
        <v>8000016HH800001</v>
      </c>
      <c r="BR201" s="26" t="str">
        <f>Transformation[[#This Row],[crfomid]]&amp;Transformation[[#This Row],[Transaction from]]&amp;"("&amp;Transformation[[#This Row],[Multiplier]]&amp;") -&gt; "&amp;Transformation[[#This Row],[ctoid]]&amp;Transformation[[#This Row],[Transaction to]]</f>
        <v>ST016HH(1) -&gt; ST01</v>
      </c>
    </row>
    <row r="202" spans="25:70" x14ac:dyDescent="0.45">
      <c r="Y202" s="5" t="s">
        <v>1101</v>
      </c>
      <c r="Z202" s="4" t="s">
        <v>1077</v>
      </c>
      <c r="AA202" s="4" t="s">
        <v>1354</v>
      </c>
      <c r="AB202" s="4" t="s">
        <v>2</v>
      </c>
      <c r="AC202" s="24" t="str">
        <f>IFERROR(VLOOKUP(Transactions[[#This Row],[Parent code]],Transactions[[Transaction code]:[Transaction name]],2,0),"")</f>
        <v>Production, Autoproducers total</v>
      </c>
      <c r="AD202" s="4" t="s">
        <v>189</v>
      </c>
      <c r="AE202" s="4" t="s">
        <v>959</v>
      </c>
      <c r="AF202" s="4" t="s">
        <v>642</v>
      </c>
      <c r="AG202" s="4" t="s">
        <v>1</v>
      </c>
      <c r="AH202" s="4" t="s">
        <v>696</v>
      </c>
      <c r="AI202" s="12" t="s">
        <v>1416</v>
      </c>
      <c r="AJ202" s="4" t="s">
        <v>0</v>
      </c>
      <c r="AK202" s="24" t="str" cm="1">
        <f t="array" ref="AK202">IFERROR(INDEX(Transactions[[Transaction code]:[Transaction name]],_xlfn.XMATCH(Transactions[[#This Row],[Parent code]],Transactions[Transaction name],0),3),Transactions[[#This Row],[Transaction name]])</f>
        <v>Electricity, CHP and Heat plants - Autoproducer - liquid biofuels</v>
      </c>
      <c r="AL202" s="24" t="str" cm="1">
        <f t="array" ref="AL202">IFERROR(INDEX(Transactions[[Transaction code]:[Transaction name]],_xlfn.XMATCH(INDEX(Transactions[[Transaction name]:[Parent code]],_xlfn.XMATCH(Transactions[[#This Row],[L1N]],Transactions[Transaction name],0),3),Transactions[Transaction code],0),2),Transactions[[#This Row],[L1N]])</f>
        <v>Production, Autoproducers total</v>
      </c>
      <c r="AM202" s="24" t="str" cm="1">
        <f t="array" ref="AM202">IFERROR(INDEX(Transactions[[Transaction code]:[Transaction name]],_xlfn.XMATCH(INDEX(Transactions[[Transaction name]:[Parent code]],_xlfn.XMATCH(Transactions[[#This Row],[L2N]],Transactions[Transaction name],0),3),Transactions[Transaction code],0),2),Transactions[[#This Row],[L2N]])</f>
        <v>Production</v>
      </c>
      <c r="AN202" s="24" t="str" cm="1">
        <f t="array" ref="AN202">IFERROR(INDEX(Transactions[[Transaction code]:[Transaction name]],_xlfn.XMATCH(INDEX(Transactions[[Transaction name]:[Parent code]],_xlfn.XMATCH(Transactions[[#This Row],[L3N]],Transactions[Transaction name],0),3),Transactions[Transaction code],0),2),Transactions[[#This Row],[L3N]])</f>
        <v>Total energy supply</v>
      </c>
      <c r="AO202" s="24" t="str" cm="1">
        <f t="array" ref="AO202">IFERROR(INDEX(Transactions[[Transaction code]:[Transaction name]],_xlfn.XMATCH(INDEX(Transactions[[Transaction name]:[Parent code]],_xlfn.XMATCH(Transactions[[#This Row],[L4N]],Transactions[Transaction name],0),3),Transactions[Transaction code],0),2),Transactions[[#This Row],[L4N]])</f>
        <v>Total energy supply</v>
      </c>
      <c r="AP202" s="24" t="str" cm="1">
        <f t="array" ref="AP202">IFERROR(INDEX(Transactions[[Transaction code]:[Transaction name]],_xlfn.XMATCH(INDEX(Transactions[[Transaction name]:[Parent code]],_xlfn.XMATCH(Transactions[[#This Row],[L5N]],Transactions[Transaction name],0),3),Transactions[Transaction code],0),2),Transactions[[#This Row],[L5N]])</f>
        <v>Total energy supply</v>
      </c>
      <c r="AQ202" s="24" t="str" cm="1">
        <f t="array" ref="AQ202">IFERROR(INDEX(Transactions[[Transaction code]:[Transaction name]],_xlfn.XMATCH(INDEX(Transactions[[Transaction name]:[Parent code]],_xlfn.XMATCH(Transactions[[#This Row],[L6N]],Transactions[Transaction name],0),3),Transactions[Transaction code],0),2),Transactions[[#This Row],[L6N]])</f>
        <v>Total energy supply</v>
      </c>
      <c r="AR202" s="28" t="str">
        <f>IF(Transactions[[#This Row],[L7N]]=Transactions[[#This Row],[L6N]],Transactions[[#This Row],[L7N]],IF(Transactions[[#This Row],[L6N]]=Transactions[[#This Row],[L5N]],Transactions[[#This Row],[L6N]],IF(Transactions[[#This Row],[L5N]]=Transactions[[#This Row],[L4N]],Transactions[[#This Row],[L5N]],IF(Transactions[[#This Row],[L4N]]=Transactions[[#This Row],[L3N]],Transactions[[#This Row],[L4N]],IF(Transactions[[#This Row],[L3N]]=Transactions[[#This Row],[L2N]],Transactions[[#This Row],[L3N]],IF(Transactions[[#This Row],[L2N]]=Transactions[[#This Row],[L1N]],Transactions[[#This Row],[L2N]],IF(Transactions[[#This Row],[L1N]]=Transactions[[#This Row],[Transaction name]],Transactions[[#This Row],[L1N]],Transactions[[#This Row],[Transaction name]])))))))</f>
        <v>Total energy supply</v>
      </c>
      <c r="AS202" s="24" t="str">
        <f>IF(Transactions[[#This Row],[Level 0]]=Transactions[[#This Row],[Transaction name]],Transactions[[#This Row],[Transaction name]],IF(Transactions[[#This Row],[Level 0]]=Transactions[[#This Row],[L1N]],Transactions[[#This Row],[Transaction name]],IF(Transactions[[#This Row],[Level 0]]=Transactions[[#This Row],[L2N]],Transactions[[#This Row],[L1N]],IF(Transactions[[#This Row],[Level 0]]=Transactions[[#This Row],[L3N]],Transactions[[#This Row],[L2N]],IF(Transactions[[#This Row],[Level 0]]=Transactions[[#This Row],[L4N]],Transactions[[#This Row],[L3N]],IF(Transactions[[#This Row],[Level 0]]=Transactions[[#This Row],[L5N]],Transactions[[#This Row],[L4N]],IF(Transactions[[#This Row],[Level 0]]=Transactions[[#This Row],[L6N]],Transactions[[#This Row],[L5N]],IF(Transactions[[#This Row],[Level 0]]=Transactions[[#This Row],[L7N]],Transactions[[#This Row],[L6N]],Transactions[[#This Row],[L7N]]))))))))</f>
        <v>Production</v>
      </c>
      <c r="AT202" s="24" t="str">
        <f>IF(Transactions[[#This Row],[Level 1]]=Transactions[[#This Row],[Transaction name]],Transactions[[#This Row],[Transaction name]],IF(Transactions[[#This Row],[Level 1]]=Transactions[[#This Row],[L1N]],Transactions[[#This Row],[Transaction name]],IF(Transactions[[#This Row],[Level 1]]=Transactions[[#This Row],[L2N]],Transactions[[#This Row],[L1N]],IF(Transactions[[#This Row],[Level 1]]=Transactions[[#This Row],[L3N]],Transactions[[#This Row],[L2N]],IF(Transactions[[#This Row],[Level 1]]=Transactions[[#This Row],[L4N]],Transactions[[#This Row],[L3N]],IF(Transactions[[#This Row],[Level 1]]=Transactions[[#This Row],[L5N]],Transactions[[#This Row],[L4N]],IF(Transactions[[#This Row],[Level 1]]=Transactions[[#This Row],[L6N]],Transactions[[#This Row],[L5N]],IF(Transactions[[#This Row],[Level 1]]=Transactions[[#This Row],[L7N]],Transactions[[#This Row],[L6N]],Transactions[[#This Row],[L7N]]))))))))</f>
        <v>Production, Autoproducers total</v>
      </c>
      <c r="AU202" s="24" t="str">
        <f>IF(Transactions[[#This Row],[Level 2]]=Transactions[[#This Row],[Transaction name]],Transactions[[#This Row],[Transaction name]],IF(Transactions[[#This Row],[Level 2]]=Transactions[[#This Row],[L1N]],Transactions[[#This Row],[Transaction name]],IF(Transactions[[#This Row],[Level 2]]=Transactions[[#This Row],[L2N]],Transactions[[#This Row],[L1N]],IF(Transactions[[#This Row],[Level 2]]=Transactions[[#This Row],[L3N]],Transactions[[#This Row],[L2N]],IF(Transactions[[#This Row],[Level 2]]=Transactions[[#This Row],[L4N]],Transactions[[#This Row],[L3N]],IF(Transactions[[#This Row],[Level 2]]=Transactions[[#This Row],[L5N]],Transactions[[#This Row],[L4N]],IF(Transactions[[#This Row],[Level 2]]=Transactions[[#This Row],[L6N]],Transactions[[#This Row],[L5N]],IF(Transactions[[#This Row],[Level 2]]=Transactions[[#This Row],[L7N]],Transactions[[#This Row],[L6N]],Transactions[[#This Row],[L7N]]))))))))</f>
        <v>Electricity, CHP and Heat plants - Autoproducer - liquid biofuels</v>
      </c>
      <c r="AV202" s="24" t="str">
        <f>IF(Transactions[[#This Row],[Level 3]]=Transactions[[#This Row],[Transaction name]],Transactions[[#This Row],[Transaction name]],IF(Transactions[[#This Row],[Level 3]]=Transactions[[#This Row],[L1N]],Transactions[[#This Row],[Transaction name]],IF(Transactions[[#This Row],[Level 3]]=Transactions[[#This Row],[L2N]],Transactions[[#This Row],[L1N]],IF(Transactions[[#This Row],[Level 3]]=Transactions[[#This Row],[L3N]],Transactions[[#This Row],[L2N]],IF(Transactions[[#This Row],[Level 3]]=Transactions[[#This Row],[L4N]],Transactions[[#This Row],[L3N]],IF(Transactions[[#This Row],[Level 3]]=Transactions[[#This Row],[L5N]],Transactions[[#This Row],[L4N]],IF(Transactions[[#This Row],[Level 3]]=Transactions[[#This Row],[L6N]],Transactions[[#This Row],[L5N]],IF(Transactions[[#This Row],[Level 3]]=Transactions[[#This Row],[L7N]],Transactions[[#This Row],[L6N]],Transactions[[#This Row],[L7N]]))))))))</f>
        <v>Electricity, CHP and Heat plants - Autoproducer - liquid biofuels</v>
      </c>
      <c r="AW202" s="24" t="str">
        <f>IF(Transactions[[#This Row],[Level 4]]=Transactions[[#This Row],[Transaction name]],Transactions[[#This Row],[Transaction name]],IF(Transactions[[#This Row],[Level 4]]=Transactions[[#This Row],[L1N]],Transactions[[#This Row],[Transaction name]],IF(Transactions[[#This Row],[Level 4]]=Transactions[[#This Row],[L2N]],Transactions[[#This Row],[L1N]],IF(Transactions[[#This Row],[Level 4]]=Transactions[[#This Row],[L3N]],Transactions[[#This Row],[L2N]],IF(Transactions[[#This Row],[Level 4]]=Transactions[[#This Row],[L4N]],Transactions[[#This Row],[L3N]],IF(Transactions[[#This Row],[Level 4]]=Transactions[[#This Row],[L5N]],Transactions[[#This Row],[L4N]],IF(Transactions[[#This Row],[Level 4]]=Transactions[[#This Row],[L6N]],Transactions[[#This Row],[L5N]],IF(Transactions[[#This Row],[Level 4]]=Transactions[[#This Row],[L7N]],Transactions[[#This Row],[L6N]],Transactions[[#This Row],[L7N]]))))))))</f>
        <v>Electricity, CHP and Heat plants - Autoproducer - liquid biofuels</v>
      </c>
      <c r="AX202" s="24" t="str">
        <f>IF(Transactions[[#This Row],[Level 5]]=Transactions[[#This Row],[Transaction name]],Transactions[[#This Row],[Transaction name]],IF(Transactions[[#This Row],[Level 5]]=Transactions[[#This Row],[L1N]],Transactions[[#This Row],[Transaction name]],IF(Transactions[[#This Row],[Level 5]]=Transactions[[#This Row],[L2N]],Transactions[[#This Row],[L1N]],IF(Transactions[[#This Row],[Level 5]]=Transactions[[#This Row],[L3N]],Transactions[[#This Row],[L2N]],IF(Transactions[[#This Row],[Level 5]]=Transactions[[#This Row],[L4N]],Transactions[[#This Row],[L3N]],IF(Transactions[[#This Row],[Level 5]]=Transactions[[#This Row],[L5N]],Transactions[[#This Row],[L4N]],IF(Transactions[[#This Row],[Level 5]]=Transactions[[#This Row],[L6N]],Transactions[[#This Row],[L5N]],IF(Transactions[[#This Row],[Level 5]]=Transactions[[#This Row],[L7N]],Transactions[[#This Row],[L6N]],Transactions[[#This Row],[L7N]]))))))))</f>
        <v>Electricity, CHP and Heat plants - Autoproducer - liquid biofuels</v>
      </c>
      <c r="AY202" s="24" t="str">
        <f>IF(Transactions[[#This Row],[Level 6]]=Transactions[[#This Row],[Transaction name]],Transactions[[#This Row],[Transaction name]],IF(Transactions[[#This Row],[Level 6]]=Transactions[[#This Row],[L1N]],Transactions[[#This Row],[Transaction name]],IF(Transactions[[#This Row],[Level 6]]=Transactions[[#This Row],[L2N]],Transactions[[#This Row],[L1N]],IF(Transactions[[#This Row],[Level 6]]=Transactions[[#This Row],[L3N]],Transactions[[#This Row],[L2N]],IF(Transactions[[#This Row],[Level 6]]=Transactions[[#This Row],[L4N]],Transactions[[#This Row],[L3N]],IF(Transactions[[#This Row],[Level 6]]=Transactions[[#This Row],[L5N]],Transactions[[#This Row],[L4N]],IF(Transactions[[#This Row],[Level 6]]=Transactions[[#This Row],[L6N]],Transactions[[#This Row],[L5N]],IF(Transactions[[#This Row],[Level 6]]=Transactions[[#This Row],[L7N]],Transactions[[#This Row],[L6N]],Transactions[[#This Row],[L7N]]))))))))</f>
        <v>Electricity, CHP and Heat plants - Autoproducer - liquid biofuels</v>
      </c>
      <c r="BE202" s="26" t="str">
        <f>_xlfn.XLOOKUP(Transformation[[#This Row],[cfrom]],Commodities[Commodity],Commodities[Commodity code])</f>
        <v>8000</v>
      </c>
      <c r="BF202" s="26" t="str">
        <f>_xlfn.XLOOKUP(Transformation[[#This Row],[tfrom]],Transactions[Transaction name],Transactions[Transaction code])</f>
        <v>016GH</v>
      </c>
      <c r="BG202" s="26" t="str">
        <f>_xlfn.XLOOKUP(Transformation[[#This Row],[cto]],Commodities[Commodity],Commodities[Commodity code])</f>
        <v>8000</v>
      </c>
      <c r="BH202" s="26" t="str">
        <f>_xlfn.XLOOKUP(Transformation[[#This Row],[tto]],Transactions[Transaction name],Transactions[Transaction code])</f>
        <v>01</v>
      </c>
      <c r="BI202" s="31">
        <v>2</v>
      </c>
      <c r="BJ202" s="22" t="s">
        <v>262</v>
      </c>
      <c r="BK202" s="26" t="str">
        <f>_xlfn.XLOOKUP(Transformation[[#This Row],[Commodity from]],Commodities[Commodity code],Commodities[EnergyCode])</f>
        <v>ST</v>
      </c>
      <c r="BL202" s="22" t="s">
        <v>677</v>
      </c>
      <c r="BM202" s="22" t="s">
        <v>262</v>
      </c>
      <c r="BN202" s="26" t="str">
        <f>_xlfn.XLOOKUP(Transformation[[#This Row],[Commodity to]],Commodities[Commodity code],Commodities[EnergyCode])</f>
        <v>ST</v>
      </c>
      <c r="BO202" s="22" t="s">
        <v>383</v>
      </c>
      <c r="BP202" s="22" t="s">
        <v>1670</v>
      </c>
      <c r="BQ202" s="33" t="str">
        <f>Transformation[[#This Row],[Commodity from]]&amp;Transformation[[#This Row],[Transaction from]]&amp;Transformation[[#This Row],[Commodity to]]&amp;Transformation[[#This Row],[Transaction to]]</f>
        <v>8000016GH800001</v>
      </c>
      <c r="BR202" s="26" t="str">
        <f>Transformation[[#This Row],[crfomid]]&amp;Transformation[[#This Row],[Transaction from]]&amp;"("&amp;Transformation[[#This Row],[Multiplier]]&amp;") -&gt; "&amp;Transformation[[#This Row],[ctoid]]&amp;Transformation[[#This Row],[Transaction to]]</f>
        <v>ST016GH(2) -&gt; ST01</v>
      </c>
    </row>
    <row r="203" spans="25:70" x14ac:dyDescent="0.45">
      <c r="Y203" s="5" t="s">
        <v>1149</v>
      </c>
      <c r="Z203" s="4" t="s">
        <v>1141</v>
      </c>
      <c r="AA203" s="4" t="s">
        <v>1366</v>
      </c>
      <c r="AB203" s="4" t="s">
        <v>2</v>
      </c>
      <c r="AC203" s="24" t="str">
        <f>IFERROR(VLOOKUP(Transactions[[#This Row],[Parent code]],Transactions[[Transaction code]:[Transaction name]],2,0),"")</f>
        <v>Production, Autoproducers total</v>
      </c>
      <c r="AD203" s="4" t="s">
        <v>189</v>
      </c>
      <c r="AE203" s="4" t="s">
        <v>959</v>
      </c>
      <c r="AF203" s="4" t="s">
        <v>642</v>
      </c>
      <c r="AG203" s="4" t="s">
        <v>1</v>
      </c>
      <c r="AH203" s="4" t="s">
        <v>696</v>
      </c>
      <c r="AI203" s="12" t="s">
        <v>1416</v>
      </c>
      <c r="AJ203" s="4" t="s">
        <v>0</v>
      </c>
      <c r="AK203" s="24" t="str" cm="1">
        <f t="array" ref="AK203">IFERROR(INDEX(Transactions[[Transaction code]:[Transaction name]],_xlfn.XMATCH(Transactions[[#This Row],[Parent code]],Transactions[Transaction name],0),3),Transactions[[#This Row],[Transaction name]])</f>
        <v>Electricity, CHP and Heat plants - Autoproducer - municipal solid waste</v>
      </c>
      <c r="AL203" s="24" t="str" cm="1">
        <f t="array" ref="AL203">IFERROR(INDEX(Transactions[[Transaction code]:[Transaction name]],_xlfn.XMATCH(INDEX(Transactions[[Transaction name]:[Parent code]],_xlfn.XMATCH(Transactions[[#This Row],[L1N]],Transactions[Transaction name],0),3),Transactions[Transaction code],0),2),Transactions[[#This Row],[L1N]])</f>
        <v>Production, Autoproducers total</v>
      </c>
      <c r="AM203" s="24" t="str" cm="1">
        <f t="array" ref="AM203">IFERROR(INDEX(Transactions[[Transaction code]:[Transaction name]],_xlfn.XMATCH(INDEX(Transactions[[Transaction name]:[Parent code]],_xlfn.XMATCH(Transactions[[#This Row],[L2N]],Transactions[Transaction name],0),3),Transactions[Transaction code],0),2),Transactions[[#This Row],[L2N]])</f>
        <v>Production</v>
      </c>
      <c r="AN203" s="24" t="str" cm="1">
        <f t="array" ref="AN203">IFERROR(INDEX(Transactions[[Transaction code]:[Transaction name]],_xlfn.XMATCH(INDEX(Transactions[[Transaction name]:[Parent code]],_xlfn.XMATCH(Transactions[[#This Row],[L3N]],Transactions[Transaction name],0),3),Transactions[Transaction code],0),2),Transactions[[#This Row],[L3N]])</f>
        <v>Total energy supply</v>
      </c>
      <c r="AO203" s="24" t="str" cm="1">
        <f t="array" ref="AO203">IFERROR(INDEX(Transactions[[Transaction code]:[Transaction name]],_xlfn.XMATCH(INDEX(Transactions[[Transaction name]:[Parent code]],_xlfn.XMATCH(Transactions[[#This Row],[L4N]],Transactions[Transaction name],0),3),Transactions[Transaction code],0),2),Transactions[[#This Row],[L4N]])</f>
        <v>Total energy supply</v>
      </c>
      <c r="AP203" s="24" t="str" cm="1">
        <f t="array" ref="AP203">IFERROR(INDEX(Transactions[[Transaction code]:[Transaction name]],_xlfn.XMATCH(INDEX(Transactions[[Transaction name]:[Parent code]],_xlfn.XMATCH(Transactions[[#This Row],[L5N]],Transactions[Transaction name],0),3),Transactions[Transaction code],0),2),Transactions[[#This Row],[L5N]])</f>
        <v>Total energy supply</v>
      </c>
      <c r="AQ203" s="24" t="str" cm="1">
        <f t="array" ref="AQ203">IFERROR(INDEX(Transactions[[Transaction code]:[Transaction name]],_xlfn.XMATCH(INDEX(Transactions[[Transaction name]:[Parent code]],_xlfn.XMATCH(Transactions[[#This Row],[L6N]],Transactions[Transaction name],0),3),Transactions[Transaction code],0),2),Transactions[[#This Row],[L6N]])</f>
        <v>Total energy supply</v>
      </c>
      <c r="AR203" s="28" t="str">
        <f>IF(Transactions[[#This Row],[L7N]]=Transactions[[#This Row],[L6N]],Transactions[[#This Row],[L7N]],IF(Transactions[[#This Row],[L6N]]=Transactions[[#This Row],[L5N]],Transactions[[#This Row],[L6N]],IF(Transactions[[#This Row],[L5N]]=Transactions[[#This Row],[L4N]],Transactions[[#This Row],[L5N]],IF(Transactions[[#This Row],[L4N]]=Transactions[[#This Row],[L3N]],Transactions[[#This Row],[L4N]],IF(Transactions[[#This Row],[L3N]]=Transactions[[#This Row],[L2N]],Transactions[[#This Row],[L3N]],IF(Transactions[[#This Row],[L2N]]=Transactions[[#This Row],[L1N]],Transactions[[#This Row],[L2N]],IF(Transactions[[#This Row],[L1N]]=Transactions[[#This Row],[Transaction name]],Transactions[[#This Row],[L1N]],Transactions[[#This Row],[Transaction name]])))))))</f>
        <v>Total energy supply</v>
      </c>
      <c r="AS203" s="24" t="str">
        <f>IF(Transactions[[#This Row],[Level 0]]=Transactions[[#This Row],[Transaction name]],Transactions[[#This Row],[Transaction name]],IF(Transactions[[#This Row],[Level 0]]=Transactions[[#This Row],[L1N]],Transactions[[#This Row],[Transaction name]],IF(Transactions[[#This Row],[Level 0]]=Transactions[[#This Row],[L2N]],Transactions[[#This Row],[L1N]],IF(Transactions[[#This Row],[Level 0]]=Transactions[[#This Row],[L3N]],Transactions[[#This Row],[L2N]],IF(Transactions[[#This Row],[Level 0]]=Transactions[[#This Row],[L4N]],Transactions[[#This Row],[L3N]],IF(Transactions[[#This Row],[Level 0]]=Transactions[[#This Row],[L5N]],Transactions[[#This Row],[L4N]],IF(Transactions[[#This Row],[Level 0]]=Transactions[[#This Row],[L6N]],Transactions[[#This Row],[L5N]],IF(Transactions[[#This Row],[Level 0]]=Transactions[[#This Row],[L7N]],Transactions[[#This Row],[L6N]],Transactions[[#This Row],[L7N]]))))))))</f>
        <v>Production</v>
      </c>
      <c r="AT203" s="24" t="str">
        <f>IF(Transactions[[#This Row],[Level 1]]=Transactions[[#This Row],[Transaction name]],Transactions[[#This Row],[Transaction name]],IF(Transactions[[#This Row],[Level 1]]=Transactions[[#This Row],[L1N]],Transactions[[#This Row],[Transaction name]],IF(Transactions[[#This Row],[Level 1]]=Transactions[[#This Row],[L2N]],Transactions[[#This Row],[L1N]],IF(Transactions[[#This Row],[Level 1]]=Transactions[[#This Row],[L3N]],Transactions[[#This Row],[L2N]],IF(Transactions[[#This Row],[Level 1]]=Transactions[[#This Row],[L4N]],Transactions[[#This Row],[L3N]],IF(Transactions[[#This Row],[Level 1]]=Transactions[[#This Row],[L5N]],Transactions[[#This Row],[L4N]],IF(Transactions[[#This Row],[Level 1]]=Transactions[[#This Row],[L6N]],Transactions[[#This Row],[L5N]],IF(Transactions[[#This Row],[Level 1]]=Transactions[[#This Row],[L7N]],Transactions[[#This Row],[L6N]],Transactions[[#This Row],[L7N]]))))))))</f>
        <v>Production, Autoproducers total</v>
      </c>
      <c r="AU203" s="24" t="str">
        <f>IF(Transactions[[#This Row],[Level 2]]=Transactions[[#This Row],[Transaction name]],Transactions[[#This Row],[Transaction name]],IF(Transactions[[#This Row],[Level 2]]=Transactions[[#This Row],[L1N]],Transactions[[#This Row],[Transaction name]],IF(Transactions[[#This Row],[Level 2]]=Transactions[[#This Row],[L2N]],Transactions[[#This Row],[L1N]],IF(Transactions[[#This Row],[Level 2]]=Transactions[[#This Row],[L3N]],Transactions[[#This Row],[L2N]],IF(Transactions[[#This Row],[Level 2]]=Transactions[[#This Row],[L4N]],Transactions[[#This Row],[L3N]],IF(Transactions[[#This Row],[Level 2]]=Transactions[[#This Row],[L5N]],Transactions[[#This Row],[L4N]],IF(Transactions[[#This Row],[Level 2]]=Transactions[[#This Row],[L6N]],Transactions[[#This Row],[L5N]],IF(Transactions[[#This Row],[Level 2]]=Transactions[[#This Row],[L7N]],Transactions[[#This Row],[L6N]],Transactions[[#This Row],[L7N]]))))))))</f>
        <v>Electricity, CHP and Heat plants - Autoproducer - municipal solid waste</v>
      </c>
      <c r="AV203" s="24" t="str">
        <f>IF(Transactions[[#This Row],[Level 3]]=Transactions[[#This Row],[Transaction name]],Transactions[[#This Row],[Transaction name]],IF(Transactions[[#This Row],[Level 3]]=Transactions[[#This Row],[L1N]],Transactions[[#This Row],[Transaction name]],IF(Transactions[[#This Row],[Level 3]]=Transactions[[#This Row],[L2N]],Transactions[[#This Row],[L1N]],IF(Transactions[[#This Row],[Level 3]]=Transactions[[#This Row],[L3N]],Transactions[[#This Row],[L2N]],IF(Transactions[[#This Row],[Level 3]]=Transactions[[#This Row],[L4N]],Transactions[[#This Row],[L3N]],IF(Transactions[[#This Row],[Level 3]]=Transactions[[#This Row],[L5N]],Transactions[[#This Row],[L4N]],IF(Transactions[[#This Row],[Level 3]]=Transactions[[#This Row],[L6N]],Transactions[[#This Row],[L5N]],IF(Transactions[[#This Row],[Level 3]]=Transactions[[#This Row],[L7N]],Transactions[[#This Row],[L6N]],Transactions[[#This Row],[L7N]]))))))))</f>
        <v>Electricity, CHP and Heat plants - Autoproducer - municipal solid waste</v>
      </c>
      <c r="AW203" s="24" t="str">
        <f>IF(Transactions[[#This Row],[Level 4]]=Transactions[[#This Row],[Transaction name]],Transactions[[#This Row],[Transaction name]],IF(Transactions[[#This Row],[Level 4]]=Transactions[[#This Row],[L1N]],Transactions[[#This Row],[Transaction name]],IF(Transactions[[#This Row],[Level 4]]=Transactions[[#This Row],[L2N]],Transactions[[#This Row],[L1N]],IF(Transactions[[#This Row],[Level 4]]=Transactions[[#This Row],[L3N]],Transactions[[#This Row],[L2N]],IF(Transactions[[#This Row],[Level 4]]=Transactions[[#This Row],[L4N]],Transactions[[#This Row],[L3N]],IF(Transactions[[#This Row],[Level 4]]=Transactions[[#This Row],[L5N]],Transactions[[#This Row],[L4N]],IF(Transactions[[#This Row],[Level 4]]=Transactions[[#This Row],[L6N]],Transactions[[#This Row],[L5N]],IF(Transactions[[#This Row],[Level 4]]=Transactions[[#This Row],[L7N]],Transactions[[#This Row],[L6N]],Transactions[[#This Row],[L7N]]))))))))</f>
        <v>Electricity, CHP and Heat plants - Autoproducer - municipal solid waste</v>
      </c>
      <c r="AX203" s="24" t="str">
        <f>IF(Transactions[[#This Row],[Level 5]]=Transactions[[#This Row],[Transaction name]],Transactions[[#This Row],[Transaction name]],IF(Transactions[[#This Row],[Level 5]]=Transactions[[#This Row],[L1N]],Transactions[[#This Row],[Transaction name]],IF(Transactions[[#This Row],[Level 5]]=Transactions[[#This Row],[L2N]],Transactions[[#This Row],[L1N]],IF(Transactions[[#This Row],[Level 5]]=Transactions[[#This Row],[L3N]],Transactions[[#This Row],[L2N]],IF(Transactions[[#This Row],[Level 5]]=Transactions[[#This Row],[L4N]],Transactions[[#This Row],[L3N]],IF(Transactions[[#This Row],[Level 5]]=Transactions[[#This Row],[L5N]],Transactions[[#This Row],[L4N]],IF(Transactions[[#This Row],[Level 5]]=Transactions[[#This Row],[L6N]],Transactions[[#This Row],[L5N]],IF(Transactions[[#This Row],[Level 5]]=Transactions[[#This Row],[L7N]],Transactions[[#This Row],[L6N]],Transactions[[#This Row],[L7N]]))))))))</f>
        <v>Electricity, CHP and Heat plants - Autoproducer - municipal solid waste</v>
      </c>
      <c r="AY203" s="24" t="str">
        <f>IF(Transactions[[#This Row],[Level 6]]=Transactions[[#This Row],[Transaction name]],Transactions[[#This Row],[Transaction name]],IF(Transactions[[#This Row],[Level 6]]=Transactions[[#This Row],[L1N]],Transactions[[#This Row],[Transaction name]],IF(Transactions[[#This Row],[Level 6]]=Transactions[[#This Row],[L2N]],Transactions[[#This Row],[L1N]],IF(Transactions[[#This Row],[Level 6]]=Transactions[[#This Row],[L3N]],Transactions[[#This Row],[L2N]],IF(Transactions[[#This Row],[Level 6]]=Transactions[[#This Row],[L4N]],Transactions[[#This Row],[L3N]],IF(Transactions[[#This Row],[Level 6]]=Transactions[[#This Row],[L5N]],Transactions[[#This Row],[L4N]],IF(Transactions[[#This Row],[Level 6]]=Transactions[[#This Row],[L6N]],Transactions[[#This Row],[L5N]],IF(Transactions[[#This Row],[Level 6]]=Transactions[[#This Row],[L7N]],Transactions[[#This Row],[L6N]],Transactions[[#This Row],[L7N]]))))))))</f>
        <v>Electricity, CHP and Heat plants - Autoproducer - municipal solid waste</v>
      </c>
      <c r="BE203" s="26" t="str">
        <f>_xlfn.XLOOKUP(Transformation[[#This Row],[cfrom]],Commodities[Commodity],Commodities[Commodity code])</f>
        <v>8000</v>
      </c>
      <c r="BF203" s="26" t="str">
        <f>_xlfn.XLOOKUP(Transformation[[#This Row],[tfrom]],Transactions[Transaction name],Transactions[Transaction code])</f>
        <v>016NH</v>
      </c>
      <c r="BG203" s="26" t="str">
        <f>_xlfn.XLOOKUP(Transformation[[#This Row],[cto]],Commodities[Commodity],Commodities[Commodity code])</f>
        <v>9101</v>
      </c>
      <c r="BH203" s="26" t="str">
        <f>_xlfn.XLOOKUP(Transformation[[#This Row],[tto]],Transactions[Transaction name],Transactions[Transaction code])</f>
        <v>016NH</v>
      </c>
      <c r="BI203" s="31">
        <v>-1</v>
      </c>
      <c r="BJ203" s="22" t="s">
        <v>262</v>
      </c>
      <c r="BK203" s="26" t="str">
        <f>_xlfn.XLOOKUP(Transformation[[#This Row],[Commodity from]],Commodities[Commodity code],Commodities[EnergyCode])</f>
        <v>ST</v>
      </c>
      <c r="BL203" s="4" t="s">
        <v>1677</v>
      </c>
      <c r="BM203" s="22" t="s">
        <v>256</v>
      </c>
      <c r="BN203" s="26" t="str">
        <f>_xlfn.XLOOKUP(Transformation[[#This Row],[Commodity to]],Commodities[Commodity code],Commodities[EnergyCode])</f>
        <v>EN</v>
      </c>
      <c r="BO203" s="4" t="s">
        <v>1677</v>
      </c>
      <c r="BP203" s="22" t="s">
        <v>1493</v>
      </c>
      <c r="BQ203" s="33" t="str">
        <f>Transformation[[#This Row],[Commodity from]]&amp;Transformation[[#This Row],[Transaction from]]&amp;Transformation[[#This Row],[Commodity to]]&amp;Transformation[[#This Row],[Transaction to]]</f>
        <v>8000016NH9101016NH</v>
      </c>
      <c r="BR203" s="26" t="str">
        <f>Transformation[[#This Row],[crfomid]]&amp;Transformation[[#This Row],[Transaction from]]&amp;"("&amp;Transformation[[#This Row],[Multiplier]]&amp;") -&gt; "&amp;Transformation[[#This Row],[ctoid]]&amp;Transformation[[#This Row],[Transaction to]]</f>
        <v>ST016NH(-1) -&gt; EN016NH</v>
      </c>
    </row>
    <row r="204" spans="25:70" x14ac:dyDescent="0.45">
      <c r="Y204" s="5" t="s">
        <v>1287</v>
      </c>
      <c r="Z204" s="4" t="s">
        <v>1236</v>
      </c>
      <c r="AA204" s="4" t="s">
        <v>1402</v>
      </c>
      <c r="AB204" s="4" t="s">
        <v>2</v>
      </c>
      <c r="AC204" s="24" t="str">
        <f>IFERROR(VLOOKUP(Transactions[[#This Row],[Parent code]],Transactions[[Transaction code]:[Transaction name]],2,0),"")</f>
        <v>Production, Autoproducers total</v>
      </c>
      <c r="AD204" s="4" t="s">
        <v>189</v>
      </c>
      <c r="AE204" s="4" t="s">
        <v>959</v>
      </c>
      <c r="AF204" s="4" t="s">
        <v>642</v>
      </c>
      <c r="AG204" s="4" t="s">
        <v>1</v>
      </c>
      <c r="AH204" s="4" t="s">
        <v>696</v>
      </c>
      <c r="AI204" s="12" t="s">
        <v>1416</v>
      </c>
      <c r="AJ204" s="4" t="s">
        <v>0</v>
      </c>
      <c r="AK204" s="24" t="str" cm="1">
        <f t="array" ref="AK204">IFERROR(INDEX(Transactions[[Transaction code]:[Transaction name]],_xlfn.XMATCH(Transactions[[#This Row],[Parent code]],Transactions[Transaction name],0),3),Transactions[[#This Row],[Transaction name]])</f>
        <v>Electricity, CHP and Heat plants - Autoproducer - natural gas</v>
      </c>
      <c r="AL204" s="24" t="str" cm="1">
        <f t="array" ref="AL204">IFERROR(INDEX(Transactions[[Transaction code]:[Transaction name]],_xlfn.XMATCH(INDEX(Transactions[[Transaction name]:[Parent code]],_xlfn.XMATCH(Transactions[[#This Row],[L1N]],Transactions[Transaction name],0),3),Transactions[Transaction code],0),2),Transactions[[#This Row],[L1N]])</f>
        <v>Production, Autoproducers total</v>
      </c>
      <c r="AM204" s="24" t="str" cm="1">
        <f t="array" ref="AM204">IFERROR(INDEX(Transactions[[Transaction code]:[Transaction name]],_xlfn.XMATCH(INDEX(Transactions[[Transaction name]:[Parent code]],_xlfn.XMATCH(Transactions[[#This Row],[L2N]],Transactions[Transaction name],0),3),Transactions[Transaction code],0),2),Transactions[[#This Row],[L2N]])</f>
        <v>Production</v>
      </c>
      <c r="AN204" s="24" t="str" cm="1">
        <f t="array" ref="AN204">IFERROR(INDEX(Transactions[[Transaction code]:[Transaction name]],_xlfn.XMATCH(INDEX(Transactions[[Transaction name]:[Parent code]],_xlfn.XMATCH(Transactions[[#This Row],[L3N]],Transactions[Transaction name],0),3),Transactions[Transaction code],0),2),Transactions[[#This Row],[L3N]])</f>
        <v>Total energy supply</v>
      </c>
      <c r="AO204" s="24" t="str" cm="1">
        <f t="array" ref="AO204">IFERROR(INDEX(Transactions[[Transaction code]:[Transaction name]],_xlfn.XMATCH(INDEX(Transactions[[Transaction name]:[Parent code]],_xlfn.XMATCH(Transactions[[#This Row],[L4N]],Transactions[Transaction name],0),3),Transactions[Transaction code],0),2),Transactions[[#This Row],[L4N]])</f>
        <v>Total energy supply</v>
      </c>
      <c r="AP204" s="24" t="str" cm="1">
        <f t="array" ref="AP204">IFERROR(INDEX(Transactions[[Transaction code]:[Transaction name]],_xlfn.XMATCH(INDEX(Transactions[[Transaction name]:[Parent code]],_xlfn.XMATCH(Transactions[[#This Row],[L5N]],Transactions[Transaction name],0),3),Transactions[Transaction code],0),2),Transactions[[#This Row],[L5N]])</f>
        <v>Total energy supply</v>
      </c>
      <c r="AQ204" s="24" t="str" cm="1">
        <f t="array" ref="AQ204">IFERROR(INDEX(Transactions[[Transaction code]:[Transaction name]],_xlfn.XMATCH(INDEX(Transactions[[Transaction name]:[Parent code]],_xlfn.XMATCH(Transactions[[#This Row],[L6N]],Transactions[Transaction name],0),3),Transactions[Transaction code],0),2),Transactions[[#This Row],[L6N]])</f>
        <v>Total energy supply</v>
      </c>
      <c r="AR204" s="28" t="str">
        <f>IF(Transactions[[#This Row],[L7N]]=Transactions[[#This Row],[L6N]],Transactions[[#This Row],[L7N]],IF(Transactions[[#This Row],[L6N]]=Transactions[[#This Row],[L5N]],Transactions[[#This Row],[L6N]],IF(Transactions[[#This Row],[L5N]]=Transactions[[#This Row],[L4N]],Transactions[[#This Row],[L5N]],IF(Transactions[[#This Row],[L4N]]=Transactions[[#This Row],[L3N]],Transactions[[#This Row],[L4N]],IF(Transactions[[#This Row],[L3N]]=Transactions[[#This Row],[L2N]],Transactions[[#This Row],[L3N]],IF(Transactions[[#This Row],[L2N]]=Transactions[[#This Row],[L1N]],Transactions[[#This Row],[L2N]],IF(Transactions[[#This Row],[L1N]]=Transactions[[#This Row],[Transaction name]],Transactions[[#This Row],[L1N]],Transactions[[#This Row],[Transaction name]])))))))</f>
        <v>Total energy supply</v>
      </c>
      <c r="AS204" s="24" t="str">
        <f>IF(Transactions[[#This Row],[Level 0]]=Transactions[[#This Row],[Transaction name]],Transactions[[#This Row],[Transaction name]],IF(Transactions[[#This Row],[Level 0]]=Transactions[[#This Row],[L1N]],Transactions[[#This Row],[Transaction name]],IF(Transactions[[#This Row],[Level 0]]=Transactions[[#This Row],[L2N]],Transactions[[#This Row],[L1N]],IF(Transactions[[#This Row],[Level 0]]=Transactions[[#This Row],[L3N]],Transactions[[#This Row],[L2N]],IF(Transactions[[#This Row],[Level 0]]=Transactions[[#This Row],[L4N]],Transactions[[#This Row],[L3N]],IF(Transactions[[#This Row],[Level 0]]=Transactions[[#This Row],[L5N]],Transactions[[#This Row],[L4N]],IF(Transactions[[#This Row],[Level 0]]=Transactions[[#This Row],[L6N]],Transactions[[#This Row],[L5N]],IF(Transactions[[#This Row],[Level 0]]=Transactions[[#This Row],[L7N]],Transactions[[#This Row],[L6N]],Transactions[[#This Row],[L7N]]))))))))</f>
        <v>Production</v>
      </c>
      <c r="AT204" s="24" t="str">
        <f>IF(Transactions[[#This Row],[Level 1]]=Transactions[[#This Row],[Transaction name]],Transactions[[#This Row],[Transaction name]],IF(Transactions[[#This Row],[Level 1]]=Transactions[[#This Row],[L1N]],Transactions[[#This Row],[Transaction name]],IF(Transactions[[#This Row],[Level 1]]=Transactions[[#This Row],[L2N]],Transactions[[#This Row],[L1N]],IF(Transactions[[#This Row],[Level 1]]=Transactions[[#This Row],[L3N]],Transactions[[#This Row],[L2N]],IF(Transactions[[#This Row],[Level 1]]=Transactions[[#This Row],[L4N]],Transactions[[#This Row],[L3N]],IF(Transactions[[#This Row],[Level 1]]=Transactions[[#This Row],[L5N]],Transactions[[#This Row],[L4N]],IF(Transactions[[#This Row],[Level 1]]=Transactions[[#This Row],[L6N]],Transactions[[#This Row],[L5N]],IF(Transactions[[#This Row],[Level 1]]=Transactions[[#This Row],[L7N]],Transactions[[#This Row],[L6N]],Transactions[[#This Row],[L7N]]))))))))</f>
        <v>Production, Autoproducers total</v>
      </c>
      <c r="AU204" s="24" t="str">
        <f>IF(Transactions[[#This Row],[Level 2]]=Transactions[[#This Row],[Transaction name]],Transactions[[#This Row],[Transaction name]],IF(Transactions[[#This Row],[Level 2]]=Transactions[[#This Row],[L1N]],Transactions[[#This Row],[Transaction name]],IF(Transactions[[#This Row],[Level 2]]=Transactions[[#This Row],[L2N]],Transactions[[#This Row],[L1N]],IF(Transactions[[#This Row],[Level 2]]=Transactions[[#This Row],[L3N]],Transactions[[#This Row],[L2N]],IF(Transactions[[#This Row],[Level 2]]=Transactions[[#This Row],[L4N]],Transactions[[#This Row],[L3N]],IF(Transactions[[#This Row],[Level 2]]=Transactions[[#This Row],[L5N]],Transactions[[#This Row],[L4N]],IF(Transactions[[#This Row],[Level 2]]=Transactions[[#This Row],[L6N]],Transactions[[#This Row],[L5N]],IF(Transactions[[#This Row],[Level 2]]=Transactions[[#This Row],[L7N]],Transactions[[#This Row],[L6N]],Transactions[[#This Row],[L7N]]))))))))</f>
        <v>Electricity, CHP and Heat plants - Autoproducer - natural gas</v>
      </c>
      <c r="AV204" s="24" t="str">
        <f>IF(Transactions[[#This Row],[Level 3]]=Transactions[[#This Row],[Transaction name]],Transactions[[#This Row],[Transaction name]],IF(Transactions[[#This Row],[Level 3]]=Transactions[[#This Row],[L1N]],Transactions[[#This Row],[Transaction name]],IF(Transactions[[#This Row],[Level 3]]=Transactions[[#This Row],[L2N]],Transactions[[#This Row],[L1N]],IF(Transactions[[#This Row],[Level 3]]=Transactions[[#This Row],[L3N]],Transactions[[#This Row],[L2N]],IF(Transactions[[#This Row],[Level 3]]=Transactions[[#This Row],[L4N]],Transactions[[#This Row],[L3N]],IF(Transactions[[#This Row],[Level 3]]=Transactions[[#This Row],[L5N]],Transactions[[#This Row],[L4N]],IF(Transactions[[#This Row],[Level 3]]=Transactions[[#This Row],[L6N]],Transactions[[#This Row],[L5N]],IF(Transactions[[#This Row],[Level 3]]=Transactions[[#This Row],[L7N]],Transactions[[#This Row],[L6N]],Transactions[[#This Row],[L7N]]))))))))</f>
        <v>Electricity, CHP and Heat plants - Autoproducer - natural gas</v>
      </c>
      <c r="AW204" s="24" t="str">
        <f>IF(Transactions[[#This Row],[Level 4]]=Transactions[[#This Row],[Transaction name]],Transactions[[#This Row],[Transaction name]],IF(Transactions[[#This Row],[Level 4]]=Transactions[[#This Row],[L1N]],Transactions[[#This Row],[Transaction name]],IF(Transactions[[#This Row],[Level 4]]=Transactions[[#This Row],[L2N]],Transactions[[#This Row],[L1N]],IF(Transactions[[#This Row],[Level 4]]=Transactions[[#This Row],[L3N]],Transactions[[#This Row],[L2N]],IF(Transactions[[#This Row],[Level 4]]=Transactions[[#This Row],[L4N]],Transactions[[#This Row],[L3N]],IF(Transactions[[#This Row],[Level 4]]=Transactions[[#This Row],[L5N]],Transactions[[#This Row],[L4N]],IF(Transactions[[#This Row],[Level 4]]=Transactions[[#This Row],[L6N]],Transactions[[#This Row],[L5N]],IF(Transactions[[#This Row],[Level 4]]=Transactions[[#This Row],[L7N]],Transactions[[#This Row],[L6N]],Transactions[[#This Row],[L7N]]))))))))</f>
        <v>Electricity, CHP and Heat plants - Autoproducer - natural gas</v>
      </c>
      <c r="AX204" s="24" t="str">
        <f>IF(Transactions[[#This Row],[Level 5]]=Transactions[[#This Row],[Transaction name]],Transactions[[#This Row],[Transaction name]],IF(Transactions[[#This Row],[Level 5]]=Transactions[[#This Row],[L1N]],Transactions[[#This Row],[Transaction name]],IF(Transactions[[#This Row],[Level 5]]=Transactions[[#This Row],[L2N]],Transactions[[#This Row],[L1N]],IF(Transactions[[#This Row],[Level 5]]=Transactions[[#This Row],[L3N]],Transactions[[#This Row],[L2N]],IF(Transactions[[#This Row],[Level 5]]=Transactions[[#This Row],[L4N]],Transactions[[#This Row],[L3N]],IF(Transactions[[#This Row],[Level 5]]=Transactions[[#This Row],[L5N]],Transactions[[#This Row],[L4N]],IF(Transactions[[#This Row],[Level 5]]=Transactions[[#This Row],[L6N]],Transactions[[#This Row],[L5N]],IF(Transactions[[#This Row],[Level 5]]=Transactions[[#This Row],[L7N]],Transactions[[#This Row],[L6N]],Transactions[[#This Row],[L7N]]))))))))</f>
        <v>Electricity, CHP and Heat plants - Autoproducer - natural gas</v>
      </c>
      <c r="AY204" s="24" t="str">
        <f>IF(Transactions[[#This Row],[Level 6]]=Transactions[[#This Row],[Transaction name]],Transactions[[#This Row],[Transaction name]],IF(Transactions[[#This Row],[Level 6]]=Transactions[[#This Row],[L1N]],Transactions[[#This Row],[Transaction name]],IF(Transactions[[#This Row],[Level 6]]=Transactions[[#This Row],[L2N]],Transactions[[#This Row],[L1N]],IF(Transactions[[#This Row],[Level 6]]=Transactions[[#This Row],[L3N]],Transactions[[#This Row],[L2N]],IF(Transactions[[#This Row],[Level 6]]=Transactions[[#This Row],[L4N]],Transactions[[#This Row],[L3N]],IF(Transactions[[#This Row],[Level 6]]=Transactions[[#This Row],[L5N]],Transactions[[#This Row],[L4N]],IF(Transactions[[#This Row],[Level 6]]=Transactions[[#This Row],[L6N]],Transactions[[#This Row],[L5N]],IF(Transactions[[#This Row],[Level 6]]=Transactions[[#This Row],[L7N]],Transactions[[#This Row],[L6N]],Transactions[[#This Row],[L7N]]))))))))</f>
        <v>Electricity, CHP and Heat plants - Autoproducer - natural gas</v>
      </c>
      <c r="BE204" s="26" t="str">
        <f>_xlfn.XLOOKUP(Transformation[[#This Row],[cfrom]],Commodities[Commodity],Commodities[Commodity code])</f>
        <v>8000</v>
      </c>
      <c r="BF204" s="26" t="str">
        <f>_xlfn.XLOOKUP(Transformation[[#This Row],[tfrom]],Transactions[Transaction name],Transactions[Transaction code])</f>
        <v>016NH</v>
      </c>
      <c r="BG204" s="26" t="str">
        <f>_xlfn.XLOOKUP(Transformation[[#This Row],[cto]],Commodities[Commodity],Commodities[Commodity code])</f>
        <v>9101</v>
      </c>
      <c r="BH204" s="26" t="str">
        <f>_xlfn.XLOOKUP(Transformation[[#This Row],[tto]],Transactions[Transaction name],Transactions[Transaction code])</f>
        <v>01</v>
      </c>
      <c r="BI204" s="11">
        <v>1</v>
      </c>
      <c r="BJ204" s="4" t="s">
        <v>262</v>
      </c>
      <c r="BK204" s="24" t="str">
        <f>_xlfn.XLOOKUP(Transformation[[#This Row],[Commodity from]],Commodities[Commodity code],Commodities[EnergyCode])</f>
        <v>ST</v>
      </c>
      <c r="BL204" s="4" t="s">
        <v>1677</v>
      </c>
      <c r="BM204" s="4" t="s">
        <v>256</v>
      </c>
      <c r="BN204" s="24" t="str">
        <f>_xlfn.XLOOKUP(Transformation[[#This Row],[Commodity to]],Commodities[Commodity code],Commodities[EnergyCode])</f>
        <v>EN</v>
      </c>
      <c r="BO204" s="4" t="s">
        <v>383</v>
      </c>
      <c r="BP204" s="18" t="s">
        <v>1551</v>
      </c>
      <c r="BQ204" s="33" t="str">
        <f>Transformation[[#This Row],[Commodity from]]&amp;Transformation[[#This Row],[Transaction from]]&amp;Transformation[[#This Row],[Commodity to]]&amp;Transformation[[#This Row],[Transaction to]]</f>
        <v>8000016NH910101</v>
      </c>
      <c r="BR204" s="26" t="str">
        <f>Transformation[[#This Row],[crfomid]]&amp;Transformation[[#This Row],[Transaction from]]&amp;"("&amp;Transformation[[#This Row],[Multiplier]]&amp;") -&gt; "&amp;Transformation[[#This Row],[ctoid]]&amp;Transformation[[#This Row],[Transaction to]]</f>
        <v>ST016NH(1) -&gt; EN01</v>
      </c>
    </row>
    <row r="205" spans="25:70" x14ac:dyDescent="0.45">
      <c r="Y205" s="5" t="s">
        <v>239</v>
      </c>
      <c r="Z205" s="4" t="s">
        <v>669</v>
      </c>
      <c r="AA205" s="4" t="s">
        <v>1320</v>
      </c>
      <c r="AB205" s="4" t="s">
        <v>2</v>
      </c>
      <c r="AC205" s="24" t="str">
        <f>IFERROR(VLOOKUP(Transactions[[#This Row],[Parent code]],Transactions[[Transaction code]:[Transaction name]],2,0),"")</f>
        <v>Production, Autoproducers total</v>
      </c>
      <c r="AD205" s="4" t="s">
        <v>189</v>
      </c>
      <c r="AE205" s="4" t="s">
        <v>959</v>
      </c>
      <c r="AF205" s="4" t="s">
        <v>642</v>
      </c>
      <c r="AG205" s="4" t="s">
        <v>1</v>
      </c>
      <c r="AH205" s="4" t="s">
        <v>696</v>
      </c>
      <c r="AJ205" s="4" t="s">
        <v>0</v>
      </c>
      <c r="AK205" s="24" t="str" cm="1">
        <f t="array" ref="AK205">IFERROR(INDEX(Transactions[[Transaction code]:[Transaction name]],_xlfn.XMATCH(Transactions[[#This Row],[Parent code]],Transactions[Transaction name],0),3),Transactions[[#This Row],[Transaction name]])</f>
        <v>Electricity, CHP and Heat plants - Autoproducer - Nuclear</v>
      </c>
      <c r="AL205" s="24" t="str" cm="1">
        <f t="array" ref="AL205">IFERROR(INDEX(Transactions[[Transaction code]:[Transaction name]],_xlfn.XMATCH(INDEX(Transactions[[Transaction name]:[Parent code]],_xlfn.XMATCH(Transactions[[#This Row],[L1N]],Transactions[Transaction name],0),3),Transactions[Transaction code],0),2),Transactions[[#This Row],[L1N]])</f>
        <v>Production, Autoproducers total</v>
      </c>
      <c r="AM205" s="24" t="str" cm="1">
        <f t="array" ref="AM205">IFERROR(INDEX(Transactions[[Transaction code]:[Transaction name]],_xlfn.XMATCH(INDEX(Transactions[[Transaction name]:[Parent code]],_xlfn.XMATCH(Transactions[[#This Row],[L2N]],Transactions[Transaction name],0),3),Transactions[Transaction code],0),2),Transactions[[#This Row],[L2N]])</f>
        <v>Production</v>
      </c>
      <c r="AN205" s="24" t="str" cm="1">
        <f t="array" ref="AN205">IFERROR(INDEX(Transactions[[Transaction code]:[Transaction name]],_xlfn.XMATCH(INDEX(Transactions[[Transaction name]:[Parent code]],_xlfn.XMATCH(Transactions[[#This Row],[L3N]],Transactions[Transaction name],0),3),Transactions[Transaction code],0),2),Transactions[[#This Row],[L3N]])</f>
        <v>Total energy supply</v>
      </c>
      <c r="AO205" s="24" t="str" cm="1">
        <f t="array" ref="AO205">IFERROR(INDEX(Transactions[[Transaction code]:[Transaction name]],_xlfn.XMATCH(INDEX(Transactions[[Transaction name]:[Parent code]],_xlfn.XMATCH(Transactions[[#This Row],[L4N]],Transactions[Transaction name],0),3),Transactions[Transaction code],0),2),Transactions[[#This Row],[L4N]])</f>
        <v>Total energy supply</v>
      </c>
      <c r="AP205" s="24" t="str" cm="1">
        <f t="array" ref="AP205">IFERROR(INDEX(Transactions[[Transaction code]:[Transaction name]],_xlfn.XMATCH(INDEX(Transactions[[Transaction name]:[Parent code]],_xlfn.XMATCH(Transactions[[#This Row],[L5N]],Transactions[Transaction name],0),3),Transactions[Transaction code],0),2),Transactions[[#This Row],[L5N]])</f>
        <v>Total energy supply</v>
      </c>
      <c r="AQ205" s="24" t="str" cm="1">
        <f t="array" ref="AQ205">IFERROR(INDEX(Transactions[[Transaction code]:[Transaction name]],_xlfn.XMATCH(INDEX(Transactions[[Transaction name]:[Parent code]],_xlfn.XMATCH(Transactions[[#This Row],[L6N]],Transactions[Transaction name],0),3),Transactions[Transaction code],0),2),Transactions[[#This Row],[L6N]])</f>
        <v>Total energy supply</v>
      </c>
      <c r="AR205" s="28" t="str">
        <f>IF(Transactions[[#This Row],[L7N]]=Transactions[[#This Row],[L6N]],Transactions[[#This Row],[L7N]],IF(Transactions[[#This Row],[L6N]]=Transactions[[#This Row],[L5N]],Transactions[[#This Row],[L6N]],IF(Transactions[[#This Row],[L5N]]=Transactions[[#This Row],[L4N]],Transactions[[#This Row],[L5N]],IF(Transactions[[#This Row],[L4N]]=Transactions[[#This Row],[L3N]],Transactions[[#This Row],[L4N]],IF(Transactions[[#This Row],[L3N]]=Transactions[[#This Row],[L2N]],Transactions[[#This Row],[L3N]],IF(Transactions[[#This Row],[L2N]]=Transactions[[#This Row],[L1N]],Transactions[[#This Row],[L2N]],IF(Transactions[[#This Row],[L1N]]=Transactions[[#This Row],[Transaction name]],Transactions[[#This Row],[L1N]],Transactions[[#This Row],[Transaction name]])))))))</f>
        <v>Total energy supply</v>
      </c>
      <c r="AS205" s="24" t="str">
        <f>IF(Transactions[[#This Row],[Level 0]]=Transactions[[#This Row],[Transaction name]],Transactions[[#This Row],[Transaction name]],IF(Transactions[[#This Row],[Level 0]]=Transactions[[#This Row],[L1N]],Transactions[[#This Row],[Transaction name]],IF(Transactions[[#This Row],[Level 0]]=Transactions[[#This Row],[L2N]],Transactions[[#This Row],[L1N]],IF(Transactions[[#This Row],[Level 0]]=Transactions[[#This Row],[L3N]],Transactions[[#This Row],[L2N]],IF(Transactions[[#This Row],[Level 0]]=Transactions[[#This Row],[L4N]],Transactions[[#This Row],[L3N]],IF(Transactions[[#This Row],[Level 0]]=Transactions[[#This Row],[L5N]],Transactions[[#This Row],[L4N]],IF(Transactions[[#This Row],[Level 0]]=Transactions[[#This Row],[L6N]],Transactions[[#This Row],[L5N]],IF(Transactions[[#This Row],[Level 0]]=Transactions[[#This Row],[L7N]],Transactions[[#This Row],[L6N]],Transactions[[#This Row],[L7N]]))))))))</f>
        <v>Production</v>
      </c>
      <c r="AT205" s="24" t="str">
        <f>IF(Transactions[[#This Row],[Level 1]]=Transactions[[#This Row],[Transaction name]],Transactions[[#This Row],[Transaction name]],IF(Transactions[[#This Row],[Level 1]]=Transactions[[#This Row],[L1N]],Transactions[[#This Row],[Transaction name]],IF(Transactions[[#This Row],[Level 1]]=Transactions[[#This Row],[L2N]],Transactions[[#This Row],[L1N]],IF(Transactions[[#This Row],[Level 1]]=Transactions[[#This Row],[L3N]],Transactions[[#This Row],[L2N]],IF(Transactions[[#This Row],[Level 1]]=Transactions[[#This Row],[L4N]],Transactions[[#This Row],[L3N]],IF(Transactions[[#This Row],[Level 1]]=Transactions[[#This Row],[L5N]],Transactions[[#This Row],[L4N]],IF(Transactions[[#This Row],[Level 1]]=Transactions[[#This Row],[L6N]],Transactions[[#This Row],[L5N]],IF(Transactions[[#This Row],[Level 1]]=Transactions[[#This Row],[L7N]],Transactions[[#This Row],[L6N]],Transactions[[#This Row],[L7N]]))))))))</f>
        <v>Production, Autoproducers total</v>
      </c>
      <c r="AU205" s="24" t="str">
        <f>IF(Transactions[[#This Row],[Level 2]]=Transactions[[#This Row],[Transaction name]],Transactions[[#This Row],[Transaction name]],IF(Transactions[[#This Row],[Level 2]]=Transactions[[#This Row],[L1N]],Transactions[[#This Row],[Transaction name]],IF(Transactions[[#This Row],[Level 2]]=Transactions[[#This Row],[L2N]],Transactions[[#This Row],[L1N]],IF(Transactions[[#This Row],[Level 2]]=Transactions[[#This Row],[L3N]],Transactions[[#This Row],[L2N]],IF(Transactions[[#This Row],[Level 2]]=Transactions[[#This Row],[L4N]],Transactions[[#This Row],[L3N]],IF(Transactions[[#This Row],[Level 2]]=Transactions[[#This Row],[L5N]],Transactions[[#This Row],[L4N]],IF(Transactions[[#This Row],[Level 2]]=Transactions[[#This Row],[L6N]],Transactions[[#This Row],[L5N]],IF(Transactions[[#This Row],[Level 2]]=Transactions[[#This Row],[L7N]],Transactions[[#This Row],[L6N]],Transactions[[#This Row],[L7N]]))))))))</f>
        <v>Electricity, CHP and Heat plants - Autoproducer - Nuclear</v>
      </c>
      <c r="AV205" s="24" t="str">
        <f>IF(Transactions[[#This Row],[Level 3]]=Transactions[[#This Row],[Transaction name]],Transactions[[#This Row],[Transaction name]],IF(Transactions[[#This Row],[Level 3]]=Transactions[[#This Row],[L1N]],Transactions[[#This Row],[Transaction name]],IF(Transactions[[#This Row],[Level 3]]=Transactions[[#This Row],[L2N]],Transactions[[#This Row],[L1N]],IF(Transactions[[#This Row],[Level 3]]=Transactions[[#This Row],[L3N]],Transactions[[#This Row],[L2N]],IF(Transactions[[#This Row],[Level 3]]=Transactions[[#This Row],[L4N]],Transactions[[#This Row],[L3N]],IF(Transactions[[#This Row],[Level 3]]=Transactions[[#This Row],[L5N]],Transactions[[#This Row],[L4N]],IF(Transactions[[#This Row],[Level 3]]=Transactions[[#This Row],[L6N]],Transactions[[#This Row],[L5N]],IF(Transactions[[#This Row],[Level 3]]=Transactions[[#This Row],[L7N]],Transactions[[#This Row],[L6N]],Transactions[[#This Row],[L7N]]))))))))</f>
        <v>Electricity, CHP and Heat plants - Autoproducer - Nuclear</v>
      </c>
      <c r="AW205" s="24" t="str">
        <f>IF(Transactions[[#This Row],[Level 4]]=Transactions[[#This Row],[Transaction name]],Transactions[[#This Row],[Transaction name]],IF(Transactions[[#This Row],[Level 4]]=Transactions[[#This Row],[L1N]],Transactions[[#This Row],[Transaction name]],IF(Transactions[[#This Row],[Level 4]]=Transactions[[#This Row],[L2N]],Transactions[[#This Row],[L1N]],IF(Transactions[[#This Row],[Level 4]]=Transactions[[#This Row],[L3N]],Transactions[[#This Row],[L2N]],IF(Transactions[[#This Row],[Level 4]]=Transactions[[#This Row],[L4N]],Transactions[[#This Row],[L3N]],IF(Transactions[[#This Row],[Level 4]]=Transactions[[#This Row],[L5N]],Transactions[[#This Row],[L4N]],IF(Transactions[[#This Row],[Level 4]]=Transactions[[#This Row],[L6N]],Transactions[[#This Row],[L5N]],IF(Transactions[[#This Row],[Level 4]]=Transactions[[#This Row],[L7N]],Transactions[[#This Row],[L6N]],Transactions[[#This Row],[L7N]]))))))))</f>
        <v>Electricity, CHP and Heat plants - Autoproducer - Nuclear</v>
      </c>
      <c r="AX205" s="24" t="str">
        <f>IF(Transactions[[#This Row],[Level 5]]=Transactions[[#This Row],[Transaction name]],Transactions[[#This Row],[Transaction name]],IF(Transactions[[#This Row],[Level 5]]=Transactions[[#This Row],[L1N]],Transactions[[#This Row],[Transaction name]],IF(Transactions[[#This Row],[Level 5]]=Transactions[[#This Row],[L2N]],Transactions[[#This Row],[L1N]],IF(Transactions[[#This Row],[Level 5]]=Transactions[[#This Row],[L3N]],Transactions[[#This Row],[L2N]],IF(Transactions[[#This Row],[Level 5]]=Transactions[[#This Row],[L4N]],Transactions[[#This Row],[L3N]],IF(Transactions[[#This Row],[Level 5]]=Transactions[[#This Row],[L5N]],Transactions[[#This Row],[L4N]],IF(Transactions[[#This Row],[Level 5]]=Transactions[[#This Row],[L6N]],Transactions[[#This Row],[L5N]],IF(Transactions[[#This Row],[Level 5]]=Transactions[[#This Row],[L7N]],Transactions[[#This Row],[L6N]],Transactions[[#This Row],[L7N]]))))))))</f>
        <v>Electricity, CHP and Heat plants - Autoproducer - Nuclear</v>
      </c>
      <c r="AY205" s="24" t="str">
        <f>IF(Transactions[[#This Row],[Level 6]]=Transactions[[#This Row],[Transaction name]],Transactions[[#This Row],[Transaction name]],IF(Transactions[[#This Row],[Level 6]]=Transactions[[#This Row],[L1N]],Transactions[[#This Row],[Transaction name]],IF(Transactions[[#This Row],[Level 6]]=Transactions[[#This Row],[L2N]],Transactions[[#This Row],[L1N]],IF(Transactions[[#This Row],[Level 6]]=Transactions[[#This Row],[L3N]],Transactions[[#This Row],[L2N]],IF(Transactions[[#This Row],[Level 6]]=Transactions[[#This Row],[L4N]],Transactions[[#This Row],[L3N]],IF(Transactions[[#This Row],[Level 6]]=Transactions[[#This Row],[L5N]],Transactions[[#This Row],[L4N]],IF(Transactions[[#This Row],[Level 6]]=Transactions[[#This Row],[L6N]],Transactions[[#This Row],[L5N]],IF(Transactions[[#This Row],[Level 6]]=Transactions[[#This Row],[L7N]],Transactions[[#This Row],[L6N]],Transactions[[#This Row],[L7N]]))))))))</f>
        <v>Electricity, CHP and Heat plants - Autoproducer - Nuclear</v>
      </c>
      <c r="BE205" s="26" t="str">
        <f>_xlfn.XLOOKUP(Transformation[[#This Row],[cfrom]],Commodities[Commodity],Commodities[Commodity code])</f>
        <v>8000</v>
      </c>
      <c r="BF205" s="26" t="str">
        <f>_xlfn.XLOOKUP(Transformation[[#This Row],[tfrom]],Transactions[Transaction name],Transactions[Transaction code])</f>
        <v>016STH</v>
      </c>
      <c r="BG205" s="26" t="str">
        <f>_xlfn.XLOOKUP(Transformation[[#This Row],[cto]],Commodities[Commodity],Commodities[Commodity code])</f>
        <v>8000</v>
      </c>
      <c r="BH205" s="26" t="str">
        <f>_xlfn.XLOOKUP(Transformation[[#This Row],[tto]],Transactions[Transaction name],Transactions[Transaction code])</f>
        <v>01</v>
      </c>
      <c r="BI205" s="31">
        <v>1</v>
      </c>
      <c r="BJ205" s="22" t="s">
        <v>262</v>
      </c>
      <c r="BK205" s="26" t="str">
        <f>_xlfn.XLOOKUP(Transformation[[#This Row],[Commodity from]],Commodities[Commodity code],Commodities[EnergyCode])</f>
        <v>ST</v>
      </c>
      <c r="BL205" s="22" t="s">
        <v>1304</v>
      </c>
      <c r="BM205" s="22" t="s">
        <v>262</v>
      </c>
      <c r="BN205" s="26" t="str">
        <f>_xlfn.XLOOKUP(Transformation[[#This Row],[Commodity to]],Commodities[Commodity code],Commodities[EnergyCode])</f>
        <v>ST</v>
      </c>
      <c r="BO205" s="22" t="s">
        <v>383</v>
      </c>
      <c r="BP205" s="22" t="s">
        <v>1672</v>
      </c>
      <c r="BQ205" s="33" t="str">
        <f>Transformation[[#This Row],[Commodity from]]&amp;Transformation[[#This Row],[Transaction from]]&amp;Transformation[[#This Row],[Commodity to]]&amp;Transformation[[#This Row],[Transaction to]]</f>
        <v>8000016STH800001</v>
      </c>
      <c r="BR205" s="26" t="str">
        <f>Transformation[[#This Row],[crfomid]]&amp;Transformation[[#This Row],[Transaction from]]&amp;"("&amp;Transformation[[#This Row],[Multiplier]]&amp;") -&gt; "&amp;Transformation[[#This Row],[ctoid]]&amp;Transformation[[#This Row],[Transaction to]]</f>
        <v>ST016STH(1) -&gt; ST01</v>
      </c>
    </row>
    <row r="206" spans="25:70" x14ac:dyDescent="0.45">
      <c r="Y206" s="5" t="s">
        <v>1013</v>
      </c>
      <c r="Z206" s="4" t="s">
        <v>1053</v>
      </c>
      <c r="AA206" s="4" t="s">
        <v>1334</v>
      </c>
      <c r="AB206" s="4" t="s">
        <v>2</v>
      </c>
      <c r="AC206" s="24" t="str">
        <f>IFERROR(VLOOKUP(Transactions[[#This Row],[Parent code]],Transactions[[Transaction code]:[Transaction name]],2,0),"")</f>
        <v>Production, Autoproducers total</v>
      </c>
      <c r="AD206" s="4" t="s">
        <v>189</v>
      </c>
      <c r="AE206" s="4" t="s">
        <v>959</v>
      </c>
      <c r="AF206" s="4" t="s">
        <v>642</v>
      </c>
      <c r="AG206" s="4" t="s">
        <v>1</v>
      </c>
      <c r="AH206" s="4" t="s">
        <v>696</v>
      </c>
      <c r="AI206" s="12" t="s">
        <v>1416</v>
      </c>
      <c r="AJ206" s="4" t="s">
        <v>0</v>
      </c>
      <c r="AK206" s="24" t="str" cm="1">
        <f t="array" ref="AK206">IFERROR(INDEX(Transactions[[Transaction code]:[Transaction name]],_xlfn.XMATCH(Transactions[[#This Row],[Parent code]],Transactions[Transaction name],0),3),Transactions[[#This Row],[Transaction name]])</f>
        <v>Electricity, CHP and Heat plants - Autoproducer - other oil products</v>
      </c>
      <c r="AL206" s="24" t="str" cm="1">
        <f t="array" ref="AL206">IFERROR(INDEX(Transactions[[Transaction code]:[Transaction name]],_xlfn.XMATCH(INDEX(Transactions[[Transaction name]:[Parent code]],_xlfn.XMATCH(Transactions[[#This Row],[L1N]],Transactions[Transaction name],0),3),Transactions[Transaction code],0),2),Transactions[[#This Row],[L1N]])</f>
        <v>Production, Autoproducers total</v>
      </c>
      <c r="AM206" s="24" t="str" cm="1">
        <f t="array" ref="AM206">IFERROR(INDEX(Transactions[[Transaction code]:[Transaction name]],_xlfn.XMATCH(INDEX(Transactions[[Transaction name]:[Parent code]],_xlfn.XMATCH(Transactions[[#This Row],[L2N]],Transactions[Transaction name],0),3),Transactions[Transaction code],0),2),Transactions[[#This Row],[L2N]])</f>
        <v>Production</v>
      </c>
      <c r="AN206" s="24" t="str" cm="1">
        <f t="array" ref="AN206">IFERROR(INDEX(Transactions[[Transaction code]:[Transaction name]],_xlfn.XMATCH(INDEX(Transactions[[Transaction name]:[Parent code]],_xlfn.XMATCH(Transactions[[#This Row],[L3N]],Transactions[Transaction name],0),3),Transactions[Transaction code],0),2),Transactions[[#This Row],[L3N]])</f>
        <v>Total energy supply</v>
      </c>
      <c r="AO206" s="24" t="str" cm="1">
        <f t="array" ref="AO206">IFERROR(INDEX(Transactions[[Transaction code]:[Transaction name]],_xlfn.XMATCH(INDEX(Transactions[[Transaction name]:[Parent code]],_xlfn.XMATCH(Transactions[[#This Row],[L4N]],Transactions[Transaction name],0),3),Transactions[Transaction code],0),2),Transactions[[#This Row],[L4N]])</f>
        <v>Total energy supply</v>
      </c>
      <c r="AP206" s="24" t="str" cm="1">
        <f t="array" ref="AP206">IFERROR(INDEX(Transactions[[Transaction code]:[Transaction name]],_xlfn.XMATCH(INDEX(Transactions[[Transaction name]:[Parent code]],_xlfn.XMATCH(Transactions[[#This Row],[L5N]],Transactions[Transaction name],0),3),Transactions[Transaction code],0),2),Transactions[[#This Row],[L5N]])</f>
        <v>Total energy supply</v>
      </c>
      <c r="AQ206" s="24" t="str" cm="1">
        <f t="array" ref="AQ206">IFERROR(INDEX(Transactions[[Transaction code]:[Transaction name]],_xlfn.XMATCH(INDEX(Transactions[[Transaction name]:[Parent code]],_xlfn.XMATCH(Transactions[[#This Row],[L6N]],Transactions[Transaction name],0),3),Transactions[Transaction code],0),2),Transactions[[#This Row],[L6N]])</f>
        <v>Total energy supply</v>
      </c>
      <c r="AR206" s="28" t="str">
        <f>IF(Transactions[[#This Row],[L7N]]=Transactions[[#This Row],[L6N]],Transactions[[#This Row],[L7N]],IF(Transactions[[#This Row],[L6N]]=Transactions[[#This Row],[L5N]],Transactions[[#This Row],[L6N]],IF(Transactions[[#This Row],[L5N]]=Transactions[[#This Row],[L4N]],Transactions[[#This Row],[L5N]],IF(Transactions[[#This Row],[L4N]]=Transactions[[#This Row],[L3N]],Transactions[[#This Row],[L4N]],IF(Transactions[[#This Row],[L3N]]=Transactions[[#This Row],[L2N]],Transactions[[#This Row],[L3N]],IF(Transactions[[#This Row],[L2N]]=Transactions[[#This Row],[L1N]],Transactions[[#This Row],[L2N]],IF(Transactions[[#This Row],[L1N]]=Transactions[[#This Row],[Transaction name]],Transactions[[#This Row],[L1N]],Transactions[[#This Row],[Transaction name]])))))))</f>
        <v>Total energy supply</v>
      </c>
      <c r="AS206" s="24" t="str">
        <f>IF(Transactions[[#This Row],[Level 0]]=Transactions[[#This Row],[Transaction name]],Transactions[[#This Row],[Transaction name]],IF(Transactions[[#This Row],[Level 0]]=Transactions[[#This Row],[L1N]],Transactions[[#This Row],[Transaction name]],IF(Transactions[[#This Row],[Level 0]]=Transactions[[#This Row],[L2N]],Transactions[[#This Row],[L1N]],IF(Transactions[[#This Row],[Level 0]]=Transactions[[#This Row],[L3N]],Transactions[[#This Row],[L2N]],IF(Transactions[[#This Row],[Level 0]]=Transactions[[#This Row],[L4N]],Transactions[[#This Row],[L3N]],IF(Transactions[[#This Row],[Level 0]]=Transactions[[#This Row],[L5N]],Transactions[[#This Row],[L4N]],IF(Transactions[[#This Row],[Level 0]]=Transactions[[#This Row],[L6N]],Transactions[[#This Row],[L5N]],IF(Transactions[[#This Row],[Level 0]]=Transactions[[#This Row],[L7N]],Transactions[[#This Row],[L6N]],Transactions[[#This Row],[L7N]]))))))))</f>
        <v>Production</v>
      </c>
      <c r="AT206" s="24" t="str">
        <f>IF(Transactions[[#This Row],[Level 1]]=Transactions[[#This Row],[Transaction name]],Transactions[[#This Row],[Transaction name]],IF(Transactions[[#This Row],[Level 1]]=Transactions[[#This Row],[L1N]],Transactions[[#This Row],[Transaction name]],IF(Transactions[[#This Row],[Level 1]]=Transactions[[#This Row],[L2N]],Transactions[[#This Row],[L1N]],IF(Transactions[[#This Row],[Level 1]]=Transactions[[#This Row],[L3N]],Transactions[[#This Row],[L2N]],IF(Transactions[[#This Row],[Level 1]]=Transactions[[#This Row],[L4N]],Transactions[[#This Row],[L3N]],IF(Transactions[[#This Row],[Level 1]]=Transactions[[#This Row],[L5N]],Transactions[[#This Row],[L4N]],IF(Transactions[[#This Row],[Level 1]]=Transactions[[#This Row],[L6N]],Transactions[[#This Row],[L5N]],IF(Transactions[[#This Row],[Level 1]]=Transactions[[#This Row],[L7N]],Transactions[[#This Row],[L6N]],Transactions[[#This Row],[L7N]]))))))))</f>
        <v>Production, Autoproducers total</v>
      </c>
      <c r="AU206" s="24" t="str">
        <f>IF(Transactions[[#This Row],[Level 2]]=Transactions[[#This Row],[Transaction name]],Transactions[[#This Row],[Transaction name]],IF(Transactions[[#This Row],[Level 2]]=Transactions[[#This Row],[L1N]],Transactions[[#This Row],[Transaction name]],IF(Transactions[[#This Row],[Level 2]]=Transactions[[#This Row],[L2N]],Transactions[[#This Row],[L1N]],IF(Transactions[[#This Row],[Level 2]]=Transactions[[#This Row],[L3N]],Transactions[[#This Row],[L2N]],IF(Transactions[[#This Row],[Level 2]]=Transactions[[#This Row],[L4N]],Transactions[[#This Row],[L3N]],IF(Transactions[[#This Row],[Level 2]]=Transactions[[#This Row],[L5N]],Transactions[[#This Row],[L4N]],IF(Transactions[[#This Row],[Level 2]]=Transactions[[#This Row],[L6N]],Transactions[[#This Row],[L5N]],IF(Transactions[[#This Row],[Level 2]]=Transactions[[#This Row],[L7N]],Transactions[[#This Row],[L6N]],Transactions[[#This Row],[L7N]]))))))))</f>
        <v>Electricity, CHP and Heat plants - Autoproducer - other oil products</v>
      </c>
      <c r="AV206" s="24" t="str">
        <f>IF(Transactions[[#This Row],[Level 3]]=Transactions[[#This Row],[Transaction name]],Transactions[[#This Row],[Transaction name]],IF(Transactions[[#This Row],[Level 3]]=Transactions[[#This Row],[L1N]],Transactions[[#This Row],[Transaction name]],IF(Transactions[[#This Row],[Level 3]]=Transactions[[#This Row],[L2N]],Transactions[[#This Row],[L1N]],IF(Transactions[[#This Row],[Level 3]]=Transactions[[#This Row],[L3N]],Transactions[[#This Row],[L2N]],IF(Transactions[[#This Row],[Level 3]]=Transactions[[#This Row],[L4N]],Transactions[[#This Row],[L3N]],IF(Transactions[[#This Row],[Level 3]]=Transactions[[#This Row],[L5N]],Transactions[[#This Row],[L4N]],IF(Transactions[[#This Row],[Level 3]]=Transactions[[#This Row],[L6N]],Transactions[[#This Row],[L5N]],IF(Transactions[[#This Row],[Level 3]]=Transactions[[#This Row],[L7N]],Transactions[[#This Row],[L6N]],Transactions[[#This Row],[L7N]]))))))))</f>
        <v>Electricity, CHP and Heat plants - Autoproducer - other oil products</v>
      </c>
      <c r="AW206" s="24" t="str">
        <f>IF(Transactions[[#This Row],[Level 4]]=Transactions[[#This Row],[Transaction name]],Transactions[[#This Row],[Transaction name]],IF(Transactions[[#This Row],[Level 4]]=Transactions[[#This Row],[L1N]],Transactions[[#This Row],[Transaction name]],IF(Transactions[[#This Row],[Level 4]]=Transactions[[#This Row],[L2N]],Transactions[[#This Row],[L1N]],IF(Transactions[[#This Row],[Level 4]]=Transactions[[#This Row],[L3N]],Transactions[[#This Row],[L2N]],IF(Transactions[[#This Row],[Level 4]]=Transactions[[#This Row],[L4N]],Transactions[[#This Row],[L3N]],IF(Transactions[[#This Row],[Level 4]]=Transactions[[#This Row],[L5N]],Transactions[[#This Row],[L4N]],IF(Transactions[[#This Row],[Level 4]]=Transactions[[#This Row],[L6N]],Transactions[[#This Row],[L5N]],IF(Transactions[[#This Row],[Level 4]]=Transactions[[#This Row],[L7N]],Transactions[[#This Row],[L6N]],Transactions[[#This Row],[L7N]]))))))))</f>
        <v>Electricity, CHP and Heat plants - Autoproducer - other oil products</v>
      </c>
      <c r="AX206" s="24" t="str">
        <f>IF(Transactions[[#This Row],[Level 5]]=Transactions[[#This Row],[Transaction name]],Transactions[[#This Row],[Transaction name]],IF(Transactions[[#This Row],[Level 5]]=Transactions[[#This Row],[L1N]],Transactions[[#This Row],[Transaction name]],IF(Transactions[[#This Row],[Level 5]]=Transactions[[#This Row],[L2N]],Transactions[[#This Row],[L1N]],IF(Transactions[[#This Row],[Level 5]]=Transactions[[#This Row],[L3N]],Transactions[[#This Row],[L2N]],IF(Transactions[[#This Row],[Level 5]]=Transactions[[#This Row],[L4N]],Transactions[[#This Row],[L3N]],IF(Transactions[[#This Row],[Level 5]]=Transactions[[#This Row],[L5N]],Transactions[[#This Row],[L4N]],IF(Transactions[[#This Row],[Level 5]]=Transactions[[#This Row],[L6N]],Transactions[[#This Row],[L5N]],IF(Transactions[[#This Row],[Level 5]]=Transactions[[#This Row],[L7N]],Transactions[[#This Row],[L6N]],Transactions[[#This Row],[L7N]]))))))))</f>
        <v>Electricity, CHP and Heat plants - Autoproducer - other oil products</v>
      </c>
      <c r="AY206" s="24" t="str">
        <f>IF(Transactions[[#This Row],[Level 6]]=Transactions[[#This Row],[Transaction name]],Transactions[[#This Row],[Transaction name]],IF(Transactions[[#This Row],[Level 6]]=Transactions[[#This Row],[L1N]],Transactions[[#This Row],[Transaction name]],IF(Transactions[[#This Row],[Level 6]]=Transactions[[#This Row],[L2N]],Transactions[[#This Row],[L1N]],IF(Transactions[[#This Row],[Level 6]]=Transactions[[#This Row],[L3N]],Transactions[[#This Row],[L2N]],IF(Transactions[[#This Row],[Level 6]]=Transactions[[#This Row],[L4N]],Transactions[[#This Row],[L3N]],IF(Transactions[[#This Row],[Level 6]]=Transactions[[#This Row],[L5N]],Transactions[[#This Row],[L4N]],IF(Transactions[[#This Row],[Level 6]]=Transactions[[#This Row],[L6N]],Transactions[[#This Row],[L5N]],IF(Transactions[[#This Row],[Level 6]]=Transactions[[#This Row],[L7N]],Transactions[[#This Row],[L6N]],Transactions[[#This Row],[L7N]]))))))))</f>
        <v>Electricity, CHP and Heat plants - Autoproducer - other oil products</v>
      </c>
      <c r="BE206" s="26" t="str">
        <f>_xlfn.XLOOKUP(Transformation[[#This Row],[cfrom]],Commodities[Commodity],Commodities[Commodity code])</f>
        <v>5130</v>
      </c>
      <c r="BF206" s="26" t="str">
        <f>_xlfn.XLOOKUP(Transformation[[#This Row],[tfrom]],Transactions[Transaction name],Transactions[Transaction code])</f>
        <v>08832</v>
      </c>
      <c r="BG206" s="26" t="str">
        <f>_xlfn.XLOOKUP(Transformation[[#This Row],[cto]],Commodities[Commodity],Commodities[Commodity code])</f>
        <v>5130</v>
      </c>
      <c r="BH206" s="26" t="str">
        <f>_xlfn.XLOOKUP(Transformation[[#This Row],[tto]],Transactions[Transaction name],Transactions[Transaction code])</f>
        <v>016BSH</v>
      </c>
      <c r="BI206" s="11">
        <v>1</v>
      </c>
      <c r="BJ206" s="4" t="s">
        <v>333</v>
      </c>
      <c r="BK206" s="24" t="str">
        <f>_xlfn.XLOOKUP(Transformation[[#This Row],[Commodity from]],Commodities[Commodity code],Commodities[EnergyCode])</f>
        <v>AW</v>
      </c>
      <c r="BL206" s="4" t="s">
        <v>694</v>
      </c>
      <c r="BM206" s="4" t="s">
        <v>333</v>
      </c>
      <c r="BN206" s="24" t="str">
        <f>_xlfn.XLOOKUP(Transformation[[#This Row],[Commodity to]],Commodities[Commodity code],Commodities[EnergyCode])</f>
        <v>AW</v>
      </c>
      <c r="BO206" s="4" t="s">
        <v>1128</v>
      </c>
      <c r="BP206" s="16" t="s">
        <v>1493</v>
      </c>
      <c r="BQ206" s="33" t="str">
        <f>Transformation[[#This Row],[Commodity from]]&amp;Transformation[[#This Row],[Transaction from]]&amp;Transformation[[#This Row],[Commodity to]]&amp;Transformation[[#This Row],[Transaction to]]</f>
        <v>5130088325130016BSH</v>
      </c>
      <c r="BR206" s="26" t="str">
        <f>Transformation[[#This Row],[crfomid]]&amp;Transformation[[#This Row],[Transaction from]]&amp;"("&amp;Transformation[[#This Row],[Multiplier]]&amp;") -&gt; "&amp;Transformation[[#This Row],[ctoid]]&amp;Transformation[[#This Row],[Transaction to]]</f>
        <v>AW08832(1) -&gt; AW016BSH</v>
      </c>
    </row>
    <row r="207" spans="25:70" x14ac:dyDescent="0.45">
      <c r="Y207" s="5" t="s">
        <v>1133</v>
      </c>
      <c r="Z207" s="4" t="s">
        <v>1125</v>
      </c>
      <c r="AA207" s="4" t="s">
        <v>1362</v>
      </c>
      <c r="AB207" s="4" t="s">
        <v>2</v>
      </c>
      <c r="AC207" s="24" t="str">
        <f>IFERROR(VLOOKUP(Transactions[[#This Row],[Parent code]],Transactions[[Transaction code]:[Transaction name]],2,0),"")</f>
        <v>Production, Autoproducers total</v>
      </c>
      <c r="AD207" s="4" t="s">
        <v>189</v>
      </c>
      <c r="AE207" s="4" t="s">
        <v>959</v>
      </c>
      <c r="AF207" s="4" t="s">
        <v>642</v>
      </c>
      <c r="AG207" s="4" t="s">
        <v>1</v>
      </c>
      <c r="AH207" s="4" t="s">
        <v>696</v>
      </c>
      <c r="AI207" s="12" t="s">
        <v>1416</v>
      </c>
      <c r="AJ207" s="4" t="s">
        <v>0</v>
      </c>
      <c r="AK207" s="24" t="str" cm="1">
        <f t="array" ref="AK207">IFERROR(INDEX(Transactions[[Transaction code]:[Transaction name]],_xlfn.XMATCH(Transactions[[#This Row],[Parent code]],Transactions[Transaction name],0),3),Transactions[[#This Row],[Transaction name]])</f>
        <v>Electricity, CHP and Heat plants - Autoproducer - other solid biofuels</v>
      </c>
      <c r="AL207" s="24" t="str" cm="1">
        <f t="array" ref="AL207">IFERROR(INDEX(Transactions[[Transaction code]:[Transaction name]],_xlfn.XMATCH(INDEX(Transactions[[Transaction name]:[Parent code]],_xlfn.XMATCH(Transactions[[#This Row],[L1N]],Transactions[Transaction name],0),3),Transactions[Transaction code],0),2),Transactions[[#This Row],[L1N]])</f>
        <v>Production, Autoproducers total</v>
      </c>
      <c r="AM207" s="24" t="str" cm="1">
        <f t="array" ref="AM207">IFERROR(INDEX(Transactions[[Transaction code]:[Transaction name]],_xlfn.XMATCH(INDEX(Transactions[[Transaction name]:[Parent code]],_xlfn.XMATCH(Transactions[[#This Row],[L2N]],Transactions[Transaction name],0),3),Transactions[Transaction code],0),2),Transactions[[#This Row],[L2N]])</f>
        <v>Production</v>
      </c>
      <c r="AN207" s="24" t="str" cm="1">
        <f t="array" ref="AN207">IFERROR(INDEX(Transactions[[Transaction code]:[Transaction name]],_xlfn.XMATCH(INDEX(Transactions[[Transaction name]:[Parent code]],_xlfn.XMATCH(Transactions[[#This Row],[L3N]],Transactions[Transaction name],0),3),Transactions[Transaction code],0),2),Transactions[[#This Row],[L3N]])</f>
        <v>Total energy supply</v>
      </c>
      <c r="AO207" s="24" t="str" cm="1">
        <f t="array" ref="AO207">IFERROR(INDEX(Transactions[[Transaction code]:[Transaction name]],_xlfn.XMATCH(INDEX(Transactions[[Transaction name]:[Parent code]],_xlfn.XMATCH(Transactions[[#This Row],[L4N]],Transactions[Transaction name],0),3),Transactions[Transaction code],0),2),Transactions[[#This Row],[L4N]])</f>
        <v>Total energy supply</v>
      </c>
      <c r="AP207" s="24" t="str" cm="1">
        <f t="array" ref="AP207">IFERROR(INDEX(Transactions[[Transaction code]:[Transaction name]],_xlfn.XMATCH(INDEX(Transactions[[Transaction name]:[Parent code]],_xlfn.XMATCH(Transactions[[#This Row],[L5N]],Transactions[Transaction name],0),3),Transactions[Transaction code],0),2),Transactions[[#This Row],[L5N]])</f>
        <v>Total energy supply</v>
      </c>
      <c r="AQ207" s="24" t="str" cm="1">
        <f t="array" ref="AQ207">IFERROR(INDEX(Transactions[[Transaction code]:[Transaction name]],_xlfn.XMATCH(INDEX(Transactions[[Transaction name]:[Parent code]],_xlfn.XMATCH(Transactions[[#This Row],[L6N]],Transactions[Transaction name],0),3),Transactions[Transaction code],0),2),Transactions[[#This Row],[L6N]])</f>
        <v>Total energy supply</v>
      </c>
      <c r="AR207" s="28" t="str">
        <f>IF(Transactions[[#This Row],[L7N]]=Transactions[[#This Row],[L6N]],Transactions[[#This Row],[L7N]],IF(Transactions[[#This Row],[L6N]]=Transactions[[#This Row],[L5N]],Transactions[[#This Row],[L6N]],IF(Transactions[[#This Row],[L5N]]=Transactions[[#This Row],[L4N]],Transactions[[#This Row],[L5N]],IF(Transactions[[#This Row],[L4N]]=Transactions[[#This Row],[L3N]],Transactions[[#This Row],[L4N]],IF(Transactions[[#This Row],[L3N]]=Transactions[[#This Row],[L2N]],Transactions[[#This Row],[L3N]],IF(Transactions[[#This Row],[L2N]]=Transactions[[#This Row],[L1N]],Transactions[[#This Row],[L2N]],IF(Transactions[[#This Row],[L1N]]=Transactions[[#This Row],[Transaction name]],Transactions[[#This Row],[L1N]],Transactions[[#This Row],[Transaction name]])))))))</f>
        <v>Total energy supply</v>
      </c>
      <c r="AS207" s="24" t="str">
        <f>IF(Transactions[[#This Row],[Level 0]]=Transactions[[#This Row],[Transaction name]],Transactions[[#This Row],[Transaction name]],IF(Transactions[[#This Row],[Level 0]]=Transactions[[#This Row],[L1N]],Transactions[[#This Row],[Transaction name]],IF(Transactions[[#This Row],[Level 0]]=Transactions[[#This Row],[L2N]],Transactions[[#This Row],[L1N]],IF(Transactions[[#This Row],[Level 0]]=Transactions[[#This Row],[L3N]],Transactions[[#This Row],[L2N]],IF(Transactions[[#This Row],[Level 0]]=Transactions[[#This Row],[L4N]],Transactions[[#This Row],[L3N]],IF(Transactions[[#This Row],[Level 0]]=Transactions[[#This Row],[L5N]],Transactions[[#This Row],[L4N]],IF(Transactions[[#This Row],[Level 0]]=Transactions[[#This Row],[L6N]],Transactions[[#This Row],[L5N]],IF(Transactions[[#This Row],[Level 0]]=Transactions[[#This Row],[L7N]],Transactions[[#This Row],[L6N]],Transactions[[#This Row],[L7N]]))))))))</f>
        <v>Production</v>
      </c>
      <c r="AT207" s="24" t="str">
        <f>IF(Transactions[[#This Row],[Level 1]]=Transactions[[#This Row],[Transaction name]],Transactions[[#This Row],[Transaction name]],IF(Transactions[[#This Row],[Level 1]]=Transactions[[#This Row],[L1N]],Transactions[[#This Row],[Transaction name]],IF(Transactions[[#This Row],[Level 1]]=Transactions[[#This Row],[L2N]],Transactions[[#This Row],[L1N]],IF(Transactions[[#This Row],[Level 1]]=Transactions[[#This Row],[L3N]],Transactions[[#This Row],[L2N]],IF(Transactions[[#This Row],[Level 1]]=Transactions[[#This Row],[L4N]],Transactions[[#This Row],[L3N]],IF(Transactions[[#This Row],[Level 1]]=Transactions[[#This Row],[L5N]],Transactions[[#This Row],[L4N]],IF(Transactions[[#This Row],[Level 1]]=Transactions[[#This Row],[L6N]],Transactions[[#This Row],[L5N]],IF(Transactions[[#This Row],[Level 1]]=Transactions[[#This Row],[L7N]],Transactions[[#This Row],[L6N]],Transactions[[#This Row],[L7N]]))))))))</f>
        <v>Production, Autoproducers total</v>
      </c>
      <c r="AU207" s="24" t="str">
        <f>IF(Transactions[[#This Row],[Level 2]]=Transactions[[#This Row],[Transaction name]],Transactions[[#This Row],[Transaction name]],IF(Transactions[[#This Row],[Level 2]]=Transactions[[#This Row],[L1N]],Transactions[[#This Row],[Transaction name]],IF(Transactions[[#This Row],[Level 2]]=Transactions[[#This Row],[L2N]],Transactions[[#This Row],[L1N]],IF(Transactions[[#This Row],[Level 2]]=Transactions[[#This Row],[L3N]],Transactions[[#This Row],[L2N]],IF(Transactions[[#This Row],[Level 2]]=Transactions[[#This Row],[L4N]],Transactions[[#This Row],[L3N]],IF(Transactions[[#This Row],[Level 2]]=Transactions[[#This Row],[L5N]],Transactions[[#This Row],[L4N]],IF(Transactions[[#This Row],[Level 2]]=Transactions[[#This Row],[L6N]],Transactions[[#This Row],[L5N]],IF(Transactions[[#This Row],[Level 2]]=Transactions[[#This Row],[L7N]],Transactions[[#This Row],[L6N]],Transactions[[#This Row],[L7N]]))))))))</f>
        <v>Electricity, CHP and Heat plants - Autoproducer - other solid biofuels</v>
      </c>
      <c r="AV207" s="24" t="str">
        <f>IF(Transactions[[#This Row],[Level 3]]=Transactions[[#This Row],[Transaction name]],Transactions[[#This Row],[Transaction name]],IF(Transactions[[#This Row],[Level 3]]=Transactions[[#This Row],[L1N]],Transactions[[#This Row],[Transaction name]],IF(Transactions[[#This Row],[Level 3]]=Transactions[[#This Row],[L2N]],Transactions[[#This Row],[L1N]],IF(Transactions[[#This Row],[Level 3]]=Transactions[[#This Row],[L3N]],Transactions[[#This Row],[L2N]],IF(Transactions[[#This Row],[Level 3]]=Transactions[[#This Row],[L4N]],Transactions[[#This Row],[L3N]],IF(Transactions[[#This Row],[Level 3]]=Transactions[[#This Row],[L5N]],Transactions[[#This Row],[L4N]],IF(Transactions[[#This Row],[Level 3]]=Transactions[[#This Row],[L6N]],Transactions[[#This Row],[L5N]],IF(Transactions[[#This Row],[Level 3]]=Transactions[[#This Row],[L7N]],Transactions[[#This Row],[L6N]],Transactions[[#This Row],[L7N]]))))))))</f>
        <v>Electricity, CHP and Heat plants - Autoproducer - other solid biofuels</v>
      </c>
      <c r="AW207" s="24" t="str">
        <f>IF(Transactions[[#This Row],[Level 4]]=Transactions[[#This Row],[Transaction name]],Transactions[[#This Row],[Transaction name]],IF(Transactions[[#This Row],[Level 4]]=Transactions[[#This Row],[L1N]],Transactions[[#This Row],[Transaction name]],IF(Transactions[[#This Row],[Level 4]]=Transactions[[#This Row],[L2N]],Transactions[[#This Row],[L1N]],IF(Transactions[[#This Row],[Level 4]]=Transactions[[#This Row],[L3N]],Transactions[[#This Row],[L2N]],IF(Transactions[[#This Row],[Level 4]]=Transactions[[#This Row],[L4N]],Transactions[[#This Row],[L3N]],IF(Transactions[[#This Row],[Level 4]]=Transactions[[#This Row],[L5N]],Transactions[[#This Row],[L4N]],IF(Transactions[[#This Row],[Level 4]]=Transactions[[#This Row],[L6N]],Transactions[[#This Row],[L5N]],IF(Transactions[[#This Row],[Level 4]]=Transactions[[#This Row],[L7N]],Transactions[[#This Row],[L6N]],Transactions[[#This Row],[L7N]]))))))))</f>
        <v>Electricity, CHP and Heat plants - Autoproducer - other solid biofuels</v>
      </c>
      <c r="AX207" s="24" t="str">
        <f>IF(Transactions[[#This Row],[Level 5]]=Transactions[[#This Row],[Transaction name]],Transactions[[#This Row],[Transaction name]],IF(Transactions[[#This Row],[Level 5]]=Transactions[[#This Row],[L1N]],Transactions[[#This Row],[Transaction name]],IF(Transactions[[#This Row],[Level 5]]=Transactions[[#This Row],[L2N]],Transactions[[#This Row],[L1N]],IF(Transactions[[#This Row],[Level 5]]=Transactions[[#This Row],[L3N]],Transactions[[#This Row],[L2N]],IF(Transactions[[#This Row],[Level 5]]=Transactions[[#This Row],[L4N]],Transactions[[#This Row],[L3N]],IF(Transactions[[#This Row],[Level 5]]=Transactions[[#This Row],[L5N]],Transactions[[#This Row],[L4N]],IF(Transactions[[#This Row],[Level 5]]=Transactions[[#This Row],[L6N]],Transactions[[#This Row],[L5N]],IF(Transactions[[#This Row],[Level 5]]=Transactions[[#This Row],[L7N]],Transactions[[#This Row],[L6N]],Transactions[[#This Row],[L7N]]))))))))</f>
        <v>Electricity, CHP and Heat plants - Autoproducer - other solid biofuels</v>
      </c>
      <c r="AY207" s="24" t="str">
        <f>IF(Transactions[[#This Row],[Level 6]]=Transactions[[#This Row],[Transaction name]],Transactions[[#This Row],[Transaction name]],IF(Transactions[[#This Row],[Level 6]]=Transactions[[#This Row],[L1N]],Transactions[[#This Row],[Transaction name]],IF(Transactions[[#This Row],[Level 6]]=Transactions[[#This Row],[L2N]],Transactions[[#This Row],[L1N]],IF(Transactions[[#This Row],[Level 6]]=Transactions[[#This Row],[L3N]],Transactions[[#This Row],[L2N]],IF(Transactions[[#This Row],[Level 6]]=Transactions[[#This Row],[L4N]],Transactions[[#This Row],[L3N]],IF(Transactions[[#This Row],[Level 6]]=Transactions[[#This Row],[L5N]],Transactions[[#This Row],[L4N]],IF(Transactions[[#This Row],[Level 6]]=Transactions[[#This Row],[L6N]],Transactions[[#This Row],[L5N]],IF(Transactions[[#This Row],[Level 6]]=Transactions[[#This Row],[L7N]],Transactions[[#This Row],[L6N]],Transactions[[#This Row],[L7N]]))))))))</f>
        <v>Electricity, CHP and Heat plants - Autoproducer - other solid biofuels</v>
      </c>
      <c r="BE207" s="26" t="str">
        <f>_xlfn.XLOOKUP(Transformation[[#This Row],[cfrom]],Commodities[Commodity],Commodities[Commodity code])</f>
        <v>0330</v>
      </c>
      <c r="BF207" s="26" t="str">
        <f>_xlfn.XLOOKUP(Transformation[[#This Row],[tfrom]],Transactions[Transaction name],Transactions[Transaction code])</f>
        <v>08832</v>
      </c>
      <c r="BG207" s="26" t="str">
        <f>_xlfn.XLOOKUP(Transformation[[#This Row],[cto]],Commodities[Commodity],Commodities[Commodity code])</f>
        <v>0330</v>
      </c>
      <c r="BH207" s="26" t="str">
        <f>_xlfn.XLOOKUP(Transformation[[#This Row],[tto]],Transactions[Transaction name],Transactions[Transaction code])</f>
        <v>016CSH</v>
      </c>
      <c r="BI207" s="11">
        <v>1</v>
      </c>
      <c r="BJ207" s="4" t="s">
        <v>491</v>
      </c>
      <c r="BK207" s="24" t="str">
        <f>_xlfn.XLOOKUP(Transformation[[#This Row],[Commodity from]],Commodities[Commodity code],Commodities[EnergyCode])</f>
        <v>BB</v>
      </c>
      <c r="BL207" s="4" t="s">
        <v>694</v>
      </c>
      <c r="BM207" s="4" t="s">
        <v>491</v>
      </c>
      <c r="BN207" s="24" t="str">
        <f>_xlfn.XLOOKUP(Transformation[[#This Row],[Commodity to]],Commodities[Commodity code],Commodities[EnergyCode])</f>
        <v>BB</v>
      </c>
      <c r="BO207" s="4" t="s">
        <v>1215</v>
      </c>
      <c r="BP207" s="16" t="s">
        <v>1493</v>
      </c>
      <c r="BQ207" s="33" t="str">
        <f>Transformation[[#This Row],[Commodity from]]&amp;Transformation[[#This Row],[Transaction from]]&amp;Transformation[[#This Row],[Commodity to]]&amp;Transformation[[#This Row],[Transaction to]]</f>
        <v>0330088320330016CSH</v>
      </c>
      <c r="BR207" s="26" t="str">
        <f>Transformation[[#This Row],[crfomid]]&amp;Transformation[[#This Row],[Transaction from]]&amp;"("&amp;Transformation[[#This Row],[Multiplier]]&amp;") -&gt; "&amp;Transformation[[#This Row],[ctoid]]&amp;Transformation[[#This Row],[Transaction to]]</f>
        <v>BB08832(1) -&gt; BB016CSH</v>
      </c>
    </row>
    <row r="208" spans="25:70" x14ac:dyDescent="0.45">
      <c r="Y208" s="5" t="s">
        <v>235</v>
      </c>
      <c r="Z208" s="5" t="s">
        <v>670</v>
      </c>
      <c r="AA208" s="4" t="s">
        <v>1323</v>
      </c>
      <c r="AB208" s="4" t="s">
        <v>2</v>
      </c>
      <c r="AC208" s="24" t="str">
        <f>IFERROR(VLOOKUP(Transactions[[#This Row],[Parent code]],Transactions[[Transaction code]:[Transaction name]],2,0),"")</f>
        <v>Production, Autoproducers total</v>
      </c>
      <c r="AD208" s="4" t="s">
        <v>189</v>
      </c>
      <c r="AE208" s="4" t="s">
        <v>959</v>
      </c>
      <c r="AF208" s="4" t="s">
        <v>642</v>
      </c>
      <c r="AG208" s="4" t="s">
        <v>1</v>
      </c>
      <c r="AH208" s="4" t="s">
        <v>696</v>
      </c>
      <c r="AJ208" s="4" t="s">
        <v>0</v>
      </c>
      <c r="AK208" s="24" t="str" cm="1">
        <f t="array" ref="AK208">IFERROR(INDEX(Transactions[[Transaction code]:[Transaction name]],_xlfn.XMATCH(Transactions[[#This Row],[Parent code]],Transactions[Transaction name],0),3),Transactions[[#This Row],[Transaction name]])</f>
        <v>Electricity, CHP and Heat plants - Autoproducer - other sources</v>
      </c>
      <c r="AL208" s="24" t="str" cm="1">
        <f t="array" ref="AL208">IFERROR(INDEX(Transactions[[Transaction code]:[Transaction name]],_xlfn.XMATCH(INDEX(Transactions[[Transaction name]:[Parent code]],_xlfn.XMATCH(Transactions[[#This Row],[L1N]],Transactions[Transaction name],0),3),Transactions[Transaction code],0),2),Transactions[[#This Row],[L1N]])</f>
        <v>Production, Autoproducers total</v>
      </c>
      <c r="AM208" s="24" t="str" cm="1">
        <f t="array" ref="AM208">IFERROR(INDEX(Transactions[[Transaction code]:[Transaction name]],_xlfn.XMATCH(INDEX(Transactions[[Transaction name]:[Parent code]],_xlfn.XMATCH(Transactions[[#This Row],[L2N]],Transactions[Transaction name],0),3),Transactions[Transaction code],0),2),Transactions[[#This Row],[L2N]])</f>
        <v>Production</v>
      </c>
      <c r="AN208" s="24" t="str" cm="1">
        <f t="array" ref="AN208">IFERROR(INDEX(Transactions[[Transaction code]:[Transaction name]],_xlfn.XMATCH(INDEX(Transactions[[Transaction name]:[Parent code]],_xlfn.XMATCH(Transactions[[#This Row],[L3N]],Transactions[Transaction name],0),3),Transactions[Transaction code],0),2),Transactions[[#This Row],[L3N]])</f>
        <v>Total energy supply</v>
      </c>
      <c r="AO208" s="24" t="str" cm="1">
        <f t="array" ref="AO208">IFERROR(INDEX(Transactions[[Transaction code]:[Transaction name]],_xlfn.XMATCH(INDEX(Transactions[[Transaction name]:[Parent code]],_xlfn.XMATCH(Transactions[[#This Row],[L4N]],Transactions[Transaction name],0),3),Transactions[Transaction code],0),2),Transactions[[#This Row],[L4N]])</f>
        <v>Total energy supply</v>
      </c>
      <c r="AP208" s="24" t="str" cm="1">
        <f t="array" ref="AP208">IFERROR(INDEX(Transactions[[Transaction code]:[Transaction name]],_xlfn.XMATCH(INDEX(Transactions[[Transaction name]:[Parent code]],_xlfn.XMATCH(Transactions[[#This Row],[L5N]],Transactions[Transaction name],0),3),Transactions[Transaction code],0),2),Transactions[[#This Row],[L5N]])</f>
        <v>Total energy supply</v>
      </c>
      <c r="AQ208" s="24" t="str" cm="1">
        <f t="array" ref="AQ208">IFERROR(INDEX(Transactions[[Transaction code]:[Transaction name]],_xlfn.XMATCH(INDEX(Transactions[[Transaction name]:[Parent code]],_xlfn.XMATCH(Transactions[[#This Row],[L6N]],Transactions[Transaction name],0),3),Transactions[Transaction code],0),2),Transactions[[#This Row],[L6N]])</f>
        <v>Total energy supply</v>
      </c>
      <c r="AR208" s="28" t="str">
        <f>IF(Transactions[[#This Row],[L7N]]=Transactions[[#This Row],[L6N]],Transactions[[#This Row],[L7N]],IF(Transactions[[#This Row],[L6N]]=Transactions[[#This Row],[L5N]],Transactions[[#This Row],[L6N]],IF(Transactions[[#This Row],[L5N]]=Transactions[[#This Row],[L4N]],Transactions[[#This Row],[L5N]],IF(Transactions[[#This Row],[L4N]]=Transactions[[#This Row],[L3N]],Transactions[[#This Row],[L4N]],IF(Transactions[[#This Row],[L3N]]=Transactions[[#This Row],[L2N]],Transactions[[#This Row],[L3N]],IF(Transactions[[#This Row],[L2N]]=Transactions[[#This Row],[L1N]],Transactions[[#This Row],[L2N]],IF(Transactions[[#This Row],[L1N]]=Transactions[[#This Row],[Transaction name]],Transactions[[#This Row],[L1N]],Transactions[[#This Row],[Transaction name]])))))))</f>
        <v>Total energy supply</v>
      </c>
      <c r="AS208" s="24" t="str">
        <f>IF(Transactions[[#This Row],[Level 0]]=Transactions[[#This Row],[Transaction name]],Transactions[[#This Row],[Transaction name]],IF(Transactions[[#This Row],[Level 0]]=Transactions[[#This Row],[L1N]],Transactions[[#This Row],[Transaction name]],IF(Transactions[[#This Row],[Level 0]]=Transactions[[#This Row],[L2N]],Transactions[[#This Row],[L1N]],IF(Transactions[[#This Row],[Level 0]]=Transactions[[#This Row],[L3N]],Transactions[[#This Row],[L2N]],IF(Transactions[[#This Row],[Level 0]]=Transactions[[#This Row],[L4N]],Transactions[[#This Row],[L3N]],IF(Transactions[[#This Row],[Level 0]]=Transactions[[#This Row],[L5N]],Transactions[[#This Row],[L4N]],IF(Transactions[[#This Row],[Level 0]]=Transactions[[#This Row],[L6N]],Transactions[[#This Row],[L5N]],IF(Transactions[[#This Row],[Level 0]]=Transactions[[#This Row],[L7N]],Transactions[[#This Row],[L6N]],Transactions[[#This Row],[L7N]]))))))))</f>
        <v>Production</v>
      </c>
      <c r="AT208" s="24" t="str">
        <f>IF(Transactions[[#This Row],[Level 1]]=Transactions[[#This Row],[Transaction name]],Transactions[[#This Row],[Transaction name]],IF(Transactions[[#This Row],[Level 1]]=Transactions[[#This Row],[L1N]],Transactions[[#This Row],[Transaction name]],IF(Transactions[[#This Row],[Level 1]]=Transactions[[#This Row],[L2N]],Transactions[[#This Row],[L1N]],IF(Transactions[[#This Row],[Level 1]]=Transactions[[#This Row],[L3N]],Transactions[[#This Row],[L2N]],IF(Transactions[[#This Row],[Level 1]]=Transactions[[#This Row],[L4N]],Transactions[[#This Row],[L3N]],IF(Transactions[[#This Row],[Level 1]]=Transactions[[#This Row],[L5N]],Transactions[[#This Row],[L4N]],IF(Transactions[[#This Row],[Level 1]]=Transactions[[#This Row],[L6N]],Transactions[[#This Row],[L5N]],IF(Transactions[[#This Row],[Level 1]]=Transactions[[#This Row],[L7N]],Transactions[[#This Row],[L6N]],Transactions[[#This Row],[L7N]]))))))))</f>
        <v>Production, Autoproducers total</v>
      </c>
      <c r="AU208" s="24" t="str">
        <f>IF(Transactions[[#This Row],[Level 2]]=Transactions[[#This Row],[Transaction name]],Transactions[[#This Row],[Transaction name]],IF(Transactions[[#This Row],[Level 2]]=Transactions[[#This Row],[L1N]],Transactions[[#This Row],[Transaction name]],IF(Transactions[[#This Row],[Level 2]]=Transactions[[#This Row],[L2N]],Transactions[[#This Row],[L1N]],IF(Transactions[[#This Row],[Level 2]]=Transactions[[#This Row],[L3N]],Transactions[[#This Row],[L2N]],IF(Transactions[[#This Row],[Level 2]]=Transactions[[#This Row],[L4N]],Transactions[[#This Row],[L3N]],IF(Transactions[[#This Row],[Level 2]]=Transactions[[#This Row],[L5N]],Transactions[[#This Row],[L4N]],IF(Transactions[[#This Row],[Level 2]]=Transactions[[#This Row],[L6N]],Transactions[[#This Row],[L5N]],IF(Transactions[[#This Row],[Level 2]]=Transactions[[#This Row],[L7N]],Transactions[[#This Row],[L6N]],Transactions[[#This Row],[L7N]]))))))))</f>
        <v>Electricity, CHP and Heat plants - Autoproducer - other sources</v>
      </c>
      <c r="AV208" s="24" t="str">
        <f>IF(Transactions[[#This Row],[Level 3]]=Transactions[[#This Row],[Transaction name]],Transactions[[#This Row],[Transaction name]],IF(Transactions[[#This Row],[Level 3]]=Transactions[[#This Row],[L1N]],Transactions[[#This Row],[Transaction name]],IF(Transactions[[#This Row],[Level 3]]=Transactions[[#This Row],[L2N]],Transactions[[#This Row],[L1N]],IF(Transactions[[#This Row],[Level 3]]=Transactions[[#This Row],[L3N]],Transactions[[#This Row],[L2N]],IF(Transactions[[#This Row],[Level 3]]=Transactions[[#This Row],[L4N]],Transactions[[#This Row],[L3N]],IF(Transactions[[#This Row],[Level 3]]=Transactions[[#This Row],[L5N]],Transactions[[#This Row],[L4N]],IF(Transactions[[#This Row],[Level 3]]=Transactions[[#This Row],[L6N]],Transactions[[#This Row],[L5N]],IF(Transactions[[#This Row],[Level 3]]=Transactions[[#This Row],[L7N]],Transactions[[#This Row],[L6N]],Transactions[[#This Row],[L7N]]))))))))</f>
        <v>Electricity, CHP and Heat plants - Autoproducer - other sources</v>
      </c>
      <c r="AW208" s="24" t="str">
        <f>IF(Transactions[[#This Row],[Level 4]]=Transactions[[#This Row],[Transaction name]],Transactions[[#This Row],[Transaction name]],IF(Transactions[[#This Row],[Level 4]]=Transactions[[#This Row],[L1N]],Transactions[[#This Row],[Transaction name]],IF(Transactions[[#This Row],[Level 4]]=Transactions[[#This Row],[L2N]],Transactions[[#This Row],[L1N]],IF(Transactions[[#This Row],[Level 4]]=Transactions[[#This Row],[L3N]],Transactions[[#This Row],[L2N]],IF(Transactions[[#This Row],[Level 4]]=Transactions[[#This Row],[L4N]],Transactions[[#This Row],[L3N]],IF(Transactions[[#This Row],[Level 4]]=Transactions[[#This Row],[L5N]],Transactions[[#This Row],[L4N]],IF(Transactions[[#This Row],[Level 4]]=Transactions[[#This Row],[L6N]],Transactions[[#This Row],[L5N]],IF(Transactions[[#This Row],[Level 4]]=Transactions[[#This Row],[L7N]],Transactions[[#This Row],[L6N]],Transactions[[#This Row],[L7N]]))))))))</f>
        <v>Electricity, CHP and Heat plants - Autoproducer - other sources</v>
      </c>
      <c r="AX208" s="24" t="str">
        <f>IF(Transactions[[#This Row],[Level 5]]=Transactions[[#This Row],[Transaction name]],Transactions[[#This Row],[Transaction name]],IF(Transactions[[#This Row],[Level 5]]=Transactions[[#This Row],[L1N]],Transactions[[#This Row],[Transaction name]],IF(Transactions[[#This Row],[Level 5]]=Transactions[[#This Row],[L2N]],Transactions[[#This Row],[L1N]],IF(Transactions[[#This Row],[Level 5]]=Transactions[[#This Row],[L3N]],Transactions[[#This Row],[L2N]],IF(Transactions[[#This Row],[Level 5]]=Transactions[[#This Row],[L4N]],Transactions[[#This Row],[L3N]],IF(Transactions[[#This Row],[Level 5]]=Transactions[[#This Row],[L5N]],Transactions[[#This Row],[L4N]],IF(Transactions[[#This Row],[Level 5]]=Transactions[[#This Row],[L6N]],Transactions[[#This Row],[L5N]],IF(Transactions[[#This Row],[Level 5]]=Transactions[[#This Row],[L7N]],Transactions[[#This Row],[L6N]],Transactions[[#This Row],[L7N]]))))))))</f>
        <v>Electricity, CHP and Heat plants - Autoproducer - other sources</v>
      </c>
      <c r="AY208" s="24" t="str">
        <f>IF(Transactions[[#This Row],[Level 6]]=Transactions[[#This Row],[Transaction name]],Transactions[[#This Row],[Transaction name]],IF(Transactions[[#This Row],[Level 6]]=Transactions[[#This Row],[L1N]],Transactions[[#This Row],[Transaction name]],IF(Transactions[[#This Row],[Level 6]]=Transactions[[#This Row],[L2N]],Transactions[[#This Row],[L1N]],IF(Transactions[[#This Row],[Level 6]]=Transactions[[#This Row],[L3N]],Transactions[[#This Row],[L2N]],IF(Transactions[[#This Row],[Level 6]]=Transactions[[#This Row],[L4N]],Transactions[[#This Row],[L3N]],IF(Transactions[[#This Row],[Level 6]]=Transactions[[#This Row],[L5N]],Transactions[[#This Row],[L4N]],IF(Transactions[[#This Row],[Level 6]]=Transactions[[#This Row],[L6N]],Transactions[[#This Row],[L5N]],IF(Transactions[[#This Row],[Level 6]]=Transactions[[#This Row],[L7N]],Transactions[[#This Row],[L6N]],Transactions[[#This Row],[L7N]]))))))))</f>
        <v>Electricity, CHP and Heat plants - Autoproducer - other sources</v>
      </c>
      <c r="BE208" s="26" t="str">
        <f>_xlfn.XLOOKUP(Transformation[[#This Row],[cfrom]],Commodities[Commodity],Commodities[Commodity code])</f>
        <v>0320</v>
      </c>
      <c r="BF208" s="26" t="str">
        <f>_xlfn.XLOOKUP(Transformation[[#This Row],[tfrom]],Transactions[Transaction name],Transactions[Transaction code])</f>
        <v>08832</v>
      </c>
      <c r="BG208" s="26" t="str">
        <f>_xlfn.XLOOKUP(Transformation[[#This Row],[cto]],Commodities[Commodity],Commodities[Commodity code])</f>
        <v>0320</v>
      </c>
      <c r="BH208" s="26" t="str">
        <f>_xlfn.XLOOKUP(Transformation[[#This Row],[tto]],Transactions[Transaction name],Transactions[Transaction code])</f>
        <v>016CSH</v>
      </c>
      <c r="BI208" s="31">
        <v>1</v>
      </c>
      <c r="BJ208" s="22" t="s">
        <v>493</v>
      </c>
      <c r="BK208" s="26" t="str">
        <f>_xlfn.XLOOKUP(Transformation[[#This Row],[Commodity from]],Commodities[Commodity code],Commodities[EnergyCode])</f>
        <v>BC</v>
      </c>
      <c r="BL208" s="22" t="s">
        <v>694</v>
      </c>
      <c r="BM208" s="22" t="s">
        <v>493</v>
      </c>
      <c r="BN208" s="26" t="str">
        <f>_xlfn.XLOOKUP(Transformation[[#This Row],[Commodity to]],Commodities[Commodity code],Commodities[EnergyCode])</f>
        <v>BC</v>
      </c>
      <c r="BO208" s="4" t="s">
        <v>1215</v>
      </c>
      <c r="BP208" s="22" t="s">
        <v>1493</v>
      </c>
      <c r="BQ208" s="33" t="str">
        <f>Transformation[[#This Row],[Commodity from]]&amp;Transformation[[#This Row],[Transaction from]]&amp;Transformation[[#This Row],[Commodity to]]&amp;Transformation[[#This Row],[Transaction to]]</f>
        <v>0320088320320016CSH</v>
      </c>
      <c r="BR208" s="26" t="str">
        <f>Transformation[[#This Row],[crfomid]]&amp;Transformation[[#This Row],[Transaction from]]&amp;"("&amp;Transformation[[#This Row],[Multiplier]]&amp;") -&gt; "&amp;Transformation[[#This Row],[ctoid]]&amp;Transformation[[#This Row],[Transaction to]]</f>
        <v>BC08832(1) -&gt; BC016CSH</v>
      </c>
    </row>
    <row r="209" spans="25:70" x14ac:dyDescent="0.45">
      <c r="Y209" s="5" t="s">
        <v>1266</v>
      </c>
      <c r="Z209" s="4" t="s">
        <v>1204</v>
      </c>
      <c r="AA209" s="4" t="s">
        <v>1390</v>
      </c>
      <c r="AB209" s="4" t="s">
        <v>2</v>
      </c>
      <c r="AC209" s="24" t="str">
        <f>IFERROR(VLOOKUP(Transactions[[#This Row],[Parent code]],Transactions[[Transaction code]:[Transaction name]],2,0),"")</f>
        <v>Production, Autoproducers total</v>
      </c>
      <c r="AD209" s="4" t="s">
        <v>189</v>
      </c>
      <c r="AE209" s="4" t="s">
        <v>959</v>
      </c>
      <c r="AF209" s="4" t="s">
        <v>642</v>
      </c>
      <c r="AG209" s="4" t="s">
        <v>1</v>
      </c>
      <c r="AH209" s="4" t="s">
        <v>696</v>
      </c>
      <c r="AI209" s="12" t="s">
        <v>1416</v>
      </c>
      <c r="AJ209" s="4" t="s">
        <v>0</v>
      </c>
      <c r="AK209" s="24" t="str" cm="1">
        <f t="array" ref="AK209">IFERROR(INDEX(Transactions[[Transaction code]:[Transaction name]],_xlfn.XMATCH(Transactions[[#This Row],[Parent code]],Transactions[Transaction name],0),3),Transactions[[#This Row],[Transaction name]])</f>
        <v>Electricity, CHP and Heat plants - Autoproducer - peat</v>
      </c>
      <c r="AL209" s="24" t="str" cm="1">
        <f t="array" ref="AL209">IFERROR(INDEX(Transactions[[Transaction code]:[Transaction name]],_xlfn.XMATCH(INDEX(Transactions[[Transaction name]:[Parent code]],_xlfn.XMATCH(Transactions[[#This Row],[L1N]],Transactions[Transaction name],0),3),Transactions[Transaction code],0),2),Transactions[[#This Row],[L1N]])</f>
        <v>Production, Autoproducers total</v>
      </c>
      <c r="AM209" s="24" t="str" cm="1">
        <f t="array" ref="AM209">IFERROR(INDEX(Transactions[[Transaction code]:[Transaction name]],_xlfn.XMATCH(INDEX(Transactions[[Transaction name]:[Parent code]],_xlfn.XMATCH(Transactions[[#This Row],[L2N]],Transactions[Transaction name],0),3),Transactions[Transaction code],0),2),Transactions[[#This Row],[L2N]])</f>
        <v>Production</v>
      </c>
      <c r="AN209" s="24" t="str" cm="1">
        <f t="array" ref="AN209">IFERROR(INDEX(Transactions[[Transaction code]:[Transaction name]],_xlfn.XMATCH(INDEX(Transactions[[Transaction name]:[Parent code]],_xlfn.XMATCH(Transactions[[#This Row],[L3N]],Transactions[Transaction name],0),3),Transactions[Transaction code],0),2),Transactions[[#This Row],[L3N]])</f>
        <v>Total energy supply</v>
      </c>
      <c r="AO209" s="24" t="str" cm="1">
        <f t="array" ref="AO209">IFERROR(INDEX(Transactions[[Transaction code]:[Transaction name]],_xlfn.XMATCH(INDEX(Transactions[[Transaction name]:[Parent code]],_xlfn.XMATCH(Transactions[[#This Row],[L4N]],Transactions[Transaction name],0),3),Transactions[Transaction code],0),2),Transactions[[#This Row],[L4N]])</f>
        <v>Total energy supply</v>
      </c>
      <c r="AP209" s="24" t="str" cm="1">
        <f t="array" ref="AP209">IFERROR(INDEX(Transactions[[Transaction code]:[Transaction name]],_xlfn.XMATCH(INDEX(Transactions[[Transaction name]:[Parent code]],_xlfn.XMATCH(Transactions[[#This Row],[L5N]],Transactions[Transaction name],0),3),Transactions[Transaction code],0),2),Transactions[[#This Row],[L5N]])</f>
        <v>Total energy supply</v>
      </c>
      <c r="AQ209" s="24" t="str" cm="1">
        <f t="array" ref="AQ209">IFERROR(INDEX(Transactions[[Transaction code]:[Transaction name]],_xlfn.XMATCH(INDEX(Transactions[[Transaction name]:[Parent code]],_xlfn.XMATCH(Transactions[[#This Row],[L6N]],Transactions[Transaction name],0),3),Transactions[Transaction code],0),2),Transactions[[#This Row],[L6N]])</f>
        <v>Total energy supply</v>
      </c>
      <c r="AR209" s="28" t="str">
        <f>IF(Transactions[[#This Row],[L7N]]=Transactions[[#This Row],[L6N]],Transactions[[#This Row],[L7N]],IF(Transactions[[#This Row],[L6N]]=Transactions[[#This Row],[L5N]],Transactions[[#This Row],[L6N]],IF(Transactions[[#This Row],[L5N]]=Transactions[[#This Row],[L4N]],Transactions[[#This Row],[L5N]],IF(Transactions[[#This Row],[L4N]]=Transactions[[#This Row],[L3N]],Transactions[[#This Row],[L4N]],IF(Transactions[[#This Row],[L3N]]=Transactions[[#This Row],[L2N]],Transactions[[#This Row],[L3N]],IF(Transactions[[#This Row],[L2N]]=Transactions[[#This Row],[L1N]],Transactions[[#This Row],[L2N]],IF(Transactions[[#This Row],[L1N]]=Transactions[[#This Row],[Transaction name]],Transactions[[#This Row],[L1N]],Transactions[[#This Row],[Transaction name]])))))))</f>
        <v>Total energy supply</v>
      </c>
      <c r="AS209" s="24" t="str">
        <f>IF(Transactions[[#This Row],[Level 0]]=Transactions[[#This Row],[Transaction name]],Transactions[[#This Row],[Transaction name]],IF(Transactions[[#This Row],[Level 0]]=Transactions[[#This Row],[L1N]],Transactions[[#This Row],[Transaction name]],IF(Transactions[[#This Row],[Level 0]]=Transactions[[#This Row],[L2N]],Transactions[[#This Row],[L1N]],IF(Transactions[[#This Row],[Level 0]]=Transactions[[#This Row],[L3N]],Transactions[[#This Row],[L2N]],IF(Transactions[[#This Row],[Level 0]]=Transactions[[#This Row],[L4N]],Transactions[[#This Row],[L3N]],IF(Transactions[[#This Row],[Level 0]]=Transactions[[#This Row],[L5N]],Transactions[[#This Row],[L4N]],IF(Transactions[[#This Row],[Level 0]]=Transactions[[#This Row],[L6N]],Transactions[[#This Row],[L5N]],IF(Transactions[[#This Row],[Level 0]]=Transactions[[#This Row],[L7N]],Transactions[[#This Row],[L6N]],Transactions[[#This Row],[L7N]]))))))))</f>
        <v>Production</v>
      </c>
      <c r="AT209" s="24" t="str">
        <f>IF(Transactions[[#This Row],[Level 1]]=Transactions[[#This Row],[Transaction name]],Transactions[[#This Row],[Transaction name]],IF(Transactions[[#This Row],[Level 1]]=Transactions[[#This Row],[L1N]],Transactions[[#This Row],[Transaction name]],IF(Transactions[[#This Row],[Level 1]]=Transactions[[#This Row],[L2N]],Transactions[[#This Row],[L1N]],IF(Transactions[[#This Row],[Level 1]]=Transactions[[#This Row],[L3N]],Transactions[[#This Row],[L2N]],IF(Transactions[[#This Row],[Level 1]]=Transactions[[#This Row],[L4N]],Transactions[[#This Row],[L3N]],IF(Transactions[[#This Row],[Level 1]]=Transactions[[#This Row],[L5N]],Transactions[[#This Row],[L4N]],IF(Transactions[[#This Row],[Level 1]]=Transactions[[#This Row],[L6N]],Transactions[[#This Row],[L5N]],IF(Transactions[[#This Row],[Level 1]]=Transactions[[#This Row],[L7N]],Transactions[[#This Row],[L6N]],Transactions[[#This Row],[L7N]]))))))))</f>
        <v>Production, Autoproducers total</v>
      </c>
      <c r="AU209" s="24" t="str">
        <f>IF(Transactions[[#This Row],[Level 2]]=Transactions[[#This Row],[Transaction name]],Transactions[[#This Row],[Transaction name]],IF(Transactions[[#This Row],[Level 2]]=Transactions[[#This Row],[L1N]],Transactions[[#This Row],[Transaction name]],IF(Transactions[[#This Row],[Level 2]]=Transactions[[#This Row],[L2N]],Transactions[[#This Row],[L1N]],IF(Transactions[[#This Row],[Level 2]]=Transactions[[#This Row],[L3N]],Transactions[[#This Row],[L2N]],IF(Transactions[[#This Row],[Level 2]]=Transactions[[#This Row],[L4N]],Transactions[[#This Row],[L3N]],IF(Transactions[[#This Row],[Level 2]]=Transactions[[#This Row],[L5N]],Transactions[[#This Row],[L4N]],IF(Transactions[[#This Row],[Level 2]]=Transactions[[#This Row],[L6N]],Transactions[[#This Row],[L5N]],IF(Transactions[[#This Row],[Level 2]]=Transactions[[#This Row],[L7N]],Transactions[[#This Row],[L6N]],Transactions[[#This Row],[L7N]]))))))))</f>
        <v>Electricity, CHP and Heat plants - Autoproducer - peat</v>
      </c>
      <c r="AV209" s="24" t="str">
        <f>IF(Transactions[[#This Row],[Level 3]]=Transactions[[#This Row],[Transaction name]],Transactions[[#This Row],[Transaction name]],IF(Transactions[[#This Row],[Level 3]]=Transactions[[#This Row],[L1N]],Transactions[[#This Row],[Transaction name]],IF(Transactions[[#This Row],[Level 3]]=Transactions[[#This Row],[L2N]],Transactions[[#This Row],[L1N]],IF(Transactions[[#This Row],[Level 3]]=Transactions[[#This Row],[L3N]],Transactions[[#This Row],[L2N]],IF(Transactions[[#This Row],[Level 3]]=Transactions[[#This Row],[L4N]],Transactions[[#This Row],[L3N]],IF(Transactions[[#This Row],[Level 3]]=Transactions[[#This Row],[L5N]],Transactions[[#This Row],[L4N]],IF(Transactions[[#This Row],[Level 3]]=Transactions[[#This Row],[L6N]],Transactions[[#This Row],[L5N]],IF(Transactions[[#This Row],[Level 3]]=Transactions[[#This Row],[L7N]],Transactions[[#This Row],[L6N]],Transactions[[#This Row],[L7N]]))))))))</f>
        <v>Electricity, CHP and Heat plants - Autoproducer - peat</v>
      </c>
      <c r="AW209" s="24" t="str">
        <f>IF(Transactions[[#This Row],[Level 4]]=Transactions[[#This Row],[Transaction name]],Transactions[[#This Row],[Transaction name]],IF(Transactions[[#This Row],[Level 4]]=Transactions[[#This Row],[L1N]],Transactions[[#This Row],[Transaction name]],IF(Transactions[[#This Row],[Level 4]]=Transactions[[#This Row],[L2N]],Transactions[[#This Row],[L1N]],IF(Transactions[[#This Row],[Level 4]]=Transactions[[#This Row],[L3N]],Transactions[[#This Row],[L2N]],IF(Transactions[[#This Row],[Level 4]]=Transactions[[#This Row],[L4N]],Transactions[[#This Row],[L3N]],IF(Transactions[[#This Row],[Level 4]]=Transactions[[#This Row],[L5N]],Transactions[[#This Row],[L4N]],IF(Transactions[[#This Row],[Level 4]]=Transactions[[#This Row],[L6N]],Transactions[[#This Row],[L5N]],IF(Transactions[[#This Row],[Level 4]]=Transactions[[#This Row],[L7N]],Transactions[[#This Row],[L6N]],Transactions[[#This Row],[L7N]]))))))))</f>
        <v>Electricity, CHP and Heat plants - Autoproducer - peat</v>
      </c>
      <c r="AX209" s="24" t="str">
        <f>IF(Transactions[[#This Row],[Level 5]]=Transactions[[#This Row],[Transaction name]],Transactions[[#This Row],[Transaction name]],IF(Transactions[[#This Row],[Level 5]]=Transactions[[#This Row],[L1N]],Transactions[[#This Row],[Transaction name]],IF(Transactions[[#This Row],[Level 5]]=Transactions[[#This Row],[L2N]],Transactions[[#This Row],[L1N]],IF(Transactions[[#This Row],[Level 5]]=Transactions[[#This Row],[L3N]],Transactions[[#This Row],[L2N]],IF(Transactions[[#This Row],[Level 5]]=Transactions[[#This Row],[L4N]],Transactions[[#This Row],[L3N]],IF(Transactions[[#This Row],[Level 5]]=Transactions[[#This Row],[L5N]],Transactions[[#This Row],[L4N]],IF(Transactions[[#This Row],[Level 5]]=Transactions[[#This Row],[L6N]],Transactions[[#This Row],[L5N]],IF(Transactions[[#This Row],[Level 5]]=Transactions[[#This Row],[L7N]],Transactions[[#This Row],[L6N]],Transactions[[#This Row],[L7N]]))))))))</f>
        <v>Electricity, CHP and Heat plants - Autoproducer - peat</v>
      </c>
      <c r="AY209" s="24" t="str">
        <f>IF(Transactions[[#This Row],[Level 6]]=Transactions[[#This Row],[Transaction name]],Transactions[[#This Row],[Transaction name]],IF(Transactions[[#This Row],[Level 6]]=Transactions[[#This Row],[L1N]],Transactions[[#This Row],[Transaction name]],IF(Transactions[[#This Row],[Level 6]]=Transactions[[#This Row],[L2N]],Transactions[[#This Row],[L1N]],IF(Transactions[[#This Row],[Level 6]]=Transactions[[#This Row],[L3N]],Transactions[[#This Row],[L2N]],IF(Transactions[[#This Row],[Level 6]]=Transactions[[#This Row],[L4N]],Transactions[[#This Row],[L3N]],IF(Transactions[[#This Row],[Level 6]]=Transactions[[#This Row],[L5N]],Transactions[[#This Row],[L4N]],IF(Transactions[[#This Row],[Level 6]]=Transactions[[#This Row],[L6N]],Transactions[[#This Row],[L5N]],IF(Transactions[[#This Row],[Level 6]]=Transactions[[#This Row],[L7N]],Transactions[[#This Row],[L6N]],Transactions[[#This Row],[L7N]]))))))))</f>
        <v>Electricity, CHP and Heat plants - Autoproducer - peat</v>
      </c>
      <c r="BE209" s="26" t="str">
        <f>_xlfn.XLOOKUP(Transformation[[#This Row],[cfrom]],Commodities[Commodity],Commodities[Commodity code])</f>
        <v>5220</v>
      </c>
      <c r="BF209" s="26" t="str">
        <f>_xlfn.XLOOKUP(Transformation[[#This Row],[tfrom]],Transactions[Transaction name],Transactions[Transaction code])</f>
        <v>08832</v>
      </c>
      <c r="BG209" s="26" t="str">
        <f>_xlfn.XLOOKUP(Transformation[[#This Row],[cto]],Commodities[Commodity],Commodities[Commodity code])</f>
        <v>5220</v>
      </c>
      <c r="BH209" s="26" t="str">
        <f>_xlfn.XLOOKUP(Transformation[[#This Row],[tto]],Transactions[Transaction name],Transactions[Transaction code])</f>
        <v>016BLH</v>
      </c>
      <c r="BI209" s="11">
        <v>1</v>
      </c>
      <c r="BJ209" s="4" t="s">
        <v>315</v>
      </c>
      <c r="BK209" s="24" t="str">
        <f>_xlfn.XLOOKUP(Transformation[[#This Row],[Commodity from]],Commodities[Commodity code],Commodities[EnergyCode])</f>
        <v>BD</v>
      </c>
      <c r="BL209" s="4" t="s">
        <v>694</v>
      </c>
      <c r="BM209" s="4" t="s">
        <v>315</v>
      </c>
      <c r="BN209" s="24" t="str">
        <f>_xlfn.XLOOKUP(Transformation[[#This Row],[Commodity to]],Commodities[Commodity code],Commodities[EnergyCode])</f>
        <v>BD</v>
      </c>
      <c r="BO209" s="4" t="s">
        <v>1080</v>
      </c>
      <c r="BP209" s="16" t="s">
        <v>1493</v>
      </c>
      <c r="BQ209" s="33" t="str">
        <f>Transformation[[#This Row],[Commodity from]]&amp;Transformation[[#This Row],[Transaction from]]&amp;Transformation[[#This Row],[Commodity to]]&amp;Transformation[[#This Row],[Transaction to]]</f>
        <v>5220088325220016BLH</v>
      </c>
      <c r="BR209" s="26" t="str">
        <f>Transformation[[#This Row],[crfomid]]&amp;Transformation[[#This Row],[Transaction from]]&amp;"("&amp;Transformation[[#This Row],[Multiplier]]&amp;") -&gt; "&amp;Transformation[[#This Row],[ctoid]]&amp;Transformation[[#This Row],[Transaction to]]</f>
        <v>BD08832(1) -&gt; BD016BLH</v>
      </c>
    </row>
    <row r="210" spans="25:70" x14ac:dyDescent="0.45">
      <c r="Y210" s="5" t="s">
        <v>1259</v>
      </c>
      <c r="Z210" s="4" t="s">
        <v>1196</v>
      </c>
      <c r="AA210" s="4" t="s">
        <v>1386</v>
      </c>
      <c r="AB210" s="4" t="s">
        <v>2</v>
      </c>
      <c r="AC210" s="24" t="str">
        <f>IFERROR(VLOOKUP(Transactions[[#This Row],[Parent code]],Transactions[[Transaction code]:[Transaction name]],2,0),"")</f>
        <v>Production, Autoproducers total</v>
      </c>
      <c r="AD210" s="4" t="s">
        <v>189</v>
      </c>
      <c r="AE210" s="4" t="s">
        <v>959</v>
      </c>
      <c r="AF210" s="4" t="s">
        <v>642</v>
      </c>
      <c r="AG210" s="4" t="s">
        <v>1</v>
      </c>
      <c r="AH210" s="4" t="s">
        <v>696</v>
      </c>
      <c r="AI210" s="12" t="s">
        <v>1416</v>
      </c>
      <c r="AJ210" s="4" t="s">
        <v>0</v>
      </c>
      <c r="AK210" s="24" t="str" cm="1">
        <f t="array" ref="AK210">IFERROR(INDEX(Transactions[[Transaction code]:[Transaction name]],_xlfn.XMATCH(Transactions[[#This Row],[Parent code]],Transactions[Transaction name],0),3),Transactions[[#This Row],[Transaction name]])</f>
        <v>Electricity, CHP and Heat plants - Autoproducer - shale</v>
      </c>
      <c r="AL210" s="24" t="str" cm="1">
        <f t="array" ref="AL210">IFERROR(INDEX(Transactions[[Transaction code]:[Transaction name]],_xlfn.XMATCH(INDEX(Transactions[[Transaction name]:[Parent code]],_xlfn.XMATCH(Transactions[[#This Row],[L1N]],Transactions[Transaction name],0),3),Transactions[Transaction code],0),2),Transactions[[#This Row],[L1N]])</f>
        <v>Production, Autoproducers total</v>
      </c>
      <c r="AM210" s="24" t="str" cm="1">
        <f t="array" ref="AM210">IFERROR(INDEX(Transactions[[Transaction code]:[Transaction name]],_xlfn.XMATCH(INDEX(Transactions[[Transaction name]:[Parent code]],_xlfn.XMATCH(Transactions[[#This Row],[L2N]],Transactions[Transaction name],0),3),Transactions[Transaction code],0),2),Transactions[[#This Row],[L2N]])</f>
        <v>Production</v>
      </c>
      <c r="AN210" s="24" t="str" cm="1">
        <f t="array" ref="AN210">IFERROR(INDEX(Transactions[[Transaction code]:[Transaction name]],_xlfn.XMATCH(INDEX(Transactions[[Transaction name]:[Parent code]],_xlfn.XMATCH(Transactions[[#This Row],[L3N]],Transactions[Transaction name],0),3),Transactions[Transaction code],0),2),Transactions[[#This Row],[L3N]])</f>
        <v>Total energy supply</v>
      </c>
      <c r="AO210" s="24" t="str" cm="1">
        <f t="array" ref="AO210">IFERROR(INDEX(Transactions[[Transaction code]:[Transaction name]],_xlfn.XMATCH(INDEX(Transactions[[Transaction name]:[Parent code]],_xlfn.XMATCH(Transactions[[#This Row],[L4N]],Transactions[Transaction name],0),3),Transactions[Transaction code],0),2),Transactions[[#This Row],[L4N]])</f>
        <v>Total energy supply</v>
      </c>
      <c r="AP210" s="24" t="str" cm="1">
        <f t="array" ref="AP210">IFERROR(INDEX(Transactions[[Transaction code]:[Transaction name]],_xlfn.XMATCH(INDEX(Transactions[[Transaction name]:[Parent code]],_xlfn.XMATCH(Transactions[[#This Row],[L5N]],Transactions[Transaction name],0),3),Transactions[Transaction code],0),2),Transactions[[#This Row],[L5N]])</f>
        <v>Total energy supply</v>
      </c>
      <c r="AQ210" s="24" t="str" cm="1">
        <f t="array" ref="AQ210">IFERROR(INDEX(Transactions[[Transaction code]:[Transaction name]],_xlfn.XMATCH(INDEX(Transactions[[Transaction name]:[Parent code]],_xlfn.XMATCH(Transactions[[#This Row],[L6N]],Transactions[Transaction name],0),3),Transactions[Transaction code],0),2),Transactions[[#This Row],[L6N]])</f>
        <v>Total energy supply</v>
      </c>
      <c r="AR210" s="28" t="str">
        <f>IF(Transactions[[#This Row],[L7N]]=Transactions[[#This Row],[L6N]],Transactions[[#This Row],[L7N]],IF(Transactions[[#This Row],[L6N]]=Transactions[[#This Row],[L5N]],Transactions[[#This Row],[L6N]],IF(Transactions[[#This Row],[L5N]]=Transactions[[#This Row],[L4N]],Transactions[[#This Row],[L5N]],IF(Transactions[[#This Row],[L4N]]=Transactions[[#This Row],[L3N]],Transactions[[#This Row],[L4N]],IF(Transactions[[#This Row],[L3N]]=Transactions[[#This Row],[L2N]],Transactions[[#This Row],[L3N]],IF(Transactions[[#This Row],[L2N]]=Transactions[[#This Row],[L1N]],Transactions[[#This Row],[L2N]],IF(Transactions[[#This Row],[L1N]]=Transactions[[#This Row],[Transaction name]],Transactions[[#This Row],[L1N]],Transactions[[#This Row],[Transaction name]])))))))</f>
        <v>Total energy supply</v>
      </c>
      <c r="AS210" s="24" t="str">
        <f>IF(Transactions[[#This Row],[Level 0]]=Transactions[[#This Row],[Transaction name]],Transactions[[#This Row],[Transaction name]],IF(Transactions[[#This Row],[Level 0]]=Transactions[[#This Row],[L1N]],Transactions[[#This Row],[Transaction name]],IF(Transactions[[#This Row],[Level 0]]=Transactions[[#This Row],[L2N]],Transactions[[#This Row],[L1N]],IF(Transactions[[#This Row],[Level 0]]=Transactions[[#This Row],[L3N]],Transactions[[#This Row],[L2N]],IF(Transactions[[#This Row],[Level 0]]=Transactions[[#This Row],[L4N]],Transactions[[#This Row],[L3N]],IF(Transactions[[#This Row],[Level 0]]=Transactions[[#This Row],[L5N]],Transactions[[#This Row],[L4N]],IF(Transactions[[#This Row],[Level 0]]=Transactions[[#This Row],[L6N]],Transactions[[#This Row],[L5N]],IF(Transactions[[#This Row],[Level 0]]=Transactions[[#This Row],[L7N]],Transactions[[#This Row],[L6N]],Transactions[[#This Row],[L7N]]))))))))</f>
        <v>Production</v>
      </c>
      <c r="AT210" s="24" t="str">
        <f>IF(Transactions[[#This Row],[Level 1]]=Transactions[[#This Row],[Transaction name]],Transactions[[#This Row],[Transaction name]],IF(Transactions[[#This Row],[Level 1]]=Transactions[[#This Row],[L1N]],Transactions[[#This Row],[Transaction name]],IF(Transactions[[#This Row],[Level 1]]=Transactions[[#This Row],[L2N]],Transactions[[#This Row],[L1N]],IF(Transactions[[#This Row],[Level 1]]=Transactions[[#This Row],[L3N]],Transactions[[#This Row],[L2N]],IF(Transactions[[#This Row],[Level 1]]=Transactions[[#This Row],[L4N]],Transactions[[#This Row],[L3N]],IF(Transactions[[#This Row],[Level 1]]=Transactions[[#This Row],[L5N]],Transactions[[#This Row],[L4N]],IF(Transactions[[#This Row],[Level 1]]=Transactions[[#This Row],[L6N]],Transactions[[#This Row],[L5N]],IF(Transactions[[#This Row],[Level 1]]=Transactions[[#This Row],[L7N]],Transactions[[#This Row],[L6N]],Transactions[[#This Row],[L7N]]))))))))</f>
        <v>Production, Autoproducers total</v>
      </c>
      <c r="AU210" s="24" t="str">
        <f>IF(Transactions[[#This Row],[Level 2]]=Transactions[[#This Row],[Transaction name]],Transactions[[#This Row],[Transaction name]],IF(Transactions[[#This Row],[Level 2]]=Transactions[[#This Row],[L1N]],Transactions[[#This Row],[Transaction name]],IF(Transactions[[#This Row],[Level 2]]=Transactions[[#This Row],[L2N]],Transactions[[#This Row],[L1N]],IF(Transactions[[#This Row],[Level 2]]=Transactions[[#This Row],[L3N]],Transactions[[#This Row],[L2N]],IF(Transactions[[#This Row],[Level 2]]=Transactions[[#This Row],[L4N]],Transactions[[#This Row],[L3N]],IF(Transactions[[#This Row],[Level 2]]=Transactions[[#This Row],[L5N]],Transactions[[#This Row],[L4N]],IF(Transactions[[#This Row],[Level 2]]=Transactions[[#This Row],[L6N]],Transactions[[#This Row],[L5N]],IF(Transactions[[#This Row],[Level 2]]=Transactions[[#This Row],[L7N]],Transactions[[#This Row],[L6N]],Transactions[[#This Row],[L7N]]))))))))</f>
        <v>Electricity, CHP and Heat plants - Autoproducer - shale</v>
      </c>
      <c r="AV210" s="24" t="str">
        <f>IF(Transactions[[#This Row],[Level 3]]=Transactions[[#This Row],[Transaction name]],Transactions[[#This Row],[Transaction name]],IF(Transactions[[#This Row],[Level 3]]=Transactions[[#This Row],[L1N]],Transactions[[#This Row],[Transaction name]],IF(Transactions[[#This Row],[Level 3]]=Transactions[[#This Row],[L2N]],Transactions[[#This Row],[L1N]],IF(Transactions[[#This Row],[Level 3]]=Transactions[[#This Row],[L3N]],Transactions[[#This Row],[L2N]],IF(Transactions[[#This Row],[Level 3]]=Transactions[[#This Row],[L4N]],Transactions[[#This Row],[L3N]],IF(Transactions[[#This Row],[Level 3]]=Transactions[[#This Row],[L5N]],Transactions[[#This Row],[L4N]],IF(Transactions[[#This Row],[Level 3]]=Transactions[[#This Row],[L6N]],Transactions[[#This Row],[L5N]],IF(Transactions[[#This Row],[Level 3]]=Transactions[[#This Row],[L7N]],Transactions[[#This Row],[L6N]],Transactions[[#This Row],[L7N]]))))))))</f>
        <v>Electricity, CHP and Heat plants - Autoproducer - shale</v>
      </c>
      <c r="AW210" s="24" t="str">
        <f>IF(Transactions[[#This Row],[Level 4]]=Transactions[[#This Row],[Transaction name]],Transactions[[#This Row],[Transaction name]],IF(Transactions[[#This Row],[Level 4]]=Transactions[[#This Row],[L1N]],Transactions[[#This Row],[Transaction name]],IF(Transactions[[#This Row],[Level 4]]=Transactions[[#This Row],[L2N]],Transactions[[#This Row],[L1N]],IF(Transactions[[#This Row],[Level 4]]=Transactions[[#This Row],[L3N]],Transactions[[#This Row],[L2N]],IF(Transactions[[#This Row],[Level 4]]=Transactions[[#This Row],[L4N]],Transactions[[#This Row],[L3N]],IF(Transactions[[#This Row],[Level 4]]=Transactions[[#This Row],[L5N]],Transactions[[#This Row],[L4N]],IF(Transactions[[#This Row],[Level 4]]=Transactions[[#This Row],[L6N]],Transactions[[#This Row],[L5N]],IF(Transactions[[#This Row],[Level 4]]=Transactions[[#This Row],[L7N]],Transactions[[#This Row],[L6N]],Transactions[[#This Row],[L7N]]))))))))</f>
        <v>Electricity, CHP and Heat plants - Autoproducer - shale</v>
      </c>
      <c r="AX210" s="24" t="str">
        <f>IF(Transactions[[#This Row],[Level 5]]=Transactions[[#This Row],[Transaction name]],Transactions[[#This Row],[Transaction name]],IF(Transactions[[#This Row],[Level 5]]=Transactions[[#This Row],[L1N]],Transactions[[#This Row],[Transaction name]],IF(Transactions[[#This Row],[Level 5]]=Transactions[[#This Row],[L2N]],Transactions[[#This Row],[L1N]],IF(Transactions[[#This Row],[Level 5]]=Transactions[[#This Row],[L3N]],Transactions[[#This Row],[L2N]],IF(Transactions[[#This Row],[Level 5]]=Transactions[[#This Row],[L4N]],Transactions[[#This Row],[L3N]],IF(Transactions[[#This Row],[Level 5]]=Transactions[[#This Row],[L5N]],Transactions[[#This Row],[L4N]],IF(Transactions[[#This Row],[Level 5]]=Transactions[[#This Row],[L6N]],Transactions[[#This Row],[L5N]],IF(Transactions[[#This Row],[Level 5]]=Transactions[[#This Row],[L7N]],Transactions[[#This Row],[L6N]],Transactions[[#This Row],[L7N]]))))))))</f>
        <v>Electricity, CHP and Heat plants - Autoproducer - shale</v>
      </c>
      <c r="AY210" s="24" t="str">
        <f>IF(Transactions[[#This Row],[Level 6]]=Transactions[[#This Row],[Transaction name]],Transactions[[#This Row],[Transaction name]],IF(Transactions[[#This Row],[Level 6]]=Transactions[[#This Row],[L1N]],Transactions[[#This Row],[Transaction name]],IF(Transactions[[#This Row],[Level 6]]=Transactions[[#This Row],[L2N]],Transactions[[#This Row],[L1N]],IF(Transactions[[#This Row],[Level 6]]=Transactions[[#This Row],[L3N]],Transactions[[#This Row],[L2N]],IF(Transactions[[#This Row],[Level 6]]=Transactions[[#This Row],[L4N]],Transactions[[#This Row],[L3N]],IF(Transactions[[#This Row],[Level 6]]=Transactions[[#This Row],[L5N]],Transactions[[#This Row],[L4N]],IF(Transactions[[#This Row],[Level 6]]=Transactions[[#This Row],[L6N]],Transactions[[#This Row],[L5N]],IF(Transactions[[#This Row],[Level 6]]=Transactions[[#This Row],[L7N]],Transactions[[#This Row],[L6N]],Transactions[[#This Row],[L7N]]))))))))</f>
        <v>Electricity, CHP and Heat plants - Autoproducer - shale</v>
      </c>
      <c r="BE210" s="26" t="str">
        <f>_xlfn.XLOOKUP(Transformation[[#This Row],[cfrom]],Commodities[Commodity],Commodities[Commodity code])</f>
        <v>0371</v>
      </c>
      <c r="BF210" s="26" t="str">
        <f>_xlfn.XLOOKUP(Transformation[[#This Row],[tfrom]],Transactions[Transaction name],Transactions[Transaction code])</f>
        <v>08832</v>
      </c>
      <c r="BG210" s="26" t="str">
        <f>_xlfn.XLOOKUP(Transformation[[#This Row],[cto]],Commodities[Commodity],Commodities[Commodity code])</f>
        <v>0371</v>
      </c>
      <c r="BH210" s="26" t="str">
        <f>_xlfn.XLOOKUP(Transformation[[#This Row],[tto]],Transactions[Transaction name],Transactions[Transaction code])</f>
        <v>016CGH</v>
      </c>
      <c r="BI210" s="11">
        <v>1</v>
      </c>
      <c r="BJ210" s="4" t="s">
        <v>476</v>
      </c>
      <c r="BK210" s="24" t="str">
        <f>_xlfn.XLOOKUP(Transformation[[#This Row],[Commodity from]],Commodities[Commodity code],Commodities[EnergyCode])</f>
        <v>BG</v>
      </c>
      <c r="BL210" s="4" t="s">
        <v>694</v>
      </c>
      <c r="BM210" s="4" t="s">
        <v>476</v>
      </c>
      <c r="BN210" s="24" t="str">
        <f>_xlfn.XLOOKUP(Transformation[[#This Row],[Commodity to]],Commodities[Commodity code],Commodities[EnergyCode])</f>
        <v>BG</v>
      </c>
      <c r="BO210" s="4" t="s">
        <v>1223</v>
      </c>
      <c r="BP210" s="16" t="s">
        <v>1493</v>
      </c>
      <c r="BQ210" s="33" t="str">
        <f>Transformation[[#This Row],[Commodity from]]&amp;Transformation[[#This Row],[Transaction from]]&amp;Transformation[[#This Row],[Commodity to]]&amp;Transformation[[#This Row],[Transaction to]]</f>
        <v>0371088320371016CGH</v>
      </c>
      <c r="BR210" s="26" t="str">
        <f>Transformation[[#This Row],[crfomid]]&amp;Transformation[[#This Row],[Transaction from]]&amp;"("&amp;Transformation[[#This Row],[Multiplier]]&amp;") -&gt; "&amp;Transformation[[#This Row],[ctoid]]&amp;Transformation[[#This Row],[Transaction to]]</f>
        <v>BG08832(1) -&gt; BG016CGH</v>
      </c>
    </row>
    <row r="211" spans="25:70" x14ac:dyDescent="0.45">
      <c r="Y211" s="5" t="s">
        <v>230</v>
      </c>
      <c r="Z211" s="4" t="s">
        <v>671</v>
      </c>
      <c r="AA211" s="4" t="s">
        <v>1328</v>
      </c>
      <c r="AB211" s="4" t="s">
        <v>2</v>
      </c>
      <c r="AC211" s="24" t="str">
        <f>IFERROR(VLOOKUP(Transactions[[#This Row],[Parent code]],Transactions[[Transaction code]:[Transaction name]],2,0),"")</f>
        <v>Production, Autoproducers total</v>
      </c>
      <c r="AD211" s="4" t="s">
        <v>189</v>
      </c>
      <c r="AE211" s="4" t="s">
        <v>959</v>
      </c>
      <c r="AF211" s="4" t="s">
        <v>642</v>
      </c>
      <c r="AG211" s="4" t="s">
        <v>1</v>
      </c>
      <c r="AH211" s="4" t="s">
        <v>696</v>
      </c>
      <c r="AJ211" s="4" t="s">
        <v>0</v>
      </c>
      <c r="AK211" s="24" t="str" cm="1">
        <f t="array" ref="AK211">IFERROR(INDEX(Transactions[[Transaction code]:[Transaction name]],_xlfn.XMATCH(Transactions[[#This Row],[Parent code]],Transactions[Transaction name],0),3),Transactions[[#This Row],[Transaction name]])</f>
        <v>Electricity, CHP and Heat plants - Autoproducer - Solar</v>
      </c>
      <c r="AL211" s="24" t="str" cm="1">
        <f t="array" ref="AL211">IFERROR(INDEX(Transactions[[Transaction code]:[Transaction name]],_xlfn.XMATCH(INDEX(Transactions[[Transaction name]:[Parent code]],_xlfn.XMATCH(Transactions[[#This Row],[L1N]],Transactions[Transaction name],0),3),Transactions[Transaction code],0),2),Transactions[[#This Row],[L1N]])</f>
        <v>Production, Autoproducers total</v>
      </c>
      <c r="AM211" s="24" t="str" cm="1">
        <f t="array" ref="AM211">IFERROR(INDEX(Transactions[[Transaction code]:[Transaction name]],_xlfn.XMATCH(INDEX(Transactions[[Transaction name]:[Parent code]],_xlfn.XMATCH(Transactions[[#This Row],[L2N]],Transactions[Transaction name],0),3),Transactions[Transaction code],0),2),Transactions[[#This Row],[L2N]])</f>
        <v>Production</v>
      </c>
      <c r="AN211" s="24" t="str" cm="1">
        <f t="array" ref="AN211">IFERROR(INDEX(Transactions[[Transaction code]:[Transaction name]],_xlfn.XMATCH(INDEX(Transactions[[Transaction name]:[Parent code]],_xlfn.XMATCH(Transactions[[#This Row],[L3N]],Transactions[Transaction name],0),3),Transactions[Transaction code],0),2),Transactions[[#This Row],[L3N]])</f>
        <v>Total energy supply</v>
      </c>
      <c r="AO211" s="24" t="str" cm="1">
        <f t="array" ref="AO211">IFERROR(INDEX(Transactions[[Transaction code]:[Transaction name]],_xlfn.XMATCH(INDEX(Transactions[[Transaction name]:[Parent code]],_xlfn.XMATCH(Transactions[[#This Row],[L4N]],Transactions[Transaction name],0),3),Transactions[Transaction code],0),2),Transactions[[#This Row],[L4N]])</f>
        <v>Total energy supply</v>
      </c>
      <c r="AP211" s="24" t="str" cm="1">
        <f t="array" ref="AP211">IFERROR(INDEX(Transactions[[Transaction code]:[Transaction name]],_xlfn.XMATCH(INDEX(Transactions[[Transaction name]:[Parent code]],_xlfn.XMATCH(Transactions[[#This Row],[L5N]],Transactions[Transaction name],0),3),Transactions[Transaction code],0),2),Transactions[[#This Row],[L5N]])</f>
        <v>Total energy supply</v>
      </c>
      <c r="AQ211" s="24" t="str" cm="1">
        <f t="array" ref="AQ211">IFERROR(INDEX(Transactions[[Transaction code]:[Transaction name]],_xlfn.XMATCH(INDEX(Transactions[[Transaction name]:[Parent code]],_xlfn.XMATCH(Transactions[[#This Row],[L6N]],Transactions[Transaction name],0),3),Transactions[Transaction code],0),2),Transactions[[#This Row],[L6N]])</f>
        <v>Total energy supply</v>
      </c>
      <c r="AR211" s="28" t="str">
        <f>IF(Transactions[[#This Row],[L7N]]=Transactions[[#This Row],[L6N]],Transactions[[#This Row],[L7N]],IF(Transactions[[#This Row],[L6N]]=Transactions[[#This Row],[L5N]],Transactions[[#This Row],[L6N]],IF(Transactions[[#This Row],[L5N]]=Transactions[[#This Row],[L4N]],Transactions[[#This Row],[L5N]],IF(Transactions[[#This Row],[L4N]]=Transactions[[#This Row],[L3N]],Transactions[[#This Row],[L4N]],IF(Transactions[[#This Row],[L3N]]=Transactions[[#This Row],[L2N]],Transactions[[#This Row],[L3N]],IF(Transactions[[#This Row],[L2N]]=Transactions[[#This Row],[L1N]],Transactions[[#This Row],[L2N]],IF(Transactions[[#This Row],[L1N]]=Transactions[[#This Row],[Transaction name]],Transactions[[#This Row],[L1N]],Transactions[[#This Row],[Transaction name]])))))))</f>
        <v>Total energy supply</v>
      </c>
      <c r="AS211" s="24" t="str">
        <f>IF(Transactions[[#This Row],[Level 0]]=Transactions[[#This Row],[Transaction name]],Transactions[[#This Row],[Transaction name]],IF(Transactions[[#This Row],[Level 0]]=Transactions[[#This Row],[L1N]],Transactions[[#This Row],[Transaction name]],IF(Transactions[[#This Row],[Level 0]]=Transactions[[#This Row],[L2N]],Transactions[[#This Row],[L1N]],IF(Transactions[[#This Row],[Level 0]]=Transactions[[#This Row],[L3N]],Transactions[[#This Row],[L2N]],IF(Transactions[[#This Row],[Level 0]]=Transactions[[#This Row],[L4N]],Transactions[[#This Row],[L3N]],IF(Transactions[[#This Row],[Level 0]]=Transactions[[#This Row],[L5N]],Transactions[[#This Row],[L4N]],IF(Transactions[[#This Row],[Level 0]]=Transactions[[#This Row],[L6N]],Transactions[[#This Row],[L5N]],IF(Transactions[[#This Row],[Level 0]]=Transactions[[#This Row],[L7N]],Transactions[[#This Row],[L6N]],Transactions[[#This Row],[L7N]]))))))))</f>
        <v>Production</v>
      </c>
      <c r="AT211" s="24" t="str">
        <f>IF(Transactions[[#This Row],[Level 1]]=Transactions[[#This Row],[Transaction name]],Transactions[[#This Row],[Transaction name]],IF(Transactions[[#This Row],[Level 1]]=Transactions[[#This Row],[L1N]],Transactions[[#This Row],[Transaction name]],IF(Transactions[[#This Row],[Level 1]]=Transactions[[#This Row],[L2N]],Transactions[[#This Row],[L1N]],IF(Transactions[[#This Row],[Level 1]]=Transactions[[#This Row],[L3N]],Transactions[[#This Row],[L2N]],IF(Transactions[[#This Row],[Level 1]]=Transactions[[#This Row],[L4N]],Transactions[[#This Row],[L3N]],IF(Transactions[[#This Row],[Level 1]]=Transactions[[#This Row],[L5N]],Transactions[[#This Row],[L4N]],IF(Transactions[[#This Row],[Level 1]]=Transactions[[#This Row],[L6N]],Transactions[[#This Row],[L5N]],IF(Transactions[[#This Row],[Level 1]]=Transactions[[#This Row],[L7N]],Transactions[[#This Row],[L6N]],Transactions[[#This Row],[L7N]]))))))))</f>
        <v>Production, Autoproducers total</v>
      </c>
      <c r="AU211" s="24" t="str">
        <f>IF(Transactions[[#This Row],[Level 2]]=Transactions[[#This Row],[Transaction name]],Transactions[[#This Row],[Transaction name]],IF(Transactions[[#This Row],[Level 2]]=Transactions[[#This Row],[L1N]],Transactions[[#This Row],[Transaction name]],IF(Transactions[[#This Row],[Level 2]]=Transactions[[#This Row],[L2N]],Transactions[[#This Row],[L1N]],IF(Transactions[[#This Row],[Level 2]]=Transactions[[#This Row],[L3N]],Transactions[[#This Row],[L2N]],IF(Transactions[[#This Row],[Level 2]]=Transactions[[#This Row],[L4N]],Transactions[[#This Row],[L3N]],IF(Transactions[[#This Row],[Level 2]]=Transactions[[#This Row],[L5N]],Transactions[[#This Row],[L4N]],IF(Transactions[[#This Row],[Level 2]]=Transactions[[#This Row],[L6N]],Transactions[[#This Row],[L5N]],IF(Transactions[[#This Row],[Level 2]]=Transactions[[#This Row],[L7N]],Transactions[[#This Row],[L6N]],Transactions[[#This Row],[L7N]]))))))))</f>
        <v>Electricity, CHP and Heat plants - Autoproducer - Solar</v>
      </c>
      <c r="AV211" s="24" t="str">
        <f>IF(Transactions[[#This Row],[Level 3]]=Transactions[[#This Row],[Transaction name]],Transactions[[#This Row],[Transaction name]],IF(Transactions[[#This Row],[Level 3]]=Transactions[[#This Row],[L1N]],Transactions[[#This Row],[Transaction name]],IF(Transactions[[#This Row],[Level 3]]=Transactions[[#This Row],[L2N]],Transactions[[#This Row],[L1N]],IF(Transactions[[#This Row],[Level 3]]=Transactions[[#This Row],[L3N]],Transactions[[#This Row],[L2N]],IF(Transactions[[#This Row],[Level 3]]=Transactions[[#This Row],[L4N]],Transactions[[#This Row],[L3N]],IF(Transactions[[#This Row],[Level 3]]=Transactions[[#This Row],[L5N]],Transactions[[#This Row],[L4N]],IF(Transactions[[#This Row],[Level 3]]=Transactions[[#This Row],[L6N]],Transactions[[#This Row],[L5N]],IF(Transactions[[#This Row],[Level 3]]=Transactions[[#This Row],[L7N]],Transactions[[#This Row],[L6N]],Transactions[[#This Row],[L7N]]))))))))</f>
        <v>Electricity, CHP and Heat plants - Autoproducer - Solar</v>
      </c>
      <c r="AW211" s="24" t="str">
        <f>IF(Transactions[[#This Row],[Level 4]]=Transactions[[#This Row],[Transaction name]],Transactions[[#This Row],[Transaction name]],IF(Transactions[[#This Row],[Level 4]]=Transactions[[#This Row],[L1N]],Transactions[[#This Row],[Transaction name]],IF(Transactions[[#This Row],[Level 4]]=Transactions[[#This Row],[L2N]],Transactions[[#This Row],[L1N]],IF(Transactions[[#This Row],[Level 4]]=Transactions[[#This Row],[L3N]],Transactions[[#This Row],[L2N]],IF(Transactions[[#This Row],[Level 4]]=Transactions[[#This Row],[L4N]],Transactions[[#This Row],[L3N]],IF(Transactions[[#This Row],[Level 4]]=Transactions[[#This Row],[L5N]],Transactions[[#This Row],[L4N]],IF(Transactions[[#This Row],[Level 4]]=Transactions[[#This Row],[L6N]],Transactions[[#This Row],[L5N]],IF(Transactions[[#This Row],[Level 4]]=Transactions[[#This Row],[L7N]],Transactions[[#This Row],[L6N]],Transactions[[#This Row],[L7N]]))))))))</f>
        <v>Electricity, CHP and Heat plants - Autoproducer - Solar</v>
      </c>
      <c r="AX211" s="24" t="str">
        <f>IF(Transactions[[#This Row],[Level 5]]=Transactions[[#This Row],[Transaction name]],Transactions[[#This Row],[Transaction name]],IF(Transactions[[#This Row],[Level 5]]=Transactions[[#This Row],[L1N]],Transactions[[#This Row],[Transaction name]],IF(Transactions[[#This Row],[Level 5]]=Transactions[[#This Row],[L2N]],Transactions[[#This Row],[L1N]],IF(Transactions[[#This Row],[Level 5]]=Transactions[[#This Row],[L3N]],Transactions[[#This Row],[L2N]],IF(Transactions[[#This Row],[Level 5]]=Transactions[[#This Row],[L4N]],Transactions[[#This Row],[L3N]],IF(Transactions[[#This Row],[Level 5]]=Transactions[[#This Row],[L5N]],Transactions[[#This Row],[L4N]],IF(Transactions[[#This Row],[Level 5]]=Transactions[[#This Row],[L6N]],Transactions[[#This Row],[L5N]],IF(Transactions[[#This Row],[Level 5]]=Transactions[[#This Row],[L7N]],Transactions[[#This Row],[L6N]],Transactions[[#This Row],[L7N]]))))))))</f>
        <v>Electricity, CHP and Heat plants - Autoproducer - Solar</v>
      </c>
      <c r="AY211" s="24" t="str">
        <f>IF(Transactions[[#This Row],[Level 6]]=Transactions[[#This Row],[Transaction name]],Transactions[[#This Row],[Transaction name]],IF(Transactions[[#This Row],[Level 6]]=Transactions[[#This Row],[L1N]],Transactions[[#This Row],[Transaction name]],IF(Transactions[[#This Row],[Level 6]]=Transactions[[#This Row],[L2N]],Transactions[[#This Row],[L1N]],IF(Transactions[[#This Row],[Level 6]]=Transactions[[#This Row],[L3N]],Transactions[[#This Row],[L2N]],IF(Transactions[[#This Row],[Level 6]]=Transactions[[#This Row],[L4N]],Transactions[[#This Row],[L3N]],IF(Transactions[[#This Row],[Level 6]]=Transactions[[#This Row],[L5N]],Transactions[[#This Row],[L4N]],IF(Transactions[[#This Row],[Level 6]]=Transactions[[#This Row],[L6N]],Transactions[[#This Row],[L5N]],IF(Transactions[[#This Row],[Level 6]]=Transactions[[#This Row],[L7N]],Transactions[[#This Row],[L6N]],Transactions[[#This Row],[L7N]]))))))))</f>
        <v>Electricity, CHP and Heat plants - Autoproducer - Solar</v>
      </c>
      <c r="BE211" s="26" t="str">
        <f>_xlfn.XLOOKUP(Transformation[[#This Row],[cfrom]],Commodities[Commodity],Commodities[Commodity code])</f>
        <v>5300</v>
      </c>
      <c r="BF211" s="26" t="str">
        <f>_xlfn.XLOOKUP(Transformation[[#This Row],[tfrom]],Transactions[Transaction name],Transactions[Transaction code])</f>
        <v>08832</v>
      </c>
      <c r="BG211" s="26" t="str">
        <f>_xlfn.XLOOKUP(Transformation[[#This Row],[cto]],Commodities[Commodity],Commodities[Commodity code])</f>
        <v>5300</v>
      </c>
      <c r="BH211" s="26" t="str">
        <f>_xlfn.XLOOKUP(Transformation[[#This Row],[tto]],Transactions[Transaction name],Transactions[Transaction code])</f>
        <v>016BGH</v>
      </c>
      <c r="BI211" s="11">
        <v>1</v>
      </c>
      <c r="BJ211" s="4" t="s">
        <v>298</v>
      </c>
      <c r="BK211" s="24" t="str">
        <f>_xlfn.XLOOKUP(Transformation[[#This Row],[Commodity from]],Commodities[Commodity code],Commodities[EnergyCode])</f>
        <v>BI</v>
      </c>
      <c r="BL211" s="4" t="s">
        <v>694</v>
      </c>
      <c r="BM211" s="4" t="s">
        <v>298</v>
      </c>
      <c r="BN211" s="24" t="str">
        <f>_xlfn.XLOOKUP(Transformation[[#This Row],[Commodity to]],Commodities[Commodity code],Commodities[EnergyCode])</f>
        <v>BI</v>
      </c>
      <c r="BO211" s="4" t="s">
        <v>1072</v>
      </c>
      <c r="BP211" s="16" t="s">
        <v>1493</v>
      </c>
      <c r="BQ211" s="33" t="str">
        <f>Transformation[[#This Row],[Commodity from]]&amp;Transformation[[#This Row],[Transaction from]]&amp;Transformation[[#This Row],[Commodity to]]&amp;Transformation[[#This Row],[Transaction to]]</f>
        <v>5300088325300016BGH</v>
      </c>
      <c r="BR211" s="26" t="str">
        <f>Transformation[[#This Row],[crfomid]]&amp;Transformation[[#This Row],[Transaction from]]&amp;"("&amp;Transformation[[#This Row],[Multiplier]]&amp;") -&gt; "&amp;Transformation[[#This Row],[ctoid]]&amp;Transformation[[#This Row],[Transaction to]]</f>
        <v>BI08832(1) -&gt; BI016BGH</v>
      </c>
    </row>
    <row r="212" spans="25:70" x14ac:dyDescent="0.45">
      <c r="Y212" s="5" t="s">
        <v>1306</v>
      </c>
      <c r="Z212" s="4" t="s">
        <v>1301</v>
      </c>
      <c r="AA212" s="4" t="s">
        <v>1406</v>
      </c>
      <c r="AB212" s="4" t="s">
        <v>2</v>
      </c>
      <c r="AC212" s="24" t="str">
        <f>IFERROR(VLOOKUP(Transactions[[#This Row],[Parent code]],Transactions[[Transaction code]:[Transaction name]],2,0),"")</f>
        <v>Production, Autoproducers total</v>
      </c>
      <c r="AD212" s="4" t="s">
        <v>189</v>
      </c>
      <c r="AE212" s="4" t="s">
        <v>959</v>
      </c>
      <c r="AF212" s="4" t="s">
        <v>642</v>
      </c>
      <c r="AG212" s="4" t="s">
        <v>1</v>
      </c>
      <c r="AH212" s="4" t="s">
        <v>696</v>
      </c>
      <c r="AJ212" s="4" t="s">
        <v>0</v>
      </c>
      <c r="AK212" s="24" t="str" cm="1">
        <f t="array" ref="AK212">IFERROR(INDEX(Transactions[[Transaction code]:[Transaction name]],_xlfn.XMATCH(Transactions[[#This Row],[Parent code]],Transactions[Transaction name],0),3),Transactions[[#This Row],[Transaction name]])</f>
        <v>Electricity, CHP and Heat plants - Autoproducer - Solar CSP</v>
      </c>
      <c r="AL212" s="24" t="str" cm="1">
        <f t="array" ref="AL212">IFERROR(INDEX(Transactions[[Transaction code]:[Transaction name]],_xlfn.XMATCH(INDEX(Transactions[[Transaction name]:[Parent code]],_xlfn.XMATCH(Transactions[[#This Row],[L1N]],Transactions[Transaction name],0),3),Transactions[Transaction code],0),2),Transactions[[#This Row],[L1N]])</f>
        <v>Production, Autoproducers total</v>
      </c>
      <c r="AM212" s="24" t="str" cm="1">
        <f t="array" ref="AM212">IFERROR(INDEX(Transactions[[Transaction code]:[Transaction name]],_xlfn.XMATCH(INDEX(Transactions[[Transaction name]:[Parent code]],_xlfn.XMATCH(Transactions[[#This Row],[L2N]],Transactions[Transaction name],0),3),Transactions[Transaction code],0),2),Transactions[[#This Row],[L2N]])</f>
        <v>Production</v>
      </c>
      <c r="AN212" s="24" t="str" cm="1">
        <f t="array" ref="AN212">IFERROR(INDEX(Transactions[[Transaction code]:[Transaction name]],_xlfn.XMATCH(INDEX(Transactions[[Transaction name]:[Parent code]],_xlfn.XMATCH(Transactions[[#This Row],[L3N]],Transactions[Transaction name],0),3),Transactions[Transaction code],0),2),Transactions[[#This Row],[L3N]])</f>
        <v>Total energy supply</v>
      </c>
      <c r="AO212" s="24" t="str" cm="1">
        <f t="array" ref="AO212">IFERROR(INDEX(Transactions[[Transaction code]:[Transaction name]],_xlfn.XMATCH(INDEX(Transactions[[Transaction name]:[Parent code]],_xlfn.XMATCH(Transactions[[#This Row],[L4N]],Transactions[Transaction name],0),3),Transactions[Transaction code],0),2),Transactions[[#This Row],[L4N]])</f>
        <v>Total energy supply</v>
      </c>
      <c r="AP212" s="24" t="str" cm="1">
        <f t="array" ref="AP212">IFERROR(INDEX(Transactions[[Transaction code]:[Transaction name]],_xlfn.XMATCH(INDEX(Transactions[[Transaction name]:[Parent code]],_xlfn.XMATCH(Transactions[[#This Row],[L5N]],Transactions[Transaction name],0),3),Transactions[Transaction code],0),2),Transactions[[#This Row],[L5N]])</f>
        <v>Total energy supply</v>
      </c>
      <c r="AQ212" s="24" t="str" cm="1">
        <f t="array" ref="AQ212">IFERROR(INDEX(Transactions[[Transaction code]:[Transaction name]],_xlfn.XMATCH(INDEX(Transactions[[Transaction name]:[Parent code]],_xlfn.XMATCH(Transactions[[#This Row],[L6N]],Transactions[Transaction name],0),3),Transactions[Transaction code],0),2),Transactions[[#This Row],[L6N]])</f>
        <v>Total energy supply</v>
      </c>
      <c r="AR212" s="28" t="str">
        <f>IF(Transactions[[#This Row],[L7N]]=Transactions[[#This Row],[L6N]],Transactions[[#This Row],[L7N]],IF(Transactions[[#This Row],[L6N]]=Transactions[[#This Row],[L5N]],Transactions[[#This Row],[L6N]],IF(Transactions[[#This Row],[L5N]]=Transactions[[#This Row],[L4N]],Transactions[[#This Row],[L5N]],IF(Transactions[[#This Row],[L4N]]=Transactions[[#This Row],[L3N]],Transactions[[#This Row],[L4N]],IF(Transactions[[#This Row],[L3N]]=Transactions[[#This Row],[L2N]],Transactions[[#This Row],[L3N]],IF(Transactions[[#This Row],[L2N]]=Transactions[[#This Row],[L1N]],Transactions[[#This Row],[L2N]],IF(Transactions[[#This Row],[L1N]]=Transactions[[#This Row],[Transaction name]],Transactions[[#This Row],[L1N]],Transactions[[#This Row],[Transaction name]])))))))</f>
        <v>Total energy supply</v>
      </c>
      <c r="AS212" s="24" t="str">
        <f>IF(Transactions[[#This Row],[Level 0]]=Transactions[[#This Row],[Transaction name]],Transactions[[#This Row],[Transaction name]],IF(Transactions[[#This Row],[Level 0]]=Transactions[[#This Row],[L1N]],Transactions[[#This Row],[Transaction name]],IF(Transactions[[#This Row],[Level 0]]=Transactions[[#This Row],[L2N]],Transactions[[#This Row],[L1N]],IF(Transactions[[#This Row],[Level 0]]=Transactions[[#This Row],[L3N]],Transactions[[#This Row],[L2N]],IF(Transactions[[#This Row],[Level 0]]=Transactions[[#This Row],[L4N]],Transactions[[#This Row],[L3N]],IF(Transactions[[#This Row],[Level 0]]=Transactions[[#This Row],[L5N]],Transactions[[#This Row],[L4N]],IF(Transactions[[#This Row],[Level 0]]=Transactions[[#This Row],[L6N]],Transactions[[#This Row],[L5N]],IF(Transactions[[#This Row],[Level 0]]=Transactions[[#This Row],[L7N]],Transactions[[#This Row],[L6N]],Transactions[[#This Row],[L7N]]))))))))</f>
        <v>Production</v>
      </c>
      <c r="AT212" s="24" t="str">
        <f>IF(Transactions[[#This Row],[Level 1]]=Transactions[[#This Row],[Transaction name]],Transactions[[#This Row],[Transaction name]],IF(Transactions[[#This Row],[Level 1]]=Transactions[[#This Row],[L1N]],Transactions[[#This Row],[Transaction name]],IF(Transactions[[#This Row],[Level 1]]=Transactions[[#This Row],[L2N]],Transactions[[#This Row],[L1N]],IF(Transactions[[#This Row],[Level 1]]=Transactions[[#This Row],[L3N]],Transactions[[#This Row],[L2N]],IF(Transactions[[#This Row],[Level 1]]=Transactions[[#This Row],[L4N]],Transactions[[#This Row],[L3N]],IF(Transactions[[#This Row],[Level 1]]=Transactions[[#This Row],[L5N]],Transactions[[#This Row],[L4N]],IF(Transactions[[#This Row],[Level 1]]=Transactions[[#This Row],[L6N]],Transactions[[#This Row],[L5N]],IF(Transactions[[#This Row],[Level 1]]=Transactions[[#This Row],[L7N]],Transactions[[#This Row],[L6N]],Transactions[[#This Row],[L7N]]))))))))</f>
        <v>Production, Autoproducers total</v>
      </c>
      <c r="AU212" s="24" t="str">
        <f>IF(Transactions[[#This Row],[Level 2]]=Transactions[[#This Row],[Transaction name]],Transactions[[#This Row],[Transaction name]],IF(Transactions[[#This Row],[Level 2]]=Transactions[[#This Row],[L1N]],Transactions[[#This Row],[Transaction name]],IF(Transactions[[#This Row],[Level 2]]=Transactions[[#This Row],[L2N]],Transactions[[#This Row],[L1N]],IF(Transactions[[#This Row],[Level 2]]=Transactions[[#This Row],[L3N]],Transactions[[#This Row],[L2N]],IF(Transactions[[#This Row],[Level 2]]=Transactions[[#This Row],[L4N]],Transactions[[#This Row],[L3N]],IF(Transactions[[#This Row],[Level 2]]=Transactions[[#This Row],[L5N]],Transactions[[#This Row],[L4N]],IF(Transactions[[#This Row],[Level 2]]=Transactions[[#This Row],[L6N]],Transactions[[#This Row],[L5N]],IF(Transactions[[#This Row],[Level 2]]=Transactions[[#This Row],[L7N]],Transactions[[#This Row],[L6N]],Transactions[[#This Row],[L7N]]))))))))</f>
        <v>Electricity, CHP and Heat plants - Autoproducer - Solar CSP</v>
      </c>
      <c r="AV212" s="24" t="str">
        <f>IF(Transactions[[#This Row],[Level 3]]=Transactions[[#This Row],[Transaction name]],Transactions[[#This Row],[Transaction name]],IF(Transactions[[#This Row],[Level 3]]=Transactions[[#This Row],[L1N]],Transactions[[#This Row],[Transaction name]],IF(Transactions[[#This Row],[Level 3]]=Transactions[[#This Row],[L2N]],Transactions[[#This Row],[L1N]],IF(Transactions[[#This Row],[Level 3]]=Transactions[[#This Row],[L3N]],Transactions[[#This Row],[L2N]],IF(Transactions[[#This Row],[Level 3]]=Transactions[[#This Row],[L4N]],Transactions[[#This Row],[L3N]],IF(Transactions[[#This Row],[Level 3]]=Transactions[[#This Row],[L5N]],Transactions[[#This Row],[L4N]],IF(Transactions[[#This Row],[Level 3]]=Transactions[[#This Row],[L6N]],Transactions[[#This Row],[L5N]],IF(Transactions[[#This Row],[Level 3]]=Transactions[[#This Row],[L7N]],Transactions[[#This Row],[L6N]],Transactions[[#This Row],[L7N]]))))))))</f>
        <v>Electricity, CHP and Heat plants - Autoproducer - Solar CSP</v>
      </c>
      <c r="AW212" s="24" t="str">
        <f>IF(Transactions[[#This Row],[Level 4]]=Transactions[[#This Row],[Transaction name]],Transactions[[#This Row],[Transaction name]],IF(Transactions[[#This Row],[Level 4]]=Transactions[[#This Row],[L1N]],Transactions[[#This Row],[Transaction name]],IF(Transactions[[#This Row],[Level 4]]=Transactions[[#This Row],[L2N]],Transactions[[#This Row],[L1N]],IF(Transactions[[#This Row],[Level 4]]=Transactions[[#This Row],[L3N]],Transactions[[#This Row],[L2N]],IF(Transactions[[#This Row],[Level 4]]=Transactions[[#This Row],[L4N]],Transactions[[#This Row],[L3N]],IF(Transactions[[#This Row],[Level 4]]=Transactions[[#This Row],[L5N]],Transactions[[#This Row],[L4N]],IF(Transactions[[#This Row],[Level 4]]=Transactions[[#This Row],[L6N]],Transactions[[#This Row],[L5N]],IF(Transactions[[#This Row],[Level 4]]=Transactions[[#This Row],[L7N]],Transactions[[#This Row],[L6N]],Transactions[[#This Row],[L7N]]))))))))</f>
        <v>Electricity, CHP and Heat plants - Autoproducer - Solar CSP</v>
      </c>
      <c r="AX212" s="24" t="str">
        <f>IF(Transactions[[#This Row],[Level 5]]=Transactions[[#This Row],[Transaction name]],Transactions[[#This Row],[Transaction name]],IF(Transactions[[#This Row],[Level 5]]=Transactions[[#This Row],[L1N]],Transactions[[#This Row],[Transaction name]],IF(Transactions[[#This Row],[Level 5]]=Transactions[[#This Row],[L2N]],Transactions[[#This Row],[L1N]],IF(Transactions[[#This Row],[Level 5]]=Transactions[[#This Row],[L3N]],Transactions[[#This Row],[L2N]],IF(Transactions[[#This Row],[Level 5]]=Transactions[[#This Row],[L4N]],Transactions[[#This Row],[L3N]],IF(Transactions[[#This Row],[Level 5]]=Transactions[[#This Row],[L5N]],Transactions[[#This Row],[L4N]],IF(Transactions[[#This Row],[Level 5]]=Transactions[[#This Row],[L6N]],Transactions[[#This Row],[L5N]],IF(Transactions[[#This Row],[Level 5]]=Transactions[[#This Row],[L7N]],Transactions[[#This Row],[L6N]],Transactions[[#This Row],[L7N]]))))))))</f>
        <v>Electricity, CHP and Heat plants - Autoproducer - Solar CSP</v>
      </c>
      <c r="AY212" s="24" t="str">
        <f>IF(Transactions[[#This Row],[Level 6]]=Transactions[[#This Row],[Transaction name]],Transactions[[#This Row],[Transaction name]],IF(Transactions[[#This Row],[Level 6]]=Transactions[[#This Row],[L1N]],Transactions[[#This Row],[Transaction name]],IF(Transactions[[#This Row],[Level 6]]=Transactions[[#This Row],[L2N]],Transactions[[#This Row],[L1N]],IF(Transactions[[#This Row],[Level 6]]=Transactions[[#This Row],[L3N]],Transactions[[#This Row],[L2N]],IF(Transactions[[#This Row],[Level 6]]=Transactions[[#This Row],[L4N]],Transactions[[#This Row],[L3N]],IF(Transactions[[#This Row],[Level 6]]=Transactions[[#This Row],[L5N]],Transactions[[#This Row],[L4N]],IF(Transactions[[#This Row],[Level 6]]=Transactions[[#This Row],[L6N]],Transactions[[#This Row],[L5N]],IF(Transactions[[#This Row],[Level 6]]=Transactions[[#This Row],[L7N]],Transactions[[#This Row],[L6N]],Transactions[[#This Row],[L7N]]))))))))</f>
        <v>Electricity, CHP and Heat plants - Autoproducer - Solar CSP</v>
      </c>
      <c r="BE212" s="26" t="str">
        <f>_xlfn.XLOOKUP(Transformation[[#This Row],[cfrom]],Commodities[Commodity],Commodities[Commodity code])</f>
        <v>0379</v>
      </c>
      <c r="BF212" s="26" t="str">
        <f>_xlfn.XLOOKUP(Transformation[[#This Row],[tfrom]],Transactions[Transaction name],Transactions[Transaction code])</f>
        <v>08832</v>
      </c>
      <c r="BG212" s="26" t="str">
        <f>_xlfn.XLOOKUP(Transformation[[#This Row],[cto]],Commodities[Commodity],Commodities[Commodity code])</f>
        <v>0379</v>
      </c>
      <c r="BH212" s="26" t="str">
        <f>_xlfn.XLOOKUP(Transformation[[#This Row],[tto]],Transactions[Transaction name],Transactions[Transaction code])</f>
        <v>016CGH</v>
      </c>
      <c r="BI212" s="11">
        <v>1</v>
      </c>
      <c r="BJ212" s="4" t="s">
        <v>472</v>
      </c>
      <c r="BK212" s="24" t="str">
        <f>_xlfn.XLOOKUP(Transformation[[#This Row],[Commodity from]],Commodities[Commodity code],Commodities[EnergyCode])</f>
        <v>BO</v>
      </c>
      <c r="BL212" s="4" t="s">
        <v>694</v>
      </c>
      <c r="BM212" s="4" t="s">
        <v>472</v>
      </c>
      <c r="BN212" s="24" t="str">
        <f>_xlfn.XLOOKUP(Transformation[[#This Row],[Commodity to]],Commodities[Commodity code],Commodities[EnergyCode])</f>
        <v>BO</v>
      </c>
      <c r="BO212" s="4" t="s">
        <v>1223</v>
      </c>
      <c r="BP212" s="16" t="s">
        <v>1493</v>
      </c>
      <c r="BQ212" s="33" t="str">
        <f>Transformation[[#This Row],[Commodity from]]&amp;Transformation[[#This Row],[Transaction from]]&amp;Transformation[[#This Row],[Commodity to]]&amp;Transformation[[#This Row],[Transaction to]]</f>
        <v>0379088320379016CGH</v>
      </c>
      <c r="BR212" s="26" t="str">
        <f>Transformation[[#This Row],[crfomid]]&amp;Transformation[[#This Row],[Transaction from]]&amp;"("&amp;Transformation[[#This Row],[Multiplier]]&amp;") -&gt; "&amp;Transformation[[#This Row],[ctoid]]&amp;Transformation[[#This Row],[Transaction to]]</f>
        <v>BO08832(1) -&gt; BO016CGH</v>
      </c>
    </row>
    <row r="213" spans="25:70" x14ac:dyDescent="0.45">
      <c r="Y213" s="5" t="s">
        <v>1273</v>
      </c>
      <c r="Z213" s="4" t="s">
        <v>1212</v>
      </c>
      <c r="AA213" s="4" t="s">
        <v>1394</v>
      </c>
      <c r="AB213" s="4" t="s">
        <v>2</v>
      </c>
      <c r="AC213" s="24" t="str">
        <f>IFERROR(VLOOKUP(Transactions[[#This Row],[Parent code]],Transactions[[Transaction code]:[Transaction name]],2,0),"")</f>
        <v>Production, Autoproducers total</v>
      </c>
      <c r="AD213" s="4" t="s">
        <v>189</v>
      </c>
      <c r="AE213" s="4" t="s">
        <v>959</v>
      </c>
      <c r="AF213" s="4" t="s">
        <v>642</v>
      </c>
      <c r="AG213" s="4" t="s">
        <v>1</v>
      </c>
      <c r="AH213" s="4" t="s">
        <v>696</v>
      </c>
      <c r="AI213" s="12" t="s">
        <v>1416</v>
      </c>
      <c r="AJ213" s="4" t="s">
        <v>0</v>
      </c>
      <c r="AK213" s="24" t="str" cm="1">
        <f t="array" ref="AK213">IFERROR(INDEX(Transactions[[Transaction code]:[Transaction name]],_xlfn.XMATCH(Transactions[[#This Row],[Parent code]],Transactions[Transaction name],0),3),Transactions[[#This Row],[Transaction name]])</f>
        <v>Electricity, CHP and Heat plants - Autoproducer - solid coal products</v>
      </c>
      <c r="AL213" s="24" t="str" cm="1">
        <f t="array" ref="AL213">IFERROR(INDEX(Transactions[[Transaction code]:[Transaction name]],_xlfn.XMATCH(INDEX(Transactions[[Transaction name]:[Parent code]],_xlfn.XMATCH(Transactions[[#This Row],[L1N]],Transactions[Transaction name],0),3),Transactions[Transaction code],0),2),Transactions[[#This Row],[L1N]])</f>
        <v>Production, Autoproducers total</v>
      </c>
      <c r="AM213" s="24" t="str" cm="1">
        <f t="array" ref="AM213">IFERROR(INDEX(Transactions[[Transaction code]:[Transaction name]],_xlfn.XMATCH(INDEX(Transactions[[Transaction name]:[Parent code]],_xlfn.XMATCH(Transactions[[#This Row],[L2N]],Transactions[Transaction name],0),3),Transactions[Transaction code],0),2),Transactions[[#This Row],[L2N]])</f>
        <v>Production</v>
      </c>
      <c r="AN213" s="24" t="str" cm="1">
        <f t="array" ref="AN213">IFERROR(INDEX(Transactions[[Transaction code]:[Transaction name]],_xlfn.XMATCH(INDEX(Transactions[[Transaction name]:[Parent code]],_xlfn.XMATCH(Transactions[[#This Row],[L3N]],Transactions[Transaction name],0),3),Transactions[Transaction code],0),2),Transactions[[#This Row],[L3N]])</f>
        <v>Total energy supply</v>
      </c>
      <c r="AO213" s="24" t="str" cm="1">
        <f t="array" ref="AO213">IFERROR(INDEX(Transactions[[Transaction code]:[Transaction name]],_xlfn.XMATCH(INDEX(Transactions[[Transaction name]:[Parent code]],_xlfn.XMATCH(Transactions[[#This Row],[L4N]],Transactions[Transaction name],0),3),Transactions[Transaction code],0),2),Transactions[[#This Row],[L4N]])</f>
        <v>Total energy supply</v>
      </c>
      <c r="AP213" s="24" t="str" cm="1">
        <f t="array" ref="AP213">IFERROR(INDEX(Transactions[[Transaction code]:[Transaction name]],_xlfn.XMATCH(INDEX(Transactions[[Transaction name]:[Parent code]],_xlfn.XMATCH(Transactions[[#This Row],[L5N]],Transactions[Transaction name],0),3),Transactions[Transaction code],0),2),Transactions[[#This Row],[L5N]])</f>
        <v>Total energy supply</v>
      </c>
      <c r="AQ213" s="24" t="str" cm="1">
        <f t="array" ref="AQ213">IFERROR(INDEX(Transactions[[Transaction code]:[Transaction name]],_xlfn.XMATCH(INDEX(Transactions[[Transaction name]:[Parent code]],_xlfn.XMATCH(Transactions[[#This Row],[L6N]],Transactions[Transaction name],0),3),Transactions[Transaction code],0),2),Transactions[[#This Row],[L6N]])</f>
        <v>Total energy supply</v>
      </c>
      <c r="AR213" s="28" t="str">
        <f>IF(Transactions[[#This Row],[L7N]]=Transactions[[#This Row],[L6N]],Transactions[[#This Row],[L7N]],IF(Transactions[[#This Row],[L6N]]=Transactions[[#This Row],[L5N]],Transactions[[#This Row],[L6N]],IF(Transactions[[#This Row],[L5N]]=Transactions[[#This Row],[L4N]],Transactions[[#This Row],[L5N]],IF(Transactions[[#This Row],[L4N]]=Transactions[[#This Row],[L3N]],Transactions[[#This Row],[L4N]],IF(Transactions[[#This Row],[L3N]]=Transactions[[#This Row],[L2N]],Transactions[[#This Row],[L3N]],IF(Transactions[[#This Row],[L2N]]=Transactions[[#This Row],[L1N]],Transactions[[#This Row],[L2N]],IF(Transactions[[#This Row],[L1N]]=Transactions[[#This Row],[Transaction name]],Transactions[[#This Row],[L1N]],Transactions[[#This Row],[Transaction name]])))))))</f>
        <v>Total energy supply</v>
      </c>
      <c r="AS213" s="24" t="str">
        <f>IF(Transactions[[#This Row],[Level 0]]=Transactions[[#This Row],[Transaction name]],Transactions[[#This Row],[Transaction name]],IF(Transactions[[#This Row],[Level 0]]=Transactions[[#This Row],[L1N]],Transactions[[#This Row],[Transaction name]],IF(Transactions[[#This Row],[Level 0]]=Transactions[[#This Row],[L2N]],Transactions[[#This Row],[L1N]],IF(Transactions[[#This Row],[Level 0]]=Transactions[[#This Row],[L3N]],Transactions[[#This Row],[L2N]],IF(Transactions[[#This Row],[Level 0]]=Transactions[[#This Row],[L4N]],Transactions[[#This Row],[L3N]],IF(Transactions[[#This Row],[Level 0]]=Transactions[[#This Row],[L5N]],Transactions[[#This Row],[L4N]],IF(Transactions[[#This Row],[Level 0]]=Transactions[[#This Row],[L6N]],Transactions[[#This Row],[L5N]],IF(Transactions[[#This Row],[Level 0]]=Transactions[[#This Row],[L7N]],Transactions[[#This Row],[L6N]],Transactions[[#This Row],[L7N]]))))))))</f>
        <v>Production</v>
      </c>
      <c r="AT213" s="24" t="str">
        <f>IF(Transactions[[#This Row],[Level 1]]=Transactions[[#This Row],[Transaction name]],Transactions[[#This Row],[Transaction name]],IF(Transactions[[#This Row],[Level 1]]=Transactions[[#This Row],[L1N]],Transactions[[#This Row],[Transaction name]],IF(Transactions[[#This Row],[Level 1]]=Transactions[[#This Row],[L2N]],Transactions[[#This Row],[L1N]],IF(Transactions[[#This Row],[Level 1]]=Transactions[[#This Row],[L3N]],Transactions[[#This Row],[L2N]],IF(Transactions[[#This Row],[Level 1]]=Transactions[[#This Row],[L4N]],Transactions[[#This Row],[L3N]],IF(Transactions[[#This Row],[Level 1]]=Transactions[[#This Row],[L5N]],Transactions[[#This Row],[L4N]],IF(Transactions[[#This Row],[Level 1]]=Transactions[[#This Row],[L6N]],Transactions[[#This Row],[L5N]],IF(Transactions[[#This Row],[Level 1]]=Transactions[[#This Row],[L7N]],Transactions[[#This Row],[L6N]],Transactions[[#This Row],[L7N]]))))))))</f>
        <v>Production, Autoproducers total</v>
      </c>
      <c r="AU213" s="24" t="str">
        <f>IF(Transactions[[#This Row],[Level 2]]=Transactions[[#This Row],[Transaction name]],Transactions[[#This Row],[Transaction name]],IF(Transactions[[#This Row],[Level 2]]=Transactions[[#This Row],[L1N]],Transactions[[#This Row],[Transaction name]],IF(Transactions[[#This Row],[Level 2]]=Transactions[[#This Row],[L2N]],Transactions[[#This Row],[L1N]],IF(Transactions[[#This Row],[Level 2]]=Transactions[[#This Row],[L3N]],Transactions[[#This Row],[L2N]],IF(Transactions[[#This Row],[Level 2]]=Transactions[[#This Row],[L4N]],Transactions[[#This Row],[L3N]],IF(Transactions[[#This Row],[Level 2]]=Transactions[[#This Row],[L5N]],Transactions[[#This Row],[L4N]],IF(Transactions[[#This Row],[Level 2]]=Transactions[[#This Row],[L6N]],Transactions[[#This Row],[L5N]],IF(Transactions[[#This Row],[Level 2]]=Transactions[[#This Row],[L7N]],Transactions[[#This Row],[L6N]],Transactions[[#This Row],[L7N]]))))))))</f>
        <v>Electricity, CHP and Heat plants - Autoproducer - solid coal products</v>
      </c>
      <c r="AV213" s="24" t="str">
        <f>IF(Transactions[[#This Row],[Level 3]]=Transactions[[#This Row],[Transaction name]],Transactions[[#This Row],[Transaction name]],IF(Transactions[[#This Row],[Level 3]]=Transactions[[#This Row],[L1N]],Transactions[[#This Row],[Transaction name]],IF(Transactions[[#This Row],[Level 3]]=Transactions[[#This Row],[L2N]],Transactions[[#This Row],[L1N]],IF(Transactions[[#This Row],[Level 3]]=Transactions[[#This Row],[L3N]],Transactions[[#This Row],[L2N]],IF(Transactions[[#This Row],[Level 3]]=Transactions[[#This Row],[L4N]],Transactions[[#This Row],[L3N]],IF(Transactions[[#This Row],[Level 3]]=Transactions[[#This Row],[L5N]],Transactions[[#This Row],[L4N]],IF(Transactions[[#This Row],[Level 3]]=Transactions[[#This Row],[L6N]],Transactions[[#This Row],[L5N]],IF(Transactions[[#This Row],[Level 3]]=Transactions[[#This Row],[L7N]],Transactions[[#This Row],[L6N]],Transactions[[#This Row],[L7N]]))))))))</f>
        <v>Electricity, CHP and Heat plants - Autoproducer - solid coal products</v>
      </c>
      <c r="AW213" s="24" t="str">
        <f>IF(Transactions[[#This Row],[Level 4]]=Transactions[[#This Row],[Transaction name]],Transactions[[#This Row],[Transaction name]],IF(Transactions[[#This Row],[Level 4]]=Transactions[[#This Row],[L1N]],Transactions[[#This Row],[Transaction name]],IF(Transactions[[#This Row],[Level 4]]=Transactions[[#This Row],[L2N]],Transactions[[#This Row],[L1N]],IF(Transactions[[#This Row],[Level 4]]=Transactions[[#This Row],[L3N]],Transactions[[#This Row],[L2N]],IF(Transactions[[#This Row],[Level 4]]=Transactions[[#This Row],[L4N]],Transactions[[#This Row],[L3N]],IF(Transactions[[#This Row],[Level 4]]=Transactions[[#This Row],[L5N]],Transactions[[#This Row],[L4N]],IF(Transactions[[#This Row],[Level 4]]=Transactions[[#This Row],[L6N]],Transactions[[#This Row],[L5N]],IF(Transactions[[#This Row],[Level 4]]=Transactions[[#This Row],[L7N]],Transactions[[#This Row],[L6N]],Transactions[[#This Row],[L7N]]))))))))</f>
        <v>Electricity, CHP and Heat plants - Autoproducer - solid coal products</v>
      </c>
      <c r="AX213" s="24" t="str">
        <f>IF(Transactions[[#This Row],[Level 5]]=Transactions[[#This Row],[Transaction name]],Transactions[[#This Row],[Transaction name]],IF(Transactions[[#This Row],[Level 5]]=Transactions[[#This Row],[L1N]],Transactions[[#This Row],[Transaction name]],IF(Transactions[[#This Row],[Level 5]]=Transactions[[#This Row],[L2N]],Transactions[[#This Row],[L1N]],IF(Transactions[[#This Row],[Level 5]]=Transactions[[#This Row],[L3N]],Transactions[[#This Row],[L2N]],IF(Transactions[[#This Row],[Level 5]]=Transactions[[#This Row],[L4N]],Transactions[[#This Row],[L3N]],IF(Transactions[[#This Row],[Level 5]]=Transactions[[#This Row],[L5N]],Transactions[[#This Row],[L4N]],IF(Transactions[[#This Row],[Level 5]]=Transactions[[#This Row],[L6N]],Transactions[[#This Row],[L5N]],IF(Transactions[[#This Row],[Level 5]]=Transactions[[#This Row],[L7N]],Transactions[[#This Row],[L6N]],Transactions[[#This Row],[L7N]]))))))))</f>
        <v>Electricity, CHP and Heat plants - Autoproducer - solid coal products</v>
      </c>
      <c r="AY213" s="24" t="str">
        <f>IF(Transactions[[#This Row],[Level 6]]=Transactions[[#This Row],[Transaction name]],Transactions[[#This Row],[Transaction name]],IF(Transactions[[#This Row],[Level 6]]=Transactions[[#This Row],[L1N]],Transactions[[#This Row],[Transaction name]],IF(Transactions[[#This Row],[Level 6]]=Transactions[[#This Row],[L2N]],Transactions[[#This Row],[L1N]],IF(Transactions[[#This Row],[Level 6]]=Transactions[[#This Row],[L3N]],Transactions[[#This Row],[L2N]],IF(Transactions[[#This Row],[Level 6]]=Transactions[[#This Row],[L4N]],Transactions[[#This Row],[L3N]],IF(Transactions[[#This Row],[Level 6]]=Transactions[[#This Row],[L5N]],Transactions[[#This Row],[L4N]],IF(Transactions[[#This Row],[Level 6]]=Transactions[[#This Row],[L6N]],Transactions[[#This Row],[L5N]],IF(Transactions[[#This Row],[Level 6]]=Transactions[[#This Row],[L7N]],Transactions[[#This Row],[L6N]],Transactions[[#This Row],[L7N]]))))))))</f>
        <v>Electricity, CHP and Heat plants - Autoproducer - solid coal products</v>
      </c>
      <c r="BE213" s="26" t="str">
        <f>_xlfn.XLOOKUP(Transformation[[#This Row],[cfrom]],Commodities[Commodity],Commodities[Commodity code])</f>
        <v>1200</v>
      </c>
      <c r="BF213" s="26" t="str">
        <f>_xlfn.XLOOKUP(Transformation[[#This Row],[tfrom]],Transactions[Transaction name],Transactions[Transaction code])</f>
        <v>08832</v>
      </c>
      <c r="BG213" s="26" t="str">
        <f>_xlfn.XLOOKUP(Transformation[[#This Row],[cto]],Commodities[Commodity],Commodities[Commodity code])</f>
        <v>1200</v>
      </c>
      <c r="BH213" s="26" t="str">
        <f>_xlfn.XLOOKUP(Transformation[[#This Row],[tto]],Transactions[Transaction name],Transactions[Transaction code])</f>
        <v>016PTH</v>
      </c>
      <c r="BI213" s="11">
        <v>1</v>
      </c>
      <c r="BJ213" s="4" t="s">
        <v>455</v>
      </c>
      <c r="BK213" s="24" t="str">
        <f>_xlfn.XLOOKUP(Transformation[[#This Row],[Commodity from]],Commodities[Commodity code],Commodities[EnergyCode])</f>
        <v>BP</v>
      </c>
      <c r="BL213" s="4" t="s">
        <v>694</v>
      </c>
      <c r="BM213" s="4" t="s">
        <v>455</v>
      </c>
      <c r="BN213" s="24" t="str">
        <f>_xlfn.XLOOKUP(Transformation[[#This Row],[Commodity to]],Commodities[Commodity code],Commodities[EnergyCode])</f>
        <v>BP</v>
      </c>
      <c r="BO213" s="4" t="s">
        <v>1207</v>
      </c>
      <c r="BP213" s="16" t="s">
        <v>1493</v>
      </c>
      <c r="BQ213" s="33" t="str">
        <f>Transformation[[#This Row],[Commodity from]]&amp;Transformation[[#This Row],[Transaction from]]&amp;Transformation[[#This Row],[Commodity to]]&amp;Transformation[[#This Row],[Transaction to]]</f>
        <v>1200088321200016PTH</v>
      </c>
      <c r="BR213" s="26" t="str">
        <f>Transformation[[#This Row],[crfomid]]&amp;Transformation[[#This Row],[Transaction from]]&amp;"("&amp;Transformation[[#This Row],[Multiplier]]&amp;") -&gt; "&amp;Transformation[[#This Row],[ctoid]]&amp;Transformation[[#This Row],[Transaction to]]</f>
        <v>BP08832(1) -&gt; BP016PTH</v>
      </c>
    </row>
    <row r="214" spans="25:70" x14ac:dyDescent="0.45">
      <c r="Y214" s="5" t="s">
        <v>1109</v>
      </c>
      <c r="Z214" s="4" t="s">
        <v>1117</v>
      </c>
      <c r="AA214" s="4" t="s">
        <v>1358</v>
      </c>
      <c r="AB214" s="4" t="s">
        <v>2</v>
      </c>
      <c r="AC214" s="24" t="str">
        <f>IFERROR(VLOOKUP(Transactions[[#This Row],[Parent code]],Transactions[[Transaction code]:[Transaction name]],2,0),"")</f>
        <v>Production, Autoproducers total</v>
      </c>
      <c r="AD214" s="4" t="s">
        <v>189</v>
      </c>
      <c r="AE214" s="4" t="s">
        <v>959</v>
      </c>
      <c r="AF214" s="4" t="s">
        <v>642</v>
      </c>
      <c r="AG214" s="4" t="s">
        <v>1</v>
      </c>
      <c r="AH214" s="4" t="s">
        <v>696</v>
      </c>
      <c r="AI214" s="12" t="s">
        <v>1416</v>
      </c>
      <c r="AJ214" s="4" t="s">
        <v>0</v>
      </c>
      <c r="AK214" s="24" t="str" cm="1">
        <f t="array" ref="AK214">IFERROR(INDEX(Transactions[[Transaction code]:[Transaction name]],_xlfn.XMATCH(Transactions[[#This Row],[Parent code]],Transactions[Transaction name],0),3),Transactions[[#This Row],[Transaction name]])</f>
        <v>Electricity, CHP and Heat plants - Autoproducer - wood</v>
      </c>
      <c r="AL214" s="24" t="str" cm="1">
        <f t="array" ref="AL214">IFERROR(INDEX(Transactions[[Transaction code]:[Transaction name]],_xlfn.XMATCH(INDEX(Transactions[[Transaction name]:[Parent code]],_xlfn.XMATCH(Transactions[[#This Row],[L1N]],Transactions[Transaction name],0),3),Transactions[Transaction code],0),2),Transactions[[#This Row],[L1N]])</f>
        <v>Production, Autoproducers total</v>
      </c>
      <c r="AM214" s="24" t="str" cm="1">
        <f t="array" ref="AM214">IFERROR(INDEX(Transactions[[Transaction code]:[Transaction name]],_xlfn.XMATCH(INDEX(Transactions[[Transaction name]:[Parent code]],_xlfn.XMATCH(Transactions[[#This Row],[L2N]],Transactions[Transaction name],0),3),Transactions[Transaction code],0),2),Transactions[[#This Row],[L2N]])</f>
        <v>Production</v>
      </c>
      <c r="AN214" s="24" t="str" cm="1">
        <f t="array" ref="AN214">IFERROR(INDEX(Transactions[[Transaction code]:[Transaction name]],_xlfn.XMATCH(INDEX(Transactions[[Transaction name]:[Parent code]],_xlfn.XMATCH(Transactions[[#This Row],[L3N]],Transactions[Transaction name],0),3),Transactions[Transaction code],0),2),Transactions[[#This Row],[L3N]])</f>
        <v>Total energy supply</v>
      </c>
      <c r="AO214" s="24" t="str" cm="1">
        <f t="array" ref="AO214">IFERROR(INDEX(Transactions[[Transaction code]:[Transaction name]],_xlfn.XMATCH(INDEX(Transactions[[Transaction name]:[Parent code]],_xlfn.XMATCH(Transactions[[#This Row],[L4N]],Transactions[Transaction name],0),3),Transactions[Transaction code],0),2),Transactions[[#This Row],[L4N]])</f>
        <v>Total energy supply</v>
      </c>
      <c r="AP214" s="24" t="str" cm="1">
        <f t="array" ref="AP214">IFERROR(INDEX(Transactions[[Transaction code]:[Transaction name]],_xlfn.XMATCH(INDEX(Transactions[[Transaction name]:[Parent code]],_xlfn.XMATCH(Transactions[[#This Row],[L5N]],Transactions[Transaction name],0),3),Transactions[Transaction code],0),2),Transactions[[#This Row],[L5N]])</f>
        <v>Total energy supply</v>
      </c>
      <c r="AQ214" s="24" t="str" cm="1">
        <f t="array" ref="AQ214">IFERROR(INDEX(Transactions[[Transaction code]:[Transaction name]],_xlfn.XMATCH(INDEX(Transactions[[Transaction name]:[Parent code]],_xlfn.XMATCH(Transactions[[#This Row],[L6N]],Transactions[Transaction name],0),3),Transactions[Transaction code],0),2),Transactions[[#This Row],[L6N]])</f>
        <v>Total energy supply</v>
      </c>
      <c r="AR214" s="28" t="str">
        <f>IF(Transactions[[#This Row],[L7N]]=Transactions[[#This Row],[L6N]],Transactions[[#This Row],[L7N]],IF(Transactions[[#This Row],[L6N]]=Transactions[[#This Row],[L5N]],Transactions[[#This Row],[L6N]],IF(Transactions[[#This Row],[L5N]]=Transactions[[#This Row],[L4N]],Transactions[[#This Row],[L5N]],IF(Transactions[[#This Row],[L4N]]=Transactions[[#This Row],[L3N]],Transactions[[#This Row],[L4N]],IF(Transactions[[#This Row],[L3N]]=Transactions[[#This Row],[L2N]],Transactions[[#This Row],[L3N]],IF(Transactions[[#This Row],[L2N]]=Transactions[[#This Row],[L1N]],Transactions[[#This Row],[L2N]],IF(Transactions[[#This Row],[L1N]]=Transactions[[#This Row],[Transaction name]],Transactions[[#This Row],[L1N]],Transactions[[#This Row],[Transaction name]])))))))</f>
        <v>Total energy supply</v>
      </c>
      <c r="AS214" s="24" t="str">
        <f>IF(Transactions[[#This Row],[Level 0]]=Transactions[[#This Row],[Transaction name]],Transactions[[#This Row],[Transaction name]],IF(Transactions[[#This Row],[Level 0]]=Transactions[[#This Row],[L1N]],Transactions[[#This Row],[Transaction name]],IF(Transactions[[#This Row],[Level 0]]=Transactions[[#This Row],[L2N]],Transactions[[#This Row],[L1N]],IF(Transactions[[#This Row],[Level 0]]=Transactions[[#This Row],[L3N]],Transactions[[#This Row],[L2N]],IF(Transactions[[#This Row],[Level 0]]=Transactions[[#This Row],[L4N]],Transactions[[#This Row],[L3N]],IF(Transactions[[#This Row],[Level 0]]=Transactions[[#This Row],[L5N]],Transactions[[#This Row],[L4N]],IF(Transactions[[#This Row],[Level 0]]=Transactions[[#This Row],[L6N]],Transactions[[#This Row],[L5N]],IF(Transactions[[#This Row],[Level 0]]=Transactions[[#This Row],[L7N]],Transactions[[#This Row],[L6N]],Transactions[[#This Row],[L7N]]))))))))</f>
        <v>Production</v>
      </c>
      <c r="AT214" s="24" t="str">
        <f>IF(Transactions[[#This Row],[Level 1]]=Transactions[[#This Row],[Transaction name]],Transactions[[#This Row],[Transaction name]],IF(Transactions[[#This Row],[Level 1]]=Transactions[[#This Row],[L1N]],Transactions[[#This Row],[Transaction name]],IF(Transactions[[#This Row],[Level 1]]=Transactions[[#This Row],[L2N]],Transactions[[#This Row],[L1N]],IF(Transactions[[#This Row],[Level 1]]=Transactions[[#This Row],[L3N]],Transactions[[#This Row],[L2N]],IF(Transactions[[#This Row],[Level 1]]=Transactions[[#This Row],[L4N]],Transactions[[#This Row],[L3N]],IF(Transactions[[#This Row],[Level 1]]=Transactions[[#This Row],[L5N]],Transactions[[#This Row],[L4N]],IF(Transactions[[#This Row],[Level 1]]=Transactions[[#This Row],[L6N]],Transactions[[#This Row],[L5N]],IF(Transactions[[#This Row],[Level 1]]=Transactions[[#This Row],[L7N]],Transactions[[#This Row],[L6N]],Transactions[[#This Row],[L7N]]))))))))</f>
        <v>Production, Autoproducers total</v>
      </c>
      <c r="AU214" s="24" t="str">
        <f>IF(Transactions[[#This Row],[Level 2]]=Transactions[[#This Row],[Transaction name]],Transactions[[#This Row],[Transaction name]],IF(Transactions[[#This Row],[Level 2]]=Transactions[[#This Row],[L1N]],Transactions[[#This Row],[Transaction name]],IF(Transactions[[#This Row],[Level 2]]=Transactions[[#This Row],[L2N]],Transactions[[#This Row],[L1N]],IF(Transactions[[#This Row],[Level 2]]=Transactions[[#This Row],[L3N]],Transactions[[#This Row],[L2N]],IF(Transactions[[#This Row],[Level 2]]=Transactions[[#This Row],[L4N]],Transactions[[#This Row],[L3N]],IF(Transactions[[#This Row],[Level 2]]=Transactions[[#This Row],[L5N]],Transactions[[#This Row],[L4N]],IF(Transactions[[#This Row],[Level 2]]=Transactions[[#This Row],[L6N]],Transactions[[#This Row],[L5N]],IF(Transactions[[#This Row],[Level 2]]=Transactions[[#This Row],[L7N]],Transactions[[#This Row],[L6N]],Transactions[[#This Row],[L7N]]))))))))</f>
        <v>Electricity, CHP and Heat plants - Autoproducer - wood</v>
      </c>
      <c r="AV214" s="24" t="str">
        <f>IF(Transactions[[#This Row],[Level 3]]=Transactions[[#This Row],[Transaction name]],Transactions[[#This Row],[Transaction name]],IF(Transactions[[#This Row],[Level 3]]=Transactions[[#This Row],[L1N]],Transactions[[#This Row],[Transaction name]],IF(Transactions[[#This Row],[Level 3]]=Transactions[[#This Row],[L2N]],Transactions[[#This Row],[L1N]],IF(Transactions[[#This Row],[Level 3]]=Transactions[[#This Row],[L3N]],Transactions[[#This Row],[L2N]],IF(Transactions[[#This Row],[Level 3]]=Transactions[[#This Row],[L4N]],Transactions[[#This Row],[L3N]],IF(Transactions[[#This Row],[Level 3]]=Transactions[[#This Row],[L5N]],Transactions[[#This Row],[L4N]],IF(Transactions[[#This Row],[Level 3]]=Transactions[[#This Row],[L6N]],Transactions[[#This Row],[L5N]],IF(Transactions[[#This Row],[Level 3]]=Transactions[[#This Row],[L7N]],Transactions[[#This Row],[L6N]],Transactions[[#This Row],[L7N]]))))))))</f>
        <v>Electricity, CHP and Heat plants - Autoproducer - wood</v>
      </c>
      <c r="AW214" s="24" t="str">
        <f>IF(Transactions[[#This Row],[Level 4]]=Transactions[[#This Row],[Transaction name]],Transactions[[#This Row],[Transaction name]],IF(Transactions[[#This Row],[Level 4]]=Transactions[[#This Row],[L1N]],Transactions[[#This Row],[Transaction name]],IF(Transactions[[#This Row],[Level 4]]=Transactions[[#This Row],[L2N]],Transactions[[#This Row],[L1N]],IF(Transactions[[#This Row],[Level 4]]=Transactions[[#This Row],[L3N]],Transactions[[#This Row],[L2N]],IF(Transactions[[#This Row],[Level 4]]=Transactions[[#This Row],[L4N]],Transactions[[#This Row],[L3N]],IF(Transactions[[#This Row],[Level 4]]=Transactions[[#This Row],[L5N]],Transactions[[#This Row],[L4N]],IF(Transactions[[#This Row],[Level 4]]=Transactions[[#This Row],[L6N]],Transactions[[#This Row],[L5N]],IF(Transactions[[#This Row],[Level 4]]=Transactions[[#This Row],[L7N]],Transactions[[#This Row],[L6N]],Transactions[[#This Row],[L7N]]))))))))</f>
        <v>Electricity, CHP and Heat plants - Autoproducer - wood</v>
      </c>
      <c r="AX214" s="24" t="str">
        <f>IF(Transactions[[#This Row],[Level 5]]=Transactions[[#This Row],[Transaction name]],Transactions[[#This Row],[Transaction name]],IF(Transactions[[#This Row],[Level 5]]=Transactions[[#This Row],[L1N]],Transactions[[#This Row],[Transaction name]],IF(Transactions[[#This Row],[Level 5]]=Transactions[[#This Row],[L2N]],Transactions[[#This Row],[L1N]],IF(Transactions[[#This Row],[Level 5]]=Transactions[[#This Row],[L3N]],Transactions[[#This Row],[L2N]],IF(Transactions[[#This Row],[Level 5]]=Transactions[[#This Row],[L4N]],Transactions[[#This Row],[L3N]],IF(Transactions[[#This Row],[Level 5]]=Transactions[[#This Row],[L5N]],Transactions[[#This Row],[L4N]],IF(Transactions[[#This Row],[Level 5]]=Transactions[[#This Row],[L6N]],Transactions[[#This Row],[L5N]],IF(Transactions[[#This Row],[Level 5]]=Transactions[[#This Row],[L7N]],Transactions[[#This Row],[L6N]],Transactions[[#This Row],[L7N]]))))))))</f>
        <v>Electricity, CHP and Heat plants - Autoproducer - wood</v>
      </c>
      <c r="AY214" s="24" t="str">
        <f>IF(Transactions[[#This Row],[Level 6]]=Transactions[[#This Row],[Transaction name]],Transactions[[#This Row],[Transaction name]],IF(Transactions[[#This Row],[Level 6]]=Transactions[[#This Row],[L1N]],Transactions[[#This Row],[Transaction name]],IF(Transactions[[#This Row],[Level 6]]=Transactions[[#This Row],[L2N]],Transactions[[#This Row],[L1N]],IF(Transactions[[#This Row],[Level 6]]=Transactions[[#This Row],[L3N]],Transactions[[#This Row],[L2N]],IF(Transactions[[#This Row],[Level 6]]=Transactions[[#This Row],[L4N]],Transactions[[#This Row],[L3N]],IF(Transactions[[#This Row],[Level 6]]=Transactions[[#This Row],[L5N]],Transactions[[#This Row],[L4N]],IF(Transactions[[#This Row],[Level 6]]=Transactions[[#This Row],[L6N]],Transactions[[#This Row],[L5N]],IF(Transactions[[#This Row],[Level 6]]=Transactions[[#This Row],[L7N]],Transactions[[#This Row],[L6N]],Transactions[[#This Row],[L7N]]))))))))</f>
        <v>Electricity, CHP and Heat plants - Autoproducer - wood</v>
      </c>
      <c r="BE214" s="26" t="str">
        <f>_xlfn.XLOOKUP(Transformation[[#This Row],[cfrom]],Commodities[Commodity],Commodities[Commodity code])</f>
        <v>5120</v>
      </c>
      <c r="BF214" s="26" t="str">
        <f>_xlfn.XLOOKUP(Transformation[[#This Row],[tfrom]],Transactions[Transaction name],Transactions[Transaction code])</f>
        <v>08832</v>
      </c>
      <c r="BG214" s="26" t="str">
        <f>_xlfn.XLOOKUP(Transformation[[#This Row],[cto]],Commodities[Commodity],Commodities[Commodity code])</f>
        <v>5120</v>
      </c>
      <c r="BH214" s="26" t="str">
        <f>_xlfn.XLOOKUP(Transformation[[#This Row],[tto]],Transactions[Transaction name],Transactions[Transaction code])</f>
        <v>016BH</v>
      </c>
      <c r="BI214" s="11">
        <v>1</v>
      </c>
      <c r="BJ214" s="4" t="s">
        <v>337</v>
      </c>
      <c r="BK214" s="24" t="str">
        <f>_xlfn.XLOOKUP(Transformation[[#This Row],[Commodity from]],Commodities[Commodity code],Commodities[EnergyCode])</f>
        <v>BS</v>
      </c>
      <c r="BL214" s="4" t="s">
        <v>694</v>
      </c>
      <c r="BM214" s="4" t="s">
        <v>337</v>
      </c>
      <c r="BN214" s="24" t="str">
        <f>_xlfn.XLOOKUP(Transformation[[#This Row],[Commodity to]],Commodities[Commodity code],Commodities[EnergyCode])</f>
        <v>BS</v>
      </c>
      <c r="BO214" s="4" t="s">
        <v>1064</v>
      </c>
      <c r="BP214" s="16" t="s">
        <v>1493</v>
      </c>
      <c r="BQ214" s="33" t="str">
        <f>Transformation[[#This Row],[Commodity from]]&amp;Transformation[[#This Row],[Transaction from]]&amp;Transformation[[#This Row],[Commodity to]]&amp;Transformation[[#This Row],[Transaction to]]</f>
        <v>5120088325120016BH</v>
      </c>
      <c r="BR214" s="26" t="str">
        <f>Transformation[[#This Row],[crfomid]]&amp;Transformation[[#This Row],[Transaction from]]&amp;"("&amp;Transformation[[#This Row],[Multiplier]]&amp;") -&gt; "&amp;Transformation[[#This Row],[ctoid]]&amp;Transformation[[#This Row],[Transaction to]]</f>
        <v>BS08832(1) -&gt; BS016BH</v>
      </c>
    </row>
    <row r="215" spans="25:70" x14ac:dyDescent="0.45">
      <c r="Y215" s="4" t="s">
        <v>2</v>
      </c>
      <c r="Z215" s="4" t="s">
        <v>957</v>
      </c>
      <c r="AA215" s="4" t="s">
        <v>957</v>
      </c>
      <c r="AB215" s="4" t="s">
        <v>206</v>
      </c>
      <c r="AC215" s="24" t="str">
        <f>IFERROR(VLOOKUP(Transactions[[#This Row],[Parent code]],Transactions[[Transaction code]:[Transaction name]],2,0),"")</f>
        <v>Production</v>
      </c>
      <c r="AD215" s="4" t="s">
        <v>189</v>
      </c>
      <c r="AK215" s="24" t="str" cm="1">
        <f t="array" ref="AK215">IFERROR(INDEX(Transactions[[Transaction code]:[Transaction name]],_xlfn.XMATCH(Transactions[[#This Row],[Parent code]],Transactions[Transaction name],0),3),Transactions[[#This Row],[Transaction name]])</f>
        <v>Production, Autoproducers total</v>
      </c>
      <c r="AL215" s="24" t="str" cm="1">
        <f t="array" ref="AL215">IFERROR(INDEX(Transactions[[Transaction code]:[Transaction name]],_xlfn.XMATCH(INDEX(Transactions[[Transaction name]:[Parent code]],_xlfn.XMATCH(Transactions[[#This Row],[L1N]],Transactions[Transaction name],0),3),Transactions[Transaction code],0),2),Transactions[[#This Row],[L1N]])</f>
        <v>Production</v>
      </c>
      <c r="AM215" s="24" t="str" cm="1">
        <f t="array" ref="AM215">IFERROR(INDEX(Transactions[[Transaction code]:[Transaction name]],_xlfn.XMATCH(INDEX(Transactions[[Transaction name]:[Parent code]],_xlfn.XMATCH(Transactions[[#This Row],[L2N]],Transactions[Transaction name],0),3),Transactions[Transaction code],0),2),Transactions[[#This Row],[L2N]])</f>
        <v>Total energy supply</v>
      </c>
      <c r="AN215" s="24" t="str" cm="1">
        <f t="array" ref="AN215">IFERROR(INDEX(Transactions[[Transaction code]:[Transaction name]],_xlfn.XMATCH(INDEX(Transactions[[Transaction name]:[Parent code]],_xlfn.XMATCH(Transactions[[#This Row],[L3N]],Transactions[Transaction name],0),3),Transactions[Transaction code],0),2),Transactions[[#This Row],[L3N]])</f>
        <v>Total energy supply</v>
      </c>
      <c r="AO215" s="24" t="str" cm="1">
        <f t="array" ref="AO215">IFERROR(INDEX(Transactions[[Transaction code]:[Transaction name]],_xlfn.XMATCH(INDEX(Transactions[[Transaction name]:[Parent code]],_xlfn.XMATCH(Transactions[[#This Row],[L4N]],Transactions[Transaction name],0),3),Transactions[Transaction code],0),2),Transactions[[#This Row],[L4N]])</f>
        <v>Total energy supply</v>
      </c>
      <c r="AP215" s="24" t="str" cm="1">
        <f t="array" ref="AP215">IFERROR(INDEX(Transactions[[Transaction code]:[Transaction name]],_xlfn.XMATCH(INDEX(Transactions[[Transaction name]:[Parent code]],_xlfn.XMATCH(Transactions[[#This Row],[L5N]],Transactions[Transaction name],0),3),Transactions[Transaction code],0),2),Transactions[[#This Row],[L5N]])</f>
        <v>Total energy supply</v>
      </c>
      <c r="AQ215" s="24" t="str" cm="1">
        <f t="array" ref="AQ215">IFERROR(INDEX(Transactions[[Transaction code]:[Transaction name]],_xlfn.XMATCH(INDEX(Transactions[[Transaction name]:[Parent code]],_xlfn.XMATCH(Transactions[[#This Row],[L6N]],Transactions[Transaction name],0),3),Transactions[Transaction code],0),2),Transactions[[#This Row],[L6N]])</f>
        <v>Total energy supply</v>
      </c>
      <c r="AR215" s="28" t="str">
        <f>IF(Transactions[[#This Row],[L7N]]=Transactions[[#This Row],[L6N]],Transactions[[#This Row],[L7N]],IF(Transactions[[#This Row],[L6N]]=Transactions[[#This Row],[L5N]],Transactions[[#This Row],[L6N]],IF(Transactions[[#This Row],[L5N]]=Transactions[[#This Row],[L4N]],Transactions[[#This Row],[L5N]],IF(Transactions[[#This Row],[L4N]]=Transactions[[#This Row],[L3N]],Transactions[[#This Row],[L4N]],IF(Transactions[[#This Row],[L3N]]=Transactions[[#This Row],[L2N]],Transactions[[#This Row],[L3N]],IF(Transactions[[#This Row],[L2N]]=Transactions[[#This Row],[L1N]],Transactions[[#This Row],[L2N]],IF(Transactions[[#This Row],[L1N]]=Transactions[[#This Row],[Transaction name]],Transactions[[#This Row],[L1N]],Transactions[[#This Row],[Transaction name]])))))))</f>
        <v>Total energy supply</v>
      </c>
      <c r="AS215" s="24" t="str">
        <f>IF(Transactions[[#This Row],[Level 0]]=Transactions[[#This Row],[Transaction name]],Transactions[[#This Row],[Transaction name]],IF(Transactions[[#This Row],[Level 0]]=Transactions[[#This Row],[L1N]],Transactions[[#This Row],[Transaction name]],IF(Transactions[[#This Row],[Level 0]]=Transactions[[#This Row],[L2N]],Transactions[[#This Row],[L1N]],IF(Transactions[[#This Row],[Level 0]]=Transactions[[#This Row],[L3N]],Transactions[[#This Row],[L2N]],IF(Transactions[[#This Row],[Level 0]]=Transactions[[#This Row],[L4N]],Transactions[[#This Row],[L3N]],IF(Transactions[[#This Row],[Level 0]]=Transactions[[#This Row],[L5N]],Transactions[[#This Row],[L4N]],IF(Transactions[[#This Row],[Level 0]]=Transactions[[#This Row],[L6N]],Transactions[[#This Row],[L5N]],IF(Transactions[[#This Row],[Level 0]]=Transactions[[#This Row],[L7N]],Transactions[[#This Row],[L6N]],Transactions[[#This Row],[L7N]]))))))))</f>
        <v>Production</v>
      </c>
      <c r="AT215" s="24" t="str">
        <f>IF(Transactions[[#This Row],[Level 1]]=Transactions[[#This Row],[Transaction name]],Transactions[[#This Row],[Transaction name]],IF(Transactions[[#This Row],[Level 1]]=Transactions[[#This Row],[L1N]],Transactions[[#This Row],[Transaction name]],IF(Transactions[[#This Row],[Level 1]]=Transactions[[#This Row],[L2N]],Transactions[[#This Row],[L1N]],IF(Transactions[[#This Row],[Level 1]]=Transactions[[#This Row],[L3N]],Transactions[[#This Row],[L2N]],IF(Transactions[[#This Row],[Level 1]]=Transactions[[#This Row],[L4N]],Transactions[[#This Row],[L3N]],IF(Transactions[[#This Row],[Level 1]]=Transactions[[#This Row],[L5N]],Transactions[[#This Row],[L4N]],IF(Transactions[[#This Row],[Level 1]]=Transactions[[#This Row],[L6N]],Transactions[[#This Row],[L5N]],IF(Transactions[[#This Row],[Level 1]]=Transactions[[#This Row],[L7N]],Transactions[[#This Row],[L6N]],Transactions[[#This Row],[L7N]]))))))))</f>
        <v>Production, Autoproducers total</v>
      </c>
      <c r="AU215" s="24" t="str">
        <f>IF(Transactions[[#This Row],[Level 2]]=Transactions[[#This Row],[Transaction name]],Transactions[[#This Row],[Transaction name]],IF(Transactions[[#This Row],[Level 2]]=Transactions[[#This Row],[L1N]],Transactions[[#This Row],[Transaction name]],IF(Transactions[[#This Row],[Level 2]]=Transactions[[#This Row],[L2N]],Transactions[[#This Row],[L1N]],IF(Transactions[[#This Row],[Level 2]]=Transactions[[#This Row],[L3N]],Transactions[[#This Row],[L2N]],IF(Transactions[[#This Row],[Level 2]]=Transactions[[#This Row],[L4N]],Transactions[[#This Row],[L3N]],IF(Transactions[[#This Row],[Level 2]]=Transactions[[#This Row],[L5N]],Transactions[[#This Row],[L4N]],IF(Transactions[[#This Row],[Level 2]]=Transactions[[#This Row],[L6N]],Transactions[[#This Row],[L5N]],IF(Transactions[[#This Row],[Level 2]]=Transactions[[#This Row],[L7N]],Transactions[[#This Row],[L6N]],Transactions[[#This Row],[L7N]]))))))))</f>
        <v>Production, Autoproducers total</v>
      </c>
      <c r="AV215" s="24" t="str">
        <f>IF(Transactions[[#This Row],[Level 3]]=Transactions[[#This Row],[Transaction name]],Transactions[[#This Row],[Transaction name]],IF(Transactions[[#This Row],[Level 3]]=Transactions[[#This Row],[L1N]],Transactions[[#This Row],[Transaction name]],IF(Transactions[[#This Row],[Level 3]]=Transactions[[#This Row],[L2N]],Transactions[[#This Row],[L1N]],IF(Transactions[[#This Row],[Level 3]]=Transactions[[#This Row],[L3N]],Transactions[[#This Row],[L2N]],IF(Transactions[[#This Row],[Level 3]]=Transactions[[#This Row],[L4N]],Transactions[[#This Row],[L3N]],IF(Transactions[[#This Row],[Level 3]]=Transactions[[#This Row],[L5N]],Transactions[[#This Row],[L4N]],IF(Transactions[[#This Row],[Level 3]]=Transactions[[#This Row],[L6N]],Transactions[[#This Row],[L5N]],IF(Transactions[[#This Row],[Level 3]]=Transactions[[#This Row],[L7N]],Transactions[[#This Row],[L6N]],Transactions[[#This Row],[L7N]]))))))))</f>
        <v>Production, Autoproducers total</v>
      </c>
      <c r="AW215" s="24" t="str">
        <f>IF(Transactions[[#This Row],[Level 4]]=Transactions[[#This Row],[Transaction name]],Transactions[[#This Row],[Transaction name]],IF(Transactions[[#This Row],[Level 4]]=Transactions[[#This Row],[L1N]],Transactions[[#This Row],[Transaction name]],IF(Transactions[[#This Row],[Level 4]]=Transactions[[#This Row],[L2N]],Transactions[[#This Row],[L1N]],IF(Transactions[[#This Row],[Level 4]]=Transactions[[#This Row],[L3N]],Transactions[[#This Row],[L2N]],IF(Transactions[[#This Row],[Level 4]]=Transactions[[#This Row],[L4N]],Transactions[[#This Row],[L3N]],IF(Transactions[[#This Row],[Level 4]]=Transactions[[#This Row],[L5N]],Transactions[[#This Row],[L4N]],IF(Transactions[[#This Row],[Level 4]]=Transactions[[#This Row],[L6N]],Transactions[[#This Row],[L5N]],IF(Transactions[[#This Row],[Level 4]]=Transactions[[#This Row],[L7N]],Transactions[[#This Row],[L6N]],Transactions[[#This Row],[L7N]]))))))))</f>
        <v>Production, Autoproducers total</v>
      </c>
      <c r="AX215" s="24" t="str">
        <f>IF(Transactions[[#This Row],[Level 5]]=Transactions[[#This Row],[Transaction name]],Transactions[[#This Row],[Transaction name]],IF(Transactions[[#This Row],[Level 5]]=Transactions[[#This Row],[L1N]],Transactions[[#This Row],[Transaction name]],IF(Transactions[[#This Row],[Level 5]]=Transactions[[#This Row],[L2N]],Transactions[[#This Row],[L1N]],IF(Transactions[[#This Row],[Level 5]]=Transactions[[#This Row],[L3N]],Transactions[[#This Row],[L2N]],IF(Transactions[[#This Row],[Level 5]]=Transactions[[#This Row],[L4N]],Transactions[[#This Row],[L3N]],IF(Transactions[[#This Row],[Level 5]]=Transactions[[#This Row],[L5N]],Transactions[[#This Row],[L4N]],IF(Transactions[[#This Row],[Level 5]]=Transactions[[#This Row],[L6N]],Transactions[[#This Row],[L5N]],IF(Transactions[[#This Row],[Level 5]]=Transactions[[#This Row],[L7N]],Transactions[[#This Row],[L6N]],Transactions[[#This Row],[L7N]]))))))))</f>
        <v>Production, Autoproducers total</v>
      </c>
      <c r="AY215" s="24" t="str">
        <f>IF(Transactions[[#This Row],[Level 6]]=Transactions[[#This Row],[Transaction name]],Transactions[[#This Row],[Transaction name]],IF(Transactions[[#This Row],[Level 6]]=Transactions[[#This Row],[L1N]],Transactions[[#This Row],[Transaction name]],IF(Transactions[[#This Row],[Level 6]]=Transactions[[#This Row],[L2N]],Transactions[[#This Row],[L1N]],IF(Transactions[[#This Row],[Level 6]]=Transactions[[#This Row],[L3N]],Transactions[[#This Row],[L2N]],IF(Transactions[[#This Row],[Level 6]]=Transactions[[#This Row],[L4N]],Transactions[[#This Row],[L3N]],IF(Transactions[[#This Row],[Level 6]]=Transactions[[#This Row],[L5N]],Transactions[[#This Row],[L4N]],IF(Transactions[[#This Row],[Level 6]]=Transactions[[#This Row],[L6N]],Transactions[[#This Row],[L5N]],IF(Transactions[[#This Row],[Level 6]]=Transactions[[#This Row],[L7N]],Transactions[[#This Row],[L6N]],Transactions[[#This Row],[L7N]]))))))))</f>
        <v>Production, Autoproducers total</v>
      </c>
      <c r="BE215" s="26" t="str">
        <f>_xlfn.XLOOKUP(Transformation[[#This Row],[cfrom]],Commodities[Commodity],Commodities[Commodity code])</f>
        <v>4695</v>
      </c>
      <c r="BF215" s="26" t="str">
        <f>_xlfn.XLOOKUP(Transformation[[#This Row],[tfrom]],Transactions[Transaction name],Transactions[Transaction code])</f>
        <v>08832</v>
      </c>
      <c r="BG215" s="26" t="str">
        <f>_xlfn.XLOOKUP(Transformation[[#This Row],[cto]],Commodities[Commodity],Commodities[Commodity code])</f>
        <v>4695</v>
      </c>
      <c r="BH215" s="26" t="str">
        <f>_xlfn.XLOOKUP(Transformation[[#This Row],[tto]],Transactions[Transaction name],Transactions[Transaction code])</f>
        <v>016OPH</v>
      </c>
      <c r="BI215" s="11">
        <v>1</v>
      </c>
      <c r="BJ215" s="4" t="s">
        <v>351</v>
      </c>
      <c r="BK215" s="24" t="str">
        <f>_xlfn.XLOOKUP(Transformation[[#This Row],[Commodity from]],Commodities[Commodity code],Commodities[EnergyCode])</f>
        <v>BT</v>
      </c>
      <c r="BL215" s="4" t="s">
        <v>694</v>
      </c>
      <c r="BM215" s="4" t="s">
        <v>351</v>
      </c>
      <c r="BN215" s="24" t="str">
        <f>_xlfn.XLOOKUP(Transformation[[#This Row],[Commodity to]],Commodities[Commodity code],Commodities[EnergyCode])</f>
        <v>BT</v>
      </c>
      <c r="BO215" s="4" t="s">
        <v>1056</v>
      </c>
      <c r="BP215" s="16" t="s">
        <v>1493</v>
      </c>
      <c r="BQ215" s="33" t="str">
        <f>Transformation[[#This Row],[Commodity from]]&amp;Transformation[[#This Row],[Transaction from]]&amp;Transformation[[#This Row],[Commodity to]]&amp;Transformation[[#This Row],[Transaction to]]</f>
        <v>4695088324695016OPH</v>
      </c>
      <c r="BR215" s="26" t="str">
        <f>Transformation[[#This Row],[crfomid]]&amp;Transformation[[#This Row],[Transaction from]]&amp;"("&amp;Transformation[[#This Row],[Multiplier]]&amp;") -&gt; "&amp;Transformation[[#This Row],[ctoid]]&amp;Transformation[[#This Row],[Transaction to]]</f>
        <v>BT08832(1) -&gt; BT016OPH</v>
      </c>
    </row>
    <row r="216" spans="25:70" x14ac:dyDescent="0.45">
      <c r="Y216" s="5" t="s">
        <v>204</v>
      </c>
      <c r="Z216" s="4" t="s">
        <v>203</v>
      </c>
      <c r="AA216" s="4" t="s">
        <v>203</v>
      </c>
      <c r="AB216" s="6" t="s">
        <v>202</v>
      </c>
      <c r="AC216" s="24" t="str">
        <f>IFERROR(VLOOKUP(Transactions[[#This Row],[Parent code]],Transactions[[Transaction code]:[Transaction name]],2,0),"")</f>
        <v>Receipts from other sources</v>
      </c>
      <c r="AD216" s="4" t="s">
        <v>631</v>
      </c>
      <c r="AE216" s="4" t="s">
        <v>383</v>
      </c>
      <c r="AF216" s="4" t="s">
        <v>642</v>
      </c>
      <c r="AG216" s="4" t="s">
        <v>1</v>
      </c>
      <c r="AH216" s="4" t="s">
        <v>696</v>
      </c>
      <c r="AK216" s="24" t="str" cm="1">
        <f t="array" ref="AK216">IFERROR(INDEX(Transactions[[Transaction code]:[Transaction name]],_xlfn.XMATCH(Transactions[[#This Row],[Parent code]],Transactions[Transaction name],0),3),Transactions[[#This Row],[Transaction name]])</f>
        <v>Of which: Hydrogen</v>
      </c>
      <c r="AL216" s="24" t="str" cm="1">
        <f t="array" ref="AL216">IFERROR(INDEX(Transactions[[Transaction code]:[Transaction name]],_xlfn.XMATCH(INDEX(Transactions[[Transaction name]:[Parent code]],_xlfn.XMATCH(Transactions[[#This Row],[L1N]],Transactions[Transaction name],0),3),Transactions[Transaction code],0),2),Transactions[[#This Row],[L1N]])</f>
        <v>Receipts from other sources</v>
      </c>
      <c r="AM216" s="24" t="str" cm="1">
        <f t="array" ref="AM216">IFERROR(INDEX(Transactions[[Transaction code]:[Transaction name]],_xlfn.XMATCH(INDEX(Transactions[[Transaction name]:[Parent code]],_xlfn.XMATCH(Transactions[[#This Row],[L2N]],Transactions[Transaction name],0),3),Transactions[Transaction code],0),2),Transactions[[#This Row],[L2N]])</f>
        <v>Total energy supply</v>
      </c>
      <c r="AN216" s="24" t="str" cm="1">
        <f t="array" ref="AN216">IFERROR(INDEX(Transactions[[Transaction code]:[Transaction name]],_xlfn.XMATCH(INDEX(Transactions[[Transaction name]:[Parent code]],_xlfn.XMATCH(Transactions[[#This Row],[L3N]],Transactions[Transaction name],0),3),Transactions[Transaction code],0),2),Transactions[[#This Row],[L3N]])</f>
        <v>Total energy supply</v>
      </c>
      <c r="AO216" s="24" t="str" cm="1">
        <f t="array" ref="AO216">IFERROR(INDEX(Transactions[[Transaction code]:[Transaction name]],_xlfn.XMATCH(INDEX(Transactions[[Transaction name]:[Parent code]],_xlfn.XMATCH(Transactions[[#This Row],[L4N]],Transactions[Transaction name],0),3),Transactions[Transaction code],0),2),Transactions[[#This Row],[L4N]])</f>
        <v>Total energy supply</v>
      </c>
      <c r="AP216" s="24" t="str" cm="1">
        <f t="array" ref="AP216">IFERROR(INDEX(Transactions[[Transaction code]:[Transaction name]],_xlfn.XMATCH(INDEX(Transactions[[Transaction name]:[Parent code]],_xlfn.XMATCH(Transactions[[#This Row],[L5N]],Transactions[Transaction name],0),3),Transactions[Transaction code],0),2),Transactions[[#This Row],[L5N]])</f>
        <v>Total energy supply</v>
      </c>
      <c r="AQ216" s="24" t="str" cm="1">
        <f t="array" ref="AQ216">IFERROR(INDEX(Transactions[[Transaction code]:[Transaction name]],_xlfn.XMATCH(INDEX(Transactions[[Transaction name]:[Parent code]],_xlfn.XMATCH(Transactions[[#This Row],[L6N]],Transactions[Transaction name],0),3),Transactions[Transaction code],0),2),Transactions[[#This Row],[L6N]])</f>
        <v>Total energy supply</v>
      </c>
      <c r="AR216" s="28" t="str">
        <f>IF(Transactions[[#This Row],[L7N]]=Transactions[[#This Row],[L6N]],Transactions[[#This Row],[L7N]],IF(Transactions[[#This Row],[L6N]]=Transactions[[#This Row],[L5N]],Transactions[[#This Row],[L6N]],IF(Transactions[[#This Row],[L5N]]=Transactions[[#This Row],[L4N]],Transactions[[#This Row],[L5N]],IF(Transactions[[#This Row],[L4N]]=Transactions[[#This Row],[L3N]],Transactions[[#This Row],[L4N]],IF(Transactions[[#This Row],[L3N]]=Transactions[[#This Row],[L2N]],Transactions[[#This Row],[L3N]],IF(Transactions[[#This Row],[L2N]]=Transactions[[#This Row],[L1N]],Transactions[[#This Row],[L2N]],IF(Transactions[[#This Row],[L1N]]=Transactions[[#This Row],[Transaction name]],Transactions[[#This Row],[L1N]],Transactions[[#This Row],[Transaction name]])))))))</f>
        <v>Total energy supply</v>
      </c>
      <c r="AS216" s="24" t="str">
        <f>IF(Transactions[[#This Row],[Level 0]]=Transactions[[#This Row],[Transaction name]],Transactions[[#This Row],[Transaction name]],IF(Transactions[[#This Row],[Level 0]]=Transactions[[#This Row],[L1N]],Transactions[[#This Row],[Transaction name]],IF(Transactions[[#This Row],[Level 0]]=Transactions[[#This Row],[L2N]],Transactions[[#This Row],[L1N]],IF(Transactions[[#This Row],[Level 0]]=Transactions[[#This Row],[L3N]],Transactions[[#This Row],[L2N]],IF(Transactions[[#This Row],[Level 0]]=Transactions[[#This Row],[L4N]],Transactions[[#This Row],[L3N]],IF(Transactions[[#This Row],[Level 0]]=Transactions[[#This Row],[L5N]],Transactions[[#This Row],[L4N]],IF(Transactions[[#This Row],[Level 0]]=Transactions[[#This Row],[L6N]],Transactions[[#This Row],[L5N]],IF(Transactions[[#This Row],[Level 0]]=Transactions[[#This Row],[L7N]],Transactions[[#This Row],[L6N]],Transactions[[#This Row],[L7N]]))))))))</f>
        <v>Receipts from other sources</v>
      </c>
      <c r="AT216" s="24" t="str">
        <f>IF(Transactions[[#This Row],[Level 1]]=Transactions[[#This Row],[Transaction name]],Transactions[[#This Row],[Transaction name]],IF(Transactions[[#This Row],[Level 1]]=Transactions[[#This Row],[L1N]],Transactions[[#This Row],[Transaction name]],IF(Transactions[[#This Row],[Level 1]]=Transactions[[#This Row],[L2N]],Transactions[[#This Row],[L1N]],IF(Transactions[[#This Row],[Level 1]]=Transactions[[#This Row],[L3N]],Transactions[[#This Row],[L2N]],IF(Transactions[[#This Row],[Level 1]]=Transactions[[#This Row],[L4N]],Transactions[[#This Row],[L3N]],IF(Transactions[[#This Row],[Level 1]]=Transactions[[#This Row],[L5N]],Transactions[[#This Row],[L4N]],IF(Transactions[[#This Row],[Level 1]]=Transactions[[#This Row],[L6N]],Transactions[[#This Row],[L5N]],IF(Transactions[[#This Row],[Level 1]]=Transactions[[#This Row],[L7N]],Transactions[[#This Row],[L6N]],Transactions[[#This Row],[L7N]]))))))))</f>
        <v>Of which: Hydrogen</v>
      </c>
      <c r="AU216" s="24" t="str">
        <f>IF(Transactions[[#This Row],[Level 2]]=Transactions[[#This Row],[Transaction name]],Transactions[[#This Row],[Transaction name]],IF(Transactions[[#This Row],[Level 2]]=Transactions[[#This Row],[L1N]],Transactions[[#This Row],[Transaction name]],IF(Transactions[[#This Row],[Level 2]]=Transactions[[#This Row],[L2N]],Transactions[[#This Row],[L1N]],IF(Transactions[[#This Row],[Level 2]]=Transactions[[#This Row],[L3N]],Transactions[[#This Row],[L2N]],IF(Transactions[[#This Row],[Level 2]]=Transactions[[#This Row],[L4N]],Transactions[[#This Row],[L3N]],IF(Transactions[[#This Row],[Level 2]]=Transactions[[#This Row],[L5N]],Transactions[[#This Row],[L4N]],IF(Transactions[[#This Row],[Level 2]]=Transactions[[#This Row],[L6N]],Transactions[[#This Row],[L5N]],IF(Transactions[[#This Row],[Level 2]]=Transactions[[#This Row],[L7N]],Transactions[[#This Row],[L6N]],Transactions[[#This Row],[L7N]]))))))))</f>
        <v>Of which: Hydrogen</v>
      </c>
      <c r="AV216" s="24" t="str">
        <f>IF(Transactions[[#This Row],[Level 3]]=Transactions[[#This Row],[Transaction name]],Transactions[[#This Row],[Transaction name]],IF(Transactions[[#This Row],[Level 3]]=Transactions[[#This Row],[L1N]],Transactions[[#This Row],[Transaction name]],IF(Transactions[[#This Row],[Level 3]]=Transactions[[#This Row],[L2N]],Transactions[[#This Row],[L1N]],IF(Transactions[[#This Row],[Level 3]]=Transactions[[#This Row],[L3N]],Transactions[[#This Row],[L2N]],IF(Transactions[[#This Row],[Level 3]]=Transactions[[#This Row],[L4N]],Transactions[[#This Row],[L3N]],IF(Transactions[[#This Row],[Level 3]]=Transactions[[#This Row],[L5N]],Transactions[[#This Row],[L4N]],IF(Transactions[[#This Row],[Level 3]]=Transactions[[#This Row],[L6N]],Transactions[[#This Row],[L5N]],IF(Transactions[[#This Row],[Level 3]]=Transactions[[#This Row],[L7N]],Transactions[[#This Row],[L6N]],Transactions[[#This Row],[L7N]]))))))))</f>
        <v>Of which: Hydrogen</v>
      </c>
      <c r="AW216" s="24" t="str">
        <f>IF(Transactions[[#This Row],[Level 4]]=Transactions[[#This Row],[Transaction name]],Transactions[[#This Row],[Transaction name]],IF(Transactions[[#This Row],[Level 4]]=Transactions[[#This Row],[L1N]],Transactions[[#This Row],[Transaction name]],IF(Transactions[[#This Row],[Level 4]]=Transactions[[#This Row],[L2N]],Transactions[[#This Row],[L1N]],IF(Transactions[[#This Row],[Level 4]]=Transactions[[#This Row],[L3N]],Transactions[[#This Row],[L2N]],IF(Transactions[[#This Row],[Level 4]]=Transactions[[#This Row],[L4N]],Transactions[[#This Row],[L3N]],IF(Transactions[[#This Row],[Level 4]]=Transactions[[#This Row],[L5N]],Transactions[[#This Row],[L4N]],IF(Transactions[[#This Row],[Level 4]]=Transactions[[#This Row],[L6N]],Transactions[[#This Row],[L5N]],IF(Transactions[[#This Row],[Level 4]]=Transactions[[#This Row],[L7N]],Transactions[[#This Row],[L6N]],Transactions[[#This Row],[L7N]]))))))))</f>
        <v>Of which: Hydrogen</v>
      </c>
      <c r="AX216" s="24" t="str">
        <f>IF(Transactions[[#This Row],[Level 5]]=Transactions[[#This Row],[Transaction name]],Transactions[[#This Row],[Transaction name]],IF(Transactions[[#This Row],[Level 5]]=Transactions[[#This Row],[L1N]],Transactions[[#This Row],[Transaction name]],IF(Transactions[[#This Row],[Level 5]]=Transactions[[#This Row],[L2N]],Transactions[[#This Row],[L1N]],IF(Transactions[[#This Row],[Level 5]]=Transactions[[#This Row],[L3N]],Transactions[[#This Row],[L2N]],IF(Transactions[[#This Row],[Level 5]]=Transactions[[#This Row],[L4N]],Transactions[[#This Row],[L3N]],IF(Transactions[[#This Row],[Level 5]]=Transactions[[#This Row],[L5N]],Transactions[[#This Row],[L4N]],IF(Transactions[[#This Row],[Level 5]]=Transactions[[#This Row],[L6N]],Transactions[[#This Row],[L5N]],IF(Transactions[[#This Row],[Level 5]]=Transactions[[#This Row],[L7N]],Transactions[[#This Row],[L6N]],Transactions[[#This Row],[L7N]]))))))))</f>
        <v>Of which: Hydrogen</v>
      </c>
      <c r="AY216" s="24" t="str">
        <f>IF(Transactions[[#This Row],[Level 6]]=Transactions[[#This Row],[Transaction name]],Transactions[[#This Row],[Transaction name]],IF(Transactions[[#This Row],[Level 6]]=Transactions[[#This Row],[L1N]],Transactions[[#This Row],[Transaction name]],IF(Transactions[[#This Row],[Level 6]]=Transactions[[#This Row],[L2N]],Transactions[[#This Row],[L1N]],IF(Transactions[[#This Row],[Level 6]]=Transactions[[#This Row],[L3N]],Transactions[[#This Row],[L2N]],IF(Transactions[[#This Row],[Level 6]]=Transactions[[#This Row],[L4N]],Transactions[[#This Row],[L3N]],IF(Transactions[[#This Row],[Level 6]]=Transactions[[#This Row],[L5N]],Transactions[[#This Row],[L4N]],IF(Transactions[[#This Row],[Level 6]]=Transactions[[#This Row],[L6N]],Transactions[[#This Row],[L5N]],IF(Transactions[[#This Row],[Level 6]]=Transactions[[#This Row],[L7N]],Transactions[[#This Row],[L6N]],Transactions[[#This Row],[L7N]]))))))))</f>
        <v>Of which: Hydrogen</v>
      </c>
      <c r="BE216" s="26" t="str">
        <f>_xlfn.XLOOKUP(Transformation[[#This Row],[cfrom]],Commodities[Commodity],Commodities[Commodity code])</f>
        <v>0100</v>
      </c>
      <c r="BF216" s="26" t="str">
        <f>_xlfn.XLOOKUP(Transformation[[#This Row],[tfrom]],Transactions[Transaction name],Transactions[Transaction code])</f>
        <v>08832</v>
      </c>
      <c r="BG216" s="26" t="str">
        <f>_xlfn.XLOOKUP(Transformation[[#This Row],[cto]],Commodities[Commodity],Commodities[Commodity code])</f>
        <v>0100</v>
      </c>
      <c r="BH216" s="26" t="str">
        <f>_xlfn.XLOOKUP(Transformation[[#This Row],[tto]],Transactions[Transaction name],Transactions[Transaction code])</f>
        <v>016HCOH</v>
      </c>
      <c r="BI216" s="11">
        <v>1</v>
      </c>
      <c r="BJ216" s="4" t="s">
        <v>532</v>
      </c>
      <c r="BK216" s="24" t="str">
        <f>_xlfn.XLOOKUP(Transformation[[#This Row],[Commodity from]],Commodities[Commodity code],Commodities[EnergyCode])</f>
        <v>CL</v>
      </c>
      <c r="BL216" s="4" t="s">
        <v>694</v>
      </c>
      <c r="BM216" s="4" t="s">
        <v>532</v>
      </c>
      <c r="BN216" s="24" t="str">
        <f>_xlfn.XLOOKUP(Transformation[[#This Row],[Commodity to]],Commodities[Commodity code],Commodities[EnergyCode])</f>
        <v>CL</v>
      </c>
      <c r="BO216" s="4" t="s">
        <v>1191</v>
      </c>
      <c r="BP216" s="16" t="s">
        <v>1493</v>
      </c>
      <c r="BQ216" s="33" t="str">
        <f>Transformation[[#This Row],[Commodity from]]&amp;Transformation[[#This Row],[Transaction from]]&amp;Transformation[[#This Row],[Commodity to]]&amp;Transformation[[#This Row],[Transaction to]]</f>
        <v>0100088320100016HCOH</v>
      </c>
      <c r="BR216" s="26" t="str">
        <f>Transformation[[#This Row],[crfomid]]&amp;Transformation[[#This Row],[Transaction from]]&amp;"("&amp;Transformation[[#This Row],[Multiplier]]&amp;") -&gt; "&amp;Transformation[[#This Row],[ctoid]]&amp;Transformation[[#This Row],[Transaction to]]</f>
        <v>CL08832(1) -&gt; CL016HCOH</v>
      </c>
    </row>
    <row r="217" spans="25:70" x14ac:dyDescent="0.45">
      <c r="Y217" s="5" t="s">
        <v>202</v>
      </c>
      <c r="Z217" s="4" t="s">
        <v>205</v>
      </c>
      <c r="AA217" s="4" t="s">
        <v>205</v>
      </c>
      <c r="AB217" s="4" t="s">
        <v>8</v>
      </c>
      <c r="AC217" s="24" t="str">
        <f>IFERROR(VLOOKUP(Transactions[[#This Row],[Parent code]],Transactions[[Transaction code]:[Transaction name]],2,0),"")</f>
        <v>Total energy supply</v>
      </c>
      <c r="AD217" s="4" t="s">
        <v>631</v>
      </c>
      <c r="AE217" s="4" t="s">
        <v>383</v>
      </c>
      <c r="AF217" s="4" t="s">
        <v>642</v>
      </c>
      <c r="AG217" s="4" t="s">
        <v>1</v>
      </c>
      <c r="AH217" s="4" t="s">
        <v>696</v>
      </c>
      <c r="AK217" s="24" t="str" cm="1">
        <f t="array" ref="AK217">IFERROR(INDEX(Transactions[[Transaction code]:[Transaction name]],_xlfn.XMATCH(Transactions[[#This Row],[Parent code]],Transactions[Transaction name],0),3),Transactions[[#This Row],[Transaction name]])</f>
        <v>Receipts from other sources</v>
      </c>
      <c r="AL217" s="24" t="str" cm="1">
        <f t="array" ref="AL217">IFERROR(INDEX(Transactions[[Transaction code]:[Transaction name]],_xlfn.XMATCH(INDEX(Transactions[[Transaction name]:[Parent code]],_xlfn.XMATCH(Transactions[[#This Row],[L1N]],Transactions[Transaction name],0),3),Transactions[Transaction code],0),2),Transactions[[#This Row],[L1N]])</f>
        <v>Total energy supply</v>
      </c>
      <c r="AM217" s="24" t="str" cm="1">
        <f t="array" ref="AM217">IFERROR(INDEX(Transactions[[Transaction code]:[Transaction name]],_xlfn.XMATCH(INDEX(Transactions[[Transaction name]:[Parent code]],_xlfn.XMATCH(Transactions[[#This Row],[L2N]],Transactions[Transaction name],0),3),Transactions[Transaction code],0),2),Transactions[[#This Row],[L2N]])</f>
        <v>Total energy supply</v>
      </c>
      <c r="AN217" s="24" t="str" cm="1">
        <f t="array" ref="AN217">IFERROR(INDEX(Transactions[[Transaction code]:[Transaction name]],_xlfn.XMATCH(INDEX(Transactions[[Transaction name]:[Parent code]],_xlfn.XMATCH(Transactions[[#This Row],[L3N]],Transactions[Transaction name],0),3),Transactions[Transaction code],0),2),Transactions[[#This Row],[L3N]])</f>
        <v>Total energy supply</v>
      </c>
      <c r="AO217" s="24" t="str" cm="1">
        <f t="array" ref="AO217">IFERROR(INDEX(Transactions[[Transaction code]:[Transaction name]],_xlfn.XMATCH(INDEX(Transactions[[Transaction name]:[Parent code]],_xlfn.XMATCH(Transactions[[#This Row],[L4N]],Transactions[Transaction name],0),3),Transactions[Transaction code],0),2),Transactions[[#This Row],[L4N]])</f>
        <v>Total energy supply</v>
      </c>
      <c r="AP217" s="24" t="str" cm="1">
        <f t="array" ref="AP217">IFERROR(INDEX(Transactions[[Transaction code]:[Transaction name]],_xlfn.XMATCH(INDEX(Transactions[[Transaction name]:[Parent code]],_xlfn.XMATCH(Transactions[[#This Row],[L5N]],Transactions[Transaction name],0),3),Transactions[Transaction code],0),2),Transactions[[#This Row],[L5N]])</f>
        <v>Total energy supply</v>
      </c>
      <c r="AQ217" s="24" t="str" cm="1">
        <f t="array" ref="AQ217">IFERROR(INDEX(Transactions[[Transaction code]:[Transaction name]],_xlfn.XMATCH(INDEX(Transactions[[Transaction name]:[Parent code]],_xlfn.XMATCH(Transactions[[#This Row],[L6N]],Transactions[Transaction name],0),3),Transactions[Transaction code],0),2),Transactions[[#This Row],[L6N]])</f>
        <v>Total energy supply</v>
      </c>
      <c r="AR217" s="28" t="str">
        <f>IF(Transactions[[#This Row],[L7N]]=Transactions[[#This Row],[L6N]],Transactions[[#This Row],[L7N]],IF(Transactions[[#This Row],[L6N]]=Transactions[[#This Row],[L5N]],Transactions[[#This Row],[L6N]],IF(Transactions[[#This Row],[L5N]]=Transactions[[#This Row],[L4N]],Transactions[[#This Row],[L5N]],IF(Transactions[[#This Row],[L4N]]=Transactions[[#This Row],[L3N]],Transactions[[#This Row],[L4N]],IF(Transactions[[#This Row],[L3N]]=Transactions[[#This Row],[L2N]],Transactions[[#This Row],[L3N]],IF(Transactions[[#This Row],[L2N]]=Transactions[[#This Row],[L1N]],Transactions[[#This Row],[L2N]],IF(Transactions[[#This Row],[L1N]]=Transactions[[#This Row],[Transaction name]],Transactions[[#This Row],[L1N]],Transactions[[#This Row],[Transaction name]])))))))</f>
        <v>Total energy supply</v>
      </c>
      <c r="AS217" s="24" t="str">
        <f>IF(Transactions[[#This Row],[Level 0]]=Transactions[[#This Row],[Transaction name]],Transactions[[#This Row],[Transaction name]],IF(Transactions[[#This Row],[Level 0]]=Transactions[[#This Row],[L1N]],Transactions[[#This Row],[Transaction name]],IF(Transactions[[#This Row],[Level 0]]=Transactions[[#This Row],[L2N]],Transactions[[#This Row],[L1N]],IF(Transactions[[#This Row],[Level 0]]=Transactions[[#This Row],[L3N]],Transactions[[#This Row],[L2N]],IF(Transactions[[#This Row],[Level 0]]=Transactions[[#This Row],[L4N]],Transactions[[#This Row],[L3N]],IF(Transactions[[#This Row],[Level 0]]=Transactions[[#This Row],[L5N]],Transactions[[#This Row],[L4N]],IF(Transactions[[#This Row],[Level 0]]=Transactions[[#This Row],[L6N]],Transactions[[#This Row],[L5N]],IF(Transactions[[#This Row],[Level 0]]=Transactions[[#This Row],[L7N]],Transactions[[#This Row],[L6N]],Transactions[[#This Row],[L7N]]))))))))</f>
        <v>Receipts from other sources</v>
      </c>
      <c r="AT217" s="24" t="str">
        <f>IF(Transactions[[#This Row],[Level 1]]=Transactions[[#This Row],[Transaction name]],Transactions[[#This Row],[Transaction name]],IF(Transactions[[#This Row],[Level 1]]=Transactions[[#This Row],[L1N]],Transactions[[#This Row],[Transaction name]],IF(Transactions[[#This Row],[Level 1]]=Transactions[[#This Row],[L2N]],Transactions[[#This Row],[L1N]],IF(Transactions[[#This Row],[Level 1]]=Transactions[[#This Row],[L3N]],Transactions[[#This Row],[L2N]],IF(Transactions[[#This Row],[Level 1]]=Transactions[[#This Row],[L4N]],Transactions[[#This Row],[L3N]],IF(Transactions[[#This Row],[Level 1]]=Transactions[[#This Row],[L5N]],Transactions[[#This Row],[L4N]],IF(Transactions[[#This Row],[Level 1]]=Transactions[[#This Row],[L6N]],Transactions[[#This Row],[L5N]],IF(Transactions[[#This Row],[Level 1]]=Transactions[[#This Row],[L7N]],Transactions[[#This Row],[L6N]],Transactions[[#This Row],[L7N]]))))))))</f>
        <v>Receipts from other sources</v>
      </c>
      <c r="AU217" s="24" t="str">
        <f>IF(Transactions[[#This Row],[Level 2]]=Transactions[[#This Row],[Transaction name]],Transactions[[#This Row],[Transaction name]],IF(Transactions[[#This Row],[Level 2]]=Transactions[[#This Row],[L1N]],Transactions[[#This Row],[Transaction name]],IF(Transactions[[#This Row],[Level 2]]=Transactions[[#This Row],[L2N]],Transactions[[#This Row],[L1N]],IF(Transactions[[#This Row],[Level 2]]=Transactions[[#This Row],[L3N]],Transactions[[#This Row],[L2N]],IF(Transactions[[#This Row],[Level 2]]=Transactions[[#This Row],[L4N]],Transactions[[#This Row],[L3N]],IF(Transactions[[#This Row],[Level 2]]=Transactions[[#This Row],[L5N]],Transactions[[#This Row],[L4N]],IF(Transactions[[#This Row],[Level 2]]=Transactions[[#This Row],[L6N]],Transactions[[#This Row],[L5N]],IF(Transactions[[#This Row],[Level 2]]=Transactions[[#This Row],[L7N]],Transactions[[#This Row],[L6N]],Transactions[[#This Row],[L7N]]))))))))</f>
        <v>Receipts from other sources</v>
      </c>
      <c r="AV217" s="24" t="str">
        <f>IF(Transactions[[#This Row],[Level 3]]=Transactions[[#This Row],[Transaction name]],Transactions[[#This Row],[Transaction name]],IF(Transactions[[#This Row],[Level 3]]=Transactions[[#This Row],[L1N]],Transactions[[#This Row],[Transaction name]],IF(Transactions[[#This Row],[Level 3]]=Transactions[[#This Row],[L2N]],Transactions[[#This Row],[L1N]],IF(Transactions[[#This Row],[Level 3]]=Transactions[[#This Row],[L3N]],Transactions[[#This Row],[L2N]],IF(Transactions[[#This Row],[Level 3]]=Transactions[[#This Row],[L4N]],Transactions[[#This Row],[L3N]],IF(Transactions[[#This Row],[Level 3]]=Transactions[[#This Row],[L5N]],Transactions[[#This Row],[L4N]],IF(Transactions[[#This Row],[Level 3]]=Transactions[[#This Row],[L6N]],Transactions[[#This Row],[L5N]],IF(Transactions[[#This Row],[Level 3]]=Transactions[[#This Row],[L7N]],Transactions[[#This Row],[L6N]],Transactions[[#This Row],[L7N]]))))))))</f>
        <v>Receipts from other sources</v>
      </c>
      <c r="AW217" s="24" t="str">
        <f>IF(Transactions[[#This Row],[Level 4]]=Transactions[[#This Row],[Transaction name]],Transactions[[#This Row],[Transaction name]],IF(Transactions[[#This Row],[Level 4]]=Transactions[[#This Row],[L1N]],Transactions[[#This Row],[Transaction name]],IF(Transactions[[#This Row],[Level 4]]=Transactions[[#This Row],[L2N]],Transactions[[#This Row],[L1N]],IF(Transactions[[#This Row],[Level 4]]=Transactions[[#This Row],[L3N]],Transactions[[#This Row],[L2N]],IF(Transactions[[#This Row],[Level 4]]=Transactions[[#This Row],[L4N]],Transactions[[#This Row],[L3N]],IF(Transactions[[#This Row],[Level 4]]=Transactions[[#This Row],[L5N]],Transactions[[#This Row],[L4N]],IF(Transactions[[#This Row],[Level 4]]=Transactions[[#This Row],[L6N]],Transactions[[#This Row],[L5N]],IF(Transactions[[#This Row],[Level 4]]=Transactions[[#This Row],[L7N]],Transactions[[#This Row],[L6N]],Transactions[[#This Row],[L7N]]))))))))</f>
        <v>Receipts from other sources</v>
      </c>
      <c r="AX217" s="24" t="str">
        <f>IF(Transactions[[#This Row],[Level 5]]=Transactions[[#This Row],[Transaction name]],Transactions[[#This Row],[Transaction name]],IF(Transactions[[#This Row],[Level 5]]=Transactions[[#This Row],[L1N]],Transactions[[#This Row],[Transaction name]],IF(Transactions[[#This Row],[Level 5]]=Transactions[[#This Row],[L2N]],Transactions[[#This Row],[L1N]],IF(Transactions[[#This Row],[Level 5]]=Transactions[[#This Row],[L3N]],Transactions[[#This Row],[L2N]],IF(Transactions[[#This Row],[Level 5]]=Transactions[[#This Row],[L4N]],Transactions[[#This Row],[L3N]],IF(Transactions[[#This Row],[Level 5]]=Transactions[[#This Row],[L5N]],Transactions[[#This Row],[L4N]],IF(Transactions[[#This Row],[Level 5]]=Transactions[[#This Row],[L6N]],Transactions[[#This Row],[L5N]],IF(Transactions[[#This Row],[Level 5]]=Transactions[[#This Row],[L7N]],Transactions[[#This Row],[L6N]],Transactions[[#This Row],[L7N]]))))))))</f>
        <v>Receipts from other sources</v>
      </c>
      <c r="AY217" s="24" t="str">
        <f>IF(Transactions[[#This Row],[Level 6]]=Transactions[[#This Row],[Transaction name]],Transactions[[#This Row],[Transaction name]],IF(Transactions[[#This Row],[Level 6]]=Transactions[[#This Row],[L1N]],Transactions[[#This Row],[Transaction name]],IF(Transactions[[#This Row],[Level 6]]=Transactions[[#This Row],[L2N]],Transactions[[#This Row],[L1N]],IF(Transactions[[#This Row],[Level 6]]=Transactions[[#This Row],[L3N]],Transactions[[#This Row],[L2N]],IF(Transactions[[#This Row],[Level 6]]=Transactions[[#This Row],[L4N]],Transactions[[#This Row],[L3N]],IF(Transactions[[#This Row],[Level 6]]=Transactions[[#This Row],[L5N]],Transactions[[#This Row],[L4N]],IF(Transactions[[#This Row],[Level 6]]=Transactions[[#This Row],[L6N]],Transactions[[#This Row],[L5N]],IF(Transactions[[#This Row],[Level 6]]=Transactions[[#This Row],[L7N]],Transactions[[#This Row],[L6N]],Transactions[[#This Row],[L7N]]))))))))</f>
        <v>Receipts from other sources</v>
      </c>
      <c r="BE217" s="26" t="str">
        <f>_xlfn.XLOOKUP(Transformation[[#This Row],[cfrom]],Commodities[Commodity],Commodities[Commodity code])</f>
        <v>4100</v>
      </c>
      <c r="BF217" s="26" t="str">
        <f>_xlfn.XLOOKUP(Transformation[[#This Row],[tfrom]],Transactions[Transaction name],Transactions[Transaction code])</f>
        <v>08832</v>
      </c>
      <c r="BG217" s="26" t="str">
        <f>_xlfn.XLOOKUP(Transformation[[#This Row],[cto]],Commodities[Commodity],Commodities[Commodity code])</f>
        <v>4100</v>
      </c>
      <c r="BH217" s="26" t="str">
        <f>_xlfn.XLOOKUP(Transformation[[#This Row],[tto]],Transactions[Transaction name],Transactions[Transaction code])</f>
        <v>016COH</v>
      </c>
      <c r="BI217" s="11">
        <v>1</v>
      </c>
      <c r="BJ217" s="4" t="s">
        <v>439</v>
      </c>
      <c r="BK217" s="24" t="str">
        <f>_xlfn.XLOOKUP(Transformation[[#This Row],[Commodity from]],Commodities[Commodity code],Commodities[EnergyCode])</f>
        <v>CR</v>
      </c>
      <c r="BL217" s="4" t="s">
        <v>694</v>
      </c>
      <c r="BM217" s="4" t="s">
        <v>439</v>
      </c>
      <c r="BN217" s="24" t="str">
        <f>_xlfn.XLOOKUP(Transformation[[#This Row],[Commodity to]],Commodities[Commodity code],Commodities[EnergyCode])</f>
        <v>CR</v>
      </c>
      <c r="BO217" s="4" t="s">
        <v>1231</v>
      </c>
      <c r="BP217" s="16" t="s">
        <v>1493</v>
      </c>
      <c r="BQ217" s="33" t="str">
        <f>Transformation[[#This Row],[Commodity from]]&amp;Transformation[[#This Row],[Transaction from]]&amp;Transformation[[#This Row],[Commodity to]]&amp;Transformation[[#This Row],[Transaction to]]</f>
        <v>4100088324100016COH</v>
      </c>
      <c r="BR217" s="26" t="str">
        <f>Transformation[[#This Row],[crfomid]]&amp;Transformation[[#This Row],[Transaction from]]&amp;"("&amp;Transformation[[#This Row],[Multiplier]]&amp;") -&gt; "&amp;Transformation[[#This Row],[ctoid]]&amp;Transformation[[#This Row],[Transaction to]]</f>
        <v>CR08832(1) -&gt; CR016COH</v>
      </c>
    </row>
    <row r="218" spans="25:70" x14ac:dyDescent="0.45">
      <c r="Y218" s="5" t="s">
        <v>193</v>
      </c>
      <c r="Z218" s="4" t="s">
        <v>192</v>
      </c>
      <c r="AA218" s="4" t="s">
        <v>192</v>
      </c>
      <c r="AB218" s="4" t="s">
        <v>8</v>
      </c>
      <c r="AC218" s="24" t="str">
        <f>IFERROR(VLOOKUP(Transactions[[#This Row],[Parent code]],Transactions[[Transaction code]:[Transaction name]],2,0),"")</f>
        <v>Total energy supply</v>
      </c>
      <c r="AD218" s="4" t="s">
        <v>631</v>
      </c>
      <c r="AE218" s="4" t="s">
        <v>192</v>
      </c>
      <c r="AF218" s="4" t="s">
        <v>643</v>
      </c>
      <c r="AG218" s="4" t="s">
        <v>1</v>
      </c>
      <c r="AH218" s="4" t="s">
        <v>695</v>
      </c>
      <c r="AK218" s="24" t="str" cm="1">
        <f t="array" ref="AK218">IFERROR(INDEX(Transactions[[Transaction code]:[Transaction name]],_xlfn.XMATCH(Transactions[[#This Row],[Parent code]],Transactions[Transaction name],0),3),Transactions[[#This Row],[Transaction name]])</f>
        <v>Stock changes</v>
      </c>
      <c r="AL218" s="24" t="str" cm="1">
        <f t="array" ref="AL218">IFERROR(INDEX(Transactions[[Transaction code]:[Transaction name]],_xlfn.XMATCH(INDEX(Transactions[[Transaction name]:[Parent code]],_xlfn.XMATCH(Transactions[[#This Row],[L1N]],Transactions[Transaction name],0),3),Transactions[Transaction code],0),2),Transactions[[#This Row],[L1N]])</f>
        <v>Total energy supply</v>
      </c>
      <c r="AM218" s="24" t="str" cm="1">
        <f t="array" ref="AM218">IFERROR(INDEX(Transactions[[Transaction code]:[Transaction name]],_xlfn.XMATCH(INDEX(Transactions[[Transaction name]:[Parent code]],_xlfn.XMATCH(Transactions[[#This Row],[L2N]],Transactions[Transaction name],0),3),Transactions[Transaction code],0),2),Transactions[[#This Row],[L2N]])</f>
        <v>Total energy supply</v>
      </c>
      <c r="AN218" s="24" t="str" cm="1">
        <f t="array" ref="AN218">IFERROR(INDEX(Transactions[[Transaction code]:[Transaction name]],_xlfn.XMATCH(INDEX(Transactions[[Transaction name]:[Parent code]],_xlfn.XMATCH(Transactions[[#This Row],[L3N]],Transactions[Transaction name],0),3),Transactions[Transaction code],0),2),Transactions[[#This Row],[L3N]])</f>
        <v>Total energy supply</v>
      </c>
      <c r="AO218" s="24" t="str" cm="1">
        <f t="array" ref="AO218">IFERROR(INDEX(Transactions[[Transaction code]:[Transaction name]],_xlfn.XMATCH(INDEX(Transactions[[Transaction name]:[Parent code]],_xlfn.XMATCH(Transactions[[#This Row],[L4N]],Transactions[Transaction name],0),3),Transactions[Transaction code],0),2),Transactions[[#This Row],[L4N]])</f>
        <v>Total energy supply</v>
      </c>
      <c r="AP218" s="24" t="str" cm="1">
        <f t="array" ref="AP218">IFERROR(INDEX(Transactions[[Transaction code]:[Transaction name]],_xlfn.XMATCH(INDEX(Transactions[[Transaction name]:[Parent code]],_xlfn.XMATCH(Transactions[[#This Row],[L5N]],Transactions[Transaction name],0),3),Transactions[Transaction code],0),2),Transactions[[#This Row],[L5N]])</f>
        <v>Total energy supply</v>
      </c>
      <c r="AQ218" s="24" t="str" cm="1">
        <f t="array" ref="AQ218">IFERROR(INDEX(Transactions[[Transaction code]:[Transaction name]],_xlfn.XMATCH(INDEX(Transactions[[Transaction name]:[Parent code]],_xlfn.XMATCH(Transactions[[#This Row],[L6N]],Transactions[Transaction name],0),3),Transactions[Transaction code],0),2),Transactions[[#This Row],[L6N]])</f>
        <v>Total energy supply</v>
      </c>
      <c r="AR218" s="28" t="str">
        <f>IF(Transactions[[#This Row],[L7N]]=Transactions[[#This Row],[L6N]],Transactions[[#This Row],[L7N]],IF(Transactions[[#This Row],[L6N]]=Transactions[[#This Row],[L5N]],Transactions[[#This Row],[L6N]],IF(Transactions[[#This Row],[L5N]]=Transactions[[#This Row],[L4N]],Transactions[[#This Row],[L5N]],IF(Transactions[[#This Row],[L4N]]=Transactions[[#This Row],[L3N]],Transactions[[#This Row],[L4N]],IF(Transactions[[#This Row],[L3N]]=Transactions[[#This Row],[L2N]],Transactions[[#This Row],[L3N]],IF(Transactions[[#This Row],[L2N]]=Transactions[[#This Row],[L1N]],Transactions[[#This Row],[L2N]],IF(Transactions[[#This Row],[L1N]]=Transactions[[#This Row],[Transaction name]],Transactions[[#This Row],[L1N]],Transactions[[#This Row],[Transaction name]])))))))</f>
        <v>Total energy supply</v>
      </c>
      <c r="AS218" s="24" t="str">
        <f>IF(Transactions[[#This Row],[Level 0]]=Transactions[[#This Row],[Transaction name]],Transactions[[#This Row],[Transaction name]],IF(Transactions[[#This Row],[Level 0]]=Transactions[[#This Row],[L1N]],Transactions[[#This Row],[Transaction name]],IF(Transactions[[#This Row],[Level 0]]=Transactions[[#This Row],[L2N]],Transactions[[#This Row],[L1N]],IF(Transactions[[#This Row],[Level 0]]=Transactions[[#This Row],[L3N]],Transactions[[#This Row],[L2N]],IF(Transactions[[#This Row],[Level 0]]=Transactions[[#This Row],[L4N]],Transactions[[#This Row],[L3N]],IF(Transactions[[#This Row],[Level 0]]=Transactions[[#This Row],[L5N]],Transactions[[#This Row],[L4N]],IF(Transactions[[#This Row],[Level 0]]=Transactions[[#This Row],[L6N]],Transactions[[#This Row],[L5N]],IF(Transactions[[#This Row],[Level 0]]=Transactions[[#This Row],[L7N]],Transactions[[#This Row],[L6N]],Transactions[[#This Row],[L7N]]))))))))</f>
        <v>Stock changes</v>
      </c>
      <c r="AT218" s="24" t="str">
        <f>IF(Transactions[[#This Row],[Level 1]]=Transactions[[#This Row],[Transaction name]],Transactions[[#This Row],[Transaction name]],IF(Transactions[[#This Row],[Level 1]]=Transactions[[#This Row],[L1N]],Transactions[[#This Row],[Transaction name]],IF(Transactions[[#This Row],[Level 1]]=Transactions[[#This Row],[L2N]],Transactions[[#This Row],[L1N]],IF(Transactions[[#This Row],[Level 1]]=Transactions[[#This Row],[L3N]],Transactions[[#This Row],[L2N]],IF(Transactions[[#This Row],[Level 1]]=Transactions[[#This Row],[L4N]],Transactions[[#This Row],[L3N]],IF(Transactions[[#This Row],[Level 1]]=Transactions[[#This Row],[L5N]],Transactions[[#This Row],[L4N]],IF(Transactions[[#This Row],[Level 1]]=Transactions[[#This Row],[L6N]],Transactions[[#This Row],[L5N]],IF(Transactions[[#This Row],[Level 1]]=Transactions[[#This Row],[L7N]],Transactions[[#This Row],[L6N]],Transactions[[#This Row],[L7N]]))))))))</f>
        <v>Stock changes</v>
      </c>
      <c r="AU218" s="24" t="str">
        <f>IF(Transactions[[#This Row],[Level 2]]=Transactions[[#This Row],[Transaction name]],Transactions[[#This Row],[Transaction name]],IF(Transactions[[#This Row],[Level 2]]=Transactions[[#This Row],[L1N]],Transactions[[#This Row],[Transaction name]],IF(Transactions[[#This Row],[Level 2]]=Transactions[[#This Row],[L2N]],Transactions[[#This Row],[L1N]],IF(Transactions[[#This Row],[Level 2]]=Transactions[[#This Row],[L3N]],Transactions[[#This Row],[L2N]],IF(Transactions[[#This Row],[Level 2]]=Transactions[[#This Row],[L4N]],Transactions[[#This Row],[L3N]],IF(Transactions[[#This Row],[Level 2]]=Transactions[[#This Row],[L5N]],Transactions[[#This Row],[L4N]],IF(Transactions[[#This Row],[Level 2]]=Transactions[[#This Row],[L6N]],Transactions[[#This Row],[L5N]],IF(Transactions[[#This Row],[Level 2]]=Transactions[[#This Row],[L7N]],Transactions[[#This Row],[L6N]],Transactions[[#This Row],[L7N]]))))))))</f>
        <v>Stock changes</v>
      </c>
      <c r="AV218" s="24" t="str">
        <f>IF(Transactions[[#This Row],[Level 3]]=Transactions[[#This Row],[Transaction name]],Transactions[[#This Row],[Transaction name]],IF(Transactions[[#This Row],[Level 3]]=Transactions[[#This Row],[L1N]],Transactions[[#This Row],[Transaction name]],IF(Transactions[[#This Row],[Level 3]]=Transactions[[#This Row],[L2N]],Transactions[[#This Row],[L1N]],IF(Transactions[[#This Row],[Level 3]]=Transactions[[#This Row],[L3N]],Transactions[[#This Row],[L2N]],IF(Transactions[[#This Row],[Level 3]]=Transactions[[#This Row],[L4N]],Transactions[[#This Row],[L3N]],IF(Transactions[[#This Row],[Level 3]]=Transactions[[#This Row],[L5N]],Transactions[[#This Row],[L4N]],IF(Transactions[[#This Row],[Level 3]]=Transactions[[#This Row],[L6N]],Transactions[[#This Row],[L5N]],IF(Transactions[[#This Row],[Level 3]]=Transactions[[#This Row],[L7N]],Transactions[[#This Row],[L6N]],Transactions[[#This Row],[L7N]]))))))))</f>
        <v>Stock changes</v>
      </c>
      <c r="AW218" s="24" t="str">
        <f>IF(Transactions[[#This Row],[Level 4]]=Transactions[[#This Row],[Transaction name]],Transactions[[#This Row],[Transaction name]],IF(Transactions[[#This Row],[Level 4]]=Transactions[[#This Row],[L1N]],Transactions[[#This Row],[Transaction name]],IF(Transactions[[#This Row],[Level 4]]=Transactions[[#This Row],[L2N]],Transactions[[#This Row],[L1N]],IF(Transactions[[#This Row],[Level 4]]=Transactions[[#This Row],[L3N]],Transactions[[#This Row],[L2N]],IF(Transactions[[#This Row],[Level 4]]=Transactions[[#This Row],[L4N]],Transactions[[#This Row],[L3N]],IF(Transactions[[#This Row],[Level 4]]=Transactions[[#This Row],[L5N]],Transactions[[#This Row],[L4N]],IF(Transactions[[#This Row],[Level 4]]=Transactions[[#This Row],[L6N]],Transactions[[#This Row],[L5N]],IF(Transactions[[#This Row],[Level 4]]=Transactions[[#This Row],[L7N]],Transactions[[#This Row],[L6N]],Transactions[[#This Row],[L7N]]))))))))</f>
        <v>Stock changes</v>
      </c>
      <c r="AX218" s="24" t="str">
        <f>IF(Transactions[[#This Row],[Level 5]]=Transactions[[#This Row],[Transaction name]],Transactions[[#This Row],[Transaction name]],IF(Transactions[[#This Row],[Level 5]]=Transactions[[#This Row],[L1N]],Transactions[[#This Row],[Transaction name]],IF(Transactions[[#This Row],[Level 5]]=Transactions[[#This Row],[L2N]],Transactions[[#This Row],[L1N]],IF(Transactions[[#This Row],[Level 5]]=Transactions[[#This Row],[L3N]],Transactions[[#This Row],[L2N]],IF(Transactions[[#This Row],[Level 5]]=Transactions[[#This Row],[L4N]],Transactions[[#This Row],[L3N]],IF(Transactions[[#This Row],[Level 5]]=Transactions[[#This Row],[L5N]],Transactions[[#This Row],[L4N]],IF(Transactions[[#This Row],[Level 5]]=Transactions[[#This Row],[L6N]],Transactions[[#This Row],[L5N]],IF(Transactions[[#This Row],[Level 5]]=Transactions[[#This Row],[L7N]],Transactions[[#This Row],[L6N]],Transactions[[#This Row],[L7N]]))))))))</f>
        <v>Stock changes</v>
      </c>
      <c r="AY218" s="24" t="str">
        <f>IF(Transactions[[#This Row],[Level 6]]=Transactions[[#This Row],[Transaction name]],Transactions[[#This Row],[Transaction name]],IF(Transactions[[#This Row],[Level 6]]=Transactions[[#This Row],[L1N]],Transactions[[#This Row],[Transaction name]],IF(Transactions[[#This Row],[Level 6]]=Transactions[[#This Row],[L2N]],Transactions[[#This Row],[L1N]],IF(Transactions[[#This Row],[Level 6]]=Transactions[[#This Row],[L3N]],Transactions[[#This Row],[L2N]],IF(Transactions[[#This Row],[Level 6]]=Transactions[[#This Row],[L4N]],Transactions[[#This Row],[L3N]],IF(Transactions[[#This Row],[Level 6]]=Transactions[[#This Row],[L5N]],Transactions[[#This Row],[L4N]],IF(Transactions[[#This Row],[Level 6]]=Transactions[[#This Row],[L6N]],Transactions[[#This Row],[L5N]],IF(Transactions[[#This Row],[Level 6]]=Transactions[[#This Row],[L7N]],Transactions[[#This Row],[L6N]],Transactions[[#This Row],[L7N]]))))))))</f>
        <v>Stock changes</v>
      </c>
      <c r="BE218" s="26" t="str">
        <f>_xlfn.XLOOKUP(Transformation[[#This Row],[cfrom]],Commodities[Commodity],Commodities[Commodity code])</f>
        <v>0340</v>
      </c>
      <c r="BF218" s="26" t="str">
        <f>_xlfn.XLOOKUP(Transformation[[#This Row],[tfrom]],Transactions[Transaction name],Transactions[Transaction code])</f>
        <v>08832</v>
      </c>
      <c r="BG218" s="26" t="str">
        <f>_xlfn.XLOOKUP(Transformation[[#This Row],[cto]],Commodities[Commodity],Commodities[Commodity code])</f>
        <v>0340</v>
      </c>
      <c r="BH218" s="26" t="str">
        <f>_xlfn.XLOOKUP(Transformation[[#This Row],[tto]],Transactions[Transaction name],Transactions[Transaction code])</f>
        <v>016CSH</v>
      </c>
      <c r="BI218" s="11">
        <v>1</v>
      </c>
      <c r="BJ218" s="4" t="s">
        <v>489</v>
      </c>
      <c r="BK218" s="24" t="str">
        <f>_xlfn.XLOOKUP(Transformation[[#This Row],[Commodity from]],Commodities[Commodity code],Commodities[EnergyCode])</f>
        <v>CT</v>
      </c>
      <c r="BL218" s="4" t="s">
        <v>694</v>
      </c>
      <c r="BM218" s="4" t="s">
        <v>489</v>
      </c>
      <c r="BN218" s="24" t="str">
        <f>_xlfn.XLOOKUP(Transformation[[#This Row],[Commodity to]],Commodities[Commodity code],Commodities[EnergyCode])</f>
        <v>CT</v>
      </c>
      <c r="BO218" s="4" t="s">
        <v>1215</v>
      </c>
      <c r="BP218" s="16" t="s">
        <v>1493</v>
      </c>
      <c r="BQ218" s="33" t="str">
        <f>Transformation[[#This Row],[Commodity from]]&amp;Transformation[[#This Row],[Transaction from]]&amp;Transformation[[#This Row],[Commodity to]]&amp;Transformation[[#This Row],[Transaction to]]</f>
        <v>0340088320340016CSH</v>
      </c>
      <c r="BR218" s="26" t="str">
        <f>Transformation[[#This Row],[crfomid]]&amp;Transformation[[#This Row],[Transaction from]]&amp;"("&amp;Transformation[[#This Row],[Multiplier]]&amp;") -&gt; "&amp;Transformation[[#This Row],[ctoid]]&amp;Transformation[[#This Row],[Transaction to]]</f>
        <v>CT08832(1) -&gt; CT016CSH</v>
      </c>
    </row>
    <row r="219" spans="25:70" x14ac:dyDescent="0.45">
      <c r="Y219" s="5" t="s">
        <v>8</v>
      </c>
      <c r="Z219" s="4" t="s">
        <v>7</v>
      </c>
      <c r="AA219" s="4" t="s">
        <v>7</v>
      </c>
      <c r="AB219" s="6"/>
      <c r="AC219" s="24" t="str">
        <f>IFERROR(VLOOKUP(Transactions[[#This Row],[Parent code]],Transactions[[Transaction code]:[Transaction name]],2,0),"")</f>
        <v/>
      </c>
      <c r="AD219" s="4" t="s">
        <v>631</v>
      </c>
      <c r="AF219" s="4" t="s">
        <v>642</v>
      </c>
      <c r="AG219" s="4" t="s">
        <v>1</v>
      </c>
      <c r="AH219" s="4" t="s">
        <v>696</v>
      </c>
      <c r="AJ219" s="4" t="s">
        <v>0</v>
      </c>
      <c r="AK219" s="24" t="str" cm="1">
        <f t="array" ref="AK219">IFERROR(INDEX(Transactions[[Transaction code]:[Transaction name]],_xlfn.XMATCH(Transactions[[#This Row],[Parent code]],Transactions[Transaction name],0),3),Transactions[[#This Row],[Transaction name]])</f>
        <v>Total energy supply</v>
      </c>
      <c r="AL219" s="24" t="str" cm="1">
        <f t="array" ref="AL219">IFERROR(INDEX(Transactions[[Transaction code]:[Transaction name]],_xlfn.XMATCH(INDEX(Transactions[[Transaction name]:[Parent code]],_xlfn.XMATCH(Transactions[[#This Row],[L1N]],Transactions[Transaction name],0),3),Transactions[Transaction code],0),2),Transactions[[#This Row],[L1N]])</f>
        <v>Total energy supply</v>
      </c>
      <c r="AM219" s="24" t="str" cm="1">
        <f t="array" ref="AM219">IFERROR(INDEX(Transactions[[Transaction code]:[Transaction name]],_xlfn.XMATCH(INDEX(Transactions[[Transaction name]:[Parent code]],_xlfn.XMATCH(Transactions[[#This Row],[L2N]],Transactions[Transaction name],0),3),Transactions[Transaction code],0),2),Transactions[[#This Row],[L2N]])</f>
        <v>Total energy supply</v>
      </c>
      <c r="AN219" s="24" t="str" cm="1">
        <f t="array" ref="AN219">IFERROR(INDEX(Transactions[[Transaction code]:[Transaction name]],_xlfn.XMATCH(INDEX(Transactions[[Transaction name]:[Parent code]],_xlfn.XMATCH(Transactions[[#This Row],[L3N]],Transactions[Transaction name],0),3),Transactions[Transaction code],0),2),Transactions[[#This Row],[L3N]])</f>
        <v>Total energy supply</v>
      </c>
      <c r="AO219" s="24" t="str" cm="1">
        <f t="array" ref="AO219">IFERROR(INDEX(Transactions[[Transaction code]:[Transaction name]],_xlfn.XMATCH(INDEX(Transactions[[Transaction name]:[Parent code]],_xlfn.XMATCH(Transactions[[#This Row],[L4N]],Transactions[Transaction name],0),3),Transactions[Transaction code],0),2),Transactions[[#This Row],[L4N]])</f>
        <v>Total energy supply</v>
      </c>
      <c r="AP219" s="24" t="str" cm="1">
        <f t="array" ref="AP219">IFERROR(INDEX(Transactions[[Transaction code]:[Transaction name]],_xlfn.XMATCH(INDEX(Transactions[[Transaction name]:[Parent code]],_xlfn.XMATCH(Transactions[[#This Row],[L5N]],Transactions[Transaction name],0),3),Transactions[Transaction code],0),2),Transactions[[#This Row],[L5N]])</f>
        <v>Total energy supply</v>
      </c>
      <c r="AQ219" s="24" t="str" cm="1">
        <f t="array" ref="AQ219">IFERROR(INDEX(Transactions[[Transaction code]:[Transaction name]],_xlfn.XMATCH(INDEX(Transactions[[Transaction name]:[Parent code]],_xlfn.XMATCH(Transactions[[#This Row],[L6N]],Transactions[Transaction name],0),3),Transactions[Transaction code],0),2),Transactions[[#This Row],[L6N]])</f>
        <v>Total energy supply</v>
      </c>
      <c r="AR219" s="28" t="str">
        <f>IF(Transactions[[#This Row],[L7N]]=Transactions[[#This Row],[L6N]],Transactions[[#This Row],[L7N]],IF(Transactions[[#This Row],[L6N]]=Transactions[[#This Row],[L5N]],Transactions[[#This Row],[L6N]],IF(Transactions[[#This Row],[L5N]]=Transactions[[#This Row],[L4N]],Transactions[[#This Row],[L5N]],IF(Transactions[[#This Row],[L4N]]=Transactions[[#This Row],[L3N]],Transactions[[#This Row],[L4N]],IF(Transactions[[#This Row],[L3N]]=Transactions[[#This Row],[L2N]],Transactions[[#This Row],[L3N]],IF(Transactions[[#This Row],[L2N]]=Transactions[[#This Row],[L1N]],Transactions[[#This Row],[L2N]],IF(Transactions[[#This Row],[L1N]]=Transactions[[#This Row],[Transaction name]],Transactions[[#This Row],[L1N]],Transactions[[#This Row],[Transaction name]])))))))</f>
        <v>Total energy supply</v>
      </c>
      <c r="AS219" s="24" t="str">
        <f>IF(Transactions[[#This Row],[Level 0]]=Transactions[[#This Row],[Transaction name]],Transactions[[#This Row],[Transaction name]],IF(Transactions[[#This Row],[Level 0]]=Transactions[[#This Row],[L1N]],Transactions[[#This Row],[Transaction name]],IF(Transactions[[#This Row],[Level 0]]=Transactions[[#This Row],[L2N]],Transactions[[#This Row],[L1N]],IF(Transactions[[#This Row],[Level 0]]=Transactions[[#This Row],[L3N]],Transactions[[#This Row],[L2N]],IF(Transactions[[#This Row],[Level 0]]=Transactions[[#This Row],[L4N]],Transactions[[#This Row],[L3N]],IF(Transactions[[#This Row],[Level 0]]=Transactions[[#This Row],[L5N]],Transactions[[#This Row],[L4N]],IF(Transactions[[#This Row],[Level 0]]=Transactions[[#This Row],[L6N]],Transactions[[#This Row],[L5N]],IF(Transactions[[#This Row],[Level 0]]=Transactions[[#This Row],[L7N]],Transactions[[#This Row],[L6N]],Transactions[[#This Row],[L7N]]))))))))</f>
        <v>Total energy supply</v>
      </c>
      <c r="AT219" s="24" t="str">
        <f>IF(Transactions[[#This Row],[Level 1]]=Transactions[[#This Row],[Transaction name]],Transactions[[#This Row],[Transaction name]],IF(Transactions[[#This Row],[Level 1]]=Transactions[[#This Row],[L1N]],Transactions[[#This Row],[Transaction name]],IF(Transactions[[#This Row],[Level 1]]=Transactions[[#This Row],[L2N]],Transactions[[#This Row],[L1N]],IF(Transactions[[#This Row],[Level 1]]=Transactions[[#This Row],[L3N]],Transactions[[#This Row],[L2N]],IF(Transactions[[#This Row],[Level 1]]=Transactions[[#This Row],[L4N]],Transactions[[#This Row],[L3N]],IF(Transactions[[#This Row],[Level 1]]=Transactions[[#This Row],[L5N]],Transactions[[#This Row],[L4N]],IF(Transactions[[#This Row],[Level 1]]=Transactions[[#This Row],[L6N]],Transactions[[#This Row],[L5N]],IF(Transactions[[#This Row],[Level 1]]=Transactions[[#This Row],[L7N]],Transactions[[#This Row],[L6N]],Transactions[[#This Row],[L7N]]))))))))</f>
        <v>Total energy supply</v>
      </c>
      <c r="AU219" s="24" t="str">
        <f>IF(Transactions[[#This Row],[Level 2]]=Transactions[[#This Row],[Transaction name]],Transactions[[#This Row],[Transaction name]],IF(Transactions[[#This Row],[Level 2]]=Transactions[[#This Row],[L1N]],Transactions[[#This Row],[Transaction name]],IF(Transactions[[#This Row],[Level 2]]=Transactions[[#This Row],[L2N]],Transactions[[#This Row],[L1N]],IF(Transactions[[#This Row],[Level 2]]=Transactions[[#This Row],[L3N]],Transactions[[#This Row],[L2N]],IF(Transactions[[#This Row],[Level 2]]=Transactions[[#This Row],[L4N]],Transactions[[#This Row],[L3N]],IF(Transactions[[#This Row],[Level 2]]=Transactions[[#This Row],[L5N]],Transactions[[#This Row],[L4N]],IF(Transactions[[#This Row],[Level 2]]=Transactions[[#This Row],[L6N]],Transactions[[#This Row],[L5N]],IF(Transactions[[#This Row],[Level 2]]=Transactions[[#This Row],[L7N]],Transactions[[#This Row],[L6N]],Transactions[[#This Row],[L7N]]))))))))</f>
        <v>Total energy supply</v>
      </c>
      <c r="AV219" s="24" t="str">
        <f>IF(Transactions[[#This Row],[Level 3]]=Transactions[[#This Row],[Transaction name]],Transactions[[#This Row],[Transaction name]],IF(Transactions[[#This Row],[Level 3]]=Transactions[[#This Row],[L1N]],Transactions[[#This Row],[Transaction name]],IF(Transactions[[#This Row],[Level 3]]=Transactions[[#This Row],[L2N]],Transactions[[#This Row],[L1N]],IF(Transactions[[#This Row],[Level 3]]=Transactions[[#This Row],[L3N]],Transactions[[#This Row],[L2N]],IF(Transactions[[#This Row],[Level 3]]=Transactions[[#This Row],[L4N]],Transactions[[#This Row],[L3N]],IF(Transactions[[#This Row],[Level 3]]=Transactions[[#This Row],[L5N]],Transactions[[#This Row],[L4N]],IF(Transactions[[#This Row],[Level 3]]=Transactions[[#This Row],[L6N]],Transactions[[#This Row],[L5N]],IF(Transactions[[#This Row],[Level 3]]=Transactions[[#This Row],[L7N]],Transactions[[#This Row],[L6N]],Transactions[[#This Row],[L7N]]))))))))</f>
        <v>Total energy supply</v>
      </c>
      <c r="AW219" s="24" t="str">
        <f>IF(Transactions[[#This Row],[Level 4]]=Transactions[[#This Row],[Transaction name]],Transactions[[#This Row],[Transaction name]],IF(Transactions[[#This Row],[Level 4]]=Transactions[[#This Row],[L1N]],Transactions[[#This Row],[Transaction name]],IF(Transactions[[#This Row],[Level 4]]=Transactions[[#This Row],[L2N]],Transactions[[#This Row],[L1N]],IF(Transactions[[#This Row],[Level 4]]=Transactions[[#This Row],[L3N]],Transactions[[#This Row],[L2N]],IF(Transactions[[#This Row],[Level 4]]=Transactions[[#This Row],[L4N]],Transactions[[#This Row],[L3N]],IF(Transactions[[#This Row],[Level 4]]=Transactions[[#This Row],[L5N]],Transactions[[#This Row],[L4N]],IF(Transactions[[#This Row],[Level 4]]=Transactions[[#This Row],[L6N]],Transactions[[#This Row],[L5N]],IF(Transactions[[#This Row],[Level 4]]=Transactions[[#This Row],[L7N]],Transactions[[#This Row],[L6N]],Transactions[[#This Row],[L7N]]))))))))</f>
        <v>Total energy supply</v>
      </c>
      <c r="AX219" s="24" t="str">
        <f>IF(Transactions[[#This Row],[Level 5]]=Transactions[[#This Row],[Transaction name]],Transactions[[#This Row],[Transaction name]],IF(Transactions[[#This Row],[Level 5]]=Transactions[[#This Row],[L1N]],Transactions[[#This Row],[Transaction name]],IF(Transactions[[#This Row],[Level 5]]=Transactions[[#This Row],[L2N]],Transactions[[#This Row],[L1N]],IF(Transactions[[#This Row],[Level 5]]=Transactions[[#This Row],[L3N]],Transactions[[#This Row],[L2N]],IF(Transactions[[#This Row],[Level 5]]=Transactions[[#This Row],[L4N]],Transactions[[#This Row],[L3N]],IF(Transactions[[#This Row],[Level 5]]=Transactions[[#This Row],[L5N]],Transactions[[#This Row],[L4N]],IF(Transactions[[#This Row],[Level 5]]=Transactions[[#This Row],[L6N]],Transactions[[#This Row],[L5N]],IF(Transactions[[#This Row],[Level 5]]=Transactions[[#This Row],[L7N]],Transactions[[#This Row],[L6N]],Transactions[[#This Row],[L7N]]))))))))</f>
        <v>Total energy supply</v>
      </c>
      <c r="AY219" s="24" t="str">
        <f>IF(Transactions[[#This Row],[Level 6]]=Transactions[[#This Row],[Transaction name]],Transactions[[#This Row],[Transaction name]],IF(Transactions[[#This Row],[Level 6]]=Transactions[[#This Row],[L1N]],Transactions[[#This Row],[Transaction name]],IF(Transactions[[#This Row],[Level 6]]=Transactions[[#This Row],[L2N]],Transactions[[#This Row],[L1N]],IF(Transactions[[#This Row],[Level 6]]=Transactions[[#This Row],[L3N]],Transactions[[#This Row],[L2N]],IF(Transactions[[#This Row],[Level 6]]=Transactions[[#This Row],[L4N]],Transactions[[#This Row],[L3N]],IF(Transactions[[#This Row],[Level 6]]=Transactions[[#This Row],[L5N]],Transactions[[#This Row],[L4N]],IF(Transactions[[#This Row],[Level 6]]=Transactions[[#This Row],[L6N]],Transactions[[#This Row],[L5N]],IF(Transactions[[#This Row],[Level 6]]=Transactions[[#This Row],[L7N]],Transactions[[#This Row],[L6N]],Transactions[[#This Row],[L7N]]))))))))</f>
        <v>Total energy supply</v>
      </c>
      <c r="BE219" s="26" t="str">
        <f>_xlfn.XLOOKUP(Transformation[[#This Row],[cfrom]],Commodities[Commodity],Commodities[Commodity code])</f>
        <v>4670</v>
      </c>
      <c r="BF219" s="26" t="str">
        <f>_xlfn.XLOOKUP(Transformation[[#This Row],[tfrom]],Transactions[Transaction name],Transactions[Transaction code])</f>
        <v>08832</v>
      </c>
      <c r="BG219" s="26" t="str">
        <f>_xlfn.XLOOKUP(Transformation[[#This Row],[cto]],Commodities[Commodity],Commodities[Commodity code])</f>
        <v>4670</v>
      </c>
      <c r="BH219" s="26" t="str">
        <f>_xlfn.XLOOKUP(Transformation[[#This Row],[tto]],Transactions[Transaction name],Transactions[Transaction code])</f>
        <v>016DH</v>
      </c>
      <c r="BI219" s="11">
        <v>1</v>
      </c>
      <c r="BJ219" s="4" t="s">
        <v>372</v>
      </c>
      <c r="BK219" s="24" t="str">
        <f>_xlfn.XLOOKUP(Transformation[[#This Row],[Commodity from]],Commodities[Commodity code],Commodities[EnergyCode])</f>
        <v>DL</v>
      </c>
      <c r="BL219" s="4" t="s">
        <v>694</v>
      </c>
      <c r="BM219" s="4" t="s">
        <v>372</v>
      </c>
      <c r="BN219" s="24" t="str">
        <f>_xlfn.XLOOKUP(Transformation[[#This Row],[Commodity to]],Commodities[Commodity code],Commodities[EnergyCode])</f>
        <v>DL</v>
      </c>
      <c r="BO219" s="4" t="s">
        <v>1040</v>
      </c>
      <c r="BP219" s="16" t="s">
        <v>1493</v>
      </c>
      <c r="BQ219" s="33" t="str">
        <f>Transformation[[#This Row],[Commodity from]]&amp;Transformation[[#This Row],[Transaction from]]&amp;Transformation[[#This Row],[Commodity to]]&amp;Transformation[[#This Row],[Transaction to]]</f>
        <v>4670088324670016DH</v>
      </c>
      <c r="BR219" s="26" t="str">
        <f>Transformation[[#This Row],[crfomid]]&amp;Transformation[[#This Row],[Transaction from]]&amp;"("&amp;Transformation[[#This Row],[Multiplier]]&amp;") -&gt; "&amp;Transformation[[#This Row],[ctoid]]&amp;Transformation[[#This Row],[Transaction to]]</f>
        <v>DL08832(1) -&gt; DL016DH</v>
      </c>
    </row>
    <row r="220" spans="25:70" x14ac:dyDescent="0.45">
      <c r="Y220" s="4" t="s">
        <v>563</v>
      </c>
      <c r="Z220" s="4" t="s">
        <v>847</v>
      </c>
      <c r="AA220" s="4" t="s">
        <v>847</v>
      </c>
      <c r="AB220" s="4" t="s">
        <v>539</v>
      </c>
      <c r="AC220" s="24" t="str">
        <f>IFERROR(VLOOKUP(Transactions[[#This Row],[Parent code]],Transactions[[Transaction code]:[Transaction name]],2,0),"")</f>
        <v>Total energy supply (S)</v>
      </c>
      <c r="AD220" s="4" t="s">
        <v>631</v>
      </c>
      <c r="AF220" s="4" t="s">
        <v>643</v>
      </c>
      <c r="AG220" s="4" t="s">
        <v>385</v>
      </c>
      <c r="AK220" s="24" t="str" cm="1">
        <f t="array" ref="AK220">IFERROR(INDEX(Transactions[[Transaction code]:[Transaction name]],_xlfn.XMATCH(Transactions[[#This Row],[Parent code]],Transactions[Transaction name],0),3),Transactions[[#This Row],[Transaction name]])</f>
        <v>Exports (S)</v>
      </c>
      <c r="AL220" s="24" t="str" cm="1">
        <f t="array" ref="AL220">IFERROR(INDEX(Transactions[[Transaction code]:[Transaction name]],_xlfn.XMATCH(INDEX(Transactions[[Transaction name]:[Parent code]],_xlfn.XMATCH(Transactions[[#This Row],[L1N]],Transactions[Transaction name],0),3),Transactions[Transaction code],0),2),Transactions[[#This Row],[L1N]])</f>
        <v>Total energy supply (S)</v>
      </c>
      <c r="AM220" s="24" t="str" cm="1">
        <f t="array" ref="AM220">IFERROR(INDEX(Transactions[[Transaction code]:[Transaction name]],_xlfn.XMATCH(INDEX(Transactions[[Transaction name]:[Parent code]],_xlfn.XMATCH(Transactions[[#This Row],[L2N]],Transactions[Transaction name],0),3),Transactions[Transaction code],0),2),Transactions[[#This Row],[L2N]])</f>
        <v>Total energy supply (S)</v>
      </c>
      <c r="AN220" s="24" t="str" cm="1">
        <f t="array" ref="AN220">IFERROR(INDEX(Transactions[[Transaction code]:[Transaction name]],_xlfn.XMATCH(INDEX(Transactions[[Transaction name]:[Parent code]],_xlfn.XMATCH(Transactions[[#This Row],[L3N]],Transactions[Transaction name],0),3),Transactions[Transaction code],0),2),Transactions[[#This Row],[L3N]])</f>
        <v>Total energy supply (S)</v>
      </c>
      <c r="AO220" s="24" t="str" cm="1">
        <f t="array" ref="AO220">IFERROR(INDEX(Transactions[[Transaction code]:[Transaction name]],_xlfn.XMATCH(INDEX(Transactions[[Transaction name]:[Parent code]],_xlfn.XMATCH(Transactions[[#This Row],[L4N]],Transactions[Transaction name],0),3),Transactions[Transaction code],0),2),Transactions[[#This Row],[L4N]])</f>
        <v>Total energy supply (S)</v>
      </c>
      <c r="AP220" s="24" t="str" cm="1">
        <f t="array" ref="AP220">IFERROR(INDEX(Transactions[[Transaction code]:[Transaction name]],_xlfn.XMATCH(INDEX(Transactions[[Transaction name]:[Parent code]],_xlfn.XMATCH(Transactions[[#This Row],[L5N]],Transactions[Transaction name],0),3),Transactions[Transaction code],0),2),Transactions[[#This Row],[L5N]])</f>
        <v>Total energy supply (S)</v>
      </c>
      <c r="AQ220" s="24" t="str" cm="1">
        <f t="array" ref="AQ220">IFERROR(INDEX(Transactions[[Transaction code]:[Transaction name]],_xlfn.XMATCH(INDEX(Transactions[[Transaction name]:[Parent code]],_xlfn.XMATCH(Transactions[[#This Row],[L6N]],Transactions[Transaction name],0),3),Transactions[Transaction code],0),2),Transactions[[#This Row],[L6N]])</f>
        <v>Total energy supply (S)</v>
      </c>
      <c r="AR220" s="28" t="str">
        <f>IF(Transactions[[#This Row],[L7N]]=Transactions[[#This Row],[L6N]],Transactions[[#This Row],[L7N]],IF(Transactions[[#This Row],[L6N]]=Transactions[[#This Row],[L5N]],Transactions[[#This Row],[L6N]],IF(Transactions[[#This Row],[L5N]]=Transactions[[#This Row],[L4N]],Transactions[[#This Row],[L5N]],IF(Transactions[[#This Row],[L4N]]=Transactions[[#This Row],[L3N]],Transactions[[#This Row],[L4N]],IF(Transactions[[#This Row],[L3N]]=Transactions[[#This Row],[L2N]],Transactions[[#This Row],[L3N]],IF(Transactions[[#This Row],[L2N]]=Transactions[[#This Row],[L1N]],Transactions[[#This Row],[L2N]],IF(Transactions[[#This Row],[L1N]]=Transactions[[#This Row],[Transaction name]],Transactions[[#This Row],[L1N]],Transactions[[#This Row],[Transaction name]])))))))</f>
        <v>Total energy supply (S)</v>
      </c>
      <c r="AS220" s="24" t="str">
        <f>IF(Transactions[[#This Row],[Level 0]]=Transactions[[#This Row],[Transaction name]],Transactions[[#This Row],[Transaction name]],IF(Transactions[[#This Row],[Level 0]]=Transactions[[#This Row],[L1N]],Transactions[[#This Row],[Transaction name]],IF(Transactions[[#This Row],[Level 0]]=Transactions[[#This Row],[L2N]],Transactions[[#This Row],[L1N]],IF(Transactions[[#This Row],[Level 0]]=Transactions[[#This Row],[L3N]],Transactions[[#This Row],[L2N]],IF(Transactions[[#This Row],[Level 0]]=Transactions[[#This Row],[L4N]],Transactions[[#This Row],[L3N]],IF(Transactions[[#This Row],[Level 0]]=Transactions[[#This Row],[L5N]],Transactions[[#This Row],[L4N]],IF(Transactions[[#This Row],[Level 0]]=Transactions[[#This Row],[L6N]],Transactions[[#This Row],[L5N]],IF(Transactions[[#This Row],[Level 0]]=Transactions[[#This Row],[L7N]],Transactions[[#This Row],[L6N]],Transactions[[#This Row],[L7N]]))))))))</f>
        <v>Exports (S)</v>
      </c>
      <c r="AT220" s="24" t="str">
        <f>IF(Transactions[[#This Row],[Level 1]]=Transactions[[#This Row],[Transaction name]],Transactions[[#This Row],[Transaction name]],IF(Transactions[[#This Row],[Level 1]]=Transactions[[#This Row],[L1N]],Transactions[[#This Row],[Transaction name]],IF(Transactions[[#This Row],[Level 1]]=Transactions[[#This Row],[L2N]],Transactions[[#This Row],[L1N]],IF(Transactions[[#This Row],[Level 1]]=Transactions[[#This Row],[L3N]],Transactions[[#This Row],[L2N]],IF(Transactions[[#This Row],[Level 1]]=Transactions[[#This Row],[L4N]],Transactions[[#This Row],[L3N]],IF(Transactions[[#This Row],[Level 1]]=Transactions[[#This Row],[L5N]],Transactions[[#This Row],[L4N]],IF(Transactions[[#This Row],[Level 1]]=Transactions[[#This Row],[L6N]],Transactions[[#This Row],[L5N]],IF(Transactions[[#This Row],[Level 1]]=Transactions[[#This Row],[L7N]],Transactions[[#This Row],[L6N]],Transactions[[#This Row],[L7N]]))))))))</f>
        <v>Exports (S)</v>
      </c>
      <c r="AU220" s="24" t="str">
        <f>IF(Transactions[[#This Row],[Level 2]]=Transactions[[#This Row],[Transaction name]],Transactions[[#This Row],[Transaction name]],IF(Transactions[[#This Row],[Level 2]]=Transactions[[#This Row],[L1N]],Transactions[[#This Row],[Transaction name]],IF(Transactions[[#This Row],[Level 2]]=Transactions[[#This Row],[L2N]],Transactions[[#This Row],[L1N]],IF(Transactions[[#This Row],[Level 2]]=Transactions[[#This Row],[L3N]],Transactions[[#This Row],[L2N]],IF(Transactions[[#This Row],[Level 2]]=Transactions[[#This Row],[L4N]],Transactions[[#This Row],[L3N]],IF(Transactions[[#This Row],[Level 2]]=Transactions[[#This Row],[L5N]],Transactions[[#This Row],[L4N]],IF(Transactions[[#This Row],[Level 2]]=Transactions[[#This Row],[L6N]],Transactions[[#This Row],[L5N]],IF(Transactions[[#This Row],[Level 2]]=Transactions[[#This Row],[L7N]],Transactions[[#This Row],[L6N]],Transactions[[#This Row],[L7N]]))))))))</f>
        <v>Exports (S)</v>
      </c>
      <c r="AV220" s="24" t="str">
        <f>IF(Transactions[[#This Row],[Level 3]]=Transactions[[#This Row],[Transaction name]],Transactions[[#This Row],[Transaction name]],IF(Transactions[[#This Row],[Level 3]]=Transactions[[#This Row],[L1N]],Transactions[[#This Row],[Transaction name]],IF(Transactions[[#This Row],[Level 3]]=Transactions[[#This Row],[L2N]],Transactions[[#This Row],[L1N]],IF(Transactions[[#This Row],[Level 3]]=Transactions[[#This Row],[L3N]],Transactions[[#This Row],[L2N]],IF(Transactions[[#This Row],[Level 3]]=Transactions[[#This Row],[L4N]],Transactions[[#This Row],[L3N]],IF(Transactions[[#This Row],[Level 3]]=Transactions[[#This Row],[L5N]],Transactions[[#This Row],[L4N]],IF(Transactions[[#This Row],[Level 3]]=Transactions[[#This Row],[L6N]],Transactions[[#This Row],[L5N]],IF(Transactions[[#This Row],[Level 3]]=Transactions[[#This Row],[L7N]],Transactions[[#This Row],[L6N]],Transactions[[#This Row],[L7N]]))))))))</f>
        <v>Exports (S)</v>
      </c>
      <c r="AW220" s="24" t="str">
        <f>IF(Transactions[[#This Row],[Level 4]]=Transactions[[#This Row],[Transaction name]],Transactions[[#This Row],[Transaction name]],IF(Transactions[[#This Row],[Level 4]]=Transactions[[#This Row],[L1N]],Transactions[[#This Row],[Transaction name]],IF(Transactions[[#This Row],[Level 4]]=Transactions[[#This Row],[L2N]],Transactions[[#This Row],[L1N]],IF(Transactions[[#This Row],[Level 4]]=Transactions[[#This Row],[L3N]],Transactions[[#This Row],[L2N]],IF(Transactions[[#This Row],[Level 4]]=Transactions[[#This Row],[L4N]],Transactions[[#This Row],[L3N]],IF(Transactions[[#This Row],[Level 4]]=Transactions[[#This Row],[L5N]],Transactions[[#This Row],[L4N]],IF(Transactions[[#This Row],[Level 4]]=Transactions[[#This Row],[L6N]],Transactions[[#This Row],[L5N]],IF(Transactions[[#This Row],[Level 4]]=Transactions[[#This Row],[L7N]],Transactions[[#This Row],[L6N]],Transactions[[#This Row],[L7N]]))))))))</f>
        <v>Exports (S)</v>
      </c>
      <c r="AX220" s="24" t="str">
        <f>IF(Transactions[[#This Row],[Level 5]]=Transactions[[#This Row],[Transaction name]],Transactions[[#This Row],[Transaction name]],IF(Transactions[[#This Row],[Level 5]]=Transactions[[#This Row],[L1N]],Transactions[[#This Row],[Transaction name]],IF(Transactions[[#This Row],[Level 5]]=Transactions[[#This Row],[L2N]],Transactions[[#This Row],[L1N]],IF(Transactions[[#This Row],[Level 5]]=Transactions[[#This Row],[L3N]],Transactions[[#This Row],[L2N]],IF(Transactions[[#This Row],[Level 5]]=Transactions[[#This Row],[L4N]],Transactions[[#This Row],[L3N]],IF(Transactions[[#This Row],[Level 5]]=Transactions[[#This Row],[L5N]],Transactions[[#This Row],[L4N]],IF(Transactions[[#This Row],[Level 5]]=Transactions[[#This Row],[L6N]],Transactions[[#This Row],[L5N]],IF(Transactions[[#This Row],[Level 5]]=Transactions[[#This Row],[L7N]],Transactions[[#This Row],[L6N]],Transactions[[#This Row],[L7N]]))))))))</f>
        <v>Exports (S)</v>
      </c>
      <c r="AY220" s="24" t="str">
        <f>IF(Transactions[[#This Row],[Level 6]]=Transactions[[#This Row],[Transaction name]],Transactions[[#This Row],[Transaction name]],IF(Transactions[[#This Row],[Level 6]]=Transactions[[#This Row],[L1N]],Transactions[[#This Row],[Transaction name]],IF(Transactions[[#This Row],[Level 6]]=Transactions[[#This Row],[L2N]],Transactions[[#This Row],[L1N]],IF(Transactions[[#This Row],[Level 6]]=Transactions[[#This Row],[L3N]],Transactions[[#This Row],[L2N]],IF(Transactions[[#This Row],[Level 6]]=Transactions[[#This Row],[L4N]],Transactions[[#This Row],[L3N]],IF(Transactions[[#This Row],[Level 6]]=Transactions[[#This Row],[L5N]],Transactions[[#This Row],[L4N]],IF(Transactions[[#This Row],[Level 6]]=Transactions[[#This Row],[L6N]],Transactions[[#This Row],[L5N]],IF(Transactions[[#This Row],[Level 6]]=Transactions[[#This Row],[L7N]],Transactions[[#This Row],[L6N]],Transactions[[#This Row],[L7N]]))))))))</f>
        <v>Exports (S)</v>
      </c>
      <c r="BE220" s="26" t="str">
        <f>_xlfn.XLOOKUP(Transformation[[#This Row],[cfrom]],Commodities[Commodity],Commodities[Commodity code])</f>
        <v>5110</v>
      </c>
      <c r="BF220" s="26" t="str">
        <f>_xlfn.XLOOKUP(Transformation[[#This Row],[tfrom]],Transactions[Transaction name],Transactions[Transaction code])</f>
        <v>08832</v>
      </c>
      <c r="BG220" s="26" t="str">
        <f>_xlfn.XLOOKUP(Transformation[[#This Row],[cto]],Commodities[Commodity],Commodities[Commodity code])</f>
        <v>5110</v>
      </c>
      <c r="BH220" s="26" t="str">
        <f>_xlfn.XLOOKUP(Transformation[[#This Row],[tto]],Transactions[Transaction name],Transactions[Transaction code])</f>
        <v>016WDH</v>
      </c>
      <c r="BI220" s="11">
        <v>1</v>
      </c>
      <c r="BJ220" s="4" t="s">
        <v>340</v>
      </c>
      <c r="BK220" s="24" t="str">
        <f>_xlfn.XLOOKUP(Transformation[[#This Row],[Commodity from]],Commodities[Commodity code],Commodities[EnergyCode])</f>
        <v>FW</v>
      </c>
      <c r="BL220" s="4" t="s">
        <v>694</v>
      </c>
      <c r="BM220" s="4" t="s">
        <v>340</v>
      </c>
      <c r="BN220" s="24" t="str">
        <f>_xlfn.XLOOKUP(Transformation[[#This Row],[Commodity to]],Commodities[Commodity code],Commodities[EnergyCode])</f>
        <v>FW</v>
      </c>
      <c r="BO220" s="4" t="s">
        <v>1120</v>
      </c>
      <c r="BP220" s="16" t="s">
        <v>1493</v>
      </c>
      <c r="BQ220" s="33" t="str">
        <f>Transformation[[#This Row],[Commodity from]]&amp;Transformation[[#This Row],[Transaction from]]&amp;Transformation[[#This Row],[Commodity to]]&amp;Transformation[[#This Row],[Transaction to]]</f>
        <v>5110088325110016WDH</v>
      </c>
      <c r="BR220" s="26" t="str">
        <f>Transformation[[#This Row],[crfomid]]&amp;Transformation[[#This Row],[Transaction from]]&amp;"("&amp;Transformation[[#This Row],[Multiplier]]&amp;") -&gt; "&amp;Transformation[[#This Row],[ctoid]]&amp;Transformation[[#This Row],[Transaction to]]</f>
        <v>FW08832(1) -&gt; FW016WDH</v>
      </c>
    </row>
    <row r="221" spans="25:70" x14ac:dyDescent="0.45">
      <c r="Y221" s="4" t="s">
        <v>570</v>
      </c>
      <c r="Z221" s="4" t="s">
        <v>854</v>
      </c>
      <c r="AA221" s="4" t="s">
        <v>854</v>
      </c>
      <c r="AB221" s="4" t="s">
        <v>539</v>
      </c>
      <c r="AC221" s="24" t="str">
        <f>IFERROR(VLOOKUP(Transactions[[#This Row],[Parent code]],Transactions[[Transaction code]:[Transaction name]],2,0),"")</f>
        <v>Total energy supply (S)</v>
      </c>
      <c r="AD221" s="4" t="s">
        <v>631</v>
      </c>
      <c r="AF221" s="4" t="s">
        <v>644</v>
      </c>
      <c r="AG221" s="4" t="s">
        <v>385</v>
      </c>
      <c r="AK221" s="24" t="str" cm="1">
        <f t="array" ref="AK221">IFERROR(INDEX(Transactions[[Transaction code]:[Transaction name]],_xlfn.XMATCH(Transactions[[#This Row],[Parent code]],Transactions[Transaction name],0),3),Transactions[[#This Row],[Transaction name]])</f>
        <v>Imports (S)</v>
      </c>
      <c r="AL221" s="24" t="str" cm="1">
        <f t="array" ref="AL221">IFERROR(INDEX(Transactions[[Transaction code]:[Transaction name]],_xlfn.XMATCH(INDEX(Transactions[[Transaction name]:[Parent code]],_xlfn.XMATCH(Transactions[[#This Row],[L1N]],Transactions[Transaction name],0),3),Transactions[Transaction code],0),2),Transactions[[#This Row],[L1N]])</f>
        <v>Total energy supply (S)</v>
      </c>
      <c r="AM221" s="24" t="str" cm="1">
        <f t="array" ref="AM221">IFERROR(INDEX(Transactions[[Transaction code]:[Transaction name]],_xlfn.XMATCH(INDEX(Transactions[[Transaction name]:[Parent code]],_xlfn.XMATCH(Transactions[[#This Row],[L2N]],Transactions[Transaction name],0),3),Transactions[Transaction code],0),2),Transactions[[#This Row],[L2N]])</f>
        <v>Total energy supply (S)</v>
      </c>
      <c r="AN221" s="24" t="str" cm="1">
        <f t="array" ref="AN221">IFERROR(INDEX(Transactions[[Transaction code]:[Transaction name]],_xlfn.XMATCH(INDEX(Transactions[[Transaction name]:[Parent code]],_xlfn.XMATCH(Transactions[[#This Row],[L3N]],Transactions[Transaction name],0),3),Transactions[Transaction code],0),2),Transactions[[#This Row],[L3N]])</f>
        <v>Total energy supply (S)</v>
      </c>
      <c r="AO221" s="24" t="str" cm="1">
        <f t="array" ref="AO221">IFERROR(INDEX(Transactions[[Transaction code]:[Transaction name]],_xlfn.XMATCH(INDEX(Transactions[[Transaction name]:[Parent code]],_xlfn.XMATCH(Transactions[[#This Row],[L4N]],Transactions[Transaction name],0),3),Transactions[Transaction code],0),2),Transactions[[#This Row],[L4N]])</f>
        <v>Total energy supply (S)</v>
      </c>
      <c r="AP221" s="24" t="str" cm="1">
        <f t="array" ref="AP221">IFERROR(INDEX(Transactions[[Transaction code]:[Transaction name]],_xlfn.XMATCH(INDEX(Transactions[[Transaction name]:[Parent code]],_xlfn.XMATCH(Transactions[[#This Row],[L5N]],Transactions[Transaction name],0),3),Transactions[Transaction code],0),2),Transactions[[#This Row],[L5N]])</f>
        <v>Total energy supply (S)</v>
      </c>
      <c r="AQ221" s="24" t="str" cm="1">
        <f t="array" ref="AQ221">IFERROR(INDEX(Transactions[[Transaction code]:[Transaction name]],_xlfn.XMATCH(INDEX(Transactions[[Transaction name]:[Parent code]],_xlfn.XMATCH(Transactions[[#This Row],[L6N]],Transactions[Transaction name],0),3),Transactions[Transaction code],0),2),Transactions[[#This Row],[L6N]])</f>
        <v>Total energy supply (S)</v>
      </c>
      <c r="AR221" s="28" t="str">
        <f>IF(Transactions[[#This Row],[L7N]]=Transactions[[#This Row],[L6N]],Transactions[[#This Row],[L7N]],IF(Transactions[[#This Row],[L6N]]=Transactions[[#This Row],[L5N]],Transactions[[#This Row],[L6N]],IF(Transactions[[#This Row],[L5N]]=Transactions[[#This Row],[L4N]],Transactions[[#This Row],[L5N]],IF(Transactions[[#This Row],[L4N]]=Transactions[[#This Row],[L3N]],Transactions[[#This Row],[L4N]],IF(Transactions[[#This Row],[L3N]]=Transactions[[#This Row],[L2N]],Transactions[[#This Row],[L3N]],IF(Transactions[[#This Row],[L2N]]=Transactions[[#This Row],[L1N]],Transactions[[#This Row],[L2N]],IF(Transactions[[#This Row],[L1N]]=Transactions[[#This Row],[Transaction name]],Transactions[[#This Row],[L1N]],Transactions[[#This Row],[Transaction name]])))))))</f>
        <v>Total energy supply (S)</v>
      </c>
      <c r="AS221" s="24" t="str">
        <f>IF(Transactions[[#This Row],[Level 0]]=Transactions[[#This Row],[Transaction name]],Transactions[[#This Row],[Transaction name]],IF(Transactions[[#This Row],[Level 0]]=Transactions[[#This Row],[L1N]],Transactions[[#This Row],[Transaction name]],IF(Transactions[[#This Row],[Level 0]]=Transactions[[#This Row],[L2N]],Transactions[[#This Row],[L1N]],IF(Transactions[[#This Row],[Level 0]]=Transactions[[#This Row],[L3N]],Transactions[[#This Row],[L2N]],IF(Transactions[[#This Row],[Level 0]]=Transactions[[#This Row],[L4N]],Transactions[[#This Row],[L3N]],IF(Transactions[[#This Row],[Level 0]]=Transactions[[#This Row],[L5N]],Transactions[[#This Row],[L4N]],IF(Transactions[[#This Row],[Level 0]]=Transactions[[#This Row],[L6N]],Transactions[[#This Row],[L5N]],IF(Transactions[[#This Row],[Level 0]]=Transactions[[#This Row],[L7N]],Transactions[[#This Row],[L6N]],Transactions[[#This Row],[L7N]]))))))))</f>
        <v>Imports (S)</v>
      </c>
      <c r="AT221" s="24" t="str">
        <f>IF(Transactions[[#This Row],[Level 1]]=Transactions[[#This Row],[Transaction name]],Transactions[[#This Row],[Transaction name]],IF(Transactions[[#This Row],[Level 1]]=Transactions[[#This Row],[L1N]],Transactions[[#This Row],[Transaction name]],IF(Transactions[[#This Row],[Level 1]]=Transactions[[#This Row],[L2N]],Transactions[[#This Row],[L1N]],IF(Transactions[[#This Row],[Level 1]]=Transactions[[#This Row],[L3N]],Transactions[[#This Row],[L2N]],IF(Transactions[[#This Row],[Level 1]]=Transactions[[#This Row],[L4N]],Transactions[[#This Row],[L3N]],IF(Transactions[[#This Row],[Level 1]]=Transactions[[#This Row],[L5N]],Transactions[[#This Row],[L4N]],IF(Transactions[[#This Row],[Level 1]]=Transactions[[#This Row],[L6N]],Transactions[[#This Row],[L5N]],IF(Transactions[[#This Row],[Level 1]]=Transactions[[#This Row],[L7N]],Transactions[[#This Row],[L6N]],Transactions[[#This Row],[L7N]]))))))))</f>
        <v>Imports (S)</v>
      </c>
      <c r="AU221" s="24" t="str">
        <f>IF(Transactions[[#This Row],[Level 2]]=Transactions[[#This Row],[Transaction name]],Transactions[[#This Row],[Transaction name]],IF(Transactions[[#This Row],[Level 2]]=Transactions[[#This Row],[L1N]],Transactions[[#This Row],[Transaction name]],IF(Transactions[[#This Row],[Level 2]]=Transactions[[#This Row],[L2N]],Transactions[[#This Row],[L1N]],IF(Transactions[[#This Row],[Level 2]]=Transactions[[#This Row],[L3N]],Transactions[[#This Row],[L2N]],IF(Transactions[[#This Row],[Level 2]]=Transactions[[#This Row],[L4N]],Transactions[[#This Row],[L3N]],IF(Transactions[[#This Row],[Level 2]]=Transactions[[#This Row],[L5N]],Transactions[[#This Row],[L4N]],IF(Transactions[[#This Row],[Level 2]]=Transactions[[#This Row],[L6N]],Transactions[[#This Row],[L5N]],IF(Transactions[[#This Row],[Level 2]]=Transactions[[#This Row],[L7N]],Transactions[[#This Row],[L6N]],Transactions[[#This Row],[L7N]]))))))))</f>
        <v>Imports (S)</v>
      </c>
      <c r="AV221" s="24" t="str">
        <f>IF(Transactions[[#This Row],[Level 3]]=Transactions[[#This Row],[Transaction name]],Transactions[[#This Row],[Transaction name]],IF(Transactions[[#This Row],[Level 3]]=Transactions[[#This Row],[L1N]],Transactions[[#This Row],[Transaction name]],IF(Transactions[[#This Row],[Level 3]]=Transactions[[#This Row],[L2N]],Transactions[[#This Row],[L1N]],IF(Transactions[[#This Row],[Level 3]]=Transactions[[#This Row],[L3N]],Transactions[[#This Row],[L2N]],IF(Transactions[[#This Row],[Level 3]]=Transactions[[#This Row],[L4N]],Transactions[[#This Row],[L3N]],IF(Transactions[[#This Row],[Level 3]]=Transactions[[#This Row],[L5N]],Transactions[[#This Row],[L4N]],IF(Transactions[[#This Row],[Level 3]]=Transactions[[#This Row],[L6N]],Transactions[[#This Row],[L5N]],IF(Transactions[[#This Row],[Level 3]]=Transactions[[#This Row],[L7N]],Transactions[[#This Row],[L6N]],Transactions[[#This Row],[L7N]]))))))))</f>
        <v>Imports (S)</v>
      </c>
      <c r="AW221" s="24" t="str">
        <f>IF(Transactions[[#This Row],[Level 4]]=Transactions[[#This Row],[Transaction name]],Transactions[[#This Row],[Transaction name]],IF(Transactions[[#This Row],[Level 4]]=Transactions[[#This Row],[L1N]],Transactions[[#This Row],[Transaction name]],IF(Transactions[[#This Row],[Level 4]]=Transactions[[#This Row],[L2N]],Transactions[[#This Row],[L1N]],IF(Transactions[[#This Row],[Level 4]]=Transactions[[#This Row],[L3N]],Transactions[[#This Row],[L2N]],IF(Transactions[[#This Row],[Level 4]]=Transactions[[#This Row],[L4N]],Transactions[[#This Row],[L3N]],IF(Transactions[[#This Row],[Level 4]]=Transactions[[#This Row],[L5N]],Transactions[[#This Row],[L4N]],IF(Transactions[[#This Row],[Level 4]]=Transactions[[#This Row],[L6N]],Transactions[[#This Row],[L5N]],IF(Transactions[[#This Row],[Level 4]]=Transactions[[#This Row],[L7N]],Transactions[[#This Row],[L6N]],Transactions[[#This Row],[L7N]]))))))))</f>
        <v>Imports (S)</v>
      </c>
      <c r="AX221" s="24" t="str">
        <f>IF(Transactions[[#This Row],[Level 5]]=Transactions[[#This Row],[Transaction name]],Transactions[[#This Row],[Transaction name]],IF(Transactions[[#This Row],[Level 5]]=Transactions[[#This Row],[L1N]],Transactions[[#This Row],[Transaction name]],IF(Transactions[[#This Row],[Level 5]]=Transactions[[#This Row],[L2N]],Transactions[[#This Row],[L1N]],IF(Transactions[[#This Row],[Level 5]]=Transactions[[#This Row],[L3N]],Transactions[[#This Row],[L2N]],IF(Transactions[[#This Row],[Level 5]]=Transactions[[#This Row],[L4N]],Transactions[[#This Row],[L3N]],IF(Transactions[[#This Row],[Level 5]]=Transactions[[#This Row],[L5N]],Transactions[[#This Row],[L4N]],IF(Transactions[[#This Row],[Level 5]]=Transactions[[#This Row],[L6N]],Transactions[[#This Row],[L5N]],IF(Transactions[[#This Row],[Level 5]]=Transactions[[#This Row],[L7N]],Transactions[[#This Row],[L6N]],Transactions[[#This Row],[L7N]]))))))))</f>
        <v>Imports (S)</v>
      </c>
      <c r="AY221" s="24" t="str">
        <f>IF(Transactions[[#This Row],[Level 6]]=Transactions[[#This Row],[Transaction name]],Transactions[[#This Row],[Transaction name]],IF(Transactions[[#This Row],[Level 6]]=Transactions[[#This Row],[L1N]],Transactions[[#This Row],[Transaction name]],IF(Transactions[[#This Row],[Level 6]]=Transactions[[#This Row],[L2N]],Transactions[[#This Row],[L1N]],IF(Transactions[[#This Row],[Level 6]]=Transactions[[#This Row],[L3N]],Transactions[[#This Row],[L2N]],IF(Transactions[[#This Row],[Level 6]]=Transactions[[#This Row],[L4N]],Transactions[[#This Row],[L3N]],IF(Transactions[[#This Row],[Level 6]]=Transactions[[#This Row],[L5N]],Transactions[[#This Row],[L4N]],IF(Transactions[[#This Row],[Level 6]]=Transactions[[#This Row],[L6N]],Transactions[[#This Row],[L5N]],IF(Transactions[[#This Row],[Level 6]]=Transactions[[#This Row],[L7N]],Transactions[[#This Row],[L6N]],Transactions[[#This Row],[L7N]]))))))))</f>
        <v>Imports (S)</v>
      </c>
      <c r="BE221" s="26" t="str">
        <f>_xlfn.XLOOKUP(Transformation[[#This Row],[cfrom]],Commodities[Commodity],Commodities[Commodity code])</f>
        <v>0360</v>
      </c>
      <c r="BF221" s="26" t="str">
        <f>_xlfn.XLOOKUP(Transformation[[#This Row],[tfrom]],Transactions[Transaction name],Transactions[Transaction code])</f>
        <v>08832</v>
      </c>
      <c r="BG221" s="26" t="str">
        <f>_xlfn.XLOOKUP(Transformation[[#This Row],[cto]],Commodities[Commodity],Commodities[Commodity code])</f>
        <v>0360</v>
      </c>
      <c r="BH221" s="26" t="str">
        <f>_xlfn.XLOOKUP(Transformation[[#This Row],[tto]],Transactions[Transaction name],Transactions[Transaction code])</f>
        <v>016CGH</v>
      </c>
      <c r="BI221" s="11">
        <v>1</v>
      </c>
      <c r="BJ221" s="4" t="s">
        <v>483</v>
      </c>
      <c r="BK221" s="24" t="str">
        <f>_xlfn.XLOOKUP(Transformation[[#This Row],[Commodity from]],Commodities[Commodity code],Commodities[EnergyCode])</f>
        <v>GG</v>
      </c>
      <c r="BL221" s="4" t="s">
        <v>694</v>
      </c>
      <c r="BM221" s="4" t="s">
        <v>483</v>
      </c>
      <c r="BN221" s="24" t="str">
        <f>_xlfn.XLOOKUP(Transformation[[#This Row],[Commodity to]],Commodities[Commodity code],Commodities[EnergyCode])</f>
        <v>GG</v>
      </c>
      <c r="BO221" s="4" t="s">
        <v>1223</v>
      </c>
      <c r="BP221" s="16" t="s">
        <v>1493</v>
      </c>
      <c r="BQ221" s="33" t="str">
        <f>Transformation[[#This Row],[Commodity from]]&amp;Transformation[[#This Row],[Transaction from]]&amp;Transformation[[#This Row],[Commodity to]]&amp;Transformation[[#This Row],[Transaction to]]</f>
        <v>0360088320360016CGH</v>
      </c>
      <c r="BR221" s="26" t="str">
        <f>Transformation[[#This Row],[crfomid]]&amp;Transformation[[#This Row],[Transaction from]]&amp;"("&amp;Transformation[[#This Row],[Multiplier]]&amp;") -&gt; "&amp;Transformation[[#This Row],[ctoid]]&amp;Transformation[[#This Row],[Transaction to]]</f>
        <v>GG08832(1) -&gt; GG016CGH</v>
      </c>
    </row>
    <row r="222" spans="25:70" x14ac:dyDescent="0.45">
      <c r="Y222" s="4" t="s">
        <v>555</v>
      </c>
      <c r="Z222" s="4" t="s">
        <v>856</v>
      </c>
      <c r="AA222" s="4" t="s">
        <v>856</v>
      </c>
      <c r="AB222" s="4" t="s">
        <v>539</v>
      </c>
      <c r="AC222" s="24" t="str">
        <f>IFERROR(VLOOKUP(Transactions[[#This Row],[Parent code]],Transactions[[Transaction code]:[Transaction name]],2,0),"")</f>
        <v>Total energy supply (S)</v>
      </c>
      <c r="AD222" s="4" t="s">
        <v>631</v>
      </c>
      <c r="AE222" s="4" t="s">
        <v>919</v>
      </c>
      <c r="AF222" s="4" t="s">
        <v>642</v>
      </c>
      <c r="AG222" s="4" t="s">
        <v>385</v>
      </c>
      <c r="AK222" s="24" t="str" cm="1">
        <f t="array" ref="AK222">IFERROR(INDEX(Transactions[[Transaction code]:[Transaction name]],_xlfn.XMATCH(Transactions[[#This Row],[Parent code]],Transactions[Transaction name],0),3),Transactions[[#This Row],[Transaction name]])</f>
        <v>International aviation bunkers (S)</v>
      </c>
      <c r="AL222" s="24" t="str" cm="1">
        <f t="array" ref="AL222">IFERROR(INDEX(Transactions[[Transaction code]:[Transaction name]],_xlfn.XMATCH(INDEX(Transactions[[Transaction name]:[Parent code]],_xlfn.XMATCH(Transactions[[#This Row],[L1N]],Transactions[Transaction name],0),3),Transactions[Transaction code],0),2),Transactions[[#This Row],[L1N]])</f>
        <v>Total energy supply (S)</v>
      </c>
      <c r="AM222" s="24" t="str" cm="1">
        <f t="array" ref="AM222">IFERROR(INDEX(Transactions[[Transaction code]:[Transaction name]],_xlfn.XMATCH(INDEX(Transactions[[Transaction name]:[Parent code]],_xlfn.XMATCH(Transactions[[#This Row],[L2N]],Transactions[Transaction name],0),3),Transactions[Transaction code],0),2),Transactions[[#This Row],[L2N]])</f>
        <v>Total energy supply (S)</v>
      </c>
      <c r="AN222" s="24" t="str" cm="1">
        <f t="array" ref="AN222">IFERROR(INDEX(Transactions[[Transaction code]:[Transaction name]],_xlfn.XMATCH(INDEX(Transactions[[Transaction name]:[Parent code]],_xlfn.XMATCH(Transactions[[#This Row],[L3N]],Transactions[Transaction name],0),3),Transactions[Transaction code],0),2),Transactions[[#This Row],[L3N]])</f>
        <v>Total energy supply (S)</v>
      </c>
      <c r="AO222" s="24" t="str" cm="1">
        <f t="array" ref="AO222">IFERROR(INDEX(Transactions[[Transaction code]:[Transaction name]],_xlfn.XMATCH(INDEX(Transactions[[Transaction name]:[Parent code]],_xlfn.XMATCH(Transactions[[#This Row],[L4N]],Transactions[Transaction name],0),3),Transactions[Transaction code],0),2),Transactions[[#This Row],[L4N]])</f>
        <v>Total energy supply (S)</v>
      </c>
      <c r="AP222" s="24" t="str" cm="1">
        <f t="array" ref="AP222">IFERROR(INDEX(Transactions[[Transaction code]:[Transaction name]],_xlfn.XMATCH(INDEX(Transactions[[Transaction name]:[Parent code]],_xlfn.XMATCH(Transactions[[#This Row],[L5N]],Transactions[Transaction name],0),3),Transactions[Transaction code],0),2),Transactions[[#This Row],[L5N]])</f>
        <v>Total energy supply (S)</v>
      </c>
      <c r="AQ222" s="24" t="str" cm="1">
        <f t="array" ref="AQ222">IFERROR(INDEX(Transactions[[Transaction code]:[Transaction name]],_xlfn.XMATCH(INDEX(Transactions[[Transaction name]:[Parent code]],_xlfn.XMATCH(Transactions[[#This Row],[L6N]],Transactions[Transaction name],0),3),Transactions[Transaction code],0),2),Transactions[[#This Row],[L6N]])</f>
        <v>Total energy supply (S)</v>
      </c>
      <c r="AR222" s="28" t="str">
        <f>IF(Transactions[[#This Row],[L7N]]=Transactions[[#This Row],[L6N]],Transactions[[#This Row],[L7N]],IF(Transactions[[#This Row],[L6N]]=Transactions[[#This Row],[L5N]],Transactions[[#This Row],[L6N]],IF(Transactions[[#This Row],[L5N]]=Transactions[[#This Row],[L4N]],Transactions[[#This Row],[L5N]],IF(Transactions[[#This Row],[L4N]]=Transactions[[#This Row],[L3N]],Transactions[[#This Row],[L4N]],IF(Transactions[[#This Row],[L3N]]=Transactions[[#This Row],[L2N]],Transactions[[#This Row],[L3N]],IF(Transactions[[#This Row],[L2N]]=Transactions[[#This Row],[L1N]],Transactions[[#This Row],[L2N]],IF(Transactions[[#This Row],[L1N]]=Transactions[[#This Row],[Transaction name]],Transactions[[#This Row],[L1N]],Transactions[[#This Row],[Transaction name]])))))))</f>
        <v>Total energy supply (S)</v>
      </c>
      <c r="AS222" s="24" t="str">
        <f>IF(Transactions[[#This Row],[Level 0]]=Transactions[[#This Row],[Transaction name]],Transactions[[#This Row],[Transaction name]],IF(Transactions[[#This Row],[Level 0]]=Transactions[[#This Row],[L1N]],Transactions[[#This Row],[Transaction name]],IF(Transactions[[#This Row],[Level 0]]=Transactions[[#This Row],[L2N]],Transactions[[#This Row],[L1N]],IF(Transactions[[#This Row],[Level 0]]=Transactions[[#This Row],[L3N]],Transactions[[#This Row],[L2N]],IF(Transactions[[#This Row],[Level 0]]=Transactions[[#This Row],[L4N]],Transactions[[#This Row],[L3N]],IF(Transactions[[#This Row],[Level 0]]=Transactions[[#This Row],[L5N]],Transactions[[#This Row],[L4N]],IF(Transactions[[#This Row],[Level 0]]=Transactions[[#This Row],[L6N]],Transactions[[#This Row],[L5N]],IF(Transactions[[#This Row],[Level 0]]=Transactions[[#This Row],[L7N]],Transactions[[#This Row],[L6N]],Transactions[[#This Row],[L7N]]))))))))</f>
        <v>International aviation bunkers (S)</v>
      </c>
      <c r="AT222" s="24" t="str">
        <f>IF(Transactions[[#This Row],[Level 1]]=Transactions[[#This Row],[Transaction name]],Transactions[[#This Row],[Transaction name]],IF(Transactions[[#This Row],[Level 1]]=Transactions[[#This Row],[L1N]],Transactions[[#This Row],[Transaction name]],IF(Transactions[[#This Row],[Level 1]]=Transactions[[#This Row],[L2N]],Transactions[[#This Row],[L1N]],IF(Transactions[[#This Row],[Level 1]]=Transactions[[#This Row],[L3N]],Transactions[[#This Row],[L2N]],IF(Transactions[[#This Row],[Level 1]]=Transactions[[#This Row],[L4N]],Transactions[[#This Row],[L3N]],IF(Transactions[[#This Row],[Level 1]]=Transactions[[#This Row],[L5N]],Transactions[[#This Row],[L4N]],IF(Transactions[[#This Row],[Level 1]]=Transactions[[#This Row],[L6N]],Transactions[[#This Row],[L5N]],IF(Transactions[[#This Row],[Level 1]]=Transactions[[#This Row],[L7N]],Transactions[[#This Row],[L6N]],Transactions[[#This Row],[L7N]]))))))))</f>
        <v>International aviation bunkers (S)</v>
      </c>
      <c r="AU222" s="24" t="str">
        <f>IF(Transactions[[#This Row],[Level 2]]=Transactions[[#This Row],[Transaction name]],Transactions[[#This Row],[Transaction name]],IF(Transactions[[#This Row],[Level 2]]=Transactions[[#This Row],[L1N]],Transactions[[#This Row],[Transaction name]],IF(Transactions[[#This Row],[Level 2]]=Transactions[[#This Row],[L2N]],Transactions[[#This Row],[L1N]],IF(Transactions[[#This Row],[Level 2]]=Transactions[[#This Row],[L3N]],Transactions[[#This Row],[L2N]],IF(Transactions[[#This Row],[Level 2]]=Transactions[[#This Row],[L4N]],Transactions[[#This Row],[L3N]],IF(Transactions[[#This Row],[Level 2]]=Transactions[[#This Row],[L5N]],Transactions[[#This Row],[L4N]],IF(Transactions[[#This Row],[Level 2]]=Transactions[[#This Row],[L6N]],Transactions[[#This Row],[L5N]],IF(Transactions[[#This Row],[Level 2]]=Transactions[[#This Row],[L7N]],Transactions[[#This Row],[L6N]],Transactions[[#This Row],[L7N]]))))))))</f>
        <v>International aviation bunkers (S)</v>
      </c>
      <c r="AV222" s="24" t="str">
        <f>IF(Transactions[[#This Row],[Level 3]]=Transactions[[#This Row],[Transaction name]],Transactions[[#This Row],[Transaction name]],IF(Transactions[[#This Row],[Level 3]]=Transactions[[#This Row],[L1N]],Transactions[[#This Row],[Transaction name]],IF(Transactions[[#This Row],[Level 3]]=Transactions[[#This Row],[L2N]],Transactions[[#This Row],[L1N]],IF(Transactions[[#This Row],[Level 3]]=Transactions[[#This Row],[L3N]],Transactions[[#This Row],[L2N]],IF(Transactions[[#This Row],[Level 3]]=Transactions[[#This Row],[L4N]],Transactions[[#This Row],[L3N]],IF(Transactions[[#This Row],[Level 3]]=Transactions[[#This Row],[L5N]],Transactions[[#This Row],[L4N]],IF(Transactions[[#This Row],[Level 3]]=Transactions[[#This Row],[L6N]],Transactions[[#This Row],[L5N]],IF(Transactions[[#This Row],[Level 3]]=Transactions[[#This Row],[L7N]],Transactions[[#This Row],[L6N]],Transactions[[#This Row],[L7N]]))))))))</f>
        <v>International aviation bunkers (S)</v>
      </c>
      <c r="AW222" s="24" t="str">
        <f>IF(Transactions[[#This Row],[Level 4]]=Transactions[[#This Row],[Transaction name]],Transactions[[#This Row],[Transaction name]],IF(Transactions[[#This Row],[Level 4]]=Transactions[[#This Row],[L1N]],Transactions[[#This Row],[Transaction name]],IF(Transactions[[#This Row],[Level 4]]=Transactions[[#This Row],[L2N]],Transactions[[#This Row],[L1N]],IF(Transactions[[#This Row],[Level 4]]=Transactions[[#This Row],[L3N]],Transactions[[#This Row],[L2N]],IF(Transactions[[#This Row],[Level 4]]=Transactions[[#This Row],[L4N]],Transactions[[#This Row],[L3N]],IF(Transactions[[#This Row],[Level 4]]=Transactions[[#This Row],[L5N]],Transactions[[#This Row],[L4N]],IF(Transactions[[#This Row],[Level 4]]=Transactions[[#This Row],[L6N]],Transactions[[#This Row],[L5N]],IF(Transactions[[#This Row],[Level 4]]=Transactions[[#This Row],[L7N]],Transactions[[#This Row],[L6N]],Transactions[[#This Row],[L7N]]))))))))</f>
        <v>International aviation bunkers (S)</v>
      </c>
      <c r="AX222" s="24" t="str">
        <f>IF(Transactions[[#This Row],[Level 5]]=Transactions[[#This Row],[Transaction name]],Transactions[[#This Row],[Transaction name]],IF(Transactions[[#This Row],[Level 5]]=Transactions[[#This Row],[L1N]],Transactions[[#This Row],[Transaction name]],IF(Transactions[[#This Row],[Level 5]]=Transactions[[#This Row],[L2N]],Transactions[[#This Row],[L1N]],IF(Transactions[[#This Row],[Level 5]]=Transactions[[#This Row],[L3N]],Transactions[[#This Row],[L2N]],IF(Transactions[[#This Row],[Level 5]]=Transactions[[#This Row],[L4N]],Transactions[[#This Row],[L3N]],IF(Transactions[[#This Row],[Level 5]]=Transactions[[#This Row],[L5N]],Transactions[[#This Row],[L4N]],IF(Transactions[[#This Row],[Level 5]]=Transactions[[#This Row],[L6N]],Transactions[[#This Row],[L5N]],IF(Transactions[[#This Row],[Level 5]]=Transactions[[#This Row],[L7N]],Transactions[[#This Row],[L6N]],Transactions[[#This Row],[L7N]]))))))))</f>
        <v>International aviation bunkers (S)</v>
      </c>
      <c r="AY222" s="24" t="str">
        <f>IF(Transactions[[#This Row],[Level 6]]=Transactions[[#This Row],[Transaction name]],Transactions[[#This Row],[Transaction name]],IF(Transactions[[#This Row],[Level 6]]=Transactions[[#This Row],[L1N]],Transactions[[#This Row],[Transaction name]],IF(Transactions[[#This Row],[Level 6]]=Transactions[[#This Row],[L2N]],Transactions[[#This Row],[L1N]],IF(Transactions[[#This Row],[Level 6]]=Transactions[[#This Row],[L3N]],Transactions[[#This Row],[L2N]],IF(Transactions[[#This Row],[Level 6]]=Transactions[[#This Row],[L4N]],Transactions[[#This Row],[L3N]],IF(Transactions[[#This Row],[Level 6]]=Transactions[[#This Row],[L5N]],Transactions[[#This Row],[L4N]],IF(Transactions[[#This Row],[Level 6]]=Transactions[[#This Row],[L6N]],Transactions[[#This Row],[L5N]],IF(Transactions[[#This Row],[Level 6]]=Transactions[[#This Row],[L7N]],Transactions[[#This Row],[L6N]],Transactions[[#This Row],[L7N]]))))))))</f>
        <v>International aviation bunkers (S)</v>
      </c>
      <c r="BE222" s="26" t="str">
        <f>_xlfn.XLOOKUP(Transformation[[#This Row],[cfrom]],Commodities[Commodity],Commodities[Commodity code])</f>
        <v>4200</v>
      </c>
      <c r="BF222" s="26" t="str">
        <f>_xlfn.XLOOKUP(Transformation[[#This Row],[tfrom]],Transactions[Transaction name],Transactions[Transaction code])</f>
        <v>08832</v>
      </c>
      <c r="BG222" s="26" t="str">
        <f>_xlfn.XLOOKUP(Transformation[[#This Row],[cto]],Commodities[Commodity],Commodities[Commodity code])</f>
        <v>4200</v>
      </c>
      <c r="BH222" s="26" t="str">
        <f>_xlfn.XLOOKUP(Transformation[[#This Row],[tto]],Transactions[Transaction name],Transactions[Transaction code])</f>
        <v>016COH</v>
      </c>
      <c r="BI222" s="11">
        <v>1</v>
      </c>
      <c r="BJ222" s="4" t="s">
        <v>435</v>
      </c>
      <c r="BK222" s="24" t="str">
        <f>_xlfn.XLOOKUP(Transformation[[#This Row],[Commodity from]],Commodities[Commodity code],Commodities[EnergyCode])</f>
        <v>GL</v>
      </c>
      <c r="BL222" s="4" t="s">
        <v>694</v>
      </c>
      <c r="BM222" s="4" t="s">
        <v>435</v>
      </c>
      <c r="BN222" s="24" t="str">
        <f>_xlfn.XLOOKUP(Transformation[[#This Row],[Commodity to]],Commodities[Commodity code],Commodities[EnergyCode])</f>
        <v>GL</v>
      </c>
      <c r="BO222" s="4" t="s">
        <v>1231</v>
      </c>
      <c r="BP222" s="16" t="s">
        <v>1493</v>
      </c>
      <c r="BQ222" s="33" t="str">
        <f>Transformation[[#This Row],[Commodity from]]&amp;Transformation[[#This Row],[Transaction from]]&amp;Transformation[[#This Row],[Commodity to]]&amp;Transformation[[#This Row],[Transaction to]]</f>
        <v>4200088324200016COH</v>
      </c>
      <c r="BR222" s="26" t="str">
        <f>Transformation[[#This Row],[crfomid]]&amp;Transformation[[#This Row],[Transaction from]]&amp;"("&amp;Transformation[[#This Row],[Multiplier]]&amp;") -&gt; "&amp;Transformation[[#This Row],[ctoid]]&amp;Transformation[[#This Row],[Transaction to]]</f>
        <v>GL08832(1) -&gt; GL016COH</v>
      </c>
    </row>
    <row r="223" spans="25:70" x14ac:dyDescent="0.45">
      <c r="Y223" s="4" t="s">
        <v>559</v>
      </c>
      <c r="Z223" s="4" t="s">
        <v>857</v>
      </c>
      <c r="AA223" s="4" t="s">
        <v>857</v>
      </c>
      <c r="AB223" s="4" t="s">
        <v>539</v>
      </c>
      <c r="AC223" s="24" t="str">
        <f>IFERROR(VLOOKUP(Transactions[[#This Row],[Parent code]],Transactions[[Transaction code]:[Transaction name]],2,0),"")</f>
        <v>Total energy supply (S)</v>
      </c>
      <c r="AD223" s="4" t="s">
        <v>631</v>
      </c>
      <c r="AE223" s="4" t="s">
        <v>920</v>
      </c>
      <c r="AF223" s="4" t="s">
        <v>642</v>
      </c>
      <c r="AG223" s="4" t="s">
        <v>385</v>
      </c>
      <c r="AK223" s="24" t="str" cm="1">
        <f t="array" ref="AK223">IFERROR(INDEX(Transactions[[Transaction code]:[Transaction name]],_xlfn.XMATCH(Transactions[[#This Row],[Parent code]],Transactions[Transaction name],0),3),Transactions[[#This Row],[Transaction name]])</f>
        <v>International marine bunkers (S)</v>
      </c>
      <c r="AL223" s="24" t="str" cm="1">
        <f t="array" ref="AL223">IFERROR(INDEX(Transactions[[Transaction code]:[Transaction name]],_xlfn.XMATCH(INDEX(Transactions[[Transaction name]:[Parent code]],_xlfn.XMATCH(Transactions[[#This Row],[L1N]],Transactions[Transaction name],0),3),Transactions[Transaction code],0),2),Transactions[[#This Row],[L1N]])</f>
        <v>Total energy supply (S)</v>
      </c>
      <c r="AM223" s="24" t="str" cm="1">
        <f t="array" ref="AM223">IFERROR(INDEX(Transactions[[Transaction code]:[Transaction name]],_xlfn.XMATCH(INDEX(Transactions[[Transaction name]:[Parent code]],_xlfn.XMATCH(Transactions[[#This Row],[L2N]],Transactions[Transaction name],0),3),Transactions[Transaction code],0),2),Transactions[[#This Row],[L2N]])</f>
        <v>Total energy supply (S)</v>
      </c>
      <c r="AN223" s="24" t="str" cm="1">
        <f t="array" ref="AN223">IFERROR(INDEX(Transactions[[Transaction code]:[Transaction name]],_xlfn.XMATCH(INDEX(Transactions[[Transaction name]:[Parent code]],_xlfn.XMATCH(Transactions[[#This Row],[L3N]],Transactions[Transaction name],0),3),Transactions[Transaction code],0),2),Transactions[[#This Row],[L3N]])</f>
        <v>Total energy supply (S)</v>
      </c>
      <c r="AO223" s="24" t="str" cm="1">
        <f t="array" ref="AO223">IFERROR(INDEX(Transactions[[Transaction code]:[Transaction name]],_xlfn.XMATCH(INDEX(Transactions[[Transaction name]:[Parent code]],_xlfn.XMATCH(Transactions[[#This Row],[L4N]],Transactions[Transaction name],0),3),Transactions[Transaction code],0),2),Transactions[[#This Row],[L4N]])</f>
        <v>Total energy supply (S)</v>
      </c>
      <c r="AP223" s="24" t="str" cm="1">
        <f t="array" ref="AP223">IFERROR(INDEX(Transactions[[Transaction code]:[Transaction name]],_xlfn.XMATCH(INDEX(Transactions[[Transaction name]:[Parent code]],_xlfn.XMATCH(Transactions[[#This Row],[L5N]],Transactions[Transaction name],0),3),Transactions[Transaction code],0),2),Transactions[[#This Row],[L5N]])</f>
        <v>Total energy supply (S)</v>
      </c>
      <c r="AQ223" s="24" t="str" cm="1">
        <f t="array" ref="AQ223">IFERROR(INDEX(Transactions[[Transaction code]:[Transaction name]],_xlfn.XMATCH(INDEX(Transactions[[Transaction name]:[Parent code]],_xlfn.XMATCH(Transactions[[#This Row],[L6N]],Transactions[Transaction name],0),3),Transactions[Transaction code],0),2),Transactions[[#This Row],[L6N]])</f>
        <v>Total energy supply (S)</v>
      </c>
      <c r="AR223" s="28" t="str">
        <f>IF(Transactions[[#This Row],[L7N]]=Transactions[[#This Row],[L6N]],Transactions[[#This Row],[L7N]],IF(Transactions[[#This Row],[L6N]]=Transactions[[#This Row],[L5N]],Transactions[[#This Row],[L6N]],IF(Transactions[[#This Row],[L5N]]=Transactions[[#This Row],[L4N]],Transactions[[#This Row],[L5N]],IF(Transactions[[#This Row],[L4N]]=Transactions[[#This Row],[L3N]],Transactions[[#This Row],[L4N]],IF(Transactions[[#This Row],[L3N]]=Transactions[[#This Row],[L2N]],Transactions[[#This Row],[L3N]],IF(Transactions[[#This Row],[L2N]]=Transactions[[#This Row],[L1N]],Transactions[[#This Row],[L2N]],IF(Transactions[[#This Row],[L1N]]=Transactions[[#This Row],[Transaction name]],Transactions[[#This Row],[L1N]],Transactions[[#This Row],[Transaction name]])))))))</f>
        <v>Total energy supply (S)</v>
      </c>
      <c r="AS223" s="24" t="str">
        <f>IF(Transactions[[#This Row],[Level 0]]=Transactions[[#This Row],[Transaction name]],Transactions[[#This Row],[Transaction name]],IF(Transactions[[#This Row],[Level 0]]=Transactions[[#This Row],[L1N]],Transactions[[#This Row],[Transaction name]],IF(Transactions[[#This Row],[Level 0]]=Transactions[[#This Row],[L2N]],Transactions[[#This Row],[L1N]],IF(Transactions[[#This Row],[Level 0]]=Transactions[[#This Row],[L3N]],Transactions[[#This Row],[L2N]],IF(Transactions[[#This Row],[Level 0]]=Transactions[[#This Row],[L4N]],Transactions[[#This Row],[L3N]],IF(Transactions[[#This Row],[Level 0]]=Transactions[[#This Row],[L5N]],Transactions[[#This Row],[L4N]],IF(Transactions[[#This Row],[Level 0]]=Transactions[[#This Row],[L6N]],Transactions[[#This Row],[L5N]],IF(Transactions[[#This Row],[Level 0]]=Transactions[[#This Row],[L7N]],Transactions[[#This Row],[L6N]],Transactions[[#This Row],[L7N]]))))))))</f>
        <v>International marine bunkers (S)</v>
      </c>
      <c r="AT223" s="24" t="str">
        <f>IF(Transactions[[#This Row],[Level 1]]=Transactions[[#This Row],[Transaction name]],Transactions[[#This Row],[Transaction name]],IF(Transactions[[#This Row],[Level 1]]=Transactions[[#This Row],[L1N]],Transactions[[#This Row],[Transaction name]],IF(Transactions[[#This Row],[Level 1]]=Transactions[[#This Row],[L2N]],Transactions[[#This Row],[L1N]],IF(Transactions[[#This Row],[Level 1]]=Transactions[[#This Row],[L3N]],Transactions[[#This Row],[L2N]],IF(Transactions[[#This Row],[Level 1]]=Transactions[[#This Row],[L4N]],Transactions[[#This Row],[L3N]],IF(Transactions[[#This Row],[Level 1]]=Transactions[[#This Row],[L5N]],Transactions[[#This Row],[L4N]],IF(Transactions[[#This Row],[Level 1]]=Transactions[[#This Row],[L6N]],Transactions[[#This Row],[L5N]],IF(Transactions[[#This Row],[Level 1]]=Transactions[[#This Row],[L7N]],Transactions[[#This Row],[L6N]],Transactions[[#This Row],[L7N]]))))))))</f>
        <v>International marine bunkers (S)</v>
      </c>
      <c r="AU223" s="24" t="str">
        <f>IF(Transactions[[#This Row],[Level 2]]=Transactions[[#This Row],[Transaction name]],Transactions[[#This Row],[Transaction name]],IF(Transactions[[#This Row],[Level 2]]=Transactions[[#This Row],[L1N]],Transactions[[#This Row],[Transaction name]],IF(Transactions[[#This Row],[Level 2]]=Transactions[[#This Row],[L2N]],Transactions[[#This Row],[L1N]],IF(Transactions[[#This Row],[Level 2]]=Transactions[[#This Row],[L3N]],Transactions[[#This Row],[L2N]],IF(Transactions[[#This Row],[Level 2]]=Transactions[[#This Row],[L4N]],Transactions[[#This Row],[L3N]],IF(Transactions[[#This Row],[Level 2]]=Transactions[[#This Row],[L5N]],Transactions[[#This Row],[L4N]],IF(Transactions[[#This Row],[Level 2]]=Transactions[[#This Row],[L6N]],Transactions[[#This Row],[L5N]],IF(Transactions[[#This Row],[Level 2]]=Transactions[[#This Row],[L7N]],Transactions[[#This Row],[L6N]],Transactions[[#This Row],[L7N]]))))))))</f>
        <v>International marine bunkers (S)</v>
      </c>
      <c r="AV223" s="24" t="str">
        <f>IF(Transactions[[#This Row],[Level 3]]=Transactions[[#This Row],[Transaction name]],Transactions[[#This Row],[Transaction name]],IF(Transactions[[#This Row],[Level 3]]=Transactions[[#This Row],[L1N]],Transactions[[#This Row],[Transaction name]],IF(Transactions[[#This Row],[Level 3]]=Transactions[[#This Row],[L2N]],Transactions[[#This Row],[L1N]],IF(Transactions[[#This Row],[Level 3]]=Transactions[[#This Row],[L3N]],Transactions[[#This Row],[L2N]],IF(Transactions[[#This Row],[Level 3]]=Transactions[[#This Row],[L4N]],Transactions[[#This Row],[L3N]],IF(Transactions[[#This Row],[Level 3]]=Transactions[[#This Row],[L5N]],Transactions[[#This Row],[L4N]],IF(Transactions[[#This Row],[Level 3]]=Transactions[[#This Row],[L6N]],Transactions[[#This Row],[L5N]],IF(Transactions[[#This Row],[Level 3]]=Transactions[[#This Row],[L7N]],Transactions[[#This Row],[L6N]],Transactions[[#This Row],[L7N]]))))))))</f>
        <v>International marine bunkers (S)</v>
      </c>
      <c r="AW223" s="24" t="str">
        <f>IF(Transactions[[#This Row],[Level 4]]=Transactions[[#This Row],[Transaction name]],Transactions[[#This Row],[Transaction name]],IF(Transactions[[#This Row],[Level 4]]=Transactions[[#This Row],[L1N]],Transactions[[#This Row],[Transaction name]],IF(Transactions[[#This Row],[Level 4]]=Transactions[[#This Row],[L2N]],Transactions[[#This Row],[L1N]],IF(Transactions[[#This Row],[Level 4]]=Transactions[[#This Row],[L3N]],Transactions[[#This Row],[L2N]],IF(Transactions[[#This Row],[Level 4]]=Transactions[[#This Row],[L4N]],Transactions[[#This Row],[L3N]],IF(Transactions[[#This Row],[Level 4]]=Transactions[[#This Row],[L5N]],Transactions[[#This Row],[L4N]],IF(Transactions[[#This Row],[Level 4]]=Transactions[[#This Row],[L6N]],Transactions[[#This Row],[L5N]],IF(Transactions[[#This Row],[Level 4]]=Transactions[[#This Row],[L7N]],Transactions[[#This Row],[L6N]],Transactions[[#This Row],[L7N]]))))))))</f>
        <v>International marine bunkers (S)</v>
      </c>
      <c r="AX223" s="24" t="str">
        <f>IF(Transactions[[#This Row],[Level 5]]=Transactions[[#This Row],[Transaction name]],Transactions[[#This Row],[Transaction name]],IF(Transactions[[#This Row],[Level 5]]=Transactions[[#This Row],[L1N]],Transactions[[#This Row],[Transaction name]],IF(Transactions[[#This Row],[Level 5]]=Transactions[[#This Row],[L2N]],Transactions[[#This Row],[L1N]],IF(Transactions[[#This Row],[Level 5]]=Transactions[[#This Row],[L3N]],Transactions[[#This Row],[L2N]],IF(Transactions[[#This Row],[Level 5]]=Transactions[[#This Row],[L4N]],Transactions[[#This Row],[L3N]],IF(Transactions[[#This Row],[Level 5]]=Transactions[[#This Row],[L5N]],Transactions[[#This Row],[L4N]],IF(Transactions[[#This Row],[Level 5]]=Transactions[[#This Row],[L6N]],Transactions[[#This Row],[L5N]],IF(Transactions[[#This Row],[Level 5]]=Transactions[[#This Row],[L7N]],Transactions[[#This Row],[L6N]],Transactions[[#This Row],[L7N]]))))))))</f>
        <v>International marine bunkers (S)</v>
      </c>
      <c r="AY223" s="24" t="str">
        <f>IF(Transactions[[#This Row],[Level 6]]=Transactions[[#This Row],[Transaction name]],Transactions[[#This Row],[Transaction name]],IF(Transactions[[#This Row],[Level 6]]=Transactions[[#This Row],[L1N]],Transactions[[#This Row],[Transaction name]],IF(Transactions[[#This Row],[Level 6]]=Transactions[[#This Row],[L2N]],Transactions[[#This Row],[L1N]],IF(Transactions[[#This Row],[Level 6]]=Transactions[[#This Row],[L3N]],Transactions[[#This Row],[L2N]],IF(Transactions[[#This Row],[Level 6]]=Transactions[[#This Row],[L4N]],Transactions[[#This Row],[L3N]],IF(Transactions[[#This Row],[Level 6]]=Transactions[[#This Row],[L5N]],Transactions[[#This Row],[L4N]],IF(Transactions[[#This Row],[Level 6]]=Transactions[[#This Row],[L6N]],Transactions[[#This Row],[L5N]],IF(Transactions[[#This Row],[Level 6]]=Transactions[[#This Row],[L7N]],Transactions[[#This Row],[L6N]],Transactions[[#This Row],[L7N]]))))))))</f>
        <v>International marine bunkers (S)</v>
      </c>
      <c r="BE223" s="26" t="str">
        <f>_xlfn.XLOOKUP(Transformation[[#This Row],[cfrom]],Commodities[Commodity],Commodities[Commodity code])</f>
        <v>6100</v>
      </c>
      <c r="BF223" s="26" t="str">
        <f>_xlfn.XLOOKUP(Transformation[[#This Row],[tfrom]],Transactions[Transaction name],Transactions[Transaction code])</f>
        <v>08832</v>
      </c>
      <c r="BG223" s="26" t="str">
        <f>_xlfn.XLOOKUP(Transformation[[#This Row],[cto]],Commodities[Commodity],Commodities[Commodity code])</f>
        <v>6100</v>
      </c>
      <c r="BH223" s="26" t="str">
        <f>_xlfn.XLOOKUP(Transformation[[#This Row],[tto]],Transactions[Transaction name],Transactions[Transaction code])</f>
        <v>016ISWH</v>
      </c>
      <c r="BI223" s="11">
        <v>1</v>
      </c>
      <c r="BJ223" s="4" t="s">
        <v>291</v>
      </c>
      <c r="BK223" s="24" t="str">
        <f>_xlfn.XLOOKUP(Transformation[[#This Row],[Commodity from]],Commodities[Commodity code],Commodities[EnergyCode])</f>
        <v>IW</v>
      </c>
      <c r="BL223" s="4" t="s">
        <v>694</v>
      </c>
      <c r="BM223" s="4" t="s">
        <v>291</v>
      </c>
      <c r="BN223" s="24" t="str">
        <f>_xlfn.XLOOKUP(Transformation[[#This Row],[Commodity to]],Commodities[Commodity code],Commodities[EnergyCode])</f>
        <v>IW</v>
      </c>
      <c r="BO223" s="4" t="s">
        <v>1160</v>
      </c>
      <c r="BP223" s="16" t="s">
        <v>1493</v>
      </c>
      <c r="BQ223" s="33" t="str">
        <f>Transformation[[#This Row],[Commodity from]]&amp;Transformation[[#This Row],[Transaction from]]&amp;Transformation[[#This Row],[Commodity to]]&amp;Transformation[[#This Row],[Transaction to]]</f>
        <v>6100088326100016ISWH</v>
      </c>
      <c r="BR223" s="26" t="str">
        <f>Transformation[[#This Row],[crfomid]]&amp;Transformation[[#This Row],[Transaction from]]&amp;"("&amp;Transformation[[#This Row],[Multiplier]]&amp;") -&gt; "&amp;Transformation[[#This Row],[ctoid]]&amp;Transformation[[#This Row],[Transaction to]]</f>
        <v>IW08832(1) -&gt; IW016ISWH</v>
      </c>
    </row>
    <row r="224" spans="25:70" x14ac:dyDescent="0.45">
      <c r="Y224" s="4" t="s">
        <v>576</v>
      </c>
      <c r="Z224" s="4" t="s">
        <v>874</v>
      </c>
      <c r="AA224" s="4" t="s">
        <v>874</v>
      </c>
      <c r="AB224" s="4" t="s">
        <v>539</v>
      </c>
      <c r="AC224" s="24" t="str">
        <f>IFERROR(VLOOKUP(Transactions[[#This Row],[Parent code]],Transactions[[Transaction code]:[Transaction name]],2,0),"")</f>
        <v>Total energy supply (S)</v>
      </c>
      <c r="AD224" s="4" t="s">
        <v>631</v>
      </c>
      <c r="AF224" s="4" t="s">
        <v>643</v>
      </c>
      <c r="AG224" s="4" t="s">
        <v>385</v>
      </c>
      <c r="AK224" s="24" t="str" cm="1">
        <f t="array" ref="AK224">IFERROR(INDEX(Transactions[[Transaction code]:[Transaction name]],_xlfn.XMATCH(Transactions[[#This Row],[Parent code]],Transactions[Transaction name],0),3),Transactions[[#This Row],[Transaction name]])</f>
        <v>Primary production (S)</v>
      </c>
      <c r="AL224" s="24" t="str" cm="1">
        <f t="array" ref="AL224">IFERROR(INDEX(Transactions[[Transaction code]:[Transaction name]],_xlfn.XMATCH(INDEX(Transactions[[Transaction name]:[Parent code]],_xlfn.XMATCH(Transactions[[#This Row],[L1N]],Transactions[Transaction name],0),3),Transactions[Transaction code],0),2),Transactions[[#This Row],[L1N]])</f>
        <v>Total energy supply (S)</v>
      </c>
      <c r="AM224" s="24" t="str" cm="1">
        <f t="array" ref="AM224">IFERROR(INDEX(Transactions[[Transaction code]:[Transaction name]],_xlfn.XMATCH(INDEX(Transactions[[Transaction name]:[Parent code]],_xlfn.XMATCH(Transactions[[#This Row],[L2N]],Transactions[Transaction name],0),3),Transactions[Transaction code],0),2),Transactions[[#This Row],[L2N]])</f>
        <v>Total energy supply (S)</v>
      </c>
      <c r="AN224" s="24" t="str" cm="1">
        <f t="array" ref="AN224">IFERROR(INDEX(Transactions[[Transaction code]:[Transaction name]],_xlfn.XMATCH(INDEX(Transactions[[Transaction name]:[Parent code]],_xlfn.XMATCH(Transactions[[#This Row],[L3N]],Transactions[Transaction name],0),3),Transactions[Transaction code],0),2),Transactions[[#This Row],[L3N]])</f>
        <v>Total energy supply (S)</v>
      </c>
      <c r="AO224" s="24" t="str" cm="1">
        <f t="array" ref="AO224">IFERROR(INDEX(Transactions[[Transaction code]:[Transaction name]],_xlfn.XMATCH(INDEX(Transactions[[Transaction name]:[Parent code]],_xlfn.XMATCH(Transactions[[#This Row],[L4N]],Transactions[Transaction name],0),3),Transactions[Transaction code],0),2),Transactions[[#This Row],[L4N]])</f>
        <v>Total energy supply (S)</v>
      </c>
      <c r="AP224" s="24" t="str" cm="1">
        <f t="array" ref="AP224">IFERROR(INDEX(Transactions[[Transaction code]:[Transaction name]],_xlfn.XMATCH(INDEX(Transactions[[Transaction name]:[Parent code]],_xlfn.XMATCH(Transactions[[#This Row],[L5N]],Transactions[Transaction name],0),3),Transactions[Transaction code],0),2),Transactions[[#This Row],[L5N]])</f>
        <v>Total energy supply (S)</v>
      </c>
      <c r="AQ224" s="24" t="str" cm="1">
        <f t="array" ref="AQ224">IFERROR(INDEX(Transactions[[Transaction code]:[Transaction name]],_xlfn.XMATCH(INDEX(Transactions[[Transaction name]:[Parent code]],_xlfn.XMATCH(Transactions[[#This Row],[L6N]],Transactions[Transaction name],0),3),Transactions[Transaction code],0),2),Transactions[[#This Row],[L6N]])</f>
        <v>Total energy supply (S)</v>
      </c>
      <c r="AR224" s="28" t="str">
        <f>IF(Transactions[[#This Row],[L7N]]=Transactions[[#This Row],[L6N]],Transactions[[#This Row],[L7N]],IF(Transactions[[#This Row],[L6N]]=Transactions[[#This Row],[L5N]],Transactions[[#This Row],[L6N]],IF(Transactions[[#This Row],[L5N]]=Transactions[[#This Row],[L4N]],Transactions[[#This Row],[L5N]],IF(Transactions[[#This Row],[L4N]]=Transactions[[#This Row],[L3N]],Transactions[[#This Row],[L4N]],IF(Transactions[[#This Row],[L3N]]=Transactions[[#This Row],[L2N]],Transactions[[#This Row],[L3N]],IF(Transactions[[#This Row],[L2N]]=Transactions[[#This Row],[L1N]],Transactions[[#This Row],[L2N]],IF(Transactions[[#This Row],[L1N]]=Transactions[[#This Row],[Transaction name]],Transactions[[#This Row],[L1N]],Transactions[[#This Row],[Transaction name]])))))))</f>
        <v>Total energy supply (S)</v>
      </c>
      <c r="AS224" s="24" t="str">
        <f>IF(Transactions[[#This Row],[Level 0]]=Transactions[[#This Row],[Transaction name]],Transactions[[#This Row],[Transaction name]],IF(Transactions[[#This Row],[Level 0]]=Transactions[[#This Row],[L1N]],Transactions[[#This Row],[Transaction name]],IF(Transactions[[#This Row],[Level 0]]=Transactions[[#This Row],[L2N]],Transactions[[#This Row],[L1N]],IF(Transactions[[#This Row],[Level 0]]=Transactions[[#This Row],[L3N]],Transactions[[#This Row],[L2N]],IF(Transactions[[#This Row],[Level 0]]=Transactions[[#This Row],[L4N]],Transactions[[#This Row],[L3N]],IF(Transactions[[#This Row],[Level 0]]=Transactions[[#This Row],[L5N]],Transactions[[#This Row],[L4N]],IF(Transactions[[#This Row],[Level 0]]=Transactions[[#This Row],[L6N]],Transactions[[#This Row],[L5N]],IF(Transactions[[#This Row],[Level 0]]=Transactions[[#This Row],[L7N]],Transactions[[#This Row],[L6N]],Transactions[[#This Row],[L7N]]))))))))</f>
        <v>Primary production (S)</v>
      </c>
      <c r="AT224" s="24" t="str">
        <f>IF(Transactions[[#This Row],[Level 1]]=Transactions[[#This Row],[Transaction name]],Transactions[[#This Row],[Transaction name]],IF(Transactions[[#This Row],[Level 1]]=Transactions[[#This Row],[L1N]],Transactions[[#This Row],[Transaction name]],IF(Transactions[[#This Row],[Level 1]]=Transactions[[#This Row],[L2N]],Transactions[[#This Row],[L1N]],IF(Transactions[[#This Row],[Level 1]]=Transactions[[#This Row],[L3N]],Transactions[[#This Row],[L2N]],IF(Transactions[[#This Row],[Level 1]]=Transactions[[#This Row],[L4N]],Transactions[[#This Row],[L3N]],IF(Transactions[[#This Row],[Level 1]]=Transactions[[#This Row],[L5N]],Transactions[[#This Row],[L4N]],IF(Transactions[[#This Row],[Level 1]]=Transactions[[#This Row],[L6N]],Transactions[[#This Row],[L5N]],IF(Transactions[[#This Row],[Level 1]]=Transactions[[#This Row],[L7N]],Transactions[[#This Row],[L6N]],Transactions[[#This Row],[L7N]]))))))))</f>
        <v>Primary production (S)</v>
      </c>
      <c r="AU224" s="24" t="str">
        <f>IF(Transactions[[#This Row],[Level 2]]=Transactions[[#This Row],[Transaction name]],Transactions[[#This Row],[Transaction name]],IF(Transactions[[#This Row],[Level 2]]=Transactions[[#This Row],[L1N]],Transactions[[#This Row],[Transaction name]],IF(Transactions[[#This Row],[Level 2]]=Transactions[[#This Row],[L2N]],Transactions[[#This Row],[L1N]],IF(Transactions[[#This Row],[Level 2]]=Transactions[[#This Row],[L3N]],Transactions[[#This Row],[L2N]],IF(Transactions[[#This Row],[Level 2]]=Transactions[[#This Row],[L4N]],Transactions[[#This Row],[L3N]],IF(Transactions[[#This Row],[Level 2]]=Transactions[[#This Row],[L5N]],Transactions[[#This Row],[L4N]],IF(Transactions[[#This Row],[Level 2]]=Transactions[[#This Row],[L6N]],Transactions[[#This Row],[L5N]],IF(Transactions[[#This Row],[Level 2]]=Transactions[[#This Row],[L7N]],Transactions[[#This Row],[L6N]],Transactions[[#This Row],[L7N]]))))))))</f>
        <v>Primary production (S)</v>
      </c>
      <c r="AV224" s="24" t="str">
        <f>IF(Transactions[[#This Row],[Level 3]]=Transactions[[#This Row],[Transaction name]],Transactions[[#This Row],[Transaction name]],IF(Transactions[[#This Row],[Level 3]]=Transactions[[#This Row],[L1N]],Transactions[[#This Row],[Transaction name]],IF(Transactions[[#This Row],[Level 3]]=Transactions[[#This Row],[L2N]],Transactions[[#This Row],[L1N]],IF(Transactions[[#This Row],[Level 3]]=Transactions[[#This Row],[L3N]],Transactions[[#This Row],[L2N]],IF(Transactions[[#This Row],[Level 3]]=Transactions[[#This Row],[L4N]],Transactions[[#This Row],[L3N]],IF(Transactions[[#This Row],[Level 3]]=Transactions[[#This Row],[L5N]],Transactions[[#This Row],[L4N]],IF(Transactions[[#This Row],[Level 3]]=Transactions[[#This Row],[L6N]],Transactions[[#This Row],[L5N]],IF(Transactions[[#This Row],[Level 3]]=Transactions[[#This Row],[L7N]],Transactions[[#This Row],[L6N]],Transactions[[#This Row],[L7N]]))))))))</f>
        <v>Primary production (S)</v>
      </c>
      <c r="AW224" s="24" t="str">
        <f>IF(Transactions[[#This Row],[Level 4]]=Transactions[[#This Row],[Transaction name]],Transactions[[#This Row],[Transaction name]],IF(Transactions[[#This Row],[Level 4]]=Transactions[[#This Row],[L1N]],Transactions[[#This Row],[Transaction name]],IF(Transactions[[#This Row],[Level 4]]=Transactions[[#This Row],[L2N]],Transactions[[#This Row],[L1N]],IF(Transactions[[#This Row],[Level 4]]=Transactions[[#This Row],[L3N]],Transactions[[#This Row],[L2N]],IF(Transactions[[#This Row],[Level 4]]=Transactions[[#This Row],[L4N]],Transactions[[#This Row],[L3N]],IF(Transactions[[#This Row],[Level 4]]=Transactions[[#This Row],[L5N]],Transactions[[#This Row],[L4N]],IF(Transactions[[#This Row],[Level 4]]=Transactions[[#This Row],[L6N]],Transactions[[#This Row],[L5N]],IF(Transactions[[#This Row],[Level 4]]=Transactions[[#This Row],[L7N]],Transactions[[#This Row],[L6N]],Transactions[[#This Row],[L7N]]))))))))</f>
        <v>Primary production (S)</v>
      </c>
      <c r="AX224" s="24" t="str">
        <f>IF(Transactions[[#This Row],[Level 5]]=Transactions[[#This Row],[Transaction name]],Transactions[[#This Row],[Transaction name]],IF(Transactions[[#This Row],[Level 5]]=Transactions[[#This Row],[L1N]],Transactions[[#This Row],[Transaction name]],IF(Transactions[[#This Row],[Level 5]]=Transactions[[#This Row],[L2N]],Transactions[[#This Row],[L1N]],IF(Transactions[[#This Row],[Level 5]]=Transactions[[#This Row],[L3N]],Transactions[[#This Row],[L2N]],IF(Transactions[[#This Row],[Level 5]]=Transactions[[#This Row],[L4N]],Transactions[[#This Row],[L3N]],IF(Transactions[[#This Row],[Level 5]]=Transactions[[#This Row],[L5N]],Transactions[[#This Row],[L4N]],IF(Transactions[[#This Row],[Level 5]]=Transactions[[#This Row],[L6N]],Transactions[[#This Row],[L5N]],IF(Transactions[[#This Row],[Level 5]]=Transactions[[#This Row],[L7N]],Transactions[[#This Row],[L6N]],Transactions[[#This Row],[L7N]]))))))))</f>
        <v>Primary production (S)</v>
      </c>
      <c r="AY224" s="24" t="str">
        <f>IF(Transactions[[#This Row],[Level 6]]=Transactions[[#This Row],[Transaction name]],Transactions[[#This Row],[Transaction name]],IF(Transactions[[#This Row],[Level 6]]=Transactions[[#This Row],[L1N]],Transactions[[#This Row],[Transaction name]],IF(Transactions[[#This Row],[Level 6]]=Transactions[[#This Row],[L2N]],Transactions[[#This Row],[L1N]],IF(Transactions[[#This Row],[Level 6]]=Transactions[[#This Row],[L3N]],Transactions[[#This Row],[L2N]],IF(Transactions[[#This Row],[Level 6]]=Transactions[[#This Row],[L4N]],Transactions[[#This Row],[L3N]],IF(Transactions[[#This Row],[Level 6]]=Transactions[[#This Row],[L5N]],Transactions[[#This Row],[L4N]],IF(Transactions[[#This Row],[Level 6]]=Transactions[[#This Row],[L6N]],Transactions[[#This Row],[L5N]],IF(Transactions[[#This Row],[Level 6]]=Transactions[[#This Row],[L7N]],Transactions[[#This Row],[L6N]],Transactions[[#This Row],[L7N]]))))))))</f>
        <v>Primary production (S)</v>
      </c>
      <c r="BE224" s="26" t="str">
        <f>_xlfn.XLOOKUP(Transformation[[#This Row],[cfrom]],Commodities[Commodity],Commodities[Commodity code])</f>
        <v>4661</v>
      </c>
      <c r="BF224" s="26" t="str">
        <f>_xlfn.XLOOKUP(Transformation[[#This Row],[tfrom]],Transactions[Transaction name],Transactions[Transaction code])</f>
        <v>08832</v>
      </c>
      <c r="BG224" s="26" t="str">
        <f>_xlfn.XLOOKUP(Transformation[[#This Row],[cto]],Commodities[Commodity],Commodities[Commodity code])</f>
        <v>4661</v>
      </c>
      <c r="BH224" s="26" t="str">
        <f>_xlfn.XLOOKUP(Transformation[[#This Row],[tto]],Transactions[Transaction name],Transactions[Transaction code])</f>
        <v>016OPH</v>
      </c>
      <c r="BI224" s="11">
        <v>1</v>
      </c>
      <c r="BJ224" s="4" t="s">
        <v>381</v>
      </c>
      <c r="BK224" s="24" t="str">
        <f>_xlfn.XLOOKUP(Transformation[[#This Row],[Commodity from]],Commodities[Commodity code],Commodities[EnergyCode])</f>
        <v>JF</v>
      </c>
      <c r="BL224" s="4" t="s">
        <v>694</v>
      </c>
      <c r="BM224" s="4" t="s">
        <v>381</v>
      </c>
      <c r="BN224" s="24" t="str">
        <f>_xlfn.XLOOKUP(Transformation[[#This Row],[Commodity to]],Commodities[Commodity code],Commodities[EnergyCode])</f>
        <v>JF</v>
      </c>
      <c r="BO224" s="4" t="s">
        <v>1056</v>
      </c>
      <c r="BP224" s="16" t="s">
        <v>1493</v>
      </c>
      <c r="BQ224" s="33" t="str">
        <f>Transformation[[#This Row],[Commodity from]]&amp;Transformation[[#This Row],[Transaction from]]&amp;Transformation[[#This Row],[Commodity to]]&amp;Transformation[[#This Row],[Transaction to]]</f>
        <v>4661088324661016OPH</v>
      </c>
      <c r="BR224" s="26" t="str">
        <f>Transformation[[#This Row],[crfomid]]&amp;Transformation[[#This Row],[Transaction from]]&amp;"("&amp;Transformation[[#This Row],[Multiplier]]&amp;") -&gt; "&amp;Transformation[[#This Row],[ctoid]]&amp;Transformation[[#This Row],[Transaction to]]</f>
        <v>JF08832(1) -&gt; JF016OPH</v>
      </c>
    </row>
    <row r="225" spans="25:70" x14ac:dyDescent="0.45">
      <c r="Y225" s="4" t="s">
        <v>543</v>
      </c>
      <c r="Z225" s="4" t="s">
        <v>877</v>
      </c>
      <c r="AA225" s="4" t="s">
        <v>877</v>
      </c>
      <c r="AB225" s="4" t="s">
        <v>539</v>
      </c>
      <c r="AC225" s="24" t="str">
        <f>IFERROR(VLOOKUP(Transactions[[#This Row],[Parent code]],Transactions[[Transaction code]:[Transaction name]],2,0),"")</f>
        <v>Total energy supply (S)</v>
      </c>
      <c r="AD225" s="4" t="s">
        <v>542</v>
      </c>
      <c r="AE225" s="4" t="s">
        <v>542</v>
      </c>
      <c r="AF225" s="4" t="s">
        <v>642</v>
      </c>
      <c r="AG225" s="4" t="s">
        <v>385</v>
      </c>
      <c r="AK225" s="24" t="str" cm="1">
        <f t="array" ref="AK225">IFERROR(INDEX(Transactions[[Transaction code]:[Transaction name]],_xlfn.XMATCH(Transactions[[#This Row],[Parent code]],Transactions[Transaction name],0),3),Transactions[[#This Row],[Transaction name]])</f>
        <v>Statistical differences (S)</v>
      </c>
      <c r="AL225" s="24" t="str" cm="1">
        <f t="array" ref="AL225">IFERROR(INDEX(Transactions[[Transaction code]:[Transaction name]],_xlfn.XMATCH(INDEX(Transactions[[Transaction name]:[Parent code]],_xlfn.XMATCH(Transactions[[#This Row],[L1N]],Transactions[Transaction name],0),3),Transactions[Transaction code],0),2),Transactions[[#This Row],[L1N]])</f>
        <v>Total energy supply (S)</v>
      </c>
      <c r="AM225" s="24" t="str" cm="1">
        <f t="array" ref="AM225">IFERROR(INDEX(Transactions[[Transaction code]:[Transaction name]],_xlfn.XMATCH(INDEX(Transactions[[Transaction name]:[Parent code]],_xlfn.XMATCH(Transactions[[#This Row],[L2N]],Transactions[Transaction name],0),3),Transactions[Transaction code],0),2),Transactions[[#This Row],[L2N]])</f>
        <v>Total energy supply (S)</v>
      </c>
      <c r="AN225" s="24" t="str" cm="1">
        <f t="array" ref="AN225">IFERROR(INDEX(Transactions[[Transaction code]:[Transaction name]],_xlfn.XMATCH(INDEX(Transactions[[Transaction name]:[Parent code]],_xlfn.XMATCH(Transactions[[#This Row],[L3N]],Transactions[Transaction name],0),3),Transactions[Transaction code],0),2),Transactions[[#This Row],[L3N]])</f>
        <v>Total energy supply (S)</v>
      </c>
      <c r="AO225" s="24" t="str" cm="1">
        <f t="array" ref="AO225">IFERROR(INDEX(Transactions[[Transaction code]:[Transaction name]],_xlfn.XMATCH(INDEX(Transactions[[Transaction name]:[Parent code]],_xlfn.XMATCH(Transactions[[#This Row],[L4N]],Transactions[Transaction name],0),3),Transactions[Transaction code],0),2),Transactions[[#This Row],[L4N]])</f>
        <v>Total energy supply (S)</v>
      </c>
      <c r="AP225" s="24" t="str" cm="1">
        <f t="array" ref="AP225">IFERROR(INDEX(Transactions[[Transaction code]:[Transaction name]],_xlfn.XMATCH(INDEX(Transactions[[Transaction name]:[Parent code]],_xlfn.XMATCH(Transactions[[#This Row],[L5N]],Transactions[Transaction name],0),3),Transactions[Transaction code],0),2),Transactions[[#This Row],[L5N]])</f>
        <v>Total energy supply (S)</v>
      </c>
      <c r="AQ225" s="24" t="str" cm="1">
        <f t="array" ref="AQ225">IFERROR(INDEX(Transactions[[Transaction code]:[Transaction name]],_xlfn.XMATCH(INDEX(Transactions[[Transaction name]:[Parent code]],_xlfn.XMATCH(Transactions[[#This Row],[L6N]],Transactions[Transaction name],0),3),Transactions[Transaction code],0),2),Transactions[[#This Row],[L6N]])</f>
        <v>Total energy supply (S)</v>
      </c>
      <c r="AR225" s="28" t="str">
        <f>IF(Transactions[[#This Row],[L7N]]=Transactions[[#This Row],[L6N]],Transactions[[#This Row],[L7N]],IF(Transactions[[#This Row],[L6N]]=Transactions[[#This Row],[L5N]],Transactions[[#This Row],[L6N]],IF(Transactions[[#This Row],[L5N]]=Transactions[[#This Row],[L4N]],Transactions[[#This Row],[L5N]],IF(Transactions[[#This Row],[L4N]]=Transactions[[#This Row],[L3N]],Transactions[[#This Row],[L4N]],IF(Transactions[[#This Row],[L3N]]=Transactions[[#This Row],[L2N]],Transactions[[#This Row],[L3N]],IF(Transactions[[#This Row],[L2N]]=Transactions[[#This Row],[L1N]],Transactions[[#This Row],[L2N]],IF(Transactions[[#This Row],[L1N]]=Transactions[[#This Row],[Transaction name]],Transactions[[#This Row],[L1N]],Transactions[[#This Row],[Transaction name]])))))))</f>
        <v>Total energy supply (S)</v>
      </c>
      <c r="AS225" s="24" t="str">
        <f>IF(Transactions[[#This Row],[Level 0]]=Transactions[[#This Row],[Transaction name]],Transactions[[#This Row],[Transaction name]],IF(Transactions[[#This Row],[Level 0]]=Transactions[[#This Row],[L1N]],Transactions[[#This Row],[Transaction name]],IF(Transactions[[#This Row],[Level 0]]=Transactions[[#This Row],[L2N]],Transactions[[#This Row],[L1N]],IF(Transactions[[#This Row],[Level 0]]=Transactions[[#This Row],[L3N]],Transactions[[#This Row],[L2N]],IF(Transactions[[#This Row],[Level 0]]=Transactions[[#This Row],[L4N]],Transactions[[#This Row],[L3N]],IF(Transactions[[#This Row],[Level 0]]=Transactions[[#This Row],[L5N]],Transactions[[#This Row],[L4N]],IF(Transactions[[#This Row],[Level 0]]=Transactions[[#This Row],[L6N]],Transactions[[#This Row],[L5N]],IF(Transactions[[#This Row],[Level 0]]=Transactions[[#This Row],[L7N]],Transactions[[#This Row],[L6N]],Transactions[[#This Row],[L7N]]))))))))</f>
        <v>Statistical differences (S)</v>
      </c>
      <c r="AT225" s="24" t="str">
        <f>IF(Transactions[[#This Row],[Level 1]]=Transactions[[#This Row],[Transaction name]],Transactions[[#This Row],[Transaction name]],IF(Transactions[[#This Row],[Level 1]]=Transactions[[#This Row],[L1N]],Transactions[[#This Row],[Transaction name]],IF(Transactions[[#This Row],[Level 1]]=Transactions[[#This Row],[L2N]],Transactions[[#This Row],[L1N]],IF(Transactions[[#This Row],[Level 1]]=Transactions[[#This Row],[L3N]],Transactions[[#This Row],[L2N]],IF(Transactions[[#This Row],[Level 1]]=Transactions[[#This Row],[L4N]],Transactions[[#This Row],[L3N]],IF(Transactions[[#This Row],[Level 1]]=Transactions[[#This Row],[L5N]],Transactions[[#This Row],[L4N]],IF(Transactions[[#This Row],[Level 1]]=Transactions[[#This Row],[L6N]],Transactions[[#This Row],[L5N]],IF(Transactions[[#This Row],[Level 1]]=Transactions[[#This Row],[L7N]],Transactions[[#This Row],[L6N]],Transactions[[#This Row],[L7N]]))))))))</f>
        <v>Statistical differences (S)</v>
      </c>
      <c r="AU225" s="24" t="str">
        <f>IF(Transactions[[#This Row],[Level 2]]=Transactions[[#This Row],[Transaction name]],Transactions[[#This Row],[Transaction name]],IF(Transactions[[#This Row],[Level 2]]=Transactions[[#This Row],[L1N]],Transactions[[#This Row],[Transaction name]],IF(Transactions[[#This Row],[Level 2]]=Transactions[[#This Row],[L2N]],Transactions[[#This Row],[L1N]],IF(Transactions[[#This Row],[Level 2]]=Transactions[[#This Row],[L3N]],Transactions[[#This Row],[L2N]],IF(Transactions[[#This Row],[Level 2]]=Transactions[[#This Row],[L4N]],Transactions[[#This Row],[L3N]],IF(Transactions[[#This Row],[Level 2]]=Transactions[[#This Row],[L5N]],Transactions[[#This Row],[L4N]],IF(Transactions[[#This Row],[Level 2]]=Transactions[[#This Row],[L6N]],Transactions[[#This Row],[L5N]],IF(Transactions[[#This Row],[Level 2]]=Transactions[[#This Row],[L7N]],Transactions[[#This Row],[L6N]],Transactions[[#This Row],[L7N]]))))))))</f>
        <v>Statistical differences (S)</v>
      </c>
      <c r="AV225" s="24" t="str">
        <f>IF(Transactions[[#This Row],[Level 3]]=Transactions[[#This Row],[Transaction name]],Transactions[[#This Row],[Transaction name]],IF(Transactions[[#This Row],[Level 3]]=Transactions[[#This Row],[L1N]],Transactions[[#This Row],[Transaction name]],IF(Transactions[[#This Row],[Level 3]]=Transactions[[#This Row],[L2N]],Transactions[[#This Row],[L1N]],IF(Transactions[[#This Row],[Level 3]]=Transactions[[#This Row],[L3N]],Transactions[[#This Row],[L2N]],IF(Transactions[[#This Row],[Level 3]]=Transactions[[#This Row],[L4N]],Transactions[[#This Row],[L3N]],IF(Transactions[[#This Row],[Level 3]]=Transactions[[#This Row],[L5N]],Transactions[[#This Row],[L4N]],IF(Transactions[[#This Row],[Level 3]]=Transactions[[#This Row],[L6N]],Transactions[[#This Row],[L5N]],IF(Transactions[[#This Row],[Level 3]]=Transactions[[#This Row],[L7N]],Transactions[[#This Row],[L6N]],Transactions[[#This Row],[L7N]]))))))))</f>
        <v>Statistical differences (S)</v>
      </c>
      <c r="AW225" s="24" t="str">
        <f>IF(Transactions[[#This Row],[Level 4]]=Transactions[[#This Row],[Transaction name]],Transactions[[#This Row],[Transaction name]],IF(Transactions[[#This Row],[Level 4]]=Transactions[[#This Row],[L1N]],Transactions[[#This Row],[Transaction name]],IF(Transactions[[#This Row],[Level 4]]=Transactions[[#This Row],[L2N]],Transactions[[#This Row],[L1N]],IF(Transactions[[#This Row],[Level 4]]=Transactions[[#This Row],[L3N]],Transactions[[#This Row],[L2N]],IF(Transactions[[#This Row],[Level 4]]=Transactions[[#This Row],[L4N]],Transactions[[#This Row],[L3N]],IF(Transactions[[#This Row],[Level 4]]=Transactions[[#This Row],[L5N]],Transactions[[#This Row],[L4N]],IF(Transactions[[#This Row],[Level 4]]=Transactions[[#This Row],[L6N]],Transactions[[#This Row],[L5N]],IF(Transactions[[#This Row],[Level 4]]=Transactions[[#This Row],[L7N]],Transactions[[#This Row],[L6N]],Transactions[[#This Row],[L7N]]))))))))</f>
        <v>Statistical differences (S)</v>
      </c>
      <c r="AX225" s="24" t="str">
        <f>IF(Transactions[[#This Row],[Level 5]]=Transactions[[#This Row],[Transaction name]],Transactions[[#This Row],[Transaction name]],IF(Transactions[[#This Row],[Level 5]]=Transactions[[#This Row],[L1N]],Transactions[[#This Row],[Transaction name]],IF(Transactions[[#This Row],[Level 5]]=Transactions[[#This Row],[L2N]],Transactions[[#This Row],[L1N]],IF(Transactions[[#This Row],[Level 5]]=Transactions[[#This Row],[L3N]],Transactions[[#This Row],[L2N]],IF(Transactions[[#This Row],[Level 5]]=Transactions[[#This Row],[L4N]],Transactions[[#This Row],[L3N]],IF(Transactions[[#This Row],[Level 5]]=Transactions[[#This Row],[L5N]],Transactions[[#This Row],[L4N]],IF(Transactions[[#This Row],[Level 5]]=Transactions[[#This Row],[L6N]],Transactions[[#This Row],[L5N]],IF(Transactions[[#This Row],[Level 5]]=Transactions[[#This Row],[L7N]],Transactions[[#This Row],[L6N]],Transactions[[#This Row],[L7N]]))))))))</f>
        <v>Statistical differences (S)</v>
      </c>
      <c r="AY225" s="24" t="str">
        <f>IF(Transactions[[#This Row],[Level 6]]=Transactions[[#This Row],[Transaction name]],Transactions[[#This Row],[Transaction name]],IF(Transactions[[#This Row],[Level 6]]=Transactions[[#This Row],[L1N]],Transactions[[#This Row],[Transaction name]],IF(Transactions[[#This Row],[Level 6]]=Transactions[[#This Row],[L2N]],Transactions[[#This Row],[L1N]],IF(Transactions[[#This Row],[Level 6]]=Transactions[[#This Row],[L3N]],Transactions[[#This Row],[L2N]],IF(Transactions[[#This Row],[Level 6]]=Transactions[[#This Row],[L4N]],Transactions[[#This Row],[L3N]],IF(Transactions[[#This Row],[Level 6]]=Transactions[[#This Row],[L5N]],Transactions[[#This Row],[L4N]],IF(Transactions[[#This Row],[Level 6]]=Transactions[[#This Row],[L6N]],Transactions[[#This Row],[L5N]],IF(Transactions[[#This Row],[Level 6]]=Transactions[[#This Row],[L7N]],Transactions[[#This Row],[L6N]],Transactions[[#This Row],[L7N]]))))))))</f>
        <v>Statistical differences (S)</v>
      </c>
      <c r="BE225" s="26" t="str">
        <f>_xlfn.XLOOKUP(Transformation[[#This Row],[cfrom]],Commodities[Commodity],Commodities[Commodity code])</f>
        <v>4669</v>
      </c>
      <c r="BF225" s="26" t="str">
        <f>_xlfn.XLOOKUP(Transformation[[#This Row],[tfrom]],Transactions[Transaction name],Transactions[Transaction code])</f>
        <v>08832</v>
      </c>
      <c r="BG225" s="26" t="str">
        <f>_xlfn.XLOOKUP(Transformation[[#This Row],[cto]],Commodities[Commodity],Commodities[Commodity code])</f>
        <v>4669</v>
      </c>
      <c r="BH225" s="26" t="str">
        <f>_xlfn.XLOOKUP(Transformation[[#This Row],[tto]],Transactions[Transaction name],Transactions[Transaction code])</f>
        <v>016OPH</v>
      </c>
      <c r="BI225" s="11">
        <v>1</v>
      </c>
      <c r="BJ225" s="4" t="s">
        <v>377</v>
      </c>
      <c r="BK225" s="24" t="str">
        <f>_xlfn.XLOOKUP(Transformation[[#This Row],[Commodity from]],Commodities[Commodity code],Commodities[EnergyCode])</f>
        <v>KR</v>
      </c>
      <c r="BL225" s="4" t="s">
        <v>694</v>
      </c>
      <c r="BM225" s="4" t="s">
        <v>377</v>
      </c>
      <c r="BN225" s="24" t="str">
        <f>_xlfn.XLOOKUP(Transformation[[#This Row],[Commodity to]],Commodities[Commodity code],Commodities[EnergyCode])</f>
        <v>KR</v>
      </c>
      <c r="BO225" s="4" t="s">
        <v>1056</v>
      </c>
      <c r="BP225" s="16" t="s">
        <v>1493</v>
      </c>
      <c r="BQ225" s="33" t="str">
        <f>Transformation[[#This Row],[Commodity from]]&amp;Transformation[[#This Row],[Transaction from]]&amp;Transformation[[#This Row],[Commodity to]]&amp;Transformation[[#This Row],[Transaction to]]</f>
        <v>4669088324669016OPH</v>
      </c>
      <c r="BR225" s="26" t="str">
        <f>Transformation[[#This Row],[crfomid]]&amp;Transformation[[#This Row],[Transaction from]]&amp;"("&amp;Transformation[[#This Row],[Multiplier]]&amp;") -&gt; "&amp;Transformation[[#This Row],[ctoid]]&amp;Transformation[[#This Row],[Transaction to]]</f>
        <v>KR08832(1) -&gt; KR016OPH</v>
      </c>
    </row>
    <row r="226" spans="25:70" x14ac:dyDescent="0.45">
      <c r="Y226" s="4" t="s">
        <v>550</v>
      </c>
      <c r="Z226" s="4" t="s">
        <v>878</v>
      </c>
      <c r="AA226" s="4" t="s">
        <v>878</v>
      </c>
      <c r="AB226" s="4" t="s">
        <v>539</v>
      </c>
      <c r="AC226" s="24" t="str">
        <f>IFERROR(VLOOKUP(Transactions[[#This Row],[Parent code]],Transactions[[Transaction code]:[Transaction name]],2,0),"")</f>
        <v>Total energy supply (S)</v>
      </c>
      <c r="AD226" s="4" t="s">
        <v>631</v>
      </c>
      <c r="AF226" s="4" t="s">
        <v>643</v>
      </c>
      <c r="AG226" s="4" t="s">
        <v>385</v>
      </c>
      <c r="AK226" s="24" t="str" cm="1">
        <f t="array" ref="AK226">IFERROR(INDEX(Transactions[[Transaction code]:[Transaction name]],_xlfn.XMATCH(Transactions[[#This Row],[Parent code]],Transactions[Transaction name],0),3),Transactions[[#This Row],[Transaction name]])</f>
        <v>Stock changes (S)</v>
      </c>
      <c r="AL226" s="24" t="str" cm="1">
        <f t="array" ref="AL226">IFERROR(INDEX(Transactions[[Transaction code]:[Transaction name]],_xlfn.XMATCH(INDEX(Transactions[[Transaction name]:[Parent code]],_xlfn.XMATCH(Transactions[[#This Row],[L1N]],Transactions[Transaction name],0),3),Transactions[Transaction code],0),2),Transactions[[#This Row],[L1N]])</f>
        <v>Total energy supply (S)</v>
      </c>
      <c r="AM226" s="24" t="str" cm="1">
        <f t="array" ref="AM226">IFERROR(INDEX(Transactions[[Transaction code]:[Transaction name]],_xlfn.XMATCH(INDEX(Transactions[[Transaction name]:[Parent code]],_xlfn.XMATCH(Transactions[[#This Row],[L2N]],Transactions[Transaction name],0),3),Transactions[Transaction code],0),2),Transactions[[#This Row],[L2N]])</f>
        <v>Total energy supply (S)</v>
      </c>
      <c r="AN226" s="24" t="str" cm="1">
        <f t="array" ref="AN226">IFERROR(INDEX(Transactions[[Transaction code]:[Transaction name]],_xlfn.XMATCH(INDEX(Transactions[[Transaction name]:[Parent code]],_xlfn.XMATCH(Transactions[[#This Row],[L3N]],Transactions[Transaction name],0),3),Transactions[Transaction code],0),2),Transactions[[#This Row],[L3N]])</f>
        <v>Total energy supply (S)</v>
      </c>
      <c r="AO226" s="24" t="str" cm="1">
        <f t="array" ref="AO226">IFERROR(INDEX(Transactions[[Transaction code]:[Transaction name]],_xlfn.XMATCH(INDEX(Transactions[[Transaction name]:[Parent code]],_xlfn.XMATCH(Transactions[[#This Row],[L4N]],Transactions[Transaction name],0),3),Transactions[Transaction code],0),2),Transactions[[#This Row],[L4N]])</f>
        <v>Total energy supply (S)</v>
      </c>
      <c r="AP226" s="24" t="str" cm="1">
        <f t="array" ref="AP226">IFERROR(INDEX(Transactions[[Transaction code]:[Transaction name]],_xlfn.XMATCH(INDEX(Transactions[[Transaction name]:[Parent code]],_xlfn.XMATCH(Transactions[[#This Row],[L5N]],Transactions[Transaction name],0),3),Transactions[Transaction code],0),2),Transactions[[#This Row],[L5N]])</f>
        <v>Total energy supply (S)</v>
      </c>
      <c r="AQ226" s="24" t="str" cm="1">
        <f t="array" ref="AQ226">IFERROR(INDEX(Transactions[[Transaction code]:[Transaction name]],_xlfn.XMATCH(INDEX(Transactions[[Transaction name]:[Parent code]],_xlfn.XMATCH(Transactions[[#This Row],[L6N]],Transactions[Transaction name],0),3),Transactions[Transaction code],0),2),Transactions[[#This Row],[L6N]])</f>
        <v>Total energy supply (S)</v>
      </c>
      <c r="AR226" s="28" t="str">
        <f>IF(Transactions[[#This Row],[L7N]]=Transactions[[#This Row],[L6N]],Transactions[[#This Row],[L7N]],IF(Transactions[[#This Row],[L6N]]=Transactions[[#This Row],[L5N]],Transactions[[#This Row],[L6N]],IF(Transactions[[#This Row],[L5N]]=Transactions[[#This Row],[L4N]],Transactions[[#This Row],[L5N]],IF(Transactions[[#This Row],[L4N]]=Transactions[[#This Row],[L3N]],Transactions[[#This Row],[L4N]],IF(Transactions[[#This Row],[L3N]]=Transactions[[#This Row],[L2N]],Transactions[[#This Row],[L3N]],IF(Transactions[[#This Row],[L2N]]=Transactions[[#This Row],[L1N]],Transactions[[#This Row],[L2N]],IF(Transactions[[#This Row],[L1N]]=Transactions[[#This Row],[Transaction name]],Transactions[[#This Row],[L1N]],Transactions[[#This Row],[Transaction name]])))))))</f>
        <v>Total energy supply (S)</v>
      </c>
      <c r="AS226" s="24" t="str">
        <f>IF(Transactions[[#This Row],[Level 0]]=Transactions[[#This Row],[Transaction name]],Transactions[[#This Row],[Transaction name]],IF(Transactions[[#This Row],[Level 0]]=Transactions[[#This Row],[L1N]],Transactions[[#This Row],[Transaction name]],IF(Transactions[[#This Row],[Level 0]]=Transactions[[#This Row],[L2N]],Transactions[[#This Row],[L1N]],IF(Transactions[[#This Row],[Level 0]]=Transactions[[#This Row],[L3N]],Transactions[[#This Row],[L2N]],IF(Transactions[[#This Row],[Level 0]]=Transactions[[#This Row],[L4N]],Transactions[[#This Row],[L3N]],IF(Transactions[[#This Row],[Level 0]]=Transactions[[#This Row],[L5N]],Transactions[[#This Row],[L4N]],IF(Transactions[[#This Row],[Level 0]]=Transactions[[#This Row],[L6N]],Transactions[[#This Row],[L5N]],IF(Transactions[[#This Row],[Level 0]]=Transactions[[#This Row],[L7N]],Transactions[[#This Row],[L6N]],Transactions[[#This Row],[L7N]]))))))))</f>
        <v>Stock changes (S)</v>
      </c>
      <c r="AT226" s="24" t="str">
        <f>IF(Transactions[[#This Row],[Level 1]]=Transactions[[#This Row],[Transaction name]],Transactions[[#This Row],[Transaction name]],IF(Transactions[[#This Row],[Level 1]]=Transactions[[#This Row],[L1N]],Transactions[[#This Row],[Transaction name]],IF(Transactions[[#This Row],[Level 1]]=Transactions[[#This Row],[L2N]],Transactions[[#This Row],[L1N]],IF(Transactions[[#This Row],[Level 1]]=Transactions[[#This Row],[L3N]],Transactions[[#This Row],[L2N]],IF(Transactions[[#This Row],[Level 1]]=Transactions[[#This Row],[L4N]],Transactions[[#This Row],[L3N]],IF(Transactions[[#This Row],[Level 1]]=Transactions[[#This Row],[L5N]],Transactions[[#This Row],[L4N]],IF(Transactions[[#This Row],[Level 1]]=Transactions[[#This Row],[L6N]],Transactions[[#This Row],[L5N]],IF(Transactions[[#This Row],[Level 1]]=Transactions[[#This Row],[L7N]],Transactions[[#This Row],[L6N]],Transactions[[#This Row],[L7N]]))))))))</f>
        <v>Stock changes (S)</v>
      </c>
      <c r="AU226" s="24" t="str">
        <f>IF(Transactions[[#This Row],[Level 2]]=Transactions[[#This Row],[Transaction name]],Transactions[[#This Row],[Transaction name]],IF(Transactions[[#This Row],[Level 2]]=Transactions[[#This Row],[L1N]],Transactions[[#This Row],[Transaction name]],IF(Transactions[[#This Row],[Level 2]]=Transactions[[#This Row],[L2N]],Transactions[[#This Row],[L1N]],IF(Transactions[[#This Row],[Level 2]]=Transactions[[#This Row],[L3N]],Transactions[[#This Row],[L2N]],IF(Transactions[[#This Row],[Level 2]]=Transactions[[#This Row],[L4N]],Transactions[[#This Row],[L3N]],IF(Transactions[[#This Row],[Level 2]]=Transactions[[#This Row],[L5N]],Transactions[[#This Row],[L4N]],IF(Transactions[[#This Row],[Level 2]]=Transactions[[#This Row],[L6N]],Transactions[[#This Row],[L5N]],IF(Transactions[[#This Row],[Level 2]]=Transactions[[#This Row],[L7N]],Transactions[[#This Row],[L6N]],Transactions[[#This Row],[L7N]]))))))))</f>
        <v>Stock changes (S)</v>
      </c>
      <c r="AV226" s="24" t="str">
        <f>IF(Transactions[[#This Row],[Level 3]]=Transactions[[#This Row],[Transaction name]],Transactions[[#This Row],[Transaction name]],IF(Transactions[[#This Row],[Level 3]]=Transactions[[#This Row],[L1N]],Transactions[[#This Row],[Transaction name]],IF(Transactions[[#This Row],[Level 3]]=Transactions[[#This Row],[L2N]],Transactions[[#This Row],[L1N]],IF(Transactions[[#This Row],[Level 3]]=Transactions[[#This Row],[L3N]],Transactions[[#This Row],[L2N]],IF(Transactions[[#This Row],[Level 3]]=Transactions[[#This Row],[L4N]],Transactions[[#This Row],[L3N]],IF(Transactions[[#This Row],[Level 3]]=Transactions[[#This Row],[L5N]],Transactions[[#This Row],[L4N]],IF(Transactions[[#This Row],[Level 3]]=Transactions[[#This Row],[L6N]],Transactions[[#This Row],[L5N]],IF(Transactions[[#This Row],[Level 3]]=Transactions[[#This Row],[L7N]],Transactions[[#This Row],[L6N]],Transactions[[#This Row],[L7N]]))))))))</f>
        <v>Stock changes (S)</v>
      </c>
      <c r="AW226" s="24" t="str">
        <f>IF(Transactions[[#This Row],[Level 4]]=Transactions[[#This Row],[Transaction name]],Transactions[[#This Row],[Transaction name]],IF(Transactions[[#This Row],[Level 4]]=Transactions[[#This Row],[L1N]],Transactions[[#This Row],[Transaction name]],IF(Transactions[[#This Row],[Level 4]]=Transactions[[#This Row],[L2N]],Transactions[[#This Row],[L1N]],IF(Transactions[[#This Row],[Level 4]]=Transactions[[#This Row],[L3N]],Transactions[[#This Row],[L2N]],IF(Transactions[[#This Row],[Level 4]]=Transactions[[#This Row],[L4N]],Transactions[[#This Row],[L3N]],IF(Transactions[[#This Row],[Level 4]]=Transactions[[#This Row],[L5N]],Transactions[[#This Row],[L4N]],IF(Transactions[[#This Row],[Level 4]]=Transactions[[#This Row],[L6N]],Transactions[[#This Row],[L5N]],IF(Transactions[[#This Row],[Level 4]]=Transactions[[#This Row],[L7N]],Transactions[[#This Row],[L6N]],Transactions[[#This Row],[L7N]]))))))))</f>
        <v>Stock changes (S)</v>
      </c>
      <c r="AX226" s="24" t="str">
        <f>IF(Transactions[[#This Row],[Level 5]]=Transactions[[#This Row],[Transaction name]],Transactions[[#This Row],[Transaction name]],IF(Transactions[[#This Row],[Level 5]]=Transactions[[#This Row],[L1N]],Transactions[[#This Row],[Transaction name]],IF(Transactions[[#This Row],[Level 5]]=Transactions[[#This Row],[L2N]],Transactions[[#This Row],[L1N]],IF(Transactions[[#This Row],[Level 5]]=Transactions[[#This Row],[L3N]],Transactions[[#This Row],[L2N]],IF(Transactions[[#This Row],[Level 5]]=Transactions[[#This Row],[L4N]],Transactions[[#This Row],[L3N]],IF(Transactions[[#This Row],[Level 5]]=Transactions[[#This Row],[L5N]],Transactions[[#This Row],[L4N]],IF(Transactions[[#This Row],[Level 5]]=Transactions[[#This Row],[L6N]],Transactions[[#This Row],[L5N]],IF(Transactions[[#This Row],[Level 5]]=Transactions[[#This Row],[L7N]],Transactions[[#This Row],[L6N]],Transactions[[#This Row],[L7N]]))))))))</f>
        <v>Stock changes (S)</v>
      </c>
      <c r="AY226" s="24" t="str">
        <f>IF(Transactions[[#This Row],[Level 6]]=Transactions[[#This Row],[Transaction name]],Transactions[[#This Row],[Transaction name]],IF(Transactions[[#This Row],[Level 6]]=Transactions[[#This Row],[L1N]],Transactions[[#This Row],[Transaction name]],IF(Transactions[[#This Row],[Level 6]]=Transactions[[#This Row],[L2N]],Transactions[[#This Row],[L1N]],IF(Transactions[[#This Row],[Level 6]]=Transactions[[#This Row],[L3N]],Transactions[[#This Row],[L2N]],IF(Transactions[[#This Row],[Level 6]]=Transactions[[#This Row],[L4N]],Transactions[[#This Row],[L3N]],IF(Transactions[[#This Row],[Level 6]]=Transactions[[#This Row],[L5N]],Transactions[[#This Row],[L4N]],IF(Transactions[[#This Row],[Level 6]]=Transactions[[#This Row],[L6N]],Transactions[[#This Row],[L5N]],IF(Transactions[[#This Row],[Level 6]]=Transactions[[#This Row],[L7N]],Transactions[[#This Row],[L6N]],Transactions[[#This Row],[L7N]]))))))))</f>
        <v>Stock changes (S)</v>
      </c>
      <c r="BE226" s="26" t="str">
        <f>_xlfn.XLOOKUP(Transformation[[#This Row],[cfrom]],Commodities[Commodity],Commodities[Commodity code])</f>
        <v>0200</v>
      </c>
      <c r="BF226" s="26" t="str">
        <f>_xlfn.XLOOKUP(Transformation[[#This Row],[tfrom]],Transactions[Transaction name],Transactions[Transaction code])</f>
        <v>08832</v>
      </c>
      <c r="BG226" s="26" t="str">
        <f>_xlfn.XLOOKUP(Transformation[[#This Row],[cto]],Commodities[Commodity],Commodities[Commodity code])</f>
        <v>0200</v>
      </c>
      <c r="BH226" s="26" t="str">
        <f>_xlfn.XLOOKUP(Transformation[[#This Row],[tto]],Transactions[Transaction name],Transactions[Transaction code])</f>
        <v>016CBH</v>
      </c>
      <c r="BI226" s="11">
        <v>1</v>
      </c>
      <c r="BJ226" s="4" t="s">
        <v>516</v>
      </c>
      <c r="BK226" s="24" t="str">
        <f>_xlfn.XLOOKUP(Transformation[[#This Row],[Commodity from]],Commodities[Commodity code],Commodities[EnergyCode])</f>
        <v>LB</v>
      </c>
      <c r="BL226" s="4" t="s">
        <v>694</v>
      </c>
      <c r="BM226" s="4" t="s">
        <v>516</v>
      </c>
      <c r="BN226" s="24" t="str">
        <f>_xlfn.XLOOKUP(Transformation[[#This Row],[Commodity to]],Commodities[Commodity code],Commodities[EnergyCode])</f>
        <v>LB</v>
      </c>
      <c r="BO226" s="4" t="s">
        <v>1183</v>
      </c>
      <c r="BP226" s="16" t="s">
        <v>1493</v>
      </c>
      <c r="BQ226" s="33" t="str">
        <f>Transformation[[#This Row],[Commodity from]]&amp;Transformation[[#This Row],[Transaction from]]&amp;Transformation[[#This Row],[Commodity to]]&amp;Transformation[[#This Row],[Transaction to]]</f>
        <v>0200088320200016CBH</v>
      </c>
      <c r="BR226" s="26" t="str">
        <f>Transformation[[#This Row],[crfomid]]&amp;Transformation[[#This Row],[Transaction from]]&amp;"("&amp;Transformation[[#This Row],[Multiplier]]&amp;") -&gt; "&amp;Transformation[[#This Row],[ctoid]]&amp;Transformation[[#This Row],[Transaction to]]</f>
        <v>LB08832(1) -&gt; LB016CBH</v>
      </c>
    </row>
    <row r="227" spans="25:70" x14ac:dyDescent="0.45">
      <c r="Y227" s="4" t="s">
        <v>539</v>
      </c>
      <c r="Z227" s="4" t="s">
        <v>880</v>
      </c>
      <c r="AA227" s="4" t="s">
        <v>880</v>
      </c>
      <c r="AC227" s="24" t="str">
        <f>IFERROR(VLOOKUP(Transactions[[#This Row],[Parent code]],Transactions[[Transaction code]:[Transaction name]],2,0),"")</f>
        <v/>
      </c>
      <c r="AD227" s="4" t="s">
        <v>631</v>
      </c>
      <c r="AF227" s="4" t="s">
        <v>642</v>
      </c>
      <c r="AG227" s="4" t="s">
        <v>385</v>
      </c>
      <c r="AK227" s="24" t="str" cm="1">
        <f t="array" ref="AK227">IFERROR(INDEX(Transactions[[Transaction code]:[Transaction name]],_xlfn.XMATCH(Transactions[[#This Row],[Parent code]],Transactions[Transaction name],0),3),Transactions[[#This Row],[Transaction name]])</f>
        <v>Total energy supply (S)</v>
      </c>
      <c r="AL227" s="24" t="str" cm="1">
        <f t="array" ref="AL227">IFERROR(INDEX(Transactions[[Transaction code]:[Transaction name]],_xlfn.XMATCH(INDEX(Transactions[[Transaction name]:[Parent code]],_xlfn.XMATCH(Transactions[[#This Row],[L1N]],Transactions[Transaction name],0),3),Transactions[Transaction code],0),2),Transactions[[#This Row],[L1N]])</f>
        <v>Total energy supply (S)</v>
      </c>
      <c r="AM227" s="24" t="str" cm="1">
        <f t="array" ref="AM227">IFERROR(INDEX(Transactions[[Transaction code]:[Transaction name]],_xlfn.XMATCH(INDEX(Transactions[[Transaction name]:[Parent code]],_xlfn.XMATCH(Transactions[[#This Row],[L2N]],Transactions[Transaction name],0),3),Transactions[Transaction code],0),2),Transactions[[#This Row],[L2N]])</f>
        <v>Total energy supply (S)</v>
      </c>
      <c r="AN227" s="24" t="str" cm="1">
        <f t="array" ref="AN227">IFERROR(INDEX(Transactions[[Transaction code]:[Transaction name]],_xlfn.XMATCH(INDEX(Transactions[[Transaction name]:[Parent code]],_xlfn.XMATCH(Transactions[[#This Row],[L3N]],Transactions[Transaction name],0),3),Transactions[Transaction code],0),2),Transactions[[#This Row],[L3N]])</f>
        <v>Total energy supply (S)</v>
      </c>
      <c r="AO227" s="24" t="str" cm="1">
        <f t="array" ref="AO227">IFERROR(INDEX(Transactions[[Transaction code]:[Transaction name]],_xlfn.XMATCH(INDEX(Transactions[[Transaction name]:[Parent code]],_xlfn.XMATCH(Transactions[[#This Row],[L4N]],Transactions[Transaction name],0),3),Transactions[Transaction code],0),2),Transactions[[#This Row],[L4N]])</f>
        <v>Total energy supply (S)</v>
      </c>
      <c r="AP227" s="24" t="str" cm="1">
        <f t="array" ref="AP227">IFERROR(INDEX(Transactions[[Transaction code]:[Transaction name]],_xlfn.XMATCH(INDEX(Transactions[[Transaction name]:[Parent code]],_xlfn.XMATCH(Transactions[[#This Row],[L5N]],Transactions[Transaction name],0),3),Transactions[Transaction code],0),2),Transactions[[#This Row],[L5N]])</f>
        <v>Total energy supply (S)</v>
      </c>
      <c r="AQ227" s="24" t="str" cm="1">
        <f t="array" ref="AQ227">IFERROR(INDEX(Transactions[[Transaction code]:[Transaction name]],_xlfn.XMATCH(INDEX(Transactions[[Transaction name]:[Parent code]],_xlfn.XMATCH(Transactions[[#This Row],[L6N]],Transactions[Transaction name],0),3),Transactions[Transaction code],0),2),Transactions[[#This Row],[L6N]])</f>
        <v>Total energy supply (S)</v>
      </c>
      <c r="AR227" s="28" t="str">
        <f>IF(Transactions[[#This Row],[L7N]]=Transactions[[#This Row],[L6N]],Transactions[[#This Row],[L7N]],IF(Transactions[[#This Row],[L6N]]=Transactions[[#This Row],[L5N]],Transactions[[#This Row],[L6N]],IF(Transactions[[#This Row],[L5N]]=Transactions[[#This Row],[L4N]],Transactions[[#This Row],[L5N]],IF(Transactions[[#This Row],[L4N]]=Transactions[[#This Row],[L3N]],Transactions[[#This Row],[L4N]],IF(Transactions[[#This Row],[L3N]]=Transactions[[#This Row],[L2N]],Transactions[[#This Row],[L3N]],IF(Transactions[[#This Row],[L2N]]=Transactions[[#This Row],[L1N]],Transactions[[#This Row],[L2N]],IF(Transactions[[#This Row],[L1N]]=Transactions[[#This Row],[Transaction name]],Transactions[[#This Row],[L1N]],Transactions[[#This Row],[Transaction name]])))))))</f>
        <v>Total energy supply (S)</v>
      </c>
      <c r="AS227" s="24" t="str">
        <f>IF(Transactions[[#This Row],[Level 0]]=Transactions[[#This Row],[Transaction name]],Transactions[[#This Row],[Transaction name]],IF(Transactions[[#This Row],[Level 0]]=Transactions[[#This Row],[L1N]],Transactions[[#This Row],[Transaction name]],IF(Transactions[[#This Row],[Level 0]]=Transactions[[#This Row],[L2N]],Transactions[[#This Row],[L1N]],IF(Transactions[[#This Row],[Level 0]]=Transactions[[#This Row],[L3N]],Transactions[[#This Row],[L2N]],IF(Transactions[[#This Row],[Level 0]]=Transactions[[#This Row],[L4N]],Transactions[[#This Row],[L3N]],IF(Transactions[[#This Row],[Level 0]]=Transactions[[#This Row],[L5N]],Transactions[[#This Row],[L4N]],IF(Transactions[[#This Row],[Level 0]]=Transactions[[#This Row],[L6N]],Transactions[[#This Row],[L5N]],IF(Transactions[[#This Row],[Level 0]]=Transactions[[#This Row],[L7N]],Transactions[[#This Row],[L6N]],Transactions[[#This Row],[L7N]]))))))))</f>
        <v>Total energy supply (S)</v>
      </c>
      <c r="AT227" s="24" t="str">
        <f>IF(Transactions[[#This Row],[Level 1]]=Transactions[[#This Row],[Transaction name]],Transactions[[#This Row],[Transaction name]],IF(Transactions[[#This Row],[Level 1]]=Transactions[[#This Row],[L1N]],Transactions[[#This Row],[Transaction name]],IF(Transactions[[#This Row],[Level 1]]=Transactions[[#This Row],[L2N]],Transactions[[#This Row],[L1N]],IF(Transactions[[#This Row],[Level 1]]=Transactions[[#This Row],[L3N]],Transactions[[#This Row],[L2N]],IF(Transactions[[#This Row],[Level 1]]=Transactions[[#This Row],[L4N]],Transactions[[#This Row],[L3N]],IF(Transactions[[#This Row],[Level 1]]=Transactions[[#This Row],[L5N]],Transactions[[#This Row],[L4N]],IF(Transactions[[#This Row],[Level 1]]=Transactions[[#This Row],[L6N]],Transactions[[#This Row],[L5N]],IF(Transactions[[#This Row],[Level 1]]=Transactions[[#This Row],[L7N]],Transactions[[#This Row],[L6N]],Transactions[[#This Row],[L7N]]))))))))</f>
        <v>Total energy supply (S)</v>
      </c>
      <c r="AU227" s="24" t="str">
        <f>IF(Transactions[[#This Row],[Level 2]]=Transactions[[#This Row],[Transaction name]],Transactions[[#This Row],[Transaction name]],IF(Transactions[[#This Row],[Level 2]]=Transactions[[#This Row],[L1N]],Transactions[[#This Row],[Transaction name]],IF(Transactions[[#This Row],[Level 2]]=Transactions[[#This Row],[L2N]],Transactions[[#This Row],[L1N]],IF(Transactions[[#This Row],[Level 2]]=Transactions[[#This Row],[L3N]],Transactions[[#This Row],[L2N]],IF(Transactions[[#This Row],[Level 2]]=Transactions[[#This Row],[L4N]],Transactions[[#This Row],[L3N]],IF(Transactions[[#This Row],[Level 2]]=Transactions[[#This Row],[L5N]],Transactions[[#This Row],[L4N]],IF(Transactions[[#This Row],[Level 2]]=Transactions[[#This Row],[L6N]],Transactions[[#This Row],[L5N]],IF(Transactions[[#This Row],[Level 2]]=Transactions[[#This Row],[L7N]],Transactions[[#This Row],[L6N]],Transactions[[#This Row],[L7N]]))))))))</f>
        <v>Total energy supply (S)</v>
      </c>
      <c r="AV227" s="24" t="str">
        <f>IF(Transactions[[#This Row],[Level 3]]=Transactions[[#This Row],[Transaction name]],Transactions[[#This Row],[Transaction name]],IF(Transactions[[#This Row],[Level 3]]=Transactions[[#This Row],[L1N]],Transactions[[#This Row],[Transaction name]],IF(Transactions[[#This Row],[Level 3]]=Transactions[[#This Row],[L2N]],Transactions[[#This Row],[L1N]],IF(Transactions[[#This Row],[Level 3]]=Transactions[[#This Row],[L3N]],Transactions[[#This Row],[L2N]],IF(Transactions[[#This Row],[Level 3]]=Transactions[[#This Row],[L4N]],Transactions[[#This Row],[L3N]],IF(Transactions[[#This Row],[Level 3]]=Transactions[[#This Row],[L5N]],Transactions[[#This Row],[L4N]],IF(Transactions[[#This Row],[Level 3]]=Transactions[[#This Row],[L6N]],Transactions[[#This Row],[L5N]],IF(Transactions[[#This Row],[Level 3]]=Transactions[[#This Row],[L7N]],Transactions[[#This Row],[L6N]],Transactions[[#This Row],[L7N]]))))))))</f>
        <v>Total energy supply (S)</v>
      </c>
      <c r="AW227" s="24" t="str">
        <f>IF(Transactions[[#This Row],[Level 4]]=Transactions[[#This Row],[Transaction name]],Transactions[[#This Row],[Transaction name]],IF(Transactions[[#This Row],[Level 4]]=Transactions[[#This Row],[L1N]],Transactions[[#This Row],[Transaction name]],IF(Transactions[[#This Row],[Level 4]]=Transactions[[#This Row],[L2N]],Transactions[[#This Row],[L1N]],IF(Transactions[[#This Row],[Level 4]]=Transactions[[#This Row],[L3N]],Transactions[[#This Row],[L2N]],IF(Transactions[[#This Row],[Level 4]]=Transactions[[#This Row],[L4N]],Transactions[[#This Row],[L3N]],IF(Transactions[[#This Row],[Level 4]]=Transactions[[#This Row],[L5N]],Transactions[[#This Row],[L4N]],IF(Transactions[[#This Row],[Level 4]]=Transactions[[#This Row],[L6N]],Transactions[[#This Row],[L5N]],IF(Transactions[[#This Row],[Level 4]]=Transactions[[#This Row],[L7N]],Transactions[[#This Row],[L6N]],Transactions[[#This Row],[L7N]]))))))))</f>
        <v>Total energy supply (S)</v>
      </c>
      <c r="AX227" s="24" t="str">
        <f>IF(Transactions[[#This Row],[Level 5]]=Transactions[[#This Row],[Transaction name]],Transactions[[#This Row],[Transaction name]],IF(Transactions[[#This Row],[Level 5]]=Transactions[[#This Row],[L1N]],Transactions[[#This Row],[Transaction name]],IF(Transactions[[#This Row],[Level 5]]=Transactions[[#This Row],[L2N]],Transactions[[#This Row],[L1N]],IF(Transactions[[#This Row],[Level 5]]=Transactions[[#This Row],[L3N]],Transactions[[#This Row],[L2N]],IF(Transactions[[#This Row],[Level 5]]=Transactions[[#This Row],[L4N]],Transactions[[#This Row],[L3N]],IF(Transactions[[#This Row],[Level 5]]=Transactions[[#This Row],[L5N]],Transactions[[#This Row],[L4N]],IF(Transactions[[#This Row],[Level 5]]=Transactions[[#This Row],[L6N]],Transactions[[#This Row],[L5N]],IF(Transactions[[#This Row],[Level 5]]=Transactions[[#This Row],[L7N]],Transactions[[#This Row],[L6N]],Transactions[[#This Row],[L7N]]))))))))</f>
        <v>Total energy supply (S)</v>
      </c>
      <c r="AY227" s="24" t="str">
        <f>IF(Transactions[[#This Row],[Level 6]]=Transactions[[#This Row],[Transaction name]],Transactions[[#This Row],[Transaction name]],IF(Transactions[[#This Row],[Level 6]]=Transactions[[#This Row],[L1N]],Transactions[[#This Row],[Transaction name]],IF(Transactions[[#This Row],[Level 6]]=Transactions[[#This Row],[L2N]],Transactions[[#This Row],[L1N]],IF(Transactions[[#This Row],[Level 6]]=Transactions[[#This Row],[L3N]],Transactions[[#This Row],[L2N]],IF(Transactions[[#This Row],[Level 6]]=Transactions[[#This Row],[L4N]],Transactions[[#This Row],[L3N]],IF(Transactions[[#This Row],[Level 6]]=Transactions[[#This Row],[L5N]],Transactions[[#This Row],[L4N]],IF(Transactions[[#This Row],[Level 6]]=Transactions[[#This Row],[L6N]],Transactions[[#This Row],[L5N]],IF(Transactions[[#This Row],[Level 6]]=Transactions[[#This Row],[L7N]],Transactions[[#This Row],[L6N]],Transactions[[#This Row],[L7N]]))))))))</f>
        <v>Total energy supply (S)</v>
      </c>
      <c r="BE227" s="26" t="str">
        <f>_xlfn.XLOOKUP(Transformation[[#This Row],[cfrom]],Commodities[Commodity],Commodities[Commodity code])</f>
        <v>4630</v>
      </c>
      <c r="BF227" s="26" t="str">
        <f>_xlfn.XLOOKUP(Transformation[[#This Row],[tfrom]],Transactions[Transaction name],Transactions[Transaction code])</f>
        <v>08832</v>
      </c>
      <c r="BG227" s="26" t="str">
        <f>_xlfn.XLOOKUP(Transformation[[#This Row],[cto]],Commodities[Commodity],Commodities[Commodity code])</f>
        <v>4630</v>
      </c>
      <c r="BH227" s="26" t="str">
        <f>_xlfn.XLOOKUP(Transformation[[#This Row],[tto]],Transactions[Transaction name],Transactions[Transaction code])</f>
        <v>016OPH</v>
      </c>
      <c r="BI227" s="11">
        <v>1</v>
      </c>
      <c r="BJ227" s="4" t="s">
        <v>408</v>
      </c>
      <c r="BK227" s="24" t="str">
        <f>_xlfn.XLOOKUP(Transformation[[#This Row],[Commodity from]],Commodities[Commodity code],Commodities[EnergyCode])</f>
        <v>LP</v>
      </c>
      <c r="BL227" s="4" t="s">
        <v>694</v>
      </c>
      <c r="BM227" s="4" t="s">
        <v>408</v>
      </c>
      <c r="BN227" s="24" t="str">
        <f>_xlfn.XLOOKUP(Transformation[[#This Row],[Commodity to]],Commodities[Commodity code],Commodities[EnergyCode])</f>
        <v>LP</v>
      </c>
      <c r="BO227" s="4" t="s">
        <v>1056</v>
      </c>
      <c r="BP227" s="16" t="s">
        <v>1493</v>
      </c>
      <c r="BQ227" s="33" t="str">
        <f>Transformation[[#This Row],[Commodity from]]&amp;Transformation[[#This Row],[Transaction from]]&amp;Transformation[[#This Row],[Commodity to]]&amp;Transformation[[#This Row],[Transaction to]]</f>
        <v>4630088324630016OPH</v>
      </c>
      <c r="BR227" s="26" t="str">
        <f>Transformation[[#This Row],[crfomid]]&amp;Transformation[[#This Row],[Transaction from]]&amp;"("&amp;Transformation[[#This Row],[Multiplier]]&amp;") -&gt; "&amp;Transformation[[#This Row],[ctoid]]&amp;Transformation[[#This Row],[Transaction to]]</f>
        <v>LP08832(1) -&gt; LP016OPH</v>
      </c>
    </row>
    <row r="228" spans="25:70" x14ac:dyDescent="0.45">
      <c r="Y228" s="4" t="s">
        <v>540</v>
      </c>
      <c r="Z228" s="4" t="s">
        <v>881</v>
      </c>
      <c r="AA228" s="4" t="s">
        <v>881</v>
      </c>
      <c r="AB228" s="4" t="s">
        <v>539</v>
      </c>
      <c r="AC228" s="24" t="str">
        <f>IFERROR(VLOOKUP(Transactions[[#This Row],[Parent code]],Transactions[[Transaction code]:[Transaction name]],2,0),"")</f>
        <v>Total energy supply (S)</v>
      </c>
      <c r="AD228" s="4" t="s">
        <v>961</v>
      </c>
      <c r="AE228" s="4" t="s">
        <v>961</v>
      </c>
      <c r="AF228" s="4" t="s">
        <v>642</v>
      </c>
      <c r="AG228" s="4" t="s">
        <v>385</v>
      </c>
      <c r="AK228" s="24" t="str" cm="1">
        <f t="array" ref="AK228">IFERROR(INDEX(Transactions[[Transaction code]:[Transaction name]],_xlfn.XMATCH(Transactions[[#This Row],[Parent code]],Transactions[Transaction name],0),3),Transactions[[#This Row],[Transaction name]])</f>
        <v>Transfers and recycled products (S)</v>
      </c>
      <c r="AL228" s="24" t="str" cm="1">
        <f t="array" ref="AL228">IFERROR(INDEX(Transactions[[Transaction code]:[Transaction name]],_xlfn.XMATCH(INDEX(Transactions[[Transaction name]:[Parent code]],_xlfn.XMATCH(Transactions[[#This Row],[L1N]],Transactions[Transaction name],0),3),Transactions[Transaction code],0),2),Transactions[[#This Row],[L1N]])</f>
        <v>Total energy supply (S)</v>
      </c>
      <c r="AM228" s="24" t="str" cm="1">
        <f t="array" ref="AM228">IFERROR(INDEX(Transactions[[Transaction code]:[Transaction name]],_xlfn.XMATCH(INDEX(Transactions[[Transaction name]:[Parent code]],_xlfn.XMATCH(Transactions[[#This Row],[L2N]],Transactions[Transaction name],0),3),Transactions[Transaction code],0),2),Transactions[[#This Row],[L2N]])</f>
        <v>Total energy supply (S)</v>
      </c>
      <c r="AN228" s="24" t="str" cm="1">
        <f t="array" ref="AN228">IFERROR(INDEX(Transactions[[Transaction code]:[Transaction name]],_xlfn.XMATCH(INDEX(Transactions[[Transaction name]:[Parent code]],_xlfn.XMATCH(Transactions[[#This Row],[L3N]],Transactions[Transaction name],0),3),Transactions[Transaction code],0),2),Transactions[[#This Row],[L3N]])</f>
        <v>Total energy supply (S)</v>
      </c>
      <c r="AO228" s="24" t="str" cm="1">
        <f t="array" ref="AO228">IFERROR(INDEX(Transactions[[Transaction code]:[Transaction name]],_xlfn.XMATCH(INDEX(Transactions[[Transaction name]:[Parent code]],_xlfn.XMATCH(Transactions[[#This Row],[L4N]],Transactions[Transaction name],0),3),Transactions[Transaction code],0),2),Transactions[[#This Row],[L4N]])</f>
        <v>Total energy supply (S)</v>
      </c>
      <c r="AP228" s="24" t="str" cm="1">
        <f t="array" ref="AP228">IFERROR(INDEX(Transactions[[Transaction code]:[Transaction name]],_xlfn.XMATCH(INDEX(Transactions[[Transaction name]:[Parent code]],_xlfn.XMATCH(Transactions[[#This Row],[L5N]],Transactions[Transaction name],0),3),Transactions[Transaction code],0),2),Transactions[[#This Row],[L5N]])</f>
        <v>Total energy supply (S)</v>
      </c>
      <c r="AQ228" s="24" t="str" cm="1">
        <f t="array" ref="AQ228">IFERROR(INDEX(Transactions[[Transaction code]:[Transaction name]],_xlfn.XMATCH(INDEX(Transactions[[Transaction name]:[Parent code]],_xlfn.XMATCH(Transactions[[#This Row],[L6N]],Transactions[Transaction name],0),3),Transactions[Transaction code],0),2),Transactions[[#This Row],[L6N]])</f>
        <v>Total energy supply (S)</v>
      </c>
      <c r="AR228" s="28" t="str">
        <f>IF(Transactions[[#This Row],[L7N]]=Transactions[[#This Row],[L6N]],Transactions[[#This Row],[L7N]],IF(Transactions[[#This Row],[L6N]]=Transactions[[#This Row],[L5N]],Transactions[[#This Row],[L6N]],IF(Transactions[[#This Row],[L5N]]=Transactions[[#This Row],[L4N]],Transactions[[#This Row],[L5N]],IF(Transactions[[#This Row],[L4N]]=Transactions[[#This Row],[L3N]],Transactions[[#This Row],[L4N]],IF(Transactions[[#This Row],[L3N]]=Transactions[[#This Row],[L2N]],Transactions[[#This Row],[L3N]],IF(Transactions[[#This Row],[L2N]]=Transactions[[#This Row],[L1N]],Transactions[[#This Row],[L2N]],IF(Transactions[[#This Row],[L1N]]=Transactions[[#This Row],[Transaction name]],Transactions[[#This Row],[L1N]],Transactions[[#This Row],[Transaction name]])))))))</f>
        <v>Total energy supply (S)</v>
      </c>
      <c r="AS228" s="24" t="str">
        <f>IF(Transactions[[#This Row],[Level 0]]=Transactions[[#This Row],[Transaction name]],Transactions[[#This Row],[Transaction name]],IF(Transactions[[#This Row],[Level 0]]=Transactions[[#This Row],[L1N]],Transactions[[#This Row],[Transaction name]],IF(Transactions[[#This Row],[Level 0]]=Transactions[[#This Row],[L2N]],Transactions[[#This Row],[L1N]],IF(Transactions[[#This Row],[Level 0]]=Transactions[[#This Row],[L3N]],Transactions[[#This Row],[L2N]],IF(Transactions[[#This Row],[Level 0]]=Transactions[[#This Row],[L4N]],Transactions[[#This Row],[L3N]],IF(Transactions[[#This Row],[Level 0]]=Transactions[[#This Row],[L5N]],Transactions[[#This Row],[L4N]],IF(Transactions[[#This Row],[Level 0]]=Transactions[[#This Row],[L6N]],Transactions[[#This Row],[L5N]],IF(Transactions[[#This Row],[Level 0]]=Transactions[[#This Row],[L7N]],Transactions[[#This Row],[L6N]],Transactions[[#This Row],[L7N]]))))))))</f>
        <v>Transfers and recycled products (S)</v>
      </c>
      <c r="AT228" s="24" t="str">
        <f>IF(Transactions[[#This Row],[Level 1]]=Transactions[[#This Row],[Transaction name]],Transactions[[#This Row],[Transaction name]],IF(Transactions[[#This Row],[Level 1]]=Transactions[[#This Row],[L1N]],Transactions[[#This Row],[Transaction name]],IF(Transactions[[#This Row],[Level 1]]=Transactions[[#This Row],[L2N]],Transactions[[#This Row],[L1N]],IF(Transactions[[#This Row],[Level 1]]=Transactions[[#This Row],[L3N]],Transactions[[#This Row],[L2N]],IF(Transactions[[#This Row],[Level 1]]=Transactions[[#This Row],[L4N]],Transactions[[#This Row],[L3N]],IF(Transactions[[#This Row],[Level 1]]=Transactions[[#This Row],[L5N]],Transactions[[#This Row],[L4N]],IF(Transactions[[#This Row],[Level 1]]=Transactions[[#This Row],[L6N]],Transactions[[#This Row],[L5N]],IF(Transactions[[#This Row],[Level 1]]=Transactions[[#This Row],[L7N]],Transactions[[#This Row],[L6N]],Transactions[[#This Row],[L7N]]))))))))</f>
        <v>Transfers and recycled products (S)</v>
      </c>
      <c r="AU228" s="24" t="str">
        <f>IF(Transactions[[#This Row],[Level 2]]=Transactions[[#This Row],[Transaction name]],Transactions[[#This Row],[Transaction name]],IF(Transactions[[#This Row],[Level 2]]=Transactions[[#This Row],[L1N]],Transactions[[#This Row],[Transaction name]],IF(Transactions[[#This Row],[Level 2]]=Transactions[[#This Row],[L2N]],Transactions[[#This Row],[L1N]],IF(Transactions[[#This Row],[Level 2]]=Transactions[[#This Row],[L3N]],Transactions[[#This Row],[L2N]],IF(Transactions[[#This Row],[Level 2]]=Transactions[[#This Row],[L4N]],Transactions[[#This Row],[L3N]],IF(Transactions[[#This Row],[Level 2]]=Transactions[[#This Row],[L5N]],Transactions[[#This Row],[L4N]],IF(Transactions[[#This Row],[Level 2]]=Transactions[[#This Row],[L6N]],Transactions[[#This Row],[L5N]],IF(Transactions[[#This Row],[Level 2]]=Transactions[[#This Row],[L7N]],Transactions[[#This Row],[L6N]],Transactions[[#This Row],[L7N]]))))))))</f>
        <v>Transfers and recycled products (S)</v>
      </c>
      <c r="AV228" s="24" t="str">
        <f>IF(Transactions[[#This Row],[Level 3]]=Transactions[[#This Row],[Transaction name]],Transactions[[#This Row],[Transaction name]],IF(Transactions[[#This Row],[Level 3]]=Transactions[[#This Row],[L1N]],Transactions[[#This Row],[Transaction name]],IF(Transactions[[#This Row],[Level 3]]=Transactions[[#This Row],[L2N]],Transactions[[#This Row],[L1N]],IF(Transactions[[#This Row],[Level 3]]=Transactions[[#This Row],[L3N]],Transactions[[#This Row],[L2N]],IF(Transactions[[#This Row],[Level 3]]=Transactions[[#This Row],[L4N]],Transactions[[#This Row],[L3N]],IF(Transactions[[#This Row],[Level 3]]=Transactions[[#This Row],[L5N]],Transactions[[#This Row],[L4N]],IF(Transactions[[#This Row],[Level 3]]=Transactions[[#This Row],[L6N]],Transactions[[#This Row],[L5N]],IF(Transactions[[#This Row],[Level 3]]=Transactions[[#This Row],[L7N]],Transactions[[#This Row],[L6N]],Transactions[[#This Row],[L7N]]))))))))</f>
        <v>Transfers and recycled products (S)</v>
      </c>
      <c r="AW228" s="24" t="str">
        <f>IF(Transactions[[#This Row],[Level 4]]=Transactions[[#This Row],[Transaction name]],Transactions[[#This Row],[Transaction name]],IF(Transactions[[#This Row],[Level 4]]=Transactions[[#This Row],[L1N]],Transactions[[#This Row],[Transaction name]],IF(Transactions[[#This Row],[Level 4]]=Transactions[[#This Row],[L2N]],Transactions[[#This Row],[L1N]],IF(Transactions[[#This Row],[Level 4]]=Transactions[[#This Row],[L3N]],Transactions[[#This Row],[L2N]],IF(Transactions[[#This Row],[Level 4]]=Transactions[[#This Row],[L4N]],Transactions[[#This Row],[L3N]],IF(Transactions[[#This Row],[Level 4]]=Transactions[[#This Row],[L5N]],Transactions[[#This Row],[L4N]],IF(Transactions[[#This Row],[Level 4]]=Transactions[[#This Row],[L6N]],Transactions[[#This Row],[L5N]],IF(Transactions[[#This Row],[Level 4]]=Transactions[[#This Row],[L7N]],Transactions[[#This Row],[L6N]],Transactions[[#This Row],[L7N]]))))))))</f>
        <v>Transfers and recycled products (S)</v>
      </c>
      <c r="AX228" s="24" t="str">
        <f>IF(Transactions[[#This Row],[Level 5]]=Transactions[[#This Row],[Transaction name]],Transactions[[#This Row],[Transaction name]],IF(Transactions[[#This Row],[Level 5]]=Transactions[[#This Row],[L1N]],Transactions[[#This Row],[Transaction name]],IF(Transactions[[#This Row],[Level 5]]=Transactions[[#This Row],[L2N]],Transactions[[#This Row],[L1N]],IF(Transactions[[#This Row],[Level 5]]=Transactions[[#This Row],[L3N]],Transactions[[#This Row],[L2N]],IF(Transactions[[#This Row],[Level 5]]=Transactions[[#This Row],[L4N]],Transactions[[#This Row],[L3N]],IF(Transactions[[#This Row],[Level 5]]=Transactions[[#This Row],[L5N]],Transactions[[#This Row],[L4N]],IF(Transactions[[#This Row],[Level 5]]=Transactions[[#This Row],[L6N]],Transactions[[#This Row],[L5N]],IF(Transactions[[#This Row],[Level 5]]=Transactions[[#This Row],[L7N]],Transactions[[#This Row],[L6N]],Transactions[[#This Row],[L7N]]))))))))</f>
        <v>Transfers and recycled products (S)</v>
      </c>
      <c r="AY228" s="24" t="str">
        <f>IF(Transactions[[#This Row],[Level 6]]=Transactions[[#This Row],[Transaction name]],Transactions[[#This Row],[Transaction name]],IF(Transactions[[#This Row],[Level 6]]=Transactions[[#This Row],[L1N]],Transactions[[#This Row],[Transaction name]],IF(Transactions[[#This Row],[Level 6]]=Transactions[[#This Row],[L2N]],Transactions[[#This Row],[L1N]],IF(Transactions[[#This Row],[Level 6]]=Transactions[[#This Row],[L3N]],Transactions[[#This Row],[L2N]],IF(Transactions[[#This Row],[Level 6]]=Transactions[[#This Row],[L4N]],Transactions[[#This Row],[L3N]],IF(Transactions[[#This Row],[Level 6]]=Transactions[[#This Row],[L5N]],Transactions[[#This Row],[L4N]],IF(Transactions[[#This Row],[Level 6]]=Transactions[[#This Row],[L6N]],Transactions[[#This Row],[L5N]],IF(Transactions[[#This Row],[Level 6]]=Transactions[[#This Row],[L7N]],Transactions[[#This Row],[L6N]],Transactions[[#This Row],[L7N]]))))))))</f>
        <v>Transfers and recycled products (S)</v>
      </c>
      <c r="BE228" s="26" t="str">
        <f>_xlfn.XLOOKUP(Transformation[[#This Row],[cfrom]],Commodities[Commodity],Commodities[Commodity code])</f>
        <v>4652</v>
      </c>
      <c r="BF228" s="26" t="str">
        <f>_xlfn.XLOOKUP(Transformation[[#This Row],[tfrom]],Transactions[Transaction name],Transactions[Transaction code])</f>
        <v>08832</v>
      </c>
      <c r="BG228" s="26" t="str">
        <f>_xlfn.XLOOKUP(Transformation[[#This Row],[cto]],Commodities[Commodity],Commodities[Commodity code])</f>
        <v>4652</v>
      </c>
      <c r="BH228" s="26" t="str">
        <f>_xlfn.XLOOKUP(Transformation[[#This Row],[tto]],Transactions[Transaction name],Transactions[Transaction code])</f>
        <v>016OPH</v>
      </c>
      <c r="BI228" s="11">
        <v>1</v>
      </c>
      <c r="BJ228" s="4" t="s">
        <v>394</v>
      </c>
      <c r="BK228" s="24" t="str">
        <f>_xlfn.XLOOKUP(Transformation[[#This Row],[Commodity from]],Commodities[Commodity code],Commodities[EnergyCode])</f>
        <v>MO</v>
      </c>
      <c r="BL228" s="4" t="s">
        <v>694</v>
      </c>
      <c r="BM228" s="4" t="s">
        <v>394</v>
      </c>
      <c r="BN228" s="24" t="str">
        <f>_xlfn.XLOOKUP(Transformation[[#This Row],[Commodity to]],Commodities[Commodity code],Commodities[EnergyCode])</f>
        <v>MO</v>
      </c>
      <c r="BO228" s="4" t="s">
        <v>1056</v>
      </c>
      <c r="BP228" s="16" t="s">
        <v>1493</v>
      </c>
      <c r="BQ228" s="33" t="str">
        <f>Transformation[[#This Row],[Commodity from]]&amp;Transformation[[#This Row],[Transaction from]]&amp;Transformation[[#This Row],[Commodity to]]&amp;Transformation[[#This Row],[Transaction to]]</f>
        <v>4652088324652016OPH</v>
      </c>
      <c r="BR228" s="26" t="str">
        <f>Transformation[[#This Row],[crfomid]]&amp;Transformation[[#This Row],[Transaction from]]&amp;"("&amp;Transformation[[#This Row],[Multiplier]]&amp;") -&gt; "&amp;Transformation[[#This Row],[ctoid]]&amp;Transformation[[#This Row],[Transaction to]]</f>
        <v>MO08832(1) -&gt; MO016OPH</v>
      </c>
    </row>
    <row r="229" spans="25:70" x14ac:dyDescent="0.45">
      <c r="Y229" s="5" t="s">
        <v>19</v>
      </c>
      <c r="Z229" s="4" t="s">
        <v>640</v>
      </c>
      <c r="AA229" s="4" t="s">
        <v>640</v>
      </c>
      <c r="AB229" s="6" t="s">
        <v>29</v>
      </c>
      <c r="AC229" s="24" t="str">
        <f>IFERROR(VLOOKUP(Transactions[[#This Row],[Parent code]],Transactions[[Transaction code]:[Transaction name]],2,0),"")</f>
        <v>Total Resources</v>
      </c>
      <c r="AD229" s="4" t="s">
        <v>634</v>
      </c>
      <c r="AF229" s="4" t="s">
        <v>642</v>
      </c>
      <c r="AG229" s="4" t="s">
        <v>1</v>
      </c>
      <c r="AH229" s="4" t="s">
        <v>696</v>
      </c>
      <c r="AK229" s="24" t="str" cm="1">
        <f t="array" ref="AK229">IFERROR(INDEX(Transactions[[Transaction code]:[Transaction name]],_xlfn.XMATCH(Transactions[[#This Row],[Parent code]],Transactions[Transaction name],0),3),Transactions[[#This Row],[Transaction name]])</f>
        <v>Hydropower potential</v>
      </c>
      <c r="AL229" s="24" t="str" cm="1">
        <f t="array" ref="AL229">IFERROR(INDEX(Transactions[[Transaction code]:[Transaction name]],_xlfn.XMATCH(INDEX(Transactions[[Transaction name]:[Parent code]],_xlfn.XMATCH(Transactions[[#This Row],[L1N]],Transactions[Transaction name],0),3),Transactions[Transaction code],0),2),Transactions[[#This Row],[L1N]])</f>
        <v>Total Resources</v>
      </c>
      <c r="AM229" s="24" t="str" cm="1">
        <f t="array" ref="AM229">IFERROR(INDEX(Transactions[[Transaction code]:[Transaction name]],_xlfn.XMATCH(INDEX(Transactions[[Transaction name]:[Parent code]],_xlfn.XMATCH(Transactions[[#This Row],[L2N]],Transactions[Transaction name],0),3),Transactions[Transaction code],0),2),Transactions[[#This Row],[L2N]])</f>
        <v>Total Resources</v>
      </c>
      <c r="AN229" s="24" t="str" cm="1">
        <f t="array" ref="AN229">IFERROR(INDEX(Transactions[[Transaction code]:[Transaction name]],_xlfn.XMATCH(INDEX(Transactions[[Transaction name]:[Parent code]],_xlfn.XMATCH(Transactions[[#This Row],[L3N]],Transactions[Transaction name],0),3),Transactions[Transaction code],0),2),Transactions[[#This Row],[L3N]])</f>
        <v>Total Resources</v>
      </c>
      <c r="AO229" s="24" t="str" cm="1">
        <f t="array" ref="AO229">IFERROR(INDEX(Transactions[[Transaction code]:[Transaction name]],_xlfn.XMATCH(INDEX(Transactions[[Transaction name]:[Parent code]],_xlfn.XMATCH(Transactions[[#This Row],[L4N]],Transactions[Transaction name],0),3),Transactions[Transaction code],0),2),Transactions[[#This Row],[L4N]])</f>
        <v>Total Resources</v>
      </c>
      <c r="AP229" s="24" t="str" cm="1">
        <f t="array" ref="AP229">IFERROR(INDEX(Transactions[[Transaction code]:[Transaction name]],_xlfn.XMATCH(INDEX(Transactions[[Transaction name]:[Parent code]],_xlfn.XMATCH(Transactions[[#This Row],[L5N]],Transactions[Transaction name],0),3),Transactions[Transaction code],0),2),Transactions[[#This Row],[L5N]])</f>
        <v>Total Resources</v>
      </c>
      <c r="AQ229" s="24" t="str" cm="1">
        <f t="array" ref="AQ229">IFERROR(INDEX(Transactions[[Transaction code]:[Transaction name]],_xlfn.XMATCH(INDEX(Transactions[[Transaction name]:[Parent code]],_xlfn.XMATCH(Transactions[[#This Row],[L6N]],Transactions[Transaction name],0),3),Transactions[Transaction code],0),2),Transactions[[#This Row],[L6N]])</f>
        <v>Total Resources</v>
      </c>
      <c r="AR229" s="28" t="str">
        <f>IF(Transactions[[#This Row],[L7N]]=Transactions[[#This Row],[L6N]],Transactions[[#This Row],[L7N]],IF(Transactions[[#This Row],[L6N]]=Transactions[[#This Row],[L5N]],Transactions[[#This Row],[L6N]],IF(Transactions[[#This Row],[L5N]]=Transactions[[#This Row],[L4N]],Transactions[[#This Row],[L5N]],IF(Transactions[[#This Row],[L4N]]=Transactions[[#This Row],[L3N]],Transactions[[#This Row],[L4N]],IF(Transactions[[#This Row],[L3N]]=Transactions[[#This Row],[L2N]],Transactions[[#This Row],[L3N]],IF(Transactions[[#This Row],[L2N]]=Transactions[[#This Row],[L1N]],Transactions[[#This Row],[L2N]],IF(Transactions[[#This Row],[L1N]]=Transactions[[#This Row],[Transaction name]],Transactions[[#This Row],[L1N]],Transactions[[#This Row],[Transaction name]])))))))</f>
        <v>Total Resources</v>
      </c>
      <c r="AS229" s="24" t="str">
        <f>IF(Transactions[[#This Row],[Level 0]]=Transactions[[#This Row],[Transaction name]],Transactions[[#This Row],[Transaction name]],IF(Transactions[[#This Row],[Level 0]]=Transactions[[#This Row],[L1N]],Transactions[[#This Row],[Transaction name]],IF(Transactions[[#This Row],[Level 0]]=Transactions[[#This Row],[L2N]],Transactions[[#This Row],[L1N]],IF(Transactions[[#This Row],[Level 0]]=Transactions[[#This Row],[L3N]],Transactions[[#This Row],[L2N]],IF(Transactions[[#This Row],[Level 0]]=Transactions[[#This Row],[L4N]],Transactions[[#This Row],[L3N]],IF(Transactions[[#This Row],[Level 0]]=Transactions[[#This Row],[L5N]],Transactions[[#This Row],[L4N]],IF(Transactions[[#This Row],[Level 0]]=Transactions[[#This Row],[L6N]],Transactions[[#This Row],[L5N]],IF(Transactions[[#This Row],[Level 0]]=Transactions[[#This Row],[L7N]],Transactions[[#This Row],[L6N]],Transactions[[#This Row],[L7N]]))))))))</f>
        <v>Hydropower potential</v>
      </c>
      <c r="AT229" s="24" t="str">
        <f>IF(Transactions[[#This Row],[Level 1]]=Transactions[[#This Row],[Transaction name]],Transactions[[#This Row],[Transaction name]],IF(Transactions[[#This Row],[Level 1]]=Transactions[[#This Row],[L1N]],Transactions[[#This Row],[Transaction name]],IF(Transactions[[#This Row],[Level 1]]=Transactions[[#This Row],[L2N]],Transactions[[#This Row],[L1N]],IF(Transactions[[#This Row],[Level 1]]=Transactions[[#This Row],[L3N]],Transactions[[#This Row],[L2N]],IF(Transactions[[#This Row],[Level 1]]=Transactions[[#This Row],[L4N]],Transactions[[#This Row],[L3N]],IF(Transactions[[#This Row],[Level 1]]=Transactions[[#This Row],[L5N]],Transactions[[#This Row],[L4N]],IF(Transactions[[#This Row],[Level 1]]=Transactions[[#This Row],[L6N]],Transactions[[#This Row],[L5N]],IF(Transactions[[#This Row],[Level 1]]=Transactions[[#This Row],[L7N]],Transactions[[#This Row],[L6N]],Transactions[[#This Row],[L7N]]))))))))</f>
        <v>Hydropower potential</v>
      </c>
      <c r="AU229" s="24" t="str">
        <f>IF(Transactions[[#This Row],[Level 2]]=Transactions[[#This Row],[Transaction name]],Transactions[[#This Row],[Transaction name]],IF(Transactions[[#This Row],[Level 2]]=Transactions[[#This Row],[L1N]],Transactions[[#This Row],[Transaction name]],IF(Transactions[[#This Row],[Level 2]]=Transactions[[#This Row],[L2N]],Transactions[[#This Row],[L1N]],IF(Transactions[[#This Row],[Level 2]]=Transactions[[#This Row],[L3N]],Transactions[[#This Row],[L2N]],IF(Transactions[[#This Row],[Level 2]]=Transactions[[#This Row],[L4N]],Transactions[[#This Row],[L3N]],IF(Transactions[[#This Row],[Level 2]]=Transactions[[#This Row],[L5N]],Transactions[[#This Row],[L4N]],IF(Transactions[[#This Row],[Level 2]]=Transactions[[#This Row],[L6N]],Transactions[[#This Row],[L5N]],IF(Transactions[[#This Row],[Level 2]]=Transactions[[#This Row],[L7N]],Transactions[[#This Row],[L6N]],Transactions[[#This Row],[L7N]]))))))))</f>
        <v>Hydropower potential</v>
      </c>
      <c r="AV229" s="24" t="str">
        <f>IF(Transactions[[#This Row],[Level 3]]=Transactions[[#This Row],[Transaction name]],Transactions[[#This Row],[Transaction name]],IF(Transactions[[#This Row],[Level 3]]=Transactions[[#This Row],[L1N]],Transactions[[#This Row],[Transaction name]],IF(Transactions[[#This Row],[Level 3]]=Transactions[[#This Row],[L2N]],Transactions[[#This Row],[L1N]],IF(Transactions[[#This Row],[Level 3]]=Transactions[[#This Row],[L3N]],Transactions[[#This Row],[L2N]],IF(Transactions[[#This Row],[Level 3]]=Transactions[[#This Row],[L4N]],Transactions[[#This Row],[L3N]],IF(Transactions[[#This Row],[Level 3]]=Transactions[[#This Row],[L5N]],Transactions[[#This Row],[L4N]],IF(Transactions[[#This Row],[Level 3]]=Transactions[[#This Row],[L6N]],Transactions[[#This Row],[L5N]],IF(Transactions[[#This Row],[Level 3]]=Transactions[[#This Row],[L7N]],Transactions[[#This Row],[L6N]],Transactions[[#This Row],[L7N]]))))))))</f>
        <v>Hydropower potential</v>
      </c>
      <c r="AW229" s="24" t="str">
        <f>IF(Transactions[[#This Row],[Level 4]]=Transactions[[#This Row],[Transaction name]],Transactions[[#This Row],[Transaction name]],IF(Transactions[[#This Row],[Level 4]]=Transactions[[#This Row],[L1N]],Transactions[[#This Row],[Transaction name]],IF(Transactions[[#This Row],[Level 4]]=Transactions[[#This Row],[L2N]],Transactions[[#This Row],[L1N]],IF(Transactions[[#This Row],[Level 4]]=Transactions[[#This Row],[L3N]],Transactions[[#This Row],[L2N]],IF(Transactions[[#This Row],[Level 4]]=Transactions[[#This Row],[L4N]],Transactions[[#This Row],[L3N]],IF(Transactions[[#This Row],[Level 4]]=Transactions[[#This Row],[L5N]],Transactions[[#This Row],[L4N]],IF(Transactions[[#This Row],[Level 4]]=Transactions[[#This Row],[L6N]],Transactions[[#This Row],[L5N]],IF(Transactions[[#This Row],[Level 4]]=Transactions[[#This Row],[L7N]],Transactions[[#This Row],[L6N]],Transactions[[#This Row],[L7N]]))))))))</f>
        <v>Hydropower potential</v>
      </c>
      <c r="AX229" s="24" t="str">
        <f>IF(Transactions[[#This Row],[Level 5]]=Transactions[[#This Row],[Transaction name]],Transactions[[#This Row],[Transaction name]],IF(Transactions[[#This Row],[Level 5]]=Transactions[[#This Row],[L1N]],Transactions[[#This Row],[Transaction name]],IF(Transactions[[#This Row],[Level 5]]=Transactions[[#This Row],[L2N]],Transactions[[#This Row],[L1N]],IF(Transactions[[#This Row],[Level 5]]=Transactions[[#This Row],[L3N]],Transactions[[#This Row],[L2N]],IF(Transactions[[#This Row],[Level 5]]=Transactions[[#This Row],[L4N]],Transactions[[#This Row],[L3N]],IF(Transactions[[#This Row],[Level 5]]=Transactions[[#This Row],[L5N]],Transactions[[#This Row],[L4N]],IF(Transactions[[#This Row],[Level 5]]=Transactions[[#This Row],[L6N]],Transactions[[#This Row],[L5N]],IF(Transactions[[#This Row],[Level 5]]=Transactions[[#This Row],[L7N]],Transactions[[#This Row],[L6N]],Transactions[[#This Row],[L7N]]))))))))</f>
        <v>Hydropower potential</v>
      </c>
      <c r="AY229" s="24" t="str">
        <f>IF(Transactions[[#This Row],[Level 6]]=Transactions[[#This Row],[Transaction name]],Transactions[[#This Row],[Transaction name]],IF(Transactions[[#This Row],[Level 6]]=Transactions[[#This Row],[L1N]],Transactions[[#This Row],[Transaction name]],IF(Transactions[[#This Row],[Level 6]]=Transactions[[#This Row],[L2N]],Transactions[[#This Row],[L1N]],IF(Transactions[[#This Row],[Level 6]]=Transactions[[#This Row],[L3N]],Transactions[[#This Row],[L2N]],IF(Transactions[[#This Row],[Level 6]]=Transactions[[#This Row],[L4N]],Transactions[[#This Row],[L3N]],IF(Transactions[[#This Row],[Level 6]]=Transactions[[#This Row],[L5N]],Transactions[[#This Row],[L4N]],IF(Transactions[[#This Row],[Level 6]]=Transactions[[#This Row],[L6N]],Transactions[[#This Row],[L5N]],IF(Transactions[[#This Row],[Level 6]]=Transactions[[#This Row],[L7N]],Transactions[[#This Row],[L6N]],Transactions[[#This Row],[L7N]]))))))))</f>
        <v>Hydropower potential</v>
      </c>
      <c r="BE229" s="26" t="str">
        <f>_xlfn.XLOOKUP(Transformation[[#This Row],[cfrom]],Commodities[Commodity],Commodities[Commodity code])</f>
        <v>6200</v>
      </c>
      <c r="BF229" s="26" t="str">
        <f>_xlfn.XLOOKUP(Transformation[[#This Row],[tfrom]],Transactions[Transaction name],Transactions[Transaction code])</f>
        <v>08832</v>
      </c>
      <c r="BG229" s="26" t="str">
        <f>_xlfn.XLOOKUP(Transformation[[#This Row],[cto]],Commodities[Commodity],Commodities[Commodity code])</f>
        <v>6200</v>
      </c>
      <c r="BH229" s="26" t="str">
        <f>_xlfn.XLOOKUP(Transformation[[#This Row],[tto]],Transactions[Transaction name],Transactions[Transaction code])</f>
        <v>016MSWH</v>
      </c>
      <c r="BI229" s="11">
        <v>1</v>
      </c>
      <c r="BJ229" s="4" t="s">
        <v>288</v>
      </c>
      <c r="BK229" s="24" t="str">
        <f>_xlfn.XLOOKUP(Transformation[[#This Row],[Commodity from]],Commodities[Commodity code],Commodities[EnergyCode])</f>
        <v>MW</v>
      </c>
      <c r="BL229" s="4" t="s">
        <v>694</v>
      </c>
      <c r="BM229" s="4" t="s">
        <v>288</v>
      </c>
      <c r="BN229" s="24" t="str">
        <f>_xlfn.XLOOKUP(Transformation[[#This Row],[Commodity to]],Commodities[Commodity code],Commodities[EnergyCode])</f>
        <v>MW</v>
      </c>
      <c r="BO229" s="4" t="s">
        <v>1144</v>
      </c>
      <c r="BP229" s="16" t="s">
        <v>1493</v>
      </c>
      <c r="BQ229" s="33" t="str">
        <f>Transformation[[#This Row],[Commodity from]]&amp;Transformation[[#This Row],[Transaction from]]&amp;Transformation[[#This Row],[Commodity to]]&amp;Transformation[[#This Row],[Transaction to]]</f>
        <v>6200088326200016MSWH</v>
      </c>
      <c r="BR229" s="26" t="str">
        <f>Transformation[[#This Row],[crfomid]]&amp;Transformation[[#This Row],[Transaction from]]&amp;"("&amp;Transformation[[#This Row],[Multiplier]]&amp;") -&gt; "&amp;Transformation[[#This Row],[ctoid]]&amp;Transformation[[#This Row],[Transaction to]]</f>
        <v>MW08832(1) -&gt; MW016MSWH</v>
      </c>
    </row>
    <row r="230" spans="25:70" x14ac:dyDescent="0.45">
      <c r="Y230" s="5" t="s">
        <v>32</v>
      </c>
      <c r="Z230" s="4" t="s">
        <v>635</v>
      </c>
      <c r="AA230" s="4" t="s">
        <v>635</v>
      </c>
      <c r="AB230" s="6" t="s">
        <v>31</v>
      </c>
      <c r="AC230" s="24" t="str">
        <f>IFERROR(VLOOKUP(Transactions[[#This Row],[Parent code]],Transactions[[Transaction code]:[Transaction name]],2,0),"")</f>
        <v>Proven resources</v>
      </c>
      <c r="AD230" s="4" t="s">
        <v>634</v>
      </c>
      <c r="AF230" s="4" t="s">
        <v>642</v>
      </c>
      <c r="AG230" s="4" t="s">
        <v>1</v>
      </c>
      <c r="AH230" s="4" t="s">
        <v>696</v>
      </c>
      <c r="AK230" s="24" t="str" cm="1">
        <f t="array" ref="AK230">IFERROR(INDEX(Transactions[[Transaction code]:[Transaction name]],_xlfn.XMATCH(Transactions[[#This Row],[Parent code]],Transactions[Transaction name],0),3),Transactions[[#This Row],[Transaction name]])</f>
        <v>Proven recoverable resources</v>
      </c>
      <c r="AL230" s="24" t="str" cm="1">
        <f t="array" ref="AL230">IFERROR(INDEX(Transactions[[Transaction code]:[Transaction name]],_xlfn.XMATCH(INDEX(Transactions[[Transaction name]:[Parent code]],_xlfn.XMATCH(Transactions[[#This Row],[L1N]],Transactions[Transaction name],0),3),Transactions[Transaction code],0),2),Transactions[[#This Row],[L1N]])</f>
        <v>Proven resources</v>
      </c>
      <c r="AM230" s="24" t="str" cm="1">
        <f t="array" ref="AM230">IFERROR(INDEX(Transactions[[Transaction code]:[Transaction name]],_xlfn.XMATCH(INDEX(Transactions[[Transaction name]:[Parent code]],_xlfn.XMATCH(Transactions[[#This Row],[L2N]],Transactions[Transaction name],0),3),Transactions[Transaction code],0),2),Transactions[[#This Row],[L2N]])</f>
        <v>Total Resources</v>
      </c>
      <c r="AN230" s="24" t="str" cm="1">
        <f t="array" ref="AN230">IFERROR(INDEX(Transactions[[Transaction code]:[Transaction name]],_xlfn.XMATCH(INDEX(Transactions[[Transaction name]:[Parent code]],_xlfn.XMATCH(Transactions[[#This Row],[L3N]],Transactions[Transaction name],0),3),Transactions[Transaction code],0),2),Transactions[[#This Row],[L3N]])</f>
        <v>Total Resources</v>
      </c>
      <c r="AO230" s="24" t="str" cm="1">
        <f t="array" ref="AO230">IFERROR(INDEX(Transactions[[Transaction code]:[Transaction name]],_xlfn.XMATCH(INDEX(Transactions[[Transaction name]:[Parent code]],_xlfn.XMATCH(Transactions[[#This Row],[L4N]],Transactions[Transaction name],0),3),Transactions[Transaction code],0),2),Transactions[[#This Row],[L4N]])</f>
        <v>Total Resources</v>
      </c>
      <c r="AP230" s="24" t="str" cm="1">
        <f t="array" ref="AP230">IFERROR(INDEX(Transactions[[Transaction code]:[Transaction name]],_xlfn.XMATCH(INDEX(Transactions[[Transaction name]:[Parent code]],_xlfn.XMATCH(Transactions[[#This Row],[L5N]],Transactions[Transaction name],0),3),Transactions[Transaction code],0),2),Transactions[[#This Row],[L5N]])</f>
        <v>Total Resources</v>
      </c>
      <c r="AQ230" s="24" t="str" cm="1">
        <f t="array" ref="AQ230">IFERROR(INDEX(Transactions[[Transaction code]:[Transaction name]],_xlfn.XMATCH(INDEX(Transactions[[Transaction name]:[Parent code]],_xlfn.XMATCH(Transactions[[#This Row],[L6N]],Transactions[Transaction name],0),3),Transactions[Transaction code],0),2),Transactions[[#This Row],[L6N]])</f>
        <v>Total Resources</v>
      </c>
      <c r="AR230" s="28" t="str">
        <f>IF(Transactions[[#This Row],[L7N]]=Transactions[[#This Row],[L6N]],Transactions[[#This Row],[L7N]],IF(Transactions[[#This Row],[L6N]]=Transactions[[#This Row],[L5N]],Transactions[[#This Row],[L6N]],IF(Transactions[[#This Row],[L5N]]=Transactions[[#This Row],[L4N]],Transactions[[#This Row],[L5N]],IF(Transactions[[#This Row],[L4N]]=Transactions[[#This Row],[L3N]],Transactions[[#This Row],[L4N]],IF(Transactions[[#This Row],[L3N]]=Transactions[[#This Row],[L2N]],Transactions[[#This Row],[L3N]],IF(Transactions[[#This Row],[L2N]]=Transactions[[#This Row],[L1N]],Transactions[[#This Row],[L2N]],IF(Transactions[[#This Row],[L1N]]=Transactions[[#This Row],[Transaction name]],Transactions[[#This Row],[L1N]],Transactions[[#This Row],[Transaction name]])))))))</f>
        <v>Total Resources</v>
      </c>
      <c r="AS230" s="24" t="str">
        <f>IF(Transactions[[#This Row],[Level 0]]=Transactions[[#This Row],[Transaction name]],Transactions[[#This Row],[Transaction name]],IF(Transactions[[#This Row],[Level 0]]=Transactions[[#This Row],[L1N]],Transactions[[#This Row],[Transaction name]],IF(Transactions[[#This Row],[Level 0]]=Transactions[[#This Row],[L2N]],Transactions[[#This Row],[L1N]],IF(Transactions[[#This Row],[Level 0]]=Transactions[[#This Row],[L3N]],Transactions[[#This Row],[L2N]],IF(Transactions[[#This Row],[Level 0]]=Transactions[[#This Row],[L4N]],Transactions[[#This Row],[L3N]],IF(Transactions[[#This Row],[Level 0]]=Transactions[[#This Row],[L5N]],Transactions[[#This Row],[L4N]],IF(Transactions[[#This Row],[Level 0]]=Transactions[[#This Row],[L6N]],Transactions[[#This Row],[L5N]],IF(Transactions[[#This Row],[Level 0]]=Transactions[[#This Row],[L7N]],Transactions[[#This Row],[L6N]],Transactions[[#This Row],[L7N]]))))))))</f>
        <v>Proven resources</v>
      </c>
      <c r="AT230" s="24" t="str">
        <f>IF(Transactions[[#This Row],[Level 1]]=Transactions[[#This Row],[Transaction name]],Transactions[[#This Row],[Transaction name]],IF(Transactions[[#This Row],[Level 1]]=Transactions[[#This Row],[L1N]],Transactions[[#This Row],[Transaction name]],IF(Transactions[[#This Row],[Level 1]]=Transactions[[#This Row],[L2N]],Transactions[[#This Row],[L1N]],IF(Transactions[[#This Row],[Level 1]]=Transactions[[#This Row],[L3N]],Transactions[[#This Row],[L2N]],IF(Transactions[[#This Row],[Level 1]]=Transactions[[#This Row],[L4N]],Transactions[[#This Row],[L3N]],IF(Transactions[[#This Row],[Level 1]]=Transactions[[#This Row],[L5N]],Transactions[[#This Row],[L4N]],IF(Transactions[[#This Row],[Level 1]]=Transactions[[#This Row],[L6N]],Transactions[[#This Row],[L5N]],IF(Transactions[[#This Row],[Level 1]]=Transactions[[#This Row],[L7N]],Transactions[[#This Row],[L6N]],Transactions[[#This Row],[L7N]]))))))))</f>
        <v>Proven recoverable resources</v>
      </c>
      <c r="AU230" s="24" t="str">
        <f>IF(Transactions[[#This Row],[Level 2]]=Transactions[[#This Row],[Transaction name]],Transactions[[#This Row],[Transaction name]],IF(Transactions[[#This Row],[Level 2]]=Transactions[[#This Row],[L1N]],Transactions[[#This Row],[Transaction name]],IF(Transactions[[#This Row],[Level 2]]=Transactions[[#This Row],[L2N]],Transactions[[#This Row],[L1N]],IF(Transactions[[#This Row],[Level 2]]=Transactions[[#This Row],[L3N]],Transactions[[#This Row],[L2N]],IF(Transactions[[#This Row],[Level 2]]=Transactions[[#This Row],[L4N]],Transactions[[#This Row],[L3N]],IF(Transactions[[#This Row],[Level 2]]=Transactions[[#This Row],[L5N]],Transactions[[#This Row],[L4N]],IF(Transactions[[#This Row],[Level 2]]=Transactions[[#This Row],[L6N]],Transactions[[#This Row],[L5N]],IF(Transactions[[#This Row],[Level 2]]=Transactions[[#This Row],[L7N]],Transactions[[#This Row],[L6N]],Transactions[[#This Row],[L7N]]))))))))</f>
        <v>Proven recoverable resources</v>
      </c>
      <c r="AV230" s="24" t="str">
        <f>IF(Transactions[[#This Row],[Level 3]]=Transactions[[#This Row],[Transaction name]],Transactions[[#This Row],[Transaction name]],IF(Transactions[[#This Row],[Level 3]]=Transactions[[#This Row],[L1N]],Transactions[[#This Row],[Transaction name]],IF(Transactions[[#This Row],[Level 3]]=Transactions[[#This Row],[L2N]],Transactions[[#This Row],[L1N]],IF(Transactions[[#This Row],[Level 3]]=Transactions[[#This Row],[L3N]],Transactions[[#This Row],[L2N]],IF(Transactions[[#This Row],[Level 3]]=Transactions[[#This Row],[L4N]],Transactions[[#This Row],[L3N]],IF(Transactions[[#This Row],[Level 3]]=Transactions[[#This Row],[L5N]],Transactions[[#This Row],[L4N]],IF(Transactions[[#This Row],[Level 3]]=Transactions[[#This Row],[L6N]],Transactions[[#This Row],[L5N]],IF(Transactions[[#This Row],[Level 3]]=Transactions[[#This Row],[L7N]],Transactions[[#This Row],[L6N]],Transactions[[#This Row],[L7N]]))))))))</f>
        <v>Proven recoverable resources</v>
      </c>
      <c r="AW230" s="24" t="str">
        <f>IF(Transactions[[#This Row],[Level 4]]=Transactions[[#This Row],[Transaction name]],Transactions[[#This Row],[Transaction name]],IF(Transactions[[#This Row],[Level 4]]=Transactions[[#This Row],[L1N]],Transactions[[#This Row],[Transaction name]],IF(Transactions[[#This Row],[Level 4]]=Transactions[[#This Row],[L2N]],Transactions[[#This Row],[L1N]],IF(Transactions[[#This Row],[Level 4]]=Transactions[[#This Row],[L3N]],Transactions[[#This Row],[L2N]],IF(Transactions[[#This Row],[Level 4]]=Transactions[[#This Row],[L4N]],Transactions[[#This Row],[L3N]],IF(Transactions[[#This Row],[Level 4]]=Transactions[[#This Row],[L5N]],Transactions[[#This Row],[L4N]],IF(Transactions[[#This Row],[Level 4]]=Transactions[[#This Row],[L6N]],Transactions[[#This Row],[L5N]],IF(Transactions[[#This Row],[Level 4]]=Transactions[[#This Row],[L7N]],Transactions[[#This Row],[L6N]],Transactions[[#This Row],[L7N]]))))))))</f>
        <v>Proven recoverable resources</v>
      </c>
      <c r="AX230" s="24" t="str">
        <f>IF(Transactions[[#This Row],[Level 5]]=Transactions[[#This Row],[Transaction name]],Transactions[[#This Row],[Transaction name]],IF(Transactions[[#This Row],[Level 5]]=Transactions[[#This Row],[L1N]],Transactions[[#This Row],[Transaction name]],IF(Transactions[[#This Row],[Level 5]]=Transactions[[#This Row],[L2N]],Transactions[[#This Row],[L1N]],IF(Transactions[[#This Row],[Level 5]]=Transactions[[#This Row],[L3N]],Transactions[[#This Row],[L2N]],IF(Transactions[[#This Row],[Level 5]]=Transactions[[#This Row],[L4N]],Transactions[[#This Row],[L3N]],IF(Transactions[[#This Row],[Level 5]]=Transactions[[#This Row],[L5N]],Transactions[[#This Row],[L4N]],IF(Transactions[[#This Row],[Level 5]]=Transactions[[#This Row],[L6N]],Transactions[[#This Row],[L5N]],IF(Transactions[[#This Row],[Level 5]]=Transactions[[#This Row],[L7N]],Transactions[[#This Row],[L6N]],Transactions[[#This Row],[L7N]]))))))))</f>
        <v>Proven recoverable resources</v>
      </c>
      <c r="AY230" s="24" t="str">
        <f>IF(Transactions[[#This Row],[Level 6]]=Transactions[[#This Row],[Transaction name]],Transactions[[#This Row],[Transaction name]],IF(Transactions[[#This Row],[Level 6]]=Transactions[[#This Row],[L1N]],Transactions[[#This Row],[Transaction name]],IF(Transactions[[#This Row],[Level 6]]=Transactions[[#This Row],[L2N]],Transactions[[#This Row],[L1N]],IF(Transactions[[#This Row],[Level 6]]=Transactions[[#This Row],[L3N]],Transactions[[#This Row],[L2N]],IF(Transactions[[#This Row],[Level 6]]=Transactions[[#This Row],[L4N]],Transactions[[#This Row],[L3N]],IF(Transactions[[#This Row],[Level 6]]=Transactions[[#This Row],[L5N]],Transactions[[#This Row],[L4N]],IF(Transactions[[#This Row],[Level 6]]=Transactions[[#This Row],[L6N]],Transactions[[#This Row],[L5N]],IF(Transactions[[#This Row],[Level 6]]=Transactions[[#This Row],[L7N]],Transactions[[#This Row],[L6N]],Transactions[[#This Row],[L7N]]))))))))</f>
        <v>Proven recoverable resources</v>
      </c>
      <c r="BE230" s="26" t="str">
        <f>_xlfn.XLOOKUP(Transformation[[#This Row],[cfrom]],Commodities[Commodity],Commodities[Commodity code])</f>
        <v>3000</v>
      </c>
      <c r="BF230" s="26" t="str">
        <f>_xlfn.XLOOKUP(Transformation[[#This Row],[tfrom]],Transactions[Transaction name],Transactions[Transaction code])</f>
        <v>08832</v>
      </c>
      <c r="BG230" s="26" t="str">
        <f>_xlfn.XLOOKUP(Transformation[[#This Row],[cto]],Commodities[Commodity],Commodities[Commodity code])</f>
        <v>3000</v>
      </c>
      <c r="BH230" s="26" t="str">
        <f>_xlfn.XLOOKUP(Transformation[[#This Row],[tto]],Transactions[Transaction name],Transactions[Transaction code])</f>
        <v>016NGH</v>
      </c>
      <c r="BI230" s="11">
        <v>1</v>
      </c>
      <c r="BJ230" s="4" t="s">
        <v>446</v>
      </c>
      <c r="BK230" s="24" t="str">
        <f>_xlfn.XLOOKUP(Transformation[[#This Row],[Commodity from]],Commodities[Commodity code],Commodities[EnergyCode])</f>
        <v>NG</v>
      </c>
      <c r="BL230" s="4" t="s">
        <v>694</v>
      </c>
      <c r="BM230" s="4" t="s">
        <v>446</v>
      </c>
      <c r="BN230" s="24" t="str">
        <f>_xlfn.XLOOKUP(Transformation[[#This Row],[Commodity to]],Commodities[Commodity code],Commodities[EnergyCode])</f>
        <v>NG</v>
      </c>
      <c r="BO230" s="4" t="s">
        <v>1239</v>
      </c>
      <c r="BP230" s="16" t="s">
        <v>1493</v>
      </c>
      <c r="BQ230" s="33" t="str">
        <f>Transformation[[#This Row],[Commodity from]]&amp;Transformation[[#This Row],[Transaction from]]&amp;Transformation[[#This Row],[Commodity to]]&amp;Transformation[[#This Row],[Transaction to]]</f>
        <v>3000088323000016NGH</v>
      </c>
      <c r="BR230" s="26" t="str">
        <f>Transformation[[#This Row],[crfomid]]&amp;Transformation[[#This Row],[Transaction from]]&amp;"("&amp;Transformation[[#This Row],[Multiplier]]&amp;") -&gt; "&amp;Transformation[[#This Row],[ctoid]]&amp;Transformation[[#This Row],[Transaction to]]</f>
        <v>NG08832(1) -&gt; NG016NGH</v>
      </c>
    </row>
    <row r="231" spans="25:70" x14ac:dyDescent="0.45">
      <c r="Y231" s="5" t="s">
        <v>31</v>
      </c>
      <c r="Z231" s="4" t="s">
        <v>636</v>
      </c>
      <c r="AA231" s="4" t="s">
        <v>636</v>
      </c>
      <c r="AB231" s="6" t="s">
        <v>29</v>
      </c>
      <c r="AC231" s="24" t="str">
        <f>IFERROR(VLOOKUP(Transactions[[#This Row],[Parent code]],Transactions[[Transaction code]:[Transaction name]],2,0),"")</f>
        <v>Total Resources</v>
      </c>
      <c r="AD231" s="4" t="s">
        <v>634</v>
      </c>
      <c r="AF231" s="4" t="s">
        <v>642</v>
      </c>
      <c r="AG231" s="4" t="s">
        <v>1</v>
      </c>
      <c r="AH231" s="4" t="s">
        <v>696</v>
      </c>
      <c r="AK231" s="24" t="str" cm="1">
        <f t="array" ref="AK231">IFERROR(INDEX(Transactions[[Transaction code]:[Transaction name]],_xlfn.XMATCH(Transactions[[#This Row],[Parent code]],Transactions[Transaction name],0),3),Transactions[[#This Row],[Transaction name]])</f>
        <v>Proven resources</v>
      </c>
      <c r="AL231" s="24" t="str" cm="1">
        <f t="array" ref="AL231">IFERROR(INDEX(Transactions[[Transaction code]:[Transaction name]],_xlfn.XMATCH(INDEX(Transactions[[Transaction name]:[Parent code]],_xlfn.XMATCH(Transactions[[#This Row],[L1N]],Transactions[Transaction name],0),3),Transactions[Transaction code],0),2),Transactions[[#This Row],[L1N]])</f>
        <v>Total Resources</v>
      </c>
      <c r="AM231" s="24" t="str" cm="1">
        <f t="array" ref="AM231">IFERROR(INDEX(Transactions[[Transaction code]:[Transaction name]],_xlfn.XMATCH(INDEX(Transactions[[Transaction name]:[Parent code]],_xlfn.XMATCH(Transactions[[#This Row],[L2N]],Transactions[Transaction name],0),3),Transactions[Transaction code],0),2),Transactions[[#This Row],[L2N]])</f>
        <v>Total Resources</v>
      </c>
      <c r="AN231" s="24" t="str" cm="1">
        <f t="array" ref="AN231">IFERROR(INDEX(Transactions[[Transaction code]:[Transaction name]],_xlfn.XMATCH(INDEX(Transactions[[Transaction name]:[Parent code]],_xlfn.XMATCH(Transactions[[#This Row],[L3N]],Transactions[Transaction name],0),3),Transactions[Transaction code],0),2),Transactions[[#This Row],[L3N]])</f>
        <v>Total Resources</v>
      </c>
      <c r="AO231" s="24" t="str" cm="1">
        <f t="array" ref="AO231">IFERROR(INDEX(Transactions[[Transaction code]:[Transaction name]],_xlfn.XMATCH(INDEX(Transactions[[Transaction name]:[Parent code]],_xlfn.XMATCH(Transactions[[#This Row],[L4N]],Transactions[Transaction name],0),3),Transactions[Transaction code],0),2),Transactions[[#This Row],[L4N]])</f>
        <v>Total Resources</v>
      </c>
      <c r="AP231" s="24" t="str" cm="1">
        <f t="array" ref="AP231">IFERROR(INDEX(Transactions[[Transaction code]:[Transaction name]],_xlfn.XMATCH(INDEX(Transactions[[Transaction name]:[Parent code]],_xlfn.XMATCH(Transactions[[#This Row],[L5N]],Transactions[Transaction name],0),3),Transactions[Transaction code],0),2),Transactions[[#This Row],[L5N]])</f>
        <v>Total Resources</v>
      </c>
      <c r="AQ231" s="24" t="str" cm="1">
        <f t="array" ref="AQ231">IFERROR(INDEX(Transactions[[Transaction code]:[Transaction name]],_xlfn.XMATCH(INDEX(Transactions[[Transaction name]:[Parent code]],_xlfn.XMATCH(Transactions[[#This Row],[L6N]],Transactions[Transaction name],0),3),Transactions[Transaction code],0),2),Transactions[[#This Row],[L6N]])</f>
        <v>Total Resources</v>
      </c>
      <c r="AR231" s="28" t="str">
        <f>IF(Transactions[[#This Row],[L7N]]=Transactions[[#This Row],[L6N]],Transactions[[#This Row],[L7N]],IF(Transactions[[#This Row],[L6N]]=Transactions[[#This Row],[L5N]],Transactions[[#This Row],[L6N]],IF(Transactions[[#This Row],[L5N]]=Transactions[[#This Row],[L4N]],Transactions[[#This Row],[L5N]],IF(Transactions[[#This Row],[L4N]]=Transactions[[#This Row],[L3N]],Transactions[[#This Row],[L4N]],IF(Transactions[[#This Row],[L3N]]=Transactions[[#This Row],[L2N]],Transactions[[#This Row],[L3N]],IF(Transactions[[#This Row],[L2N]]=Transactions[[#This Row],[L1N]],Transactions[[#This Row],[L2N]],IF(Transactions[[#This Row],[L1N]]=Transactions[[#This Row],[Transaction name]],Transactions[[#This Row],[L1N]],Transactions[[#This Row],[Transaction name]])))))))</f>
        <v>Total Resources</v>
      </c>
      <c r="AS231" s="24" t="str">
        <f>IF(Transactions[[#This Row],[Level 0]]=Transactions[[#This Row],[Transaction name]],Transactions[[#This Row],[Transaction name]],IF(Transactions[[#This Row],[Level 0]]=Transactions[[#This Row],[L1N]],Transactions[[#This Row],[Transaction name]],IF(Transactions[[#This Row],[Level 0]]=Transactions[[#This Row],[L2N]],Transactions[[#This Row],[L1N]],IF(Transactions[[#This Row],[Level 0]]=Transactions[[#This Row],[L3N]],Transactions[[#This Row],[L2N]],IF(Transactions[[#This Row],[Level 0]]=Transactions[[#This Row],[L4N]],Transactions[[#This Row],[L3N]],IF(Transactions[[#This Row],[Level 0]]=Transactions[[#This Row],[L5N]],Transactions[[#This Row],[L4N]],IF(Transactions[[#This Row],[Level 0]]=Transactions[[#This Row],[L6N]],Transactions[[#This Row],[L5N]],IF(Transactions[[#This Row],[Level 0]]=Transactions[[#This Row],[L7N]],Transactions[[#This Row],[L6N]],Transactions[[#This Row],[L7N]]))))))))</f>
        <v>Proven resources</v>
      </c>
      <c r="AT231" s="24" t="str">
        <f>IF(Transactions[[#This Row],[Level 1]]=Transactions[[#This Row],[Transaction name]],Transactions[[#This Row],[Transaction name]],IF(Transactions[[#This Row],[Level 1]]=Transactions[[#This Row],[L1N]],Transactions[[#This Row],[Transaction name]],IF(Transactions[[#This Row],[Level 1]]=Transactions[[#This Row],[L2N]],Transactions[[#This Row],[L1N]],IF(Transactions[[#This Row],[Level 1]]=Transactions[[#This Row],[L3N]],Transactions[[#This Row],[L2N]],IF(Transactions[[#This Row],[Level 1]]=Transactions[[#This Row],[L4N]],Transactions[[#This Row],[L3N]],IF(Transactions[[#This Row],[Level 1]]=Transactions[[#This Row],[L5N]],Transactions[[#This Row],[L4N]],IF(Transactions[[#This Row],[Level 1]]=Transactions[[#This Row],[L6N]],Transactions[[#This Row],[L5N]],IF(Transactions[[#This Row],[Level 1]]=Transactions[[#This Row],[L7N]],Transactions[[#This Row],[L6N]],Transactions[[#This Row],[L7N]]))))))))</f>
        <v>Proven resources</v>
      </c>
      <c r="AU231" s="24" t="str">
        <f>IF(Transactions[[#This Row],[Level 2]]=Transactions[[#This Row],[Transaction name]],Transactions[[#This Row],[Transaction name]],IF(Transactions[[#This Row],[Level 2]]=Transactions[[#This Row],[L1N]],Transactions[[#This Row],[Transaction name]],IF(Transactions[[#This Row],[Level 2]]=Transactions[[#This Row],[L2N]],Transactions[[#This Row],[L1N]],IF(Transactions[[#This Row],[Level 2]]=Transactions[[#This Row],[L3N]],Transactions[[#This Row],[L2N]],IF(Transactions[[#This Row],[Level 2]]=Transactions[[#This Row],[L4N]],Transactions[[#This Row],[L3N]],IF(Transactions[[#This Row],[Level 2]]=Transactions[[#This Row],[L5N]],Transactions[[#This Row],[L4N]],IF(Transactions[[#This Row],[Level 2]]=Transactions[[#This Row],[L6N]],Transactions[[#This Row],[L5N]],IF(Transactions[[#This Row],[Level 2]]=Transactions[[#This Row],[L7N]],Transactions[[#This Row],[L6N]],Transactions[[#This Row],[L7N]]))))))))</f>
        <v>Proven resources</v>
      </c>
      <c r="AV231" s="24" t="str">
        <f>IF(Transactions[[#This Row],[Level 3]]=Transactions[[#This Row],[Transaction name]],Transactions[[#This Row],[Transaction name]],IF(Transactions[[#This Row],[Level 3]]=Transactions[[#This Row],[L1N]],Transactions[[#This Row],[Transaction name]],IF(Transactions[[#This Row],[Level 3]]=Transactions[[#This Row],[L2N]],Transactions[[#This Row],[L1N]],IF(Transactions[[#This Row],[Level 3]]=Transactions[[#This Row],[L3N]],Transactions[[#This Row],[L2N]],IF(Transactions[[#This Row],[Level 3]]=Transactions[[#This Row],[L4N]],Transactions[[#This Row],[L3N]],IF(Transactions[[#This Row],[Level 3]]=Transactions[[#This Row],[L5N]],Transactions[[#This Row],[L4N]],IF(Transactions[[#This Row],[Level 3]]=Transactions[[#This Row],[L6N]],Transactions[[#This Row],[L5N]],IF(Transactions[[#This Row],[Level 3]]=Transactions[[#This Row],[L7N]],Transactions[[#This Row],[L6N]],Transactions[[#This Row],[L7N]]))))))))</f>
        <v>Proven resources</v>
      </c>
      <c r="AW231" s="24" t="str">
        <f>IF(Transactions[[#This Row],[Level 4]]=Transactions[[#This Row],[Transaction name]],Transactions[[#This Row],[Transaction name]],IF(Transactions[[#This Row],[Level 4]]=Transactions[[#This Row],[L1N]],Transactions[[#This Row],[Transaction name]],IF(Transactions[[#This Row],[Level 4]]=Transactions[[#This Row],[L2N]],Transactions[[#This Row],[L1N]],IF(Transactions[[#This Row],[Level 4]]=Transactions[[#This Row],[L3N]],Transactions[[#This Row],[L2N]],IF(Transactions[[#This Row],[Level 4]]=Transactions[[#This Row],[L4N]],Transactions[[#This Row],[L3N]],IF(Transactions[[#This Row],[Level 4]]=Transactions[[#This Row],[L5N]],Transactions[[#This Row],[L4N]],IF(Transactions[[#This Row],[Level 4]]=Transactions[[#This Row],[L6N]],Transactions[[#This Row],[L5N]],IF(Transactions[[#This Row],[Level 4]]=Transactions[[#This Row],[L7N]],Transactions[[#This Row],[L6N]],Transactions[[#This Row],[L7N]]))))))))</f>
        <v>Proven resources</v>
      </c>
      <c r="AX231" s="24" t="str">
        <f>IF(Transactions[[#This Row],[Level 5]]=Transactions[[#This Row],[Transaction name]],Transactions[[#This Row],[Transaction name]],IF(Transactions[[#This Row],[Level 5]]=Transactions[[#This Row],[L1N]],Transactions[[#This Row],[Transaction name]],IF(Transactions[[#This Row],[Level 5]]=Transactions[[#This Row],[L2N]],Transactions[[#This Row],[L1N]],IF(Transactions[[#This Row],[Level 5]]=Transactions[[#This Row],[L3N]],Transactions[[#This Row],[L2N]],IF(Transactions[[#This Row],[Level 5]]=Transactions[[#This Row],[L4N]],Transactions[[#This Row],[L3N]],IF(Transactions[[#This Row],[Level 5]]=Transactions[[#This Row],[L5N]],Transactions[[#This Row],[L4N]],IF(Transactions[[#This Row],[Level 5]]=Transactions[[#This Row],[L6N]],Transactions[[#This Row],[L5N]],IF(Transactions[[#This Row],[Level 5]]=Transactions[[#This Row],[L7N]],Transactions[[#This Row],[L6N]],Transactions[[#This Row],[L7N]]))))))))</f>
        <v>Proven resources</v>
      </c>
      <c r="AY231" s="24" t="str">
        <f>IF(Transactions[[#This Row],[Level 6]]=Transactions[[#This Row],[Transaction name]],Transactions[[#This Row],[Transaction name]],IF(Transactions[[#This Row],[Level 6]]=Transactions[[#This Row],[L1N]],Transactions[[#This Row],[Transaction name]],IF(Transactions[[#This Row],[Level 6]]=Transactions[[#This Row],[L2N]],Transactions[[#This Row],[L1N]],IF(Transactions[[#This Row],[Level 6]]=Transactions[[#This Row],[L3N]],Transactions[[#This Row],[L2N]],IF(Transactions[[#This Row],[Level 6]]=Transactions[[#This Row],[L4N]],Transactions[[#This Row],[L3N]],IF(Transactions[[#This Row],[Level 6]]=Transactions[[#This Row],[L5N]],Transactions[[#This Row],[L4N]],IF(Transactions[[#This Row],[Level 6]]=Transactions[[#This Row],[L6N]],Transactions[[#This Row],[L5N]],IF(Transactions[[#This Row],[Level 6]]=Transactions[[#This Row],[L7N]],Transactions[[#This Row],[L6N]],Transactions[[#This Row],[L7N]]))))))))</f>
        <v>Proven resources</v>
      </c>
      <c r="BE231" s="26" t="str">
        <f>_xlfn.XLOOKUP(Transformation[[#This Row],[cfrom]],Commodities[Commodity],Commodities[Commodity code])</f>
        <v>4640</v>
      </c>
      <c r="BF231" s="26" t="str">
        <f>_xlfn.XLOOKUP(Transformation[[#This Row],[tfrom]],Transactions[Transaction name],Transactions[Transaction code])</f>
        <v>08832</v>
      </c>
      <c r="BG231" s="26" t="str">
        <f>_xlfn.XLOOKUP(Transformation[[#This Row],[cto]],Commodities[Commodity],Commodities[Commodity code])</f>
        <v>4640</v>
      </c>
      <c r="BH231" s="26" t="str">
        <f>_xlfn.XLOOKUP(Transformation[[#This Row],[tto]],Transactions[Transaction name],Transactions[Transaction code])</f>
        <v>016OPH</v>
      </c>
      <c r="BI231" s="11">
        <v>1</v>
      </c>
      <c r="BJ231" s="4" t="s">
        <v>405</v>
      </c>
      <c r="BK231" s="24" t="str">
        <f>_xlfn.XLOOKUP(Transformation[[#This Row],[Commodity from]],Commodities[Commodity code],Commodities[EnergyCode])</f>
        <v>NP</v>
      </c>
      <c r="BL231" s="4" t="s">
        <v>694</v>
      </c>
      <c r="BM231" s="4" t="s">
        <v>405</v>
      </c>
      <c r="BN231" s="24" t="str">
        <f>_xlfn.XLOOKUP(Transformation[[#This Row],[Commodity to]],Commodities[Commodity code],Commodities[EnergyCode])</f>
        <v>NP</v>
      </c>
      <c r="BO231" s="4" t="s">
        <v>1056</v>
      </c>
      <c r="BP231" s="16" t="s">
        <v>1493</v>
      </c>
      <c r="BQ231" s="33" t="str">
        <f>Transformation[[#This Row],[Commodity from]]&amp;Transformation[[#This Row],[Transaction from]]&amp;Transformation[[#This Row],[Commodity to]]&amp;Transformation[[#This Row],[Transaction to]]</f>
        <v>4640088324640016OPH</v>
      </c>
      <c r="BR231" s="26" t="str">
        <f>Transformation[[#This Row],[crfomid]]&amp;Transformation[[#This Row],[Transaction from]]&amp;"("&amp;Transformation[[#This Row],[Multiplier]]&amp;") -&gt; "&amp;Transformation[[#This Row],[ctoid]]&amp;Transformation[[#This Row],[Transaction to]]</f>
        <v>NP08832(1) -&gt; NP016OPH</v>
      </c>
    </row>
    <row r="232" spans="25:70" x14ac:dyDescent="0.45">
      <c r="Y232" s="5" t="s">
        <v>29</v>
      </c>
      <c r="Z232" s="4" t="s">
        <v>638</v>
      </c>
      <c r="AA232" s="4" t="s">
        <v>638</v>
      </c>
      <c r="AB232" s="6"/>
      <c r="AC232" s="24" t="str">
        <f>IFERROR(VLOOKUP(Transactions[[#This Row],[Parent code]],Transactions[[Transaction code]:[Transaction name]],2,0),"")</f>
        <v/>
      </c>
      <c r="AD232" s="4" t="s">
        <v>634</v>
      </c>
      <c r="AF232" s="4" t="s">
        <v>642</v>
      </c>
      <c r="AG232" s="4" t="s">
        <v>1</v>
      </c>
      <c r="AH232" s="4" t="s">
        <v>696</v>
      </c>
      <c r="AK232" s="24" t="str" cm="1">
        <f t="array" ref="AK232">IFERROR(INDEX(Transactions[[Transaction code]:[Transaction name]],_xlfn.XMATCH(Transactions[[#This Row],[Parent code]],Transactions[Transaction name],0),3),Transactions[[#This Row],[Transaction name]])</f>
        <v>Total Resources</v>
      </c>
      <c r="AL232" s="24" t="str" cm="1">
        <f t="array" ref="AL232">IFERROR(INDEX(Transactions[[Transaction code]:[Transaction name]],_xlfn.XMATCH(INDEX(Transactions[[Transaction name]:[Parent code]],_xlfn.XMATCH(Transactions[[#This Row],[L1N]],Transactions[Transaction name],0),3),Transactions[Transaction code],0),2),Transactions[[#This Row],[L1N]])</f>
        <v>Total Resources</v>
      </c>
      <c r="AM232" s="24" t="str" cm="1">
        <f t="array" ref="AM232">IFERROR(INDEX(Transactions[[Transaction code]:[Transaction name]],_xlfn.XMATCH(INDEX(Transactions[[Transaction name]:[Parent code]],_xlfn.XMATCH(Transactions[[#This Row],[L2N]],Transactions[Transaction name],0),3),Transactions[Transaction code],0),2),Transactions[[#This Row],[L2N]])</f>
        <v>Total Resources</v>
      </c>
      <c r="AN232" s="24" t="str" cm="1">
        <f t="array" ref="AN232">IFERROR(INDEX(Transactions[[Transaction code]:[Transaction name]],_xlfn.XMATCH(INDEX(Transactions[[Transaction name]:[Parent code]],_xlfn.XMATCH(Transactions[[#This Row],[L3N]],Transactions[Transaction name],0),3),Transactions[Transaction code],0),2),Transactions[[#This Row],[L3N]])</f>
        <v>Total Resources</v>
      </c>
      <c r="AO232" s="24" t="str" cm="1">
        <f t="array" ref="AO232">IFERROR(INDEX(Transactions[[Transaction code]:[Transaction name]],_xlfn.XMATCH(INDEX(Transactions[[Transaction name]:[Parent code]],_xlfn.XMATCH(Transactions[[#This Row],[L4N]],Transactions[Transaction name],0),3),Transactions[Transaction code],0),2),Transactions[[#This Row],[L4N]])</f>
        <v>Total Resources</v>
      </c>
      <c r="AP232" s="24" t="str" cm="1">
        <f t="array" ref="AP232">IFERROR(INDEX(Transactions[[Transaction code]:[Transaction name]],_xlfn.XMATCH(INDEX(Transactions[[Transaction name]:[Parent code]],_xlfn.XMATCH(Transactions[[#This Row],[L5N]],Transactions[Transaction name],0),3),Transactions[Transaction code],0),2),Transactions[[#This Row],[L5N]])</f>
        <v>Total Resources</v>
      </c>
      <c r="AQ232" s="24" t="str" cm="1">
        <f t="array" ref="AQ232">IFERROR(INDEX(Transactions[[Transaction code]:[Transaction name]],_xlfn.XMATCH(INDEX(Transactions[[Transaction name]:[Parent code]],_xlfn.XMATCH(Transactions[[#This Row],[L6N]],Transactions[Transaction name],0),3),Transactions[Transaction code],0),2),Transactions[[#This Row],[L6N]])</f>
        <v>Total Resources</v>
      </c>
      <c r="AR232" s="28" t="str">
        <f>IF(Transactions[[#This Row],[L7N]]=Transactions[[#This Row],[L6N]],Transactions[[#This Row],[L7N]],IF(Transactions[[#This Row],[L6N]]=Transactions[[#This Row],[L5N]],Transactions[[#This Row],[L6N]],IF(Transactions[[#This Row],[L5N]]=Transactions[[#This Row],[L4N]],Transactions[[#This Row],[L5N]],IF(Transactions[[#This Row],[L4N]]=Transactions[[#This Row],[L3N]],Transactions[[#This Row],[L4N]],IF(Transactions[[#This Row],[L3N]]=Transactions[[#This Row],[L2N]],Transactions[[#This Row],[L3N]],IF(Transactions[[#This Row],[L2N]]=Transactions[[#This Row],[L1N]],Transactions[[#This Row],[L2N]],IF(Transactions[[#This Row],[L1N]]=Transactions[[#This Row],[Transaction name]],Transactions[[#This Row],[L1N]],Transactions[[#This Row],[Transaction name]])))))))</f>
        <v>Total Resources</v>
      </c>
      <c r="AS232" s="24" t="str">
        <f>IF(Transactions[[#This Row],[Level 0]]=Transactions[[#This Row],[Transaction name]],Transactions[[#This Row],[Transaction name]],IF(Transactions[[#This Row],[Level 0]]=Transactions[[#This Row],[L1N]],Transactions[[#This Row],[Transaction name]],IF(Transactions[[#This Row],[Level 0]]=Transactions[[#This Row],[L2N]],Transactions[[#This Row],[L1N]],IF(Transactions[[#This Row],[Level 0]]=Transactions[[#This Row],[L3N]],Transactions[[#This Row],[L2N]],IF(Transactions[[#This Row],[Level 0]]=Transactions[[#This Row],[L4N]],Transactions[[#This Row],[L3N]],IF(Transactions[[#This Row],[Level 0]]=Transactions[[#This Row],[L5N]],Transactions[[#This Row],[L4N]],IF(Transactions[[#This Row],[Level 0]]=Transactions[[#This Row],[L6N]],Transactions[[#This Row],[L5N]],IF(Transactions[[#This Row],[Level 0]]=Transactions[[#This Row],[L7N]],Transactions[[#This Row],[L6N]],Transactions[[#This Row],[L7N]]))))))))</f>
        <v>Total Resources</v>
      </c>
      <c r="AT232" s="24" t="str">
        <f>IF(Transactions[[#This Row],[Level 1]]=Transactions[[#This Row],[Transaction name]],Transactions[[#This Row],[Transaction name]],IF(Transactions[[#This Row],[Level 1]]=Transactions[[#This Row],[L1N]],Transactions[[#This Row],[Transaction name]],IF(Transactions[[#This Row],[Level 1]]=Transactions[[#This Row],[L2N]],Transactions[[#This Row],[L1N]],IF(Transactions[[#This Row],[Level 1]]=Transactions[[#This Row],[L3N]],Transactions[[#This Row],[L2N]],IF(Transactions[[#This Row],[Level 1]]=Transactions[[#This Row],[L4N]],Transactions[[#This Row],[L3N]],IF(Transactions[[#This Row],[Level 1]]=Transactions[[#This Row],[L5N]],Transactions[[#This Row],[L4N]],IF(Transactions[[#This Row],[Level 1]]=Transactions[[#This Row],[L6N]],Transactions[[#This Row],[L5N]],IF(Transactions[[#This Row],[Level 1]]=Transactions[[#This Row],[L7N]],Transactions[[#This Row],[L6N]],Transactions[[#This Row],[L7N]]))))))))</f>
        <v>Total Resources</v>
      </c>
      <c r="AU232" s="24" t="str">
        <f>IF(Transactions[[#This Row],[Level 2]]=Transactions[[#This Row],[Transaction name]],Transactions[[#This Row],[Transaction name]],IF(Transactions[[#This Row],[Level 2]]=Transactions[[#This Row],[L1N]],Transactions[[#This Row],[Transaction name]],IF(Transactions[[#This Row],[Level 2]]=Transactions[[#This Row],[L2N]],Transactions[[#This Row],[L1N]],IF(Transactions[[#This Row],[Level 2]]=Transactions[[#This Row],[L3N]],Transactions[[#This Row],[L2N]],IF(Transactions[[#This Row],[Level 2]]=Transactions[[#This Row],[L4N]],Transactions[[#This Row],[L3N]],IF(Transactions[[#This Row],[Level 2]]=Transactions[[#This Row],[L5N]],Transactions[[#This Row],[L4N]],IF(Transactions[[#This Row],[Level 2]]=Transactions[[#This Row],[L6N]],Transactions[[#This Row],[L5N]],IF(Transactions[[#This Row],[Level 2]]=Transactions[[#This Row],[L7N]],Transactions[[#This Row],[L6N]],Transactions[[#This Row],[L7N]]))))))))</f>
        <v>Total Resources</v>
      </c>
      <c r="AV232" s="24" t="str">
        <f>IF(Transactions[[#This Row],[Level 3]]=Transactions[[#This Row],[Transaction name]],Transactions[[#This Row],[Transaction name]],IF(Transactions[[#This Row],[Level 3]]=Transactions[[#This Row],[L1N]],Transactions[[#This Row],[Transaction name]],IF(Transactions[[#This Row],[Level 3]]=Transactions[[#This Row],[L2N]],Transactions[[#This Row],[L1N]],IF(Transactions[[#This Row],[Level 3]]=Transactions[[#This Row],[L3N]],Transactions[[#This Row],[L2N]],IF(Transactions[[#This Row],[Level 3]]=Transactions[[#This Row],[L4N]],Transactions[[#This Row],[L3N]],IF(Transactions[[#This Row],[Level 3]]=Transactions[[#This Row],[L5N]],Transactions[[#This Row],[L4N]],IF(Transactions[[#This Row],[Level 3]]=Transactions[[#This Row],[L6N]],Transactions[[#This Row],[L5N]],IF(Transactions[[#This Row],[Level 3]]=Transactions[[#This Row],[L7N]],Transactions[[#This Row],[L6N]],Transactions[[#This Row],[L7N]]))))))))</f>
        <v>Total Resources</v>
      </c>
      <c r="AW232" s="24" t="str">
        <f>IF(Transactions[[#This Row],[Level 4]]=Transactions[[#This Row],[Transaction name]],Transactions[[#This Row],[Transaction name]],IF(Transactions[[#This Row],[Level 4]]=Transactions[[#This Row],[L1N]],Transactions[[#This Row],[Transaction name]],IF(Transactions[[#This Row],[Level 4]]=Transactions[[#This Row],[L2N]],Transactions[[#This Row],[L1N]],IF(Transactions[[#This Row],[Level 4]]=Transactions[[#This Row],[L3N]],Transactions[[#This Row],[L2N]],IF(Transactions[[#This Row],[Level 4]]=Transactions[[#This Row],[L4N]],Transactions[[#This Row],[L3N]],IF(Transactions[[#This Row],[Level 4]]=Transactions[[#This Row],[L5N]],Transactions[[#This Row],[L4N]],IF(Transactions[[#This Row],[Level 4]]=Transactions[[#This Row],[L6N]],Transactions[[#This Row],[L5N]],IF(Transactions[[#This Row],[Level 4]]=Transactions[[#This Row],[L7N]],Transactions[[#This Row],[L6N]],Transactions[[#This Row],[L7N]]))))))))</f>
        <v>Total Resources</v>
      </c>
      <c r="AX232" s="24" t="str">
        <f>IF(Transactions[[#This Row],[Level 5]]=Transactions[[#This Row],[Transaction name]],Transactions[[#This Row],[Transaction name]],IF(Transactions[[#This Row],[Level 5]]=Transactions[[#This Row],[L1N]],Transactions[[#This Row],[Transaction name]],IF(Transactions[[#This Row],[Level 5]]=Transactions[[#This Row],[L2N]],Transactions[[#This Row],[L1N]],IF(Transactions[[#This Row],[Level 5]]=Transactions[[#This Row],[L3N]],Transactions[[#This Row],[L2N]],IF(Transactions[[#This Row],[Level 5]]=Transactions[[#This Row],[L4N]],Transactions[[#This Row],[L3N]],IF(Transactions[[#This Row],[Level 5]]=Transactions[[#This Row],[L5N]],Transactions[[#This Row],[L4N]],IF(Transactions[[#This Row],[Level 5]]=Transactions[[#This Row],[L6N]],Transactions[[#This Row],[L5N]],IF(Transactions[[#This Row],[Level 5]]=Transactions[[#This Row],[L7N]],Transactions[[#This Row],[L6N]],Transactions[[#This Row],[L7N]]))))))))</f>
        <v>Total Resources</v>
      </c>
      <c r="AY232" s="24" t="str">
        <f>IF(Transactions[[#This Row],[Level 6]]=Transactions[[#This Row],[Transaction name]],Transactions[[#This Row],[Transaction name]],IF(Transactions[[#This Row],[Level 6]]=Transactions[[#This Row],[L1N]],Transactions[[#This Row],[Transaction name]],IF(Transactions[[#This Row],[Level 6]]=Transactions[[#This Row],[L2N]],Transactions[[#This Row],[L1N]],IF(Transactions[[#This Row],[Level 6]]=Transactions[[#This Row],[L3N]],Transactions[[#This Row],[L2N]],IF(Transactions[[#This Row],[Level 6]]=Transactions[[#This Row],[L4N]],Transactions[[#This Row],[L3N]],IF(Transactions[[#This Row],[Level 6]]=Transactions[[#This Row],[L5N]],Transactions[[#This Row],[L4N]],IF(Transactions[[#This Row],[Level 6]]=Transactions[[#This Row],[L6N]],Transactions[[#This Row],[L5N]],IF(Transactions[[#This Row],[Level 6]]=Transactions[[#This Row],[L7N]],Transactions[[#This Row],[L6N]],Transactions[[#This Row],[L7N]]))))))))</f>
        <v>Total Resources</v>
      </c>
      <c r="BE232" s="26" t="str">
        <f>_xlfn.XLOOKUP(Transformation[[#This Row],[cfrom]],Commodities[Commodity],Commodities[Commodity code])</f>
        <v>0350</v>
      </c>
      <c r="BF232" s="26" t="str">
        <f>_xlfn.XLOOKUP(Transformation[[#This Row],[tfrom]],Transactions[Transaction name],Transactions[Transaction code])</f>
        <v>08832</v>
      </c>
      <c r="BG232" s="26" t="str">
        <f>_xlfn.XLOOKUP(Transformation[[#This Row],[cto]],Commodities[Commodity],Commodities[Commodity code])</f>
        <v>0350</v>
      </c>
      <c r="BH232" s="26" t="str">
        <f>_xlfn.XLOOKUP(Transformation[[#This Row],[tto]],Transactions[Transaction name],Transactions[Transaction code])</f>
        <v>016CGH</v>
      </c>
      <c r="BI232" s="11">
        <v>1</v>
      </c>
      <c r="BJ232" s="4" t="s">
        <v>487</v>
      </c>
      <c r="BK232" s="24" t="str">
        <f>_xlfn.XLOOKUP(Transformation[[#This Row],[Commodity from]],Commodities[Commodity code],Commodities[EnergyCode])</f>
        <v>OG</v>
      </c>
      <c r="BL232" s="4" t="s">
        <v>694</v>
      </c>
      <c r="BM232" s="4" t="s">
        <v>487</v>
      </c>
      <c r="BN232" s="24" t="str">
        <f>_xlfn.XLOOKUP(Transformation[[#This Row],[Commodity to]],Commodities[Commodity code],Commodities[EnergyCode])</f>
        <v>OG</v>
      </c>
      <c r="BO232" s="4" t="s">
        <v>1223</v>
      </c>
      <c r="BP232" s="16" t="s">
        <v>1493</v>
      </c>
      <c r="BQ232" s="33" t="str">
        <f>Transformation[[#This Row],[Commodity from]]&amp;Transformation[[#This Row],[Transaction from]]&amp;Transformation[[#This Row],[Commodity to]]&amp;Transformation[[#This Row],[Transaction to]]</f>
        <v>0350088320350016CGH</v>
      </c>
      <c r="BR232" s="26" t="str">
        <f>Transformation[[#This Row],[crfomid]]&amp;Transformation[[#This Row],[Transaction from]]&amp;"("&amp;Transformation[[#This Row],[Multiplier]]&amp;") -&gt; "&amp;Transformation[[#This Row],[ctoid]]&amp;Transformation[[#This Row],[Transaction to]]</f>
        <v>OG08832(1) -&gt; OG016CGH</v>
      </c>
    </row>
    <row r="233" spans="25:70" x14ac:dyDescent="0.45">
      <c r="Y233" s="5" t="s">
        <v>30</v>
      </c>
      <c r="Z233" s="4" t="s">
        <v>637</v>
      </c>
      <c r="AA233" s="4" t="s">
        <v>637</v>
      </c>
      <c r="AB233" s="6" t="s">
        <v>29</v>
      </c>
      <c r="AC233" s="24" t="str">
        <f>IFERROR(VLOOKUP(Transactions[[#This Row],[Parent code]],Transactions[[Transaction code]:[Transaction name]],2,0),"")</f>
        <v>Total Resources</v>
      </c>
      <c r="AD233" s="4" t="s">
        <v>634</v>
      </c>
      <c r="AF233" s="4" t="s">
        <v>642</v>
      </c>
      <c r="AG233" s="4" t="s">
        <v>1</v>
      </c>
      <c r="AH233" s="4" t="s">
        <v>696</v>
      </c>
      <c r="AK233" s="24" t="str" cm="1">
        <f t="array" ref="AK233">IFERROR(INDEX(Transactions[[Transaction code]:[Transaction name]],_xlfn.XMATCH(Transactions[[#This Row],[Parent code]],Transactions[Transaction name],0),3),Transactions[[#This Row],[Transaction name]])</f>
        <v>Unproven resources</v>
      </c>
      <c r="AL233" s="24" t="str" cm="1">
        <f t="array" ref="AL233">IFERROR(INDEX(Transactions[[Transaction code]:[Transaction name]],_xlfn.XMATCH(INDEX(Transactions[[Transaction name]:[Parent code]],_xlfn.XMATCH(Transactions[[#This Row],[L1N]],Transactions[Transaction name],0),3),Transactions[Transaction code],0),2),Transactions[[#This Row],[L1N]])</f>
        <v>Total Resources</v>
      </c>
      <c r="AM233" s="24" t="str" cm="1">
        <f t="array" ref="AM233">IFERROR(INDEX(Transactions[[Transaction code]:[Transaction name]],_xlfn.XMATCH(INDEX(Transactions[[Transaction name]:[Parent code]],_xlfn.XMATCH(Transactions[[#This Row],[L2N]],Transactions[Transaction name],0),3),Transactions[Transaction code],0),2),Transactions[[#This Row],[L2N]])</f>
        <v>Total Resources</v>
      </c>
      <c r="AN233" s="24" t="str" cm="1">
        <f t="array" ref="AN233">IFERROR(INDEX(Transactions[[Transaction code]:[Transaction name]],_xlfn.XMATCH(INDEX(Transactions[[Transaction name]:[Parent code]],_xlfn.XMATCH(Transactions[[#This Row],[L3N]],Transactions[Transaction name],0),3),Transactions[Transaction code],0),2),Transactions[[#This Row],[L3N]])</f>
        <v>Total Resources</v>
      </c>
      <c r="AO233" s="24" t="str" cm="1">
        <f t="array" ref="AO233">IFERROR(INDEX(Transactions[[Transaction code]:[Transaction name]],_xlfn.XMATCH(INDEX(Transactions[[Transaction name]:[Parent code]],_xlfn.XMATCH(Transactions[[#This Row],[L4N]],Transactions[Transaction name],0),3),Transactions[Transaction code],0),2),Transactions[[#This Row],[L4N]])</f>
        <v>Total Resources</v>
      </c>
      <c r="AP233" s="24" t="str" cm="1">
        <f t="array" ref="AP233">IFERROR(INDEX(Transactions[[Transaction code]:[Transaction name]],_xlfn.XMATCH(INDEX(Transactions[[Transaction name]:[Parent code]],_xlfn.XMATCH(Transactions[[#This Row],[L5N]],Transactions[Transaction name],0),3),Transactions[Transaction code],0),2),Transactions[[#This Row],[L5N]])</f>
        <v>Total Resources</v>
      </c>
      <c r="AQ233" s="24" t="str" cm="1">
        <f t="array" ref="AQ233">IFERROR(INDEX(Transactions[[Transaction code]:[Transaction name]],_xlfn.XMATCH(INDEX(Transactions[[Transaction name]:[Parent code]],_xlfn.XMATCH(Transactions[[#This Row],[L6N]],Transactions[Transaction name],0),3),Transactions[Transaction code],0),2),Transactions[[#This Row],[L6N]])</f>
        <v>Total Resources</v>
      </c>
      <c r="AR233" s="28" t="str">
        <f>IF(Transactions[[#This Row],[L7N]]=Transactions[[#This Row],[L6N]],Transactions[[#This Row],[L7N]],IF(Transactions[[#This Row],[L6N]]=Transactions[[#This Row],[L5N]],Transactions[[#This Row],[L6N]],IF(Transactions[[#This Row],[L5N]]=Transactions[[#This Row],[L4N]],Transactions[[#This Row],[L5N]],IF(Transactions[[#This Row],[L4N]]=Transactions[[#This Row],[L3N]],Transactions[[#This Row],[L4N]],IF(Transactions[[#This Row],[L3N]]=Transactions[[#This Row],[L2N]],Transactions[[#This Row],[L3N]],IF(Transactions[[#This Row],[L2N]]=Transactions[[#This Row],[L1N]],Transactions[[#This Row],[L2N]],IF(Transactions[[#This Row],[L1N]]=Transactions[[#This Row],[Transaction name]],Transactions[[#This Row],[L1N]],Transactions[[#This Row],[Transaction name]])))))))</f>
        <v>Total Resources</v>
      </c>
      <c r="AS233" s="24" t="str">
        <f>IF(Transactions[[#This Row],[Level 0]]=Transactions[[#This Row],[Transaction name]],Transactions[[#This Row],[Transaction name]],IF(Transactions[[#This Row],[Level 0]]=Transactions[[#This Row],[L1N]],Transactions[[#This Row],[Transaction name]],IF(Transactions[[#This Row],[Level 0]]=Transactions[[#This Row],[L2N]],Transactions[[#This Row],[L1N]],IF(Transactions[[#This Row],[Level 0]]=Transactions[[#This Row],[L3N]],Transactions[[#This Row],[L2N]],IF(Transactions[[#This Row],[Level 0]]=Transactions[[#This Row],[L4N]],Transactions[[#This Row],[L3N]],IF(Transactions[[#This Row],[Level 0]]=Transactions[[#This Row],[L5N]],Transactions[[#This Row],[L4N]],IF(Transactions[[#This Row],[Level 0]]=Transactions[[#This Row],[L6N]],Transactions[[#This Row],[L5N]],IF(Transactions[[#This Row],[Level 0]]=Transactions[[#This Row],[L7N]],Transactions[[#This Row],[L6N]],Transactions[[#This Row],[L7N]]))))))))</f>
        <v>Unproven resources</v>
      </c>
      <c r="AT233" s="24" t="str">
        <f>IF(Transactions[[#This Row],[Level 1]]=Transactions[[#This Row],[Transaction name]],Transactions[[#This Row],[Transaction name]],IF(Transactions[[#This Row],[Level 1]]=Transactions[[#This Row],[L1N]],Transactions[[#This Row],[Transaction name]],IF(Transactions[[#This Row],[Level 1]]=Transactions[[#This Row],[L2N]],Transactions[[#This Row],[L1N]],IF(Transactions[[#This Row],[Level 1]]=Transactions[[#This Row],[L3N]],Transactions[[#This Row],[L2N]],IF(Transactions[[#This Row],[Level 1]]=Transactions[[#This Row],[L4N]],Transactions[[#This Row],[L3N]],IF(Transactions[[#This Row],[Level 1]]=Transactions[[#This Row],[L5N]],Transactions[[#This Row],[L4N]],IF(Transactions[[#This Row],[Level 1]]=Transactions[[#This Row],[L6N]],Transactions[[#This Row],[L5N]],IF(Transactions[[#This Row],[Level 1]]=Transactions[[#This Row],[L7N]],Transactions[[#This Row],[L6N]],Transactions[[#This Row],[L7N]]))))))))</f>
        <v>Unproven resources</v>
      </c>
      <c r="AU233" s="24" t="str">
        <f>IF(Transactions[[#This Row],[Level 2]]=Transactions[[#This Row],[Transaction name]],Transactions[[#This Row],[Transaction name]],IF(Transactions[[#This Row],[Level 2]]=Transactions[[#This Row],[L1N]],Transactions[[#This Row],[Transaction name]],IF(Transactions[[#This Row],[Level 2]]=Transactions[[#This Row],[L2N]],Transactions[[#This Row],[L1N]],IF(Transactions[[#This Row],[Level 2]]=Transactions[[#This Row],[L3N]],Transactions[[#This Row],[L2N]],IF(Transactions[[#This Row],[Level 2]]=Transactions[[#This Row],[L4N]],Transactions[[#This Row],[L3N]],IF(Transactions[[#This Row],[Level 2]]=Transactions[[#This Row],[L5N]],Transactions[[#This Row],[L4N]],IF(Transactions[[#This Row],[Level 2]]=Transactions[[#This Row],[L6N]],Transactions[[#This Row],[L5N]],IF(Transactions[[#This Row],[Level 2]]=Transactions[[#This Row],[L7N]],Transactions[[#This Row],[L6N]],Transactions[[#This Row],[L7N]]))))))))</f>
        <v>Unproven resources</v>
      </c>
      <c r="AV233" s="24" t="str">
        <f>IF(Transactions[[#This Row],[Level 3]]=Transactions[[#This Row],[Transaction name]],Transactions[[#This Row],[Transaction name]],IF(Transactions[[#This Row],[Level 3]]=Transactions[[#This Row],[L1N]],Transactions[[#This Row],[Transaction name]],IF(Transactions[[#This Row],[Level 3]]=Transactions[[#This Row],[L2N]],Transactions[[#This Row],[L1N]],IF(Transactions[[#This Row],[Level 3]]=Transactions[[#This Row],[L3N]],Transactions[[#This Row],[L2N]],IF(Transactions[[#This Row],[Level 3]]=Transactions[[#This Row],[L4N]],Transactions[[#This Row],[L3N]],IF(Transactions[[#This Row],[Level 3]]=Transactions[[#This Row],[L5N]],Transactions[[#This Row],[L4N]],IF(Transactions[[#This Row],[Level 3]]=Transactions[[#This Row],[L6N]],Transactions[[#This Row],[L5N]],IF(Transactions[[#This Row],[Level 3]]=Transactions[[#This Row],[L7N]],Transactions[[#This Row],[L6N]],Transactions[[#This Row],[L7N]]))))))))</f>
        <v>Unproven resources</v>
      </c>
      <c r="AW233" s="24" t="str">
        <f>IF(Transactions[[#This Row],[Level 4]]=Transactions[[#This Row],[Transaction name]],Transactions[[#This Row],[Transaction name]],IF(Transactions[[#This Row],[Level 4]]=Transactions[[#This Row],[L1N]],Transactions[[#This Row],[Transaction name]],IF(Transactions[[#This Row],[Level 4]]=Transactions[[#This Row],[L2N]],Transactions[[#This Row],[L1N]],IF(Transactions[[#This Row],[Level 4]]=Transactions[[#This Row],[L3N]],Transactions[[#This Row],[L2N]],IF(Transactions[[#This Row],[Level 4]]=Transactions[[#This Row],[L4N]],Transactions[[#This Row],[L3N]],IF(Transactions[[#This Row],[Level 4]]=Transactions[[#This Row],[L5N]],Transactions[[#This Row],[L4N]],IF(Transactions[[#This Row],[Level 4]]=Transactions[[#This Row],[L6N]],Transactions[[#This Row],[L5N]],IF(Transactions[[#This Row],[Level 4]]=Transactions[[#This Row],[L7N]],Transactions[[#This Row],[L6N]],Transactions[[#This Row],[L7N]]))))))))</f>
        <v>Unproven resources</v>
      </c>
      <c r="AX233" s="24" t="str">
        <f>IF(Transactions[[#This Row],[Level 5]]=Transactions[[#This Row],[Transaction name]],Transactions[[#This Row],[Transaction name]],IF(Transactions[[#This Row],[Level 5]]=Transactions[[#This Row],[L1N]],Transactions[[#This Row],[Transaction name]],IF(Transactions[[#This Row],[Level 5]]=Transactions[[#This Row],[L2N]],Transactions[[#This Row],[L1N]],IF(Transactions[[#This Row],[Level 5]]=Transactions[[#This Row],[L3N]],Transactions[[#This Row],[L2N]],IF(Transactions[[#This Row],[Level 5]]=Transactions[[#This Row],[L4N]],Transactions[[#This Row],[L3N]],IF(Transactions[[#This Row],[Level 5]]=Transactions[[#This Row],[L5N]],Transactions[[#This Row],[L4N]],IF(Transactions[[#This Row],[Level 5]]=Transactions[[#This Row],[L6N]],Transactions[[#This Row],[L5N]],IF(Transactions[[#This Row],[Level 5]]=Transactions[[#This Row],[L7N]],Transactions[[#This Row],[L6N]],Transactions[[#This Row],[L7N]]))))))))</f>
        <v>Unproven resources</v>
      </c>
      <c r="AY233" s="24" t="str">
        <f>IF(Transactions[[#This Row],[Level 6]]=Transactions[[#This Row],[Transaction name]],Transactions[[#This Row],[Transaction name]],IF(Transactions[[#This Row],[Level 6]]=Transactions[[#This Row],[L1N]],Transactions[[#This Row],[Transaction name]],IF(Transactions[[#This Row],[Level 6]]=Transactions[[#This Row],[L2N]],Transactions[[#This Row],[L1N]],IF(Transactions[[#This Row],[Level 6]]=Transactions[[#This Row],[L3N]],Transactions[[#This Row],[L2N]],IF(Transactions[[#This Row],[Level 6]]=Transactions[[#This Row],[L4N]],Transactions[[#This Row],[L3N]],IF(Transactions[[#This Row],[Level 6]]=Transactions[[#This Row],[L5N]],Transactions[[#This Row],[L4N]],IF(Transactions[[#This Row],[Level 6]]=Transactions[[#This Row],[L6N]],Transactions[[#This Row],[L5N]],IF(Transactions[[#This Row],[Level 6]]=Transactions[[#This Row],[L7N]],Transactions[[#This Row],[L6N]],Transactions[[#This Row],[L7N]]))))))))</f>
        <v>Unproven resources</v>
      </c>
      <c r="BE233" s="26" t="str">
        <f>_xlfn.XLOOKUP(Transformation[[#This Row],[cfrom]],Commodities[Commodity],Commodities[Commodity code])</f>
        <v>4500</v>
      </c>
      <c r="BF233" s="26" t="str">
        <f>_xlfn.XLOOKUP(Transformation[[#This Row],[tfrom]],Transactions[Transaction name],Transactions[Transaction code])</f>
        <v>08832</v>
      </c>
      <c r="BG233" s="26" t="str">
        <f>_xlfn.XLOOKUP(Transformation[[#This Row],[cto]],Commodities[Commodity],Commodities[Commodity code])</f>
        <v>4500</v>
      </c>
      <c r="BH233" s="26" t="str">
        <f>_xlfn.XLOOKUP(Transformation[[#This Row],[tto]],Transactions[Transaction name],Transactions[Transaction code])</f>
        <v>016COH</v>
      </c>
      <c r="BI233" s="31">
        <v>1</v>
      </c>
      <c r="BJ233" s="22" t="s">
        <v>424</v>
      </c>
      <c r="BK233" s="26" t="str">
        <f>_xlfn.XLOOKUP(Transformation[[#This Row],[Commodity from]],Commodities[Commodity code],Commodities[EnergyCode])</f>
        <v>OH</v>
      </c>
      <c r="BL233" s="22" t="s">
        <v>694</v>
      </c>
      <c r="BM233" s="22" t="s">
        <v>424</v>
      </c>
      <c r="BN233" s="26" t="str">
        <f>_xlfn.XLOOKUP(Transformation[[#This Row],[Commodity to]],Commodities[Commodity code],Commodities[EnergyCode])</f>
        <v>OH</v>
      </c>
      <c r="BO233" s="4" t="s">
        <v>1231</v>
      </c>
      <c r="BP233" s="22" t="s">
        <v>1493</v>
      </c>
      <c r="BQ233" s="33" t="str">
        <f>Transformation[[#This Row],[Commodity from]]&amp;Transformation[[#This Row],[Transaction from]]&amp;Transformation[[#This Row],[Commodity to]]&amp;Transformation[[#This Row],[Transaction to]]</f>
        <v>4500088324500016COH</v>
      </c>
      <c r="BR233" s="26" t="str">
        <f>Transformation[[#This Row],[crfomid]]&amp;Transformation[[#This Row],[Transaction from]]&amp;"("&amp;Transformation[[#This Row],[Multiplier]]&amp;") -&gt; "&amp;Transformation[[#This Row],[ctoid]]&amp;Transformation[[#This Row],[Transaction to]]</f>
        <v>OH08832(1) -&gt; OH016COH</v>
      </c>
    </row>
    <row r="234" spans="25:70" x14ac:dyDescent="0.45">
      <c r="Y234" s="5" t="s">
        <v>191</v>
      </c>
      <c r="Z234" s="4" t="s">
        <v>190</v>
      </c>
      <c r="AA234" s="4" t="s">
        <v>190</v>
      </c>
      <c r="AC234" s="24" t="str">
        <f>IFERROR(VLOOKUP(Transactions[[#This Row],[Parent code]],Transactions[[Transaction code]:[Transaction name]],2,0),"")</f>
        <v/>
      </c>
      <c r="AD234" s="4" t="s">
        <v>961</v>
      </c>
      <c r="AE234" s="4" t="s">
        <v>961</v>
      </c>
      <c r="AF234" s="4" t="s">
        <v>642</v>
      </c>
      <c r="AG234" s="4" t="s">
        <v>1</v>
      </c>
      <c r="AH234" s="4" t="s">
        <v>696</v>
      </c>
      <c r="AK234" s="24" t="str" cm="1">
        <f t="array" ref="AK234">IFERROR(INDEX(Transactions[[Transaction code]:[Transaction name]],_xlfn.XMATCH(Transactions[[#This Row],[Parent code]],Transactions[Transaction name],0),3),Transactions[[#This Row],[Transaction name]])</f>
        <v>Transfers and recycled products</v>
      </c>
      <c r="AL234" s="24" t="str" cm="1">
        <f t="array" ref="AL234">IFERROR(INDEX(Transactions[[Transaction code]:[Transaction name]],_xlfn.XMATCH(INDEX(Transactions[[Transaction name]:[Parent code]],_xlfn.XMATCH(Transactions[[#This Row],[L1N]],Transactions[Transaction name],0),3),Transactions[Transaction code],0),2),Transactions[[#This Row],[L1N]])</f>
        <v>Transfers and recycled products</v>
      </c>
      <c r="AM234" s="24" t="str" cm="1">
        <f t="array" ref="AM234">IFERROR(INDEX(Transactions[[Transaction code]:[Transaction name]],_xlfn.XMATCH(INDEX(Transactions[[Transaction name]:[Parent code]],_xlfn.XMATCH(Transactions[[#This Row],[L2N]],Transactions[Transaction name],0),3),Transactions[Transaction code],0),2),Transactions[[#This Row],[L2N]])</f>
        <v>Transfers and recycled products</v>
      </c>
      <c r="AN234" s="24" t="str" cm="1">
        <f t="array" ref="AN234">IFERROR(INDEX(Transactions[[Transaction code]:[Transaction name]],_xlfn.XMATCH(INDEX(Transactions[[Transaction name]:[Parent code]],_xlfn.XMATCH(Transactions[[#This Row],[L3N]],Transactions[Transaction name],0),3),Transactions[Transaction code],0),2),Transactions[[#This Row],[L3N]])</f>
        <v>Transfers and recycled products</v>
      </c>
      <c r="AO234" s="24" t="str" cm="1">
        <f t="array" ref="AO234">IFERROR(INDEX(Transactions[[Transaction code]:[Transaction name]],_xlfn.XMATCH(INDEX(Transactions[[Transaction name]:[Parent code]],_xlfn.XMATCH(Transactions[[#This Row],[L4N]],Transactions[Transaction name],0),3),Transactions[Transaction code],0),2),Transactions[[#This Row],[L4N]])</f>
        <v>Transfers and recycled products</v>
      </c>
      <c r="AP234" s="24" t="str" cm="1">
        <f t="array" ref="AP234">IFERROR(INDEX(Transactions[[Transaction code]:[Transaction name]],_xlfn.XMATCH(INDEX(Transactions[[Transaction name]:[Parent code]],_xlfn.XMATCH(Transactions[[#This Row],[L5N]],Transactions[Transaction name],0),3),Transactions[Transaction code],0),2),Transactions[[#This Row],[L5N]])</f>
        <v>Transfers and recycled products</v>
      </c>
      <c r="AQ234" s="24" t="str" cm="1">
        <f t="array" ref="AQ234">IFERROR(INDEX(Transactions[[Transaction code]:[Transaction name]],_xlfn.XMATCH(INDEX(Transactions[[Transaction name]:[Parent code]],_xlfn.XMATCH(Transactions[[#This Row],[L6N]],Transactions[Transaction name],0),3),Transactions[Transaction code],0),2),Transactions[[#This Row],[L6N]])</f>
        <v>Transfers and recycled products</v>
      </c>
      <c r="AR234" s="28" t="str">
        <f>IF(Transactions[[#This Row],[L7N]]=Transactions[[#This Row],[L6N]],Transactions[[#This Row],[L7N]],IF(Transactions[[#This Row],[L6N]]=Transactions[[#This Row],[L5N]],Transactions[[#This Row],[L6N]],IF(Transactions[[#This Row],[L5N]]=Transactions[[#This Row],[L4N]],Transactions[[#This Row],[L5N]],IF(Transactions[[#This Row],[L4N]]=Transactions[[#This Row],[L3N]],Transactions[[#This Row],[L4N]],IF(Transactions[[#This Row],[L3N]]=Transactions[[#This Row],[L2N]],Transactions[[#This Row],[L3N]],IF(Transactions[[#This Row],[L2N]]=Transactions[[#This Row],[L1N]],Transactions[[#This Row],[L2N]],IF(Transactions[[#This Row],[L1N]]=Transactions[[#This Row],[Transaction name]],Transactions[[#This Row],[L1N]],Transactions[[#This Row],[Transaction name]])))))))</f>
        <v>Transfers and recycled products</v>
      </c>
      <c r="AS234" s="24" t="str">
        <f>IF(Transactions[[#This Row],[Level 0]]=Transactions[[#This Row],[Transaction name]],Transactions[[#This Row],[Transaction name]],IF(Transactions[[#This Row],[Level 0]]=Transactions[[#This Row],[L1N]],Transactions[[#This Row],[Transaction name]],IF(Transactions[[#This Row],[Level 0]]=Transactions[[#This Row],[L2N]],Transactions[[#This Row],[L1N]],IF(Transactions[[#This Row],[Level 0]]=Transactions[[#This Row],[L3N]],Transactions[[#This Row],[L2N]],IF(Transactions[[#This Row],[Level 0]]=Transactions[[#This Row],[L4N]],Transactions[[#This Row],[L3N]],IF(Transactions[[#This Row],[Level 0]]=Transactions[[#This Row],[L5N]],Transactions[[#This Row],[L4N]],IF(Transactions[[#This Row],[Level 0]]=Transactions[[#This Row],[L6N]],Transactions[[#This Row],[L5N]],IF(Transactions[[#This Row],[Level 0]]=Transactions[[#This Row],[L7N]],Transactions[[#This Row],[L6N]],Transactions[[#This Row],[L7N]]))))))))</f>
        <v>Transfers and recycled products</v>
      </c>
      <c r="AT234" s="24" t="str">
        <f>IF(Transactions[[#This Row],[Level 1]]=Transactions[[#This Row],[Transaction name]],Transactions[[#This Row],[Transaction name]],IF(Transactions[[#This Row],[Level 1]]=Transactions[[#This Row],[L1N]],Transactions[[#This Row],[Transaction name]],IF(Transactions[[#This Row],[Level 1]]=Transactions[[#This Row],[L2N]],Transactions[[#This Row],[L1N]],IF(Transactions[[#This Row],[Level 1]]=Transactions[[#This Row],[L3N]],Transactions[[#This Row],[L2N]],IF(Transactions[[#This Row],[Level 1]]=Transactions[[#This Row],[L4N]],Transactions[[#This Row],[L3N]],IF(Transactions[[#This Row],[Level 1]]=Transactions[[#This Row],[L5N]],Transactions[[#This Row],[L4N]],IF(Transactions[[#This Row],[Level 1]]=Transactions[[#This Row],[L6N]],Transactions[[#This Row],[L5N]],IF(Transactions[[#This Row],[Level 1]]=Transactions[[#This Row],[L7N]],Transactions[[#This Row],[L6N]],Transactions[[#This Row],[L7N]]))))))))</f>
        <v>Transfers and recycled products</v>
      </c>
      <c r="AU234" s="24" t="str">
        <f>IF(Transactions[[#This Row],[Level 2]]=Transactions[[#This Row],[Transaction name]],Transactions[[#This Row],[Transaction name]],IF(Transactions[[#This Row],[Level 2]]=Transactions[[#This Row],[L1N]],Transactions[[#This Row],[Transaction name]],IF(Transactions[[#This Row],[Level 2]]=Transactions[[#This Row],[L2N]],Transactions[[#This Row],[L1N]],IF(Transactions[[#This Row],[Level 2]]=Transactions[[#This Row],[L3N]],Transactions[[#This Row],[L2N]],IF(Transactions[[#This Row],[Level 2]]=Transactions[[#This Row],[L4N]],Transactions[[#This Row],[L3N]],IF(Transactions[[#This Row],[Level 2]]=Transactions[[#This Row],[L5N]],Transactions[[#This Row],[L4N]],IF(Transactions[[#This Row],[Level 2]]=Transactions[[#This Row],[L6N]],Transactions[[#This Row],[L5N]],IF(Transactions[[#This Row],[Level 2]]=Transactions[[#This Row],[L7N]],Transactions[[#This Row],[L6N]],Transactions[[#This Row],[L7N]]))))))))</f>
        <v>Transfers and recycled products</v>
      </c>
      <c r="AV234" s="24" t="str">
        <f>IF(Transactions[[#This Row],[Level 3]]=Transactions[[#This Row],[Transaction name]],Transactions[[#This Row],[Transaction name]],IF(Transactions[[#This Row],[Level 3]]=Transactions[[#This Row],[L1N]],Transactions[[#This Row],[Transaction name]],IF(Transactions[[#This Row],[Level 3]]=Transactions[[#This Row],[L2N]],Transactions[[#This Row],[L1N]],IF(Transactions[[#This Row],[Level 3]]=Transactions[[#This Row],[L3N]],Transactions[[#This Row],[L2N]],IF(Transactions[[#This Row],[Level 3]]=Transactions[[#This Row],[L4N]],Transactions[[#This Row],[L3N]],IF(Transactions[[#This Row],[Level 3]]=Transactions[[#This Row],[L5N]],Transactions[[#This Row],[L4N]],IF(Transactions[[#This Row],[Level 3]]=Transactions[[#This Row],[L6N]],Transactions[[#This Row],[L5N]],IF(Transactions[[#This Row],[Level 3]]=Transactions[[#This Row],[L7N]],Transactions[[#This Row],[L6N]],Transactions[[#This Row],[L7N]]))))))))</f>
        <v>Transfers and recycled products</v>
      </c>
      <c r="AW234" s="24" t="str">
        <f>IF(Transactions[[#This Row],[Level 4]]=Transactions[[#This Row],[Transaction name]],Transactions[[#This Row],[Transaction name]],IF(Transactions[[#This Row],[Level 4]]=Transactions[[#This Row],[L1N]],Transactions[[#This Row],[Transaction name]],IF(Transactions[[#This Row],[Level 4]]=Transactions[[#This Row],[L2N]],Transactions[[#This Row],[L1N]],IF(Transactions[[#This Row],[Level 4]]=Transactions[[#This Row],[L3N]],Transactions[[#This Row],[L2N]],IF(Transactions[[#This Row],[Level 4]]=Transactions[[#This Row],[L4N]],Transactions[[#This Row],[L3N]],IF(Transactions[[#This Row],[Level 4]]=Transactions[[#This Row],[L5N]],Transactions[[#This Row],[L4N]],IF(Transactions[[#This Row],[Level 4]]=Transactions[[#This Row],[L6N]],Transactions[[#This Row],[L5N]],IF(Transactions[[#This Row],[Level 4]]=Transactions[[#This Row],[L7N]],Transactions[[#This Row],[L6N]],Transactions[[#This Row],[L7N]]))))))))</f>
        <v>Transfers and recycled products</v>
      </c>
      <c r="AX234" s="24" t="str">
        <f>IF(Transactions[[#This Row],[Level 5]]=Transactions[[#This Row],[Transaction name]],Transactions[[#This Row],[Transaction name]],IF(Transactions[[#This Row],[Level 5]]=Transactions[[#This Row],[L1N]],Transactions[[#This Row],[Transaction name]],IF(Transactions[[#This Row],[Level 5]]=Transactions[[#This Row],[L2N]],Transactions[[#This Row],[L1N]],IF(Transactions[[#This Row],[Level 5]]=Transactions[[#This Row],[L3N]],Transactions[[#This Row],[L2N]],IF(Transactions[[#This Row],[Level 5]]=Transactions[[#This Row],[L4N]],Transactions[[#This Row],[L3N]],IF(Transactions[[#This Row],[Level 5]]=Transactions[[#This Row],[L5N]],Transactions[[#This Row],[L4N]],IF(Transactions[[#This Row],[Level 5]]=Transactions[[#This Row],[L6N]],Transactions[[#This Row],[L5N]],IF(Transactions[[#This Row],[Level 5]]=Transactions[[#This Row],[L7N]],Transactions[[#This Row],[L6N]],Transactions[[#This Row],[L7N]]))))))))</f>
        <v>Transfers and recycled products</v>
      </c>
      <c r="AY234" s="24" t="str">
        <f>IF(Transactions[[#This Row],[Level 6]]=Transactions[[#This Row],[Transaction name]],Transactions[[#This Row],[Transaction name]],IF(Transactions[[#This Row],[Level 6]]=Transactions[[#This Row],[L1N]],Transactions[[#This Row],[Transaction name]],IF(Transactions[[#This Row],[Level 6]]=Transactions[[#This Row],[L2N]],Transactions[[#This Row],[L1N]],IF(Transactions[[#This Row],[Level 6]]=Transactions[[#This Row],[L3N]],Transactions[[#This Row],[L2N]],IF(Transactions[[#This Row],[Level 6]]=Transactions[[#This Row],[L4N]],Transactions[[#This Row],[L3N]],IF(Transactions[[#This Row],[Level 6]]=Transactions[[#This Row],[L5N]],Transactions[[#This Row],[L4N]],IF(Transactions[[#This Row],[Level 6]]=Transactions[[#This Row],[L6N]],Transactions[[#This Row],[L5N]],IF(Transactions[[#This Row],[Level 6]]=Transactions[[#This Row],[L7N]],Transactions[[#This Row],[L6N]],Transactions[[#This Row],[L7N]]))))))))</f>
        <v>Transfers and recycled products</v>
      </c>
      <c r="BE234" s="26" t="str">
        <f>_xlfn.XLOOKUP(Transformation[[#This Row],[cfrom]],Commodities[Commodity],Commodities[Commodity code])</f>
        <v>0311</v>
      </c>
      <c r="BF234" s="26" t="str">
        <f>_xlfn.XLOOKUP(Transformation[[#This Row],[tfrom]],Transactions[Transaction name],Transactions[Transaction code])</f>
        <v>08832</v>
      </c>
      <c r="BG234" s="26" t="str">
        <f>_xlfn.XLOOKUP(Transformation[[#This Row],[cto]],Commodities[Commodity],Commodities[Commodity code])</f>
        <v>0311</v>
      </c>
      <c r="BH234" s="26" t="str">
        <f>_xlfn.XLOOKUP(Transformation[[#This Row],[tto]],Transactions[Transaction name],Transactions[Transaction code])</f>
        <v>016CSH</v>
      </c>
      <c r="BI234" s="11">
        <v>1</v>
      </c>
      <c r="BJ234" s="4" t="s">
        <v>500</v>
      </c>
      <c r="BK234" s="24" t="str">
        <f>_xlfn.XLOOKUP(Transformation[[#This Row],[Commodity from]],Commodities[Commodity code],Commodities[EnergyCode])</f>
        <v>OK</v>
      </c>
      <c r="BL234" s="4" t="s">
        <v>694</v>
      </c>
      <c r="BM234" s="4" t="s">
        <v>500</v>
      </c>
      <c r="BN234" s="24" t="str">
        <f>_xlfn.XLOOKUP(Transformation[[#This Row],[Commodity to]],Commodities[Commodity code],Commodities[EnergyCode])</f>
        <v>OK</v>
      </c>
      <c r="BO234" s="4" t="s">
        <v>1215</v>
      </c>
      <c r="BP234" s="16" t="s">
        <v>1493</v>
      </c>
      <c r="BQ234" s="33" t="str">
        <f>Transformation[[#This Row],[Commodity from]]&amp;Transformation[[#This Row],[Transaction from]]&amp;Transformation[[#This Row],[Commodity to]]&amp;Transformation[[#This Row],[Transaction to]]</f>
        <v>0311088320311016CSH</v>
      </c>
      <c r="BR234" s="26" t="str">
        <f>Transformation[[#This Row],[crfomid]]&amp;Transformation[[#This Row],[Transaction from]]&amp;"("&amp;Transformation[[#This Row],[Multiplier]]&amp;") -&gt; "&amp;Transformation[[#This Row],[ctoid]]&amp;Transformation[[#This Row],[Transaction to]]</f>
        <v>OK08832(1) -&gt; OK016CSH</v>
      </c>
    </row>
    <row r="235" spans="25:70" x14ac:dyDescent="0.45">
      <c r="Y235" s="5" t="s">
        <v>185</v>
      </c>
      <c r="Z235" s="4" t="s">
        <v>722</v>
      </c>
      <c r="AA235" s="4" t="s">
        <v>722</v>
      </c>
      <c r="AB235" s="6" t="s">
        <v>164</v>
      </c>
      <c r="AC235" s="24" t="str">
        <f>IFERROR(VLOOKUP(Transactions[[#This Row],[Parent code]],Transactions[[Transaction code]:[Transaction name]],2,0),"")</f>
        <v>Transformation</v>
      </c>
      <c r="AD235" s="4" t="s">
        <v>189</v>
      </c>
      <c r="AE235" s="4" t="s">
        <v>833</v>
      </c>
      <c r="AF235" s="4" t="s">
        <v>642</v>
      </c>
      <c r="AG235" s="4" t="s">
        <v>1</v>
      </c>
      <c r="AH235" s="4" t="s">
        <v>695</v>
      </c>
      <c r="AK235" s="24" t="str" cm="1">
        <f t="array" ref="AK235">IFERROR(INDEX(Transactions[[Transaction code]:[Transaction name]],_xlfn.XMATCH(Transactions[[#This Row],[Parent code]],Transactions[Transaction name],0),3),Transactions[[#This Row],[Transaction name]])</f>
        <v>Blast furnaces (T)</v>
      </c>
      <c r="AL235" s="24" t="str" cm="1">
        <f t="array" ref="AL235">IFERROR(INDEX(Transactions[[Transaction code]:[Transaction name]],_xlfn.XMATCH(INDEX(Transactions[[Transaction name]:[Parent code]],_xlfn.XMATCH(Transactions[[#This Row],[L1N]],Transactions[Transaction name],0),3),Transactions[Transaction code],0),2),Transactions[[#This Row],[L1N]])</f>
        <v>Transformation</v>
      </c>
      <c r="AM235" s="24" t="str" cm="1">
        <f t="array" ref="AM235">IFERROR(INDEX(Transactions[[Transaction code]:[Transaction name]],_xlfn.XMATCH(INDEX(Transactions[[Transaction name]:[Parent code]],_xlfn.XMATCH(Transactions[[#This Row],[L2N]],Transactions[Transaction name],0),3),Transactions[Transaction code],0),2),Transactions[[#This Row],[L2N]])</f>
        <v>Transformation</v>
      </c>
      <c r="AN235" s="24" t="str" cm="1">
        <f t="array" ref="AN235">IFERROR(INDEX(Transactions[[Transaction code]:[Transaction name]],_xlfn.XMATCH(INDEX(Transactions[[Transaction name]:[Parent code]],_xlfn.XMATCH(Transactions[[#This Row],[L3N]],Transactions[Transaction name],0),3),Transactions[Transaction code],0),2),Transactions[[#This Row],[L3N]])</f>
        <v>Transformation</v>
      </c>
      <c r="AO235" s="24" t="str" cm="1">
        <f t="array" ref="AO235">IFERROR(INDEX(Transactions[[Transaction code]:[Transaction name]],_xlfn.XMATCH(INDEX(Transactions[[Transaction name]:[Parent code]],_xlfn.XMATCH(Transactions[[#This Row],[L4N]],Transactions[Transaction name],0),3),Transactions[Transaction code],0),2),Transactions[[#This Row],[L4N]])</f>
        <v>Transformation</v>
      </c>
      <c r="AP235" s="24" t="str" cm="1">
        <f t="array" ref="AP235">IFERROR(INDEX(Transactions[[Transaction code]:[Transaction name]],_xlfn.XMATCH(INDEX(Transactions[[Transaction name]:[Parent code]],_xlfn.XMATCH(Transactions[[#This Row],[L5N]],Transactions[Transaction name],0),3),Transactions[Transaction code],0),2),Transactions[[#This Row],[L5N]])</f>
        <v>Transformation</v>
      </c>
      <c r="AQ235" s="24" t="str" cm="1">
        <f t="array" ref="AQ235">IFERROR(INDEX(Transactions[[Transaction code]:[Transaction name]],_xlfn.XMATCH(INDEX(Transactions[[Transaction name]:[Parent code]],_xlfn.XMATCH(Transactions[[#This Row],[L6N]],Transactions[Transaction name],0),3),Transactions[Transaction code],0),2),Transactions[[#This Row],[L6N]])</f>
        <v>Transformation</v>
      </c>
      <c r="AR235" s="28" t="str">
        <f>IF(Transactions[[#This Row],[L7N]]=Transactions[[#This Row],[L6N]],Transactions[[#This Row],[L7N]],IF(Transactions[[#This Row],[L6N]]=Transactions[[#This Row],[L5N]],Transactions[[#This Row],[L6N]],IF(Transactions[[#This Row],[L5N]]=Transactions[[#This Row],[L4N]],Transactions[[#This Row],[L5N]],IF(Transactions[[#This Row],[L4N]]=Transactions[[#This Row],[L3N]],Transactions[[#This Row],[L4N]],IF(Transactions[[#This Row],[L3N]]=Transactions[[#This Row],[L2N]],Transactions[[#This Row],[L3N]],IF(Transactions[[#This Row],[L2N]]=Transactions[[#This Row],[L1N]],Transactions[[#This Row],[L2N]],IF(Transactions[[#This Row],[L1N]]=Transactions[[#This Row],[Transaction name]],Transactions[[#This Row],[L1N]],Transactions[[#This Row],[Transaction name]])))))))</f>
        <v>Transformation</v>
      </c>
      <c r="AS235" s="24" t="str">
        <f>IF(Transactions[[#This Row],[Level 0]]=Transactions[[#This Row],[Transaction name]],Transactions[[#This Row],[Transaction name]],IF(Transactions[[#This Row],[Level 0]]=Transactions[[#This Row],[L1N]],Transactions[[#This Row],[Transaction name]],IF(Transactions[[#This Row],[Level 0]]=Transactions[[#This Row],[L2N]],Transactions[[#This Row],[L1N]],IF(Transactions[[#This Row],[Level 0]]=Transactions[[#This Row],[L3N]],Transactions[[#This Row],[L2N]],IF(Transactions[[#This Row],[Level 0]]=Transactions[[#This Row],[L4N]],Transactions[[#This Row],[L3N]],IF(Transactions[[#This Row],[Level 0]]=Transactions[[#This Row],[L5N]],Transactions[[#This Row],[L4N]],IF(Transactions[[#This Row],[Level 0]]=Transactions[[#This Row],[L6N]],Transactions[[#This Row],[L5N]],IF(Transactions[[#This Row],[Level 0]]=Transactions[[#This Row],[L7N]],Transactions[[#This Row],[L6N]],Transactions[[#This Row],[L7N]]))))))))</f>
        <v>Blast furnaces (T)</v>
      </c>
      <c r="AT235" s="24" t="str">
        <f>IF(Transactions[[#This Row],[Level 1]]=Transactions[[#This Row],[Transaction name]],Transactions[[#This Row],[Transaction name]],IF(Transactions[[#This Row],[Level 1]]=Transactions[[#This Row],[L1N]],Transactions[[#This Row],[Transaction name]],IF(Transactions[[#This Row],[Level 1]]=Transactions[[#This Row],[L2N]],Transactions[[#This Row],[L1N]],IF(Transactions[[#This Row],[Level 1]]=Transactions[[#This Row],[L3N]],Transactions[[#This Row],[L2N]],IF(Transactions[[#This Row],[Level 1]]=Transactions[[#This Row],[L4N]],Transactions[[#This Row],[L3N]],IF(Transactions[[#This Row],[Level 1]]=Transactions[[#This Row],[L5N]],Transactions[[#This Row],[L4N]],IF(Transactions[[#This Row],[Level 1]]=Transactions[[#This Row],[L6N]],Transactions[[#This Row],[L5N]],IF(Transactions[[#This Row],[Level 1]]=Transactions[[#This Row],[L7N]],Transactions[[#This Row],[L6N]],Transactions[[#This Row],[L7N]]))))))))</f>
        <v>Blast furnaces (T)</v>
      </c>
      <c r="AU235" s="24" t="str">
        <f>IF(Transactions[[#This Row],[Level 2]]=Transactions[[#This Row],[Transaction name]],Transactions[[#This Row],[Transaction name]],IF(Transactions[[#This Row],[Level 2]]=Transactions[[#This Row],[L1N]],Transactions[[#This Row],[Transaction name]],IF(Transactions[[#This Row],[Level 2]]=Transactions[[#This Row],[L2N]],Transactions[[#This Row],[L1N]],IF(Transactions[[#This Row],[Level 2]]=Transactions[[#This Row],[L3N]],Transactions[[#This Row],[L2N]],IF(Transactions[[#This Row],[Level 2]]=Transactions[[#This Row],[L4N]],Transactions[[#This Row],[L3N]],IF(Transactions[[#This Row],[Level 2]]=Transactions[[#This Row],[L5N]],Transactions[[#This Row],[L4N]],IF(Transactions[[#This Row],[Level 2]]=Transactions[[#This Row],[L6N]],Transactions[[#This Row],[L5N]],IF(Transactions[[#This Row],[Level 2]]=Transactions[[#This Row],[L7N]],Transactions[[#This Row],[L6N]],Transactions[[#This Row],[L7N]]))))))))</f>
        <v>Blast furnaces (T)</v>
      </c>
      <c r="AV235" s="24" t="str">
        <f>IF(Transactions[[#This Row],[Level 3]]=Transactions[[#This Row],[Transaction name]],Transactions[[#This Row],[Transaction name]],IF(Transactions[[#This Row],[Level 3]]=Transactions[[#This Row],[L1N]],Transactions[[#This Row],[Transaction name]],IF(Transactions[[#This Row],[Level 3]]=Transactions[[#This Row],[L2N]],Transactions[[#This Row],[L1N]],IF(Transactions[[#This Row],[Level 3]]=Transactions[[#This Row],[L3N]],Transactions[[#This Row],[L2N]],IF(Transactions[[#This Row],[Level 3]]=Transactions[[#This Row],[L4N]],Transactions[[#This Row],[L3N]],IF(Transactions[[#This Row],[Level 3]]=Transactions[[#This Row],[L5N]],Transactions[[#This Row],[L4N]],IF(Transactions[[#This Row],[Level 3]]=Transactions[[#This Row],[L6N]],Transactions[[#This Row],[L5N]],IF(Transactions[[#This Row],[Level 3]]=Transactions[[#This Row],[L7N]],Transactions[[#This Row],[L6N]],Transactions[[#This Row],[L7N]]))))))))</f>
        <v>Blast furnaces (T)</v>
      </c>
      <c r="AW235" s="24" t="str">
        <f>IF(Transactions[[#This Row],[Level 4]]=Transactions[[#This Row],[Transaction name]],Transactions[[#This Row],[Transaction name]],IF(Transactions[[#This Row],[Level 4]]=Transactions[[#This Row],[L1N]],Transactions[[#This Row],[Transaction name]],IF(Transactions[[#This Row],[Level 4]]=Transactions[[#This Row],[L2N]],Transactions[[#This Row],[L1N]],IF(Transactions[[#This Row],[Level 4]]=Transactions[[#This Row],[L3N]],Transactions[[#This Row],[L2N]],IF(Transactions[[#This Row],[Level 4]]=Transactions[[#This Row],[L4N]],Transactions[[#This Row],[L3N]],IF(Transactions[[#This Row],[Level 4]]=Transactions[[#This Row],[L5N]],Transactions[[#This Row],[L4N]],IF(Transactions[[#This Row],[Level 4]]=Transactions[[#This Row],[L6N]],Transactions[[#This Row],[L5N]],IF(Transactions[[#This Row],[Level 4]]=Transactions[[#This Row],[L7N]],Transactions[[#This Row],[L6N]],Transactions[[#This Row],[L7N]]))))))))</f>
        <v>Blast furnaces (T)</v>
      </c>
      <c r="AX235" s="24" t="str">
        <f>IF(Transactions[[#This Row],[Level 5]]=Transactions[[#This Row],[Transaction name]],Transactions[[#This Row],[Transaction name]],IF(Transactions[[#This Row],[Level 5]]=Transactions[[#This Row],[L1N]],Transactions[[#This Row],[Transaction name]],IF(Transactions[[#This Row],[Level 5]]=Transactions[[#This Row],[L2N]],Transactions[[#This Row],[L1N]],IF(Transactions[[#This Row],[Level 5]]=Transactions[[#This Row],[L3N]],Transactions[[#This Row],[L2N]],IF(Transactions[[#This Row],[Level 5]]=Transactions[[#This Row],[L4N]],Transactions[[#This Row],[L3N]],IF(Transactions[[#This Row],[Level 5]]=Transactions[[#This Row],[L5N]],Transactions[[#This Row],[L4N]],IF(Transactions[[#This Row],[Level 5]]=Transactions[[#This Row],[L6N]],Transactions[[#This Row],[L5N]],IF(Transactions[[#This Row],[Level 5]]=Transactions[[#This Row],[L7N]],Transactions[[#This Row],[L6N]],Transactions[[#This Row],[L7N]]))))))))</f>
        <v>Blast furnaces (T)</v>
      </c>
      <c r="AY235" s="24" t="str">
        <f>IF(Transactions[[#This Row],[Level 6]]=Transactions[[#This Row],[Transaction name]],Transactions[[#This Row],[Transaction name]],IF(Transactions[[#This Row],[Level 6]]=Transactions[[#This Row],[L1N]],Transactions[[#This Row],[Transaction name]],IF(Transactions[[#This Row],[Level 6]]=Transactions[[#This Row],[L2N]],Transactions[[#This Row],[L1N]],IF(Transactions[[#This Row],[Level 6]]=Transactions[[#This Row],[L3N]],Transactions[[#This Row],[L2N]],IF(Transactions[[#This Row],[Level 6]]=Transactions[[#This Row],[L4N]],Transactions[[#This Row],[L3N]],IF(Transactions[[#This Row],[Level 6]]=Transactions[[#This Row],[L5N]],Transactions[[#This Row],[L4N]],IF(Transactions[[#This Row],[Level 6]]=Transactions[[#This Row],[L6N]],Transactions[[#This Row],[L5N]],IF(Transactions[[#This Row],[Level 6]]=Transactions[[#This Row],[L7N]],Transactions[[#This Row],[L6N]],Transactions[[#This Row],[L7N]]))))))))</f>
        <v>Blast furnaces (T)</v>
      </c>
      <c r="BE235" s="26" t="str">
        <f>_xlfn.XLOOKUP(Transformation[[#This Row],[cfrom]],Commodities[Commodity],Commodities[Commodity code])</f>
        <v>5290</v>
      </c>
      <c r="BF235" s="26" t="str">
        <f>_xlfn.XLOOKUP(Transformation[[#This Row],[tfrom]],Transactions[Transaction name],Transactions[Transaction code])</f>
        <v>08832</v>
      </c>
      <c r="BG235" s="26" t="str">
        <f>_xlfn.XLOOKUP(Transformation[[#This Row],[cto]],Commodities[Commodity],Commodities[Commodity code])</f>
        <v>5290</v>
      </c>
      <c r="BH235" s="26" t="str">
        <f>_xlfn.XLOOKUP(Transformation[[#This Row],[tto]],Transactions[Transaction name],Transactions[Transaction code])</f>
        <v>016BLH</v>
      </c>
      <c r="BI235" s="11">
        <v>1</v>
      </c>
      <c r="BJ235" s="4" t="s">
        <v>301</v>
      </c>
      <c r="BK235" s="24" t="str">
        <f>_xlfn.XLOOKUP(Transformation[[#This Row],[Commodity from]],Commodities[Commodity code],Commodities[EnergyCode])</f>
        <v>OL</v>
      </c>
      <c r="BL235" s="4" t="s">
        <v>694</v>
      </c>
      <c r="BM235" s="4" t="s">
        <v>301</v>
      </c>
      <c r="BN235" s="24" t="str">
        <f>_xlfn.XLOOKUP(Transformation[[#This Row],[Commodity to]],Commodities[Commodity code],Commodities[EnergyCode])</f>
        <v>OL</v>
      </c>
      <c r="BO235" s="4" t="s">
        <v>1080</v>
      </c>
      <c r="BP235" s="16" t="s">
        <v>1493</v>
      </c>
      <c r="BQ235" s="33" t="str">
        <f>Transformation[[#This Row],[Commodity from]]&amp;Transformation[[#This Row],[Transaction from]]&amp;Transformation[[#This Row],[Commodity to]]&amp;Transformation[[#This Row],[Transaction to]]</f>
        <v>5290088325290016BLH</v>
      </c>
      <c r="BR235" s="26" t="str">
        <f>Transformation[[#This Row],[crfomid]]&amp;Transformation[[#This Row],[Transaction from]]&amp;"("&amp;Transformation[[#This Row],[Multiplier]]&amp;") -&gt; "&amp;Transformation[[#This Row],[ctoid]]&amp;Transformation[[#This Row],[Transaction to]]</f>
        <v>OL08832(1) -&gt; OL016BLH</v>
      </c>
    </row>
    <row r="236" spans="25:70" x14ac:dyDescent="0.45">
      <c r="Y236" s="5" t="s">
        <v>186</v>
      </c>
      <c r="Z236" s="4" t="s">
        <v>719</v>
      </c>
      <c r="AA236" s="4" t="s">
        <v>719</v>
      </c>
      <c r="AB236" s="6" t="s">
        <v>164</v>
      </c>
      <c r="AC236" s="24" t="str">
        <f>IFERROR(VLOOKUP(Transactions[[#This Row],[Parent code]],Transactions[[Transaction code]:[Transaction name]],2,0),"")</f>
        <v>Transformation</v>
      </c>
      <c r="AD236" s="4" t="s">
        <v>189</v>
      </c>
      <c r="AE236" s="4" t="s">
        <v>927</v>
      </c>
      <c r="AF236" s="4" t="s">
        <v>642</v>
      </c>
      <c r="AG236" s="4" t="s">
        <v>1</v>
      </c>
      <c r="AH236" s="4" t="s">
        <v>695</v>
      </c>
      <c r="AK236" s="24" t="str" cm="1">
        <f t="array" ref="AK236">IFERROR(INDEX(Transactions[[Transaction code]:[Transaction name]],_xlfn.XMATCH(Transactions[[#This Row],[Parent code]],Transactions[Transaction name],0),3),Transactions[[#This Row],[Transaction name]])</f>
        <v>Briquetting plants (T)</v>
      </c>
      <c r="AL236" s="24" t="str" cm="1">
        <f t="array" ref="AL236">IFERROR(INDEX(Transactions[[Transaction code]:[Transaction name]],_xlfn.XMATCH(INDEX(Transactions[[Transaction name]:[Parent code]],_xlfn.XMATCH(Transactions[[#This Row],[L1N]],Transactions[Transaction name],0),3),Transactions[Transaction code],0),2),Transactions[[#This Row],[L1N]])</f>
        <v>Transformation</v>
      </c>
      <c r="AM236" s="24" t="str" cm="1">
        <f t="array" ref="AM236">IFERROR(INDEX(Transactions[[Transaction code]:[Transaction name]],_xlfn.XMATCH(INDEX(Transactions[[Transaction name]:[Parent code]],_xlfn.XMATCH(Transactions[[#This Row],[L2N]],Transactions[Transaction name],0),3),Transactions[Transaction code],0),2),Transactions[[#This Row],[L2N]])</f>
        <v>Transformation</v>
      </c>
      <c r="AN236" s="24" t="str" cm="1">
        <f t="array" ref="AN236">IFERROR(INDEX(Transactions[[Transaction code]:[Transaction name]],_xlfn.XMATCH(INDEX(Transactions[[Transaction name]:[Parent code]],_xlfn.XMATCH(Transactions[[#This Row],[L3N]],Transactions[Transaction name],0),3),Transactions[Transaction code],0),2),Transactions[[#This Row],[L3N]])</f>
        <v>Transformation</v>
      </c>
      <c r="AO236" s="24" t="str" cm="1">
        <f t="array" ref="AO236">IFERROR(INDEX(Transactions[[Transaction code]:[Transaction name]],_xlfn.XMATCH(INDEX(Transactions[[Transaction name]:[Parent code]],_xlfn.XMATCH(Transactions[[#This Row],[L4N]],Transactions[Transaction name],0),3),Transactions[Transaction code],0),2),Transactions[[#This Row],[L4N]])</f>
        <v>Transformation</v>
      </c>
      <c r="AP236" s="24" t="str" cm="1">
        <f t="array" ref="AP236">IFERROR(INDEX(Transactions[[Transaction code]:[Transaction name]],_xlfn.XMATCH(INDEX(Transactions[[Transaction name]:[Parent code]],_xlfn.XMATCH(Transactions[[#This Row],[L5N]],Transactions[Transaction name],0),3),Transactions[Transaction code],0),2),Transactions[[#This Row],[L5N]])</f>
        <v>Transformation</v>
      </c>
      <c r="AQ236" s="24" t="str" cm="1">
        <f t="array" ref="AQ236">IFERROR(INDEX(Transactions[[Transaction code]:[Transaction name]],_xlfn.XMATCH(INDEX(Transactions[[Transaction name]:[Parent code]],_xlfn.XMATCH(Transactions[[#This Row],[L6N]],Transactions[Transaction name],0),3),Transactions[Transaction code],0),2),Transactions[[#This Row],[L6N]])</f>
        <v>Transformation</v>
      </c>
      <c r="AR236" s="28" t="str">
        <f>IF(Transactions[[#This Row],[L7N]]=Transactions[[#This Row],[L6N]],Transactions[[#This Row],[L7N]],IF(Transactions[[#This Row],[L6N]]=Transactions[[#This Row],[L5N]],Transactions[[#This Row],[L6N]],IF(Transactions[[#This Row],[L5N]]=Transactions[[#This Row],[L4N]],Transactions[[#This Row],[L5N]],IF(Transactions[[#This Row],[L4N]]=Transactions[[#This Row],[L3N]],Transactions[[#This Row],[L4N]],IF(Transactions[[#This Row],[L3N]]=Transactions[[#This Row],[L2N]],Transactions[[#This Row],[L3N]],IF(Transactions[[#This Row],[L2N]]=Transactions[[#This Row],[L1N]],Transactions[[#This Row],[L2N]],IF(Transactions[[#This Row],[L1N]]=Transactions[[#This Row],[Transaction name]],Transactions[[#This Row],[L1N]],Transactions[[#This Row],[Transaction name]])))))))</f>
        <v>Transformation</v>
      </c>
      <c r="AS236" s="24" t="str">
        <f>IF(Transactions[[#This Row],[Level 0]]=Transactions[[#This Row],[Transaction name]],Transactions[[#This Row],[Transaction name]],IF(Transactions[[#This Row],[Level 0]]=Transactions[[#This Row],[L1N]],Transactions[[#This Row],[Transaction name]],IF(Transactions[[#This Row],[Level 0]]=Transactions[[#This Row],[L2N]],Transactions[[#This Row],[L1N]],IF(Transactions[[#This Row],[Level 0]]=Transactions[[#This Row],[L3N]],Transactions[[#This Row],[L2N]],IF(Transactions[[#This Row],[Level 0]]=Transactions[[#This Row],[L4N]],Transactions[[#This Row],[L3N]],IF(Transactions[[#This Row],[Level 0]]=Transactions[[#This Row],[L5N]],Transactions[[#This Row],[L4N]],IF(Transactions[[#This Row],[Level 0]]=Transactions[[#This Row],[L6N]],Transactions[[#This Row],[L5N]],IF(Transactions[[#This Row],[Level 0]]=Transactions[[#This Row],[L7N]],Transactions[[#This Row],[L6N]],Transactions[[#This Row],[L7N]]))))))))</f>
        <v>Briquetting plants (T)</v>
      </c>
      <c r="AT236" s="24" t="str">
        <f>IF(Transactions[[#This Row],[Level 1]]=Transactions[[#This Row],[Transaction name]],Transactions[[#This Row],[Transaction name]],IF(Transactions[[#This Row],[Level 1]]=Transactions[[#This Row],[L1N]],Transactions[[#This Row],[Transaction name]],IF(Transactions[[#This Row],[Level 1]]=Transactions[[#This Row],[L2N]],Transactions[[#This Row],[L1N]],IF(Transactions[[#This Row],[Level 1]]=Transactions[[#This Row],[L3N]],Transactions[[#This Row],[L2N]],IF(Transactions[[#This Row],[Level 1]]=Transactions[[#This Row],[L4N]],Transactions[[#This Row],[L3N]],IF(Transactions[[#This Row],[Level 1]]=Transactions[[#This Row],[L5N]],Transactions[[#This Row],[L4N]],IF(Transactions[[#This Row],[Level 1]]=Transactions[[#This Row],[L6N]],Transactions[[#This Row],[L5N]],IF(Transactions[[#This Row],[Level 1]]=Transactions[[#This Row],[L7N]],Transactions[[#This Row],[L6N]],Transactions[[#This Row],[L7N]]))))))))</f>
        <v>Briquetting plants (T)</v>
      </c>
      <c r="AU236" s="24" t="str">
        <f>IF(Transactions[[#This Row],[Level 2]]=Transactions[[#This Row],[Transaction name]],Transactions[[#This Row],[Transaction name]],IF(Transactions[[#This Row],[Level 2]]=Transactions[[#This Row],[L1N]],Transactions[[#This Row],[Transaction name]],IF(Transactions[[#This Row],[Level 2]]=Transactions[[#This Row],[L2N]],Transactions[[#This Row],[L1N]],IF(Transactions[[#This Row],[Level 2]]=Transactions[[#This Row],[L3N]],Transactions[[#This Row],[L2N]],IF(Transactions[[#This Row],[Level 2]]=Transactions[[#This Row],[L4N]],Transactions[[#This Row],[L3N]],IF(Transactions[[#This Row],[Level 2]]=Transactions[[#This Row],[L5N]],Transactions[[#This Row],[L4N]],IF(Transactions[[#This Row],[Level 2]]=Transactions[[#This Row],[L6N]],Transactions[[#This Row],[L5N]],IF(Transactions[[#This Row],[Level 2]]=Transactions[[#This Row],[L7N]],Transactions[[#This Row],[L6N]],Transactions[[#This Row],[L7N]]))))))))</f>
        <v>Briquetting plants (T)</v>
      </c>
      <c r="AV236" s="24" t="str">
        <f>IF(Transactions[[#This Row],[Level 3]]=Transactions[[#This Row],[Transaction name]],Transactions[[#This Row],[Transaction name]],IF(Transactions[[#This Row],[Level 3]]=Transactions[[#This Row],[L1N]],Transactions[[#This Row],[Transaction name]],IF(Transactions[[#This Row],[Level 3]]=Transactions[[#This Row],[L2N]],Transactions[[#This Row],[L1N]],IF(Transactions[[#This Row],[Level 3]]=Transactions[[#This Row],[L3N]],Transactions[[#This Row],[L2N]],IF(Transactions[[#This Row],[Level 3]]=Transactions[[#This Row],[L4N]],Transactions[[#This Row],[L3N]],IF(Transactions[[#This Row],[Level 3]]=Transactions[[#This Row],[L5N]],Transactions[[#This Row],[L4N]],IF(Transactions[[#This Row],[Level 3]]=Transactions[[#This Row],[L6N]],Transactions[[#This Row],[L5N]],IF(Transactions[[#This Row],[Level 3]]=Transactions[[#This Row],[L7N]],Transactions[[#This Row],[L6N]],Transactions[[#This Row],[L7N]]))))))))</f>
        <v>Briquetting plants (T)</v>
      </c>
      <c r="AW236" s="24" t="str">
        <f>IF(Transactions[[#This Row],[Level 4]]=Transactions[[#This Row],[Transaction name]],Transactions[[#This Row],[Transaction name]],IF(Transactions[[#This Row],[Level 4]]=Transactions[[#This Row],[L1N]],Transactions[[#This Row],[Transaction name]],IF(Transactions[[#This Row],[Level 4]]=Transactions[[#This Row],[L2N]],Transactions[[#This Row],[L1N]],IF(Transactions[[#This Row],[Level 4]]=Transactions[[#This Row],[L3N]],Transactions[[#This Row],[L2N]],IF(Transactions[[#This Row],[Level 4]]=Transactions[[#This Row],[L4N]],Transactions[[#This Row],[L3N]],IF(Transactions[[#This Row],[Level 4]]=Transactions[[#This Row],[L5N]],Transactions[[#This Row],[L4N]],IF(Transactions[[#This Row],[Level 4]]=Transactions[[#This Row],[L6N]],Transactions[[#This Row],[L5N]],IF(Transactions[[#This Row],[Level 4]]=Transactions[[#This Row],[L7N]],Transactions[[#This Row],[L6N]],Transactions[[#This Row],[L7N]]))))))))</f>
        <v>Briquetting plants (T)</v>
      </c>
      <c r="AX236" s="24" t="str">
        <f>IF(Transactions[[#This Row],[Level 5]]=Transactions[[#This Row],[Transaction name]],Transactions[[#This Row],[Transaction name]],IF(Transactions[[#This Row],[Level 5]]=Transactions[[#This Row],[L1N]],Transactions[[#This Row],[Transaction name]],IF(Transactions[[#This Row],[Level 5]]=Transactions[[#This Row],[L2N]],Transactions[[#This Row],[L1N]],IF(Transactions[[#This Row],[Level 5]]=Transactions[[#This Row],[L3N]],Transactions[[#This Row],[L2N]],IF(Transactions[[#This Row],[Level 5]]=Transactions[[#This Row],[L4N]],Transactions[[#This Row],[L3N]],IF(Transactions[[#This Row],[Level 5]]=Transactions[[#This Row],[L5N]],Transactions[[#This Row],[L4N]],IF(Transactions[[#This Row],[Level 5]]=Transactions[[#This Row],[L6N]],Transactions[[#This Row],[L5N]],IF(Transactions[[#This Row],[Level 5]]=Transactions[[#This Row],[L7N]],Transactions[[#This Row],[L6N]],Transactions[[#This Row],[L7N]]))))))))</f>
        <v>Briquetting plants (T)</v>
      </c>
      <c r="AY236" s="24" t="str">
        <f>IF(Transactions[[#This Row],[Level 6]]=Transactions[[#This Row],[Transaction name]],Transactions[[#This Row],[Transaction name]],IF(Transactions[[#This Row],[Level 6]]=Transactions[[#This Row],[L1N]],Transactions[[#This Row],[Transaction name]],IF(Transactions[[#This Row],[Level 6]]=Transactions[[#This Row],[L2N]],Transactions[[#This Row],[L1N]],IF(Transactions[[#This Row],[Level 6]]=Transactions[[#This Row],[L3N]],Transactions[[#This Row],[L2N]],IF(Transactions[[#This Row],[Level 6]]=Transactions[[#This Row],[L4N]],Transactions[[#This Row],[L3N]],IF(Transactions[[#This Row],[Level 6]]=Transactions[[#This Row],[L5N]],Transactions[[#This Row],[L4N]],IF(Transactions[[#This Row],[Level 6]]=Transactions[[#This Row],[L6N]],Transactions[[#This Row],[L5N]],IF(Transactions[[#This Row],[Level 6]]=Transactions[[#This Row],[L7N]],Transactions[[#This Row],[L6N]],Transactions[[#This Row],[L7N]]))))))))</f>
        <v>Briquetting plants (T)</v>
      </c>
      <c r="BE236" s="26" t="str">
        <f>_xlfn.XLOOKUP(Transformation[[#This Row],[cfrom]],Commodities[Commodity],Commodities[Commodity code])</f>
        <v>2000</v>
      </c>
      <c r="BF236" s="26" t="str">
        <f>_xlfn.XLOOKUP(Transformation[[#This Row],[tfrom]],Transactions[Transaction name],Transactions[Transaction code])</f>
        <v>08832</v>
      </c>
      <c r="BG236" s="26" t="str">
        <f>_xlfn.XLOOKUP(Transformation[[#This Row],[cto]],Commodities[Commodity],Commodities[Commodity code])</f>
        <v>2000</v>
      </c>
      <c r="BH236" s="26" t="str">
        <f>_xlfn.XLOOKUP(Transformation[[#This Row],[tto]],Transactions[Transaction name],Transactions[Transaction code])</f>
        <v>016SHH</v>
      </c>
      <c r="BI236" s="11">
        <v>1</v>
      </c>
      <c r="BJ236" s="4" t="s">
        <v>450</v>
      </c>
      <c r="BK236" s="24" t="str">
        <f>_xlfn.XLOOKUP(Transformation[[#This Row],[Commodity from]],Commodities[Commodity code],Commodities[EnergyCode])</f>
        <v>OS</v>
      </c>
      <c r="BL236" s="4" t="s">
        <v>694</v>
      </c>
      <c r="BM236" s="4" t="s">
        <v>450</v>
      </c>
      <c r="BN236" s="24" t="str">
        <f>_xlfn.XLOOKUP(Transformation[[#This Row],[Commodity to]],Commodities[Commodity code],Commodities[EnergyCode])</f>
        <v>OS</v>
      </c>
      <c r="BO236" s="4" t="s">
        <v>1199</v>
      </c>
      <c r="BP236" s="16" t="s">
        <v>1493</v>
      </c>
      <c r="BQ236" s="33" t="str">
        <f>Transformation[[#This Row],[Commodity from]]&amp;Transformation[[#This Row],[Transaction from]]&amp;Transformation[[#This Row],[Commodity to]]&amp;Transformation[[#This Row],[Transaction to]]</f>
        <v>2000088322000016SHH</v>
      </c>
      <c r="BR236" s="26" t="str">
        <f>Transformation[[#This Row],[crfomid]]&amp;Transformation[[#This Row],[Transaction from]]&amp;"("&amp;Transformation[[#This Row],[Multiplier]]&amp;") -&gt; "&amp;Transformation[[#This Row],[ctoid]]&amp;Transformation[[#This Row],[Transaction to]]</f>
        <v>OS08832(1) -&gt; OS016SHH</v>
      </c>
    </row>
    <row r="237" spans="25:70" x14ac:dyDescent="0.45">
      <c r="Y237" s="5" t="s">
        <v>184</v>
      </c>
      <c r="Z237" s="4" t="s">
        <v>723</v>
      </c>
      <c r="AA237" s="4" t="s">
        <v>723</v>
      </c>
      <c r="AB237" s="6" t="s">
        <v>164</v>
      </c>
      <c r="AC237" s="24" t="str">
        <f>IFERROR(VLOOKUP(Transactions[[#This Row],[Parent code]],Transactions[[Transaction code]:[Transaction name]],2,0),"")</f>
        <v>Transformation</v>
      </c>
      <c r="AD237" s="4" t="s">
        <v>189</v>
      </c>
      <c r="AE237" s="4" t="s">
        <v>928</v>
      </c>
      <c r="AF237" s="4" t="s">
        <v>642</v>
      </c>
      <c r="AG237" s="4" t="s">
        <v>1</v>
      </c>
      <c r="AH237" s="4" t="s">
        <v>695</v>
      </c>
      <c r="AK237" s="24" t="str" cm="1">
        <f t="array" ref="AK237">IFERROR(INDEX(Transactions[[Transaction code]:[Transaction name]],_xlfn.XMATCH(Transactions[[#This Row],[Parent code]],Transactions[Transaction name],0),3),Transactions[[#This Row],[Transaction name]])</f>
        <v>Charcoal plants (T)</v>
      </c>
      <c r="AL237" s="24" t="str" cm="1">
        <f t="array" ref="AL237">IFERROR(INDEX(Transactions[[Transaction code]:[Transaction name]],_xlfn.XMATCH(INDEX(Transactions[[Transaction name]:[Parent code]],_xlfn.XMATCH(Transactions[[#This Row],[L1N]],Transactions[Transaction name],0),3),Transactions[Transaction code],0),2),Transactions[[#This Row],[L1N]])</f>
        <v>Transformation</v>
      </c>
      <c r="AM237" s="24" t="str" cm="1">
        <f t="array" ref="AM237">IFERROR(INDEX(Transactions[[Transaction code]:[Transaction name]],_xlfn.XMATCH(INDEX(Transactions[[Transaction name]:[Parent code]],_xlfn.XMATCH(Transactions[[#This Row],[L2N]],Transactions[Transaction name],0),3),Transactions[Transaction code],0),2),Transactions[[#This Row],[L2N]])</f>
        <v>Transformation</v>
      </c>
      <c r="AN237" s="24" t="str" cm="1">
        <f t="array" ref="AN237">IFERROR(INDEX(Transactions[[Transaction code]:[Transaction name]],_xlfn.XMATCH(INDEX(Transactions[[Transaction name]:[Parent code]],_xlfn.XMATCH(Transactions[[#This Row],[L3N]],Transactions[Transaction name],0),3),Transactions[Transaction code],0),2),Transactions[[#This Row],[L3N]])</f>
        <v>Transformation</v>
      </c>
      <c r="AO237" s="24" t="str" cm="1">
        <f t="array" ref="AO237">IFERROR(INDEX(Transactions[[Transaction code]:[Transaction name]],_xlfn.XMATCH(INDEX(Transactions[[Transaction name]:[Parent code]],_xlfn.XMATCH(Transactions[[#This Row],[L4N]],Transactions[Transaction name],0),3),Transactions[Transaction code],0),2),Transactions[[#This Row],[L4N]])</f>
        <v>Transformation</v>
      </c>
      <c r="AP237" s="24" t="str" cm="1">
        <f t="array" ref="AP237">IFERROR(INDEX(Transactions[[Transaction code]:[Transaction name]],_xlfn.XMATCH(INDEX(Transactions[[Transaction name]:[Parent code]],_xlfn.XMATCH(Transactions[[#This Row],[L5N]],Transactions[Transaction name],0),3),Transactions[Transaction code],0),2),Transactions[[#This Row],[L5N]])</f>
        <v>Transformation</v>
      </c>
      <c r="AQ237" s="24" t="str" cm="1">
        <f t="array" ref="AQ237">IFERROR(INDEX(Transactions[[Transaction code]:[Transaction name]],_xlfn.XMATCH(INDEX(Transactions[[Transaction name]:[Parent code]],_xlfn.XMATCH(Transactions[[#This Row],[L6N]],Transactions[Transaction name],0),3),Transactions[Transaction code],0),2),Transactions[[#This Row],[L6N]])</f>
        <v>Transformation</v>
      </c>
      <c r="AR237" s="28" t="str">
        <f>IF(Transactions[[#This Row],[L7N]]=Transactions[[#This Row],[L6N]],Transactions[[#This Row],[L7N]],IF(Transactions[[#This Row],[L6N]]=Transactions[[#This Row],[L5N]],Transactions[[#This Row],[L6N]],IF(Transactions[[#This Row],[L5N]]=Transactions[[#This Row],[L4N]],Transactions[[#This Row],[L5N]],IF(Transactions[[#This Row],[L4N]]=Transactions[[#This Row],[L3N]],Transactions[[#This Row],[L4N]],IF(Transactions[[#This Row],[L3N]]=Transactions[[#This Row],[L2N]],Transactions[[#This Row],[L3N]],IF(Transactions[[#This Row],[L2N]]=Transactions[[#This Row],[L1N]],Transactions[[#This Row],[L2N]],IF(Transactions[[#This Row],[L1N]]=Transactions[[#This Row],[Transaction name]],Transactions[[#This Row],[L1N]],Transactions[[#This Row],[Transaction name]])))))))</f>
        <v>Transformation</v>
      </c>
      <c r="AS237" s="24" t="str">
        <f>IF(Transactions[[#This Row],[Level 0]]=Transactions[[#This Row],[Transaction name]],Transactions[[#This Row],[Transaction name]],IF(Transactions[[#This Row],[Level 0]]=Transactions[[#This Row],[L1N]],Transactions[[#This Row],[Transaction name]],IF(Transactions[[#This Row],[Level 0]]=Transactions[[#This Row],[L2N]],Transactions[[#This Row],[L1N]],IF(Transactions[[#This Row],[Level 0]]=Transactions[[#This Row],[L3N]],Transactions[[#This Row],[L2N]],IF(Transactions[[#This Row],[Level 0]]=Transactions[[#This Row],[L4N]],Transactions[[#This Row],[L3N]],IF(Transactions[[#This Row],[Level 0]]=Transactions[[#This Row],[L5N]],Transactions[[#This Row],[L4N]],IF(Transactions[[#This Row],[Level 0]]=Transactions[[#This Row],[L6N]],Transactions[[#This Row],[L5N]],IF(Transactions[[#This Row],[Level 0]]=Transactions[[#This Row],[L7N]],Transactions[[#This Row],[L6N]],Transactions[[#This Row],[L7N]]))))))))</f>
        <v>Charcoal plants (T)</v>
      </c>
      <c r="AT237" s="24" t="str">
        <f>IF(Transactions[[#This Row],[Level 1]]=Transactions[[#This Row],[Transaction name]],Transactions[[#This Row],[Transaction name]],IF(Transactions[[#This Row],[Level 1]]=Transactions[[#This Row],[L1N]],Transactions[[#This Row],[Transaction name]],IF(Transactions[[#This Row],[Level 1]]=Transactions[[#This Row],[L2N]],Transactions[[#This Row],[L1N]],IF(Transactions[[#This Row],[Level 1]]=Transactions[[#This Row],[L3N]],Transactions[[#This Row],[L2N]],IF(Transactions[[#This Row],[Level 1]]=Transactions[[#This Row],[L4N]],Transactions[[#This Row],[L3N]],IF(Transactions[[#This Row],[Level 1]]=Transactions[[#This Row],[L5N]],Transactions[[#This Row],[L4N]],IF(Transactions[[#This Row],[Level 1]]=Transactions[[#This Row],[L6N]],Transactions[[#This Row],[L5N]],IF(Transactions[[#This Row],[Level 1]]=Transactions[[#This Row],[L7N]],Transactions[[#This Row],[L6N]],Transactions[[#This Row],[L7N]]))))))))</f>
        <v>Charcoal plants (T)</v>
      </c>
      <c r="AU237" s="24" t="str">
        <f>IF(Transactions[[#This Row],[Level 2]]=Transactions[[#This Row],[Transaction name]],Transactions[[#This Row],[Transaction name]],IF(Transactions[[#This Row],[Level 2]]=Transactions[[#This Row],[L1N]],Transactions[[#This Row],[Transaction name]],IF(Transactions[[#This Row],[Level 2]]=Transactions[[#This Row],[L2N]],Transactions[[#This Row],[L1N]],IF(Transactions[[#This Row],[Level 2]]=Transactions[[#This Row],[L3N]],Transactions[[#This Row],[L2N]],IF(Transactions[[#This Row],[Level 2]]=Transactions[[#This Row],[L4N]],Transactions[[#This Row],[L3N]],IF(Transactions[[#This Row],[Level 2]]=Transactions[[#This Row],[L5N]],Transactions[[#This Row],[L4N]],IF(Transactions[[#This Row],[Level 2]]=Transactions[[#This Row],[L6N]],Transactions[[#This Row],[L5N]],IF(Transactions[[#This Row],[Level 2]]=Transactions[[#This Row],[L7N]],Transactions[[#This Row],[L6N]],Transactions[[#This Row],[L7N]]))))))))</f>
        <v>Charcoal plants (T)</v>
      </c>
      <c r="AV237" s="24" t="str">
        <f>IF(Transactions[[#This Row],[Level 3]]=Transactions[[#This Row],[Transaction name]],Transactions[[#This Row],[Transaction name]],IF(Transactions[[#This Row],[Level 3]]=Transactions[[#This Row],[L1N]],Transactions[[#This Row],[Transaction name]],IF(Transactions[[#This Row],[Level 3]]=Transactions[[#This Row],[L2N]],Transactions[[#This Row],[L1N]],IF(Transactions[[#This Row],[Level 3]]=Transactions[[#This Row],[L3N]],Transactions[[#This Row],[L2N]],IF(Transactions[[#This Row],[Level 3]]=Transactions[[#This Row],[L4N]],Transactions[[#This Row],[L3N]],IF(Transactions[[#This Row],[Level 3]]=Transactions[[#This Row],[L5N]],Transactions[[#This Row],[L4N]],IF(Transactions[[#This Row],[Level 3]]=Transactions[[#This Row],[L6N]],Transactions[[#This Row],[L5N]],IF(Transactions[[#This Row],[Level 3]]=Transactions[[#This Row],[L7N]],Transactions[[#This Row],[L6N]],Transactions[[#This Row],[L7N]]))))))))</f>
        <v>Charcoal plants (T)</v>
      </c>
      <c r="AW237" s="24" t="str">
        <f>IF(Transactions[[#This Row],[Level 4]]=Transactions[[#This Row],[Transaction name]],Transactions[[#This Row],[Transaction name]],IF(Transactions[[#This Row],[Level 4]]=Transactions[[#This Row],[L1N]],Transactions[[#This Row],[Transaction name]],IF(Transactions[[#This Row],[Level 4]]=Transactions[[#This Row],[L2N]],Transactions[[#This Row],[L1N]],IF(Transactions[[#This Row],[Level 4]]=Transactions[[#This Row],[L3N]],Transactions[[#This Row],[L2N]],IF(Transactions[[#This Row],[Level 4]]=Transactions[[#This Row],[L4N]],Transactions[[#This Row],[L3N]],IF(Transactions[[#This Row],[Level 4]]=Transactions[[#This Row],[L5N]],Transactions[[#This Row],[L4N]],IF(Transactions[[#This Row],[Level 4]]=Transactions[[#This Row],[L6N]],Transactions[[#This Row],[L5N]],IF(Transactions[[#This Row],[Level 4]]=Transactions[[#This Row],[L7N]],Transactions[[#This Row],[L6N]],Transactions[[#This Row],[L7N]]))))))))</f>
        <v>Charcoal plants (T)</v>
      </c>
      <c r="AX237" s="24" t="str">
        <f>IF(Transactions[[#This Row],[Level 5]]=Transactions[[#This Row],[Transaction name]],Transactions[[#This Row],[Transaction name]],IF(Transactions[[#This Row],[Level 5]]=Transactions[[#This Row],[L1N]],Transactions[[#This Row],[Transaction name]],IF(Transactions[[#This Row],[Level 5]]=Transactions[[#This Row],[L2N]],Transactions[[#This Row],[L1N]],IF(Transactions[[#This Row],[Level 5]]=Transactions[[#This Row],[L3N]],Transactions[[#This Row],[L2N]],IF(Transactions[[#This Row],[Level 5]]=Transactions[[#This Row],[L4N]],Transactions[[#This Row],[L3N]],IF(Transactions[[#This Row],[Level 5]]=Transactions[[#This Row],[L5N]],Transactions[[#This Row],[L4N]],IF(Transactions[[#This Row],[Level 5]]=Transactions[[#This Row],[L6N]],Transactions[[#This Row],[L5N]],IF(Transactions[[#This Row],[Level 5]]=Transactions[[#This Row],[L7N]],Transactions[[#This Row],[L6N]],Transactions[[#This Row],[L7N]]))))))))</f>
        <v>Charcoal plants (T)</v>
      </c>
      <c r="AY237" s="24" t="str">
        <f>IF(Transactions[[#This Row],[Level 6]]=Transactions[[#This Row],[Transaction name]],Transactions[[#This Row],[Transaction name]],IF(Transactions[[#This Row],[Level 6]]=Transactions[[#This Row],[L1N]],Transactions[[#This Row],[Transaction name]],IF(Transactions[[#This Row],[Level 6]]=Transactions[[#This Row],[L2N]],Transactions[[#This Row],[L1N]],IF(Transactions[[#This Row],[Level 6]]=Transactions[[#This Row],[L3N]],Transactions[[#This Row],[L2N]],IF(Transactions[[#This Row],[Level 6]]=Transactions[[#This Row],[L4N]],Transactions[[#This Row],[L3N]],IF(Transactions[[#This Row],[Level 6]]=Transactions[[#This Row],[L5N]],Transactions[[#This Row],[L4N]],IF(Transactions[[#This Row],[Level 6]]=Transactions[[#This Row],[L6N]],Transactions[[#This Row],[L5N]],IF(Transactions[[#This Row],[Level 6]]=Transactions[[#This Row],[L7N]],Transactions[[#This Row],[L6N]],Transactions[[#This Row],[L7N]]))))))))</f>
        <v>Charcoal plants (T)</v>
      </c>
      <c r="BE237" s="26" t="str">
        <f>_xlfn.XLOOKUP(Transformation[[#This Row],[cfrom]],Commodities[Commodity],Commodities[Commodity code])</f>
        <v>4694</v>
      </c>
      <c r="BF237" s="26" t="str">
        <f>_xlfn.XLOOKUP(Transformation[[#This Row],[tfrom]],Transactions[Transaction name],Transactions[Transaction code])</f>
        <v>08832</v>
      </c>
      <c r="BG237" s="26" t="str">
        <f>_xlfn.XLOOKUP(Transformation[[#This Row],[cto]],Commodities[Commodity],Commodities[Commodity code])</f>
        <v>4694</v>
      </c>
      <c r="BH237" s="26" t="str">
        <f>_xlfn.XLOOKUP(Transformation[[#This Row],[tto]],Transactions[Transaction name],Transactions[Transaction code])</f>
        <v>016OPH</v>
      </c>
      <c r="BI237" s="11">
        <v>1</v>
      </c>
      <c r="BJ237" s="4" t="s">
        <v>353</v>
      </c>
      <c r="BK237" s="24" t="str">
        <f>_xlfn.XLOOKUP(Transformation[[#This Row],[Commodity from]],Commodities[Commodity code],Commodities[EnergyCode])</f>
        <v>PK</v>
      </c>
      <c r="BL237" s="4" t="s">
        <v>694</v>
      </c>
      <c r="BM237" s="4" t="s">
        <v>353</v>
      </c>
      <c r="BN237" s="24" t="str">
        <f>_xlfn.XLOOKUP(Transformation[[#This Row],[Commodity to]],Commodities[Commodity code],Commodities[EnergyCode])</f>
        <v>PK</v>
      </c>
      <c r="BO237" s="4" t="s">
        <v>1056</v>
      </c>
      <c r="BP237" s="16" t="s">
        <v>1493</v>
      </c>
      <c r="BQ237" s="33" t="str">
        <f>Transformation[[#This Row],[Commodity from]]&amp;Transformation[[#This Row],[Transaction from]]&amp;Transformation[[#This Row],[Commodity to]]&amp;Transformation[[#This Row],[Transaction to]]</f>
        <v>4694088324694016OPH</v>
      </c>
      <c r="BR237" s="26" t="str">
        <f>Transformation[[#This Row],[crfomid]]&amp;Transformation[[#This Row],[Transaction from]]&amp;"("&amp;Transformation[[#This Row],[Multiplier]]&amp;") -&gt; "&amp;Transformation[[#This Row],[ctoid]]&amp;Transformation[[#This Row],[Transaction to]]</f>
        <v>PK08832(1) -&gt; PK016OPH</v>
      </c>
    </row>
    <row r="238" spans="25:70" x14ac:dyDescent="0.45">
      <c r="Y238" s="5" t="s">
        <v>181</v>
      </c>
      <c r="Z238" s="4" t="s">
        <v>726</v>
      </c>
      <c r="AA238" s="4" t="s">
        <v>726</v>
      </c>
      <c r="AB238" s="6" t="s">
        <v>164</v>
      </c>
      <c r="AC238" s="24" t="str">
        <f>IFERROR(VLOOKUP(Transactions[[#This Row],[Parent code]],Transactions[[Transaction code]:[Transaction name]],2,0),"")</f>
        <v>Transformation</v>
      </c>
      <c r="AD238" s="4" t="s">
        <v>189</v>
      </c>
      <c r="AE238" s="4" t="s">
        <v>932</v>
      </c>
      <c r="AF238" s="4" t="s">
        <v>642</v>
      </c>
      <c r="AG238" s="4" t="s">
        <v>1</v>
      </c>
      <c r="AH238" s="4" t="s">
        <v>695</v>
      </c>
      <c r="AK238" s="24" t="str" cm="1">
        <f t="array" ref="AK238">IFERROR(INDEX(Transactions[[Transaction code]:[Transaction name]],_xlfn.XMATCH(Transactions[[#This Row],[Parent code]],Transactions[Transaction name],0),3),Transactions[[#This Row],[Transaction name]])</f>
        <v>Coal liquefaction plants (T)</v>
      </c>
      <c r="AL238" s="24" t="str" cm="1">
        <f t="array" ref="AL238">IFERROR(INDEX(Transactions[[Transaction code]:[Transaction name]],_xlfn.XMATCH(INDEX(Transactions[[Transaction name]:[Parent code]],_xlfn.XMATCH(Transactions[[#This Row],[L1N]],Transactions[Transaction name],0),3),Transactions[Transaction code],0),2),Transactions[[#This Row],[L1N]])</f>
        <v>Transformation</v>
      </c>
      <c r="AM238" s="24" t="str" cm="1">
        <f t="array" ref="AM238">IFERROR(INDEX(Transactions[[Transaction code]:[Transaction name]],_xlfn.XMATCH(INDEX(Transactions[[Transaction name]:[Parent code]],_xlfn.XMATCH(Transactions[[#This Row],[L2N]],Transactions[Transaction name],0),3),Transactions[Transaction code],0),2),Transactions[[#This Row],[L2N]])</f>
        <v>Transformation</v>
      </c>
      <c r="AN238" s="24" t="str" cm="1">
        <f t="array" ref="AN238">IFERROR(INDEX(Transactions[[Transaction code]:[Transaction name]],_xlfn.XMATCH(INDEX(Transactions[[Transaction name]:[Parent code]],_xlfn.XMATCH(Transactions[[#This Row],[L3N]],Transactions[Transaction name],0),3),Transactions[Transaction code],0),2),Transactions[[#This Row],[L3N]])</f>
        <v>Transformation</v>
      </c>
      <c r="AO238" s="24" t="str" cm="1">
        <f t="array" ref="AO238">IFERROR(INDEX(Transactions[[Transaction code]:[Transaction name]],_xlfn.XMATCH(INDEX(Transactions[[Transaction name]:[Parent code]],_xlfn.XMATCH(Transactions[[#This Row],[L4N]],Transactions[Transaction name],0),3),Transactions[Transaction code],0),2),Transactions[[#This Row],[L4N]])</f>
        <v>Transformation</v>
      </c>
      <c r="AP238" s="24" t="str" cm="1">
        <f t="array" ref="AP238">IFERROR(INDEX(Transactions[[Transaction code]:[Transaction name]],_xlfn.XMATCH(INDEX(Transactions[[Transaction name]:[Parent code]],_xlfn.XMATCH(Transactions[[#This Row],[L5N]],Transactions[Transaction name],0),3),Transactions[Transaction code],0),2),Transactions[[#This Row],[L5N]])</f>
        <v>Transformation</v>
      </c>
      <c r="AQ238" s="24" t="str" cm="1">
        <f t="array" ref="AQ238">IFERROR(INDEX(Transactions[[Transaction code]:[Transaction name]],_xlfn.XMATCH(INDEX(Transactions[[Transaction name]:[Parent code]],_xlfn.XMATCH(Transactions[[#This Row],[L6N]],Transactions[Transaction name],0),3),Transactions[Transaction code],0),2),Transactions[[#This Row],[L6N]])</f>
        <v>Transformation</v>
      </c>
      <c r="AR238" s="28" t="str">
        <f>IF(Transactions[[#This Row],[L7N]]=Transactions[[#This Row],[L6N]],Transactions[[#This Row],[L7N]],IF(Transactions[[#This Row],[L6N]]=Transactions[[#This Row],[L5N]],Transactions[[#This Row],[L6N]],IF(Transactions[[#This Row],[L5N]]=Transactions[[#This Row],[L4N]],Transactions[[#This Row],[L5N]],IF(Transactions[[#This Row],[L4N]]=Transactions[[#This Row],[L3N]],Transactions[[#This Row],[L4N]],IF(Transactions[[#This Row],[L3N]]=Transactions[[#This Row],[L2N]],Transactions[[#This Row],[L3N]],IF(Transactions[[#This Row],[L2N]]=Transactions[[#This Row],[L1N]],Transactions[[#This Row],[L2N]],IF(Transactions[[#This Row],[L1N]]=Transactions[[#This Row],[Transaction name]],Transactions[[#This Row],[L1N]],Transactions[[#This Row],[Transaction name]])))))))</f>
        <v>Transformation</v>
      </c>
      <c r="AS238" s="24" t="str">
        <f>IF(Transactions[[#This Row],[Level 0]]=Transactions[[#This Row],[Transaction name]],Transactions[[#This Row],[Transaction name]],IF(Transactions[[#This Row],[Level 0]]=Transactions[[#This Row],[L1N]],Transactions[[#This Row],[Transaction name]],IF(Transactions[[#This Row],[Level 0]]=Transactions[[#This Row],[L2N]],Transactions[[#This Row],[L1N]],IF(Transactions[[#This Row],[Level 0]]=Transactions[[#This Row],[L3N]],Transactions[[#This Row],[L2N]],IF(Transactions[[#This Row],[Level 0]]=Transactions[[#This Row],[L4N]],Transactions[[#This Row],[L3N]],IF(Transactions[[#This Row],[Level 0]]=Transactions[[#This Row],[L5N]],Transactions[[#This Row],[L4N]],IF(Transactions[[#This Row],[Level 0]]=Transactions[[#This Row],[L6N]],Transactions[[#This Row],[L5N]],IF(Transactions[[#This Row],[Level 0]]=Transactions[[#This Row],[L7N]],Transactions[[#This Row],[L6N]],Transactions[[#This Row],[L7N]]))))))))</f>
        <v>Coal liquefaction plants (T)</v>
      </c>
      <c r="AT238" s="24" t="str">
        <f>IF(Transactions[[#This Row],[Level 1]]=Transactions[[#This Row],[Transaction name]],Transactions[[#This Row],[Transaction name]],IF(Transactions[[#This Row],[Level 1]]=Transactions[[#This Row],[L1N]],Transactions[[#This Row],[Transaction name]],IF(Transactions[[#This Row],[Level 1]]=Transactions[[#This Row],[L2N]],Transactions[[#This Row],[L1N]],IF(Transactions[[#This Row],[Level 1]]=Transactions[[#This Row],[L3N]],Transactions[[#This Row],[L2N]],IF(Transactions[[#This Row],[Level 1]]=Transactions[[#This Row],[L4N]],Transactions[[#This Row],[L3N]],IF(Transactions[[#This Row],[Level 1]]=Transactions[[#This Row],[L5N]],Transactions[[#This Row],[L4N]],IF(Transactions[[#This Row],[Level 1]]=Transactions[[#This Row],[L6N]],Transactions[[#This Row],[L5N]],IF(Transactions[[#This Row],[Level 1]]=Transactions[[#This Row],[L7N]],Transactions[[#This Row],[L6N]],Transactions[[#This Row],[L7N]]))))))))</f>
        <v>Coal liquefaction plants (T)</v>
      </c>
      <c r="AU238" s="24" t="str">
        <f>IF(Transactions[[#This Row],[Level 2]]=Transactions[[#This Row],[Transaction name]],Transactions[[#This Row],[Transaction name]],IF(Transactions[[#This Row],[Level 2]]=Transactions[[#This Row],[L1N]],Transactions[[#This Row],[Transaction name]],IF(Transactions[[#This Row],[Level 2]]=Transactions[[#This Row],[L2N]],Transactions[[#This Row],[L1N]],IF(Transactions[[#This Row],[Level 2]]=Transactions[[#This Row],[L3N]],Transactions[[#This Row],[L2N]],IF(Transactions[[#This Row],[Level 2]]=Transactions[[#This Row],[L4N]],Transactions[[#This Row],[L3N]],IF(Transactions[[#This Row],[Level 2]]=Transactions[[#This Row],[L5N]],Transactions[[#This Row],[L4N]],IF(Transactions[[#This Row],[Level 2]]=Transactions[[#This Row],[L6N]],Transactions[[#This Row],[L5N]],IF(Transactions[[#This Row],[Level 2]]=Transactions[[#This Row],[L7N]],Transactions[[#This Row],[L6N]],Transactions[[#This Row],[L7N]]))))))))</f>
        <v>Coal liquefaction plants (T)</v>
      </c>
      <c r="AV238" s="24" t="str">
        <f>IF(Transactions[[#This Row],[Level 3]]=Transactions[[#This Row],[Transaction name]],Transactions[[#This Row],[Transaction name]],IF(Transactions[[#This Row],[Level 3]]=Transactions[[#This Row],[L1N]],Transactions[[#This Row],[Transaction name]],IF(Transactions[[#This Row],[Level 3]]=Transactions[[#This Row],[L2N]],Transactions[[#This Row],[L1N]],IF(Transactions[[#This Row],[Level 3]]=Transactions[[#This Row],[L3N]],Transactions[[#This Row],[L2N]],IF(Transactions[[#This Row],[Level 3]]=Transactions[[#This Row],[L4N]],Transactions[[#This Row],[L3N]],IF(Transactions[[#This Row],[Level 3]]=Transactions[[#This Row],[L5N]],Transactions[[#This Row],[L4N]],IF(Transactions[[#This Row],[Level 3]]=Transactions[[#This Row],[L6N]],Transactions[[#This Row],[L5N]],IF(Transactions[[#This Row],[Level 3]]=Transactions[[#This Row],[L7N]],Transactions[[#This Row],[L6N]],Transactions[[#This Row],[L7N]]))))))))</f>
        <v>Coal liquefaction plants (T)</v>
      </c>
      <c r="AW238" s="24" t="str">
        <f>IF(Transactions[[#This Row],[Level 4]]=Transactions[[#This Row],[Transaction name]],Transactions[[#This Row],[Transaction name]],IF(Transactions[[#This Row],[Level 4]]=Transactions[[#This Row],[L1N]],Transactions[[#This Row],[Transaction name]],IF(Transactions[[#This Row],[Level 4]]=Transactions[[#This Row],[L2N]],Transactions[[#This Row],[L1N]],IF(Transactions[[#This Row],[Level 4]]=Transactions[[#This Row],[L3N]],Transactions[[#This Row],[L2N]],IF(Transactions[[#This Row],[Level 4]]=Transactions[[#This Row],[L4N]],Transactions[[#This Row],[L3N]],IF(Transactions[[#This Row],[Level 4]]=Transactions[[#This Row],[L5N]],Transactions[[#This Row],[L4N]],IF(Transactions[[#This Row],[Level 4]]=Transactions[[#This Row],[L6N]],Transactions[[#This Row],[L5N]],IF(Transactions[[#This Row],[Level 4]]=Transactions[[#This Row],[L7N]],Transactions[[#This Row],[L6N]],Transactions[[#This Row],[L7N]]))))))))</f>
        <v>Coal liquefaction plants (T)</v>
      </c>
      <c r="AX238" s="24" t="str">
        <f>IF(Transactions[[#This Row],[Level 5]]=Transactions[[#This Row],[Transaction name]],Transactions[[#This Row],[Transaction name]],IF(Transactions[[#This Row],[Level 5]]=Transactions[[#This Row],[L1N]],Transactions[[#This Row],[Transaction name]],IF(Transactions[[#This Row],[Level 5]]=Transactions[[#This Row],[L2N]],Transactions[[#This Row],[L1N]],IF(Transactions[[#This Row],[Level 5]]=Transactions[[#This Row],[L3N]],Transactions[[#This Row],[L2N]],IF(Transactions[[#This Row],[Level 5]]=Transactions[[#This Row],[L4N]],Transactions[[#This Row],[L3N]],IF(Transactions[[#This Row],[Level 5]]=Transactions[[#This Row],[L5N]],Transactions[[#This Row],[L4N]],IF(Transactions[[#This Row],[Level 5]]=Transactions[[#This Row],[L6N]],Transactions[[#This Row],[L5N]],IF(Transactions[[#This Row],[Level 5]]=Transactions[[#This Row],[L7N]],Transactions[[#This Row],[L6N]],Transactions[[#This Row],[L7N]]))))))))</f>
        <v>Coal liquefaction plants (T)</v>
      </c>
      <c r="AY238" s="24" t="str">
        <f>IF(Transactions[[#This Row],[Level 6]]=Transactions[[#This Row],[Transaction name]],Transactions[[#This Row],[Transaction name]],IF(Transactions[[#This Row],[Level 6]]=Transactions[[#This Row],[L1N]],Transactions[[#This Row],[Transaction name]],IF(Transactions[[#This Row],[Level 6]]=Transactions[[#This Row],[L2N]],Transactions[[#This Row],[L1N]],IF(Transactions[[#This Row],[Level 6]]=Transactions[[#This Row],[L3N]],Transactions[[#This Row],[L2N]],IF(Transactions[[#This Row],[Level 6]]=Transactions[[#This Row],[L4N]],Transactions[[#This Row],[L3N]],IF(Transactions[[#This Row],[Level 6]]=Transactions[[#This Row],[L5N]],Transactions[[#This Row],[L4N]],IF(Transactions[[#This Row],[Level 6]]=Transactions[[#This Row],[L6N]],Transactions[[#This Row],[L5N]],IF(Transactions[[#This Row],[Level 6]]=Transactions[[#This Row],[L7N]],Transactions[[#This Row],[L6N]],Transactions[[#This Row],[L7N]]))))))))</f>
        <v>Coal liquefaction plants (T)</v>
      </c>
      <c r="BE238" s="26" t="str">
        <f>_xlfn.XLOOKUP(Transformation[[#This Row],[cfrom]],Commodities[Commodity],Commodities[Commodity code])</f>
        <v>4699</v>
      </c>
      <c r="BF238" s="26" t="str">
        <f>_xlfn.XLOOKUP(Transformation[[#This Row],[tfrom]],Transactions[Transaction name],Transactions[Transaction code])</f>
        <v>08832</v>
      </c>
      <c r="BG238" s="26" t="str">
        <f>_xlfn.XLOOKUP(Transformation[[#This Row],[cto]],Commodities[Commodity],Commodities[Commodity code])</f>
        <v>4699</v>
      </c>
      <c r="BH238" s="26" t="str">
        <f>_xlfn.XLOOKUP(Transformation[[#This Row],[tto]],Transactions[Transaction name],Transactions[Transaction code])</f>
        <v>016OPH</v>
      </c>
      <c r="BI238" s="11">
        <v>1</v>
      </c>
      <c r="BJ238" s="4" t="s">
        <v>348</v>
      </c>
      <c r="BK238" s="24" t="str">
        <f>_xlfn.XLOOKUP(Transformation[[#This Row],[Commodity from]],Commodities[Commodity code],Commodities[EnergyCode])</f>
        <v>PP</v>
      </c>
      <c r="BL238" s="4" t="s">
        <v>694</v>
      </c>
      <c r="BM238" s="4" t="s">
        <v>348</v>
      </c>
      <c r="BN238" s="24" t="str">
        <f>_xlfn.XLOOKUP(Transformation[[#This Row],[Commodity to]],Commodities[Commodity code],Commodities[EnergyCode])</f>
        <v>PP</v>
      </c>
      <c r="BO238" s="4" t="s">
        <v>1056</v>
      </c>
      <c r="BP238" s="16" t="s">
        <v>1493</v>
      </c>
      <c r="BQ238" s="33" t="str">
        <f>Transformation[[#This Row],[Commodity from]]&amp;Transformation[[#This Row],[Transaction from]]&amp;Transformation[[#This Row],[Commodity to]]&amp;Transformation[[#This Row],[Transaction to]]</f>
        <v>4699088324699016OPH</v>
      </c>
      <c r="BR238" s="26" t="str">
        <f>Transformation[[#This Row],[crfomid]]&amp;Transformation[[#This Row],[Transaction from]]&amp;"("&amp;Transformation[[#This Row],[Multiplier]]&amp;") -&gt; "&amp;Transformation[[#This Row],[ctoid]]&amp;Transformation[[#This Row],[Transaction to]]</f>
        <v>PP08832(1) -&gt; PP016OPH</v>
      </c>
    </row>
    <row r="239" spans="25:70" x14ac:dyDescent="0.45">
      <c r="Y239" s="5" t="s">
        <v>188</v>
      </c>
      <c r="Z239" s="4" t="s">
        <v>721</v>
      </c>
      <c r="AA239" s="4" t="s">
        <v>721</v>
      </c>
      <c r="AB239" s="6" t="s">
        <v>164</v>
      </c>
      <c r="AC239" s="24" t="str">
        <f>IFERROR(VLOOKUP(Transactions[[#This Row],[Parent code]],Transactions[[Transaction code]:[Transaction name]],2,0),"")</f>
        <v>Transformation</v>
      </c>
      <c r="AD239" s="4" t="s">
        <v>189</v>
      </c>
      <c r="AE239" s="4" t="s">
        <v>925</v>
      </c>
      <c r="AF239" s="4" t="s">
        <v>642</v>
      </c>
      <c r="AG239" s="4" t="s">
        <v>1</v>
      </c>
      <c r="AH239" s="4" t="s">
        <v>695</v>
      </c>
      <c r="AK239" s="24" t="str" cm="1">
        <f t="array" ref="AK239">IFERROR(INDEX(Transactions[[Transaction code]:[Transaction name]],_xlfn.XMATCH(Transactions[[#This Row],[Parent code]],Transactions[Transaction name],0),3),Transactions[[#This Row],[Transaction name]])</f>
        <v>Coke ovens (T)</v>
      </c>
      <c r="AL239" s="24" t="str" cm="1">
        <f t="array" ref="AL239">IFERROR(INDEX(Transactions[[Transaction code]:[Transaction name]],_xlfn.XMATCH(INDEX(Transactions[[Transaction name]:[Parent code]],_xlfn.XMATCH(Transactions[[#This Row],[L1N]],Transactions[Transaction name],0),3),Transactions[Transaction code],0),2),Transactions[[#This Row],[L1N]])</f>
        <v>Transformation</v>
      </c>
      <c r="AM239" s="24" t="str" cm="1">
        <f t="array" ref="AM239">IFERROR(INDEX(Transactions[[Transaction code]:[Transaction name]],_xlfn.XMATCH(INDEX(Transactions[[Transaction name]:[Parent code]],_xlfn.XMATCH(Transactions[[#This Row],[L2N]],Transactions[Transaction name],0),3),Transactions[Transaction code],0),2),Transactions[[#This Row],[L2N]])</f>
        <v>Transformation</v>
      </c>
      <c r="AN239" s="24" t="str" cm="1">
        <f t="array" ref="AN239">IFERROR(INDEX(Transactions[[Transaction code]:[Transaction name]],_xlfn.XMATCH(INDEX(Transactions[[Transaction name]:[Parent code]],_xlfn.XMATCH(Transactions[[#This Row],[L3N]],Transactions[Transaction name],0),3),Transactions[Transaction code],0),2),Transactions[[#This Row],[L3N]])</f>
        <v>Transformation</v>
      </c>
      <c r="AO239" s="24" t="str" cm="1">
        <f t="array" ref="AO239">IFERROR(INDEX(Transactions[[Transaction code]:[Transaction name]],_xlfn.XMATCH(INDEX(Transactions[[Transaction name]:[Parent code]],_xlfn.XMATCH(Transactions[[#This Row],[L4N]],Transactions[Transaction name],0),3),Transactions[Transaction code],0),2),Transactions[[#This Row],[L4N]])</f>
        <v>Transformation</v>
      </c>
      <c r="AP239" s="24" t="str" cm="1">
        <f t="array" ref="AP239">IFERROR(INDEX(Transactions[[Transaction code]:[Transaction name]],_xlfn.XMATCH(INDEX(Transactions[[Transaction name]:[Parent code]],_xlfn.XMATCH(Transactions[[#This Row],[L5N]],Transactions[Transaction name],0),3),Transactions[Transaction code],0),2),Transactions[[#This Row],[L5N]])</f>
        <v>Transformation</v>
      </c>
      <c r="AQ239" s="24" t="str" cm="1">
        <f t="array" ref="AQ239">IFERROR(INDEX(Transactions[[Transaction code]:[Transaction name]],_xlfn.XMATCH(INDEX(Transactions[[Transaction name]:[Parent code]],_xlfn.XMATCH(Transactions[[#This Row],[L6N]],Transactions[Transaction name],0),3),Transactions[Transaction code],0),2),Transactions[[#This Row],[L6N]])</f>
        <v>Transformation</v>
      </c>
      <c r="AR239" s="28" t="str">
        <f>IF(Transactions[[#This Row],[L7N]]=Transactions[[#This Row],[L6N]],Transactions[[#This Row],[L7N]],IF(Transactions[[#This Row],[L6N]]=Transactions[[#This Row],[L5N]],Transactions[[#This Row],[L6N]],IF(Transactions[[#This Row],[L5N]]=Transactions[[#This Row],[L4N]],Transactions[[#This Row],[L5N]],IF(Transactions[[#This Row],[L4N]]=Transactions[[#This Row],[L3N]],Transactions[[#This Row],[L4N]],IF(Transactions[[#This Row],[L3N]]=Transactions[[#This Row],[L2N]],Transactions[[#This Row],[L3N]],IF(Transactions[[#This Row],[L2N]]=Transactions[[#This Row],[L1N]],Transactions[[#This Row],[L2N]],IF(Transactions[[#This Row],[L1N]]=Transactions[[#This Row],[Transaction name]],Transactions[[#This Row],[L1N]],Transactions[[#This Row],[Transaction name]])))))))</f>
        <v>Transformation</v>
      </c>
      <c r="AS239" s="24" t="str">
        <f>IF(Transactions[[#This Row],[Level 0]]=Transactions[[#This Row],[Transaction name]],Transactions[[#This Row],[Transaction name]],IF(Transactions[[#This Row],[Level 0]]=Transactions[[#This Row],[L1N]],Transactions[[#This Row],[Transaction name]],IF(Transactions[[#This Row],[Level 0]]=Transactions[[#This Row],[L2N]],Transactions[[#This Row],[L1N]],IF(Transactions[[#This Row],[Level 0]]=Transactions[[#This Row],[L3N]],Transactions[[#This Row],[L2N]],IF(Transactions[[#This Row],[Level 0]]=Transactions[[#This Row],[L4N]],Transactions[[#This Row],[L3N]],IF(Transactions[[#This Row],[Level 0]]=Transactions[[#This Row],[L5N]],Transactions[[#This Row],[L4N]],IF(Transactions[[#This Row],[Level 0]]=Transactions[[#This Row],[L6N]],Transactions[[#This Row],[L5N]],IF(Transactions[[#This Row],[Level 0]]=Transactions[[#This Row],[L7N]],Transactions[[#This Row],[L6N]],Transactions[[#This Row],[L7N]]))))))))</f>
        <v>Coke ovens (T)</v>
      </c>
      <c r="AT239" s="24" t="str">
        <f>IF(Transactions[[#This Row],[Level 1]]=Transactions[[#This Row],[Transaction name]],Transactions[[#This Row],[Transaction name]],IF(Transactions[[#This Row],[Level 1]]=Transactions[[#This Row],[L1N]],Transactions[[#This Row],[Transaction name]],IF(Transactions[[#This Row],[Level 1]]=Transactions[[#This Row],[L2N]],Transactions[[#This Row],[L1N]],IF(Transactions[[#This Row],[Level 1]]=Transactions[[#This Row],[L3N]],Transactions[[#This Row],[L2N]],IF(Transactions[[#This Row],[Level 1]]=Transactions[[#This Row],[L4N]],Transactions[[#This Row],[L3N]],IF(Transactions[[#This Row],[Level 1]]=Transactions[[#This Row],[L5N]],Transactions[[#This Row],[L4N]],IF(Transactions[[#This Row],[Level 1]]=Transactions[[#This Row],[L6N]],Transactions[[#This Row],[L5N]],IF(Transactions[[#This Row],[Level 1]]=Transactions[[#This Row],[L7N]],Transactions[[#This Row],[L6N]],Transactions[[#This Row],[L7N]]))))))))</f>
        <v>Coke ovens (T)</v>
      </c>
      <c r="AU239" s="24" t="str">
        <f>IF(Transactions[[#This Row],[Level 2]]=Transactions[[#This Row],[Transaction name]],Transactions[[#This Row],[Transaction name]],IF(Transactions[[#This Row],[Level 2]]=Transactions[[#This Row],[L1N]],Transactions[[#This Row],[Transaction name]],IF(Transactions[[#This Row],[Level 2]]=Transactions[[#This Row],[L2N]],Transactions[[#This Row],[L1N]],IF(Transactions[[#This Row],[Level 2]]=Transactions[[#This Row],[L3N]],Transactions[[#This Row],[L2N]],IF(Transactions[[#This Row],[Level 2]]=Transactions[[#This Row],[L4N]],Transactions[[#This Row],[L3N]],IF(Transactions[[#This Row],[Level 2]]=Transactions[[#This Row],[L5N]],Transactions[[#This Row],[L4N]],IF(Transactions[[#This Row],[Level 2]]=Transactions[[#This Row],[L6N]],Transactions[[#This Row],[L5N]],IF(Transactions[[#This Row],[Level 2]]=Transactions[[#This Row],[L7N]],Transactions[[#This Row],[L6N]],Transactions[[#This Row],[L7N]]))))))))</f>
        <v>Coke ovens (T)</v>
      </c>
      <c r="AV239" s="24" t="str">
        <f>IF(Transactions[[#This Row],[Level 3]]=Transactions[[#This Row],[Transaction name]],Transactions[[#This Row],[Transaction name]],IF(Transactions[[#This Row],[Level 3]]=Transactions[[#This Row],[L1N]],Transactions[[#This Row],[Transaction name]],IF(Transactions[[#This Row],[Level 3]]=Transactions[[#This Row],[L2N]],Transactions[[#This Row],[L1N]],IF(Transactions[[#This Row],[Level 3]]=Transactions[[#This Row],[L3N]],Transactions[[#This Row],[L2N]],IF(Transactions[[#This Row],[Level 3]]=Transactions[[#This Row],[L4N]],Transactions[[#This Row],[L3N]],IF(Transactions[[#This Row],[Level 3]]=Transactions[[#This Row],[L5N]],Transactions[[#This Row],[L4N]],IF(Transactions[[#This Row],[Level 3]]=Transactions[[#This Row],[L6N]],Transactions[[#This Row],[L5N]],IF(Transactions[[#This Row],[Level 3]]=Transactions[[#This Row],[L7N]],Transactions[[#This Row],[L6N]],Transactions[[#This Row],[L7N]]))))))))</f>
        <v>Coke ovens (T)</v>
      </c>
      <c r="AW239" s="24" t="str">
        <f>IF(Transactions[[#This Row],[Level 4]]=Transactions[[#This Row],[Transaction name]],Transactions[[#This Row],[Transaction name]],IF(Transactions[[#This Row],[Level 4]]=Transactions[[#This Row],[L1N]],Transactions[[#This Row],[Transaction name]],IF(Transactions[[#This Row],[Level 4]]=Transactions[[#This Row],[L2N]],Transactions[[#This Row],[L1N]],IF(Transactions[[#This Row],[Level 4]]=Transactions[[#This Row],[L3N]],Transactions[[#This Row],[L2N]],IF(Transactions[[#This Row],[Level 4]]=Transactions[[#This Row],[L4N]],Transactions[[#This Row],[L3N]],IF(Transactions[[#This Row],[Level 4]]=Transactions[[#This Row],[L5N]],Transactions[[#This Row],[L4N]],IF(Transactions[[#This Row],[Level 4]]=Transactions[[#This Row],[L6N]],Transactions[[#This Row],[L5N]],IF(Transactions[[#This Row],[Level 4]]=Transactions[[#This Row],[L7N]],Transactions[[#This Row],[L6N]],Transactions[[#This Row],[L7N]]))))))))</f>
        <v>Coke ovens (T)</v>
      </c>
      <c r="AX239" s="24" t="str">
        <f>IF(Transactions[[#This Row],[Level 5]]=Transactions[[#This Row],[Transaction name]],Transactions[[#This Row],[Transaction name]],IF(Transactions[[#This Row],[Level 5]]=Transactions[[#This Row],[L1N]],Transactions[[#This Row],[Transaction name]],IF(Transactions[[#This Row],[Level 5]]=Transactions[[#This Row],[L2N]],Transactions[[#This Row],[L1N]],IF(Transactions[[#This Row],[Level 5]]=Transactions[[#This Row],[L3N]],Transactions[[#This Row],[L2N]],IF(Transactions[[#This Row],[Level 5]]=Transactions[[#This Row],[L4N]],Transactions[[#This Row],[L3N]],IF(Transactions[[#This Row],[Level 5]]=Transactions[[#This Row],[L5N]],Transactions[[#This Row],[L4N]],IF(Transactions[[#This Row],[Level 5]]=Transactions[[#This Row],[L6N]],Transactions[[#This Row],[L5N]],IF(Transactions[[#This Row],[Level 5]]=Transactions[[#This Row],[L7N]],Transactions[[#This Row],[L6N]],Transactions[[#This Row],[L7N]]))))))))</f>
        <v>Coke ovens (T)</v>
      </c>
      <c r="AY239" s="24" t="str">
        <f>IF(Transactions[[#This Row],[Level 6]]=Transactions[[#This Row],[Transaction name]],Transactions[[#This Row],[Transaction name]],IF(Transactions[[#This Row],[Level 6]]=Transactions[[#This Row],[L1N]],Transactions[[#This Row],[Transaction name]],IF(Transactions[[#This Row],[Level 6]]=Transactions[[#This Row],[L2N]],Transactions[[#This Row],[L1N]],IF(Transactions[[#This Row],[Level 6]]=Transactions[[#This Row],[L3N]],Transactions[[#This Row],[L2N]],IF(Transactions[[#This Row],[Level 6]]=Transactions[[#This Row],[L4N]],Transactions[[#This Row],[L3N]],IF(Transactions[[#This Row],[Level 6]]=Transactions[[#This Row],[L5N]],Transactions[[#This Row],[L4N]],IF(Transactions[[#This Row],[Level 6]]=Transactions[[#This Row],[L6N]],Transactions[[#This Row],[L5N]],IF(Transactions[[#This Row],[Level 6]]=Transactions[[#This Row],[L7N]],Transactions[[#This Row],[L6N]],Transactions[[#This Row],[L7N]]))))))))</f>
        <v>Coke ovens (T)</v>
      </c>
      <c r="BE239" s="26" t="str">
        <f>_xlfn.XLOOKUP(Transformation[[#This Row],[cfrom]],Commodities[Commodity],Commodities[Commodity code])</f>
        <v>1100</v>
      </c>
      <c r="BF239" s="26" t="str">
        <f>_xlfn.XLOOKUP(Transformation[[#This Row],[tfrom]],Transactions[Transaction name],Transactions[Transaction code])</f>
        <v>08832</v>
      </c>
      <c r="BG239" s="26" t="str">
        <f>_xlfn.XLOOKUP(Transformation[[#This Row],[cto]],Commodities[Commodity],Commodities[Commodity code])</f>
        <v>1100</v>
      </c>
      <c r="BH239" s="26" t="str">
        <f>_xlfn.XLOOKUP(Transformation[[#This Row],[tto]],Transactions[Transaction name],Transactions[Transaction code])</f>
        <v>016PTH</v>
      </c>
      <c r="BI239" s="11">
        <v>1</v>
      </c>
      <c r="BJ239" s="4" t="s">
        <v>459</v>
      </c>
      <c r="BK239" s="24" t="str">
        <f>_xlfn.XLOOKUP(Transformation[[#This Row],[Commodity from]],Commodities[Commodity code],Commodities[EnergyCode])</f>
        <v>PT</v>
      </c>
      <c r="BL239" s="4" t="s">
        <v>694</v>
      </c>
      <c r="BM239" s="4" t="s">
        <v>459</v>
      </c>
      <c r="BN239" s="24" t="str">
        <f>_xlfn.XLOOKUP(Transformation[[#This Row],[Commodity to]],Commodities[Commodity code],Commodities[EnergyCode])</f>
        <v>PT</v>
      </c>
      <c r="BO239" s="4" t="s">
        <v>1207</v>
      </c>
      <c r="BP239" s="16" t="s">
        <v>1493</v>
      </c>
      <c r="BQ239" s="33" t="str">
        <f>Transformation[[#This Row],[Commodity from]]&amp;Transformation[[#This Row],[Transaction from]]&amp;Transformation[[#This Row],[Commodity to]]&amp;Transformation[[#This Row],[Transaction to]]</f>
        <v>1100088321100016PTH</v>
      </c>
      <c r="BR239" s="26" t="str">
        <f>Transformation[[#This Row],[crfomid]]&amp;Transformation[[#This Row],[Transaction from]]&amp;"("&amp;Transformation[[#This Row],[Multiplier]]&amp;") -&gt; "&amp;Transformation[[#This Row],[ctoid]]&amp;Transformation[[#This Row],[Transaction to]]</f>
        <v>PT08832(1) -&gt; PT016PTH</v>
      </c>
    </row>
    <row r="240" spans="25:70" x14ac:dyDescent="0.45">
      <c r="Y240" s="5" t="s">
        <v>183</v>
      </c>
      <c r="Z240" s="4" t="s">
        <v>724</v>
      </c>
      <c r="AA240" s="4" t="s">
        <v>724</v>
      </c>
      <c r="AB240" s="6" t="s">
        <v>164</v>
      </c>
      <c r="AC240" s="24" t="str">
        <f>IFERROR(VLOOKUP(Transactions[[#This Row],[Parent code]],Transactions[[Transaction code]:[Transaction name]],2,0),"")</f>
        <v>Transformation</v>
      </c>
      <c r="AD240" s="4" t="s">
        <v>189</v>
      </c>
      <c r="AE240" s="4" t="s">
        <v>923</v>
      </c>
      <c r="AF240" s="4" t="s">
        <v>642</v>
      </c>
      <c r="AG240" s="4" t="s">
        <v>1</v>
      </c>
      <c r="AH240" s="4" t="s">
        <v>695</v>
      </c>
      <c r="AJ240" s="18" t="s">
        <v>0</v>
      </c>
      <c r="AK240" s="24" t="str" cm="1">
        <f t="array" ref="AK240">IFERROR(INDEX(Transactions[[Transaction code]:[Transaction name]],_xlfn.XMATCH(Transactions[[#This Row],[Parent code]],Transactions[Transaction name],0),3),Transactions[[#This Row],[Transaction name]])</f>
        <v>Electricity production (T)</v>
      </c>
      <c r="AL240" s="24" t="str" cm="1">
        <f t="array" ref="AL240">IFERROR(INDEX(Transactions[[Transaction code]:[Transaction name]],_xlfn.XMATCH(INDEX(Transactions[[Transaction name]:[Parent code]],_xlfn.XMATCH(Transactions[[#This Row],[L1N]],Transactions[Transaction name],0),3),Transactions[Transaction code],0),2),Transactions[[#This Row],[L1N]])</f>
        <v>Transformation</v>
      </c>
      <c r="AM240" s="24" t="str" cm="1">
        <f t="array" ref="AM240">IFERROR(INDEX(Transactions[[Transaction code]:[Transaction name]],_xlfn.XMATCH(INDEX(Transactions[[Transaction name]:[Parent code]],_xlfn.XMATCH(Transactions[[#This Row],[L2N]],Transactions[Transaction name],0),3),Transactions[Transaction code],0),2),Transactions[[#This Row],[L2N]])</f>
        <v>Transformation</v>
      </c>
      <c r="AN240" s="24" t="str" cm="1">
        <f t="array" ref="AN240">IFERROR(INDEX(Transactions[[Transaction code]:[Transaction name]],_xlfn.XMATCH(INDEX(Transactions[[Transaction name]:[Parent code]],_xlfn.XMATCH(Transactions[[#This Row],[L3N]],Transactions[Transaction name],0),3),Transactions[Transaction code],0),2),Transactions[[#This Row],[L3N]])</f>
        <v>Transformation</v>
      </c>
      <c r="AO240" s="24" t="str" cm="1">
        <f t="array" ref="AO240">IFERROR(INDEX(Transactions[[Transaction code]:[Transaction name]],_xlfn.XMATCH(INDEX(Transactions[[Transaction name]:[Parent code]],_xlfn.XMATCH(Transactions[[#This Row],[L4N]],Transactions[Transaction name],0),3),Transactions[Transaction code],0),2),Transactions[[#This Row],[L4N]])</f>
        <v>Transformation</v>
      </c>
      <c r="AP240" s="24" t="str" cm="1">
        <f t="array" ref="AP240">IFERROR(INDEX(Transactions[[Transaction code]:[Transaction name]],_xlfn.XMATCH(INDEX(Transactions[[Transaction name]:[Parent code]],_xlfn.XMATCH(Transactions[[#This Row],[L5N]],Transactions[Transaction name],0),3),Transactions[Transaction code],0),2),Transactions[[#This Row],[L5N]])</f>
        <v>Transformation</v>
      </c>
      <c r="AQ240" s="24" t="str" cm="1">
        <f t="array" ref="AQ240">IFERROR(INDEX(Transactions[[Transaction code]:[Transaction name]],_xlfn.XMATCH(INDEX(Transactions[[Transaction name]:[Parent code]],_xlfn.XMATCH(Transactions[[#This Row],[L6N]],Transactions[Transaction name],0),3),Transactions[Transaction code],0),2),Transactions[[#This Row],[L6N]])</f>
        <v>Transformation</v>
      </c>
      <c r="AR240" s="28" t="str">
        <f>IF(Transactions[[#This Row],[L7N]]=Transactions[[#This Row],[L6N]],Transactions[[#This Row],[L7N]],IF(Transactions[[#This Row],[L6N]]=Transactions[[#This Row],[L5N]],Transactions[[#This Row],[L6N]],IF(Transactions[[#This Row],[L5N]]=Transactions[[#This Row],[L4N]],Transactions[[#This Row],[L5N]],IF(Transactions[[#This Row],[L4N]]=Transactions[[#This Row],[L3N]],Transactions[[#This Row],[L4N]],IF(Transactions[[#This Row],[L3N]]=Transactions[[#This Row],[L2N]],Transactions[[#This Row],[L3N]],IF(Transactions[[#This Row],[L2N]]=Transactions[[#This Row],[L1N]],Transactions[[#This Row],[L2N]],IF(Transactions[[#This Row],[L1N]]=Transactions[[#This Row],[Transaction name]],Transactions[[#This Row],[L1N]],Transactions[[#This Row],[Transaction name]])))))))</f>
        <v>Transformation</v>
      </c>
      <c r="AS240" s="24" t="str">
        <f>IF(Transactions[[#This Row],[Level 0]]=Transactions[[#This Row],[Transaction name]],Transactions[[#This Row],[Transaction name]],IF(Transactions[[#This Row],[Level 0]]=Transactions[[#This Row],[L1N]],Transactions[[#This Row],[Transaction name]],IF(Transactions[[#This Row],[Level 0]]=Transactions[[#This Row],[L2N]],Transactions[[#This Row],[L1N]],IF(Transactions[[#This Row],[Level 0]]=Transactions[[#This Row],[L3N]],Transactions[[#This Row],[L2N]],IF(Transactions[[#This Row],[Level 0]]=Transactions[[#This Row],[L4N]],Transactions[[#This Row],[L3N]],IF(Transactions[[#This Row],[Level 0]]=Transactions[[#This Row],[L5N]],Transactions[[#This Row],[L4N]],IF(Transactions[[#This Row],[Level 0]]=Transactions[[#This Row],[L6N]],Transactions[[#This Row],[L5N]],IF(Transactions[[#This Row],[Level 0]]=Transactions[[#This Row],[L7N]],Transactions[[#This Row],[L6N]],Transactions[[#This Row],[L7N]]))))))))</f>
        <v>Electricity production (T)</v>
      </c>
      <c r="AT240" s="24" t="str">
        <f>IF(Transactions[[#This Row],[Level 1]]=Transactions[[#This Row],[Transaction name]],Transactions[[#This Row],[Transaction name]],IF(Transactions[[#This Row],[Level 1]]=Transactions[[#This Row],[L1N]],Transactions[[#This Row],[Transaction name]],IF(Transactions[[#This Row],[Level 1]]=Transactions[[#This Row],[L2N]],Transactions[[#This Row],[L1N]],IF(Transactions[[#This Row],[Level 1]]=Transactions[[#This Row],[L3N]],Transactions[[#This Row],[L2N]],IF(Transactions[[#This Row],[Level 1]]=Transactions[[#This Row],[L4N]],Transactions[[#This Row],[L3N]],IF(Transactions[[#This Row],[Level 1]]=Transactions[[#This Row],[L5N]],Transactions[[#This Row],[L4N]],IF(Transactions[[#This Row],[Level 1]]=Transactions[[#This Row],[L6N]],Transactions[[#This Row],[L5N]],IF(Transactions[[#This Row],[Level 1]]=Transactions[[#This Row],[L7N]],Transactions[[#This Row],[L6N]],Transactions[[#This Row],[L7N]]))))))))</f>
        <v>Electricity production (T)</v>
      </c>
      <c r="AU240" s="24" t="str">
        <f>IF(Transactions[[#This Row],[Level 2]]=Transactions[[#This Row],[Transaction name]],Transactions[[#This Row],[Transaction name]],IF(Transactions[[#This Row],[Level 2]]=Transactions[[#This Row],[L1N]],Transactions[[#This Row],[Transaction name]],IF(Transactions[[#This Row],[Level 2]]=Transactions[[#This Row],[L2N]],Transactions[[#This Row],[L1N]],IF(Transactions[[#This Row],[Level 2]]=Transactions[[#This Row],[L3N]],Transactions[[#This Row],[L2N]],IF(Transactions[[#This Row],[Level 2]]=Transactions[[#This Row],[L4N]],Transactions[[#This Row],[L3N]],IF(Transactions[[#This Row],[Level 2]]=Transactions[[#This Row],[L5N]],Transactions[[#This Row],[L4N]],IF(Transactions[[#This Row],[Level 2]]=Transactions[[#This Row],[L6N]],Transactions[[#This Row],[L5N]],IF(Transactions[[#This Row],[Level 2]]=Transactions[[#This Row],[L7N]],Transactions[[#This Row],[L6N]],Transactions[[#This Row],[L7N]]))))))))</f>
        <v>Electricity production (T)</v>
      </c>
      <c r="AV240" s="24" t="str">
        <f>IF(Transactions[[#This Row],[Level 3]]=Transactions[[#This Row],[Transaction name]],Transactions[[#This Row],[Transaction name]],IF(Transactions[[#This Row],[Level 3]]=Transactions[[#This Row],[L1N]],Transactions[[#This Row],[Transaction name]],IF(Transactions[[#This Row],[Level 3]]=Transactions[[#This Row],[L2N]],Transactions[[#This Row],[L1N]],IF(Transactions[[#This Row],[Level 3]]=Transactions[[#This Row],[L3N]],Transactions[[#This Row],[L2N]],IF(Transactions[[#This Row],[Level 3]]=Transactions[[#This Row],[L4N]],Transactions[[#This Row],[L3N]],IF(Transactions[[#This Row],[Level 3]]=Transactions[[#This Row],[L5N]],Transactions[[#This Row],[L4N]],IF(Transactions[[#This Row],[Level 3]]=Transactions[[#This Row],[L6N]],Transactions[[#This Row],[L5N]],IF(Transactions[[#This Row],[Level 3]]=Transactions[[#This Row],[L7N]],Transactions[[#This Row],[L6N]],Transactions[[#This Row],[L7N]]))))))))</f>
        <v>Electricity production (T)</v>
      </c>
      <c r="AW240" s="24" t="str">
        <f>IF(Transactions[[#This Row],[Level 4]]=Transactions[[#This Row],[Transaction name]],Transactions[[#This Row],[Transaction name]],IF(Transactions[[#This Row],[Level 4]]=Transactions[[#This Row],[L1N]],Transactions[[#This Row],[Transaction name]],IF(Transactions[[#This Row],[Level 4]]=Transactions[[#This Row],[L2N]],Transactions[[#This Row],[L1N]],IF(Transactions[[#This Row],[Level 4]]=Transactions[[#This Row],[L3N]],Transactions[[#This Row],[L2N]],IF(Transactions[[#This Row],[Level 4]]=Transactions[[#This Row],[L4N]],Transactions[[#This Row],[L3N]],IF(Transactions[[#This Row],[Level 4]]=Transactions[[#This Row],[L5N]],Transactions[[#This Row],[L4N]],IF(Transactions[[#This Row],[Level 4]]=Transactions[[#This Row],[L6N]],Transactions[[#This Row],[L5N]],IF(Transactions[[#This Row],[Level 4]]=Transactions[[#This Row],[L7N]],Transactions[[#This Row],[L6N]],Transactions[[#This Row],[L7N]]))))))))</f>
        <v>Electricity production (T)</v>
      </c>
      <c r="AX240" s="24" t="str">
        <f>IF(Transactions[[#This Row],[Level 5]]=Transactions[[#This Row],[Transaction name]],Transactions[[#This Row],[Transaction name]],IF(Transactions[[#This Row],[Level 5]]=Transactions[[#This Row],[L1N]],Transactions[[#This Row],[Transaction name]],IF(Transactions[[#This Row],[Level 5]]=Transactions[[#This Row],[L2N]],Transactions[[#This Row],[L1N]],IF(Transactions[[#This Row],[Level 5]]=Transactions[[#This Row],[L3N]],Transactions[[#This Row],[L2N]],IF(Transactions[[#This Row],[Level 5]]=Transactions[[#This Row],[L4N]],Transactions[[#This Row],[L3N]],IF(Transactions[[#This Row],[Level 5]]=Transactions[[#This Row],[L5N]],Transactions[[#This Row],[L4N]],IF(Transactions[[#This Row],[Level 5]]=Transactions[[#This Row],[L6N]],Transactions[[#This Row],[L5N]],IF(Transactions[[#This Row],[Level 5]]=Transactions[[#This Row],[L7N]],Transactions[[#This Row],[L6N]],Transactions[[#This Row],[L7N]]))))))))</f>
        <v>Electricity production (T)</v>
      </c>
      <c r="AY240" s="24" t="str">
        <f>IF(Transactions[[#This Row],[Level 6]]=Transactions[[#This Row],[Transaction name]],Transactions[[#This Row],[Transaction name]],IF(Transactions[[#This Row],[Level 6]]=Transactions[[#This Row],[L1N]],Transactions[[#This Row],[Transaction name]],IF(Transactions[[#This Row],[Level 6]]=Transactions[[#This Row],[L2N]],Transactions[[#This Row],[L1N]],IF(Transactions[[#This Row],[Level 6]]=Transactions[[#This Row],[L3N]],Transactions[[#This Row],[L2N]],IF(Transactions[[#This Row],[Level 6]]=Transactions[[#This Row],[L4N]],Transactions[[#This Row],[L3N]],IF(Transactions[[#This Row],[Level 6]]=Transactions[[#This Row],[L5N]],Transactions[[#This Row],[L4N]],IF(Transactions[[#This Row],[Level 6]]=Transactions[[#This Row],[L6N]],Transactions[[#This Row],[L5N]],IF(Transactions[[#This Row],[Level 6]]=Transactions[[#This Row],[L7N]],Transactions[[#This Row],[L6N]],Transactions[[#This Row],[L7N]]))))))))</f>
        <v>Electricity production (T)</v>
      </c>
      <c r="BE240" s="26" t="str">
        <f>_xlfn.XLOOKUP(Transformation[[#This Row],[cfrom]],Commodities[Commodity],Commodities[Commodity code])</f>
        <v>5140</v>
      </c>
      <c r="BF240" s="26" t="str">
        <f>_xlfn.XLOOKUP(Transformation[[#This Row],[tfrom]],Transactions[Transaction name],Transactions[Transaction code])</f>
        <v>08832</v>
      </c>
      <c r="BG240" s="26" t="str">
        <f>_xlfn.XLOOKUP(Transformation[[#This Row],[cto]],Commodities[Commodity],Commodities[Commodity code])</f>
        <v>5140</v>
      </c>
      <c r="BH240" s="26" t="str">
        <f>_xlfn.XLOOKUP(Transformation[[#This Row],[tto]],Transactions[Transaction name],Transactions[Transaction code])</f>
        <v>016BSH</v>
      </c>
      <c r="BI240" s="11">
        <v>1</v>
      </c>
      <c r="BJ240" s="4" t="s">
        <v>330</v>
      </c>
      <c r="BK240" s="24" t="str">
        <f>_xlfn.XLOOKUP(Transformation[[#This Row],[Commodity from]],Commodities[Commodity code],Commodities[EnergyCode])</f>
        <v>PU</v>
      </c>
      <c r="BL240" s="4" t="s">
        <v>694</v>
      </c>
      <c r="BM240" s="4" t="s">
        <v>330</v>
      </c>
      <c r="BN240" s="24" t="str">
        <f>_xlfn.XLOOKUP(Transformation[[#This Row],[Commodity to]],Commodities[Commodity code],Commodities[EnergyCode])</f>
        <v>PU</v>
      </c>
      <c r="BO240" s="4" t="s">
        <v>1128</v>
      </c>
      <c r="BP240" s="16" t="s">
        <v>1493</v>
      </c>
      <c r="BQ240" s="33" t="str">
        <f>Transformation[[#This Row],[Commodity from]]&amp;Transformation[[#This Row],[Transaction from]]&amp;Transformation[[#This Row],[Commodity to]]&amp;Transformation[[#This Row],[Transaction to]]</f>
        <v>5140088325140016BSH</v>
      </c>
      <c r="BR240" s="26" t="str">
        <f>Transformation[[#This Row],[crfomid]]&amp;Transformation[[#This Row],[Transaction from]]&amp;"("&amp;Transformation[[#This Row],[Multiplier]]&amp;") -&gt; "&amp;Transformation[[#This Row],[ctoid]]&amp;Transformation[[#This Row],[Transaction to]]</f>
        <v>PU08832(1) -&gt; PU016BSH</v>
      </c>
    </row>
    <row r="241" spans="25:70" x14ac:dyDescent="0.45">
      <c r="Y241" s="19" t="s">
        <v>1627</v>
      </c>
      <c r="Z241" s="18" t="s">
        <v>922</v>
      </c>
      <c r="AA241" s="18" t="s">
        <v>922</v>
      </c>
      <c r="AB241" s="21" t="s">
        <v>171</v>
      </c>
      <c r="AC241" s="26" t="str">
        <f>IFERROR(VLOOKUP(Transactions[[#This Row],[Parent code]],Transactions[[Transaction code]:[Transaction name]],2,0),"")</f>
        <v>Electricity, CHP and heat plants (T)</v>
      </c>
      <c r="AD241" s="18" t="s">
        <v>189</v>
      </c>
      <c r="AE241" s="18" t="s">
        <v>922</v>
      </c>
      <c r="AF241" s="18" t="s">
        <v>642</v>
      </c>
      <c r="AG241" s="18" t="s">
        <v>1</v>
      </c>
      <c r="AH241" s="18" t="s">
        <v>696</v>
      </c>
      <c r="AI241" s="18" t="s">
        <v>1416</v>
      </c>
      <c r="AJ241" s="18"/>
      <c r="AK241" s="26" t="str" cm="1">
        <f t="array" ref="AK241">IFERROR(INDEX(Transactions[[Transaction code]:[Transaction name]],_xlfn.XMATCH(Transactions[[#This Row],[Parent code]],Transactions[Transaction name],0),3),Transactions[[#This Row],[Transaction name]])</f>
        <v>CHP plants</v>
      </c>
      <c r="AL241" s="26" t="str" cm="1">
        <f t="array" ref="AL241">IFERROR(INDEX(Transactions[[Transaction code]:[Transaction name]],_xlfn.XMATCH(INDEX(Transactions[[Transaction name]:[Parent code]],_xlfn.XMATCH(Transactions[[#This Row],[L1N]],Transactions[Transaction name],0),3),Transactions[Transaction code],0),2),Transactions[[#This Row],[L1N]])</f>
        <v>Electricity, CHP and heat plants (T)</v>
      </c>
      <c r="AM241" s="26" t="str" cm="1">
        <f t="array" ref="AM241">IFERROR(INDEX(Transactions[[Transaction code]:[Transaction name]],_xlfn.XMATCH(INDEX(Transactions[[Transaction name]:[Parent code]],_xlfn.XMATCH(Transactions[[#This Row],[L2N]],Transactions[Transaction name],0),3),Transactions[Transaction code],0),2),Transactions[[#This Row],[L2N]])</f>
        <v>Transformation</v>
      </c>
      <c r="AN241" s="26" t="str" cm="1">
        <f t="array" ref="AN241">IFERROR(INDEX(Transactions[[Transaction code]:[Transaction name]],_xlfn.XMATCH(INDEX(Transactions[[Transaction name]:[Parent code]],_xlfn.XMATCH(Transactions[[#This Row],[L3N]],Transactions[Transaction name],0),3),Transactions[Transaction code],0),2),Transactions[[#This Row],[L3N]])</f>
        <v>Transformation</v>
      </c>
      <c r="AO241" s="26" t="str" cm="1">
        <f t="array" ref="AO241">IFERROR(INDEX(Transactions[[Transaction code]:[Transaction name]],_xlfn.XMATCH(INDEX(Transactions[[Transaction name]:[Parent code]],_xlfn.XMATCH(Transactions[[#This Row],[L4N]],Transactions[Transaction name],0),3),Transactions[Transaction code],0),2),Transactions[[#This Row],[L4N]])</f>
        <v>Transformation</v>
      </c>
      <c r="AP241" s="26" t="str" cm="1">
        <f t="array" ref="AP241">IFERROR(INDEX(Transactions[[Transaction code]:[Transaction name]],_xlfn.XMATCH(INDEX(Transactions[[Transaction name]:[Parent code]],_xlfn.XMATCH(Transactions[[#This Row],[L5N]],Transactions[Transaction name],0),3),Transactions[Transaction code],0),2),Transactions[[#This Row],[L5N]])</f>
        <v>Transformation</v>
      </c>
      <c r="AQ241" s="26" t="str" cm="1">
        <f t="array" ref="AQ241">IFERROR(INDEX(Transactions[[Transaction code]:[Transaction name]],_xlfn.XMATCH(INDEX(Transactions[[Transaction name]:[Parent code]],_xlfn.XMATCH(Transactions[[#This Row],[L6N]],Transactions[Transaction name],0),3),Transactions[Transaction code],0),2),Transactions[[#This Row],[L6N]])</f>
        <v>Transformation</v>
      </c>
      <c r="AR241" s="29" t="str">
        <f>IF(Transactions[[#This Row],[L7N]]=Transactions[[#This Row],[L6N]],Transactions[[#This Row],[L7N]],IF(Transactions[[#This Row],[L6N]]=Transactions[[#This Row],[L5N]],Transactions[[#This Row],[L6N]],IF(Transactions[[#This Row],[L5N]]=Transactions[[#This Row],[L4N]],Transactions[[#This Row],[L5N]],IF(Transactions[[#This Row],[L4N]]=Transactions[[#This Row],[L3N]],Transactions[[#This Row],[L4N]],IF(Transactions[[#This Row],[L3N]]=Transactions[[#This Row],[L2N]],Transactions[[#This Row],[L3N]],IF(Transactions[[#This Row],[L2N]]=Transactions[[#This Row],[L1N]],Transactions[[#This Row],[L2N]],IF(Transactions[[#This Row],[L1N]]=Transactions[[#This Row],[Transaction name]],Transactions[[#This Row],[L1N]],Transactions[[#This Row],[Transaction name]])))))))</f>
        <v>Transformation</v>
      </c>
      <c r="AS241" s="26" t="str">
        <f>IF(Transactions[[#This Row],[Level 0]]=Transactions[[#This Row],[Transaction name]],Transactions[[#This Row],[Transaction name]],IF(Transactions[[#This Row],[Level 0]]=Transactions[[#This Row],[L1N]],Transactions[[#This Row],[Transaction name]],IF(Transactions[[#This Row],[Level 0]]=Transactions[[#This Row],[L2N]],Transactions[[#This Row],[L1N]],IF(Transactions[[#This Row],[Level 0]]=Transactions[[#This Row],[L3N]],Transactions[[#This Row],[L2N]],IF(Transactions[[#This Row],[Level 0]]=Transactions[[#This Row],[L4N]],Transactions[[#This Row],[L3N]],IF(Transactions[[#This Row],[Level 0]]=Transactions[[#This Row],[L5N]],Transactions[[#This Row],[L4N]],IF(Transactions[[#This Row],[Level 0]]=Transactions[[#This Row],[L6N]],Transactions[[#This Row],[L5N]],IF(Transactions[[#This Row],[Level 0]]=Transactions[[#This Row],[L7N]],Transactions[[#This Row],[L6N]],Transactions[[#This Row],[L7N]]))))))))</f>
        <v>Electricity, CHP and heat plants (T)</v>
      </c>
      <c r="AT241" s="26" t="str">
        <f>IF(Transactions[[#This Row],[Level 1]]=Transactions[[#This Row],[Transaction name]],Transactions[[#This Row],[Transaction name]],IF(Transactions[[#This Row],[Level 1]]=Transactions[[#This Row],[L1N]],Transactions[[#This Row],[Transaction name]],IF(Transactions[[#This Row],[Level 1]]=Transactions[[#This Row],[L2N]],Transactions[[#This Row],[L1N]],IF(Transactions[[#This Row],[Level 1]]=Transactions[[#This Row],[L3N]],Transactions[[#This Row],[L2N]],IF(Transactions[[#This Row],[Level 1]]=Transactions[[#This Row],[L4N]],Transactions[[#This Row],[L3N]],IF(Transactions[[#This Row],[Level 1]]=Transactions[[#This Row],[L5N]],Transactions[[#This Row],[L4N]],IF(Transactions[[#This Row],[Level 1]]=Transactions[[#This Row],[L6N]],Transactions[[#This Row],[L5N]],IF(Transactions[[#This Row],[Level 1]]=Transactions[[#This Row],[L7N]],Transactions[[#This Row],[L6N]],Transactions[[#This Row],[L7N]]))))))))</f>
        <v>CHP plants</v>
      </c>
      <c r="AU241" s="26" t="str">
        <f>IF(Transactions[[#This Row],[Level 2]]=Transactions[[#This Row],[Transaction name]],Transactions[[#This Row],[Transaction name]],IF(Transactions[[#This Row],[Level 2]]=Transactions[[#This Row],[L1N]],Transactions[[#This Row],[Transaction name]],IF(Transactions[[#This Row],[Level 2]]=Transactions[[#This Row],[L2N]],Transactions[[#This Row],[L1N]],IF(Transactions[[#This Row],[Level 2]]=Transactions[[#This Row],[L3N]],Transactions[[#This Row],[L2N]],IF(Transactions[[#This Row],[Level 2]]=Transactions[[#This Row],[L4N]],Transactions[[#This Row],[L3N]],IF(Transactions[[#This Row],[Level 2]]=Transactions[[#This Row],[L5N]],Transactions[[#This Row],[L4N]],IF(Transactions[[#This Row],[Level 2]]=Transactions[[#This Row],[L6N]],Transactions[[#This Row],[L5N]],IF(Transactions[[#This Row],[Level 2]]=Transactions[[#This Row],[L7N]],Transactions[[#This Row],[L6N]],Transactions[[#This Row],[L7N]]))))))))</f>
        <v>CHP plants</v>
      </c>
      <c r="AV241" s="26" t="str">
        <f>IF(Transactions[[#This Row],[Level 3]]=Transactions[[#This Row],[Transaction name]],Transactions[[#This Row],[Transaction name]],IF(Transactions[[#This Row],[Level 3]]=Transactions[[#This Row],[L1N]],Transactions[[#This Row],[Transaction name]],IF(Transactions[[#This Row],[Level 3]]=Transactions[[#This Row],[L2N]],Transactions[[#This Row],[L1N]],IF(Transactions[[#This Row],[Level 3]]=Transactions[[#This Row],[L3N]],Transactions[[#This Row],[L2N]],IF(Transactions[[#This Row],[Level 3]]=Transactions[[#This Row],[L4N]],Transactions[[#This Row],[L3N]],IF(Transactions[[#This Row],[Level 3]]=Transactions[[#This Row],[L5N]],Transactions[[#This Row],[L4N]],IF(Transactions[[#This Row],[Level 3]]=Transactions[[#This Row],[L6N]],Transactions[[#This Row],[L5N]],IF(Transactions[[#This Row],[Level 3]]=Transactions[[#This Row],[L7N]],Transactions[[#This Row],[L6N]],Transactions[[#This Row],[L7N]]))))))))</f>
        <v>CHP plants</v>
      </c>
      <c r="AW241" s="26" t="str">
        <f>IF(Transactions[[#This Row],[Level 4]]=Transactions[[#This Row],[Transaction name]],Transactions[[#This Row],[Transaction name]],IF(Transactions[[#This Row],[Level 4]]=Transactions[[#This Row],[L1N]],Transactions[[#This Row],[Transaction name]],IF(Transactions[[#This Row],[Level 4]]=Transactions[[#This Row],[L2N]],Transactions[[#This Row],[L1N]],IF(Transactions[[#This Row],[Level 4]]=Transactions[[#This Row],[L3N]],Transactions[[#This Row],[L2N]],IF(Transactions[[#This Row],[Level 4]]=Transactions[[#This Row],[L4N]],Transactions[[#This Row],[L3N]],IF(Transactions[[#This Row],[Level 4]]=Transactions[[#This Row],[L5N]],Transactions[[#This Row],[L4N]],IF(Transactions[[#This Row],[Level 4]]=Transactions[[#This Row],[L6N]],Transactions[[#This Row],[L5N]],IF(Transactions[[#This Row],[Level 4]]=Transactions[[#This Row],[L7N]],Transactions[[#This Row],[L6N]],Transactions[[#This Row],[L7N]]))))))))</f>
        <v>CHP plants</v>
      </c>
      <c r="AX241" s="26" t="str">
        <f>IF(Transactions[[#This Row],[Level 5]]=Transactions[[#This Row],[Transaction name]],Transactions[[#This Row],[Transaction name]],IF(Transactions[[#This Row],[Level 5]]=Transactions[[#This Row],[L1N]],Transactions[[#This Row],[Transaction name]],IF(Transactions[[#This Row],[Level 5]]=Transactions[[#This Row],[L2N]],Transactions[[#This Row],[L1N]],IF(Transactions[[#This Row],[Level 5]]=Transactions[[#This Row],[L3N]],Transactions[[#This Row],[L2N]],IF(Transactions[[#This Row],[Level 5]]=Transactions[[#This Row],[L4N]],Transactions[[#This Row],[L3N]],IF(Transactions[[#This Row],[Level 5]]=Transactions[[#This Row],[L5N]],Transactions[[#This Row],[L4N]],IF(Transactions[[#This Row],[Level 5]]=Transactions[[#This Row],[L6N]],Transactions[[#This Row],[L5N]],IF(Transactions[[#This Row],[Level 5]]=Transactions[[#This Row],[L7N]],Transactions[[#This Row],[L6N]],Transactions[[#This Row],[L7N]]))))))))</f>
        <v>CHP plants</v>
      </c>
      <c r="AY241" s="26" t="str">
        <f>IF(Transactions[[#This Row],[Level 6]]=Transactions[[#This Row],[Transaction name]],Transactions[[#This Row],[Transaction name]],IF(Transactions[[#This Row],[Level 6]]=Transactions[[#This Row],[L1N]],Transactions[[#This Row],[Transaction name]],IF(Transactions[[#This Row],[Level 6]]=Transactions[[#This Row],[L2N]],Transactions[[#This Row],[L1N]],IF(Transactions[[#This Row],[Level 6]]=Transactions[[#This Row],[L3N]],Transactions[[#This Row],[L2N]],IF(Transactions[[#This Row],[Level 6]]=Transactions[[#This Row],[L4N]],Transactions[[#This Row],[L3N]],IF(Transactions[[#This Row],[Level 6]]=Transactions[[#This Row],[L5N]],Transactions[[#This Row],[L4N]],IF(Transactions[[#This Row],[Level 6]]=Transactions[[#This Row],[L6N]],Transactions[[#This Row],[L5N]],IF(Transactions[[#This Row],[Level 6]]=Transactions[[#This Row],[L7N]],Transactions[[#This Row],[L6N]],Transactions[[#This Row],[L7N]]))))))))</f>
        <v>CHP plants</v>
      </c>
      <c r="BE241" s="26" t="str">
        <f>_xlfn.XLOOKUP(Transformation[[#This Row],[cfrom]],Commodities[Commodity],Commodities[Commodity code])</f>
        <v>4680</v>
      </c>
      <c r="BF241" s="26" t="str">
        <f>_xlfn.XLOOKUP(Transformation[[#This Row],[tfrom]],Transactions[Transaction name],Transactions[Transaction code])</f>
        <v>08832</v>
      </c>
      <c r="BG241" s="26" t="str">
        <f>_xlfn.XLOOKUP(Transformation[[#This Row],[cto]],Commodities[Commodity],Commodities[Commodity code])</f>
        <v>4680</v>
      </c>
      <c r="BH241" s="26" t="str">
        <f>_xlfn.XLOOKUP(Transformation[[#This Row],[tto]],Transactions[Transaction name],Transactions[Transaction code])</f>
        <v>016FOH</v>
      </c>
      <c r="BI241" s="11">
        <v>1</v>
      </c>
      <c r="BJ241" s="4" t="s">
        <v>368</v>
      </c>
      <c r="BK241" s="24" t="str">
        <f>_xlfn.XLOOKUP(Transformation[[#This Row],[Commodity from]],Commodities[Commodity code],Commodities[EnergyCode])</f>
        <v>RF</v>
      </c>
      <c r="BL241" s="4" t="s">
        <v>694</v>
      </c>
      <c r="BM241" s="4" t="s">
        <v>368</v>
      </c>
      <c r="BN241" s="24" t="str">
        <f>_xlfn.XLOOKUP(Transformation[[#This Row],[Commodity to]],Commodities[Commodity code],Commodities[EnergyCode])</f>
        <v>RF</v>
      </c>
      <c r="BO241" s="4" t="s">
        <v>1032</v>
      </c>
      <c r="BP241" s="16" t="s">
        <v>1493</v>
      </c>
      <c r="BQ241" s="33" t="str">
        <f>Transformation[[#This Row],[Commodity from]]&amp;Transformation[[#This Row],[Transaction from]]&amp;Transformation[[#This Row],[Commodity to]]&amp;Transformation[[#This Row],[Transaction to]]</f>
        <v>4680088324680016FOH</v>
      </c>
      <c r="BR241" s="26" t="str">
        <f>Transformation[[#This Row],[crfomid]]&amp;Transformation[[#This Row],[Transaction from]]&amp;"("&amp;Transformation[[#This Row],[Multiplier]]&amp;") -&gt; "&amp;Transformation[[#This Row],[ctoid]]&amp;Transformation[[#This Row],[Transaction to]]</f>
        <v>RF08832(1) -&gt; RF016FOH</v>
      </c>
    </row>
    <row r="242" spans="25:70" x14ac:dyDescent="0.45">
      <c r="Y242" s="5" t="s">
        <v>1086</v>
      </c>
      <c r="Z242" s="7" t="s">
        <v>1062</v>
      </c>
      <c r="AA242" s="4" t="s">
        <v>1347</v>
      </c>
      <c r="AB242" s="19" t="s">
        <v>1607</v>
      </c>
      <c r="AC242" s="24" t="str">
        <f>IFERROR(VLOOKUP(Transactions[[#This Row],[Parent code]],Transactions[[Transaction code]:[Transaction name]],2,0),"")</f>
        <v>CHP plants - bagasse</v>
      </c>
      <c r="AD242" s="4" t="s">
        <v>189</v>
      </c>
      <c r="AE242" s="4" t="s">
        <v>922</v>
      </c>
      <c r="AF242" s="4" t="s">
        <v>642</v>
      </c>
      <c r="AG242" s="4" t="s">
        <v>1</v>
      </c>
      <c r="AH242" s="4" t="s">
        <v>696</v>
      </c>
      <c r="AI242" s="12" t="s">
        <v>1416</v>
      </c>
      <c r="AK242" s="24" t="str" cm="1">
        <f t="array" ref="AK242">IFERROR(INDEX(Transactions[[Transaction code]:[Transaction name]],_xlfn.XMATCH(Transactions[[#This Row],[Parent code]],Transactions[Transaction name],0),3),Transactions[[#This Row],[Transaction name]])</f>
        <v>CHP plants - Autoproducer - bagasse</v>
      </c>
      <c r="AL242" s="24" t="str" cm="1">
        <f t="array" ref="AL242">IFERROR(INDEX(Transactions[[Transaction code]:[Transaction name]],_xlfn.XMATCH(INDEX(Transactions[[Transaction name]:[Parent code]],_xlfn.XMATCH(Transactions[[#This Row],[L1N]],Transactions[Transaction name],0),3),Transactions[Transaction code],0),2),Transactions[[#This Row],[L1N]])</f>
        <v>CHP plants - bagasse</v>
      </c>
      <c r="AM242" s="24" t="str" cm="1">
        <f t="array" ref="AM242">IFERROR(INDEX(Transactions[[Transaction code]:[Transaction name]],_xlfn.XMATCH(INDEX(Transactions[[Transaction name]:[Parent code]],_xlfn.XMATCH(Transactions[[#This Row],[L2N]],Transactions[Transaction name],0),3),Transactions[Transaction code],0),2),Transactions[[#This Row],[L2N]])</f>
        <v>CHP plants</v>
      </c>
      <c r="AN242" s="24" t="str" cm="1">
        <f t="array" ref="AN242">IFERROR(INDEX(Transactions[[Transaction code]:[Transaction name]],_xlfn.XMATCH(INDEX(Transactions[[Transaction name]:[Parent code]],_xlfn.XMATCH(Transactions[[#This Row],[L3N]],Transactions[Transaction name],0),3),Transactions[Transaction code],0),2),Transactions[[#This Row],[L3N]])</f>
        <v>Electricity, CHP and heat plants (T)</v>
      </c>
      <c r="AO242" s="24" t="str" cm="1">
        <f t="array" ref="AO242">IFERROR(INDEX(Transactions[[Transaction code]:[Transaction name]],_xlfn.XMATCH(INDEX(Transactions[[Transaction name]:[Parent code]],_xlfn.XMATCH(Transactions[[#This Row],[L4N]],Transactions[Transaction name],0),3),Transactions[Transaction code],0),2),Transactions[[#This Row],[L4N]])</f>
        <v>Transformation</v>
      </c>
      <c r="AP242" s="24" t="str" cm="1">
        <f t="array" ref="AP242">IFERROR(INDEX(Transactions[[Transaction code]:[Transaction name]],_xlfn.XMATCH(INDEX(Transactions[[Transaction name]:[Parent code]],_xlfn.XMATCH(Transactions[[#This Row],[L5N]],Transactions[Transaction name],0),3),Transactions[Transaction code],0),2),Transactions[[#This Row],[L5N]])</f>
        <v>Transformation</v>
      </c>
      <c r="AQ242" s="24" t="str" cm="1">
        <f t="array" ref="AQ242">IFERROR(INDEX(Transactions[[Transaction code]:[Transaction name]],_xlfn.XMATCH(INDEX(Transactions[[Transaction name]:[Parent code]],_xlfn.XMATCH(Transactions[[#This Row],[L6N]],Transactions[Transaction name],0),3),Transactions[Transaction code],0),2),Transactions[[#This Row],[L6N]])</f>
        <v>Transformation</v>
      </c>
      <c r="AR242" s="28" t="str">
        <f>IF(Transactions[[#This Row],[L7N]]=Transactions[[#This Row],[L6N]],Transactions[[#This Row],[L7N]],IF(Transactions[[#This Row],[L6N]]=Transactions[[#This Row],[L5N]],Transactions[[#This Row],[L6N]],IF(Transactions[[#This Row],[L5N]]=Transactions[[#This Row],[L4N]],Transactions[[#This Row],[L5N]],IF(Transactions[[#This Row],[L4N]]=Transactions[[#This Row],[L3N]],Transactions[[#This Row],[L4N]],IF(Transactions[[#This Row],[L3N]]=Transactions[[#This Row],[L2N]],Transactions[[#This Row],[L3N]],IF(Transactions[[#This Row],[L2N]]=Transactions[[#This Row],[L1N]],Transactions[[#This Row],[L2N]],IF(Transactions[[#This Row],[L1N]]=Transactions[[#This Row],[Transaction name]],Transactions[[#This Row],[L1N]],Transactions[[#This Row],[Transaction name]])))))))</f>
        <v>Transformation</v>
      </c>
      <c r="AS242" s="24" t="str">
        <f>IF(Transactions[[#This Row],[Level 0]]=Transactions[[#This Row],[Transaction name]],Transactions[[#This Row],[Transaction name]],IF(Transactions[[#This Row],[Level 0]]=Transactions[[#This Row],[L1N]],Transactions[[#This Row],[Transaction name]],IF(Transactions[[#This Row],[Level 0]]=Transactions[[#This Row],[L2N]],Transactions[[#This Row],[L1N]],IF(Transactions[[#This Row],[Level 0]]=Transactions[[#This Row],[L3N]],Transactions[[#This Row],[L2N]],IF(Transactions[[#This Row],[Level 0]]=Transactions[[#This Row],[L4N]],Transactions[[#This Row],[L3N]],IF(Transactions[[#This Row],[Level 0]]=Transactions[[#This Row],[L5N]],Transactions[[#This Row],[L4N]],IF(Transactions[[#This Row],[Level 0]]=Transactions[[#This Row],[L6N]],Transactions[[#This Row],[L5N]],IF(Transactions[[#This Row],[Level 0]]=Transactions[[#This Row],[L7N]],Transactions[[#This Row],[L6N]],Transactions[[#This Row],[L7N]]))))))))</f>
        <v>Electricity, CHP and heat plants (T)</v>
      </c>
      <c r="AT242" s="24" t="str">
        <f>IF(Transactions[[#This Row],[Level 1]]=Transactions[[#This Row],[Transaction name]],Transactions[[#This Row],[Transaction name]],IF(Transactions[[#This Row],[Level 1]]=Transactions[[#This Row],[L1N]],Transactions[[#This Row],[Transaction name]],IF(Transactions[[#This Row],[Level 1]]=Transactions[[#This Row],[L2N]],Transactions[[#This Row],[L1N]],IF(Transactions[[#This Row],[Level 1]]=Transactions[[#This Row],[L3N]],Transactions[[#This Row],[L2N]],IF(Transactions[[#This Row],[Level 1]]=Transactions[[#This Row],[L4N]],Transactions[[#This Row],[L3N]],IF(Transactions[[#This Row],[Level 1]]=Transactions[[#This Row],[L5N]],Transactions[[#This Row],[L4N]],IF(Transactions[[#This Row],[Level 1]]=Transactions[[#This Row],[L6N]],Transactions[[#This Row],[L5N]],IF(Transactions[[#This Row],[Level 1]]=Transactions[[#This Row],[L7N]],Transactions[[#This Row],[L6N]],Transactions[[#This Row],[L7N]]))))))))</f>
        <v>CHP plants</v>
      </c>
      <c r="AU242" s="24" t="str">
        <f>IF(Transactions[[#This Row],[Level 2]]=Transactions[[#This Row],[Transaction name]],Transactions[[#This Row],[Transaction name]],IF(Transactions[[#This Row],[Level 2]]=Transactions[[#This Row],[L1N]],Transactions[[#This Row],[Transaction name]],IF(Transactions[[#This Row],[Level 2]]=Transactions[[#This Row],[L2N]],Transactions[[#This Row],[L1N]],IF(Transactions[[#This Row],[Level 2]]=Transactions[[#This Row],[L3N]],Transactions[[#This Row],[L2N]],IF(Transactions[[#This Row],[Level 2]]=Transactions[[#This Row],[L4N]],Transactions[[#This Row],[L3N]],IF(Transactions[[#This Row],[Level 2]]=Transactions[[#This Row],[L5N]],Transactions[[#This Row],[L4N]],IF(Transactions[[#This Row],[Level 2]]=Transactions[[#This Row],[L6N]],Transactions[[#This Row],[L5N]],IF(Transactions[[#This Row],[Level 2]]=Transactions[[#This Row],[L7N]],Transactions[[#This Row],[L6N]],Transactions[[#This Row],[L7N]]))))))))</f>
        <v>CHP plants - bagasse</v>
      </c>
      <c r="AV242" s="24" t="str">
        <f>IF(Transactions[[#This Row],[Level 3]]=Transactions[[#This Row],[Transaction name]],Transactions[[#This Row],[Transaction name]],IF(Transactions[[#This Row],[Level 3]]=Transactions[[#This Row],[L1N]],Transactions[[#This Row],[Transaction name]],IF(Transactions[[#This Row],[Level 3]]=Transactions[[#This Row],[L2N]],Transactions[[#This Row],[L1N]],IF(Transactions[[#This Row],[Level 3]]=Transactions[[#This Row],[L3N]],Transactions[[#This Row],[L2N]],IF(Transactions[[#This Row],[Level 3]]=Transactions[[#This Row],[L4N]],Transactions[[#This Row],[L3N]],IF(Transactions[[#This Row],[Level 3]]=Transactions[[#This Row],[L5N]],Transactions[[#This Row],[L4N]],IF(Transactions[[#This Row],[Level 3]]=Transactions[[#This Row],[L6N]],Transactions[[#This Row],[L5N]],IF(Transactions[[#This Row],[Level 3]]=Transactions[[#This Row],[L7N]],Transactions[[#This Row],[L6N]],Transactions[[#This Row],[L7N]]))))))))</f>
        <v>CHP plants - Autoproducer - bagasse</v>
      </c>
      <c r="AW242" s="24" t="str">
        <f>IF(Transactions[[#This Row],[Level 4]]=Transactions[[#This Row],[Transaction name]],Transactions[[#This Row],[Transaction name]],IF(Transactions[[#This Row],[Level 4]]=Transactions[[#This Row],[L1N]],Transactions[[#This Row],[Transaction name]],IF(Transactions[[#This Row],[Level 4]]=Transactions[[#This Row],[L2N]],Transactions[[#This Row],[L1N]],IF(Transactions[[#This Row],[Level 4]]=Transactions[[#This Row],[L3N]],Transactions[[#This Row],[L2N]],IF(Transactions[[#This Row],[Level 4]]=Transactions[[#This Row],[L4N]],Transactions[[#This Row],[L3N]],IF(Transactions[[#This Row],[Level 4]]=Transactions[[#This Row],[L5N]],Transactions[[#This Row],[L4N]],IF(Transactions[[#This Row],[Level 4]]=Transactions[[#This Row],[L6N]],Transactions[[#This Row],[L5N]],IF(Transactions[[#This Row],[Level 4]]=Transactions[[#This Row],[L7N]],Transactions[[#This Row],[L6N]],Transactions[[#This Row],[L7N]]))))))))</f>
        <v>CHP plants - Autoproducer - bagasse</v>
      </c>
      <c r="AX242" s="24" t="str">
        <f>IF(Transactions[[#This Row],[Level 5]]=Transactions[[#This Row],[Transaction name]],Transactions[[#This Row],[Transaction name]],IF(Transactions[[#This Row],[Level 5]]=Transactions[[#This Row],[L1N]],Transactions[[#This Row],[Transaction name]],IF(Transactions[[#This Row],[Level 5]]=Transactions[[#This Row],[L2N]],Transactions[[#This Row],[L1N]],IF(Transactions[[#This Row],[Level 5]]=Transactions[[#This Row],[L3N]],Transactions[[#This Row],[L2N]],IF(Transactions[[#This Row],[Level 5]]=Transactions[[#This Row],[L4N]],Transactions[[#This Row],[L3N]],IF(Transactions[[#This Row],[Level 5]]=Transactions[[#This Row],[L5N]],Transactions[[#This Row],[L4N]],IF(Transactions[[#This Row],[Level 5]]=Transactions[[#This Row],[L6N]],Transactions[[#This Row],[L5N]],IF(Transactions[[#This Row],[Level 5]]=Transactions[[#This Row],[L7N]],Transactions[[#This Row],[L6N]],Transactions[[#This Row],[L7N]]))))))))</f>
        <v>CHP plants - Autoproducer - bagasse</v>
      </c>
      <c r="AY242" s="24" t="str">
        <f>IF(Transactions[[#This Row],[Level 6]]=Transactions[[#This Row],[Transaction name]],Transactions[[#This Row],[Transaction name]],IF(Transactions[[#This Row],[Level 6]]=Transactions[[#This Row],[L1N]],Transactions[[#This Row],[Transaction name]],IF(Transactions[[#This Row],[Level 6]]=Transactions[[#This Row],[L2N]],Transactions[[#This Row],[L1N]],IF(Transactions[[#This Row],[Level 6]]=Transactions[[#This Row],[L3N]],Transactions[[#This Row],[L2N]],IF(Transactions[[#This Row],[Level 6]]=Transactions[[#This Row],[L4N]],Transactions[[#This Row],[L3N]],IF(Transactions[[#This Row],[Level 6]]=Transactions[[#This Row],[L5N]],Transactions[[#This Row],[L4N]],IF(Transactions[[#This Row],[Level 6]]=Transactions[[#This Row],[L6N]],Transactions[[#This Row],[L5N]],IF(Transactions[[#This Row],[Level 6]]=Transactions[[#This Row],[L7N]],Transactions[[#This Row],[L6N]],Transactions[[#This Row],[L7N]]))))))))</f>
        <v>CHP plants - Autoproducer - bagasse</v>
      </c>
      <c r="BE242" s="26" t="str">
        <f>_xlfn.XLOOKUP(Transformation[[#This Row],[cfrom]],Commodities[Commodity],Commodities[Commodity code])</f>
        <v>4610</v>
      </c>
      <c r="BF242" s="26" t="str">
        <f>_xlfn.XLOOKUP(Transformation[[#This Row],[tfrom]],Transactions[Transaction name],Transactions[Transaction code])</f>
        <v>08832</v>
      </c>
      <c r="BG242" s="26" t="str">
        <f>_xlfn.XLOOKUP(Transformation[[#This Row],[cto]],Commodities[Commodity],Commodities[Commodity code])</f>
        <v>4610</v>
      </c>
      <c r="BH242" s="26" t="str">
        <f>_xlfn.XLOOKUP(Transformation[[#This Row],[tto]],Transactions[Transaction name],Transactions[Transaction code])</f>
        <v>016OPH</v>
      </c>
      <c r="BI242" s="11">
        <v>1</v>
      </c>
      <c r="BJ242" s="4" t="s">
        <v>416</v>
      </c>
      <c r="BK242" s="24" t="str">
        <f>_xlfn.XLOOKUP(Transformation[[#This Row],[Commodity from]],Commodities[Commodity code],Commodities[EnergyCode])</f>
        <v>RG</v>
      </c>
      <c r="BL242" s="4" t="s">
        <v>694</v>
      </c>
      <c r="BM242" s="4" t="s">
        <v>416</v>
      </c>
      <c r="BN242" s="24" t="str">
        <f>_xlfn.XLOOKUP(Transformation[[#This Row],[Commodity to]],Commodities[Commodity code],Commodities[EnergyCode])</f>
        <v>RG</v>
      </c>
      <c r="BO242" s="4" t="s">
        <v>1056</v>
      </c>
      <c r="BP242" s="16" t="s">
        <v>1493</v>
      </c>
      <c r="BQ242" s="33" t="str">
        <f>Transformation[[#This Row],[Commodity from]]&amp;Transformation[[#This Row],[Transaction from]]&amp;Transformation[[#This Row],[Commodity to]]&amp;Transformation[[#This Row],[Transaction to]]</f>
        <v>4610088324610016OPH</v>
      </c>
      <c r="BR242" s="26" t="str">
        <f>Transformation[[#This Row],[crfomid]]&amp;Transformation[[#This Row],[Transaction from]]&amp;"("&amp;Transformation[[#This Row],[Multiplier]]&amp;") -&gt; "&amp;Transformation[[#This Row],[ctoid]]&amp;Transformation[[#This Row],[Transaction to]]</f>
        <v>RG08832(1) -&gt; RG016OPH</v>
      </c>
    </row>
    <row r="243" spans="25:70" x14ac:dyDescent="0.45">
      <c r="Y243" s="19" t="s">
        <v>1607</v>
      </c>
      <c r="Z243" s="18" t="s">
        <v>1347</v>
      </c>
      <c r="AA243" s="18" t="s">
        <v>1347</v>
      </c>
      <c r="AB243" s="19" t="s">
        <v>1627</v>
      </c>
      <c r="AC243" s="26" t="str">
        <f>IFERROR(VLOOKUP(Transactions[[#This Row],[Parent code]],Transactions[[Transaction code]:[Transaction name]],2,0),"")</f>
        <v>CHP plants</v>
      </c>
      <c r="AD243" s="18" t="s">
        <v>189</v>
      </c>
      <c r="AE243" s="18" t="s">
        <v>922</v>
      </c>
      <c r="AF243" s="18" t="s">
        <v>642</v>
      </c>
      <c r="AG243" s="18" t="s">
        <v>1</v>
      </c>
      <c r="AH243" s="18" t="s">
        <v>696</v>
      </c>
      <c r="AI243" s="18" t="s">
        <v>1416</v>
      </c>
      <c r="AJ243" s="18"/>
      <c r="AK243" s="26" t="str" cm="1">
        <f t="array" ref="AK243">IFERROR(INDEX(Transactions[[Transaction code]:[Transaction name]],_xlfn.XMATCH(Transactions[[#This Row],[Parent code]],Transactions[Transaction name],0),3),Transactions[[#This Row],[Transaction name]])</f>
        <v>CHP plants - bagasse</v>
      </c>
      <c r="AL243" s="26" t="str" cm="1">
        <f t="array" ref="AL243">IFERROR(INDEX(Transactions[[Transaction code]:[Transaction name]],_xlfn.XMATCH(INDEX(Transactions[[Transaction name]:[Parent code]],_xlfn.XMATCH(Transactions[[#This Row],[L1N]],Transactions[Transaction name],0),3),Transactions[Transaction code],0),2),Transactions[[#This Row],[L1N]])</f>
        <v>CHP plants</v>
      </c>
      <c r="AM243" s="26" t="str" cm="1">
        <f t="array" ref="AM243">IFERROR(INDEX(Transactions[[Transaction code]:[Transaction name]],_xlfn.XMATCH(INDEX(Transactions[[Transaction name]:[Parent code]],_xlfn.XMATCH(Transactions[[#This Row],[L2N]],Transactions[Transaction name],0),3),Transactions[Transaction code],0),2),Transactions[[#This Row],[L2N]])</f>
        <v>Electricity, CHP and heat plants (T)</v>
      </c>
      <c r="AN243" s="26" t="str" cm="1">
        <f t="array" ref="AN243">IFERROR(INDEX(Transactions[[Transaction code]:[Transaction name]],_xlfn.XMATCH(INDEX(Transactions[[Transaction name]:[Parent code]],_xlfn.XMATCH(Transactions[[#This Row],[L3N]],Transactions[Transaction name],0),3),Transactions[Transaction code],0),2),Transactions[[#This Row],[L3N]])</f>
        <v>Transformation</v>
      </c>
      <c r="AO243" s="26" t="str" cm="1">
        <f t="array" ref="AO243">IFERROR(INDEX(Transactions[[Transaction code]:[Transaction name]],_xlfn.XMATCH(INDEX(Transactions[[Transaction name]:[Parent code]],_xlfn.XMATCH(Transactions[[#This Row],[L4N]],Transactions[Transaction name],0),3),Transactions[Transaction code],0),2),Transactions[[#This Row],[L4N]])</f>
        <v>Transformation</v>
      </c>
      <c r="AP243" s="26" t="str" cm="1">
        <f t="array" ref="AP243">IFERROR(INDEX(Transactions[[Transaction code]:[Transaction name]],_xlfn.XMATCH(INDEX(Transactions[[Transaction name]:[Parent code]],_xlfn.XMATCH(Transactions[[#This Row],[L5N]],Transactions[Transaction name],0),3),Transactions[Transaction code],0),2),Transactions[[#This Row],[L5N]])</f>
        <v>Transformation</v>
      </c>
      <c r="AQ243" s="26" t="str" cm="1">
        <f t="array" ref="AQ243">IFERROR(INDEX(Transactions[[Transaction code]:[Transaction name]],_xlfn.XMATCH(INDEX(Transactions[[Transaction name]:[Parent code]],_xlfn.XMATCH(Transactions[[#This Row],[L6N]],Transactions[Transaction name],0),3),Transactions[Transaction code],0),2),Transactions[[#This Row],[L6N]])</f>
        <v>Transformation</v>
      </c>
      <c r="AR243" s="29" t="str">
        <f>IF(Transactions[[#This Row],[L7N]]=Transactions[[#This Row],[L6N]],Transactions[[#This Row],[L7N]],IF(Transactions[[#This Row],[L6N]]=Transactions[[#This Row],[L5N]],Transactions[[#This Row],[L6N]],IF(Transactions[[#This Row],[L5N]]=Transactions[[#This Row],[L4N]],Transactions[[#This Row],[L5N]],IF(Transactions[[#This Row],[L4N]]=Transactions[[#This Row],[L3N]],Transactions[[#This Row],[L4N]],IF(Transactions[[#This Row],[L3N]]=Transactions[[#This Row],[L2N]],Transactions[[#This Row],[L3N]],IF(Transactions[[#This Row],[L2N]]=Transactions[[#This Row],[L1N]],Transactions[[#This Row],[L2N]],IF(Transactions[[#This Row],[L1N]]=Transactions[[#This Row],[Transaction name]],Transactions[[#This Row],[L1N]],Transactions[[#This Row],[Transaction name]])))))))</f>
        <v>Transformation</v>
      </c>
      <c r="AS243" s="26" t="str">
        <f>IF(Transactions[[#This Row],[Level 0]]=Transactions[[#This Row],[Transaction name]],Transactions[[#This Row],[Transaction name]],IF(Transactions[[#This Row],[Level 0]]=Transactions[[#This Row],[L1N]],Transactions[[#This Row],[Transaction name]],IF(Transactions[[#This Row],[Level 0]]=Transactions[[#This Row],[L2N]],Transactions[[#This Row],[L1N]],IF(Transactions[[#This Row],[Level 0]]=Transactions[[#This Row],[L3N]],Transactions[[#This Row],[L2N]],IF(Transactions[[#This Row],[Level 0]]=Transactions[[#This Row],[L4N]],Transactions[[#This Row],[L3N]],IF(Transactions[[#This Row],[Level 0]]=Transactions[[#This Row],[L5N]],Transactions[[#This Row],[L4N]],IF(Transactions[[#This Row],[Level 0]]=Transactions[[#This Row],[L6N]],Transactions[[#This Row],[L5N]],IF(Transactions[[#This Row],[Level 0]]=Transactions[[#This Row],[L7N]],Transactions[[#This Row],[L6N]],Transactions[[#This Row],[L7N]]))))))))</f>
        <v>Electricity, CHP and heat plants (T)</v>
      </c>
      <c r="AT243" s="26" t="str">
        <f>IF(Transactions[[#This Row],[Level 1]]=Transactions[[#This Row],[Transaction name]],Transactions[[#This Row],[Transaction name]],IF(Transactions[[#This Row],[Level 1]]=Transactions[[#This Row],[L1N]],Transactions[[#This Row],[Transaction name]],IF(Transactions[[#This Row],[Level 1]]=Transactions[[#This Row],[L2N]],Transactions[[#This Row],[L1N]],IF(Transactions[[#This Row],[Level 1]]=Transactions[[#This Row],[L3N]],Transactions[[#This Row],[L2N]],IF(Transactions[[#This Row],[Level 1]]=Transactions[[#This Row],[L4N]],Transactions[[#This Row],[L3N]],IF(Transactions[[#This Row],[Level 1]]=Transactions[[#This Row],[L5N]],Transactions[[#This Row],[L4N]],IF(Transactions[[#This Row],[Level 1]]=Transactions[[#This Row],[L6N]],Transactions[[#This Row],[L5N]],IF(Transactions[[#This Row],[Level 1]]=Transactions[[#This Row],[L7N]],Transactions[[#This Row],[L6N]],Transactions[[#This Row],[L7N]]))))))))</f>
        <v>CHP plants</v>
      </c>
      <c r="AU243" s="26" t="str">
        <f>IF(Transactions[[#This Row],[Level 2]]=Transactions[[#This Row],[Transaction name]],Transactions[[#This Row],[Transaction name]],IF(Transactions[[#This Row],[Level 2]]=Transactions[[#This Row],[L1N]],Transactions[[#This Row],[Transaction name]],IF(Transactions[[#This Row],[Level 2]]=Transactions[[#This Row],[L2N]],Transactions[[#This Row],[L1N]],IF(Transactions[[#This Row],[Level 2]]=Transactions[[#This Row],[L3N]],Transactions[[#This Row],[L2N]],IF(Transactions[[#This Row],[Level 2]]=Transactions[[#This Row],[L4N]],Transactions[[#This Row],[L3N]],IF(Transactions[[#This Row],[Level 2]]=Transactions[[#This Row],[L5N]],Transactions[[#This Row],[L4N]],IF(Transactions[[#This Row],[Level 2]]=Transactions[[#This Row],[L6N]],Transactions[[#This Row],[L5N]],IF(Transactions[[#This Row],[Level 2]]=Transactions[[#This Row],[L7N]],Transactions[[#This Row],[L6N]],Transactions[[#This Row],[L7N]]))))))))</f>
        <v>CHP plants - bagasse</v>
      </c>
      <c r="AV243" s="26" t="str">
        <f>IF(Transactions[[#This Row],[Level 3]]=Transactions[[#This Row],[Transaction name]],Transactions[[#This Row],[Transaction name]],IF(Transactions[[#This Row],[Level 3]]=Transactions[[#This Row],[L1N]],Transactions[[#This Row],[Transaction name]],IF(Transactions[[#This Row],[Level 3]]=Transactions[[#This Row],[L2N]],Transactions[[#This Row],[L1N]],IF(Transactions[[#This Row],[Level 3]]=Transactions[[#This Row],[L3N]],Transactions[[#This Row],[L2N]],IF(Transactions[[#This Row],[Level 3]]=Transactions[[#This Row],[L4N]],Transactions[[#This Row],[L3N]],IF(Transactions[[#This Row],[Level 3]]=Transactions[[#This Row],[L5N]],Transactions[[#This Row],[L4N]],IF(Transactions[[#This Row],[Level 3]]=Transactions[[#This Row],[L6N]],Transactions[[#This Row],[L5N]],IF(Transactions[[#This Row],[Level 3]]=Transactions[[#This Row],[L7N]],Transactions[[#This Row],[L6N]],Transactions[[#This Row],[L7N]]))))))))</f>
        <v>CHP plants - bagasse</v>
      </c>
      <c r="AW243" s="26" t="str">
        <f>IF(Transactions[[#This Row],[Level 4]]=Transactions[[#This Row],[Transaction name]],Transactions[[#This Row],[Transaction name]],IF(Transactions[[#This Row],[Level 4]]=Transactions[[#This Row],[L1N]],Transactions[[#This Row],[Transaction name]],IF(Transactions[[#This Row],[Level 4]]=Transactions[[#This Row],[L2N]],Transactions[[#This Row],[L1N]],IF(Transactions[[#This Row],[Level 4]]=Transactions[[#This Row],[L3N]],Transactions[[#This Row],[L2N]],IF(Transactions[[#This Row],[Level 4]]=Transactions[[#This Row],[L4N]],Transactions[[#This Row],[L3N]],IF(Transactions[[#This Row],[Level 4]]=Transactions[[#This Row],[L5N]],Transactions[[#This Row],[L4N]],IF(Transactions[[#This Row],[Level 4]]=Transactions[[#This Row],[L6N]],Transactions[[#This Row],[L5N]],IF(Transactions[[#This Row],[Level 4]]=Transactions[[#This Row],[L7N]],Transactions[[#This Row],[L6N]],Transactions[[#This Row],[L7N]]))))))))</f>
        <v>CHP plants - bagasse</v>
      </c>
      <c r="AX243" s="26" t="str">
        <f>IF(Transactions[[#This Row],[Level 5]]=Transactions[[#This Row],[Transaction name]],Transactions[[#This Row],[Transaction name]],IF(Transactions[[#This Row],[Level 5]]=Transactions[[#This Row],[L1N]],Transactions[[#This Row],[Transaction name]],IF(Transactions[[#This Row],[Level 5]]=Transactions[[#This Row],[L2N]],Transactions[[#This Row],[L1N]],IF(Transactions[[#This Row],[Level 5]]=Transactions[[#This Row],[L3N]],Transactions[[#This Row],[L2N]],IF(Transactions[[#This Row],[Level 5]]=Transactions[[#This Row],[L4N]],Transactions[[#This Row],[L3N]],IF(Transactions[[#This Row],[Level 5]]=Transactions[[#This Row],[L5N]],Transactions[[#This Row],[L4N]],IF(Transactions[[#This Row],[Level 5]]=Transactions[[#This Row],[L6N]],Transactions[[#This Row],[L5N]],IF(Transactions[[#This Row],[Level 5]]=Transactions[[#This Row],[L7N]],Transactions[[#This Row],[L6N]],Transactions[[#This Row],[L7N]]))))))))</f>
        <v>CHP plants - bagasse</v>
      </c>
      <c r="AY243" s="26" t="str">
        <f>IF(Transactions[[#This Row],[Level 6]]=Transactions[[#This Row],[Transaction name]],Transactions[[#This Row],[Transaction name]],IF(Transactions[[#This Row],[Level 6]]=Transactions[[#This Row],[L1N]],Transactions[[#This Row],[Transaction name]],IF(Transactions[[#This Row],[Level 6]]=Transactions[[#This Row],[L2N]],Transactions[[#This Row],[L1N]],IF(Transactions[[#This Row],[Level 6]]=Transactions[[#This Row],[L3N]],Transactions[[#This Row],[L2N]],IF(Transactions[[#This Row],[Level 6]]=Transactions[[#This Row],[L4N]],Transactions[[#This Row],[L3N]],IF(Transactions[[#This Row],[Level 6]]=Transactions[[#This Row],[L5N]],Transactions[[#This Row],[L4N]],IF(Transactions[[#This Row],[Level 6]]=Transactions[[#This Row],[L6N]],Transactions[[#This Row],[L5N]],IF(Transactions[[#This Row],[Level 6]]=Transactions[[#This Row],[L7N]],Transactions[[#This Row],[L6N]],Transactions[[#This Row],[L7N]]))))))))</f>
        <v>CHP plants - bagasse</v>
      </c>
      <c r="BE243" s="26" t="str">
        <f>_xlfn.XLOOKUP(Transformation[[#This Row],[cfrom]],Commodities[Commodity],Commodities[Commodity code])</f>
        <v>5150</v>
      </c>
      <c r="BF243" s="26" t="str">
        <f>_xlfn.XLOOKUP(Transformation[[#This Row],[tfrom]],Transactions[Transaction name],Transactions[Transaction code])</f>
        <v>08832</v>
      </c>
      <c r="BG243" s="26" t="str">
        <f>_xlfn.XLOOKUP(Transformation[[#This Row],[cto]],Commodities[Commodity],Commodities[Commodity code])</f>
        <v>5150</v>
      </c>
      <c r="BH243" s="26" t="str">
        <f>_xlfn.XLOOKUP(Transformation[[#This Row],[tto]],Transactions[Transaction name],Transactions[Transaction code])</f>
        <v>016BSH</v>
      </c>
      <c r="BI243" s="11">
        <v>1</v>
      </c>
      <c r="BJ243" s="4" t="s">
        <v>328</v>
      </c>
      <c r="BK243" s="24" t="str">
        <f>_xlfn.XLOOKUP(Transformation[[#This Row],[Commodity from]],Commodities[Commodity code],Commodities[EnergyCode])</f>
        <v>VW</v>
      </c>
      <c r="BL243" s="4" t="s">
        <v>694</v>
      </c>
      <c r="BM243" s="4" t="s">
        <v>328</v>
      </c>
      <c r="BN243" s="24" t="str">
        <f>_xlfn.XLOOKUP(Transformation[[#This Row],[Commodity to]],Commodities[Commodity code],Commodities[EnergyCode])</f>
        <v>VW</v>
      </c>
      <c r="BO243" s="4" t="s">
        <v>1128</v>
      </c>
      <c r="BP243" s="16" t="s">
        <v>1493</v>
      </c>
      <c r="BQ243" s="33" t="str">
        <f>Transformation[[#This Row],[Commodity from]]&amp;Transformation[[#This Row],[Transaction from]]&amp;Transformation[[#This Row],[Commodity to]]&amp;Transformation[[#This Row],[Transaction to]]</f>
        <v>5150088325150016BSH</v>
      </c>
      <c r="BR243" s="26" t="str">
        <f>Transformation[[#This Row],[crfomid]]&amp;Transformation[[#This Row],[Transaction from]]&amp;"("&amp;Transformation[[#This Row],[Multiplier]]&amp;") -&gt; "&amp;Transformation[[#This Row],[ctoid]]&amp;Transformation[[#This Row],[Transaction to]]</f>
        <v>VW08832(1) -&gt; VW016BSH</v>
      </c>
    </row>
    <row r="244" spans="25:70" x14ac:dyDescent="0.45">
      <c r="Y244" s="5" t="s">
        <v>1082</v>
      </c>
      <c r="Z244" s="7" t="s">
        <v>1058</v>
      </c>
      <c r="AA244" s="4" t="s">
        <v>1347</v>
      </c>
      <c r="AB244" s="8" t="s">
        <v>1607</v>
      </c>
      <c r="AC244" s="24" t="str">
        <f>IFERROR(VLOOKUP(Transactions[[#This Row],[Parent code]],Transactions[[Transaction code]:[Transaction name]],2,0),"")</f>
        <v>CHP plants - bagasse</v>
      </c>
      <c r="AD244" s="4" t="s">
        <v>189</v>
      </c>
      <c r="AE244" s="4" t="s">
        <v>922</v>
      </c>
      <c r="AF244" s="4" t="s">
        <v>642</v>
      </c>
      <c r="AG244" s="4" t="s">
        <v>1</v>
      </c>
      <c r="AH244" s="4" t="s">
        <v>696</v>
      </c>
      <c r="AI244" s="12" t="s">
        <v>1416</v>
      </c>
      <c r="AK244" s="24" t="str" cm="1">
        <f t="array" ref="AK244">IFERROR(INDEX(Transactions[[Transaction code]:[Transaction name]],_xlfn.XMATCH(Transactions[[#This Row],[Parent code]],Transactions[Transaction name],0),3),Transactions[[#This Row],[Transaction name]])</f>
        <v>CHP plants - Main activity - bagasse</v>
      </c>
      <c r="AL244" s="24" t="str" cm="1">
        <f t="array" ref="AL244">IFERROR(INDEX(Transactions[[Transaction code]:[Transaction name]],_xlfn.XMATCH(INDEX(Transactions[[Transaction name]:[Parent code]],_xlfn.XMATCH(Transactions[[#This Row],[L1N]],Transactions[Transaction name],0),3),Transactions[Transaction code],0),2),Transactions[[#This Row],[L1N]])</f>
        <v>CHP plants - bagasse</v>
      </c>
      <c r="AM244" s="24" t="str" cm="1">
        <f t="array" ref="AM244">IFERROR(INDEX(Transactions[[Transaction code]:[Transaction name]],_xlfn.XMATCH(INDEX(Transactions[[Transaction name]:[Parent code]],_xlfn.XMATCH(Transactions[[#This Row],[L2N]],Transactions[Transaction name],0),3),Transactions[Transaction code],0),2),Transactions[[#This Row],[L2N]])</f>
        <v>CHP plants</v>
      </c>
      <c r="AN244" s="24" t="str" cm="1">
        <f t="array" ref="AN244">IFERROR(INDEX(Transactions[[Transaction code]:[Transaction name]],_xlfn.XMATCH(INDEX(Transactions[[Transaction name]:[Parent code]],_xlfn.XMATCH(Transactions[[#This Row],[L3N]],Transactions[Transaction name],0),3),Transactions[Transaction code],0),2),Transactions[[#This Row],[L3N]])</f>
        <v>Electricity, CHP and heat plants (T)</v>
      </c>
      <c r="AO244" s="24" t="str" cm="1">
        <f t="array" ref="AO244">IFERROR(INDEX(Transactions[[Transaction code]:[Transaction name]],_xlfn.XMATCH(INDEX(Transactions[[Transaction name]:[Parent code]],_xlfn.XMATCH(Transactions[[#This Row],[L4N]],Transactions[Transaction name],0),3),Transactions[Transaction code],0),2),Transactions[[#This Row],[L4N]])</f>
        <v>Transformation</v>
      </c>
      <c r="AP244" s="24" t="str" cm="1">
        <f t="array" ref="AP244">IFERROR(INDEX(Transactions[[Transaction code]:[Transaction name]],_xlfn.XMATCH(INDEX(Transactions[[Transaction name]:[Parent code]],_xlfn.XMATCH(Transactions[[#This Row],[L5N]],Transactions[Transaction name],0),3),Transactions[Transaction code],0),2),Transactions[[#This Row],[L5N]])</f>
        <v>Transformation</v>
      </c>
      <c r="AQ244" s="24" t="str" cm="1">
        <f t="array" ref="AQ244">IFERROR(INDEX(Transactions[[Transaction code]:[Transaction name]],_xlfn.XMATCH(INDEX(Transactions[[Transaction name]:[Parent code]],_xlfn.XMATCH(Transactions[[#This Row],[L6N]],Transactions[Transaction name],0),3),Transactions[Transaction code],0),2),Transactions[[#This Row],[L6N]])</f>
        <v>Transformation</v>
      </c>
      <c r="AR244" s="28" t="str">
        <f>IF(Transactions[[#This Row],[L7N]]=Transactions[[#This Row],[L6N]],Transactions[[#This Row],[L7N]],IF(Transactions[[#This Row],[L6N]]=Transactions[[#This Row],[L5N]],Transactions[[#This Row],[L6N]],IF(Transactions[[#This Row],[L5N]]=Transactions[[#This Row],[L4N]],Transactions[[#This Row],[L5N]],IF(Transactions[[#This Row],[L4N]]=Transactions[[#This Row],[L3N]],Transactions[[#This Row],[L4N]],IF(Transactions[[#This Row],[L3N]]=Transactions[[#This Row],[L2N]],Transactions[[#This Row],[L3N]],IF(Transactions[[#This Row],[L2N]]=Transactions[[#This Row],[L1N]],Transactions[[#This Row],[L2N]],IF(Transactions[[#This Row],[L1N]]=Transactions[[#This Row],[Transaction name]],Transactions[[#This Row],[L1N]],Transactions[[#This Row],[Transaction name]])))))))</f>
        <v>Transformation</v>
      </c>
      <c r="AS244" s="24" t="str">
        <f>IF(Transactions[[#This Row],[Level 0]]=Transactions[[#This Row],[Transaction name]],Transactions[[#This Row],[Transaction name]],IF(Transactions[[#This Row],[Level 0]]=Transactions[[#This Row],[L1N]],Transactions[[#This Row],[Transaction name]],IF(Transactions[[#This Row],[Level 0]]=Transactions[[#This Row],[L2N]],Transactions[[#This Row],[L1N]],IF(Transactions[[#This Row],[Level 0]]=Transactions[[#This Row],[L3N]],Transactions[[#This Row],[L2N]],IF(Transactions[[#This Row],[Level 0]]=Transactions[[#This Row],[L4N]],Transactions[[#This Row],[L3N]],IF(Transactions[[#This Row],[Level 0]]=Transactions[[#This Row],[L5N]],Transactions[[#This Row],[L4N]],IF(Transactions[[#This Row],[Level 0]]=Transactions[[#This Row],[L6N]],Transactions[[#This Row],[L5N]],IF(Transactions[[#This Row],[Level 0]]=Transactions[[#This Row],[L7N]],Transactions[[#This Row],[L6N]],Transactions[[#This Row],[L7N]]))))))))</f>
        <v>Electricity, CHP and heat plants (T)</v>
      </c>
      <c r="AT244" s="24" t="str">
        <f>IF(Transactions[[#This Row],[Level 1]]=Transactions[[#This Row],[Transaction name]],Transactions[[#This Row],[Transaction name]],IF(Transactions[[#This Row],[Level 1]]=Transactions[[#This Row],[L1N]],Transactions[[#This Row],[Transaction name]],IF(Transactions[[#This Row],[Level 1]]=Transactions[[#This Row],[L2N]],Transactions[[#This Row],[L1N]],IF(Transactions[[#This Row],[Level 1]]=Transactions[[#This Row],[L3N]],Transactions[[#This Row],[L2N]],IF(Transactions[[#This Row],[Level 1]]=Transactions[[#This Row],[L4N]],Transactions[[#This Row],[L3N]],IF(Transactions[[#This Row],[Level 1]]=Transactions[[#This Row],[L5N]],Transactions[[#This Row],[L4N]],IF(Transactions[[#This Row],[Level 1]]=Transactions[[#This Row],[L6N]],Transactions[[#This Row],[L5N]],IF(Transactions[[#This Row],[Level 1]]=Transactions[[#This Row],[L7N]],Transactions[[#This Row],[L6N]],Transactions[[#This Row],[L7N]]))))))))</f>
        <v>CHP plants</v>
      </c>
      <c r="AU244" s="24" t="str">
        <f>IF(Transactions[[#This Row],[Level 2]]=Transactions[[#This Row],[Transaction name]],Transactions[[#This Row],[Transaction name]],IF(Transactions[[#This Row],[Level 2]]=Transactions[[#This Row],[L1N]],Transactions[[#This Row],[Transaction name]],IF(Transactions[[#This Row],[Level 2]]=Transactions[[#This Row],[L2N]],Transactions[[#This Row],[L1N]],IF(Transactions[[#This Row],[Level 2]]=Transactions[[#This Row],[L3N]],Transactions[[#This Row],[L2N]],IF(Transactions[[#This Row],[Level 2]]=Transactions[[#This Row],[L4N]],Transactions[[#This Row],[L3N]],IF(Transactions[[#This Row],[Level 2]]=Transactions[[#This Row],[L5N]],Transactions[[#This Row],[L4N]],IF(Transactions[[#This Row],[Level 2]]=Transactions[[#This Row],[L6N]],Transactions[[#This Row],[L5N]],IF(Transactions[[#This Row],[Level 2]]=Transactions[[#This Row],[L7N]],Transactions[[#This Row],[L6N]],Transactions[[#This Row],[L7N]]))))))))</f>
        <v>CHP plants - bagasse</v>
      </c>
      <c r="AV244" s="24" t="str">
        <f>IF(Transactions[[#This Row],[Level 3]]=Transactions[[#This Row],[Transaction name]],Transactions[[#This Row],[Transaction name]],IF(Transactions[[#This Row],[Level 3]]=Transactions[[#This Row],[L1N]],Transactions[[#This Row],[Transaction name]],IF(Transactions[[#This Row],[Level 3]]=Transactions[[#This Row],[L2N]],Transactions[[#This Row],[L1N]],IF(Transactions[[#This Row],[Level 3]]=Transactions[[#This Row],[L3N]],Transactions[[#This Row],[L2N]],IF(Transactions[[#This Row],[Level 3]]=Transactions[[#This Row],[L4N]],Transactions[[#This Row],[L3N]],IF(Transactions[[#This Row],[Level 3]]=Transactions[[#This Row],[L5N]],Transactions[[#This Row],[L4N]],IF(Transactions[[#This Row],[Level 3]]=Transactions[[#This Row],[L6N]],Transactions[[#This Row],[L5N]],IF(Transactions[[#This Row],[Level 3]]=Transactions[[#This Row],[L7N]],Transactions[[#This Row],[L6N]],Transactions[[#This Row],[L7N]]))))))))</f>
        <v>CHP plants - Main activity - bagasse</v>
      </c>
      <c r="AW244" s="24" t="str">
        <f>IF(Transactions[[#This Row],[Level 4]]=Transactions[[#This Row],[Transaction name]],Transactions[[#This Row],[Transaction name]],IF(Transactions[[#This Row],[Level 4]]=Transactions[[#This Row],[L1N]],Transactions[[#This Row],[Transaction name]],IF(Transactions[[#This Row],[Level 4]]=Transactions[[#This Row],[L2N]],Transactions[[#This Row],[L1N]],IF(Transactions[[#This Row],[Level 4]]=Transactions[[#This Row],[L3N]],Transactions[[#This Row],[L2N]],IF(Transactions[[#This Row],[Level 4]]=Transactions[[#This Row],[L4N]],Transactions[[#This Row],[L3N]],IF(Transactions[[#This Row],[Level 4]]=Transactions[[#This Row],[L5N]],Transactions[[#This Row],[L4N]],IF(Transactions[[#This Row],[Level 4]]=Transactions[[#This Row],[L6N]],Transactions[[#This Row],[L5N]],IF(Transactions[[#This Row],[Level 4]]=Transactions[[#This Row],[L7N]],Transactions[[#This Row],[L6N]],Transactions[[#This Row],[L7N]]))))))))</f>
        <v>CHP plants - Main activity - bagasse</v>
      </c>
      <c r="AX244" s="24" t="str">
        <f>IF(Transactions[[#This Row],[Level 5]]=Transactions[[#This Row],[Transaction name]],Transactions[[#This Row],[Transaction name]],IF(Transactions[[#This Row],[Level 5]]=Transactions[[#This Row],[L1N]],Transactions[[#This Row],[Transaction name]],IF(Transactions[[#This Row],[Level 5]]=Transactions[[#This Row],[L2N]],Transactions[[#This Row],[L1N]],IF(Transactions[[#This Row],[Level 5]]=Transactions[[#This Row],[L3N]],Transactions[[#This Row],[L2N]],IF(Transactions[[#This Row],[Level 5]]=Transactions[[#This Row],[L4N]],Transactions[[#This Row],[L3N]],IF(Transactions[[#This Row],[Level 5]]=Transactions[[#This Row],[L5N]],Transactions[[#This Row],[L4N]],IF(Transactions[[#This Row],[Level 5]]=Transactions[[#This Row],[L6N]],Transactions[[#This Row],[L5N]],IF(Transactions[[#This Row],[Level 5]]=Transactions[[#This Row],[L7N]],Transactions[[#This Row],[L6N]],Transactions[[#This Row],[L7N]]))))))))</f>
        <v>CHP plants - Main activity - bagasse</v>
      </c>
      <c r="AY244" s="24" t="str">
        <f>IF(Transactions[[#This Row],[Level 6]]=Transactions[[#This Row],[Transaction name]],Transactions[[#This Row],[Transaction name]],IF(Transactions[[#This Row],[Level 6]]=Transactions[[#This Row],[L1N]],Transactions[[#This Row],[Transaction name]],IF(Transactions[[#This Row],[Level 6]]=Transactions[[#This Row],[L2N]],Transactions[[#This Row],[L1N]],IF(Transactions[[#This Row],[Level 6]]=Transactions[[#This Row],[L3N]],Transactions[[#This Row],[L2N]],IF(Transactions[[#This Row],[Level 6]]=Transactions[[#This Row],[L4N]],Transactions[[#This Row],[L3N]],IF(Transactions[[#This Row],[Level 6]]=Transactions[[#This Row],[L5N]],Transactions[[#This Row],[L4N]],IF(Transactions[[#This Row],[Level 6]]=Transactions[[#This Row],[L6N]],Transactions[[#This Row],[L5N]],IF(Transactions[[#This Row],[Level 6]]=Transactions[[#This Row],[L7N]],Transactions[[#This Row],[L6N]],Transactions[[#This Row],[L7N]]))))))))</f>
        <v>CHP plants - Main activity - bagasse</v>
      </c>
      <c r="BE244" s="26" t="str">
        <f>_xlfn.XLOOKUP(Transformation[[#This Row],[cfrom]],Commodities[Commodity],Commodities[Commodity code])</f>
        <v>5130</v>
      </c>
      <c r="BF244" s="26" t="str">
        <f>_xlfn.XLOOKUP(Transformation[[#This Row],[tfrom]],Transactions[Transaction name],Transactions[Transaction code])</f>
        <v>08831</v>
      </c>
      <c r="BG244" s="26" t="str">
        <f>_xlfn.XLOOKUP(Transformation[[#This Row],[cto]],Commodities[Commodity],Commodities[Commodity code])</f>
        <v>5130</v>
      </c>
      <c r="BH244" s="26" t="str">
        <f>_xlfn.XLOOKUP(Transformation[[#This Row],[tto]],Transactions[Transaction name],Transactions[Transaction code])</f>
        <v>015BSH</v>
      </c>
      <c r="BI244" s="11">
        <v>1</v>
      </c>
      <c r="BJ244" s="4" t="s">
        <v>333</v>
      </c>
      <c r="BK244" s="24" t="str">
        <f>_xlfn.XLOOKUP(Transformation[[#This Row],[Commodity from]],Commodities[Commodity code],Commodities[EnergyCode])</f>
        <v>AW</v>
      </c>
      <c r="BL244" s="4" t="s">
        <v>693</v>
      </c>
      <c r="BM244" s="4" t="s">
        <v>333</v>
      </c>
      <c r="BN244" s="24" t="str">
        <f>_xlfn.XLOOKUP(Transformation[[#This Row],[Commodity to]],Commodities[Commodity code],Commodities[EnergyCode])</f>
        <v>AW</v>
      </c>
      <c r="BO244" s="4" t="s">
        <v>1124</v>
      </c>
      <c r="BP244" s="16" t="s">
        <v>1493</v>
      </c>
      <c r="BQ244" s="33" t="str">
        <f>Transformation[[#This Row],[Commodity from]]&amp;Transformation[[#This Row],[Transaction from]]&amp;Transformation[[#This Row],[Commodity to]]&amp;Transformation[[#This Row],[Transaction to]]</f>
        <v>5130088315130015BSH</v>
      </c>
      <c r="BR244" s="26" t="str">
        <f>Transformation[[#This Row],[crfomid]]&amp;Transformation[[#This Row],[Transaction from]]&amp;"("&amp;Transformation[[#This Row],[Multiplier]]&amp;") -&gt; "&amp;Transformation[[#This Row],[ctoid]]&amp;Transformation[[#This Row],[Transaction to]]</f>
        <v>AW08831(1) -&gt; AW015BSH</v>
      </c>
    </row>
    <row r="245" spans="25:70" x14ac:dyDescent="0.45">
      <c r="Y245" s="5" t="s">
        <v>1094</v>
      </c>
      <c r="Z245" s="7" t="s">
        <v>1070</v>
      </c>
      <c r="AA245" s="4" t="s">
        <v>1351</v>
      </c>
      <c r="AB245" s="8" t="s">
        <v>1608</v>
      </c>
      <c r="AC245" s="24" t="str">
        <f>IFERROR(VLOOKUP(Transactions[[#This Row],[Parent code]],Transactions[[Transaction code]:[Transaction name]],2,0),"")</f>
        <v>CHP plants - biogases</v>
      </c>
      <c r="AD245" s="4" t="s">
        <v>189</v>
      </c>
      <c r="AE245" s="4" t="s">
        <v>922</v>
      </c>
      <c r="AF245" s="4" t="s">
        <v>642</v>
      </c>
      <c r="AG245" s="4" t="s">
        <v>1</v>
      </c>
      <c r="AH245" s="4" t="s">
        <v>696</v>
      </c>
      <c r="AI245" s="12" t="s">
        <v>1416</v>
      </c>
      <c r="AK245" s="24" t="str" cm="1">
        <f t="array" ref="AK245">IFERROR(INDEX(Transactions[[Transaction code]:[Transaction name]],_xlfn.XMATCH(Transactions[[#This Row],[Parent code]],Transactions[Transaction name],0),3),Transactions[[#This Row],[Transaction name]])</f>
        <v>CHP plants - Autoproducer - biogases</v>
      </c>
      <c r="AL245" s="24" t="str" cm="1">
        <f t="array" ref="AL245">IFERROR(INDEX(Transactions[[Transaction code]:[Transaction name]],_xlfn.XMATCH(INDEX(Transactions[[Transaction name]:[Parent code]],_xlfn.XMATCH(Transactions[[#This Row],[L1N]],Transactions[Transaction name],0),3),Transactions[Transaction code],0),2),Transactions[[#This Row],[L1N]])</f>
        <v>CHP plants - biogases</v>
      </c>
      <c r="AM245" s="24" t="str" cm="1">
        <f t="array" ref="AM245">IFERROR(INDEX(Transactions[[Transaction code]:[Transaction name]],_xlfn.XMATCH(INDEX(Transactions[[Transaction name]:[Parent code]],_xlfn.XMATCH(Transactions[[#This Row],[L2N]],Transactions[Transaction name],0),3),Transactions[Transaction code],0),2),Transactions[[#This Row],[L2N]])</f>
        <v>CHP plants</v>
      </c>
      <c r="AN245" s="24" t="str" cm="1">
        <f t="array" ref="AN245">IFERROR(INDEX(Transactions[[Transaction code]:[Transaction name]],_xlfn.XMATCH(INDEX(Transactions[[Transaction name]:[Parent code]],_xlfn.XMATCH(Transactions[[#This Row],[L3N]],Transactions[Transaction name],0),3),Transactions[Transaction code],0),2),Transactions[[#This Row],[L3N]])</f>
        <v>Electricity, CHP and heat plants (T)</v>
      </c>
      <c r="AO245" s="24" t="str" cm="1">
        <f t="array" ref="AO245">IFERROR(INDEX(Transactions[[Transaction code]:[Transaction name]],_xlfn.XMATCH(INDEX(Transactions[[Transaction name]:[Parent code]],_xlfn.XMATCH(Transactions[[#This Row],[L4N]],Transactions[Transaction name],0),3),Transactions[Transaction code],0),2),Transactions[[#This Row],[L4N]])</f>
        <v>Transformation</v>
      </c>
      <c r="AP245" s="24" t="str" cm="1">
        <f t="array" ref="AP245">IFERROR(INDEX(Transactions[[Transaction code]:[Transaction name]],_xlfn.XMATCH(INDEX(Transactions[[Transaction name]:[Parent code]],_xlfn.XMATCH(Transactions[[#This Row],[L5N]],Transactions[Transaction name],0),3),Transactions[Transaction code],0),2),Transactions[[#This Row],[L5N]])</f>
        <v>Transformation</v>
      </c>
      <c r="AQ245" s="24" t="str" cm="1">
        <f t="array" ref="AQ245">IFERROR(INDEX(Transactions[[Transaction code]:[Transaction name]],_xlfn.XMATCH(INDEX(Transactions[[Transaction name]:[Parent code]],_xlfn.XMATCH(Transactions[[#This Row],[L6N]],Transactions[Transaction name],0),3),Transactions[Transaction code],0),2),Transactions[[#This Row],[L6N]])</f>
        <v>Transformation</v>
      </c>
      <c r="AR245" s="28" t="str">
        <f>IF(Transactions[[#This Row],[L7N]]=Transactions[[#This Row],[L6N]],Transactions[[#This Row],[L7N]],IF(Transactions[[#This Row],[L6N]]=Transactions[[#This Row],[L5N]],Transactions[[#This Row],[L6N]],IF(Transactions[[#This Row],[L5N]]=Transactions[[#This Row],[L4N]],Transactions[[#This Row],[L5N]],IF(Transactions[[#This Row],[L4N]]=Transactions[[#This Row],[L3N]],Transactions[[#This Row],[L4N]],IF(Transactions[[#This Row],[L3N]]=Transactions[[#This Row],[L2N]],Transactions[[#This Row],[L3N]],IF(Transactions[[#This Row],[L2N]]=Transactions[[#This Row],[L1N]],Transactions[[#This Row],[L2N]],IF(Transactions[[#This Row],[L1N]]=Transactions[[#This Row],[Transaction name]],Transactions[[#This Row],[L1N]],Transactions[[#This Row],[Transaction name]])))))))</f>
        <v>Transformation</v>
      </c>
      <c r="AS245" s="24" t="str">
        <f>IF(Transactions[[#This Row],[Level 0]]=Transactions[[#This Row],[Transaction name]],Transactions[[#This Row],[Transaction name]],IF(Transactions[[#This Row],[Level 0]]=Transactions[[#This Row],[L1N]],Transactions[[#This Row],[Transaction name]],IF(Transactions[[#This Row],[Level 0]]=Transactions[[#This Row],[L2N]],Transactions[[#This Row],[L1N]],IF(Transactions[[#This Row],[Level 0]]=Transactions[[#This Row],[L3N]],Transactions[[#This Row],[L2N]],IF(Transactions[[#This Row],[Level 0]]=Transactions[[#This Row],[L4N]],Transactions[[#This Row],[L3N]],IF(Transactions[[#This Row],[Level 0]]=Transactions[[#This Row],[L5N]],Transactions[[#This Row],[L4N]],IF(Transactions[[#This Row],[Level 0]]=Transactions[[#This Row],[L6N]],Transactions[[#This Row],[L5N]],IF(Transactions[[#This Row],[Level 0]]=Transactions[[#This Row],[L7N]],Transactions[[#This Row],[L6N]],Transactions[[#This Row],[L7N]]))))))))</f>
        <v>Electricity, CHP and heat plants (T)</v>
      </c>
      <c r="AT245" s="24" t="str">
        <f>IF(Transactions[[#This Row],[Level 1]]=Transactions[[#This Row],[Transaction name]],Transactions[[#This Row],[Transaction name]],IF(Transactions[[#This Row],[Level 1]]=Transactions[[#This Row],[L1N]],Transactions[[#This Row],[Transaction name]],IF(Transactions[[#This Row],[Level 1]]=Transactions[[#This Row],[L2N]],Transactions[[#This Row],[L1N]],IF(Transactions[[#This Row],[Level 1]]=Transactions[[#This Row],[L3N]],Transactions[[#This Row],[L2N]],IF(Transactions[[#This Row],[Level 1]]=Transactions[[#This Row],[L4N]],Transactions[[#This Row],[L3N]],IF(Transactions[[#This Row],[Level 1]]=Transactions[[#This Row],[L5N]],Transactions[[#This Row],[L4N]],IF(Transactions[[#This Row],[Level 1]]=Transactions[[#This Row],[L6N]],Transactions[[#This Row],[L5N]],IF(Transactions[[#This Row],[Level 1]]=Transactions[[#This Row],[L7N]],Transactions[[#This Row],[L6N]],Transactions[[#This Row],[L7N]]))))))))</f>
        <v>CHP plants</v>
      </c>
      <c r="AU245" s="24" t="str">
        <f>IF(Transactions[[#This Row],[Level 2]]=Transactions[[#This Row],[Transaction name]],Transactions[[#This Row],[Transaction name]],IF(Transactions[[#This Row],[Level 2]]=Transactions[[#This Row],[L1N]],Transactions[[#This Row],[Transaction name]],IF(Transactions[[#This Row],[Level 2]]=Transactions[[#This Row],[L2N]],Transactions[[#This Row],[L1N]],IF(Transactions[[#This Row],[Level 2]]=Transactions[[#This Row],[L3N]],Transactions[[#This Row],[L2N]],IF(Transactions[[#This Row],[Level 2]]=Transactions[[#This Row],[L4N]],Transactions[[#This Row],[L3N]],IF(Transactions[[#This Row],[Level 2]]=Transactions[[#This Row],[L5N]],Transactions[[#This Row],[L4N]],IF(Transactions[[#This Row],[Level 2]]=Transactions[[#This Row],[L6N]],Transactions[[#This Row],[L5N]],IF(Transactions[[#This Row],[Level 2]]=Transactions[[#This Row],[L7N]],Transactions[[#This Row],[L6N]],Transactions[[#This Row],[L7N]]))))))))</f>
        <v>CHP plants - biogases</v>
      </c>
      <c r="AV245" s="24" t="str">
        <f>IF(Transactions[[#This Row],[Level 3]]=Transactions[[#This Row],[Transaction name]],Transactions[[#This Row],[Transaction name]],IF(Transactions[[#This Row],[Level 3]]=Transactions[[#This Row],[L1N]],Transactions[[#This Row],[Transaction name]],IF(Transactions[[#This Row],[Level 3]]=Transactions[[#This Row],[L2N]],Transactions[[#This Row],[L1N]],IF(Transactions[[#This Row],[Level 3]]=Transactions[[#This Row],[L3N]],Transactions[[#This Row],[L2N]],IF(Transactions[[#This Row],[Level 3]]=Transactions[[#This Row],[L4N]],Transactions[[#This Row],[L3N]],IF(Transactions[[#This Row],[Level 3]]=Transactions[[#This Row],[L5N]],Transactions[[#This Row],[L4N]],IF(Transactions[[#This Row],[Level 3]]=Transactions[[#This Row],[L6N]],Transactions[[#This Row],[L5N]],IF(Transactions[[#This Row],[Level 3]]=Transactions[[#This Row],[L7N]],Transactions[[#This Row],[L6N]],Transactions[[#This Row],[L7N]]))))))))</f>
        <v>CHP plants - Autoproducer - biogases</v>
      </c>
      <c r="AW245" s="24" t="str">
        <f>IF(Transactions[[#This Row],[Level 4]]=Transactions[[#This Row],[Transaction name]],Transactions[[#This Row],[Transaction name]],IF(Transactions[[#This Row],[Level 4]]=Transactions[[#This Row],[L1N]],Transactions[[#This Row],[Transaction name]],IF(Transactions[[#This Row],[Level 4]]=Transactions[[#This Row],[L2N]],Transactions[[#This Row],[L1N]],IF(Transactions[[#This Row],[Level 4]]=Transactions[[#This Row],[L3N]],Transactions[[#This Row],[L2N]],IF(Transactions[[#This Row],[Level 4]]=Transactions[[#This Row],[L4N]],Transactions[[#This Row],[L3N]],IF(Transactions[[#This Row],[Level 4]]=Transactions[[#This Row],[L5N]],Transactions[[#This Row],[L4N]],IF(Transactions[[#This Row],[Level 4]]=Transactions[[#This Row],[L6N]],Transactions[[#This Row],[L5N]],IF(Transactions[[#This Row],[Level 4]]=Transactions[[#This Row],[L7N]],Transactions[[#This Row],[L6N]],Transactions[[#This Row],[L7N]]))))))))</f>
        <v>CHP plants - Autoproducer - biogases</v>
      </c>
      <c r="AX245" s="24" t="str">
        <f>IF(Transactions[[#This Row],[Level 5]]=Transactions[[#This Row],[Transaction name]],Transactions[[#This Row],[Transaction name]],IF(Transactions[[#This Row],[Level 5]]=Transactions[[#This Row],[L1N]],Transactions[[#This Row],[Transaction name]],IF(Transactions[[#This Row],[Level 5]]=Transactions[[#This Row],[L2N]],Transactions[[#This Row],[L1N]],IF(Transactions[[#This Row],[Level 5]]=Transactions[[#This Row],[L3N]],Transactions[[#This Row],[L2N]],IF(Transactions[[#This Row],[Level 5]]=Transactions[[#This Row],[L4N]],Transactions[[#This Row],[L3N]],IF(Transactions[[#This Row],[Level 5]]=Transactions[[#This Row],[L5N]],Transactions[[#This Row],[L4N]],IF(Transactions[[#This Row],[Level 5]]=Transactions[[#This Row],[L6N]],Transactions[[#This Row],[L5N]],IF(Transactions[[#This Row],[Level 5]]=Transactions[[#This Row],[L7N]],Transactions[[#This Row],[L6N]],Transactions[[#This Row],[L7N]]))))))))</f>
        <v>CHP plants - Autoproducer - biogases</v>
      </c>
      <c r="AY245" s="24" t="str">
        <f>IF(Transactions[[#This Row],[Level 6]]=Transactions[[#This Row],[Transaction name]],Transactions[[#This Row],[Transaction name]],IF(Transactions[[#This Row],[Level 6]]=Transactions[[#This Row],[L1N]],Transactions[[#This Row],[Transaction name]],IF(Transactions[[#This Row],[Level 6]]=Transactions[[#This Row],[L2N]],Transactions[[#This Row],[L1N]],IF(Transactions[[#This Row],[Level 6]]=Transactions[[#This Row],[L3N]],Transactions[[#This Row],[L2N]],IF(Transactions[[#This Row],[Level 6]]=Transactions[[#This Row],[L4N]],Transactions[[#This Row],[L3N]],IF(Transactions[[#This Row],[Level 6]]=Transactions[[#This Row],[L5N]],Transactions[[#This Row],[L4N]],IF(Transactions[[#This Row],[Level 6]]=Transactions[[#This Row],[L6N]],Transactions[[#This Row],[L5N]],IF(Transactions[[#This Row],[Level 6]]=Transactions[[#This Row],[L7N]],Transactions[[#This Row],[L6N]],Transactions[[#This Row],[L7N]]))))))))</f>
        <v>CHP plants - Autoproducer - biogases</v>
      </c>
      <c r="BE245" s="26" t="str">
        <f>_xlfn.XLOOKUP(Transformation[[#This Row],[cfrom]],Commodities[Commodity],Commodities[Commodity code])</f>
        <v>0330</v>
      </c>
      <c r="BF245" s="26" t="str">
        <f>_xlfn.XLOOKUP(Transformation[[#This Row],[tfrom]],Transactions[Transaction name],Transactions[Transaction code])</f>
        <v>08831</v>
      </c>
      <c r="BG245" s="26" t="str">
        <f>_xlfn.XLOOKUP(Transformation[[#This Row],[cto]],Commodities[Commodity],Commodities[Commodity code])</f>
        <v>0330</v>
      </c>
      <c r="BH245" s="26" t="str">
        <f>_xlfn.XLOOKUP(Transformation[[#This Row],[tto]],Transactions[Transaction name],Transactions[Transaction code])</f>
        <v>015CSH</v>
      </c>
      <c r="BI245" s="11">
        <v>1</v>
      </c>
      <c r="BJ245" s="4" t="s">
        <v>491</v>
      </c>
      <c r="BK245" s="24" t="str">
        <f>_xlfn.XLOOKUP(Transformation[[#This Row],[Commodity from]],Commodities[Commodity code],Commodities[EnergyCode])</f>
        <v>BB</v>
      </c>
      <c r="BL245" s="4" t="s">
        <v>693</v>
      </c>
      <c r="BM245" s="4" t="s">
        <v>491</v>
      </c>
      <c r="BN245" s="24" t="str">
        <f>_xlfn.XLOOKUP(Transformation[[#This Row],[Commodity to]],Commodities[Commodity code],Commodities[EnergyCode])</f>
        <v>BB</v>
      </c>
      <c r="BO245" s="4" t="s">
        <v>1211</v>
      </c>
      <c r="BP245" s="16" t="s">
        <v>1493</v>
      </c>
      <c r="BQ245" s="33" t="str">
        <f>Transformation[[#This Row],[Commodity from]]&amp;Transformation[[#This Row],[Transaction from]]&amp;Transformation[[#This Row],[Commodity to]]&amp;Transformation[[#This Row],[Transaction to]]</f>
        <v>0330088310330015CSH</v>
      </c>
      <c r="BR245" s="26" t="str">
        <f>Transformation[[#This Row],[crfomid]]&amp;Transformation[[#This Row],[Transaction from]]&amp;"("&amp;Transformation[[#This Row],[Multiplier]]&amp;") -&gt; "&amp;Transformation[[#This Row],[ctoid]]&amp;Transformation[[#This Row],[Transaction to]]</f>
        <v>BB08831(1) -&gt; BB015CSH</v>
      </c>
    </row>
    <row r="246" spans="25:70" x14ac:dyDescent="0.45">
      <c r="Y246" s="19" t="s">
        <v>1608</v>
      </c>
      <c r="Z246" s="18" t="s">
        <v>1351</v>
      </c>
      <c r="AA246" s="18" t="s">
        <v>1351</v>
      </c>
      <c r="AB246" s="19" t="s">
        <v>1627</v>
      </c>
      <c r="AC246" s="26" t="str">
        <f>IFERROR(VLOOKUP(Transactions[[#This Row],[Parent code]],Transactions[[Transaction code]:[Transaction name]],2,0),"")</f>
        <v>CHP plants</v>
      </c>
      <c r="AD246" s="18" t="s">
        <v>189</v>
      </c>
      <c r="AE246" s="18" t="s">
        <v>922</v>
      </c>
      <c r="AF246" s="18" t="s">
        <v>642</v>
      </c>
      <c r="AG246" s="18" t="s">
        <v>1</v>
      </c>
      <c r="AH246" s="18" t="s">
        <v>696</v>
      </c>
      <c r="AI246" s="18" t="s">
        <v>1416</v>
      </c>
      <c r="AJ246" s="18"/>
      <c r="AK246" s="26" t="str" cm="1">
        <f t="array" ref="AK246">IFERROR(INDEX(Transactions[[Transaction code]:[Transaction name]],_xlfn.XMATCH(Transactions[[#This Row],[Parent code]],Transactions[Transaction name],0),3),Transactions[[#This Row],[Transaction name]])</f>
        <v>CHP plants - biogases</v>
      </c>
      <c r="AL246" s="26" t="str" cm="1">
        <f t="array" ref="AL246">IFERROR(INDEX(Transactions[[Transaction code]:[Transaction name]],_xlfn.XMATCH(INDEX(Transactions[[Transaction name]:[Parent code]],_xlfn.XMATCH(Transactions[[#This Row],[L1N]],Transactions[Transaction name],0),3),Transactions[Transaction code],0),2),Transactions[[#This Row],[L1N]])</f>
        <v>CHP plants</v>
      </c>
      <c r="AM246" s="26" t="str" cm="1">
        <f t="array" ref="AM246">IFERROR(INDEX(Transactions[[Transaction code]:[Transaction name]],_xlfn.XMATCH(INDEX(Transactions[[Transaction name]:[Parent code]],_xlfn.XMATCH(Transactions[[#This Row],[L2N]],Transactions[Transaction name],0),3),Transactions[Transaction code],0),2),Transactions[[#This Row],[L2N]])</f>
        <v>Electricity, CHP and heat plants (T)</v>
      </c>
      <c r="AN246" s="26" t="str" cm="1">
        <f t="array" ref="AN246">IFERROR(INDEX(Transactions[[Transaction code]:[Transaction name]],_xlfn.XMATCH(INDEX(Transactions[[Transaction name]:[Parent code]],_xlfn.XMATCH(Transactions[[#This Row],[L3N]],Transactions[Transaction name],0),3),Transactions[Transaction code],0),2),Transactions[[#This Row],[L3N]])</f>
        <v>Transformation</v>
      </c>
      <c r="AO246" s="26" t="str" cm="1">
        <f t="array" ref="AO246">IFERROR(INDEX(Transactions[[Transaction code]:[Transaction name]],_xlfn.XMATCH(INDEX(Transactions[[Transaction name]:[Parent code]],_xlfn.XMATCH(Transactions[[#This Row],[L4N]],Transactions[Transaction name],0),3),Transactions[Transaction code],0),2),Transactions[[#This Row],[L4N]])</f>
        <v>Transformation</v>
      </c>
      <c r="AP246" s="26" t="str" cm="1">
        <f t="array" ref="AP246">IFERROR(INDEX(Transactions[[Transaction code]:[Transaction name]],_xlfn.XMATCH(INDEX(Transactions[[Transaction name]:[Parent code]],_xlfn.XMATCH(Transactions[[#This Row],[L5N]],Transactions[Transaction name],0),3),Transactions[Transaction code],0),2),Transactions[[#This Row],[L5N]])</f>
        <v>Transformation</v>
      </c>
      <c r="AQ246" s="26" t="str" cm="1">
        <f t="array" ref="AQ246">IFERROR(INDEX(Transactions[[Transaction code]:[Transaction name]],_xlfn.XMATCH(INDEX(Transactions[[Transaction name]:[Parent code]],_xlfn.XMATCH(Transactions[[#This Row],[L6N]],Transactions[Transaction name],0),3),Transactions[Transaction code],0),2),Transactions[[#This Row],[L6N]])</f>
        <v>Transformation</v>
      </c>
      <c r="AR246" s="29" t="str">
        <f>IF(Transactions[[#This Row],[L7N]]=Transactions[[#This Row],[L6N]],Transactions[[#This Row],[L7N]],IF(Transactions[[#This Row],[L6N]]=Transactions[[#This Row],[L5N]],Transactions[[#This Row],[L6N]],IF(Transactions[[#This Row],[L5N]]=Transactions[[#This Row],[L4N]],Transactions[[#This Row],[L5N]],IF(Transactions[[#This Row],[L4N]]=Transactions[[#This Row],[L3N]],Transactions[[#This Row],[L4N]],IF(Transactions[[#This Row],[L3N]]=Transactions[[#This Row],[L2N]],Transactions[[#This Row],[L3N]],IF(Transactions[[#This Row],[L2N]]=Transactions[[#This Row],[L1N]],Transactions[[#This Row],[L2N]],IF(Transactions[[#This Row],[L1N]]=Transactions[[#This Row],[Transaction name]],Transactions[[#This Row],[L1N]],Transactions[[#This Row],[Transaction name]])))))))</f>
        <v>Transformation</v>
      </c>
      <c r="AS246" s="26" t="str">
        <f>IF(Transactions[[#This Row],[Level 0]]=Transactions[[#This Row],[Transaction name]],Transactions[[#This Row],[Transaction name]],IF(Transactions[[#This Row],[Level 0]]=Transactions[[#This Row],[L1N]],Transactions[[#This Row],[Transaction name]],IF(Transactions[[#This Row],[Level 0]]=Transactions[[#This Row],[L2N]],Transactions[[#This Row],[L1N]],IF(Transactions[[#This Row],[Level 0]]=Transactions[[#This Row],[L3N]],Transactions[[#This Row],[L2N]],IF(Transactions[[#This Row],[Level 0]]=Transactions[[#This Row],[L4N]],Transactions[[#This Row],[L3N]],IF(Transactions[[#This Row],[Level 0]]=Transactions[[#This Row],[L5N]],Transactions[[#This Row],[L4N]],IF(Transactions[[#This Row],[Level 0]]=Transactions[[#This Row],[L6N]],Transactions[[#This Row],[L5N]],IF(Transactions[[#This Row],[Level 0]]=Transactions[[#This Row],[L7N]],Transactions[[#This Row],[L6N]],Transactions[[#This Row],[L7N]]))))))))</f>
        <v>Electricity, CHP and heat plants (T)</v>
      </c>
      <c r="AT246" s="26" t="str">
        <f>IF(Transactions[[#This Row],[Level 1]]=Transactions[[#This Row],[Transaction name]],Transactions[[#This Row],[Transaction name]],IF(Transactions[[#This Row],[Level 1]]=Transactions[[#This Row],[L1N]],Transactions[[#This Row],[Transaction name]],IF(Transactions[[#This Row],[Level 1]]=Transactions[[#This Row],[L2N]],Transactions[[#This Row],[L1N]],IF(Transactions[[#This Row],[Level 1]]=Transactions[[#This Row],[L3N]],Transactions[[#This Row],[L2N]],IF(Transactions[[#This Row],[Level 1]]=Transactions[[#This Row],[L4N]],Transactions[[#This Row],[L3N]],IF(Transactions[[#This Row],[Level 1]]=Transactions[[#This Row],[L5N]],Transactions[[#This Row],[L4N]],IF(Transactions[[#This Row],[Level 1]]=Transactions[[#This Row],[L6N]],Transactions[[#This Row],[L5N]],IF(Transactions[[#This Row],[Level 1]]=Transactions[[#This Row],[L7N]],Transactions[[#This Row],[L6N]],Transactions[[#This Row],[L7N]]))))))))</f>
        <v>CHP plants</v>
      </c>
      <c r="AU246" s="26" t="str">
        <f>IF(Transactions[[#This Row],[Level 2]]=Transactions[[#This Row],[Transaction name]],Transactions[[#This Row],[Transaction name]],IF(Transactions[[#This Row],[Level 2]]=Transactions[[#This Row],[L1N]],Transactions[[#This Row],[Transaction name]],IF(Transactions[[#This Row],[Level 2]]=Transactions[[#This Row],[L2N]],Transactions[[#This Row],[L1N]],IF(Transactions[[#This Row],[Level 2]]=Transactions[[#This Row],[L3N]],Transactions[[#This Row],[L2N]],IF(Transactions[[#This Row],[Level 2]]=Transactions[[#This Row],[L4N]],Transactions[[#This Row],[L3N]],IF(Transactions[[#This Row],[Level 2]]=Transactions[[#This Row],[L5N]],Transactions[[#This Row],[L4N]],IF(Transactions[[#This Row],[Level 2]]=Transactions[[#This Row],[L6N]],Transactions[[#This Row],[L5N]],IF(Transactions[[#This Row],[Level 2]]=Transactions[[#This Row],[L7N]],Transactions[[#This Row],[L6N]],Transactions[[#This Row],[L7N]]))))))))</f>
        <v>CHP plants - biogases</v>
      </c>
      <c r="AV246" s="26" t="str">
        <f>IF(Transactions[[#This Row],[Level 3]]=Transactions[[#This Row],[Transaction name]],Transactions[[#This Row],[Transaction name]],IF(Transactions[[#This Row],[Level 3]]=Transactions[[#This Row],[L1N]],Transactions[[#This Row],[Transaction name]],IF(Transactions[[#This Row],[Level 3]]=Transactions[[#This Row],[L2N]],Transactions[[#This Row],[L1N]],IF(Transactions[[#This Row],[Level 3]]=Transactions[[#This Row],[L3N]],Transactions[[#This Row],[L2N]],IF(Transactions[[#This Row],[Level 3]]=Transactions[[#This Row],[L4N]],Transactions[[#This Row],[L3N]],IF(Transactions[[#This Row],[Level 3]]=Transactions[[#This Row],[L5N]],Transactions[[#This Row],[L4N]],IF(Transactions[[#This Row],[Level 3]]=Transactions[[#This Row],[L6N]],Transactions[[#This Row],[L5N]],IF(Transactions[[#This Row],[Level 3]]=Transactions[[#This Row],[L7N]],Transactions[[#This Row],[L6N]],Transactions[[#This Row],[L7N]]))))))))</f>
        <v>CHP plants - biogases</v>
      </c>
      <c r="AW246" s="26" t="str">
        <f>IF(Transactions[[#This Row],[Level 4]]=Transactions[[#This Row],[Transaction name]],Transactions[[#This Row],[Transaction name]],IF(Transactions[[#This Row],[Level 4]]=Transactions[[#This Row],[L1N]],Transactions[[#This Row],[Transaction name]],IF(Transactions[[#This Row],[Level 4]]=Transactions[[#This Row],[L2N]],Transactions[[#This Row],[L1N]],IF(Transactions[[#This Row],[Level 4]]=Transactions[[#This Row],[L3N]],Transactions[[#This Row],[L2N]],IF(Transactions[[#This Row],[Level 4]]=Transactions[[#This Row],[L4N]],Transactions[[#This Row],[L3N]],IF(Transactions[[#This Row],[Level 4]]=Transactions[[#This Row],[L5N]],Transactions[[#This Row],[L4N]],IF(Transactions[[#This Row],[Level 4]]=Transactions[[#This Row],[L6N]],Transactions[[#This Row],[L5N]],IF(Transactions[[#This Row],[Level 4]]=Transactions[[#This Row],[L7N]],Transactions[[#This Row],[L6N]],Transactions[[#This Row],[L7N]]))))))))</f>
        <v>CHP plants - biogases</v>
      </c>
      <c r="AX246" s="26" t="str">
        <f>IF(Transactions[[#This Row],[Level 5]]=Transactions[[#This Row],[Transaction name]],Transactions[[#This Row],[Transaction name]],IF(Transactions[[#This Row],[Level 5]]=Transactions[[#This Row],[L1N]],Transactions[[#This Row],[Transaction name]],IF(Transactions[[#This Row],[Level 5]]=Transactions[[#This Row],[L2N]],Transactions[[#This Row],[L1N]],IF(Transactions[[#This Row],[Level 5]]=Transactions[[#This Row],[L3N]],Transactions[[#This Row],[L2N]],IF(Transactions[[#This Row],[Level 5]]=Transactions[[#This Row],[L4N]],Transactions[[#This Row],[L3N]],IF(Transactions[[#This Row],[Level 5]]=Transactions[[#This Row],[L5N]],Transactions[[#This Row],[L4N]],IF(Transactions[[#This Row],[Level 5]]=Transactions[[#This Row],[L6N]],Transactions[[#This Row],[L5N]],IF(Transactions[[#This Row],[Level 5]]=Transactions[[#This Row],[L7N]],Transactions[[#This Row],[L6N]],Transactions[[#This Row],[L7N]]))))))))</f>
        <v>CHP plants - biogases</v>
      </c>
      <c r="AY246" s="26" t="str">
        <f>IF(Transactions[[#This Row],[Level 6]]=Transactions[[#This Row],[Transaction name]],Transactions[[#This Row],[Transaction name]],IF(Transactions[[#This Row],[Level 6]]=Transactions[[#This Row],[L1N]],Transactions[[#This Row],[Transaction name]],IF(Transactions[[#This Row],[Level 6]]=Transactions[[#This Row],[L2N]],Transactions[[#This Row],[L1N]],IF(Transactions[[#This Row],[Level 6]]=Transactions[[#This Row],[L3N]],Transactions[[#This Row],[L2N]],IF(Transactions[[#This Row],[Level 6]]=Transactions[[#This Row],[L4N]],Transactions[[#This Row],[L3N]],IF(Transactions[[#This Row],[Level 6]]=Transactions[[#This Row],[L5N]],Transactions[[#This Row],[L4N]],IF(Transactions[[#This Row],[Level 6]]=Transactions[[#This Row],[L6N]],Transactions[[#This Row],[L5N]],IF(Transactions[[#This Row],[Level 6]]=Transactions[[#This Row],[L7N]],Transactions[[#This Row],[L6N]],Transactions[[#This Row],[L7N]]))))))))</f>
        <v>CHP plants - biogases</v>
      </c>
      <c r="BE246" s="26" t="str">
        <f>_xlfn.XLOOKUP(Transformation[[#This Row],[cfrom]],Commodities[Commodity],Commodities[Commodity code])</f>
        <v>0320</v>
      </c>
      <c r="BF246" s="26" t="str">
        <f>_xlfn.XLOOKUP(Transformation[[#This Row],[tfrom]],Transactions[Transaction name],Transactions[Transaction code])</f>
        <v>08831</v>
      </c>
      <c r="BG246" s="26" t="str">
        <f>_xlfn.XLOOKUP(Transformation[[#This Row],[cto]],Commodities[Commodity],Commodities[Commodity code])</f>
        <v>0320</v>
      </c>
      <c r="BH246" s="26" t="str">
        <f>_xlfn.XLOOKUP(Transformation[[#This Row],[tto]],Transactions[Transaction name],Transactions[Transaction code])</f>
        <v>015CSH</v>
      </c>
      <c r="BI246" s="31">
        <v>1</v>
      </c>
      <c r="BJ246" s="22" t="s">
        <v>493</v>
      </c>
      <c r="BK246" s="26" t="str">
        <f>_xlfn.XLOOKUP(Transformation[[#This Row],[Commodity from]],Commodities[Commodity code],Commodities[EnergyCode])</f>
        <v>BC</v>
      </c>
      <c r="BL246" s="22" t="s">
        <v>693</v>
      </c>
      <c r="BM246" s="22" t="s">
        <v>493</v>
      </c>
      <c r="BN246" s="26" t="str">
        <f>_xlfn.XLOOKUP(Transformation[[#This Row],[Commodity to]],Commodities[Commodity code],Commodities[EnergyCode])</f>
        <v>BC</v>
      </c>
      <c r="BO246" s="4" t="s">
        <v>1211</v>
      </c>
      <c r="BP246" s="22" t="s">
        <v>1493</v>
      </c>
      <c r="BQ246" s="33" t="str">
        <f>Transformation[[#This Row],[Commodity from]]&amp;Transformation[[#This Row],[Transaction from]]&amp;Transformation[[#This Row],[Commodity to]]&amp;Transformation[[#This Row],[Transaction to]]</f>
        <v>0320088310320015CSH</v>
      </c>
      <c r="BR246" s="26" t="str">
        <f>Transformation[[#This Row],[crfomid]]&amp;Transformation[[#This Row],[Transaction from]]&amp;"("&amp;Transformation[[#This Row],[Multiplier]]&amp;") -&gt; "&amp;Transformation[[#This Row],[ctoid]]&amp;Transformation[[#This Row],[Transaction to]]</f>
        <v>BC08831(1) -&gt; BC015CSH</v>
      </c>
    </row>
    <row r="247" spans="25:70" x14ac:dyDescent="0.45">
      <c r="Y247" s="5" t="s">
        <v>1090</v>
      </c>
      <c r="Z247" s="7" t="s">
        <v>1066</v>
      </c>
      <c r="AA247" s="4" t="s">
        <v>1351</v>
      </c>
      <c r="AB247" s="8" t="s">
        <v>1608</v>
      </c>
      <c r="AC247" s="24" t="str">
        <f>IFERROR(VLOOKUP(Transactions[[#This Row],[Parent code]],Transactions[[Transaction code]:[Transaction name]],2,0),"")</f>
        <v>CHP plants - biogases</v>
      </c>
      <c r="AD247" s="4" t="s">
        <v>189</v>
      </c>
      <c r="AE247" s="4" t="s">
        <v>922</v>
      </c>
      <c r="AF247" s="4" t="s">
        <v>642</v>
      </c>
      <c r="AG247" s="4" t="s">
        <v>1</v>
      </c>
      <c r="AH247" s="4" t="s">
        <v>696</v>
      </c>
      <c r="AI247" s="12" t="s">
        <v>1416</v>
      </c>
      <c r="AK247" s="24" t="str" cm="1">
        <f t="array" ref="AK247">IFERROR(INDEX(Transactions[[Transaction code]:[Transaction name]],_xlfn.XMATCH(Transactions[[#This Row],[Parent code]],Transactions[Transaction name],0),3),Transactions[[#This Row],[Transaction name]])</f>
        <v>CHP plants - Main activity - biogases</v>
      </c>
      <c r="AL247" s="24" t="str" cm="1">
        <f t="array" ref="AL247">IFERROR(INDEX(Transactions[[Transaction code]:[Transaction name]],_xlfn.XMATCH(INDEX(Transactions[[Transaction name]:[Parent code]],_xlfn.XMATCH(Transactions[[#This Row],[L1N]],Transactions[Transaction name],0),3),Transactions[Transaction code],0),2),Transactions[[#This Row],[L1N]])</f>
        <v>CHP plants - biogases</v>
      </c>
      <c r="AM247" s="24" t="str" cm="1">
        <f t="array" ref="AM247">IFERROR(INDEX(Transactions[[Transaction code]:[Transaction name]],_xlfn.XMATCH(INDEX(Transactions[[Transaction name]:[Parent code]],_xlfn.XMATCH(Transactions[[#This Row],[L2N]],Transactions[Transaction name],0),3),Transactions[Transaction code],0),2),Transactions[[#This Row],[L2N]])</f>
        <v>CHP plants</v>
      </c>
      <c r="AN247" s="24" t="str" cm="1">
        <f t="array" ref="AN247">IFERROR(INDEX(Transactions[[Transaction code]:[Transaction name]],_xlfn.XMATCH(INDEX(Transactions[[Transaction name]:[Parent code]],_xlfn.XMATCH(Transactions[[#This Row],[L3N]],Transactions[Transaction name],0),3),Transactions[Transaction code],0),2),Transactions[[#This Row],[L3N]])</f>
        <v>Electricity, CHP and heat plants (T)</v>
      </c>
      <c r="AO247" s="24" t="str" cm="1">
        <f t="array" ref="AO247">IFERROR(INDEX(Transactions[[Transaction code]:[Transaction name]],_xlfn.XMATCH(INDEX(Transactions[[Transaction name]:[Parent code]],_xlfn.XMATCH(Transactions[[#This Row],[L4N]],Transactions[Transaction name],0),3),Transactions[Transaction code],0),2),Transactions[[#This Row],[L4N]])</f>
        <v>Transformation</v>
      </c>
      <c r="AP247" s="24" t="str" cm="1">
        <f t="array" ref="AP247">IFERROR(INDEX(Transactions[[Transaction code]:[Transaction name]],_xlfn.XMATCH(INDEX(Transactions[[Transaction name]:[Parent code]],_xlfn.XMATCH(Transactions[[#This Row],[L5N]],Transactions[Transaction name],0),3),Transactions[Transaction code],0),2),Transactions[[#This Row],[L5N]])</f>
        <v>Transformation</v>
      </c>
      <c r="AQ247" s="24" t="str" cm="1">
        <f t="array" ref="AQ247">IFERROR(INDEX(Transactions[[Transaction code]:[Transaction name]],_xlfn.XMATCH(INDEX(Transactions[[Transaction name]:[Parent code]],_xlfn.XMATCH(Transactions[[#This Row],[L6N]],Transactions[Transaction name],0),3),Transactions[Transaction code],0),2),Transactions[[#This Row],[L6N]])</f>
        <v>Transformation</v>
      </c>
      <c r="AR247" s="28" t="str">
        <f>IF(Transactions[[#This Row],[L7N]]=Transactions[[#This Row],[L6N]],Transactions[[#This Row],[L7N]],IF(Transactions[[#This Row],[L6N]]=Transactions[[#This Row],[L5N]],Transactions[[#This Row],[L6N]],IF(Transactions[[#This Row],[L5N]]=Transactions[[#This Row],[L4N]],Transactions[[#This Row],[L5N]],IF(Transactions[[#This Row],[L4N]]=Transactions[[#This Row],[L3N]],Transactions[[#This Row],[L4N]],IF(Transactions[[#This Row],[L3N]]=Transactions[[#This Row],[L2N]],Transactions[[#This Row],[L3N]],IF(Transactions[[#This Row],[L2N]]=Transactions[[#This Row],[L1N]],Transactions[[#This Row],[L2N]],IF(Transactions[[#This Row],[L1N]]=Transactions[[#This Row],[Transaction name]],Transactions[[#This Row],[L1N]],Transactions[[#This Row],[Transaction name]])))))))</f>
        <v>Transformation</v>
      </c>
      <c r="AS247" s="24" t="str">
        <f>IF(Transactions[[#This Row],[Level 0]]=Transactions[[#This Row],[Transaction name]],Transactions[[#This Row],[Transaction name]],IF(Transactions[[#This Row],[Level 0]]=Transactions[[#This Row],[L1N]],Transactions[[#This Row],[Transaction name]],IF(Transactions[[#This Row],[Level 0]]=Transactions[[#This Row],[L2N]],Transactions[[#This Row],[L1N]],IF(Transactions[[#This Row],[Level 0]]=Transactions[[#This Row],[L3N]],Transactions[[#This Row],[L2N]],IF(Transactions[[#This Row],[Level 0]]=Transactions[[#This Row],[L4N]],Transactions[[#This Row],[L3N]],IF(Transactions[[#This Row],[Level 0]]=Transactions[[#This Row],[L5N]],Transactions[[#This Row],[L4N]],IF(Transactions[[#This Row],[Level 0]]=Transactions[[#This Row],[L6N]],Transactions[[#This Row],[L5N]],IF(Transactions[[#This Row],[Level 0]]=Transactions[[#This Row],[L7N]],Transactions[[#This Row],[L6N]],Transactions[[#This Row],[L7N]]))))))))</f>
        <v>Electricity, CHP and heat plants (T)</v>
      </c>
      <c r="AT247" s="24" t="str">
        <f>IF(Transactions[[#This Row],[Level 1]]=Transactions[[#This Row],[Transaction name]],Transactions[[#This Row],[Transaction name]],IF(Transactions[[#This Row],[Level 1]]=Transactions[[#This Row],[L1N]],Transactions[[#This Row],[Transaction name]],IF(Transactions[[#This Row],[Level 1]]=Transactions[[#This Row],[L2N]],Transactions[[#This Row],[L1N]],IF(Transactions[[#This Row],[Level 1]]=Transactions[[#This Row],[L3N]],Transactions[[#This Row],[L2N]],IF(Transactions[[#This Row],[Level 1]]=Transactions[[#This Row],[L4N]],Transactions[[#This Row],[L3N]],IF(Transactions[[#This Row],[Level 1]]=Transactions[[#This Row],[L5N]],Transactions[[#This Row],[L4N]],IF(Transactions[[#This Row],[Level 1]]=Transactions[[#This Row],[L6N]],Transactions[[#This Row],[L5N]],IF(Transactions[[#This Row],[Level 1]]=Transactions[[#This Row],[L7N]],Transactions[[#This Row],[L6N]],Transactions[[#This Row],[L7N]]))))))))</f>
        <v>CHP plants</v>
      </c>
      <c r="AU247" s="24" t="str">
        <f>IF(Transactions[[#This Row],[Level 2]]=Transactions[[#This Row],[Transaction name]],Transactions[[#This Row],[Transaction name]],IF(Transactions[[#This Row],[Level 2]]=Transactions[[#This Row],[L1N]],Transactions[[#This Row],[Transaction name]],IF(Transactions[[#This Row],[Level 2]]=Transactions[[#This Row],[L2N]],Transactions[[#This Row],[L1N]],IF(Transactions[[#This Row],[Level 2]]=Transactions[[#This Row],[L3N]],Transactions[[#This Row],[L2N]],IF(Transactions[[#This Row],[Level 2]]=Transactions[[#This Row],[L4N]],Transactions[[#This Row],[L3N]],IF(Transactions[[#This Row],[Level 2]]=Transactions[[#This Row],[L5N]],Transactions[[#This Row],[L4N]],IF(Transactions[[#This Row],[Level 2]]=Transactions[[#This Row],[L6N]],Transactions[[#This Row],[L5N]],IF(Transactions[[#This Row],[Level 2]]=Transactions[[#This Row],[L7N]],Transactions[[#This Row],[L6N]],Transactions[[#This Row],[L7N]]))))))))</f>
        <v>CHP plants - biogases</v>
      </c>
      <c r="AV247" s="24" t="str">
        <f>IF(Transactions[[#This Row],[Level 3]]=Transactions[[#This Row],[Transaction name]],Transactions[[#This Row],[Transaction name]],IF(Transactions[[#This Row],[Level 3]]=Transactions[[#This Row],[L1N]],Transactions[[#This Row],[Transaction name]],IF(Transactions[[#This Row],[Level 3]]=Transactions[[#This Row],[L2N]],Transactions[[#This Row],[L1N]],IF(Transactions[[#This Row],[Level 3]]=Transactions[[#This Row],[L3N]],Transactions[[#This Row],[L2N]],IF(Transactions[[#This Row],[Level 3]]=Transactions[[#This Row],[L4N]],Transactions[[#This Row],[L3N]],IF(Transactions[[#This Row],[Level 3]]=Transactions[[#This Row],[L5N]],Transactions[[#This Row],[L4N]],IF(Transactions[[#This Row],[Level 3]]=Transactions[[#This Row],[L6N]],Transactions[[#This Row],[L5N]],IF(Transactions[[#This Row],[Level 3]]=Transactions[[#This Row],[L7N]],Transactions[[#This Row],[L6N]],Transactions[[#This Row],[L7N]]))))))))</f>
        <v>CHP plants - Main activity - biogases</v>
      </c>
      <c r="AW247" s="24" t="str">
        <f>IF(Transactions[[#This Row],[Level 4]]=Transactions[[#This Row],[Transaction name]],Transactions[[#This Row],[Transaction name]],IF(Transactions[[#This Row],[Level 4]]=Transactions[[#This Row],[L1N]],Transactions[[#This Row],[Transaction name]],IF(Transactions[[#This Row],[Level 4]]=Transactions[[#This Row],[L2N]],Transactions[[#This Row],[L1N]],IF(Transactions[[#This Row],[Level 4]]=Transactions[[#This Row],[L3N]],Transactions[[#This Row],[L2N]],IF(Transactions[[#This Row],[Level 4]]=Transactions[[#This Row],[L4N]],Transactions[[#This Row],[L3N]],IF(Transactions[[#This Row],[Level 4]]=Transactions[[#This Row],[L5N]],Transactions[[#This Row],[L4N]],IF(Transactions[[#This Row],[Level 4]]=Transactions[[#This Row],[L6N]],Transactions[[#This Row],[L5N]],IF(Transactions[[#This Row],[Level 4]]=Transactions[[#This Row],[L7N]],Transactions[[#This Row],[L6N]],Transactions[[#This Row],[L7N]]))))))))</f>
        <v>CHP plants - Main activity - biogases</v>
      </c>
      <c r="AX247" s="24" t="str">
        <f>IF(Transactions[[#This Row],[Level 5]]=Transactions[[#This Row],[Transaction name]],Transactions[[#This Row],[Transaction name]],IF(Transactions[[#This Row],[Level 5]]=Transactions[[#This Row],[L1N]],Transactions[[#This Row],[Transaction name]],IF(Transactions[[#This Row],[Level 5]]=Transactions[[#This Row],[L2N]],Transactions[[#This Row],[L1N]],IF(Transactions[[#This Row],[Level 5]]=Transactions[[#This Row],[L3N]],Transactions[[#This Row],[L2N]],IF(Transactions[[#This Row],[Level 5]]=Transactions[[#This Row],[L4N]],Transactions[[#This Row],[L3N]],IF(Transactions[[#This Row],[Level 5]]=Transactions[[#This Row],[L5N]],Transactions[[#This Row],[L4N]],IF(Transactions[[#This Row],[Level 5]]=Transactions[[#This Row],[L6N]],Transactions[[#This Row],[L5N]],IF(Transactions[[#This Row],[Level 5]]=Transactions[[#This Row],[L7N]],Transactions[[#This Row],[L6N]],Transactions[[#This Row],[L7N]]))))))))</f>
        <v>CHP plants - Main activity - biogases</v>
      </c>
      <c r="AY247" s="24" t="str">
        <f>IF(Transactions[[#This Row],[Level 6]]=Transactions[[#This Row],[Transaction name]],Transactions[[#This Row],[Transaction name]],IF(Transactions[[#This Row],[Level 6]]=Transactions[[#This Row],[L1N]],Transactions[[#This Row],[Transaction name]],IF(Transactions[[#This Row],[Level 6]]=Transactions[[#This Row],[L2N]],Transactions[[#This Row],[L1N]],IF(Transactions[[#This Row],[Level 6]]=Transactions[[#This Row],[L3N]],Transactions[[#This Row],[L2N]],IF(Transactions[[#This Row],[Level 6]]=Transactions[[#This Row],[L4N]],Transactions[[#This Row],[L3N]],IF(Transactions[[#This Row],[Level 6]]=Transactions[[#This Row],[L5N]],Transactions[[#This Row],[L4N]],IF(Transactions[[#This Row],[Level 6]]=Transactions[[#This Row],[L6N]],Transactions[[#This Row],[L5N]],IF(Transactions[[#This Row],[Level 6]]=Transactions[[#This Row],[L7N]],Transactions[[#This Row],[L6N]],Transactions[[#This Row],[L7N]]))))))))</f>
        <v>CHP plants - Main activity - biogases</v>
      </c>
      <c r="BE247" s="26" t="str">
        <f>_xlfn.XLOOKUP(Transformation[[#This Row],[cfrom]],Commodities[Commodity],Commodities[Commodity code])</f>
        <v>5220</v>
      </c>
      <c r="BF247" s="26" t="str">
        <f>_xlfn.XLOOKUP(Transformation[[#This Row],[tfrom]],Transactions[Transaction name],Transactions[Transaction code])</f>
        <v>08831</v>
      </c>
      <c r="BG247" s="26" t="str">
        <f>_xlfn.XLOOKUP(Transformation[[#This Row],[cto]],Commodities[Commodity],Commodities[Commodity code])</f>
        <v>5220</v>
      </c>
      <c r="BH247" s="26" t="str">
        <f>_xlfn.XLOOKUP(Transformation[[#This Row],[tto]],Transactions[Transaction name],Transactions[Transaction code])</f>
        <v>015BLH</v>
      </c>
      <c r="BI247" s="11">
        <v>1</v>
      </c>
      <c r="BJ247" s="4" t="s">
        <v>315</v>
      </c>
      <c r="BK247" s="24" t="str">
        <f>_xlfn.XLOOKUP(Transformation[[#This Row],[Commodity from]],Commodities[Commodity code],Commodities[EnergyCode])</f>
        <v>BD</v>
      </c>
      <c r="BL247" s="4" t="s">
        <v>693</v>
      </c>
      <c r="BM247" s="4" t="s">
        <v>315</v>
      </c>
      <c r="BN247" s="24" t="str">
        <f>_xlfn.XLOOKUP(Transformation[[#This Row],[Commodity to]],Commodities[Commodity code],Commodities[EnergyCode])</f>
        <v>BD</v>
      </c>
      <c r="BO247" s="4" t="s">
        <v>1076</v>
      </c>
      <c r="BP247" s="16" t="s">
        <v>1493</v>
      </c>
      <c r="BQ247" s="33" t="str">
        <f>Transformation[[#This Row],[Commodity from]]&amp;Transformation[[#This Row],[Transaction from]]&amp;Transformation[[#This Row],[Commodity to]]&amp;Transformation[[#This Row],[Transaction to]]</f>
        <v>5220088315220015BLH</v>
      </c>
      <c r="BR247" s="26" t="str">
        <f>Transformation[[#This Row],[crfomid]]&amp;Transformation[[#This Row],[Transaction from]]&amp;"("&amp;Transformation[[#This Row],[Multiplier]]&amp;") -&gt; "&amp;Transformation[[#This Row],[ctoid]]&amp;Transformation[[#This Row],[Transaction to]]</f>
        <v>BD08831(1) -&gt; BD015BLH</v>
      </c>
    </row>
    <row r="248" spans="25:70" x14ac:dyDescent="0.45">
      <c r="Y248" s="5" t="s">
        <v>1173</v>
      </c>
      <c r="Z248" s="7" t="s">
        <v>1181</v>
      </c>
      <c r="AA248" s="4" t="s">
        <v>1375</v>
      </c>
      <c r="AB248" s="8" t="s">
        <v>1612</v>
      </c>
      <c r="AC248" s="24" t="str">
        <f>IFERROR(VLOOKUP(Transactions[[#This Row],[Parent code]],Transactions[[Transaction code]:[Transaction name]],2,0),"")</f>
        <v>CHP plants - brown coal</v>
      </c>
      <c r="AD248" s="4" t="s">
        <v>189</v>
      </c>
      <c r="AE248" s="4" t="s">
        <v>922</v>
      </c>
      <c r="AF248" s="4" t="s">
        <v>642</v>
      </c>
      <c r="AG248" s="4" t="s">
        <v>1</v>
      </c>
      <c r="AH248" s="4" t="s">
        <v>696</v>
      </c>
      <c r="AI248" s="12" t="s">
        <v>1416</v>
      </c>
      <c r="AK248" s="24" t="str" cm="1">
        <f t="array" ref="AK248">IFERROR(INDEX(Transactions[[Transaction code]:[Transaction name]],_xlfn.XMATCH(Transactions[[#This Row],[Parent code]],Transactions[Transaction name],0),3),Transactions[[#This Row],[Transaction name]])</f>
        <v>CHP plants - Autoproducer - brown coal</v>
      </c>
      <c r="AL248" s="24" t="str" cm="1">
        <f t="array" ref="AL248">IFERROR(INDEX(Transactions[[Transaction code]:[Transaction name]],_xlfn.XMATCH(INDEX(Transactions[[Transaction name]:[Parent code]],_xlfn.XMATCH(Transactions[[#This Row],[L1N]],Transactions[Transaction name],0),3),Transactions[Transaction code],0),2),Transactions[[#This Row],[L1N]])</f>
        <v>CHP plants - brown coal</v>
      </c>
      <c r="AM248" s="24" t="str" cm="1">
        <f t="array" ref="AM248">IFERROR(INDEX(Transactions[[Transaction code]:[Transaction name]],_xlfn.XMATCH(INDEX(Transactions[[Transaction name]:[Parent code]],_xlfn.XMATCH(Transactions[[#This Row],[L2N]],Transactions[Transaction name],0),3),Transactions[Transaction code],0),2),Transactions[[#This Row],[L2N]])</f>
        <v>CHP plants</v>
      </c>
      <c r="AN248" s="24" t="str" cm="1">
        <f t="array" ref="AN248">IFERROR(INDEX(Transactions[[Transaction code]:[Transaction name]],_xlfn.XMATCH(INDEX(Transactions[[Transaction name]:[Parent code]],_xlfn.XMATCH(Transactions[[#This Row],[L3N]],Transactions[Transaction name],0),3),Transactions[Transaction code],0),2),Transactions[[#This Row],[L3N]])</f>
        <v>Electricity, CHP and heat plants (T)</v>
      </c>
      <c r="AO248" s="24" t="str" cm="1">
        <f t="array" ref="AO248">IFERROR(INDEX(Transactions[[Transaction code]:[Transaction name]],_xlfn.XMATCH(INDEX(Transactions[[Transaction name]:[Parent code]],_xlfn.XMATCH(Transactions[[#This Row],[L4N]],Transactions[Transaction name],0),3),Transactions[Transaction code],0),2),Transactions[[#This Row],[L4N]])</f>
        <v>Transformation</v>
      </c>
      <c r="AP248" s="24" t="str" cm="1">
        <f t="array" ref="AP248">IFERROR(INDEX(Transactions[[Transaction code]:[Transaction name]],_xlfn.XMATCH(INDEX(Transactions[[Transaction name]:[Parent code]],_xlfn.XMATCH(Transactions[[#This Row],[L5N]],Transactions[Transaction name],0),3),Transactions[Transaction code],0),2),Transactions[[#This Row],[L5N]])</f>
        <v>Transformation</v>
      </c>
      <c r="AQ248" s="24" t="str" cm="1">
        <f t="array" ref="AQ248">IFERROR(INDEX(Transactions[[Transaction code]:[Transaction name]],_xlfn.XMATCH(INDEX(Transactions[[Transaction name]:[Parent code]],_xlfn.XMATCH(Transactions[[#This Row],[L6N]],Transactions[Transaction name],0),3),Transactions[Transaction code],0),2),Transactions[[#This Row],[L6N]])</f>
        <v>Transformation</v>
      </c>
      <c r="AR248" s="28" t="str">
        <f>IF(Transactions[[#This Row],[L7N]]=Transactions[[#This Row],[L6N]],Transactions[[#This Row],[L7N]],IF(Transactions[[#This Row],[L6N]]=Transactions[[#This Row],[L5N]],Transactions[[#This Row],[L6N]],IF(Transactions[[#This Row],[L5N]]=Transactions[[#This Row],[L4N]],Transactions[[#This Row],[L5N]],IF(Transactions[[#This Row],[L4N]]=Transactions[[#This Row],[L3N]],Transactions[[#This Row],[L4N]],IF(Transactions[[#This Row],[L3N]]=Transactions[[#This Row],[L2N]],Transactions[[#This Row],[L3N]],IF(Transactions[[#This Row],[L2N]]=Transactions[[#This Row],[L1N]],Transactions[[#This Row],[L2N]],IF(Transactions[[#This Row],[L1N]]=Transactions[[#This Row],[Transaction name]],Transactions[[#This Row],[L1N]],Transactions[[#This Row],[Transaction name]])))))))</f>
        <v>Transformation</v>
      </c>
      <c r="AS248" s="24" t="str">
        <f>IF(Transactions[[#This Row],[Level 0]]=Transactions[[#This Row],[Transaction name]],Transactions[[#This Row],[Transaction name]],IF(Transactions[[#This Row],[Level 0]]=Transactions[[#This Row],[L1N]],Transactions[[#This Row],[Transaction name]],IF(Transactions[[#This Row],[Level 0]]=Transactions[[#This Row],[L2N]],Transactions[[#This Row],[L1N]],IF(Transactions[[#This Row],[Level 0]]=Transactions[[#This Row],[L3N]],Transactions[[#This Row],[L2N]],IF(Transactions[[#This Row],[Level 0]]=Transactions[[#This Row],[L4N]],Transactions[[#This Row],[L3N]],IF(Transactions[[#This Row],[Level 0]]=Transactions[[#This Row],[L5N]],Transactions[[#This Row],[L4N]],IF(Transactions[[#This Row],[Level 0]]=Transactions[[#This Row],[L6N]],Transactions[[#This Row],[L5N]],IF(Transactions[[#This Row],[Level 0]]=Transactions[[#This Row],[L7N]],Transactions[[#This Row],[L6N]],Transactions[[#This Row],[L7N]]))))))))</f>
        <v>Electricity, CHP and heat plants (T)</v>
      </c>
      <c r="AT248" s="24" t="str">
        <f>IF(Transactions[[#This Row],[Level 1]]=Transactions[[#This Row],[Transaction name]],Transactions[[#This Row],[Transaction name]],IF(Transactions[[#This Row],[Level 1]]=Transactions[[#This Row],[L1N]],Transactions[[#This Row],[Transaction name]],IF(Transactions[[#This Row],[Level 1]]=Transactions[[#This Row],[L2N]],Transactions[[#This Row],[L1N]],IF(Transactions[[#This Row],[Level 1]]=Transactions[[#This Row],[L3N]],Transactions[[#This Row],[L2N]],IF(Transactions[[#This Row],[Level 1]]=Transactions[[#This Row],[L4N]],Transactions[[#This Row],[L3N]],IF(Transactions[[#This Row],[Level 1]]=Transactions[[#This Row],[L5N]],Transactions[[#This Row],[L4N]],IF(Transactions[[#This Row],[Level 1]]=Transactions[[#This Row],[L6N]],Transactions[[#This Row],[L5N]],IF(Transactions[[#This Row],[Level 1]]=Transactions[[#This Row],[L7N]],Transactions[[#This Row],[L6N]],Transactions[[#This Row],[L7N]]))))))))</f>
        <v>CHP plants</v>
      </c>
      <c r="AU248" s="24" t="str">
        <f>IF(Transactions[[#This Row],[Level 2]]=Transactions[[#This Row],[Transaction name]],Transactions[[#This Row],[Transaction name]],IF(Transactions[[#This Row],[Level 2]]=Transactions[[#This Row],[L1N]],Transactions[[#This Row],[Transaction name]],IF(Transactions[[#This Row],[Level 2]]=Transactions[[#This Row],[L2N]],Transactions[[#This Row],[L1N]],IF(Transactions[[#This Row],[Level 2]]=Transactions[[#This Row],[L3N]],Transactions[[#This Row],[L2N]],IF(Transactions[[#This Row],[Level 2]]=Transactions[[#This Row],[L4N]],Transactions[[#This Row],[L3N]],IF(Transactions[[#This Row],[Level 2]]=Transactions[[#This Row],[L5N]],Transactions[[#This Row],[L4N]],IF(Transactions[[#This Row],[Level 2]]=Transactions[[#This Row],[L6N]],Transactions[[#This Row],[L5N]],IF(Transactions[[#This Row],[Level 2]]=Transactions[[#This Row],[L7N]],Transactions[[#This Row],[L6N]],Transactions[[#This Row],[L7N]]))))))))</f>
        <v>CHP plants - brown coal</v>
      </c>
      <c r="AV248" s="24" t="str">
        <f>IF(Transactions[[#This Row],[Level 3]]=Transactions[[#This Row],[Transaction name]],Transactions[[#This Row],[Transaction name]],IF(Transactions[[#This Row],[Level 3]]=Transactions[[#This Row],[L1N]],Transactions[[#This Row],[Transaction name]],IF(Transactions[[#This Row],[Level 3]]=Transactions[[#This Row],[L2N]],Transactions[[#This Row],[L1N]],IF(Transactions[[#This Row],[Level 3]]=Transactions[[#This Row],[L3N]],Transactions[[#This Row],[L2N]],IF(Transactions[[#This Row],[Level 3]]=Transactions[[#This Row],[L4N]],Transactions[[#This Row],[L3N]],IF(Transactions[[#This Row],[Level 3]]=Transactions[[#This Row],[L5N]],Transactions[[#This Row],[L4N]],IF(Transactions[[#This Row],[Level 3]]=Transactions[[#This Row],[L6N]],Transactions[[#This Row],[L5N]],IF(Transactions[[#This Row],[Level 3]]=Transactions[[#This Row],[L7N]],Transactions[[#This Row],[L6N]],Transactions[[#This Row],[L7N]]))))))))</f>
        <v>CHP plants - Autoproducer - brown coal</v>
      </c>
      <c r="AW248" s="24" t="str">
        <f>IF(Transactions[[#This Row],[Level 4]]=Transactions[[#This Row],[Transaction name]],Transactions[[#This Row],[Transaction name]],IF(Transactions[[#This Row],[Level 4]]=Transactions[[#This Row],[L1N]],Transactions[[#This Row],[Transaction name]],IF(Transactions[[#This Row],[Level 4]]=Transactions[[#This Row],[L2N]],Transactions[[#This Row],[L1N]],IF(Transactions[[#This Row],[Level 4]]=Transactions[[#This Row],[L3N]],Transactions[[#This Row],[L2N]],IF(Transactions[[#This Row],[Level 4]]=Transactions[[#This Row],[L4N]],Transactions[[#This Row],[L3N]],IF(Transactions[[#This Row],[Level 4]]=Transactions[[#This Row],[L5N]],Transactions[[#This Row],[L4N]],IF(Transactions[[#This Row],[Level 4]]=Transactions[[#This Row],[L6N]],Transactions[[#This Row],[L5N]],IF(Transactions[[#This Row],[Level 4]]=Transactions[[#This Row],[L7N]],Transactions[[#This Row],[L6N]],Transactions[[#This Row],[L7N]]))))))))</f>
        <v>CHP plants - Autoproducer - brown coal</v>
      </c>
      <c r="AX248" s="24" t="str">
        <f>IF(Transactions[[#This Row],[Level 5]]=Transactions[[#This Row],[Transaction name]],Transactions[[#This Row],[Transaction name]],IF(Transactions[[#This Row],[Level 5]]=Transactions[[#This Row],[L1N]],Transactions[[#This Row],[Transaction name]],IF(Transactions[[#This Row],[Level 5]]=Transactions[[#This Row],[L2N]],Transactions[[#This Row],[L1N]],IF(Transactions[[#This Row],[Level 5]]=Transactions[[#This Row],[L3N]],Transactions[[#This Row],[L2N]],IF(Transactions[[#This Row],[Level 5]]=Transactions[[#This Row],[L4N]],Transactions[[#This Row],[L3N]],IF(Transactions[[#This Row],[Level 5]]=Transactions[[#This Row],[L5N]],Transactions[[#This Row],[L4N]],IF(Transactions[[#This Row],[Level 5]]=Transactions[[#This Row],[L6N]],Transactions[[#This Row],[L5N]],IF(Transactions[[#This Row],[Level 5]]=Transactions[[#This Row],[L7N]],Transactions[[#This Row],[L6N]],Transactions[[#This Row],[L7N]]))))))))</f>
        <v>CHP plants - Autoproducer - brown coal</v>
      </c>
      <c r="AY248" s="24" t="str">
        <f>IF(Transactions[[#This Row],[Level 6]]=Transactions[[#This Row],[Transaction name]],Transactions[[#This Row],[Transaction name]],IF(Transactions[[#This Row],[Level 6]]=Transactions[[#This Row],[L1N]],Transactions[[#This Row],[Transaction name]],IF(Transactions[[#This Row],[Level 6]]=Transactions[[#This Row],[L2N]],Transactions[[#This Row],[L1N]],IF(Transactions[[#This Row],[Level 6]]=Transactions[[#This Row],[L3N]],Transactions[[#This Row],[L2N]],IF(Transactions[[#This Row],[Level 6]]=Transactions[[#This Row],[L4N]],Transactions[[#This Row],[L3N]],IF(Transactions[[#This Row],[Level 6]]=Transactions[[#This Row],[L5N]],Transactions[[#This Row],[L4N]],IF(Transactions[[#This Row],[Level 6]]=Transactions[[#This Row],[L6N]],Transactions[[#This Row],[L5N]],IF(Transactions[[#This Row],[Level 6]]=Transactions[[#This Row],[L7N]],Transactions[[#This Row],[L6N]],Transactions[[#This Row],[L7N]]))))))))</f>
        <v>CHP plants - Autoproducer - brown coal</v>
      </c>
      <c r="BE248" s="26" t="str">
        <f>_xlfn.XLOOKUP(Transformation[[#This Row],[cfrom]],Commodities[Commodity],Commodities[Commodity code])</f>
        <v>0371</v>
      </c>
      <c r="BF248" s="26" t="str">
        <f>_xlfn.XLOOKUP(Transformation[[#This Row],[tfrom]],Transactions[Transaction name],Transactions[Transaction code])</f>
        <v>08831</v>
      </c>
      <c r="BG248" s="26" t="str">
        <f>_xlfn.XLOOKUP(Transformation[[#This Row],[cto]],Commodities[Commodity],Commodities[Commodity code])</f>
        <v>0371</v>
      </c>
      <c r="BH248" s="26" t="str">
        <f>_xlfn.XLOOKUP(Transformation[[#This Row],[tto]],Transactions[Transaction name],Transactions[Transaction code])</f>
        <v>015CGH</v>
      </c>
      <c r="BI248" s="11">
        <v>1</v>
      </c>
      <c r="BJ248" s="4" t="s">
        <v>476</v>
      </c>
      <c r="BK248" s="24" t="str">
        <f>_xlfn.XLOOKUP(Transformation[[#This Row],[Commodity from]],Commodities[Commodity code],Commodities[EnergyCode])</f>
        <v>BG</v>
      </c>
      <c r="BL248" s="4" t="s">
        <v>693</v>
      </c>
      <c r="BM248" s="4" t="s">
        <v>476</v>
      </c>
      <c r="BN248" s="24" t="str">
        <f>_xlfn.XLOOKUP(Transformation[[#This Row],[Commodity to]],Commodities[Commodity code],Commodities[EnergyCode])</f>
        <v>BG</v>
      </c>
      <c r="BO248" s="4" t="s">
        <v>1219</v>
      </c>
      <c r="BP248" s="16" t="s">
        <v>1493</v>
      </c>
      <c r="BQ248" s="33" t="str">
        <f>Transformation[[#This Row],[Commodity from]]&amp;Transformation[[#This Row],[Transaction from]]&amp;Transformation[[#This Row],[Commodity to]]&amp;Transformation[[#This Row],[Transaction to]]</f>
        <v>0371088310371015CGH</v>
      </c>
      <c r="BR248" s="26" t="str">
        <f>Transformation[[#This Row],[crfomid]]&amp;Transformation[[#This Row],[Transaction from]]&amp;"("&amp;Transformation[[#This Row],[Multiplier]]&amp;") -&gt; "&amp;Transformation[[#This Row],[ctoid]]&amp;Transformation[[#This Row],[Transaction to]]</f>
        <v>BG08831(1) -&gt; BG015CGH</v>
      </c>
    </row>
    <row r="249" spans="25:70" x14ac:dyDescent="0.45">
      <c r="Y249" s="19" t="s">
        <v>1612</v>
      </c>
      <c r="Z249" s="18" t="s">
        <v>1375</v>
      </c>
      <c r="AA249" s="18" t="s">
        <v>1375</v>
      </c>
      <c r="AB249" s="19" t="s">
        <v>1627</v>
      </c>
      <c r="AC249" s="26" t="str">
        <f>IFERROR(VLOOKUP(Transactions[[#This Row],[Parent code]],Transactions[[Transaction code]:[Transaction name]],2,0),"")</f>
        <v>CHP plants</v>
      </c>
      <c r="AD249" s="18" t="s">
        <v>189</v>
      </c>
      <c r="AE249" s="18" t="s">
        <v>922</v>
      </c>
      <c r="AF249" s="18" t="s">
        <v>642</v>
      </c>
      <c r="AG249" s="18" t="s">
        <v>1</v>
      </c>
      <c r="AH249" s="18" t="s">
        <v>696</v>
      </c>
      <c r="AI249" s="18" t="s">
        <v>1416</v>
      </c>
      <c r="AJ249" s="18"/>
      <c r="AK249" s="26" t="str" cm="1">
        <f t="array" ref="AK249">IFERROR(INDEX(Transactions[[Transaction code]:[Transaction name]],_xlfn.XMATCH(Transactions[[#This Row],[Parent code]],Transactions[Transaction name],0),3),Transactions[[#This Row],[Transaction name]])</f>
        <v>CHP plants - brown coal</v>
      </c>
      <c r="AL249" s="26" t="str" cm="1">
        <f t="array" ref="AL249">IFERROR(INDEX(Transactions[[Transaction code]:[Transaction name]],_xlfn.XMATCH(INDEX(Transactions[[Transaction name]:[Parent code]],_xlfn.XMATCH(Transactions[[#This Row],[L1N]],Transactions[Transaction name],0),3),Transactions[Transaction code],0),2),Transactions[[#This Row],[L1N]])</f>
        <v>CHP plants</v>
      </c>
      <c r="AM249" s="26" t="str" cm="1">
        <f t="array" ref="AM249">IFERROR(INDEX(Transactions[[Transaction code]:[Transaction name]],_xlfn.XMATCH(INDEX(Transactions[[Transaction name]:[Parent code]],_xlfn.XMATCH(Transactions[[#This Row],[L2N]],Transactions[Transaction name],0),3),Transactions[Transaction code],0),2),Transactions[[#This Row],[L2N]])</f>
        <v>Electricity, CHP and heat plants (T)</v>
      </c>
      <c r="AN249" s="26" t="str" cm="1">
        <f t="array" ref="AN249">IFERROR(INDEX(Transactions[[Transaction code]:[Transaction name]],_xlfn.XMATCH(INDEX(Transactions[[Transaction name]:[Parent code]],_xlfn.XMATCH(Transactions[[#This Row],[L3N]],Transactions[Transaction name],0),3),Transactions[Transaction code],0),2),Transactions[[#This Row],[L3N]])</f>
        <v>Transformation</v>
      </c>
      <c r="AO249" s="26" t="str" cm="1">
        <f t="array" ref="AO249">IFERROR(INDEX(Transactions[[Transaction code]:[Transaction name]],_xlfn.XMATCH(INDEX(Transactions[[Transaction name]:[Parent code]],_xlfn.XMATCH(Transactions[[#This Row],[L4N]],Transactions[Transaction name],0),3),Transactions[Transaction code],0),2),Transactions[[#This Row],[L4N]])</f>
        <v>Transformation</v>
      </c>
      <c r="AP249" s="26" t="str" cm="1">
        <f t="array" ref="AP249">IFERROR(INDEX(Transactions[[Transaction code]:[Transaction name]],_xlfn.XMATCH(INDEX(Transactions[[Transaction name]:[Parent code]],_xlfn.XMATCH(Transactions[[#This Row],[L5N]],Transactions[Transaction name],0),3),Transactions[Transaction code],0),2),Transactions[[#This Row],[L5N]])</f>
        <v>Transformation</v>
      </c>
      <c r="AQ249" s="26" t="str" cm="1">
        <f t="array" ref="AQ249">IFERROR(INDEX(Transactions[[Transaction code]:[Transaction name]],_xlfn.XMATCH(INDEX(Transactions[[Transaction name]:[Parent code]],_xlfn.XMATCH(Transactions[[#This Row],[L6N]],Transactions[Transaction name],0),3),Transactions[Transaction code],0),2),Transactions[[#This Row],[L6N]])</f>
        <v>Transformation</v>
      </c>
      <c r="AR249" s="29" t="str">
        <f>IF(Transactions[[#This Row],[L7N]]=Transactions[[#This Row],[L6N]],Transactions[[#This Row],[L7N]],IF(Transactions[[#This Row],[L6N]]=Transactions[[#This Row],[L5N]],Transactions[[#This Row],[L6N]],IF(Transactions[[#This Row],[L5N]]=Transactions[[#This Row],[L4N]],Transactions[[#This Row],[L5N]],IF(Transactions[[#This Row],[L4N]]=Transactions[[#This Row],[L3N]],Transactions[[#This Row],[L4N]],IF(Transactions[[#This Row],[L3N]]=Transactions[[#This Row],[L2N]],Transactions[[#This Row],[L3N]],IF(Transactions[[#This Row],[L2N]]=Transactions[[#This Row],[L1N]],Transactions[[#This Row],[L2N]],IF(Transactions[[#This Row],[L1N]]=Transactions[[#This Row],[Transaction name]],Transactions[[#This Row],[L1N]],Transactions[[#This Row],[Transaction name]])))))))</f>
        <v>Transformation</v>
      </c>
      <c r="AS249" s="26" t="str">
        <f>IF(Transactions[[#This Row],[Level 0]]=Transactions[[#This Row],[Transaction name]],Transactions[[#This Row],[Transaction name]],IF(Transactions[[#This Row],[Level 0]]=Transactions[[#This Row],[L1N]],Transactions[[#This Row],[Transaction name]],IF(Transactions[[#This Row],[Level 0]]=Transactions[[#This Row],[L2N]],Transactions[[#This Row],[L1N]],IF(Transactions[[#This Row],[Level 0]]=Transactions[[#This Row],[L3N]],Transactions[[#This Row],[L2N]],IF(Transactions[[#This Row],[Level 0]]=Transactions[[#This Row],[L4N]],Transactions[[#This Row],[L3N]],IF(Transactions[[#This Row],[Level 0]]=Transactions[[#This Row],[L5N]],Transactions[[#This Row],[L4N]],IF(Transactions[[#This Row],[Level 0]]=Transactions[[#This Row],[L6N]],Transactions[[#This Row],[L5N]],IF(Transactions[[#This Row],[Level 0]]=Transactions[[#This Row],[L7N]],Transactions[[#This Row],[L6N]],Transactions[[#This Row],[L7N]]))))))))</f>
        <v>Electricity, CHP and heat plants (T)</v>
      </c>
      <c r="AT249" s="26" t="str">
        <f>IF(Transactions[[#This Row],[Level 1]]=Transactions[[#This Row],[Transaction name]],Transactions[[#This Row],[Transaction name]],IF(Transactions[[#This Row],[Level 1]]=Transactions[[#This Row],[L1N]],Transactions[[#This Row],[Transaction name]],IF(Transactions[[#This Row],[Level 1]]=Transactions[[#This Row],[L2N]],Transactions[[#This Row],[L1N]],IF(Transactions[[#This Row],[Level 1]]=Transactions[[#This Row],[L3N]],Transactions[[#This Row],[L2N]],IF(Transactions[[#This Row],[Level 1]]=Transactions[[#This Row],[L4N]],Transactions[[#This Row],[L3N]],IF(Transactions[[#This Row],[Level 1]]=Transactions[[#This Row],[L5N]],Transactions[[#This Row],[L4N]],IF(Transactions[[#This Row],[Level 1]]=Transactions[[#This Row],[L6N]],Transactions[[#This Row],[L5N]],IF(Transactions[[#This Row],[Level 1]]=Transactions[[#This Row],[L7N]],Transactions[[#This Row],[L6N]],Transactions[[#This Row],[L7N]]))))))))</f>
        <v>CHP plants</v>
      </c>
      <c r="AU249" s="26" t="str">
        <f>IF(Transactions[[#This Row],[Level 2]]=Transactions[[#This Row],[Transaction name]],Transactions[[#This Row],[Transaction name]],IF(Transactions[[#This Row],[Level 2]]=Transactions[[#This Row],[L1N]],Transactions[[#This Row],[Transaction name]],IF(Transactions[[#This Row],[Level 2]]=Transactions[[#This Row],[L2N]],Transactions[[#This Row],[L1N]],IF(Transactions[[#This Row],[Level 2]]=Transactions[[#This Row],[L3N]],Transactions[[#This Row],[L2N]],IF(Transactions[[#This Row],[Level 2]]=Transactions[[#This Row],[L4N]],Transactions[[#This Row],[L3N]],IF(Transactions[[#This Row],[Level 2]]=Transactions[[#This Row],[L5N]],Transactions[[#This Row],[L4N]],IF(Transactions[[#This Row],[Level 2]]=Transactions[[#This Row],[L6N]],Transactions[[#This Row],[L5N]],IF(Transactions[[#This Row],[Level 2]]=Transactions[[#This Row],[L7N]],Transactions[[#This Row],[L6N]],Transactions[[#This Row],[L7N]]))))))))</f>
        <v>CHP plants - brown coal</v>
      </c>
      <c r="AV249" s="26" t="str">
        <f>IF(Transactions[[#This Row],[Level 3]]=Transactions[[#This Row],[Transaction name]],Transactions[[#This Row],[Transaction name]],IF(Transactions[[#This Row],[Level 3]]=Transactions[[#This Row],[L1N]],Transactions[[#This Row],[Transaction name]],IF(Transactions[[#This Row],[Level 3]]=Transactions[[#This Row],[L2N]],Transactions[[#This Row],[L1N]],IF(Transactions[[#This Row],[Level 3]]=Transactions[[#This Row],[L3N]],Transactions[[#This Row],[L2N]],IF(Transactions[[#This Row],[Level 3]]=Transactions[[#This Row],[L4N]],Transactions[[#This Row],[L3N]],IF(Transactions[[#This Row],[Level 3]]=Transactions[[#This Row],[L5N]],Transactions[[#This Row],[L4N]],IF(Transactions[[#This Row],[Level 3]]=Transactions[[#This Row],[L6N]],Transactions[[#This Row],[L5N]],IF(Transactions[[#This Row],[Level 3]]=Transactions[[#This Row],[L7N]],Transactions[[#This Row],[L6N]],Transactions[[#This Row],[L7N]]))))))))</f>
        <v>CHP plants - brown coal</v>
      </c>
      <c r="AW249" s="26" t="str">
        <f>IF(Transactions[[#This Row],[Level 4]]=Transactions[[#This Row],[Transaction name]],Transactions[[#This Row],[Transaction name]],IF(Transactions[[#This Row],[Level 4]]=Transactions[[#This Row],[L1N]],Transactions[[#This Row],[Transaction name]],IF(Transactions[[#This Row],[Level 4]]=Transactions[[#This Row],[L2N]],Transactions[[#This Row],[L1N]],IF(Transactions[[#This Row],[Level 4]]=Transactions[[#This Row],[L3N]],Transactions[[#This Row],[L2N]],IF(Transactions[[#This Row],[Level 4]]=Transactions[[#This Row],[L4N]],Transactions[[#This Row],[L3N]],IF(Transactions[[#This Row],[Level 4]]=Transactions[[#This Row],[L5N]],Transactions[[#This Row],[L4N]],IF(Transactions[[#This Row],[Level 4]]=Transactions[[#This Row],[L6N]],Transactions[[#This Row],[L5N]],IF(Transactions[[#This Row],[Level 4]]=Transactions[[#This Row],[L7N]],Transactions[[#This Row],[L6N]],Transactions[[#This Row],[L7N]]))))))))</f>
        <v>CHP plants - brown coal</v>
      </c>
      <c r="AX249" s="26" t="str">
        <f>IF(Transactions[[#This Row],[Level 5]]=Transactions[[#This Row],[Transaction name]],Transactions[[#This Row],[Transaction name]],IF(Transactions[[#This Row],[Level 5]]=Transactions[[#This Row],[L1N]],Transactions[[#This Row],[Transaction name]],IF(Transactions[[#This Row],[Level 5]]=Transactions[[#This Row],[L2N]],Transactions[[#This Row],[L1N]],IF(Transactions[[#This Row],[Level 5]]=Transactions[[#This Row],[L3N]],Transactions[[#This Row],[L2N]],IF(Transactions[[#This Row],[Level 5]]=Transactions[[#This Row],[L4N]],Transactions[[#This Row],[L3N]],IF(Transactions[[#This Row],[Level 5]]=Transactions[[#This Row],[L5N]],Transactions[[#This Row],[L4N]],IF(Transactions[[#This Row],[Level 5]]=Transactions[[#This Row],[L6N]],Transactions[[#This Row],[L5N]],IF(Transactions[[#This Row],[Level 5]]=Transactions[[#This Row],[L7N]],Transactions[[#This Row],[L6N]],Transactions[[#This Row],[L7N]]))))))))</f>
        <v>CHP plants - brown coal</v>
      </c>
      <c r="AY249" s="26" t="str">
        <f>IF(Transactions[[#This Row],[Level 6]]=Transactions[[#This Row],[Transaction name]],Transactions[[#This Row],[Transaction name]],IF(Transactions[[#This Row],[Level 6]]=Transactions[[#This Row],[L1N]],Transactions[[#This Row],[Transaction name]],IF(Transactions[[#This Row],[Level 6]]=Transactions[[#This Row],[L2N]],Transactions[[#This Row],[L1N]],IF(Transactions[[#This Row],[Level 6]]=Transactions[[#This Row],[L3N]],Transactions[[#This Row],[L2N]],IF(Transactions[[#This Row],[Level 6]]=Transactions[[#This Row],[L4N]],Transactions[[#This Row],[L3N]],IF(Transactions[[#This Row],[Level 6]]=Transactions[[#This Row],[L5N]],Transactions[[#This Row],[L4N]],IF(Transactions[[#This Row],[Level 6]]=Transactions[[#This Row],[L6N]],Transactions[[#This Row],[L5N]],IF(Transactions[[#This Row],[Level 6]]=Transactions[[#This Row],[L7N]],Transactions[[#This Row],[L6N]],Transactions[[#This Row],[L7N]]))))))))</f>
        <v>CHP plants - brown coal</v>
      </c>
      <c r="BE249" s="26" t="str">
        <f>_xlfn.XLOOKUP(Transformation[[#This Row],[cfrom]],Commodities[Commodity],Commodities[Commodity code])</f>
        <v>5300</v>
      </c>
      <c r="BF249" s="26" t="str">
        <f>_xlfn.XLOOKUP(Transformation[[#This Row],[tfrom]],Transactions[Transaction name],Transactions[Transaction code])</f>
        <v>08831</v>
      </c>
      <c r="BG249" s="26" t="str">
        <f>_xlfn.XLOOKUP(Transformation[[#This Row],[cto]],Commodities[Commodity],Commodities[Commodity code])</f>
        <v>5300</v>
      </c>
      <c r="BH249" s="26" t="str">
        <f>_xlfn.XLOOKUP(Transformation[[#This Row],[tto]],Transactions[Transaction name],Transactions[Transaction code])</f>
        <v>015BGH</v>
      </c>
      <c r="BI249" s="11">
        <v>1</v>
      </c>
      <c r="BJ249" s="4" t="s">
        <v>298</v>
      </c>
      <c r="BK249" s="24" t="str">
        <f>_xlfn.XLOOKUP(Transformation[[#This Row],[Commodity from]],Commodities[Commodity code],Commodities[EnergyCode])</f>
        <v>BI</v>
      </c>
      <c r="BL249" s="4" t="s">
        <v>693</v>
      </c>
      <c r="BM249" s="4" t="s">
        <v>298</v>
      </c>
      <c r="BN249" s="24" t="str">
        <f>_xlfn.XLOOKUP(Transformation[[#This Row],[Commodity to]],Commodities[Commodity code],Commodities[EnergyCode])</f>
        <v>BI</v>
      </c>
      <c r="BO249" s="4" t="s">
        <v>1068</v>
      </c>
      <c r="BP249" s="16" t="s">
        <v>1493</v>
      </c>
      <c r="BQ249" s="33" t="str">
        <f>Transformation[[#This Row],[Commodity from]]&amp;Transformation[[#This Row],[Transaction from]]&amp;Transformation[[#This Row],[Commodity to]]&amp;Transformation[[#This Row],[Transaction to]]</f>
        <v>5300088315300015BGH</v>
      </c>
      <c r="BR249" s="26" t="str">
        <f>Transformation[[#This Row],[crfomid]]&amp;Transformation[[#This Row],[Transaction from]]&amp;"("&amp;Transformation[[#This Row],[Multiplier]]&amp;") -&gt; "&amp;Transformation[[#This Row],[ctoid]]&amp;Transformation[[#This Row],[Transaction to]]</f>
        <v>BI08831(1) -&gt; BI015BGH</v>
      </c>
    </row>
    <row r="250" spans="25:70" x14ac:dyDescent="0.45">
      <c r="Y250" s="5" t="s">
        <v>1169</v>
      </c>
      <c r="Z250" s="7" t="s">
        <v>1177</v>
      </c>
      <c r="AA250" s="4" t="s">
        <v>1375</v>
      </c>
      <c r="AB250" s="8" t="s">
        <v>1612</v>
      </c>
      <c r="AC250" s="24" t="str">
        <f>IFERROR(VLOOKUP(Transactions[[#This Row],[Parent code]],Transactions[[Transaction code]:[Transaction name]],2,0),"")</f>
        <v>CHP plants - brown coal</v>
      </c>
      <c r="AD250" s="4" t="s">
        <v>189</v>
      </c>
      <c r="AE250" s="4" t="s">
        <v>922</v>
      </c>
      <c r="AF250" s="4" t="s">
        <v>642</v>
      </c>
      <c r="AG250" s="4" t="s">
        <v>1</v>
      </c>
      <c r="AH250" s="4" t="s">
        <v>696</v>
      </c>
      <c r="AI250" s="12" t="s">
        <v>1416</v>
      </c>
      <c r="AK250" s="24" t="str" cm="1">
        <f t="array" ref="AK250">IFERROR(INDEX(Transactions[[Transaction code]:[Transaction name]],_xlfn.XMATCH(Transactions[[#This Row],[Parent code]],Transactions[Transaction name],0),3),Transactions[[#This Row],[Transaction name]])</f>
        <v>CHP plants - Main activity - brown coal</v>
      </c>
      <c r="AL250" s="24" t="str" cm="1">
        <f t="array" ref="AL250">IFERROR(INDEX(Transactions[[Transaction code]:[Transaction name]],_xlfn.XMATCH(INDEX(Transactions[[Transaction name]:[Parent code]],_xlfn.XMATCH(Transactions[[#This Row],[L1N]],Transactions[Transaction name],0),3),Transactions[Transaction code],0),2),Transactions[[#This Row],[L1N]])</f>
        <v>CHP plants - brown coal</v>
      </c>
      <c r="AM250" s="24" t="str" cm="1">
        <f t="array" ref="AM250">IFERROR(INDEX(Transactions[[Transaction code]:[Transaction name]],_xlfn.XMATCH(INDEX(Transactions[[Transaction name]:[Parent code]],_xlfn.XMATCH(Transactions[[#This Row],[L2N]],Transactions[Transaction name],0),3),Transactions[Transaction code],0),2),Transactions[[#This Row],[L2N]])</f>
        <v>CHP plants</v>
      </c>
      <c r="AN250" s="24" t="str" cm="1">
        <f t="array" ref="AN250">IFERROR(INDEX(Transactions[[Transaction code]:[Transaction name]],_xlfn.XMATCH(INDEX(Transactions[[Transaction name]:[Parent code]],_xlfn.XMATCH(Transactions[[#This Row],[L3N]],Transactions[Transaction name],0),3),Transactions[Transaction code],0),2),Transactions[[#This Row],[L3N]])</f>
        <v>Electricity, CHP and heat plants (T)</v>
      </c>
      <c r="AO250" s="24" t="str" cm="1">
        <f t="array" ref="AO250">IFERROR(INDEX(Transactions[[Transaction code]:[Transaction name]],_xlfn.XMATCH(INDEX(Transactions[[Transaction name]:[Parent code]],_xlfn.XMATCH(Transactions[[#This Row],[L4N]],Transactions[Transaction name],0),3),Transactions[Transaction code],0),2),Transactions[[#This Row],[L4N]])</f>
        <v>Transformation</v>
      </c>
      <c r="AP250" s="24" t="str" cm="1">
        <f t="array" ref="AP250">IFERROR(INDEX(Transactions[[Transaction code]:[Transaction name]],_xlfn.XMATCH(INDEX(Transactions[[Transaction name]:[Parent code]],_xlfn.XMATCH(Transactions[[#This Row],[L5N]],Transactions[Transaction name],0),3),Transactions[Transaction code],0),2),Transactions[[#This Row],[L5N]])</f>
        <v>Transformation</v>
      </c>
      <c r="AQ250" s="24" t="str" cm="1">
        <f t="array" ref="AQ250">IFERROR(INDEX(Transactions[[Transaction code]:[Transaction name]],_xlfn.XMATCH(INDEX(Transactions[[Transaction name]:[Parent code]],_xlfn.XMATCH(Transactions[[#This Row],[L6N]],Transactions[Transaction name],0),3),Transactions[Transaction code],0),2),Transactions[[#This Row],[L6N]])</f>
        <v>Transformation</v>
      </c>
      <c r="AR250" s="28" t="str">
        <f>IF(Transactions[[#This Row],[L7N]]=Transactions[[#This Row],[L6N]],Transactions[[#This Row],[L7N]],IF(Transactions[[#This Row],[L6N]]=Transactions[[#This Row],[L5N]],Transactions[[#This Row],[L6N]],IF(Transactions[[#This Row],[L5N]]=Transactions[[#This Row],[L4N]],Transactions[[#This Row],[L5N]],IF(Transactions[[#This Row],[L4N]]=Transactions[[#This Row],[L3N]],Transactions[[#This Row],[L4N]],IF(Transactions[[#This Row],[L3N]]=Transactions[[#This Row],[L2N]],Transactions[[#This Row],[L3N]],IF(Transactions[[#This Row],[L2N]]=Transactions[[#This Row],[L1N]],Transactions[[#This Row],[L2N]],IF(Transactions[[#This Row],[L1N]]=Transactions[[#This Row],[Transaction name]],Transactions[[#This Row],[L1N]],Transactions[[#This Row],[Transaction name]])))))))</f>
        <v>Transformation</v>
      </c>
      <c r="AS250" s="24" t="str">
        <f>IF(Transactions[[#This Row],[Level 0]]=Transactions[[#This Row],[Transaction name]],Transactions[[#This Row],[Transaction name]],IF(Transactions[[#This Row],[Level 0]]=Transactions[[#This Row],[L1N]],Transactions[[#This Row],[Transaction name]],IF(Transactions[[#This Row],[Level 0]]=Transactions[[#This Row],[L2N]],Transactions[[#This Row],[L1N]],IF(Transactions[[#This Row],[Level 0]]=Transactions[[#This Row],[L3N]],Transactions[[#This Row],[L2N]],IF(Transactions[[#This Row],[Level 0]]=Transactions[[#This Row],[L4N]],Transactions[[#This Row],[L3N]],IF(Transactions[[#This Row],[Level 0]]=Transactions[[#This Row],[L5N]],Transactions[[#This Row],[L4N]],IF(Transactions[[#This Row],[Level 0]]=Transactions[[#This Row],[L6N]],Transactions[[#This Row],[L5N]],IF(Transactions[[#This Row],[Level 0]]=Transactions[[#This Row],[L7N]],Transactions[[#This Row],[L6N]],Transactions[[#This Row],[L7N]]))))))))</f>
        <v>Electricity, CHP and heat plants (T)</v>
      </c>
      <c r="AT250" s="24" t="str">
        <f>IF(Transactions[[#This Row],[Level 1]]=Transactions[[#This Row],[Transaction name]],Transactions[[#This Row],[Transaction name]],IF(Transactions[[#This Row],[Level 1]]=Transactions[[#This Row],[L1N]],Transactions[[#This Row],[Transaction name]],IF(Transactions[[#This Row],[Level 1]]=Transactions[[#This Row],[L2N]],Transactions[[#This Row],[L1N]],IF(Transactions[[#This Row],[Level 1]]=Transactions[[#This Row],[L3N]],Transactions[[#This Row],[L2N]],IF(Transactions[[#This Row],[Level 1]]=Transactions[[#This Row],[L4N]],Transactions[[#This Row],[L3N]],IF(Transactions[[#This Row],[Level 1]]=Transactions[[#This Row],[L5N]],Transactions[[#This Row],[L4N]],IF(Transactions[[#This Row],[Level 1]]=Transactions[[#This Row],[L6N]],Transactions[[#This Row],[L5N]],IF(Transactions[[#This Row],[Level 1]]=Transactions[[#This Row],[L7N]],Transactions[[#This Row],[L6N]],Transactions[[#This Row],[L7N]]))))))))</f>
        <v>CHP plants</v>
      </c>
      <c r="AU250" s="24" t="str">
        <f>IF(Transactions[[#This Row],[Level 2]]=Transactions[[#This Row],[Transaction name]],Transactions[[#This Row],[Transaction name]],IF(Transactions[[#This Row],[Level 2]]=Transactions[[#This Row],[L1N]],Transactions[[#This Row],[Transaction name]],IF(Transactions[[#This Row],[Level 2]]=Transactions[[#This Row],[L2N]],Transactions[[#This Row],[L1N]],IF(Transactions[[#This Row],[Level 2]]=Transactions[[#This Row],[L3N]],Transactions[[#This Row],[L2N]],IF(Transactions[[#This Row],[Level 2]]=Transactions[[#This Row],[L4N]],Transactions[[#This Row],[L3N]],IF(Transactions[[#This Row],[Level 2]]=Transactions[[#This Row],[L5N]],Transactions[[#This Row],[L4N]],IF(Transactions[[#This Row],[Level 2]]=Transactions[[#This Row],[L6N]],Transactions[[#This Row],[L5N]],IF(Transactions[[#This Row],[Level 2]]=Transactions[[#This Row],[L7N]],Transactions[[#This Row],[L6N]],Transactions[[#This Row],[L7N]]))))))))</f>
        <v>CHP plants - brown coal</v>
      </c>
      <c r="AV250" s="24" t="str">
        <f>IF(Transactions[[#This Row],[Level 3]]=Transactions[[#This Row],[Transaction name]],Transactions[[#This Row],[Transaction name]],IF(Transactions[[#This Row],[Level 3]]=Transactions[[#This Row],[L1N]],Transactions[[#This Row],[Transaction name]],IF(Transactions[[#This Row],[Level 3]]=Transactions[[#This Row],[L2N]],Transactions[[#This Row],[L1N]],IF(Transactions[[#This Row],[Level 3]]=Transactions[[#This Row],[L3N]],Transactions[[#This Row],[L2N]],IF(Transactions[[#This Row],[Level 3]]=Transactions[[#This Row],[L4N]],Transactions[[#This Row],[L3N]],IF(Transactions[[#This Row],[Level 3]]=Transactions[[#This Row],[L5N]],Transactions[[#This Row],[L4N]],IF(Transactions[[#This Row],[Level 3]]=Transactions[[#This Row],[L6N]],Transactions[[#This Row],[L5N]],IF(Transactions[[#This Row],[Level 3]]=Transactions[[#This Row],[L7N]],Transactions[[#This Row],[L6N]],Transactions[[#This Row],[L7N]]))))))))</f>
        <v>CHP plants - Main activity - brown coal</v>
      </c>
      <c r="AW250" s="24" t="str">
        <f>IF(Transactions[[#This Row],[Level 4]]=Transactions[[#This Row],[Transaction name]],Transactions[[#This Row],[Transaction name]],IF(Transactions[[#This Row],[Level 4]]=Transactions[[#This Row],[L1N]],Transactions[[#This Row],[Transaction name]],IF(Transactions[[#This Row],[Level 4]]=Transactions[[#This Row],[L2N]],Transactions[[#This Row],[L1N]],IF(Transactions[[#This Row],[Level 4]]=Transactions[[#This Row],[L3N]],Transactions[[#This Row],[L2N]],IF(Transactions[[#This Row],[Level 4]]=Transactions[[#This Row],[L4N]],Transactions[[#This Row],[L3N]],IF(Transactions[[#This Row],[Level 4]]=Transactions[[#This Row],[L5N]],Transactions[[#This Row],[L4N]],IF(Transactions[[#This Row],[Level 4]]=Transactions[[#This Row],[L6N]],Transactions[[#This Row],[L5N]],IF(Transactions[[#This Row],[Level 4]]=Transactions[[#This Row],[L7N]],Transactions[[#This Row],[L6N]],Transactions[[#This Row],[L7N]]))))))))</f>
        <v>CHP plants - Main activity - brown coal</v>
      </c>
      <c r="AX250" s="24" t="str">
        <f>IF(Transactions[[#This Row],[Level 5]]=Transactions[[#This Row],[Transaction name]],Transactions[[#This Row],[Transaction name]],IF(Transactions[[#This Row],[Level 5]]=Transactions[[#This Row],[L1N]],Transactions[[#This Row],[Transaction name]],IF(Transactions[[#This Row],[Level 5]]=Transactions[[#This Row],[L2N]],Transactions[[#This Row],[L1N]],IF(Transactions[[#This Row],[Level 5]]=Transactions[[#This Row],[L3N]],Transactions[[#This Row],[L2N]],IF(Transactions[[#This Row],[Level 5]]=Transactions[[#This Row],[L4N]],Transactions[[#This Row],[L3N]],IF(Transactions[[#This Row],[Level 5]]=Transactions[[#This Row],[L5N]],Transactions[[#This Row],[L4N]],IF(Transactions[[#This Row],[Level 5]]=Transactions[[#This Row],[L6N]],Transactions[[#This Row],[L5N]],IF(Transactions[[#This Row],[Level 5]]=Transactions[[#This Row],[L7N]],Transactions[[#This Row],[L6N]],Transactions[[#This Row],[L7N]]))))))))</f>
        <v>CHP plants - Main activity - brown coal</v>
      </c>
      <c r="AY250" s="24" t="str">
        <f>IF(Transactions[[#This Row],[Level 6]]=Transactions[[#This Row],[Transaction name]],Transactions[[#This Row],[Transaction name]],IF(Transactions[[#This Row],[Level 6]]=Transactions[[#This Row],[L1N]],Transactions[[#This Row],[Transaction name]],IF(Transactions[[#This Row],[Level 6]]=Transactions[[#This Row],[L2N]],Transactions[[#This Row],[L1N]],IF(Transactions[[#This Row],[Level 6]]=Transactions[[#This Row],[L3N]],Transactions[[#This Row],[L2N]],IF(Transactions[[#This Row],[Level 6]]=Transactions[[#This Row],[L4N]],Transactions[[#This Row],[L3N]],IF(Transactions[[#This Row],[Level 6]]=Transactions[[#This Row],[L5N]],Transactions[[#This Row],[L4N]],IF(Transactions[[#This Row],[Level 6]]=Transactions[[#This Row],[L6N]],Transactions[[#This Row],[L5N]],IF(Transactions[[#This Row],[Level 6]]=Transactions[[#This Row],[L7N]],Transactions[[#This Row],[L6N]],Transactions[[#This Row],[L7N]]))))))))</f>
        <v>CHP plants - Main activity - brown coal</v>
      </c>
      <c r="BE250" s="26" t="str">
        <f>_xlfn.XLOOKUP(Transformation[[#This Row],[cfrom]],Commodities[Commodity],Commodities[Commodity code])</f>
        <v>0379</v>
      </c>
      <c r="BF250" s="26" t="str">
        <f>_xlfn.XLOOKUP(Transformation[[#This Row],[tfrom]],Transactions[Transaction name],Transactions[Transaction code])</f>
        <v>08831</v>
      </c>
      <c r="BG250" s="26" t="str">
        <f>_xlfn.XLOOKUP(Transformation[[#This Row],[cto]],Commodities[Commodity],Commodities[Commodity code])</f>
        <v>0379</v>
      </c>
      <c r="BH250" s="26" t="str">
        <f>_xlfn.XLOOKUP(Transformation[[#This Row],[tto]],Transactions[Transaction name],Transactions[Transaction code])</f>
        <v>015CGH</v>
      </c>
      <c r="BI250" s="11">
        <v>1</v>
      </c>
      <c r="BJ250" s="4" t="s">
        <v>472</v>
      </c>
      <c r="BK250" s="24" t="str">
        <f>_xlfn.XLOOKUP(Transformation[[#This Row],[Commodity from]],Commodities[Commodity code],Commodities[EnergyCode])</f>
        <v>BO</v>
      </c>
      <c r="BL250" s="4" t="s">
        <v>693</v>
      </c>
      <c r="BM250" s="4" t="s">
        <v>472</v>
      </c>
      <c r="BN250" s="24" t="str">
        <f>_xlfn.XLOOKUP(Transformation[[#This Row],[Commodity to]],Commodities[Commodity code],Commodities[EnergyCode])</f>
        <v>BO</v>
      </c>
      <c r="BO250" s="4" t="s">
        <v>1219</v>
      </c>
      <c r="BP250" s="16" t="s">
        <v>1493</v>
      </c>
      <c r="BQ250" s="33" t="str">
        <f>Transformation[[#This Row],[Commodity from]]&amp;Transformation[[#This Row],[Transaction from]]&amp;Transformation[[#This Row],[Commodity to]]&amp;Transformation[[#This Row],[Transaction to]]</f>
        <v>0379088310379015CGH</v>
      </c>
      <c r="BR250" s="26" t="str">
        <f>Transformation[[#This Row],[crfomid]]&amp;Transformation[[#This Row],[Transaction from]]&amp;"("&amp;Transformation[[#This Row],[Multiplier]]&amp;") -&gt; "&amp;Transformation[[#This Row],[ctoid]]&amp;Transformation[[#This Row],[Transaction to]]</f>
        <v>BO08831(1) -&gt; BO015CGH</v>
      </c>
    </row>
    <row r="251" spans="25:70" x14ac:dyDescent="0.45">
      <c r="Y251" s="5" t="s">
        <v>258</v>
      </c>
      <c r="Z251" s="7" t="s">
        <v>655</v>
      </c>
      <c r="AA251" s="4" t="s">
        <v>1316</v>
      </c>
      <c r="AB251" s="8" t="s">
        <v>1619</v>
      </c>
      <c r="AC251" s="24" t="str">
        <f>IFERROR(VLOOKUP(Transactions[[#This Row],[Parent code]],Transactions[[Transaction code]:[Transaction name]],2,0),"")</f>
        <v>CHP plants - chemical heat/sources</v>
      </c>
      <c r="AD251" s="4" t="s">
        <v>189</v>
      </c>
      <c r="AE251" s="4" t="s">
        <v>922</v>
      </c>
      <c r="AF251" s="4" t="s">
        <v>642</v>
      </c>
      <c r="AG251" s="4" t="s">
        <v>1</v>
      </c>
      <c r="AH251" s="4" t="s">
        <v>696</v>
      </c>
      <c r="AK251" s="24" t="str" cm="1">
        <f t="array" ref="AK251">IFERROR(INDEX(Transactions[[Transaction code]:[Transaction name]],_xlfn.XMATCH(Transactions[[#This Row],[Parent code]],Transactions[Transaction name],0),3),Transactions[[#This Row],[Transaction name]])</f>
        <v>CHP plants - Autoproducer - chemical heat/sources</v>
      </c>
      <c r="AL251" s="24" t="str" cm="1">
        <f t="array" ref="AL251">IFERROR(INDEX(Transactions[[Transaction code]:[Transaction name]],_xlfn.XMATCH(INDEX(Transactions[[Transaction name]:[Parent code]],_xlfn.XMATCH(Transactions[[#This Row],[L1N]],Transactions[Transaction name],0),3),Transactions[Transaction code],0),2),Transactions[[#This Row],[L1N]])</f>
        <v>CHP plants - chemical heat/sources</v>
      </c>
      <c r="AM251" s="24" t="str" cm="1">
        <f t="array" ref="AM251">IFERROR(INDEX(Transactions[[Transaction code]:[Transaction name]],_xlfn.XMATCH(INDEX(Transactions[[Transaction name]:[Parent code]],_xlfn.XMATCH(Transactions[[#This Row],[L2N]],Transactions[Transaction name],0),3),Transactions[Transaction code],0),2),Transactions[[#This Row],[L2N]])</f>
        <v>CHP plants</v>
      </c>
      <c r="AN251" s="24" t="str" cm="1">
        <f t="array" ref="AN251">IFERROR(INDEX(Transactions[[Transaction code]:[Transaction name]],_xlfn.XMATCH(INDEX(Transactions[[Transaction name]:[Parent code]],_xlfn.XMATCH(Transactions[[#This Row],[L3N]],Transactions[Transaction name],0),3),Transactions[Transaction code],0),2),Transactions[[#This Row],[L3N]])</f>
        <v>Electricity, CHP and heat plants (T)</v>
      </c>
      <c r="AO251" s="24" t="str" cm="1">
        <f t="array" ref="AO251">IFERROR(INDEX(Transactions[[Transaction code]:[Transaction name]],_xlfn.XMATCH(INDEX(Transactions[[Transaction name]:[Parent code]],_xlfn.XMATCH(Transactions[[#This Row],[L4N]],Transactions[Transaction name],0),3),Transactions[Transaction code],0),2),Transactions[[#This Row],[L4N]])</f>
        <v>Transformation</v>
      </c>
      <c r="AP251" s="24" t="str" cm="1">
        <f t="array" ref="AP251">IFERROR(INDEX(Transactions[[Transaction code]:[Transaction name]],_xlfn.XMATCH(INDEX(Transactions[[Transaction name]:[Parent code]],_xlfn.XMATCH(Transactions[[#This Row],[L5N]],Transactions[Transaction name],0),3),Transactions[Transaction code],0),2),Transactions[[#This Row],[L5N]])</f>
        <v>Transformation</v>
      </c>
      <c r="AQ251" s="24" t="str" cm="1">
        <f t="array" ref="AQ251">IFERROR(INDEX(Transactions[[Transaction code]:[Transaction name]],_xlfn.XMATCH(INDEX(Transactions[[Transaction name]:[Parent code]],_xlfn.XMATCH(Transactions[[#This Row],[L6N]],Transactions[Transaction name],0),3),Transactions[Transaction code],0),2),Transactions[[#This Row],[L6N]])</f>
        <v>Transformation</v>
      </c>
      <c r="AR251" s="28" t="str">
        <f>IF(Transactions[[#This Row],[L7N]]=Transactions[[#This Row],[L6N]],Transactions[[#This Row],[L7N]],IF(Transactions[[#This Row],[L6N]]=Transactions[[#This Row],[L5N]],Transactions[[#This Row],[L6N]],IF(Transactions[[#This Row],[L5N]]=Transactions[[#This Row],[L4N]],Transactions[[#This Row],[L5N]],IF(Transactions[[#This Row],[L4N]]=Transactions[[#This Row],[L3N]],Transactions[[#This Row],[L4N]],IF(Transactions[[#This Row],[L3N]]=Transactions[[#This Row],[L2N]],Transactions[[#This Row],[L3N]],IF(Transactions[[#This Row],[L2N]]=Transactions[[#This Row],[L1N]],Transactions[[#This Row],[L2N]],IF(Transactions[[#This Row],[L1N]]=Transactions[[#This Row],[Transaction name]],Transactions[[#This Row],[L1N]],Transactions[[#This Row],[Transaction name]])))))))</f>
        <v>Transformation</v>
      </c>
      <c r="AS251" s="24" t="str">
        <f>IF(Transactions[[#This Row],[Level 0]]=Transactions[[#This Row],[Transaction name]],Transactions[[#This Row],[Transaction name]],IF(Transactions[[#This Row],[Level 0]]=Transactions[[#This Row],[L1N]],Transactions[[#This Row],[Transaction name]],IF(Transactions[[#This Row],[Level 0]]=Transactions[[#This Row],[L2N]],Transactions[[#This Row],[L1N]],IF(Transactions[[#This Row],[Level 0]]=Transactions[[#This Row],[L3N]],Transactions[[#This Row],[L2N]],IF(Transactions[[#This Row],[Level 0]]=Transactions[[#This Row],[L4N]],Transactions[[#This Row],[L3N]],IF(Transactions[[#This Row],[Level 0]]=Transactions[[#This Row],[L5N]],Transactions[[#This Row],[L4N]],IF(Transactions[[#This Row],[Level 0]]=Transactions[[#This Row],[L6N]],Transactions[[#This Row],[L5N]],IF(Transactions[[#This Row],[Level 0]]=Transactions[[#This Row],[L7N]],Transactions[[#This Row],[L6N]],Transactions[[#This Row],[L7N]]))))))))</f>
        <v>Electricity, CHP and heat plants (T)</v>
      </c>
      <c r="AT251" s="24" t="str">
        <f>IF(Transactions[[#This Row],[Level 1]]=Transactions[[#This Row],[Transaction name]],Transactions[[#This Row],[Transaction name]],IF(Transactions[[#This Row],[Level 1]]=Transactions[[#This Row],[L1N]],Transactions[[#This Row],[Transaction name]],IF(Transactions[[#This Row],[Level 1]]=Transactions[[#This Row],[L2N]],Transactions[[#This Row],[L1N]],IF(Transactions[[#This Row],[Level 1]]=Transactions[[#This Row],[L3N]],Transactions[[#This Row],[L2N]],IF(Transactions[[#This Row],[Level 1]]=Transactions[[#This Row],[L4N]],Transactions[[#This Row],[L3N]],IF(Transactions[[#This Row],[Level 1]]=Transactions[[#This Row],[L5N]],Transactions[[#This Row],[L4N]],IF(Transactions[[#This Row],[Level 1]]=Transactions[[#This Row],[L6N]],Transactions[[#This Row],[L5N]],IF(Transactions[[#This Row],[Level 1]]=Transactions[[#This Row],[L7N]],Transactions[[#This Row],[L6N]],Transactions[[#This Row],[L7N]]))))))))</f>
        <v>CHP plants</v>
      </c>
      <c r="AU251" s="24" t="str">
        <f>IF(Transactions[[#This Row],[Level 2]]=Transactions[[#This Row],[Transaction name]],Transactions[[#This Row],[Transaction name]],IF(Transactions[[#This Row],[Level 2]]=Transactions[[#This Row],[L1N]],Transactions[[#This Row],[Transaction name]],IF(Transactions[[#This Row],[Level 2]]=Transactions[[#This Row],[L2N]],Transactions[[#This Row],[L1N]],IF(Transactions[[#This Row],[Level 2]]=Transactions[[#This Row],[L3N]],Transactions[[#This Row],[L2N]],IF(Transactions[[#This Row],[Level 2]]=Transactions[[#This Row],[L4N]],Transactions[[#This Row],[L3N]],IF(Transactions[[#This Row],[Level 2]]=Transactions[[#This Row],[L5N]],Transactions[[#This Row],[L4N]],IF(Transactions[[#This Row],[Level 2]]=Transactions[[#This Row],[L6N]],Transactions[[#This Row],[L5N]],IF(Transactions[[#This Row],[Level 2]]=Transactions[[#This Row],[L7N]],Transactions[[#This Row],[L6N]],Transactions[[#This Row],[L7N]]))))))))</f>
        <v>CHP plants - chemical heat/sources</v>
      </c>
      <c r="AV251" s="24" t="str">
        <f>IF(Transactions[[#This Row],[Level 3]]=Transactions[[#This Row],[Transaction name]],Transactions[[#This Row],[Transaction name]],IF(Transactions[[#This Row],[Level 3]]=Transactions[[#This Row],[L1N]],Transactions[[#This Row],[Transaction name]],IF(Transactions[[#This Row],[Level 3]]=Transactions[[#This Row],[L2N]],Transactions[[#This Row],[L1N]],IF(Transactions[[#This Row],[Level 3]]=Transactions[[#This Row],[L3N]],Transactions[[#This Row],[L2N]],IF(Transactions[[#This Row],[Level 3]]=Transactions[[#This Row],[L4N]],Transactions[[#This Row],[L3N]],IF(Transactions[[#This Row],[Level 3]]=Transactions[[#This Row],[L5N]],Transactions[[#This Row],[L4N]],IF(Transactions[[#This Row],[Level 3]]=Transactions[[#This Row],[L6N]],Transactions[[#This Row],[L5N]],IF(Transactions[[#This Row],[Level 3]]=Transactions[[#This Row],[L7N]],Transactions[[#This Row],[L6N]],Transactions[[#This Row],[L7N]]))))))))</f>
        <v>CHP plants - Autoproducer - chemical heat/sources</v>
      </c>
      <c r="AW251" s="24" t="str">
        <f>IF(Transactions[[#This Row],[Level 4]]=Transactions[[#This Row],[Transaction name]],Transactions[[#This Row],[Transaction name]],IF(Transactions[[#This Row],[Level 4]]=Transactions[[#This Row],[L1N]],Transactions[[#This Row],[Transaction name]],IF(Transactions[[#This Row],[Level 4]]=Transactions[[#This Row],[L2N]],Transactions[[#This Row],[L1N]],IF(Transactions[[#This Row],[Level 4]]=Transactions[[#This Row],[L3N]],Transactions[[#This Row],[L2N]],IF(Transactions[[#This Row],[Level 4]]=Transactions[[#This Row],[L4N]],Transactions[[#This Row],[L3N]],IF(Transactions[[#This Row],[Level 4]]=Transactions[[#This Row],[L5N]],Transactions[[#This Row],[L4N]],IF(Transactions[[#This Row],[Level 4]]=Transactions[[#This Row],[L6N]],Transactions[[#This Row],[L5N]],IF(Transactions[[#This Row],[Level 4]]=Transactions[[#This Row],[L7N]],Transactions[[#This Row],[L6N]],Transactions[[#This Row],[L7N]]))))))))</f>
        <v>CHP plants - Autoproducer - chemical heat/sources</v>
      </c>
      <c r="AX251" s="24" t="str">
        <f>IF(Transactions[[#This Row],[Level 5]]=Transactions[[#This Row],[Transaction name]],Transactions[[#This Row],[Transaction name]],IF(Transactions[[#This Row],[Level 5]]=Transactions[[#This Row],[L1N]],Transactions[[#This Row],[Transaction name]],IF(Transactions[[#This Row],[Level 5]]=Transactions[[#This Row],[L2N]],Transactions[[#This Row],[L1N]],IF(Transactions[[#This Row],[Level 5]]=Transactions[[#This Row],[L3N]],Transactions[[#This Row],[L2N]],IF(Transactions[[#This Row],[Level 5]]=Transactions[[#This Row],[L4N]],Transactions[[#This Row],[L3N]],IF(Transactions[[#This Row],[Level 5]]=Transactions[[#This Row],[L5N]],Transactions[[#This Row],[L4N]],IF(Transactions[[#This Row],[Level 5]]=Transactions[[#This Row],[L6N]],Transactions[[#This Row],[L5N]],IF(Transactions[[#This Row],[Level 5]]=Transactions[[#This Row],[L7N]],Transactions[[#This Row],[L6N]],Transactions[[#This Row],[L7N]]))))))))</f>
        <v>CHP plants - Autoproducer - chemical heat/sources</v>
      </c>
      <c r="AY251" s="24" t="str">
        <f>IF(Transactions[[#This Row],[Level 6]]=Transactions[[#This Row],[Transaction name]],Transactions[[#This Row],[Transaction name]],IF(Transactions[[#This Row],[Level 6]]=Transactions[[#This Row],[L1N]],Transactions[[#This Row],[Transaction name]],IF(Transactions[[#This Row],[Level 6]]=Transactions[[#This Row],[L2N]],Transactions[[#This Row],[L1N]],IF(Transactions[[#This Row],[Level 6]]=Transactions[[#This Row],[L3N]],Transactions[[#This Row],[L2N]],IF(Transactions[[#This Row],[Level 6]]=Transactions[[#This Row],[L4N]],Transactions[[#This Row],[L3N]],IF(Transactions[[#This Row],[Level 6]]=Transactions[[#This Row],[L5N]],Transactions[[#This Row],[L4N]],IF(Transactions[[#This Row],[Level 6]]=Transactions[[#This Row],[L6N]],Transactions[[#This Row],[L5N]],IF(Transactions[[#This Row],[Level 6]]=Transactions[[#This Row],[L7N]],Transactions[[#This Row],[L6N]],Transactions[[#This Row],[L7N]]))))))))</f>
        <v>CHP plants - Autoproducer - chemical heat/sources</v>
      </c>
      <c r="BE251" s="26" t="str">
        <f>_xlfn.XLOOKUP(Transformation[[#This Row],[cfrom]],Commodities[Commodity],Commodities[Commodity code])</f>
        <v>1200</v>
      </c>
      <c r="BF251" s="26" t="str">
        <f>_xlfn.XLOOKUP(Transformation[[#This Row],[tfrom]],Transactions[Transaction name],Transactions[Transaction code])</f>
        <v>08831</v>
      </c>
      <c r="BG251" s="26" t="str">
        <f>_xlfn.XLOOKUP(Transformation[[#This Row],[cto]],Commodities[Commodity],Commodities[Commodity code])</f>
        <v>1200</v>
      </c>
      <c r="BH251" s="26" t="str">
        <f>_xlfn.XLOOKUP(Transformation[[#This Row],[tto]],Transactions[Transaction name],Transactions[Transaction code])</f>
        <v>015PTH</v>
      </c>
      <c r="BI251" s="11">
        <v>1</v>
      </c>
      <c r="BJ251" s="4" t="s">
        <v>455</v>
      </c>
      <c r="BK251" s="24" t="str">
        <f>_xlfn.XLOOKUP(Transformation[[#This Row],[Commodity from]],Commodities[Commodity code],Commodities[EnergyCode])</f>
        <v>BP</v>
      </c>
      <c r="BL251" s="4" t="s">
        <v>693</v>
      </c>
      <c r="BM251" s="4" t="s">
        <v>455</v>
      </c>
      <c r="BN251" s="24" t="str">
        <f>_xlfn.XLOOKUP(Transformation[[#This Row],[Commodity to]],Commodities[Commodity code],Commodities[EnergyCode])</f>
        <v>BP</v>
      </c>
      <c r="BO251" s="4" t="s">
        <v>1203</v>
      </c>
      <c r="BP251" s="16" t="s">
        <v>1493</v>
      </c>
      <c r="BQ251" s="33" t="str">
        <f>Transformation[[#This Row],[Commodity from]]&amp;Transformation[[#This Row],[Transaction from]]&amp;Transformation[[#This Row],[Commodity to]]&amp;Transformation[[#This Row],[Transaction to]]</f>
        <v>1200088311200015PTH</v>
      </c>
      <c r="BR251" s="26" t="str">
        <f>Transformation[[#This Row],[crfomid]]&amp;Transformation[[#This Row],[Transaction from]]&amp;"("&amp;Transformation[[#This Row],[Multiplier]]&amp;") -&gt; "&amp;Transformation[[#This Row],[ctoid]]&amp;Transformation[[#This Row],[Transaction to]]</f>
        <v>BP08831(1) -&gt; BP015PTH</v>
      </c>
    </row>
    <row r="252" spans="25:70" x14ac:dyDescent="0.45">
      <c r="Y252" s="19" t="s">
        <v>1619</v>
      </c>
      <c r="Z252" s="18" t="s">
        <v>1316</v>
      </c>
      <c r="AA252" s="18" t="s">
        <v>1316</v>
      </c>
      <c r="AB252" s="19" t="s">
        <v>1627</v>
      </c>
      <c r="AC252" s="26" t="str">
        <f>IFERROR(VLOOKUP(Transactions[[#This Row],[Parent code]],Transactions[[Transaction code]:[Transaction name]],2,0),"")</f>
        <v>CHP plants</v>
      </c>
      <c r="AD252" s="18" t="s">
        <v>189</v>
      </c>
      <c r="AE252" s="18" t="s">
        <v>922</v>
      </c>
      <c r="AF252" s="18" t="s">
        <v>642</v>
      </c>
      <c r="AG252" s="18" t="s">
        <v>1</v>
      </c>
      <c r="AH252" s="18" t="s">
        <v>696</v>
      </c>
      <c r="AI252" s="18"/>
      <c r="AJ252" s="18"/>
      <c r="AK252" s="26" t="str" cm="1">
        <f t="array" ref="AK252">IFERROR(INDEX(Transactions[[Transaction code]:[Transaction name]],_xlfn.XMATCH(Transactions[[#This Row],[Parent code]],Transactions[Transaction name],0),3),Transactions[[#This Row],[Transaction name]])</f>
        <v>CHP plants - chemical heat/sources</v>
      </c>
      <c r="AL252" s="26" t="str" cm="1">
        <f t="array" ref="AL252">IFERROR(INDEX(Transactions[[Transaction code]:[Transaction name]],_xlfn.XMATCH(INDEX(Transactions[[Transaction name]:[Parent code]],_xlfn.XMATCH(Transactions[[#This Row],[L1N]],Transactions[Transaction name],0),3),Transactions[Transaction code],0),2),Transactions[[#This Row],[L1N]])</f>
        <v>CHP plants</v>
      </c>
      <c r="AM252" s="26" t="str" cm="1">
        <f t="array" ref="AM252">IFERROR(INDEX(Transactions[[Transaction code]:[Transaction name]],_xlfn.XMATCH(INDEX(Transactions[[Transaction name]:[Parent code]],_xlfn.XMATCH(Transactions[[#This Row],[L2N]],Transactions[Transaction name],0),3),Transactions[Transaction code],0),2),Transactions[[#This Row],[L2N]])</f>
        <v>Electricity, CHP and heat plants (T)</v>
      </c>
      <c r="AN252" s="26" t="str" cm="1">
        <f t="array" ref="AN252">IFERROR(INDEX(Transactions[[Transaction code]:[Transaction name]],_xlfn.XMATCH(INDEX(Transactions[[Transaction name]:[Parent code]],_xlfn.XMATCH(Transactions[[#This Row],[L3N]],Transactions[Transaction name],0),3),Transactions[Transaction code],0),2),Transactions[[#This Row],[L3N]])</f>
        <v>Transformation</v>
      </c>
      <c r="AO252" s="26" t="str" cm="1">
        <f t="array" ref="AO252">IFERROR(INDEX(Transactions[[Transaction code]:[Transaction name]],_xlfn.XMATCH(INDEX(Transactions[[Transaction name]:[Parent code]],_xlfn.XMATCH(Transactions[[#This Row],[L4N]],Transactions[Transaction name],0),3),Transactions[Transaction code],0),2),Transactions[[#This Row],[L4N]])</f>
        <v>Transformation</v>
      </c>
      <c r="AP252" s="26" t="str" cm="1">
        <f t="array" ref="AP252">IFERROR(INDEX(Transactions[[Transaction code]:[Transaction name]],_xlfn.XMATCH(INDEX(Transactions[[Transaction name]:[Parent code]],_xlfn.XMATCH(Transactions[[#This Row],[L5N]],Transactions[Transaction name],0),3),Transactions[Transaction code],0),2),Transactions[[#This Row],[L5N]])</f>
        <v>Transformation</v>
      </c>
      <c r="AQ252" s="26" t="str" cm="1">
        <f t="array" ref="AQ252">IFERROR(INDEX(Transactions[[Transaction code]:[Transaction name]],_xlfn.XMATCH(INDEX(Transactions[[Transaction name]:[Parent code]],_xlfn.XMATCH(Transactions[[#This Row],[L6N]],Transactions[Transaction name],0),3),Transactions[Transaction code],0),2),Transactions[[#This Row],[L6N]])</f>
        <v>Transformation</v>
      </c>
      <c r="AR252" s="29" t="str">
        <f>IF(Transactions[[#This Row],[L7N]]=Transactions[[#This Row],[L6N]],Transactions[[#This Row],[L7N]],IF(Transactions[[#This Row],[L6N]]=Transactions[[#This Row],[L5N]],Transactions[[#This Row],[L6N]],IF(Transactions[[#This Row],[L5N]]=Transactions[[#This Row],[L4N]],Transactions[[#This Row],[L5N]],IF(Transactions[[#This Row],[L4N]]=Transactions[[#This Row],[L3N]],Transactions[[#This Row],[L4N]],IF(Transactions[[#This Row],[L3N]]=Transactions[[#This Row],[L2N]],Transactions[[#This Row],[L3N]],IF(Transactions[[#This Row],[L2N]]=Transactions[[#This Row],[L1N]],Transactions[[#This Row],[L2N]],IF(Transactions[[#This Row],[L1N]]=Transactions[[#This Row],[Transaction name]],Transactions[[#This Row],[L1N]],Transactions[[#This Row],[Transaction name]])))))))</f>
        <v>Transformation</v>
      </c>
      <c r="AS252" s="26" t="str">
        <f>IF(Transactions[[#This Row],[Level 0]]=Transactions[[#This Row],[Transaction name]],Transactions[[#This Row],[Transaction name]],IF(Transactions[[#This Row],[Level 0]]=Transactions[[#This Row],[L1N]],Transactions[[#This Row],[Transaction name]],IF(Transactions[[#This Row],[Level 0]]=Transactions[[#This Row],[L2N]],Transactions[[#This Row],[L1N]],IF(Transactions[[#This Row],[Level 0]]=Transactions[[#This Row],[L3N]],Transactions[[#This Row],[L2N]],IF(Transactions[[#This Row],[Level 0]]=Transactions[[#This Row],[L4N]],Transactions[[#This Row],[L3N]],IF(Transactions[[#This Row],[Level 0]]=Transactions[[#This Row],[L5N]],Transactions[[#This Row],[L4N]],IF(Transactions[[#This Row],[Level 0]]=Transactions[[#This Row],[L6N]],Transactions[[#This Row],[L5N]],IF(Transactions[[#This Row],[Level 0]]=Transactions[[#This Row],[L7N]],Transactions[[#This Row],[L6N]],Transactions[[#This Row],[L7N]]))))))))</f>
        <v>Electricity, CHP and heat plants (T)</v>
      </c>
      <c r="AT252" s="26" t="str">
        <f>IF(Transactions[[#This Row],[Level 1]]=Transactions[[#This Row],[Transaction name]],Transactions[[#This Row],[Transaction name]],IF(Transactions[[#This Row],[Level 1]]=Transactions[[#This Row],[L1N]],Transactions[[#This Row],[Transaction name]],IF(Transactions[[#This Row],[Level 1]]=Transactions[[#This Row],[L2N]],Transactions[[#This Row],[L1N]],IF(Transactions[[#This Row],[Level 1]]=Transactions[[#This Row],[L3N]],Transactions[[#This Row],[L2N]],IF(Transactions[[#This Row],[Level 1]]=Transactions[[#This Row],[L4N]],Transactions[[#This Row],[L3N]],IF(Transactions[[#This Row],[Level 1]]=Transactions[[#This Row],[L5N]],Transactions[[#This Row],[L4N]],IF(Transactions[[#This Row],[Level 1]]=Transactions[[#This Row],[L6N]],Transactions[[#This Row],[L5N]],IF(Transactions[[#This Row],[Level 1]]=Transactions[[#This Row],[L7N]],Transactions[[#This Row],[L6N]],Transactions[[#This Row],[L7N]]))))))))</f>
        <v>CHP plants</v>
      </c>
      <c r="AU252" s="26" t="str">
        <f>IF(Transactions[[#This Row],[Level 2]]=Transactions[[#This Row],[Transaction name]],Transactions[[#This Row],[Transaction name]],IF(Transactions[[#This Row],[Level 2]]=Transactions[[#This Row],[L1N]],Transactions[[#This Row],[Transaction name]],IF(Transactions[[#This Row],[Level 2]]=Transactions[[#This Row],[L2N]],Transactions[[#This Row],[L1N]],IF(Transactions[[#This Row],[Level 2]]=Transactions[[#This Row],[L3N]],Transactions[[#This Row],[L2N]],IF(Transactions[[#This Row],[Level 2]]=Transactions[[#This Row],[L4N]],Transactions[[#This Row],[L3N]],IF(Transactions[[#This Row],[Level 2]]=Transactions[[#This Row],[L5N]],Transactions[[#This Row],[L4N]],IF(Transactions[[#This Row],[Level 2]]=Transactions[[#This Row],[L6N]],Transactions[[#This Row],[L5N]],IF(Transactions[[#This Row],[Level 2]]=Transactions[[#This Row],[L7N]],Transactions[[#This Row],[L6N]],Transactions[[#This Row],[L7N]]))))))))</f>
        <v>CHP plants - chemical heat/sources</v>
      </c>
      <c r="AV252" s="26" t="str">
        <f>IF(Transactions[[#This Row],[Level 3]]=Transactions[[#This Row],[Transaction name]],Transactions[[#This Row],[Transaction name]],IF(Transactions[[#This Row],[Level 3]]=Transactions[[#This Row],[L1N]],Transactions[[#This Row],[Transaction name]],IF(Transactions[[#This Row],[Level 3]]=Transactions[[#This Row],[L2N]],Transactions[[#This Row],[L1N]],IF(Transactions[[#This Row],[Level 3]]=Transactions[[#This Row],[L3N]],Transactions[[#This Row],[L2N]],IF(Transactions[[#This Row],[Level 3]]=Transactions[[#This Row],[L4N]],Transactions[[#This Row],[L3N]],IF(Transactions[[#This Row],[Level 3]]=Transactions[[#This Row],[L5N]],Transactions[[#This Row],[L4N]],IF(Transactions[[#This Row],[Level 3]]=Transactions[[#This Row],[L6N]],Transactions[[#This Row],[L5N]],IF(Transactions[[#This Row],[Level 3]]=Transactions[[#This Row],[L7N]],Transactions[[#This Row],[L6N]],Transactions[[#This Row],[L7N]]))))))))</f>
        <v>CHP plants - chemical heat/sources</v>
      </c>
      <c r="AW252" s="26" t="str">
        <f>IF(Transactions[[#This Row],[Level 4]]=Transactions[[#This Row],[Transaction name]],Transactions[[#This Row],[Transaction name]],IF(Transactions[[#This Row],[Level 4]]=Transactions[[#This Row],[L1N]],Transactions[[#This Row],[Transaction name]],IF(Transactions[[#This Row],[Level 4]]=Transactions[[#This Row],[L2N]],Transactions[[#This Row],[L1N]],IF(Transactions[[#This Row],[Level 4]]=Transactions[[#This Row],[L3N]],Transactions[[#This Row],[L2N]],IF(Transactions[[#This Row],[Level 4]]=Transactions[[#This Row],[L4N]],Transactions[[#This Row],[L3N]],IF(Transactions[[#This Row],[Level 4]]=Transactions[[#This Row],[L5N]],Transactions[[#This Row],[L4N]],IF(Transactions[[#This Row],[Level 4]]=Transactions[[#This Row],[L6N]],Transactions[[#This Row],[L5N]],IF(Transactions[[#This Row],[Level 4]]=Transactions[[#This Row],[L7N]],Transactions[[#This Row],[L6N]],Transactions[[#This Row],[L7N]]))))))))</f>
        <v>CHP plants - chemical heat/sources</v>
      </c>
      <c r="AX252" s="26" t="str">
        <f>IF(Transactions[[#This Row],[Level 5]]=Transactions[[#This Row],[Transaction name]],Transactions[[#This Row],[Transaction name]],IF(Transactions[[#This Row],[Level 5]]=Transactions[[#This Row],[L1N]],Transactions[[#This Row],[Transaction name]],IF(Transactions[[#This Row],[Level 5]]=Transactions[[#This Row],[L2N]],Transactions[[#This Row],[L1N]],IF(Transactions[[#This Row],[Level 5]]=Transactions[[#This Row],[L3N]],Transactions[[#This Row],[L2N]],IF(Transactions[[#This Row],[Level 5]]=Transactions[[#This Row],[L4N]],Transactions[[#This Row],[L3N]],IF(Transactions[[#This Row],[Level 5]]=Transactions[[#This Row],[L5N]],Transactions[[#This Row],[L4N]],IF(Transactions[[#This Row],[Level 5]]=Transactions[[#This Row],[L6N]],Transactions[[#This Row],[L5N]],IF(Transactions[[#This Row],[Level 5]]=Transactions[[#This Row],[L7N]],Transactions[[#This Row],[L6N]],Transactions[[#This Row],[L7N]]))))))))</f>
        <v>CHP plants - chemical heat/sources</v>
      </c>
      <c r="AY252" s="26" t="str">
        <f>IF(Transactions[[#This Row],[Level 6]]=Transactions[[#This Row],[Transaction name]],Transactions[[#This Row],[Transaction name]],IF(Transactions[[#This Row],[Level 6]]=Transactions[[#This Row],[L1N]],Transactions[[#This Row],[Transaction name]],IF(Transactions[[#This Row],[Level 6]]=Transactions[[#This Row],[L2N]],Transactions[[#This Row],[L1N]],IF(Transactions[[#This Row],[Level 6]]=Transactions[[#This Row],[L3N]],Transactions[[#This Row],[L2N]],IF(Transactions[[#This Row],[Level 6]]=Transactions[[#This Row],[L4N]],Transactions[[#This Row],[L3N]],IF(Transactions[[#This Row],[Level 6]]=Transactions[[#This Row],[L5N]],Transactions[[#This Row],[L4N]],IF(Transactions[[#This Row],[Level 6]]=Transactions[[#This Row],[L6N]],Transactions[[#This Row],[L5N]],IF(Transactions[[#This Row],[Level 6]]=Transactions[[#This Row],[L7N]],Transactions[[#This Row],[L6N]],Transactions[[#This Row],[L7N]]))))))))</f>
        <v>CHP plants - chemical heat/sources</v>
      </c>
      <c r="BE252" s="26" t="str">
        <f>_xlfn.XLOOKUP(Transformation[[#This Row],[cfrom]],Commodities[Commodity],Commodities[Commodity code])</f>
        <v>5120</v>
      </c>
      <c r="BF252" s="26" t="str">
        <f>_xlfn.XLOOKUP(Transformation[[#This Row],[tfrom]],Transactions[Transaction name],Transactions[Transaction code])</f>
        <v>08831</v>
      </c>
      <c r="BG252" s="26" t="str">
        <f>_xlfn.XLOOKUP(Transformation[[#This Row],[cto]],Commodities[Commodity],Commodities[Commodity code])</f>
        <v>5120</v>
      </c>
      <c r="BH252" s="26" t="str">
        <f>_xlfn.XLOOKUP(Transformation[[#This Row],[tto]],Transactions[Transaction name],Transactions[Transaction code])</f>
        <v>015BH</v>
      </c>
      <c r="BI252" s="11">
        <v>1</v>
      </c>
      <c r="BJ252" s="4" t="s">
        <v>337</v>
      </c>
      <c r="BK252" s="24" t="str">
        <f>_xlfn.XLOOKUP(Transformation[[#This Row],[Commodity from]],Commodities[Commodity code],Commodities[EnergyCode])</f>
        <v>BS</v>
      </c>
      <c r="BL252" s="4" t="s">
        <v>693</v>
      </c>
      <c r="BM252" s="4" t="s">
        <v>337</v>
      </c>
      <c r="BN252" s="24" t="str">
        <f>_xlfn.XLOOKUP(Transformation[[#This Row],[Commodity to]],Commodities[Commodity code],Commodities[EnergyCode])</f>
        <v>BS</v>
      </c>
      <c r="BO252" s="4" t="s">
        <v>1060</v>
      </c>
      <c r="BP252" s="16" t="s">
        <v>1493</v>
      </c>
      <c r="BQ252" s="33" t="str">
        <f>Transformation[[#This Row],[Commodity from]]&amp;Transformation[[#This Row],[Transaction from]]&amp;Transformation[[#This Row],[Commodity to]]&amp;Transformation[[#This Row],[Transaction to]]</f>
        <v>5120088315120015BH</v>
      </c>
      <c r="BR252" s="26" t="str">
        <f>Transformation[[#This Row],[crfomid]]&amp;Transformation[[#This Row],[Transaction from]]&amp;"("&amp;Transformation[[#This Row],[Multiplier]]&amp;") -&gt; "&amp;Transformation[[#This Row],[ctoid]]&amp;Transformation[[#This Row],[Transaction to]]</f>
        <v>BS08831(1) -&gt; BS015BH</v>
      </c>
    </row>
    <row r="253" spans="25:70" x14ac:dyDescent="0.45">
      <c r="Y253" s="5" t="s">
        <v>339</v>
      </c>
      <c r="Z253" s="7" t="s">
        <v>650</v>
      </c>
      <c r="AA253" s="4" t="s">
        <v>1316</v>
      </c>
      <c r="AB253" s="8" t="s">
        <v>1619</v>
      </c>
      <c r="AC253" s="24" t="str">
        <f>IFERROR(VLOOKUP(Transactions[[#This Row],[Parent code]],Transactions[[Transaction code]:[Transaction name]],2,0),"")</f>
        <v>CHP plants - chemical heat/sources</v>
      </c>
      <c r="AD253" s="4" t="s">
        <v>189</v>
      </c>
      <c r="AE253" s="4" t="s">
        <v>922</v>
      </c>
      <c r="AF253" s="4" t="s">
        <v>642</v>
      </c>
      <c r="AG253" s="4" t="s">
        <v>1</v>
      </c>
      <c r="AH253" s="4" t="s">
        <v>696</v>
      </c>
      <c r="AK253" s="24" t="str" cm="1">
        <f t="array" ref="AK253">IFERROR(INDEX(Transactions[[Transaction code]:[Transaction name]],_xlfn.XMATCH(Transactions[[#This Row],[Parent code]],Transactions[Transaction name],0),3),Transactions[[#This Row],[Transaction name]])</f>
        <v>CHP plants - Main activity - chemical heat/sources</v>
      </c>
      <c r="AL253" s="24" t="str" cm="1">
        <f t="array" ref="AL253">IFERROR(INDEX(Transactions[[Transaction code]:[Transaction name]],_xlfn.XMATCH(INDEX(Transactions[[Transaction name]:[Parent code]],_xlfn.XMATCH(Transactions[[#This Row],[L1N]],Transactions[Transaction name],0),3),Transactions[Transaction code],0),2),Transactions[[#This Row],[L1N]])</f>
        <v>CHP plants - chemical heat/sources</v>
      </c>
      <c r="AM253" s="24" t="str" cm="1">
        <f t="array" ref="AM253">IFERROR(INDEX(Transactions[[Transaction code]:[Transaction name]],_xlfn.XMATCH(INDEX(Transactions[[Transaction name]:[Parent code]],_xlfn.XMATCH(Transactions[[#This Row],[L2N]],Transactions[Transaction name],0),3),Transactions[Transaction code],0),2),Transactions[[#This Row],[L2N]])</f>
        <v>CHP plants</v>
      </c>
      <c r="AN253" s="24" t="str" cm="1">
        <f t="array" ref="AN253">IFERROR(INDEX(Transactions[[Transaction code]:[Transaction name]],_xlfn.XMATCH(INDEX(Transactions[[Transaction name]:[Parent code]],_xlfn.XMATCH(Transactions[[#This Row],[L3N]],Transactions[Transaction name],0),3),Transactions[Transaction code],0),2),Transactions[[#This Row],[L3N]])</f>
        <v>Electricity, CHP and heat plants (T)</v>
      </c>
      <c r="AO253" s="24" t="str" cm="1">
        <f t="array" ref="AO253">IFERROR(INDEX(Transactions[[Transaction code]:[Transaction name]],_xlfn.XMATCH(INDEX(Transactions[[Transaction name]:[Parent code]],_xlfn.XMATCH(Transactions[[#This Row],[L4N]],Transactions[Transaction name],0),3),Transactions[Transaction code],0),2),Transactions[[#This Row],[L4N]])</f>
        <v>Transformation</v>
      </c>
      <c r="AP253" s="24" t="str" cm="1">
        <f t="array" ref="AP253">IFERROR(INDEX(Transactions[[Transaction code]:[Transaction name]],_xlfn.XMATCH(INDEX(Transactions[[Transaction name]:[Parent code]],_xlfn.XMATCH(Transactions[[#This Row],[L5N]],Transactions[Transaction name],0),3),Transactions[Transaction code],0),2),Transactions[[#This Row],[L5N]])</f>
        <v>Transformation</v>
      </c>
      <c r="AQ253" s="24" t="str" cm="1">
        <f t="array" ref="AQ253">IFERROR(INDEX(Transactions[[Transaction code]:[Transaction name]],_xlfn.XMATCH(INDEX(Transactions[[Transaction name]:[Parent code]],_xlfn.XMATCH(Transactions[[#This Row],[L6N]],Transactions[Transaction name],0),3),Transactions[Transaction code],0),2),Transactions[[#This Row],[L6N]])</f>
        <v>Transformation</v>
      </c>
      <c r="AR253" s="28" t="str">
        <f>IF(Transactions[[#This Row],[L7N]]=Transactions[[#This Row],[L6N]],Transactions[[#This Row],[L7N]],IF(Transactions[[#This Row],[L6N]]=Transactions[[#This Row],[L5N]],Transactions[[#This Row],[L6N]],IF(Transactions[[#This Row],[L5N]]=Transactions[[#This Row],[L4N]],Transactions[[#This Row],[L5N]],IF(Transactions[[#This Row],[L4N]]=Transactions[[#This Row],[L3N]],Transactions[[#This Row],[L4N]],IF(Transactions[[#This Row],[L3N]]=Transactions[[#This Row],[L2N]],Transactions[[#This Row],[L3N]],IF(Transactions[[#This Row],[L2N]]=Transactions[[#This Row],[L1N]],Transactions[[#This Row],[L2N]],IF(Transactions[[#This Row],[L1N]]=Transactions[[#This Row],[Transaction name]],Transactions[[#This Row],[L1N]],Transactions[[#This Row],[Transaction name]])))))))</f>
        <v>Transformation</v>
      </c>
      <c r="AS253" s="24" t="str">
        <f>IF(Transactions[[#This Row],[Level 0]]=Transactions[[#This Row],[Transaction name]],Transactions[[#This Row],[Transaction name]],IF(Transactions[[#This Row],[Level 0]]=Transactions[[#This Row],[L1N]],Transactions[[#This Row],[Transaction name]],IF(Transactions[[#This Row],[Level 0]]=Transactions[[#This Row],[L2N]],Transactions[[#This Row],[L1N]],IF(Transactions[[#This Row],[Level 0]]=Transactions[[#This Row],[L3N]],Transactions[[#This Row],[L2N]],IF(Transactions[[#This Row],[Level 0]]=Transactions[[#This Row],[L4N]],Transactions[[#This Row],[L3N]],IF(Transactions[[#This Row],[Level 0]]=Transactions[[#This Row],[L5N]],Transactions[[#This Row],[L4N]],IF(Transactions[[#This Row],[Level 0]]=Transactions[[#This Row],[L6N]],Transactions[[#This Row],[L5N]],IF(Transactions[[#This Row],[Level 0]]=Transactions[[#This Row],[L7N]],Transactions[[#This Row],[L6N]],Transactions[[#This Row],[L7N]]))))))))</f>
        <v>Electricity, CHP and heat plants (T)</v>
      </c>
      <c r="AT253" s="24" t="str">
        <f>IF(Transactions[[#This Row],[Level 1]]=Transactions[[#This Row],[Transaction name]],Transactions[[#This Row],[Transaction name]],IF(Transactions[[#This Row],[Level 1]]=Transactions[[#This Row],[L1N]],Transactions[[#This Row],[Transaction name]],IF(Transactions[[#This Row],[Level 1]]=Transactions[[#This Row],[L2N]],Transactions[[#This Row],[L1N]],IF(Transactions[[#This Row],[Level 1]]=Transactions[[#This Row],[L3N]],Transactions[[#This Row],[L2N]],IF(Transactions[[#This Row],[Level 1]]=Transactions[[#This Row],[L4N]],Transactions[[#This Row],[L3N]],IF(Transactions[[#This Row],[Level 1]]=Transactions[[#This Row],[L5N]],Transactions[[#This Row],[L4N]],IF(Transactions[[#This Row],[Level 1]]=Transactions[[#This Row],[L6N]],Transactions[[#This Row],[L5N]],IF(Transactions[[#This Row],[Level 1]]=Transactions[[#This Row],[L7N]],Transactions[[#This Row],[L6N]],Transactions[[#This Row],[L7N]]))))))))</f>
        <v>CHP plants</v>
      </c>
      <c r="AU253" s="24" t="str">
        <f>IF(Transactions[[#This Row],[Level 2]]=Transactions[[#This Row],[Transaction name]],Transactions[[#This Row],[Transaction name]],IF(Transactions[[#This Row],[Level 2]]=Transactions[[#This Row],[L1N]],Transactions[[#This Row],[Transaction name]],IF(Transactions[[#This Row],[Level 2]]=Transactions[[#This Row],[L2N]],Transactions[[#This Row],[L1N]],IF(Transactions[[#This Row],[Level 2]]=Transactions[[#This Row],[L3N]],Transactions[[#This Row],[L2N]],IF(Transactions[[#This Row],[Level 2]]=Transactions[[#This Row],[L4N]],Transactions[[#This Row],[L3N]],IF(Transactions[[#This Row],[Level 2]]=Transactions[[#This Row],[L5N]],Transactions[[#This Row],[L4N]],IF(Transactions[[#This Row],[Level 2]]=Transactions[[#This Row],[L6N]],Transactions[[#This Row],[L5N]],IF(Transactions[[#This Row],[Level 2]]=Transactions[[#This Row],[L7N]],Transactions[[#This Row],[L6N]],Transactions[[#This Row],[L7N]]))))))))</f>
        <v>CHP plants - chemical heat/sources</v>
      </c>
      <c r="AV253" s="24" t="str">
        <f>IF(Transactions[[#This Row],[Level 3]]=Transactions[[#This Row],[Transaction name]],Transactions[[#This Row],[Transaction name]],IF(Transactions[[#This Row],[Level 3]]=Transactions[[#This Row],[L1N]],Transactions[[#This Row],[Transaction name]],IF(Transactions[[#This Row],[Level 3]]=Transactions[[#This Row],[L2N]],Transactions[[#This Row],[L1N]],IF(Transactions[[#This Row],[Level 3]]=Transactions[[#This Row],[L3N]],Transactions[[#This Row],[L2N]],IF(Transactions[[#This Row],[Level 3]]=Transactions[[#This Row],[L4N]],Transactions[[#This Row],[L3N]],IF(Transactions[[#This Row],[Level 3]]=Transactions[[#This Row],[L5N]],Transactions[[#This Row],[L4N]],IF(Transactions[[#This Row],[Level 3]]=Transactions[[#This Row],[L6N]],Transactions[[#This Row],[L5N]],IF(Transactions[[#This Row],[Level 3]]=Transactions[[#This Row],[L7N]],Transactions[[#This Row],[L6N]],Transactions[[#This Row],[L7N]]))))))))</f>
        <v>CHP plants - Main activity - chemical heat/sources</v>
      </c>
      <c r="AW253" s="24" t="str">
        <f>IF(Transactions[[#This Row],[Level 4]]=Transactions[[#This Row],[Transaction name]],Transactions[[#This Row],[Transaction name]],IF(Transactions[[#This Row],[Level 4]]=Transactions[[#This Row],[L1N]],Transactions[[#This Row],[Transaction name]],IF(Transactions[[#This Row],[Level 4]]=Transactions[[#This Row],[L2N]],Transactions[[#This Row],[L1N]],IF(Transactions[[#This Row],[Level 4]]=Transactions[[#This Row],[L3N]],Transactions[[#This Row],[L2N]],IF(Transactions[[#This Row],[Level 4]]=Transactions[[#This Row],[L4N]],Transactions[[#This Row],[L3N]],IF(Transactions[[#This Row],[Level 4]]=Transactions[[#This Row],[L5N]],Transactions[[#This Row],[L4N]],IF(Transactions[[#This Row],[Level 4]]=Transactions[[#This Row],[L6N]],Transactions[[#This Row],[L5N]],IF(Transactions[[#This Row],[Level 4]]=Transactions[[#This Row],[L7N]],Transactions[[#This Row],[L6N]],Transactions[[#This Row],[L7N]]))))))))</f>
        <v>CHP plants - Main activity - chemical heat/sources</v>
      </c>
      <c r="AX253" s="24" t="str">
        <f>IF(Transactions[[#This Row],[Level 5]]=Transactions[[#This Row],[Transaction name]],Transactions[[#This Row],[Transaction name]],IF(Transactions[[#This Row],[Level 5]]=Transactions[[#This Row],[L1N]],Transactions[[#This Row],[Transaction name]],IF(Transactions[[#This Row],[Level 5]]=Transactions[[#This Row],[L2N]],Transactions[[#This Row],[L1N]],IF(Transactions[[#This Row],[Level 5]]=Transactions[[#This Row],[L3N]],Transactions[[#This Row],[L2N]],IF(Transactions[[#This Row],[Level 5]]=Transactions[[#This Row],[L4N]],Transactions[[#This Row],[L3N]],IF(Transactions[[#This Row],[Level 5]]=Transactions[[#This Row],[L5N]],Transactions[[#This Row],[L4N]],IF(Transactions[[#This Row],[Level 5]]=Transactions[[#This Row],[L6N]],Transactions[[#This Row],[L5N]],IF(Transactions[[#This Row],[Level 5]]=Transactions[[#This Row],[L7N]],Transactions[[#This Row],[L6N]],Transactions[[#This Row],[L7N]]))))))))</f>
        <v>CHP plants - Main activity - chemical heat/sources</v>
      </c>
      <c r="AY253" s="24" t="str">
        <f>IF(Transactions[[#This Row],[Level 6]]=Transactions[[#This Row],[Transaction name]],Transactions[[#This Row],[Transaction name]],IF(Transactions[[#This Row],[Level 6]]=Transactions[[#This Row],[L1N]],Transactions[[#This Row],[Transaction name]],IF(Transactions[[#This Row],[Level 6]]=Transactions[[#This Row],[L2N]],Transactions[[#This Row],[L1N]],IF(Transactions[[#This Row],[Level 6]]=Transactions[[#This Row],[L3N]],Transactions[[#This Row],[L2N]],IF(Transactions[[#This Row],[Level 6]]=Transactions[[#This Row],[L4N]],Transactions[[#This Row],[L3N]],IF(Transactions[[#This Row],[Level 6]]=Transactions[[#This Row],[L5N]],Transactions[[#This Row],[L4N]],IF(Transactions[[#This Row],[Level 6]]=Transactions[[#This Row],[L6N]],Transactions[[#This Row],[L5N]],IF(Transactions[[#This Row],[Level 6]]=Transactions[[#This Row],[L7N]],Transactions[[#This Row],[L6N]],Transactions[[#This Row],[L7N]]))))))))</f>
        <v>CHP plants - Main activity - chemical heat/sources</v>
      </c>
      <c r="BE253" s="26" t="str">
        <f>_xlfn.XLOOKUP(Transformation[[#This Row],[cfrom]],Commodities[Commodity],Commodities[Commodity code])</f>
        <v>4695</v>
      </c>
      <c r="BF253" s="26" t="str">
        <f>_xlfn.XLOOKUP(Transformation[[#This Row],[tfrom]],Transactions[Transaction name],Transactions[Transaction code])</f>
        <v>08831</v>
      </c>
      <c r="BG253" s="26" t="str">
        <f>_xlfn.XLOOKUP(Transformation[[#This Row],[cto]],Commodities[Commodity],Commodities[Commodity code])</f>
        <v>4695</v>
      </c>
      <c r="BH253" s="26" t="str">
        <f>_xlfn.XLOOKUP(Transformation[[#This Row],[tto]],Transactions[Transaction name],Transactions[Transaction code])</f>
        <v>015OPH</v>
      </c>
      <c r="BI253" s="11">
        <v>1</v>
      </c>
      <c r="BJ253" s="4" t="s">
        <v>351</v>
      </c>
      <c r="BK253" s="24" t="str">
        <f>_xlfn.XLOOKUP(Transformation[[#This Row],[Commodity from]],Commodities[Commodity code],Commodities[EnergyCode])</f>
        <v>BT</v>
      </c>
      <c r="BL253" s="4" t="s">
        <v>693</v>
      </c>
      <c r="BM253" s="4" t="s">
        <v>351</v>
      </c>
      <c r="BN253" s="24" t="str">
        <f>_xlfn.XLOOKUP(Transformation[[#This Row],[Commodity to]],Commodities[Commodity code],Commodities[EnergyCode])</f>
        <v>BT</v>
      </c>
      <c r="BO253" s="4" t="s">
        <v>1052</v>
      </c>
      <c r="BP253" s="16" t="s">
        <v>1493</v>
      </c>
      <c r="BQ253" s="33" t="str">
        <f>Transformation[[#This Row],[Commodity from]]&amp;Transformation[[#This Row],[Transaction from]]&amp;Transformation[[#This Row],[Commodity to]]&amp;Transformation[[#This Row],[Transaction to]]</f>
        <v>4695088314695015OPH</v>
      </c>
      <c r="BR253" s="26" t="str">
        <f>Transformation[[#This Row],[crfomid]]&amp;Transformation[[#This Row],[Transaction from]]&amp;"("&amp;Transformation[[#This Row],[Multiplier]]&amp;") -&gt; "&amp;Transformation[[#This Row],[ctoid]]&amp;Transformation[[#This Row],[Transaction to]]</f>
        <v>BT08831(1) -&gt; BT015OPH</v>
      </c>
    </row>
    <row r="254" spans="25:70" x14ac:dyDescent="0.45">
      <c r="Y254" s="5" t="s">
        <v>283</v>
      </c>
      <c r="Z254" s="7" t="s">
        <v>653</v>
      </c>
      <c r="AA254" s="4" t="s">
        <v>1308</v>
      </c>
      <c r="AB254" s="8" t="s">
        <v>1611</v>
      </c>
      <c r="AC254" s="24" t="str">
        <f>IFERROR(VLOOKUP(Transactions[[#This Row],[Parent code]],Transactions[[Transaction code]:[Transaction name]],2,0),"")</f>
        <v>CHP plants - combustible fuels</v>
      </c>
      <c r="AD254" s="4" t="s">
        <v>189</v>
      </c>
      <c r="AE254" s="4" t="s">
        <v>922</v>
      </c>
      <c r="AF254" s="4" t="s">
        <v>642</v>
      </c>
      <c r="AG254" s="4" t="s">
        <v>1</v>
      </c>
      <c r="AH254" s="4" t="s">
        <v>696</v>
      </c>
      <c r="AI254" s="12" t="s">
        <v>1416</v>
      </c>
      <c r="AJ254" s="4" t="s">
        <v>0</v>
      </c>
      <c r="AK254" s="24" t="str" cm="1">
        <f t="array" ref="AK254">IFERROR(INDEX(Transactions[[Transaction code]:[Transaction name]],_xlfn.XMATCH(Transactions[[#This Row],[Parent code]],Transactions[Transaction name],0),3),Transactions[[#This Row],[Transaction name]])</f>
        <v>CHP plants - Autoproducer - combustible fuels</v>
      </c>
      <c r="AL254" s="24" t="str" cm="1">
        <f t="array" ref="AL254">IFERROR(INDEX(Transactions[[Transaction code]:[Transaction name]],_xlfn.XMATCH(INDEX(Transactions[[Transaction name]:[Parent code]],_xlfn.XMATCH(Transactions[[#This Row],[L1N]],Transactions[Transaction name],0),3),Transactions[Transaction code],0),2),Transactions[[#This Row],[L1N]])</f>
        <v>CHP plants - combustible fuels</v>
      </c>
      <c r="AM254" s="24" t="str" cm="1">
        <f t="array" ref="AM254">IFERROR(INDEX(Transactions[[Transaction code]:[Transaction name]],_xlfn.XMATCH(INDEX(Transactions[[Transaction name]:[Parent code]],_xlfn.XMATCH(Transactions[[#This Row],[L2N]],Transactions[Transaction name],0),3),Transactions[Transaction code],0),2),Transactions[[#This Row],[L2N]])</f>
        <v>CHP plants</v>
      </c>
      <c r="AN254" s="24" t="str" cm="1">
        <f t="array" ref="AN254">IFERROR(INDEX(Transactions[[Transaction code]:[Transaction name]],_xlfn.XMATCH(INDEX(Transactions[[Transaction name]:[Parent code]],_xlfn.XMATCH(Transactions[[#This Row],[L3N]],Transactions[Transaction name],0),3),Transactions[Transaction code],0),2),Transactions[[#This Row],[L3N]])</f>
        <v>Electricity, CHP and heat plants (T)</v>
      </c>
      <c r="AO254" s="24" t="str" cm="1">
        <f t="array" ref="AO254">IFERROR(INDEX(Transactions[[Transaction code]:[Transaction name]],_xlfn.XMATCH(INDEX(Transactions[[Transaction name]:[Parent code]],_xlfn.XMATCH(Transactions[[#This Row],[L4N]],Transactions[Transaction name],0),3),Transactions[Transaction code],0),2),Transactions[[#This Row],[L4N]])</f>
        <v>Transformation</v>
      </c>
      <c r="AP254" s="24" t="str" cm="1">
        <f t="array" ref="AP254">IFERROR(INDEX(Transactions[[Transaction code]:[Transaction name]],_xlfn.XMATCH(INDEX(Transactions[[Transaction name]:[Parent code]],_xlfn.XMATCH(Transactions[[#This Row],[L5N]],Transactions[Transaction name],0),3),Transactions[Transaction code],0),2),Transactions[[#This Row],[L5N]])</f>
        <v>Transformation</v>
      </c>
      <c r="AQ254" s="24" t="str" cm="1">
        <f t="array" ref="AQ254">IFERROR(INDEX(Transactions[[Transaction code]:[Transaction name]],_xlfn.XMATCH(INDEX(Transactions[[Transaction name]:[Parent code]],_xlfn.XMATCH(Transactions[[#This Row],[L6N]],Transactions[Transaction name],0),3),Transactions[Transaction code],0),2),Transactions[[#This Row],[L6N]])</f>
        <v>Transformation</v>
      </c>
      <c r="AR254" s="28" t="str">
        <f>IF(Transactions[[#This Row],[L7N]]=Transactions[[#This Row],[L6N]],Transactions[[#This Row],[L7N]],IF(Transactions[[#This Row],[L6N]]=Transactions[[#This Row],[L5N]],Transactions[[#This Row],[L6N]],IF(Transactions[[#This Row],[L5N]]=Transactions[[#This Row],[L4N]],Transactions[[#This Row],[L5N]],IF(Transactions[[#This Row],[L4N]]=Transactions[[#This Row],[L3N]],Transactions[[#This Row],[L4N]],IF(Transactions[[#This Row],[L3N]]=Transactions[[#This Row],[L2N]],Transactions[[#This Row],[L3N]],IF(Transactions[[#This Row],[L2N]]=Transactions[[#This Row],[L1N]],Transactions[[#This Row],[L2N]],IF(Transactions[[#This Row],[L1N]]=Transactions[[#This Row],[Transaction name]],Transactions[[#This Row],[L1N]],Transactions[[#This Row],[Transaction name]])))))))</f>
        <v>Transformation</v>
      </c>
      <c r="AS254" s="24" t="str">
        <f>IF(Transactions[[#This Row],[Level 0]]=Transactions[[#This Row],[Transaction name]],Transactions[[#This Row],[Transaction name]],IF(Transactions[[#This Row],[Level 0]]=Transactions[[#This Row],[L1N]],Transactions[[#This Row],[Transaction name]],IF(Transactions[[#This Row],[Level 0]]=Transactions[[#This Row],[L2N]],Transactions[[#This Row],[L1N]],IF(Transactions[[#This Row],[Level 0]]=Transactions[[#This Row],[L3N]],Transactions[[#This Row],[L2N]],IF(Transactions[[#This Row],[Level 0]]=Transactions[[#This Row],[L4N]],Transactions[[#This Row],[L3N]],IF(Transactions[[#This Row],[Level 0]]=Transactions[[#This Row],[L5N]],Transactions[[#This Row],[L4N]],IF(Transactions[[#This Row],[Level 0]]=Transactions[[#This Row],[L6N]],Transactions[[#This Row],[L5N]],IF(Transactions[[#This Row],[Level 0]]=Transactions[[#This Row],[L7N]],Transactions[[#This Row],[L6N]],Transactions[[#This Row],[L7N]]))))))))</f>
        <v>Electricity, CHP and heat plants (T)</v>
      </c>
      <c r="AT254" s="24" t="str">
        <f>IF(Transactions[[#This Row],[Level 1]]=Transactions[[#This Row],[Transaction name]],Transactions[[#This Row],[Transaction name]],IF(Transactions[[#This Row],[Level 1]]=Transactions[[#This Row],[L1N]],Transactions[[#This Row],[Transaction name]],IF(Transactions[[#This Row],[Level 1]]=Transactions[[#This Row],[L2N]],Transactions[[#This Row],[L1N]],IF(Transactions[[#This Row],[Level 1]]=Transactions[[#This Row],[L3N]],Transactions[[#This Row],[L2N]],IF(Transactions[[#This Row],[Level 1]]=Transactions[[#This Row],[L4N]],Transactions[[#This Row],[L3N]],IF(Transactions[[#This Row],[Level 1]]=Transactions[[#This Row],[L5N]],Transactions[[#This Row],[L4N]],IF(Transactions[[#This Row],[Level 1]]=Transactions[[#This Row],[L6N]],Transactions[[#This Row],[L5N]],IF(Transactions[[#This Row],[Level 1]]=Transactions[[#This Row],[L7N]],Transactions[[#This Row],[L6N]],Transactions[[#This Row],[L7N]]))))))))</f>
        <v>CHP plants</v>
      </c>
      <c r="AU254" s="24" t="str">
        <f>IF(Transactions[[#This Row],[Level 2]]=Transactions[[#This Row],[Transaction name]],Transactions[[#This Row],[Transaction name]],IF(Transactions[[#This Row],[Level 2]]=Transactions[[#This Row],[L1N]],Transactions[[#This Row],[Transaction name]],IF(Transactions[[#This Row],[Level 2]]=Transactions[[#This Row],[L2N]],Transactions[[#This Row],[L1N]],IF(Transactions[[#This Row],[Level 2]]=Transactions[[#This Row],[L3N]],Transactions[[#This Row],[L2N]],IF(Transactions[[#This Row],[Level 2]]=Transactions[[#This Row],[L4N]],Transactions[[#This Row],[L3N]],IF(Transactions[[#This Row],[Level 2]]=Transactions[[#This Row],[L5N]],Transactions[[#This Row],[L4N]],IF(Transactions[[#This Row],[Level 2]]=Transactions[[#This Row],[L6N]],Transactions[[#This Row],[L5N]],IF(Transactions[[#This Row],[Level 2]]=Transactions[[#This Row],[L7N]],Transactions[[#This Row],[L6N]],Transactions[[#This Row],[L7N]]))))))))</f>
        <v>CHP plants - combustible fuels</v>
      </c>
      <c r="AV254" s="24" t="str">
        <f>IF(Transactions[[#This Row],[Level 3]]=Transactions[[#This Row],[Transaction name]],Transactions[[#This Row],[Transaction name]],IF(Transactions[[#This Row],[Level 3]]=Transactions[[#This Row],[L1N]],Transactions[[#This Row],[Transaction name]],IF(Transactions[[#This Row],[Level 3]]=Transactions[[#This Row],[L2N]],Transactions[[#This Row],[L1N]],IF(Transactions[[#This Row],[Level 3]]=Transactions[[#This Row],[L3N]],Transactions[[#This Row],[L2N]],IF(Transactions[[#This Row],[Level 3]]=Transactions[[#This Row],[L4N]],Transactions[[#This Row],[L3N]],IF(Transactions[[#This Row],[Level 3]]=Transactions[[#This Row],[L5N]],Transactions[[#This Row],[L4N]],IF(Transactions[[#This Row],[Level 3]]=Transactions[[#This Row],[L6N]],Transactions[[#This Row],[L5N]],IF(Transactions[[#This Row],[Level 3]]=Transactions[[#This Row],[L7N]],Transactions[[#This Row],[L6N]],Transactions[[#This Row],[L7N]]))))))))</f>
        <v>CHP plants - Autoproducer - combustible fuels</v>
      </c>
      <c r="AW254" s="24" t="str">
        <f>IF(Transactions[[#This Row],[Level 4]]=Transactions[[#This Row],[Transaction name]],Transactions[[#This Row],[Transaction name]],IF(Transactions[[#This Row],[Level 4]]=Transactions[[#This Row],[L1N]],Transactions[[#This Row],[Transaction name]],IF(Transactions[[#This Row],[Level 4]]=Transactions[[#This Row],[L2N]],Transactions[[#This Row],[L1N]],IF(Transactions[[#This Row],[Level 4]]=Transactions[[#This Row],[L3N]],Transactions[[#This Row],[L2N]],IF(Transactions[[#This Row],[Level 4]]=Transactions[[#This Row],[L4N]],Transactions[[#This Row],[L3N]],IF(Transactions[[#This Row],[Level 4]]=Transactions[[#This Row],[L5N]],Transactions[[#This Row],[L4N]],IF(Transactions[[#This Row],[Level 4]]=Transactions[[#This Row],[L6N]],Transactions[[#This Row],[L5N]],IF(Transactions[[#This Row],[Level 4]]=Transactions[[#This Row],[L7N]],Transactions[[#This Row],[L6N]],Transactions[[#This Row],[L7N]]))))))))</f>
        <v>CHP plants - Autoproducer - combustible fuels</v>
      </c>
      <c r="AX254" s="24" t="str">
        <f>IF(Transactions[[#This Row],[Level 5]]=Transactions[[#This Row],[Transaction name]],Transactions[[#This Row],[Transaction name]],IF(Transactions[[#This Row],[Level 5]]=Transactions[[#This Row],[L1N]],Transactions[[#This Row],[Transaction name]],IF(Transactions[[#This Row],[Level 5]]=Transactions[[#This Row],[L2N]],Transactions[[#This Row],[L1N]],IF(Transactions[[#This Row],[Level 5]]=Transactions[[#This Row],[L3N]],Transactions[[#This Row],[L2N]],IF(Transactions[[#This Row],[Level 5]]=Transactions[[#This Row],[L4N]],Transactions[[#This Row],[L3N]],IF(Transactions[[#This Row],[Level 5]]=Transactions[[#This Row],[L5N]],Transactions[[#This Row],[L4N]],IF(Transactions[[#This Row],[Level 5]]=Transactions[[#This Row],[L6N]],Transactions[[#This Row],[L5N]],IF(Transactions[[#This Row],[Level 5]]=Transactions[[#This Row],[L7N]],Transactions[[#This Row],[L6N]],Transactions[[#This Row],[L7N]]))))))))</f>
        <v>CHP plants - Autoproducer - combustible fuels</v>
      </c>
      <c r="AY254" s="24" t="str">
        <f>IF(Transactions[[#This Row],[Level 6]]=Transactions[[#This Row],[Transaction name]],Transactions[[#This Row],[Transaction name]],IF(Transactions[[#This Row],[Level 6]]=Transactions[[#This Row],[L1N]],Transactions[[#This Row],[Transaction name]],IF(Transactions[[#This Row],[Level 6]]=Transactions[[#This Row],[L2N]],Transactions[[#This Row],[L1N]],IF(Transactions[[#This Row],[Level 6]]=Transactions[[#This Row],[L3N]],Transactions[[#This Row],[L2N]],IF(Transactions[[#This Row],[Level 6]]=Transactions[[#This Row],[L4N]],Transactions[[#This Row],[L3N]],IF(Transactions[[#This Row],[Level 6]]=Transactions[[#This Row],[L5N]],Transactions[[#This Row],[L4N]],IF(Transactions[[#This Row],[Level 6]]=Transactions[[#This Row],[L6N]],Transactions[[#This Row],[L5N]],IF(Transactions[[#This Row],[Level 6]]=Transactions[[#This Row],[L7N]],Transactions[[#This Row],[L6N]],Transactions[[#This Row],[L7N]]))))))))</f>
        <v>CHP plants - Autoproducer - combustible fuels</v>
      </c>
      <c r="BE254" s="26" t="str">
        <f>_xlfn.XLOOKUP(Transformation[[#This Row],[cfrom]],Commodities[Commodity],Commodities[Commodity code])</f>
        <v>0100</v>
      </c>
      <c r="BF254" s="26" t="str">
        <f>_xlfn.XLOOKUP(Transformation[[#This Row],[tfrom]],Transactions[Transaction name],Transactions[Transaction code])</f>
        <v>08831</v>
      </c>
      <c r="BG254" s="26" t="str">
        <f>_xlfn.XLOOKUP(Transformation[[#This Row],[cto]],Commodities[Commodity],Commodities[Commodity code])</f>
        <v>0100</v>
      </c>
      <c r="BH254" s="26" t="str">
        <f>_xlfn.XLOOKUP(Transformation[[#This Row],[tto]],Transactions[Transaction name],Transactions[Transaction code])</f>
        <v>015HCOH</v>
      </c>
      <c r="BI254" s="11">
        <v>1</v>
      </c>
      <c r="BJ254" s="4" t="s">
        <v>532</v>
      </c>
      <c r="BK254" s="24" t="str">
        <f>_xlfn.XLOOKUP(Transformation[[#This Row],[Commodity from]],Commodities[Commodity code],Commodities[EnergyCode])</f>
        <v>CL</v>
      </c>
      <c r="BL254" s="4" t="s">
        <v>693</v>
      </c>
      <c r="BM254" s="4" t="s">
        <v>532</v>
      </c>
      <c r="BN254" s="24" t="str">
        <f>_xlfn.XLOOKUP(Transformation[[#This Row],[Commodity to]],Commodities[Commodity code],Commodities[EnergyCode])</f>
        <v>CL</v>
      </c>
      <c r="BO254" s="4" t="s">
        <v>1187</v>
      </c>
      <c r="BP254" s="16" t="s">
        <v>1493</v>
      </c>
      <c r="BQ254" s="33" t="str">
        <f>Transformation[[#This Row],[Commodity from]]&amp;Transformation[[#This Row],[Transaction from]]&amp;Transformation[[#This Row],[Commodity to]]&amp;Transformation[[#This Row],[Transaction to]]</f>
        <v>0100088310100015HCOH</v>
      </c>
      <c r="BR254" s="26" t="str">
        <f>Transformation[[#This Row],[crfomid]]&amp;Transformation[[#This Row],[Transaction from]]&amp;"("&amp;Transformation[[#This Row],[Multiplier]]&amp;") -&gt; "&amp;Transformation[[#This Row],[ctoid]]&amp;Transformation[[#This Row],[Transaction to]]</f>
        <v>CL08831(1) -&gt; CL015HCOH</v>
      </c>
    </row>
    <row r="255" spans="25:70" x14ac:dyDescent="0.45">
      <c r="Y255" s="19" t="s">
        <v>1611</v>
      </c>
      <c r="Z255" s="18" t="s">
        <v>1308</v>
      </c>
      <c r="AA255" s="18" t="s">
        <v>1308</v>
      </c>
      <c r="AB255" s="19" t="s">
        <v>1627</v>
      </c>
      <c r="AC255" s="26" t="str">
        <f>IFERROR(VLOOKUP(Transactions[[#This Row],[Parent code]],Transactions[[Transaction code]:[Transaction name]],2,0),"")</f>
        <v>CHP plants</v>
      </c>
      <c r="AD255" s="18" t="s">
        <v>189</v>
      </c>
      <c r="AE255" s="18" t="s">
        <v>922</v>
      </c>
      <c r="AF255" s="18" t="s">
        <v>642</v>
      </c>
      <c r="AG255" s="18" t="s">
        <v>1</v>
      </c>
      <c r="AH255" s="18" t="s">
        <v>696</v>
      </c>
      <c r="AI255" s="18" t="s">
        <v>1416</v>
      </c>
      <c r="AJ255" s="4" t="s">
        <v>0</v>
      </c>
      <c r="AK255" s="26" t="str" cm="1">
        <f t="array" ref="AK255">IFERROR(INDEX(Transactions[[Transaction code]:[Transaction name]],_xlfn.XMATCH(Transactions[[#This Row],[Parent code]],Transactions[Transaction name],0),3),Transactions[[#This Row],[Transaction name]])</f>
        <v>CHP plants - combustible fuels</v>
      </c>
      <c r="AL255" s="26" t="str" cm="1">
        <f t="array" ref="AL255">IFERROR(INDEX(Transactions[[Transaction code]:[Transaction name]],_xlfn.XMATCH(INDEX(Transactions[[Transaction name]:[Parent code]],_xlfn.XMATCH(Transactions[[#This Row],[L1N]],Transactions[Transaction name],0),3),Transactions[Transaction code],0),2),Transactions[[#This Row],[L1N]])</f>
        <v>CHP plants</v>
      </c>
      <c r="AM255" s="26" t="str" cm="1">
        <f t="array" ref="AM255">IFERROR(INDEX(Transactions[[Transaction code]:[Transaction name]],_xlfn.XMATCH(INDEX(Transactions[[Transaction name]:[Parent code]],_xlfn.XMATCH(Transactions[[#This Row],[L2N]],Transactions[Transaction name],0),3),Transactions[Transaction code],0),2),Transactions[[#This Row],[L2N]])</f>
        <v>Electricity, CHP and heat plants (T)</v>
      </c>
      <c r="AN255" s="26" t="str" cm="1">
        <f t="array" ref="AN255">IFERROR(INDEX(Transactions[[Transaction code]:[Transaction name]],_xlfn.XMATCH(INDEX(Transactions[[Transaction name]:[Parent code]],_xlfn.XMATCH(Transactions[[#This Row],[L3N]],Transactions[Transaction name],0),3),Transactions[Transaction code],0),2),Transactions[[#This Row],[L3N]])</f>
        <v>Transformation</v>
      </c>
      <c r="AO255" s="26" t="str" cm="1">
        <f t="array" ref="AO255">IFERROR(INDEX(Transactions[[Transaction code]:[Transaction name]],_xlfn.XMATCH(INDEX(Transactions[[Transaction name]:[Parent code]],_xlfn.XMATCH(Transactions[[#This Row],[L4N]],Transactions[Transaction name],0),3),Transactions[Transaction code],0),2),Transactions[[#This Row],[L4N]])</f>
        <v>Transformation</v>
      </c>
      <c r="AP255" s="26" t="str" cm="1">
        <f t="array" ref="AP255">IFERROR(INDEX(Transactions[[Transaction code]:[Transaction name]],_xlfn.XMATCH(INDEX(Transactions[[Transaction name]:[Parent code]],_xlfn.XMATCH(Transactions[[#This Row],[L5N]],Transactions[Transaction name],0),3),Transactions[Transaction code],0),2),Transactions[[#This Row],[L5N]])</f>
        <v>Transformation</v>
      </c>
      <c r="AQ255" s="26" t="str" cm="1">
        <f t="array" ref="AQ255">IFERROR(INDEX(Transactions[[Transaction code]:[Transaction name]],_xlfn.XMATCH(INDEX(Transactions[[Transaction name]:[Parent code]],_xlfn.XMATCH(Transactions[[#This Row],[L6N]],Transactions[Transaction name],0),3),Transactions[Transaction code],0),2),Transactions[[#This Row],[L6N]])</f>
        <v>Transformation</v>
      </c>
      <c r="AR255" s="29" t="str">
        <f>IF(Transactions[[#This Row],[L7N]]=Transactions[[#This Row],[L6N]],Transactions[[#This Row],[L7N]],IF(Transactions[[#This Row],[L6N]]=Transactions[[#This Row],[L5N]],Transactions[[#This Row],[L6N]],IF(Transactions[[#This Row],[L5N]]=Transactions[[#This Row],[L4N]],Transactions[[#This Row],[L5N]],IF(Transactions[[#This Row],[L4N]]=Transactions[[#This Row],[L3N]],Transactions[[#This Row],[L4N]],IF(Transactions[[#This Row],[L3N]]=Transactions[[#This Row],[L2N]],Transactions[[#This Row],[L3N]],IF(Transactions[[#This Row],[L2N]]=Transactions[[#This Row],[L1N]],Transactions[[#This Row],[L2N]],IF(Transactions[[#This Row],[L1N]]=Transactions[[#This Row],[Transaction name]],Transactions[[#This Row],[L1N]],Transactions[[#This Row],[Transaction name]])))))))</f>
        <v>Transformation</v>
      </c>
      <c r="AS255" s="26" t="str">
        <f>IF(Transactions[[#This Row],[Level 0]]=Transactions[[#This Row],[Transaction name]],Transactions[[#This Row],[Transaction name]],IF(Transactions[[#This Row],[Level 0]]=Transactions[[#This Row],[L1N]],Transactions[[#This Row],[Transaction name]],IF(Transactions[[#This Row],[Level 0]]=Transactions[[#This Row],[L2N]],Transactions[[#This Row],[L1N]],IF(Transactions[[#This Row],[Level 0]]=Transactions[[#This Row],[L3N]],Transactions[[#This Row],[L2N]],IF(Transactions[[#This Row],[Level 0]]=Transactions[[#This Row],[L4N]],Transactions[[#This Row],[L3N]],IF(Transactions[[#This Row],[Level 0]]=Transactions[[#This Row],[L5N]],Transactions[[#This Row],[L4N]],IF(Transactions[[#This Row],[Level 0]]=Transactions[[#This Row],[L6N]],Transactions[[#This Row],[L5N]],IF(Transactions[[#This Row],[Level 0]]=Transactions[[#This Row],[L7N]],Transactions[[#This Row],[L6N]],Transactions[[#This Row],[L7N]]))))))))</f>
        <v>Electricity, CHP and heat plants (T)</v>
      </c>
      <c r="AT255" s="26" t="str">
        <f>IF(Transactions[[#This Row],[Level 1]]=Transactions[[#This Row],[Transaction name]],Transactions[[#This Row],[Transaction name]],IF(Transactions[[#This Row],[Level 1]]=Transactions[[#This Row],[L1N]],Transactions[[#This Row],[Transaction name]],IF(Transactions[[#This Row],[Level 1]]=Transactions[[#This Row],[L2N]],Transactions[[#This Row],[L1N]],IF(Transactions[[#This Row],[Level 1]]=Transactions[[#This Row],[L3N]],Transactions[[#This Row],[L2N]],IF(Transactions[[#This Row],[Level 1]]=Transactions[[#This Row],[L4N]],Transactions[[#This Row],[L3N]],IF(Transactions[[#This Row],[Level 1]]=Transactions[[#This Row],[L5N]],Transactions[[#This Row],[L4N]],IF(Transactions[[#This Row],[Level 1]]=Transactions[[#This Row],[L6N]],Transactions[[#This Row],[L5N]],IF(Transactions[[#This Row],[Level 1]]=Transactions[[#This Row],[L7N]],Transactions[[#This Row],[L6N]],Transactions[[#This Row],[L7N]]))))))))</f>
        <v>CHP plants</v>
      </c>
      <c r="AU255" s="26" t="str">
        <f>IF(Transactions[[#This Row],[Level 2]]=Transactions[[#This Row],[Transaction name]],Transactions[[#This Row],[Transaction name]],IF(Transactions[[#This Row],[Level 2]]=Transactions[[#This Row],[L1N]],Transactions[[#This Row],[Transaction name]],IF(Transactions[[#This Row],[Level 2]]=Transactions[[#This Row],[L2N]],Transactions[[#This Row],[L1N]],IF(Transactions[[#This Row],[Level 2]]=Transactions[[#This Row],[L3N]],Transactions[[#This Row],[L2N]],IF(Transactions[[#This Row],[Level 2]]=Transactions[[#This Row],[L4N]],Transactions[[#This Row],[L3N]],IF(Transactions[[#This Row],[Level 2]]=Transactions[[#This Row],[L5N]],Transactions[[#This Row],[L4N]],IF(Transactions[[#This Row],[Level 2]]=Transactions[[#This Row],[L6N]],Transactions[[#This Row],[L5N]],IF(Transactions[[#This Row],[Level 2]]=Transactions[[#This Row],[L7N]],Transactions[[#This Row],[L6N]],Transactions[[#This Row],[L7N]]))))))))</f>
        <v>CHP plants - combustible fuels</v>
      </c>
      <c r="AV255" s="26" t="str">
        <f>IF(Transactions[[#This Row],[Level 3]]=Transactions[[#This Row],[Transaction name]],Transactions[[#This Row],[Transaction name]],IF(Transactions[[#This Row],[Level 3]]=Transactions[[#This Row],[L1N]],Transactions[[#This Row],[Transaction name]],IF(Transactions[[#This Row],[Level 3]]=Transactions[[#This Row],[L2N]],Transactions[[#This Row],[L1N]],IF(Transactions[[#This Row],[Level 3]]=Transactions[[#This Row],[L3N]],Transactions[[#This Row],[L2N]],IF(Transactions[[#This Row],[Level 3]]=Transactions[[#This Row],[L4N]],Transactions[[#This Row],[L3N]],IF(Transactions[[#This Row],[Level 3]]=Transactions[[#This Row],[L5N]],Transactions[[#This Row],[L4N]],IF(Transactions[[#This Row],[Level 3]]=Transactions[[#This Row],[L6N]],Transactions[[#This Row],[L5N]],IF(Transactions[[#This Row],[Level 3]]=Transactions[[#This Row],[L7N]],Transactions[[#This Row],[L6N]],Transactions[[#This Row],[L7N]]))))))))</f>
        <v>CHP plants - combustible fuels</v>
      </c>
      <c r="AW255" s="26" t="str">
        <f>IF(Transactions[[#This Row],[Level 4]]=Transactions[[#This Row],[Transaction name]],Transactions[[#This Row],[Transaction name]],IF(Transactions[[#This Row],[Level 4]]=Transactions[[#This Row],[L1N]],Transactions[[#This Row],[Transaction name]],IF(Transactions[[#This Row],[Level 4]]=Transactions[[#This Row],[L2N]],Transactions[[#This Row],[L1N]],IF(Transactions[[#This Row],[Level 4]]=Transactions[[#This Row],[L3N]],Transactions[[#This Row],[L2N]],IF(Transactions[[#This Row],[Level 4]]=Transactions[[#This Row],[L4N]],Transactions[[#This Row],[L3N]],IF(Transactions[[#This Row],[Level 4]]=Transactions[[#This Row],[L5N]],Transactions[[#This Row],[L4N]],IF(Transactions[[#This Row],[Level 4]]=Transactions[[#This Row],[L6N]],Transactions[[#This Row],[L5N]],IF(Transactions[[#This Row],[Level 4]]=Transactions[[#This Row],[L7N]],Transactions[[#This Row],[L6N]],Transactions[[#This Row],[L7N]]))))))))</f>
        <v>CHP plants - combustible fuels</v>
      </c>
      <c r="AX255" s="26" t="str">
        <f>IF(Transactions[[#This Row],[Level 5]]=Transactions[[#This Row],[Transaction name]],Transactions[[#This Row],[Transaction name]],IF(Transactions[[#This Row],[Level 5]]=Transactions[[#This Row],[L1N]],Transactions[[#This Row],[Transaction name]],IF(Transactions[[#This Row],[Level 5]]=Transactions[[#This Row],[L2N]],Transactions[[#This Row],[L1N]],IF(Transactions[[#This Row],[Level 5]]=Transactions[[#This Row],[L3N]],Transactions[[#This Row],[L2N]],IF(Transactions[[#This Row],[Level 5]]=Transactions[[#This Row],[L4N]],Transactions[[#This Row],[L3N]],IF(Transactions[[#This Row],[Level 5]]=Transactions[[#This Row],[L5N]],Transactions[[#This Row],[L4N]],IF(Transactions[[#This Row],[Level 5]]=Transactions[[#This Row],[L6N]],Transactions[[#This Row],[L5N]],IF(Transactions[[#This Row],[Level 5]]=Transactions[[#This Row],[L7N]],Transactions[[#This Row],[L6N]],Transactions[[#This Row],[L7N]]))))))))</f>
        <v>CHP plants - combustible fuels</v>
      </c>
      <c r="AY255" s="26" t="str">
        <f>IF(Transactions[[#This Row],[Level 6]]=Transactions[[#This Row],[Transaction name]],Transactions[[#This Row],[Transaction name]],IF(Transactions[[#This Row],[Level 6]]=Transactions[[#This Row],[L1N]],Transactions[[#This Row],[Transaction name]],IF(Transactions[[#This Row],[Level 6]]=Transactions[[#This Row],[L2N]],Transactions[[#This Row],[L1N]],IF(Transactions[[#This Row],[Level 6]]=Transactions[[#This Row],[L3N]],Transactions[[#This Row],[L2N]],IF(Transactions[[#This Row],[Level 6]]=Transactions[[#This Row],[L4N]],Transactions[[#This Row],[L3N]],IF(Transactions[[#This Row],[Level 6]]=Transactions[[#This Row],[L5N]],Transactions[[#This Row],[L4N]],IF(Transactions[[#This Row],[Level 6]]=Transactions[[#This Row],[L6N]],Transactions[[#This Row],[L5N]],IF(Transactions[[#This Row],[Level 6]]=Transactions[[#This Row],[L7N]],Transactions[[#This Row],[L6N]],Transactions[[#This Row],[L7N]]))))))))</f>
        <v>CHP plants - combustible fuels</v>
      </c>
      <c r="BE255" s="26" t="str">
        <f>_xlfn.XLOOKUP(Transformation[[#This Row],[cfrom]],Commodities[Commodity],Commodities[Commodity code])</f>
        <v>4100</v>
      </c>
      <c r="BF255" s="26" t="str">
        <f>_xlfn.XLOOKUP(Transformation[[#This Row],[tfrom]],Transactions[Transaction name],Transactions[Transaction code])</f>
        <v>08831</v>
      </c>
      <c r="BG255" s="26" t="str">
        <f>_xlfn.XLOOKUP(Transformation[[#This Row],[cto]],Commodities[Commodity],Commodities[Commodity code])</f>
        <v>4100</v>
      </c>
      <c r="BH255" s="26" t="str">
        <f>_xlfn.XLOOKUP(Transformation[[#This Row],[tto]],Transactions[Transaction name],Transactions[Transaction code])</f>
        <v>015COH</v>
      </c>
      <c r="BI255" s="11">
        <v>1</v>
      </c>
      <c r="BJ255" s="4" t="s">
        <v>439</v>
      </c>
      <c r="BK255" s="24" t="str">
        <f>_xlfn.XLOOKUP(Transformation[[#This Row],[Commodity from]],Commodities[Commodity code],Commodities[EnergyCode])</f>
        <v>CR</v>
      </c>
      <c r="BL255" s="4" t="s">
        <v>693</v>
      </c>
      <c r="BM255" s="4" t="s">
        <v>439</v>
      </c>
      <c r="BN255" s="24" t="str">
        <f>_xlfn.XLOOKUP(Transformation[[#This Row],[Commodity to]],Commodities[Commodity code],Commodities[EnergyCode])</f>
        <v>CR</v>
      </c>
      <c r="BO255" s="4" t="s">
        <v>1227</v>
      </c>
      <c r="BP255" s="16" t="s">
        <v>1493</v>
      </c>
      <c r="BQ255" s="33" t="str">
        <f>Transformation[[#This Row],[Commodity from]]&amp;Transformation[[#This Row],[Transaction from]]&amp;Transformation[[#This Row],[Commodity to]]&amp;Transformation[[#This Row],[Transaction to]]</f>
        <v>4100088314100015COH</v>
      </c>
      <c r="BR255" s="26" t="str">
        <f>Transformation[[#This Row],[crfomid]]&amp;Transformation[[#This Row],[Transaction from]]&amp;"("&amp;Transformation[[#This Row],[Multiplier]]&amp;") -&gt; "&amp;Transformation[[#This Row],[ctoid]]&amp;Transformation[[#This Row],[Transaction to]]</f>
        <v>CR08831(1) -&gt; CR015COH</v>
      </c>
    </row>
    <row r="256" spans="25:70" x14ac:dyDescent="0.45">
      <c r="Y256" s="5" t="s">
        <v>365</v>
      </c>
      <c r="Z256" s="7" t="s">
        <v>648</v>
      </c>
      <c r="AA256" s="4" t="s">
        <v>1308</v>
      </c>
      <c r="AB256" s="8" t="s">
        <v>1611</v>
      </c>
      <c r="AC256" s="24" t="str">
        <f>IFERROR(VLOOKUP(Transactions[[#This Row],[Parent code]],Transactions[[Transaction code]:[Transaction name]],2,0),"")</f>
        <v>CHP plants - combustible fuels</v>
      </c>
      <c r="AD256" s="4" t="s">
        <v>189</v>
      </c>
      <c r="AE256" s="4" t="s">
        <v>922</v>
      </c>
      <c r="AF256" s="4" t="s">
        <v>642</v>
      </c>
      <c r="AG256" s="4" t="s">
        <v>1</v>
      </c>
      <c r="AH256" s="4" t="s">
        <v>696</v>
      </c>
      <c r="AI256" s="12" t="s">
        <v>1416</v>
      </c>
      <c r="AJ256" s="4" t="s">
        <v>0</v>
      </c>
      <c r="AK256" s="24" t="str" cm="1">
        <f t="array" ref="AK256">IFERROR(INDEX(Transactions[[Transaction code]:[Transaction name]],_xlfn.XMATCH(Transactions[[#This Row],[Parent code]],Transactions[Transaction name],0),3),Transactions[[#This Row],[Transaction name]])</f>
        <v>CHP plants - Main activity - combustible fuels</v>
      </c>
      <c r="AL256" s="24" t="str" cm="1">
        <f t="array" ref="AL256">IFERROR(INDEX(Transactions[[Transaction code]:[Transaction name]],_xlfn.XMATCH(INDEX(Transactions[[Transaction name]:[Parent code]],_xlfn.XMATCH(Transactions[[#This Row],[L1N]],Transactions[Transaction name],0),3),Transactions[Transaction code],0),2),Transactions[[#This Row],[L1N]])</f>
        <v>CHP plants - combustible fuels</v>
      </c>
      <c r="AM256" s="24" t="str" cm="1">
        <f t="array" ref="AM256">IFERROR(INDEX(Transactions[[Transaction code]:[Transaction name]],_xlfn.XMATCH(INDEX(Transactions[[Transaction name]:[Parent code]],_xlfn.XMATCH(Transactions[[#This Row],[L2N]],Transactions[Transaction name],0),3),Transactions[Transaction code],0),2),Transactions[[#This Row],[L2N]])</f>
        <v>CHP plants</v>
      </c>
      <c r="AN256" s="24" t="str" cm="1">
        <f t="array" ref="AN256">IFERROR(INDEX(Transactions[[Transaction code]:[Transaction name]],_xlfn.XMATCH(INDEX(Transactions[[Transaction name]:[Parent code]],_xlfn.XMATCH(Transactions[[#This Row],[L3N]],Transactions[Transaction name],0),3),Transactions[Transaction code],0),2),Transactions[[#This Row],[L3N]])</f>
        <v>Electricity, CHP and heat plants (T)</v>
      </c>
      <c r="AO256" s="24" t="str" cm="1">
        <f t="array" ref="AO256">IFERROR(INDEX(Transactions[[Transaction code]:[Transaction name]],_xlfn.XMATCH(INDEX(Transactions[[Transaction name]:[Parent code]],_xlfn.XMATCH(Transactions[[#This Row],[L4N]],Transactions[Transaction name],0),3),Transactions[Transaction code],0),2),Transactions[[#This Row],[L4N]])</f>
        <v>Transformation</v>
      </c>
      <c r="AP256" s="24" t="str" cm="1">
        <f t="array" ref="AP256">IFERROR(INDEX(Transactions[[Transaction code]:[Transaction name]],_xlfn.XMATCH(INDEX(Transactions[[Transaction name]:[Parent code]],_xlfn.XMATCH(Transactions[[#This Row],[L5N]],Transactions[Transaction name],0),3),Transactions[Transaction code],0),2),Transactions[[#This Row],[L5N]])</f>
        <v>Transformation</v>
      </c>
      <c r="AQ256" s="24" t="str" cm="1">
        <f t="array" ref="AQ256">IFERROR(INDEX(Transactions[[Transaction code]:[Transaction name]],_xlfn.XMATCH(INDEX(Transactions[[Transaction name]:[Parent code]],_xlfn.XMATCH(Transactions[[#This Row],[L6N]],Transactions[Transaction name],0),3),Transactions[Transaction code],0),2),Transactions[[#This Row],[L6N]])</f>
        <v>Transformation</v>
      </c>
      <c r="AR256" s="28" t="str">
        <f>IF(Transactions[[#This Row],[L7N]]=Transactions[[#This Row],[L6N]],Transactions[[#This Row],[L7N]],IF(Transactions[[#This Row],[L6N]]=Transactions[[#This Row],[L5N]],Transactions[[#This Row],[L6N]],IF(Transactions[[#This Row],[L5N]]=Transactions[[#This Row],[L4N]],Transactions[[#This Row],[L5N]],IF(Transactions[[#This Row],[L4N]]=Transactions[[#This Row],[L3N]],Transactions[[#This Row],[L4N]],IF(Transactions[[#This Row],[L3N]]=Transactions[[#This Row],[L2N]],Transactions[[#This Row],[L3N]],IF(Transactions[[#This Row],[L2N]]=Transactions[[#This Row],[L1N]],Transactions[[#This Row],[L2N]],IF(Transactions[[#This Row],[L1N]]=Transactions[[#This Row],[Transaction name]],Transactions[[#This Row],[L1N]],Transactions[[#This Row],[Transaction name]])))))))</f>
        <v>Transformation</v>
      </c>
      <c r="AS256" s="24" t="str">
        <f>IF(Transactions[[#This Row],[Level 0]]=Transactions[[#This Row],[Transaction name]],Transactions[[#This Row],[Transaction name]],IF(Transactions[[#This Row],[Level 0]]=Transactions[[#This Row],[L1N]],Transactions[[#This Row],[Transaction name]],IF(Transactions[[#This Row],[Level 0]]=Transactions[[#This Row],[L2N]],Transactions[[#This Row],[L1N]],IF(Transactions[[#This Row],[Level 0]]=Transactions[[#This Row],[L3N]],Transactions[[#This Row],[L2N]],IF(Transactions[[#This Row],[Level 0]]=Transactions[[#This Row],[L4N]],Transactions[[#This Row],[L3N]],IF(Transactions[[#This Row],[Level 0]]=Transactions[[#This Row],[L5N]],Transactions[[#This Row],[L4N]],IF(Transactions[[#This Row],[Level 0]]=Transactions[[#This Row],[L6N]],Transactions[[#This Row],[L5N]],IF(Transactions[[#This Row],[Level 0]]=Transactions[[#This Row],[L7N]],Transactions[[#This Row],[L6N]],Transactions[[#This Row],[L7N]]))))))))</f>
        <v>Electricity, CHP and heat plants (T)</v>
      </c>
      <c r="AT256" s="24" t="str">
        <f>IF(Transactions[[#This Row],[Level 1]]=Transactions[[#This Row],[Transaction name]],Transactions[[#This Row],[Transaction name]],IF(Transactions[[#This Row],[Level 1]]=Transactions[[#This Row],[L1N]],Transactions[[#This Row],[Transaction name]],IF(Transactions[[#This Row],[Level 1]]=Transactions[[#This Row],[L2N]],Transactions[[#This Row],[L1N]],IF(Transactions[[#This Row],[Level 1]]=Transactions[[#This Row],[L3N]],Transactions[[#This Row],[L2N]],IF(Transactions[[#This Row],[Level 1]]=Transactions[[#This Row],[L4N]],Transactions[[#This Row],[L3N]],IF(Transactions[[#This Row],[Level 1]]=Transactions[[#This Row],[L5N]],Transactions[[#This Row],[L4N]],IF(Transactions[[#This Row],[Level 1]]=Transactions[[#This Row],[L6N]],Transactions[[#This Row],[L5N]],IF(Transactions[[#This Row],[Level 1]]=Transactions[[#This Row],[L7N]],Transactions[[#This Row],[L6N]],Transactions[[#This Row],[L7N]]))))))))</f>
        <v>CHP plants</v>
      </c>
      <c r="AU256" s="24" t="str">
        <f>IF(Transactions[[#This Row],[Level 2]]=Transactions[[#This Row],[Transaction name]],Transactions[[#This Row],[Transaction name]],IF(Transactions[[#This Row],[Level 2]]=Transactions[[#This Row],[L1N]],Transactions[[#This Row],[Transaction name]],IF(Transactions[[#This Row],[Level 2]]=Transactions[[#This Row],[L2N]],Transactions[[#This Row],[L1N]],IF(Transactions[[#This Row],[Level 2]]=Transactions[[#This Row],[L3N]],Transactions[[#This Row],[L2N]],IF(Transactions[[#This Row],[Level 2]]=Transactions[[#This Row],[L4N]],Transactions[[#This Row],[L3N]],IF(Transactions[[#This Row],[Level 2]]=Transactions[[#This Row],[L5N]],Transactions[[#This Row],[L4N]],IF(Transactions[[#This Row],[Level 2]]=Transactions[[#This Row],[L6N]],Transactions[[#This Row],[L5N]],IF(Transactions[[#This Row],[Level 2]]=Transactions[[#This Row],[L7N]],Transactions[[#This Row],[L6N]],Transactions[[#This Row],[L7N]]))))))))</f>
        <v>CHP plants - combustible fuels</v>
      </c>
      <c r="AV256" s="24" t="str">
        <f>IF(Transactions[[#This Row],[Level 3]]=Transactions[[#This Row],[Transaction name]],Transactions[[#This Row],[Transaction name]],IF(Transactions[[#This Row],[Level 3]]=Transactions[[#This Row],[L1N]],Transactions[[#This Row],[Transaction name]],IF(Transactions[[#This Row],[Level 3]]=Transactions[[#This Row],[L2N]],Transactions[[#This Row],[L1N]],IF(Transactions[[#This Row],[Level 3]]=Transactions[[#This Row],[L3N]],Transactions[[#This Row],[L2N]],IF(Transactions[[#This Row],[Level 3]]=Transactions[[#This Row],[L4N]],Transactions[[#This Row],[L3N]],IF(Transactions[[#This Row],[Level 3]]=Transactions[[#This Row],[L5N]],Transactions[[#This Row],[L4N]],IF(Transactions[[#This Row],[Level 3]]=Transactions[[#This Row],[L6N]],Transactions[[#This Row],[L5N]],IF(Transactions[[#This Row],[Level 3]]=Transactions[[#This Row],[L7N]],Transactions[[#This Row],[L6N]],Transactions[[#This Row],[L7N]]))))))))</f>
        <v>CHP plants - Main activity - combustible fuels</v>
      </c>
      <c r="AW256" s="24" t="str">
        <f>IF(Transactions[[#This Row],[Level 4]]=Transactions[[#This Row],[Transaction name]],Transactions[[#This Row],[Transaction name]],IF(Transactions[[#This Row],[Level 4]]=Transactions[[#This Row],[L1N]],Transactions[[#This Row],[Transaction name]],IF(Transactions[[#This Row],[Level 4]]=Transactions[[#This Row],[L2N]],Transactions[[#This Row],[L1N]],IF(Transactions[[#This Row],[Level 4]]=Transactions[[#This Row],[L3N]],Transactions[[#This Row],[L2N]],IF(Transactions[[#This Row],[Level 4]]=Transactions[[#This Row],[L4N]],Transactions[[#This Row],[L3N]],IF(Transactions[[#This Row],[Level 4]]=Transactions[[#This Row],[L5N]],Transactions[[#This Row],[L4N]],IF(Transactions[[#This Row],[Level 4]]=Transactions[[#This Row],[L6N]],Transactions[[#This Row],[L5N]],IF(Transactions[[#This Row],[Level 4]]=Transactions[[#This Row],[L7N]],Transactions[[#This Row],[L6N]],Transactions[[#This Row],[L7N]]))))))))</f>
        <v>CHP plants - Main activity - combustible fuels</v>
      </c>
      <c r="AX256" s="24" t="str">
        <f>IF(Transactions[[#This Row],[Level 5]]=Transactions[[#This Row],[Transaction name]],Transactions[[#This Row],[Transaction name]],IF(Transactions[[#This Row],[Level 5]]=Transactions[[#This Row],[L1N]],Transactions[[#This Row],[Transaction name]],IF(Transactions[[#This Row],[Level 5]]=Transactions[[#This Row],[L2N]],Transactions[[#This Row],[L1N]],IF(Transactions[[#This Row],[Level 5]]=Transactions[[#This Row],[L3N]],Transactions[[#This Row],[L2N]],IF(Transactions[[#This Row],[Level 5]]=Transactions[[#This Row],[L4N]],Transactions[[#This Row],[L3N]],IF(Transactions[[#This Row],[Level 5]]=Transactions[[#This Row],[L5N]],Transactions[[#This Row],[L4N]],IF(Transactions[[#This Row],[Level 5]]=Transactions[[#This Row],[L6N]],Transactions[[#This Row],[L5N]],IF(Transactions[[#This Row],[Level 5]]=Transactions[[#This Row],[L7N]],Transactions[[#This Row],[L6N]],Transactions[[#This Row],[L7N]]))))))))</f>
        <v>CHP plants - Main activity - combustible fuels</v>
      </c>
      <c r="AY256" s="24" t="str">
        <f>IF(Transactions[[#This Row],[Level 6]]=Transactions[[#This Row],[Transaction name]],Transactions[[#This Row],[Transaction name]],IF(Transactions[[#This Row],[Level 6]]=Transactions[[#This Row],[L1N]],Transactions[[#This Row],[Transaction name]],IF(Transactions[[#This Row],[Level 6]]=Transactions[[#This Row],[L2N]],Transactions[[#This Row],[L1N]],IF(Transactions[[#This Row],[Level 6]]=Transactions[[#This Row],[L3N]],Transactions[[#This Row],[L2N]],IF(Transactions[[#This Row],[Level 6]]=Transactions[[#This Row],[L4N]],Transactions[[#This Row],[L3N]],IF(Transactions[[#This Row],[Level 6]]=Transactions[[#This Row],[L5N]],Transactions[[#This Row],[L4N]],IF(Transactions[[#This Row],[Level 6]]=Transactions[[#This Row],[L6N]],Transactions[[#This Row],[L5N]],IF(Transactions[[#This Row],[Level 6]]=Transactions[[#This Row],[L7N]],Transactions[[#This Row],[L6N]],Transactions[[#This Row],[L7N]]))))))))</f>
        <v>CHP plants - Main activity - combustible fuels</v>
      </c>
      <c r="BE256" s="26" t="str">
        <f>_xlfn.XLOOKUP(Transformation[[#This Row],[cfrom]],Commodities[Commodity],Commodities[Commodity code])</f>
        <v>0340</v>
      </c>
      <c r="BF256" s="26" t="str">
        <f>_xlfn.XLOOKUP(Transformation[[#This Row],[tfrom]],Transactions[Transaction name],Transactions[Transaction code])</f>
        <v>08831</v>
      </c>
      <c r="BG256" s="26" t="str">
        <f>_xlfn.XLOOKUP(Transformation[[#This Row],[cto]],Commodities[Commodity],Commodities[Commodity code])</f>
        <v>0340</v>
      </c>
      <c r="BH256" s="26" t="str">
        <f>_xlfn.XLOOKUP(Transformation[[#This Row],[tto]],Transactions[Transaction name],Transactions[Transaction code])</f>
        <v>015CSH</v>
      </c>
      <c r="BI256" s="11">
        <v>1</v>
      </c>
      <c r="BJ256" s="4" t="s">
        <v>489</v>
      </c>
      <c r="BK256" s="24" t="str">
        <f>_xlfn.XLOOKUP(Transformation[[#This Row],[Commodity from]],Commodities[Commodity code],Commodities[EnergyCode])</f>
        <v>CT</v>
      </c>
      <c r="BL256" s="4" t="s">
        <v>693</v>
      </c>
      <c r="BM256" s="4" t="s">
        <v>489</v>
      </c>
      <c r="BN256" s="24" t="str">
        <f>_xlfn.XLOOKUP(Transformation[[#This Row],[Commodity to]],Commodities[Commodity code],Commodities[EnergyCode])</f>
        <v>CT</v>
      </c>
      <c r="BO256" s="4" t="s">
        <v>1211</v>
      </c>
      <c r="BP256" s="16" t="s">
        <v>1493</v>
      </c>
      <c r="BQ256" s="33" t="str">
        <f>Transformation[[#This Row],[Commodity from]]&amp;Transformation[[#This Row],[Transaction from]]&amp;Transformation[[#This Row],[Commodity to]]&amp;Transformation[[#This Row],[Transaction to]]</f>
        <v>0340088310340015CSH</v>
      </c>
      <c r="BR256" s="26" t="str">
        <f>Transformation[[#This Row],[crfomid]]&amp;Transformation[[#This Row],[Transaction from]]&amp;"("&amp;Transformation[[#This Row],[Multiplier]]&amp;") -&gt; "&amp;Transformation[[#This Row],[ctoid]]&amp;Transformation[[#This Row],[Transaction to]]</f>
        <v>CT08831(1) -&gt; CT015CSH</v>
      </c>
    </row>
    <row r="257" spans="25:70" x14ac:dyDescent="0.45">
      <c r="Y257" s="5" t="s">
        <v>1281</v>
      </c>
      <c r="Z257" s="7" t="s">
        <v>1229</v>
      </c>
      <c r="AA257" s="4" t="s">
        <v>1399</v>
      </c>
      <c r="AB257" s="8" t="s">
        <v>1614</v>
      </c>
      <c r="AC257" s="24" t="str">
        <f>IFERROR(VLOOKUP(Transactions[[#This Row],[Parent code]],Transactions[[Transaction code]:[Transaction name]],2,0),"")</f>
        <v>CHP plants - crude oil</v>
      </c>
      <c r="AD257" s="4" t="s">
        <v>189</v>
      </c>
      <c r="AE257" s="4" t="s">
        <v>922</v>
      </c>
      <c r="AF257" s="4" t="s">
        <v>642</v>
      </c>
      <c r="AG257" s="4" t="s">
        <v>1</v>
      </c>
      <c r="AH257" s="4" t="s">
        <v>696</v>
      </c>
      <c r="AI257" s="12" t="s">
        <v>1416</v>
      </c>
      <c r="AK257" s="24" t="str" cm="1">
        <f t="array" ref="AK257">IFERROR(INDEX(Transactions[[Transaction code]:[Transaction name]],_xlfn.XMATCH(Transactions[[#This Row],[Parent code]],Transactions[Transaction name],0),3),Transactions[[#This Row],[Transaction name]])</f>
        <v>CHP plants - Autoproducer - crude oil</v>
      </c>
      <c r="AL257" s="24" t="str" cm="1">
        <f t="array" ref="AL257">IFERROR(INDEX(Transactions[[Transaction code]:[Transaction name]],_xlfn.XMATCH(INDEX(Transactions[[Transaction name]:[Parent code]],_xlfn.XMATCH(Transactions[[#This Row],[L1N]],Transactions[Transaction name],0),3),Transactions[Transaction code],0),2),Transactions[[#This Row],[L1N]])</f>
        <v>CHP plants - crude oil</v>
      </c>
      <c r="AM257" s="24" t="str" cm="1">
        <f t="array" ref="AM257">IFERROR(INDEX(Transactions[[Transaction code]:[Transaction name]],_xlfn.XMATCH(INDEX(Transactions[[Transaction name]:[Parent code]],_xlfn.XMATCH(Transactions[[#This Row],[L2N]],Transactions[Transaction name],0),3),Transactions[Transaction code],0),2),Transactions[[#This Row],[L2N]])</f>
        <v>CHP plants</v>
      </c>
      <c r="AN257" s="24" t="str" cm="1">
        <f t="array" ref="AN257">IFERROR(INDEX(Transactions[[Transaction code]:[Transaction name]],_xlfn.XMATCH(INDEX(Transactions[[Transaction name]:[Parent code]],_xlfn.XMATCH(Transactions[[#This Row],[L3N]],Transactions[Transaction name],0),3),Transactions[Transaction code],0),2),Transactions[[#This Row],[L3N]])</f>
        <v>Electricity, CHP and heat plants (T)</v>
      </c>
      <c r="AO257" s="24" t="str" cm="1">
        <f t="array" ref="AO257">IFERROR(INDEX(Transactions[[Transaction code]:[Transaction name]],_xlfn.XMATCH(INDEX(Transactions[[Transaction name]:[Parent code]],_xlfn.XMATCH(Transactions[[#This Row],[L4N]],Transactions[Transaction name],0),3),Transactions[Transaction code],0),2),Transactions[[#This Row],[L4N]])</f>
        <v>Transformation</v>
      </c>
      <c r="AP257" s="24" t="str" cm="1">
        <f t="array" ref="AP257">IFERROR(INDEX(Transactions[[Transaction code]:[Transaction name]],_xlfn.XMATCH(INDEX(Transactions[[Transaction name]:[Parent code]],_xlfn.XMATCH(Transactions[[#This Row],[L5N]],Transactions[Transaction name],0),3),Transactions[Transaction code],0),2),Transactions[[#This Row],[L5N]])</f>
        <v>Transformation</v>
      </c>
      <c r="AQ257" s="24" t="str" cm="1">
        <f t="array" ref="AQ257">IFERROR(INDEX(Transactions[[Transaction code]:[Transaction name]],_xlfn.XMATCH(INDEX(Transactions[[Transaction name]:[Parent code]],_xlfn.XMATCH(Transactions[[#This Row],[L6N]],Transactions[Transaction name],0),3),Transactions[Transaction code],0),2),Transactions[[#This Row],[L6N]])</f>
        <v>Transformation</v>
      </c>
      <c r="AR257" s="28" t="str">
        <f>IF(Transactions[[#This Row],[L7N]]=Transactions[[#This Row],[L6N]],Transactions[[#This Row],[L7N]],IF(Transactions[[#This Row],[L6N]]=Transactions[[#This Row],[L5N]],Transactions[[#This Row],[L6N]],IF(Transactions[[#This Row],[L5N]]=Transactions[[#This Row],[L4N]],Transactions[[#This Row],[L5N]],IF(Transactions[[#This Row],[L4N]]=Transactions[[#This Row],[L3N]],Transactions[[#This Row],[L4N]],IF(Transactions[[#This Row],[L3N]]=Transactions[[#This Row],[L2N]],Transactions[[#This Row],[L3N]],IF(Transactions[[#This Row],[L2N]]=Transactions[[#This Row],[L1N]],Transactions[[#This Row],[L2N]],IF(Transactions[[#This Row],[L1N]]=Transactions[[#This Row],[Transaction name]],Transactions[[#This Row],[L1N]],Transactions[[#This Row],[Transaction name]])))))))</f>
        <v>Transformation</v>
      </c>
      <c r="AS257" s="24" t="str">
        <f>IF(Transactions[[#This Row],[Level 0]]=Transactions[[#This Row],[Transaction name]],Transactions[[#This Row],[Transaction name]],IF(Transactions[[#This Row],[Level 0]]=Transactions[[#This Row],[L1N]],Transactions[[#This Row],[Transaction name]],IF(Transactions[[#This Row],[Level 0]]=Transactions[[#This Row],[L2N]],Transactions[[#This Row],[L1N]],IF(Transactions[[#This Row],[Level 0]]=Transactions[[#This Row],[L3N]],Transactions[[#This Row],[L2N]],IF(Transactions[[#This Row],[Level 0]]=Transactions[[#This Row],[L4N]],Transactions[[#This Row],[L3N]],IF(Transactions[[#This Row],[Level 0]]=Transactions[[#This Row],[L5N]],Transactions[[#This Row],[L4N]],IF(Transactions[[#This Row],[Level 0]]=Transactions[[#This Row],[L6N]],Transactions[[#This Row],[L5N]],IF(Transactions[[#This Row],[Level 0]]=Transactions[[#This Row],[L7N]],Transactions[[#This Row],[L6N]],Transactions[[#This Row],[L7N]]))))))))</f>
        <v>Electricity, CHP and heat plants (T)</v>
      </c>
      <c r="AT257" s="24" t="str">
        <f>IF(Transactions[[#This Row],[Level 1]]=Transactions[[#This Row],[Transaction name]],Transactions[[#This Row],[Transaction name]],IF(Transactions[[#This Row],[Level 1]]=Transactions[[#This Row],[L1N]],Transactions[[#This Row],[Transaction name]],IF(Transactions[[#This Row],[Level 1]]=Transactions[[#This Row],[L2N]],Transactions[[#This Row],[L1N]],IF(Transactions[[#This Row],[Level 1]]=Transactions[[#This Row],[L3N]],Transactions[[#This Row],[L2N]],IF(Transactions[[#This Row],[Level 1]]=Transactions[[#This Row],[L4N]],Transactions[[#This Row],[L3N]],IF(Transactions[[#This Row],[Level 1]]=Transactions[[#This Row],[L5N]],Transactions[[#This Row],[L4N]],IF(Transactions[[#This Row],[Level 1]]=Transactions[[#This Row],[L6N]],Transactions[[#This Row],[L5N]],IF(Transactions[[#This Row],[Level 1]]=Transactions[[#This Row],[L7N]],Transactions[[#This Row],[L6N]],Transactions[[#This Row],[L7N]]))))))))</f>
        <v>CHP plants</v>
      </c>
      <c r="AU257" s="24" t="str">
        <f>IF(Transactions[[#This Row],[Level 2]]=Transactions[[#This Row],[Transaction name]],Transactions[[#This Row],[Transaction name]],IF(Transactions[[#This Row],[Level 2]]=Transactions[[#This Row],[L1N]],Transactions[[#This Row],[Transaction name]],IF(Transactions[[#This Row],[Level 2]]=Transactions[[#This Row],[L2N]],Transactions[[#This Row],[L1N]],IF(Transactions[[#This Row],[Level 2]]=Transactions[[#This Row],[L3N]],Transactions[[#This Row],[L2N]],IF(Transactions[[#This Row],[Level 2]]=Transactions[[#This Row],[L4N]],Transactions[[#This Row],[L3N]],IF(Transactions[[#This Row],[Level 2]]=Transactions[[#This Row],[L5N]],Transactions[[#This Row],[L4N]],IF(Transactions[[#This Row],[Level 2]]=Transactions[[#This Row],[L6N]],Transactions[[#This Row],[L5N]],IF(Transactions[[#This Row],[Level 2]]=Transactions[[#This Row],[L7N]],Transactions[[#This Row],[L6N]],Transactions[[#This Row],[L7N]]))))))))</f>
        <v>CHP plants - crude oil</v>
      </c>
      <c r="AV257" s="24" t="str">
        <f>IF(Transactions[[#This Row],[Level 3]]=Transactions[[#This Row],[Transaction name]],Transactions[[#This Row],[Transaction name]],IF(Transactions[[#This Row],[Level 3]]=Transactions[[#This Row],[L1N]],Transactions[[#This Row],[Transaction name]],IF(Transactions[[#This Row],[Level 3]]=Transactions[[#This Row],[L2N]],Transactions[[#This Row],[L1N]],IF(Transactions[[#This Row],[Level 3]]=Transactions[[#This Row],[L3N]],Transactions[[#This Row],[L2N]],IF(Transactions[[#This Row],[Level 3]]=Transactions[[#This Row],[L4N]],Transactions[[#This Row],[L3N]],IF(Transactions[[#This Row],[Level 3]]=Transactions[[#This Row],[L5N]],Transactions[[#This Row],[L4N]],IF(Transactions[[#This Row],[Level 3]]=Transactions[[#This Row],[L6N]],Transactions[[#This Row],[L5N]],IF(Transactions[[#This Row],[Level 3]]=Transactions[[#This Row],[L7N]],Transactions[[#This Row],[L6N]],Transactions[[#This Row],[L7N]]))))))))</f>
        <v>CHP plants - Autoproducer - crude oil</v>
      </c>
      <c r="AW257" s="24" t="str">
        <f>IF(Transactions[[#This Row],[Level 4]]=Transactions[[#This Row],[Transaction name]],Transactions[[#This Row],[Transaction name]],IF(Transactions[[#This Row],[Level 4]]=Transactions[[#This Row],[L1N]],Transactions[[#This Row],[Transaction name]],IF(Transactions[[#This Row],[Level 4]]=Transactions[[#This Row],[L2N]],Transactions[[#This Row],[L1N]],IF(Transactions[[#This Row],[Level 4]]=Transactions[[#This Row],[L3N]],Transactions[[#This Row],[L2N]],IF(Transactions[[#This Row],[Level 4]]=Transactions[[#This Row],[L4N]],Transactions[[#This Row],[L3N]],IF(Transactions[[#This Row],[Level 4]]=Transactions[[#This Row],[L5N]],Transactions[[#This Row],[L4N]],IF(Transactions[[#This Row],[Level 4]]=Transactions[[#This Row],[L6N]],Transactions[[#This Row],[L5N]],IF(Transactions[[#This Row],[Level 4]]=Transactions[[#This Row],[L7N]],Transactions[[#This Row],[L6N]],Transactions[[#This Row],[L7N]]))))))))</f>
        <v>CHP plants - Autoproducer - crude oil</v>
      </c>
      <c r="AX257" s="24" t="str">
        <f>IF(Transactions[[#This Row],[Level 5]]=Transactions[[#This Row],[Transaction name]],Transactions[[#This Row],[Transaction name]],IF(Transactions[[#This Row],[Level 5]]=Transactions[[#This Row],[L1N]],Transactions[[#This Row],[Transaction name]],IF(Transactions[[#This Row],[Level 5]]=Transactions[[#This Row],[L2N]],Transactions[[#This Row],[L1N]],IF(Transactions[[#This Row],[Level 5]]=Transactions[[#This Row],[L3N]],Transactions[[#This Row],[L2N]],IF(Transactions[[#This Row],[Level 5]]=Transactions[[#This Row],[L4N]],Transactions[[#This Row],[L3N]],IF(Transactions[[#This Row],[Level 5]]=Transactions[[#This Row],[L5N]],Transactions[[#This Row],[L4N]],IF(Transactions[[#This Row],[Level 5]]=Transactions[[#This Row],[L6N]],Transactions[[#This Row],[L5N]],IF(Transactions[[#This Row],[Level 5]]=Transactions[[#This Row],[L7N]],Transactions[[#This Row],[L6N]],Transactions[[#This Row],[L7N]]))))))))</f>
        <v>CHP plants - Autoproducer - crude oil</v>
      </c>
      <c r="AY257" s="24" t="str">
        <f>IF(Transactions[[#This Row],[Level 6]]=Transactions[[#This Row],[Transaction name]],Transactions[[#This Row],[Transaction name]],IF(Transactions[[#This Row],[Level 6]]=Transactions[[#This Row],[L1N]],Transactions[[#This Row],[Transaction name]],IF(Transactions[[#This Row],[Level 6]]=Transactions[[#This Row],[L2N]],Transactions[[#This Row],[L1N]],IF(Transactions[[#This Row],[Level 6]]=Transactions[[#This Row],[L3N]],Transactions[[#This Row],[L2N]],IF(Transactions[[#This Row],[Level 6]]=Transactions[[#This Row],[L4N]],Transactions[[#This Row],[L3N]],IF(Transactions[[#This Row],[Level 6]]=Transactions[[#This Row],[L5N]],Transactions[[#This Row],[L4N]],IF(Transactions[[#This Row],[Level 6]]=Transactions[[#This Row],[L6N]],Transactions[[#This Row],[L5N]],IF(Transactions[[#This Row],[Level 6]]=Transactions[[#This Row],[L7N]],Transactions[[#This Row],[L6N]],Transactions[[#This Row],[L7N]]))))))))</f>
        <v>CHP plants - Autoproducer - crude oil</v>
      </c>
      <c r="BE257" s="26" t="str">
        <f>_xlfn.XLOOKUP(Transformation[[#This Row],[cfrom]],Commodities[Commodity],Commodities[Commodity code])</f>
        <v>4670</v>
      </c>
      <c r="BF257" s="26" t="str">
        <f>_xlfn.XLOOKUP(Transformation[[#This Row],[tfrom]],Transactions[Transaction name],Transactions[Transaction code])</f>
        <v>08831</v>
      </c>
      <c r="BG257" s="26" t="str">
        <f>_xlfn.XLOOKUP(Transformation[[#This Row],[cto]],Commodities[Commodity],Commodities[Commodity code])</f>
        <v>4670</v>
      </c>
      <c r="BH257" s="26" t="str">
        <f>_xlfn.XLOOKUP(Transformation[[#This Row],[tto]],Transactions[Transaction name],Transactions[Transaction code])</f>
        <v>015DH</v>
      </c>
      <c r="BI257" s="11">
        <v>1</v>
      </c>
      <c r="BJ257" s="4" t="s">
        <v>372</v>
      </c>
      <c r="BK257" s="24" t="str">
        <f>_xlfn.XLOOKUP(Transformation[[#This Row],[Commodity from]],Commodities[Commodity code],Commodities[EnergyCode])</f>
        <v>DL</v>
      </c>
      <c r="BL257" s="4" t="s">
        <v>693</v>
      </c>
      <c r="BM257" s="4" t="s">
        <v>372</v>
      </c>
      <c r="BN257" s="24" t="str">
        <f>_xlfn.XLOOKUP(Transformation[[#This Row],[Commodity to]],Commodities[Commodity code],Commodities[EnergyCode])</f>
        <v>DL</v>
      </c>
      <c r="BO257" s="4" t="s">
        <v>1036</v>
      </c>
      <c r="BP257" s="16" t="s">
        <v>1493</v>
      </c>
      <c r="BQ257" s="33" t="str">
        <f>Transformation[[#This Row],[Commodity from]]&amp;Transformation[[#This Row],[Transaction from]]&amp;Transformation[[#This Row],[Commodity to]]&amp;Transformation[[#This Row],[Transaction to]]</f>
        <v>4670088314670015DH</v>
      </c>
      <c r="BR257" s="26" t="str">
        <f>Transformation[[#This Row],[crfomid]]&amp;Transformation[[#This Row],[Transaction from]]&amp;"("&amp;Transformation[[#This Row],[Multiplier]]&amp;") -&gt; "&amp;Transformation[[#This Row],[ctoid]]&amp;Transformation[[#This Row],[Transaction to]]</f>
        <v>DL08831(1) -&gt; DL015DH</v>
      </c>
    </row>
    <row r="258" spans="25:70" x14ac:dyDescent="0.45">
      <c r="Y258" s="19" t="s">
        <v>1614</v>
      </c>
      <c r="Z258" s="18" t="s">
        <v>1399</v>
      </c>
      <c r="AA258" s="18" t="s">
        <v>1399</v>
      </c>
      <c r="AB258" s="19" t="s">
        <v>1627</v>
      </c>
      <c r="AC258" s="26" t="str">
        <f>IFERROR(VLOOKUP(Transactions[[#This Row],[Parent code]],Transactions[[Transaction code]:[Transaction name]],2,0),"")</f>
        <v>CHP plants</v>
      </c>
      <c r="AD258" s="18" t="s">
        <v>189</v>
      </c>
      <c r="AE258" s="18" t="s">
        <v>922</v>
      </c>
      <c r="AF258" s="18" t="s">
        <v>642</v>
      </c>
      <c r="AG258" s="18" t="s">
        <v>1</v>
      </c>
      <c r="AH258" s="18" t="s">
        <v>696</v>
      </c>
      <c r="AI258" s="18" t="s">
        <v>1416</v>
      </c>
      <c r="AJ258" s="18"/>
      <c r="AK258" s="26" t="str" cm="1">
        <f t="array" ref="AK258">IFERROR(INDEX(Transactions[[Transaction code]:[Transaction name]],_xlfn.XMATCH(Transactions[[#This Row],[Parent code]],Transactions[Transaction name],0),3),Transactions[[#This Row],[Transaction name]])</f>
        <v>CHP plants - crude oil</v>
      </c>
      <c r="AL258" s="26" t="str" cm="1">
        <f t="array" ref="AL258">IFERROR(INDEX(Transactions[[Transaction code]:[Transaction name]],_xlfn.XMATCH(INDEX(Transactions[[Transaction name]:[Parent code]],_xlfn.XMATCH(Transactions[[#This Row],[L1N]],Transactions[Transaction name],0),3),Transactions[Transaction code],0),2),Transactions[[#This Row],[L1N]])</f>
        <v>CHP plants</v>
      </c>
      <c r="AM258" s="26" t="str" cm="1">
        <f t="array" ref="AM258">IFERROR(INDEX(Transactions[[Transaction code]:[Transaction name]],_xlfn.XMATCH(INDEX(Transactions[[Transaction name]:[Parent code]],_xlfn.XMATCH(Transactions[[#This Row],[L2N]],Transactions[Transaction name],0),3),Transactions[Transaction code],0),2),Transactions[[#This Row],[L2N]])</f>
        <v>Electricity, CHP and heat plants (T)</v>
      </c>
      <c r="AN258" s="26" t="str" cm="1">
        <f t="array" ref="AN258">IFERROR(INDEX(Transactions[[Transaction code]:[Transaction name]],_xlfn.XMATCH(INDEX(Transactions[[Transaction name]:[Parent code]],_xlfn.XMATCH(Transactions[[#This Row],[L3N]],Transactions[Transaction name],0),3),Transactions[Transaction code],0),2),Transactions[[#This Row],[L3N]])</f>
        <v>Transformation</v>
      </c>
      <c r="AO258" s="26" t="str" cm="1">
        <f t="array" ref="AO258">IFERROR(INDEX(Transactions[[Transaction code]:[Transaction name]],_xlfn.XMATCH(INDEX(Transactions[[Transaction name]:[Parent code]],_xlfn.XMATCH(Transactions[[#This Row],[L4N]],Transactions[Transaction name],0),3),Transactions[Transaction code],0),2),Transactions[[#This Row],[L4N]])</f>
        <v>Transformation</v>
      </c>
      <c r="AP258" s="26" t="str" cm="1">
        <f t="array" ref="AP258">IFERROR(INDEX(Transactions[[Transaction code]:[Transaction name]],_xlfn.XMATCH(INDEX(Transactions[[Transaction name]:[Parent code]],_xlfn.XMATCH(Transactions[[#This Row],[L5N]],Transactions[Transaction name],0),3),Transactions[Transaction code],0),2),Transactions[[#This Row],[L5N]])</f>
        <v>Transformation</v>
      </c>
      <c r="AQ258" s="26" t="str" cm="1">
        <f t="array" ref="AQ258">IFERROR(INDEX(Transactions[[Transaction code]:[Transaction name]],_xlfn.XMATCH(INDEX(Transactions[[Transaction name]:[Parent code]],_xlfn.XMATCH(Transactions[[#This Row],[L6N]],Transactions[Transaction name],0),3),Transactions[Transaction code],0),2),Transactions[[#This Row],[L6N]])</f>
        <v>Transformation</v>
      </c>
      <c r="AR258" s="29" t="str">
        <f>IF(Transactions[[#This Row],[L7N]]=Transactions[[#This Row],[L6N]],Transactions[[#This Row],[L7N]],IF(Transactions[[#This Row],[L6N]]=Transactions[[#This Row],[L5N]],Transactions[[#This Row],[L6N]],IF(Transactions[[#This Row],[L5N]]=Transactions[[#This Row],[L4N]],Transactions[[#This Row],[L5N]],IF(Transactions[[#This Row],[L4N]]=Transactions[[#This Row],[L3N]],Transactions[[#This Row],[L4N]],IF(Transactions[[#This Row],[L3N]]=Transactions[[#This Row],[L2N]],Transactions[[#This Row],[L3N]],IF(Transactions[[#This Row],[L2N]]=Transactions[[#This Row],[L1N]],Transactions[[#This Row],[L2N]],IF(Transactions[[#This Row],[L1N]]=Transactions[[#This Row],[Transaction name]],Transactions[[#This Row],[L1N]],Transactions[[#This Row],[Transaction name]])))))))</f>
        <v>Transformation</v>
      </c>
      <c r="AS258" s="26" t="str">
        <f>IF(Transactions[[#This Row],[Level 0]]=Transactions[[#This Row],[Transaction name]],Transactions[[#This Row],[Transaction name]],IF(Transactions[[#This Row],[Level 0]]=Transactions[[#This Row],[L1N]],Transactions[[#This Row],[Transaction name]],IF(Transactions[[#This Row],[Level 0]]=Transactions[[#This Row],[L2N]],Transactions[[#This Row],[L1N]],IF(Transactions[[#This Row],[Level 0]]=Transactions[[#This Row],[L3N]],Transactions[[#This Row],[L2N]],IF(Transactions[[#This Row],[Level 0]]=Transactions[[#This Row],[L4N]],Transactions[[#This Row],[L3N]],IF(Transactions[[#This Row],[Level 0]]=Transactions[[#This Row],[L5N]],Transactions[[#This Row],[L4N]],IF(Transactions[[#This Row],[Level 0]]=Transactions[[#This Row],[L6N]],Transactions[[#This Row],[L5N]],IF(Transactions[[#This Row],[Level 0]]=Transactions[[#This Row],[L7N]],Transactions[[#This Row],[L6N]],Transactions[[#This Row],[L7N]]))))))))</f>
        <v>Electricity, CHP and heat plants (T)</v>
      </c>
      <c r="AT258" s="26" t="str">
        <f>IF(Transactions[[#This Row],[Level 1]]=Transactions[[#This Row],[Transaction name]],Transactions[[#This Row],[Transaction name]],IF(Transactions[[#This Row],[Level 1]]=Transactions[[#This Row],[L1N]],Transactions[[#This Row],[Transaction name]],IF(Transactions[[#This Row],[Level 1]]=Transactions[[#This Row],[L2N]],Transactions[[#This Row],[L1N]],IF(Transactions[[#This Row],[Level 1]]=Transactions[[#This Row],[L3N]],Transactions[[#This Row],[L2N]],IF(Transactions[[#This Row],[Level 1]]=Transactions[[#This Row],[L4N]],Transactions[[#This Row],[L3N]],IF(Transactions[[#This Row],[Level 1]]=Transactions[[#This Row],[L5N]],Transactions[[#This Row],[L4N]],IF(Transactions[[#This Row],[Level 1]]=Transactions[[#This Row],[L6N]],Transactions[[#This Row],[L5N]],IF(Transactions[[#This Row],[Level 1]]=Transactions[[#This Row],[L7N]],Transactions[[#This Row],[L6N]],Transactions[[#This Row],[L7N]]))))))))</f>
        <v>CHP plants</v>
      </c>
      <c r="AU258" s="26" t="str">
        <f>IF(Transactions[[#This Row],[Level 2]]=Transactions[[#This Row],[Transaction name]],Transactions[[#This Row],[Transaction name]],IF(Transactions[[#This Row],[Level 2]]=Transactions[[#This Row],[L1N]],Transactions[[#This Row],[Transaction name]],IF(Transactions[[#This Row],[Level 2]]=Transactions[[#This Row],[L2N]],Transactions[[#This Row],[L1N]],IF(Transactions[[#This Row],[Level 2]]=Transactions[[#This Row],[L3N]],Transactions[[#This Row],[L2N]],IF(Transactions[[#This Row],[Level 2]]=Transactions[[#This Row],[L4N]],Transactions[[#This Row],[L3N]],IF(Transactions[[#This Row],[Level 2]]=Transactions[[#This Row],[L5N]],Transactions[[#This Row],[L4N]],IF(Transactions[[#This Row],[Level 2]]=Transactions[[#This Row],[L6N]],Transactions[[#This Row],[L5N]],IF(Transactions[[#This Row],[Level 2]]=Transactions[[#This Row],[L7N]],Transactions[[#This Row],[L6N]],Transactions[[#This Row],[L7N]]))))))))</f>
        <v>CHP plants - crude oil</v>
      </c>
      <c r="AV258" s="26" t="str">
        <f>IF(Transactions[[#This Row],[Level 3]]=Transactions[[#This Row],[Transaction name]],Transactions[[#This Row],[Transaction name]],IF(Transactions[[#This Row],[Level 3]]=Transactions[[#This Row],[L1N]],Transactions[[#This Row],[Transaction name]],IF(Transactions[[#This Row],[Level 3]]=Transactions[[#This Row],[L2N]],Transactions[[#This Row],[L1N]],IF(Transactions[[#This Row],[Level 3]]=Transactions[[#This Row],[L3N]],Transactions[[#This Row],[L2N]],IF(Transactions[[#This Row],[Level 3]]=Transactions[[#This Row],[L4N]],Transactions[[#This Row],[L3N]],IF(Transactions[[#This Row],[Level 3]]=Transactions[[#This Row],[L5N]],Transactions[[#This Row],[L4N]],IF(Transactions[[#This Row],[Level 3]]=Transactions[[#This Row],[L6N]],Transactions[[#This Row],[L5N]],IF(Transactions[[#This Row],[Level 3]]=Transactions[[#This Row],[L7N]],Transactions[[#This Row],[L6N]],Transactions[[#This Row],[L7N]]))))))))</f>
        <v>CHP plants - crude oil</v>
      </c>
      <c r="AW258" s="26" t="str">
        <f>IF(Transactions[[#This Row],[Level 4]]=Transactions[[#This Row],[Transaction name]],Transactions[[#This Row],[Transaction name]],IF(Transactions[[#This Row],[Level 4]]=Transactions[[#This Row],[L1N]],Transactions[[#This Row],[Transaction name]],IF(Transactions[[#This Row],[Level 4]]=Transactions[[#This Row],[L2N]],Transactions[[#This Row],[L1N]],IF(Transactions[[#This Row],[Level 4]]=Transactions[[#This Row],[L3N]],Transactions[[#This Row],[L2N]],IF(Transactions[[#This Row],[Level 4]]=Transactions[[#This Row],[L4N]],Transactions[[#This Row],[L3N]],IF(Transactions[[#This Row],[Level 4]]=Transactions[[#This Row],[L5N]],Transactions[[#This Row],[L4N]],IF(Transactions[[#This Row],[Level 4]]=Transactions[[#This Row],[L6N]],Transactions[[#This Row],[L5N]],IF(Transactions[[#This Row],[Level 4]]=Transactions[[#This Row],[L7N]],Transactions[[#This Row],[L6N]],Transactions[[#This Row],[L7N]]))))))))</f>
        <v>CHP plants - crude oil</v>
      </c>
      <c r="AX258" s="26" t="str">
        <f>IF(Transactions[[#This Row],[Level 5]]=Transactions[[#This Row],[Transaction name]],Transactions[[#This Row],[Transaction name]],IF(Transactions[[#This Row],[Level 5]]=Transactions[[#This Row],[L1N]],Transactions[[#This Row],[Transaction name]],IF(Transactions[[#This Row],[Level 5]]=Transactions[[#This Row],[L2N]],Transactions[[#This Row],[L1N]],IF(Transactions[[#This Row],[Level 5]]=Transactions[[#This Row],[L3N]],Transactions[[#This Row],[L2N]],IF(Transactions[[#This Row],[Level 5]]=Transactions[[#This Row],[L4N]],Transactions[[#This Row],[L3N]],IF(Transactions[[#This Row],[Level 5]]=Transactions[[#This Row],[L5N]],Transactions[[#This Row],[L4N]],IF(Transactions[[#This Row],[Level 5]]=Transactions[[#This Row],[L6N]],Transactions[[#This Row],[L5N]],IF(Transactions[[#This Row],[Level 5]]=Transactions[[#This Row],[L7N]],Transactions[[#This Row],[L6N]],Transactions[[#This Row],[L7N]]))))))))</f>
        <v>CHP plants - crude oil</v>
      </c>
      <c r="AY258" s="26" t="str">
        <f>IF(Transactions[[#This Row],[Level 6]]=Transactions[[#This Row],[Transaction name]],Transactions[[#This Row],[Transaction name]],IF(Transactions[[#This Row],[Level 6]]=Transactions[[#This Row],[L1N]],Transactions[[#This Row],[Transaction name]],IF(Transactions[[#This Row],[Level 6]]=Transactions[[#This Row],[L2N]],Transactions[[#This Row],[L1N]],IF(Transactions[[#This Row],[Level 6]]=Transactions[[#This Row],[L3N]],Transactions[[#This Row],[L2N]],IF(Transactions[[#This Row],[Level 6]]=Transactions[[#This Row],[L4N]],Transactions[[#This Row],[L3N]],IF(Transactions[[#This Row],[Level 6]]=Transactions[[#This Row],[L5N]],Transactions[[#This Row],[L4N]],IF(Transactions[[#This Row],[Level 6]]=Transactions[[#This Row],[L6N]],Transactions[[#This Row],[L5N]],IF(Transactions[[#This Row],[Level 6]]=Transactions[[#This Row],[L7N]],Transactions[[#This Row],[L6N]],Transactions[[#This Row],[L7N]]))))))))</f>
        <v>CHP plants - crude oil</v>
      </c>
      <c r="BE258" s="26" t="str">
        <f>_xlfn.XLOOKUP(Transformation[[#This Row],[cfrom]],Commodities[Commodity],Commodities[Commodity code])</f>
        <v>5110</v>
      </c>
      <c r="BF258" s="26" t="str">
        <f>_xlfn.XLOOKUP(Transformation[[#This Row],[tfrom]],Transactions[Transaction name],Transactions[Transaction code])</f>
        <v>08831</v>
      </c>
      <c r="BG258" s="26" t="str">
        <f>_xlfn.XLOOKUP(Transformation[[#This Row],[cto]],Commodities[Commodity],Commodities[Commodity code])</f>
        <v>5110</v>
      </c>
      <c r="BH258" s="26" t="str">
        <f>_xlfn.XLOOKUP(Transformation[[#This Row],[tto]],Transactions[Transaction name],Transactions[Transaction code])</f>
        <v>015WDH</v>
      </c>
      <c r="BI258" s="11">
        <v>1</v>
      </c>
      <c r="BJ258" s="4" t="s">
        <v>340</v>
      </c>
      <c r="BK258" s="24" t="str">
        <f>_xlfn.XLOOKUP(Transformation[[#This Row],[Commodity from]],Commodities[Commodity code],Commodities[EnergyCode])</f>
        <v>FW</v>
      </c>
      <c r="BL258" s="4" t="s">
        <v>693</v>
      </c>
      <c r="BM258" s="4" t="s">
        <v>340</v>
      </c>
      <c r="BN258" s="24" t="str">
        <f>_xlfn.XLOOKUP(Transformation[[#This Row],[Commodity to]],Commodities[Commodity code],Commodities[EnergyCode])</f>
        <v>FW</v>
      </c>
      <c r="BO258" s="4" t="s">
        <v>1116</v>
      </c>
      <c r="BP258" s="16" t="s">
        <v>1493</v>
      </c>
      <c r="BQ258" s="33" t="str">
        <f>Transformation[[#This Row],[Commodity from]]&amp;Transformation[[#This Row],[Transaction from]]&amp;Transformation[[#This Row],[Commodity to]]&amp;Transformation[[#This Row],[Transaction to]]</f>
        <v>5110088315110015WDH</v>
      </c>
      <c r="BR258" s="26" t="str">
        <f>Transformation[[#This Row],[crfomid]]&amp;Transformation[[#This Row],[Transaction from]]&amp;"("&amp;Transformation[[#This Row],[Multiplier]]&amp;") -&gt; "&amp;Transformation[[#This Row],[ctoid]]&amp;Transformation[[#This Row],[Transaction to]]</f>
        <v>FW08831(1) -&gt; FW015WDH</v>
      </c>
    </row>
    <row r="259" spans="25:70" x14ac:dyDescent="0.45">
      <c r="Y259" s="5" t="s">
        <v>1277</v>
      </c>
      <c r="Z259" s="7" t="s">
        <v>1225</v>
      </c>
      <c r="AA259" s="4" t="s">
        <v>1399</v>
      </c>
      <c r="AB259" s="8" t="s">
        <v>1614</v>
      </c>
      <c r="AC259" s="24" t="str">
        <f>IFERROR(VLOOKUP(Transactions[[#This Row],[Parent code]],Transactions[[Transaction code]:[Transaction name]],2,0),"")</f>
        <v>CHP plants - crude oil</v>
      </c>
      <c r="AD259" s="4" t="s">
        <v>189</v>
      </c>
      <c r="AE259" s="4" t="s">
        <v>922</v>
      </c>
      <c r="AF259" s="4" t="s">
        <v>642</v>
      </c>
      <c r="AG259" s="4" t="s">
        <v>1</v>
      </c>
      <c r="AH259" s="4" t="s">
        <v>696</v>
      </c>
      <c r="AI259" s="12" t="s">
        <v>1416</v>
      </c>
      <c r="AK259" s="24" t="str" cm="1">
        <f t="array" ref="AK259">IFERROR(INDEX(Transactions[[Transaction code]:[Transaction name]],_xlfn.XMATCH(Transactions[[#This Row],[Parent code]],Transactions[Transaction name],0),3),Transactions[[#This Row],[Transaction name]])</f>
        <v>CHP plants - Main activity - crude oil</v>
      </c>
      <c r="AL259" s="24" t="str" cm="1">
        <f t="array" ref="AL259">IFERROR(INDEX(Transactions[[Transaction code]:[Transaction name]],_xlfn.XMATCH(INDEX(Transactions[[Transaction name]:[Parent code]],_xlfn.XMATCH(Transactions[[#This Row],[L1N]],Transactions[Transaction name],0),3),Transactions[Transaction code],0),2),Transactions[[#This Row],[L1N]])</f>
        <v>CHP plants - crude oil</v>
      </c>
      <c r="AM259" s="24" t="str" cm="1">
        <f t="array" ref="AM259">IFERROR(INDEX(Transactions[[Transaction code]:[Transaction name]],_xlfn.XMATCH(INDEX(Transactions[[Transaction name]:[Parent code]],_xlfn.XMATCH(Transactions[[#This Row],[L2N]],Transactions[Transaction name],0),3),Transactions[Transaction code],0),2),Transactions[[#This Row],[L2N]])</f>
        <v>CHP plants</v>
      </c>
      <c r="AN259" s="24" t="str" cm="1">
        <f t="array" ref="AN259">IFERROR(INDEX(Transactions[[Transaction code]:[Transaction name]],_xlfn.XMATCH(INDEX(Transactions[[Transaction name]:[Parent code]],_xlfn.XMATCH(Transactions[[#This Row],[L3N]],Transactions[Transaction name],0),3),Transactions[Transaction code],0),2),Transactions[[#This Row],[L3N]])</f>
        <v>Electricity, CHP and heat plants (T)</v>
      </c>
      <c r="AO259" s="24" t="str" cm="1">
        <f t="array" ref="AO259">IFERROR(INDEX(Transactions[[Transaction code]:[Transaction name]],_xlfn.XMATCH(INDEX(Transactions[[Transaction name]:[Parent code]],_xlfn.XMATCH(Transactions[[#This Row],[L4N]],Transactions[Transaction name],0),3),Transactions[Transaction code],0),2),Transactions[[#This Row],[L4N]])</f>
        <v>Transformation</v>
      </c>
      <c r="AP259" s="24" t="str" cm="1">
        <f t="array" ref="AP259">IFERROR(INDEX(Transactions[[Transaction code]:[Transaction name]],_xlfn.XMATCH(INDEX(Transactions[[Transaction name]:[Parent code]],_xlfn.XMATCH(Transactions[[#This Row],[L5N]],Transactions[Transaction name],0),3),Transactions[Transaction code],0),2),Transactions[[#This Row],[L5N]])</f>
        <v>Transformation</v>
      </c>
      <c r="AQ259" s="24" t="str" cm="1">
        <f t="array" ref="AQ259">IFERROR(INDEX(Transactions[[Transaction code]:[Transaction name]],_xlfn.XMATCH(INDEX(Transactions[[Transaction name]:[Parent code]],_xlfn.XMATCH(Transactions[[#This Row],[L6N]],Transactions[Transaction name],0),3),Transactions[Transaction code],0),2),Transactions[[#This Row],[L6N]])</f>
        <v>Transformation</v>
      </c>
      <c r="AR259" s="28" t="str">
        <f>IF(Transactions[[#This Row],[L7N]]=Transactions[[#This Row],[L6N]],Transactions[[#This Row],[L7N]],IF(Transactions[[#This Row],[L6N]]=Transactions[[#This Row],[L5N]],Transactions[[#This Row],[L6N]],IF(Transactions[[#This Row],[L5N]]=Transactions[[#This Row],[L4N]],Transactions[[#This Row],[L5N]],IF(Transactions[[#This Row],[L4N]]=Transactions[[#This Row],[L3N]],Transactions[[#This Row],[L4N]],IF(Transactions[[#This Row],[L3N]]=Transactions[[#This Row],[L2N]],Transactions[[#This Row],[L3N]],IF(Transactions[[#This Row],[L2N]]=Transactions[[#This Row],[L1N]],Transactions[[#This Row],[L2N]],IF(Transactions[[#This Row],[L1N]]=Transactions[[#This Row],[Transaction name]],Transactions[[#This Row],[L1N]],Transactions[[#This Row],[Transaction name]])))))))</f>
        <v>Transformation</v>
      </c>
      <c r="AS259" s="24" t="str">
        <f>IF(Transactions[[#This Row],[Level 0]]=Transactions[[#This Row],[Transaction name]],Transactions[[#This Row],[Transaction name]],IF(Transactions[[#This Row],[Level 0]]=Transactions[[#This Row],[L1N]],Transactions[[#This Row],[Transaction name]],IF(Transactions[[#This Row],[Level 0]]=Transactions[[#This Row],[L2N]],Transactions[[#This Row],[L1N]],IF(Transactions[[#This Row],[Level 0]]=Transactions[[#This Row],[L3N]],Transactions[[#This Row],[L2N]],IF(Transactions[[#This Row],[Level 0]]=Transactions[[#This Row],[L4N]],Transactions[[#This Row],[L3N]],IF(Transactions[[#This Row],[Level 0]]=Transactions[[#This Row],[L5N]],Transactions[[#This Row],[L4N]],IF(Transactions[[#This Row],[Level 0]]=Transactions[[#This Row],[L6N]],Transactions[[#This Row],[L5N]],IF(Transactions[[#This Row],[Level 0]]=Transactions[[#This Row],[L7N]],Transactions[[#This Row],[L6N]],Transactions[[#This Row],[L7N]]))))))))</f>
        <v>Electricity, CHP and heat plants (T)</v>
      </c>
      <c r="AT259" s="24" t="str">
        <f>IF(Transactions[[#This Row],[Level 1]]=Transactions[[#This Row],[Transaction name]],Transactions[[#This Row],[Transaction name]],IF(Transactions[[#This Row],[Level 1]]=Transactions[[#This Row],[L1N]],Transactions[[#This Row],[Transaction name]],IF(Transactions[[#This Row],[Level 1]]=Transactions[[#This Row],[L2N]],Transactions[[#This Row],[L1N]],IF(Transactions[[#This Row],[Level 1]]=Transactions[[#This Row],[L3N]],Transactions[[#This Row],[L2N]],IF(Transactions[[#This Row],[Level 1]]=Transactions[[#This Row],[L4N]],Transactions[[#This Row],[L3N]],IF(Transactions[[#This Row],[Level 1]]=Transactions[[#This Row],[L5N]],Transactions[[#This Row],[L4N]],IF(Transactions[[#This Row],[Level 1]]=Transactions[[#This Row],[L6N]],Transactions[[#This Row],[L5N]],IF(Transactions[[#This Row],[Level 1]]=Transactions[[#This Row],[L7N]],Transactions[[#This Row],[L6N]],Transactions[[#This Row],[L7N]]))))))))</f>
        <v>CHP plants</v>
      </c>
      <c r="AU259" s="24" t="str">
        <f>IF(Transactions[[#This Row],[Level 2]]=Transactions[[#This Row],[Transaction name]],Transactions[[#This Row],[Transaction name]],IF(Transactions[[#This Row],[Level 2]]=Transactions[[#This Row],[L1N]],Transactions[[#This Row],[Transaction name]],IF(Transactions[[#This Row],[Level 2]]=Transactions[[#This Row],[L2N]],Transactions[[#This Row],[L1N]],IF(Transactions[[#This Row],[Level 2]]=Transactions[[#This Row],[L3N]],Transactions[[#This Row],[L2N]],IF(Transactions[[#This Row],[Level 2]]=Transactions[[#This Row],[L4N]],Transactions[[#This Row],[L3N]],IF(Transactions[[#This Row],[Level 2]]=Transactions[[#This Row],[L5N]],Transactions[[#This Row],[L4N]],IF(Transactions[[#This Row],[Level 2]]=Transactions[[#This Row],[L6N]],Transactions[[#This Row],[L5N]],IF(Transactions[[#This Row],[Level 2]]=Transactions[[#This Row],[L7N]],Transactions[[#This Row],[L6N]],Transactions[[#This Row],[L7N]]))))))))</f>
        <v>CHP plants - crude oil</v>
      </c>
      <c r="AV259" s="24" t="str">
        <f>IF(Transactions[[#This Row],[Level 3]]=Transactions[[#This Row],[Transaction name]],Transactions[[#This Row],[Transaction name]],IF(Transactions[[#This Row],[Level 3]]=Transactions[[#This Row],[L1N]],Transactions[[#This Row],[Transaction name]],IF(Transactions[[#This Row],[Level 3]]=Transactions[[#This Row],[L2N]],Transactions[[#This Row],[L1N]],IF(Transactions[[#This Row],[Level 3]]=Transactions[[#This Row],[L3N]],Transactions[[#This Row],[L2N]],IF(Transactions[[#This Row],[Level 3]]=Transactions[[#This Row],[L4N]],Transactions[[#This Row],[L3N]],IF(Transactions[[#This Row],[Level 3]]=Transactions[[#This Row],[L5N]],Transactions[[#This Row],[L4N]],IF(Transactions[[#This Row],[Level 3]]=Transactions[[#This Row],[L6N]],Transactions[[#This Row],[L5N]],IF(Transactions[[#This Row],[Level 3]]=Transactions[[#This Row],[L7N]],Transactions[[#This Row],[L6N]],Transactions[[#This Row],[L7N]]))))))))</f>
        <v>CHP plants - Main activity - crude oil</v>
      </c>
      <c r="AW259" s="24" t="str">
        <f>IF(Transactions[[#This Row],[Level 4]]=Transactions[[#This Row],[Transaction name]],Transactions[[#This Row],[Transaction name]],IF(Transactions[[#This Row],[Level 4]]=Transactions[[#This Row],[L1N]],Transactions[[#This Row],[Transaction name]],IF(Transactions[[#This Row],[Level 4]]=Transactions[[#This Row],[L2N]],Transactions[[#This Row],[L1N]],IF(Transactions[[#This Row],[Level 4]]=Transactions[[#This Row],[L3N]],Transactions[[#This Row],[L2N]],IF(Transactions[[#This Row],[Level 4]]=Transactions[[#This Row],[L4N]],Transactions[[#This Row],[L3N]],IF(Transactions[[#This Row],[Level 4]]=Transactions[[#This Row],[L5N]],Transactions[[#This Row],[L4N]],IF(Transactions[[#This Row],[Level 4]]=Transactions[[#This Row],[L6N]],Transactions[[#This Row],[L5N]],IF(Transactions[[#This Row],[Level 4]]=Transactions[[#This Row],[L7N]],Transactions[[#This Row],[L6N]],Transactions[[#This Row],[L7N]]))))))))</f>
        <v>CHP plants - Main activity - crude oil</v>
      </c>
      <c r="AX259" s="24" t="str">
        <f>IF(Transactions[[#This Row],[Level 5]]=Transactions[[#This Row],[Transaction name]],Transactions[[#This Row],[Transaction name]],IF(Transactions[[#This Row],[Level 5]]=Transactions[[#This Row],[L1N]],Transactions[[#This Row],[Transaction name]],IF(Transactions[[#This Row],[Level 5]]=Transactions[[#This Row],[L2N]],Transactions[[#This Row],[L1N]],IF(Transactions[[#This Row],[Level 5]]=Transactions[[#This Row],[L3N]],Transactions[[#This Row],[L2N]],IF(Transactions[[#This Row],[Level 5]]=Transactions[[#This Row],[L4N]],Transactions[[#This Row],[L3N]],IF(Transactions[[#This Row],[Level 5]]=Transactions[[#This Row],[L5N]],Transactions[[#This Row],[L4N]],IF(Transactions[[#This Row],[Level 5]]=Transactions[[#This Row],[L6N]],Transactions[[#This Row],[L5N]],IF(Transactions[[#This Row],[Level 5]]=Transactions[[#This Row],[L7N]],Transactions[[#This Row],[L6N]],Transactions[[#This Row],[L7N]]))))))))</f>
        <v>CHP plants - Main activity - crude oil</v>
      </c>
      <c r="AY259" s="24" t="str">
        <f>IF(Transactions[[#This Row],[Level 6]]=Transactions[[#This Row],[Transaction name]],Transactions[[#This Row],[Transaction name]],IF(Transactions[[#This Row],[Level 6]]=Transactions[[#This Row],[L1N]],Transactions[[#This Row],[Transaction name]],IF(Transactions[[#This Row],[Level 6]]=Transactions[[#This Row],[L2N]],Transactions[[#This Row],[L1N]],IF(Transactions[[#This Row],[Level 6]]=Transactions[[#This Row],[L3N]],Transactions[[#This Row],[L2N]],IF(Transactions[[#This Row],[Level 6]]=Transactions[[#This Row],[L4N]],Transactions[[#This Row],[L3N]],IF(Transactions[[#This Row],[Level 6]]=Transactions[[#This Row],[L5N]],Transactions[[#This Row],[L4N]],IF(Transactions[[#This Row],[Level 6]]=Transactions[[#This Row],[L6N]],Transactions[[#This Row],[L5N]],IF(Transactions[[#This Row],[Level 6]]=Transactions[[#This Row],[L7N]],Transactions[[#This Row],[L6N]],Transactions[[#This Row],[L7N]]))))))))</f>
        <v>CHP plants - Main activity - crude oil</v>
      </c>
      <c r="BE259" s="26" t="str">
        <f>_xlfn.XLOOKUP(Transformation[[#This Row],[cfrom]],Commodities[Commodity],Commodities[Commodity code])</f>
        <v>0360</v>
      </c>
      <c r="BF259" s="26" t="str">
        <f>_xlfn.XLOOKUP(Transformation[[#This Row],[tfrom]],Transactions[Transaction name],Transactions[Transaction code])</f>
        <v>08831</v>
      </c>
      <c r="BG259" s="26" t="str">
        <f>_xlfn.XLOOKUP(Transformation[[#This Row],[cto]],Commodities[Commodity],Commodities[Commodity code])</f>
        <v>0360</v>
      </c>
      <c r="BH259" s="26" t="str">
        <f>_xlfn.XLOOKUP(Transformation[[#This Row],[tto]],Transactions[Transaction name],Transactions[Transaction code])</f>
        <v>015CGH</v>
      </c>
      <c r="BI259" s="11">
        <v>1</v>
      </c>
      <c r="BJ259" s="4" t="s">
        <v>483</v>
      </c>
      <c r="BK259" s="24" t="str">
        <f>_xlfn.XLOOKUP(Transformation[[#This Row],[Commodity from]],Commodities[Commodity code],Commodities[EnergyCode])</f>
        <v>GG</v>
      </c>
      <c r="BL259" s="4" t="s">
        <v>693</v>
      </c>
      <c r="BM259" s="4" t="s">
        <v>483</v>
      </c>
      <c r="BN259" s="24" t="str">
        <f>_xlfn.XLOOKUP(Transformation[[#This Row],[Commodity to]],Commodities[Commodity code],Commodities[EnergyCode])</f>
        <v>GG</v>
      </c>
      <c r="BO259" s="4" t="s">
        <v>1219</v>
      </c>
      <c r="BP259" s="16" t="s">
        <v>1493</v>
      </c>
      <c r="BQ259" s="33" t="str">
        <f>Transformation[[#This Row],[Commodity from]]&amp;Transformation[[#This Row],[Transaction from]]&amp;Transformation[[#This Row],[Commodity to]]&amp;Transformation[[#This Row],[Transaction to]]</f>
        <v>0360088310360015CGH</v>
      </c>
      <c r="BR259" s="26" t="str">
        <f>Transformation[[#This Row],[crfomid]]&amp;Transformation[[#This Row],[Transaction from]]&amp;"("&amp;Transformation[[#This Row],[Multiplier]]&amp;") -&gt; "&amp;Transformation[[#This Row],[ctoid]]&amp;Transformation[[#This Row],[Transaction to]]</f>
        <v>GG08831(1) -&gt; GG015CGH</v>
      </c>
    </row>
    <row r="260" spans="25:70" x14ac:dyDescent="0.45">
      <c r="Y260" s="5" t="s">
        <v>1022</v>
      </c>
      <c r="Z260" s="7" t="s">
        <v>1030</v>
      </c>
      <c r="AA260" s="4" t="s">
        <v>1339</v>
      </c>
      <c r="AB260" s="8" t="s">
        <v>1617</v>
      </c>
      <c r="AC260" s="24" t="str">
        <f>IFERROR(VLOOKUP(Transactions[[#This Row],[Parent code]],Transactions[[Transaction code]:[Transaction name]],2,0),"")</f>
        <v>CHP plants - fuel oil</v>
      </c>
      <c r="AD260" s="4" t="s">
        <v>189</v>
      </c>
      <c r="AE260" s="4" t="s">
        <v>922</v>
      </c>
      <c r="AF260" s="4" t="s">
        <v>642</v>
      </c>
      <c r="AG260" s="4" t="s">
        <v>1</v>
      </c>
      <c r="AH260" s="4" t="s">
        <v>696</v>
      </c>
      <c r="AI260" s="12" t="s">
        <v>1416</v>
      </c>
      <c r="AK260" s="24" t="str" cm="1">
        <f t="array" ref="AK260">IFERROR(INDEX(Transactions[[Transaction code]:[Transaction name]],_xlfn.XMATCH(Transactions[[#This Row],[Parent code]],Transactions[Transaction name],0),3),Transactions[[#This Row],[Transaction name]])</f>
        <v>CHP plants - Autoproducer - fuel oil</v>
      </c>
      <c r="AL260" s="24" t="str" cm="1">
        <f t="array" ref="AL260">IFERROR(INDEX(Transactions[[Transaction code]:[Transaction name]],_xlfn.XMATCH(INDEX(Transactions[[Transaction name]:[Parent code]],_xlfn.XMATCH(Transactions[[#This Row],[L1N]],Transactions[Transaction name],0),3),Transactions[Transaction code],0),2),Transactions[[#This Row],[L1N]])</f>
        <v>CHP plants - fuel oil</v>
      </c>
      <c r="AM260" s="24" t="str" cm="1">
        <f t="array" ref="AM260">IFERROR(INDEX(Transactions[[Transaction code]:[Transaction name]],_xlfn.XMATCH(INDEX(Transactions[[Transaction name]:[Parent code]],_xlfn.XMATCH(Transactions[[#This Row],[L2N]],Transactions[Transaction name],0),3),Transactions[Transaction code],0),2),Transactions[[#This Row],[L2N]])</f>
        <v>CHP plants</v>
      </c>
      <c r="AN260" s="24" t="str" cm="1">
        <f t="array" ref="AN260">IFERROR(INDEX(Transactions[[Transaction code]:[Transaction name]],_xlfn.XMATCH(INDEX(Transactions[[Transaction name]:[Parent code]],_xlfn.XMATCH(Transactions[[#This Row],[L3N]],Transactions[Transaction name],0),3),Transactions[Transaction code],0),2),Transactions[[#This Row],[L3N]])</f>
        <v>Electricity, CHP and heat plants (T)</v>
      </c>
      <c r="AO260" s="24" t="str" cm="1">
        <f t="array" ref="AO260">IFERROR(INDEX(Transactions[[Transaction code]:[Transaction name]],_xlfn.XMATCH(INDEX(Transactions[[Transaction name]:[Parent code]],_xlfn.XMATCH(Transactions[[#This Row],[L4N]],Transactions[Transaction name],0),3),Transactions[Transaction code],0),2),Transactions[[#This Row],[L4N]])</f>
        <v>Transformation</v>
      </c>
      <c r="AP260" s="24" t="str" cm="1">
        <f t="array" ref="AP260">IFERROR(INDEX(Transactions[[Transaction code]:[Transaction name]],_xlfn.XMATCH(INDEX(Transactions[[Transaction name]:[Parent code]],_xlfn.XMATCH(Transactions[[#This Row],[L5N]],Transactions[Transaction name],0),3),Transactions[Transaction code],0),2),Transactions[[#This Row],[L5N]])</f>
        <v>Transformation</v>
      </c>
      <c r="AQ260" s="24" t="str" cm="1">
        <f t="array" ref="AQ260">IFERROR(INDEX(Transactions[[Transaction code]:[Transaction name]],_xlfn.XMATCH(INDEX(Transactions[[Transaction name]:[Parent code]],_xlfn.XMATCH(Transactions[[#This Row],[L6N]],Transactions[Transaction name],0),3),Transactions[Transaction code],0),2),Transactions[[#This Row],[L6N]])</f>
        <v>Transformation</v>
      </c>
      <c r="AR260" s="28" t="str">
        <f>IF(Transactions[[#This Row],[L7N]]=Transactions[[#This Row],[L6N]],Transactions[[#This Row],[L7N]],IF(Transactions[[#This Row],[L6N]]=Transactions[[#This Row],[L5N]],Transactions[[#This Row],[L6N]],IF(Transactions[[#This Row],[L5N]]=Transactions[[#This Row],[L4N]],Transactions[[#This Row],[L5N]],IF(Transactions[[#This Row],[L4N]]=Transactions[[#This Row],[L3N]],Transactions[[#This Row],[L4N]],IF(Transactions[[#This Row],[L3N]]=Transactions[[#This Row],[L2N]],Transactions[[#This Row],[L3N]],IF(Transactions[[#This Row],[L2N]]=Transactions[[#This Row],[L1N]],Transactions[[#This Row],[L2N]],IF(Transactions[[#This Row],[L1N]]=Transactions[[#This Row],[Transaction name]],Transactions[[#This Row],[L1N]],Transactions[[#This Row],[Transaction name]])))))))</f>
        <v>Transformation</v>
      </c>
      <c r="AS260" s="24" t="str">
        <f>IF(Transactions[[#This Row],[Level 0]]=Transactions[[#This Row],[Transaction name]],Transactions[[#This Row],[Transaction name]],IF(Transactions[[#This Row],[Level 0]]=Transactions[[#This Row],[L1N]],Transactions[[#This Row],[Transaction name]],IF(Transactions[[#This Row],[Level 0]]=Transactions[[#This Row],[L2N]],Transactions[[#This Row],[L1N]],IF(Transactions[[#This Row],[Level 0]]=Transactions[[#This Row],[L3N]],Transactions[[#This Row],[L2N]],IF(Transactions[[#This Row],[Level 0]]=Transactions[[#This Row],[L4N]],Transactions[[#This Row],[L3N]],IF(Transactions[[#This Row],[Level 0]]=Transactions[[#This Row],[L5N]],Transactions[[#This Row],[L4N]],IF(Transactions[[#This Row],[Level 0]]=Transactions[[#This Row],[L6N]],Transactions[[#This Row],[L5N]],IF(Transactions[[#This Row],[Level 0]]=Transactions[[#This Row],[L7N]],Transactions[[#This Row],[L6N]],Transactions[[#This Row],[L7N]]))))))))</f>
        <v>Electricity, CHP and heat plants (T)</v>
      </c>
      <c r="AT260" s="24" t="str">
        <f>IF(Transactions[[#This Row],[Level 1]]=Transactions[[#This Row],[Transaction name]],Transactions[[#This Row],[Transaction name]],IF(Transactions[[#This Row],[Level 1]]=Transactions[[#This Row],[L1N]],Transactions[[#This Row],[Transaction name]],IF(Transactions[[#This Row],[Level 1]]=Transactions[[#This Row],[L2N]],Transactions[[#This Row],[L1N]],IF(Transactions[[#This Row],[Level 1]]=Transactions[[#This Row],[L3N]],Transactions[[#This Row],[L2N]],IF(Transactions[[#This Row],[Level 1]]=Transactions[[#This Row],[L4N]],Transactions[[#This Row],[L3N]],IF(Transactions[[#This Row],[Level 1]]=Transactions[[#This Row],[L5N]],Transactions[[#This Row],[L4N]],IF(Transactions[[#This Row],[Level 1]]=Transactions[[#This Row],[L6N]],Transactions[[#This Row],[L5N]],IF(Transactions[[#This Row],[Level 1]]=Transactions[[#This Row],[L7N]],Transactions[[#This Row],[L6N]],Transactions[[#This Row],[L7N]]))))))))</f>
        <v>CHP plants</v>
      </c>
      <c r="AU260" s="24" t="str">
        <f>IF(Transactions[[#This Row],[Level 2]]=Transactions[[#This Row],[Transaction name]],Transactions[[#This Row],[Transaction name]],IF(Transactions[[#This Row],[Level 2]]=Transactions[[#This Row],[L1N]],Transactions[[#This Row],[Transaction name]],IF(Transactions[[#This Row],[Level 2]]=Transactions[[#This Row],[L2N]],Transactions[[#This Row],[L1N]],IF(Transactions[[#This Row],[Level 2]]=Transactions[[#This Row],[L3N]],Transactions[[#This Row],[L2N]],IF(Transactions[[#This Row],[Level 2]]=Transactions[[#This Row],[L4N]],Transactions[[#This Row],[L3N]],IF(Transactions[[#This Row],[Level 2]]=Transactions[[#This Row],[L5N]],Transactions[[#This Row],[L4N]],IF(Transactions[[#This Row],[Level 2]]=Transactions[[#This Row],[L6N]],Transactions[[#This Row],[L5N]],IF(Transactions[[#This Row],[Level 2]]=Transactions[[#This Row],[L7N]],Transactions[[#This Row],[L6N]],Transactions[[#This Row],[L7N]]))))))))</f>
        <v>CHP plants - fuel oil</v>
      </c>
      <c r="AV260" s="24" t="str">
        <f>IF(Transactions[[#This Row],[Level 3]]=Transactions[[#This Row],[Transaction name]],Transactions[[#This Row],[Transaction name]],IF(Transactions[[#This Row],[Level 3]]=Transactions[[#This Row],[L1N]],Transactions[[#This Row],[Transaction name]],IF(Transactions[[#This Row],[Level 3]]=Transactions[[#This Row],[L2N]],Transactions[[#This Row],[L1N]],IF(Transactions[[#This Row],[Level 3]]=Transactions[[#This Row],[L3N]],Transactions[[#This Row],[L2N]],IF(Transactions[[#This Row],[Level 3]]=Transactions[[#This Row],[L4N]],Transactions[[#This Row],[L3N]],IF(Transactions[[#This Row],[Level 3]]=Transactions[[#This Row],[L5N]],Transactions[[#This Row],[L4N]],IF(Transactions[[#This Row],[Level 3]]=Transactions[[#This Row],[L6N]],Transactions[[#This Row],[L5N]],IF(Transactions[[#This Row],[Level 3]]=Transactions[[#This Row],[L7N]],Transactions[[#This Row],[L6N]],Transactions[[#This Row],[L7N]]))))))))</f>
        <v>CHP plants - Autoproducer - fuel oil</v>
      </c>
      <c r="AW260" s="24" t="str">
        <f>IF(Transactions[[#This Row],[Level 4]]=Transactions[[#This Row],[Transaction name]],Transactions[[#This Row],[Transaction name]],IF(Transactions[[#This Row],[Level 4]]=Transactions[[#This Row],[L1N]],Transactions[[#This Row],[Transaction name]],IF(Transactions[[#This Row],[Level 4]]=Transactions[[#This Row],[L2N]],Transactions[[#This Row],[L1N]],IF(Transactions[[#This Row],[Level 4]]=Transactions[[#This Row],[L3N]],Transactions[[#This Row],[L2N]],IF(Transactions[[#This Row],[Level 4]]=Transactions[[#This Row],[L4N]],Transactions[[#This Row],[L3N]],IF(Transactions[[#This Row],[Level 4]]=Transactions[[#This Row],[L5N]],Transactions[[#This Row],[L4N]],IF(Transactions[[#This Row],[Level 4]]=Transactions[[#This Row],[L6N]],Transactions[[#This Row],[L5N]],IF(Transactions[[#This Row],[Level 4]]=Transactions[[#This Row],[L7N]],Transactions[[#This Row],[L6N]],Transactions[[#This Row],[L7N]]))))))))</f>
        <v>CHP plants - Autoproducer - fuel oil</v>
      </c>
      <c r="AX260" s="24" t="str">
        <f>IF(Transactions[[#This Row],[Level 5]]=Transactions[[#This Row],[Transaction name]],Transactions[[#This Row],[Transaction name]],IF(Transactions[[#This Row],[Level 5]]=Transactions[[#This Row],[L1N]],Transactions[[#This Row],[Transaction name]],IF(Transactions[[#This Row],[Level 5]]=Transactions[[#This Row],[L2N]],Transactions[[#This Row],[L1N]],IF(Transactions[[#This Row],[Level 5]]=Transactions[[#This Row],[L3N]],Transactions[[#This Row],[L2N]],IF(Transactions[[#This Row],[Level 5]]=Transactions[[#This Row],[L4N]],Transactions[[#This Row],[L3N]],IF(Transactions[[#This Row],[Level 5]]=Transactions[[#This Row],[L5N]],Transactions[[#This Row],[L4N]],IF(Transactions[[#This Row],[Level 5]]=Transactions[[#This Row],[L6N]],Transactions[[#This Row],[L5N]],IF(Transactions[[#This Row],[Level 5]]=Transactions[[#This Row],[L7N]],Transactions[[#This Row],[L6N]],Transactions[[#This Row],[L7N]]))))))))</f>
        <v>CHP plants - Autoproducer - fuel oil</v>
      </c>
      <c r="AY260" s="24" t="str">
        <f>IF(Transactions[[#This Row],[Level 6]]=Transactions[[#This Row],[Transaction name]],Transactions[[#This Row],[Transaction name]],IF(Transactions[[#This Row],[Level 6]]=Transactions[[#This Row],[L1N]],Transactions[[#This Row],[Transaction name]],IF(Transactions[[#This Row],[Level 6]]=Transactions[[#This Row],[L2N]],Transactions[[#This Row],[L1N]],IF(Transactions[[#This Row],[Level 6]]=Transactions[[#This Row],[L3N]],Transactions[[#This Row],[L2N]],IF(Transactions[[#This Row],[Level 6]]=Transactions[[#This Row],[L4N]],Transactions[[#This Row],[L3N]],IF(Transactions[[#This Row],[Level 6]]=Transactions[[#This Row],[L5N]],Transactions[[#This Row],[L4N]],IF(Transactions[[#This Row],[Level 6]]=Transactions[[#This Row],[L6N]],Transactions[[#This Row],[L5N]],IF(Transactions[[#This Row],[Level 6]]=Transactions[[#This Row],[L7N]],Transactions[[#This Row],[L6N]],Transactions[[#This Row],[L7N]]))))))))</f>
        <v>CHP plants - Autoproducer - fuel oil</v>
      </c>
      <c r="BE260" s="26" t="str">
        <f>_xlfn.XLOOKUP(Transformation[[#This Row],[cfrom]],Commodities[Commodity],Commodities[Commodity code])</f>
        <v>4200</v>
      </c>
      <c r="BF260" s="26" t="str">
        <f>_xlfn.XLOOKUP(Transformation[[#This Row],[tfrom]],Transactions[Transaction name],Transactions[Transaction code])</f>
        <v>08831</v>
      </c>
      <c r="BG260" s="26" t="str">
        <f>_xlfn.XLOOKUP(Transformation[[#This Row],[cto]],Commodities[Commodity],Commodities[Commodity code])</f>
        <v>4200</v>
      </c>
      <c r="BH260" s="26" t="str">
        <f>_xlfn.XLOOKUP(Transformation[[#This Row],[tto]],Transactions[Transaction name],Transactions[Transaction code])</f>
        <v>015COH</v>
      </c>
      <c r="BI260" s="11">
        <v>1</v>
      </c>
      <c r="BJ260" s="4" t="s">
        <v>435</v>
      </c>
      <c r="BK260" s="24" t="str">
        <f>_xlfn.XLOOKUP(Transformation[[#This Row],[Commodity from]],Commodities[Commodity code],Commodities[EnergyCode])</f>
        <v>GL</v>
      </c>
      <c r="BL260" s="4" t="s">
        <v>693</v>
      </c>
      <c r="BM260" s="4" t="s">
        <v>435</v>
      </c>
      <c r="BN260" s="24" t="str">
        <f>_xlfn.XLOOKUP(Transformation[[#This Row],[Commodity to]],Commodities[Commodity code],Commodities[EnergyCode])</f>
        <v>GL</v>
      </c>
      <c r="BO260" s="4" t="s">
        <v>1227</v>
      </c>
      <c r="BP260" s="16" t="s">
        <v>1493</v>
      </c>
      <c r="BQ260" s="33" t="str">
        <f>Transformation[[#This Row],[Commodity from]]&amp;Transformation[[#This Row],[Transaction from]]&amp;Transformation[[#This Row],[Commodity to]]&amp;Transformation[[#This Row],[Transaction to]]</f>
        <v>4200088314200015COH</v>
      </c>
      <c r="BR260" s="26" t="str">
        <f>Transformation[[#This Row],[crfomid]]&amp;Transformation[[#This Row],[Transaction from]]&amp;"("&amp;Transformation[[#This Row],[Multiplier]]&amp;") -&gt; "&amp;Transformation[[#This Row],[ctoid]]&amp;Transformation[[#This Row],[Transaction to]]</f>
        <v>GL08831(1) -&gt; GL015COH</v>
      </c>
    </row>
    <row r="261" spans="25:70" x14ac:dyDescent="0.45">
      <c r="Y261" s="19" t="s">
        <v>1617</v>
      </c>
      <c r="Z261" s="18" t="s">
        <v>1339</v>
      </c>
      <c r="AA261" s="18" t="s">
        <v>1339</v>
      </c>
      <c r="AB261" s="19" t="s">
        <v>1627</v>
      </c>
      <c r="AC261" s="26" t="str">
        <f>IFERROR(VLOOKUP(Transactions[[#This Row],[Parent code]],Transactions[[Transaction code]:[Transaction name]],2,0),"")</f>
        <v>CHP plants</v>
      </c>
      <c r="AD261" s="18" t="s">
        <v>189</v>
      </c>
      <c r="AE261" s="18" t="s">
        <v>922</v>
      </c>
      <c r="AF261" s="18" t="s">
        <v>642</v>
      </c>
      <c r="AG261" s="18" t="s">
        <v>1</v>
      </c>
      <c r="AH261" s="18" t="s">
        <v>696</v>
      </c>
      <c r="AI261" s="18" t="s">
        <v>1416</v>
      </c>
      <c r="AJ261" s="18"/>
      <c r="AK261" s="26" t="str" cm="1">
        <f t="array" ref="AK261">IFERROR(INDEX(Transactions[[Transaction code]:[Transaction name]],_xlfn.XMATCH(Transactions[[#This Row],[Parent code]],Transactions[Transaction name],0),3),Transactions[[#This Row],[Transaction name]])</f>
        <v>CHP plants - fuel oil</v>
      </c>
      <c r="AL261" s="26" t="str" cm="1">
        <f t="array" ref="AL261">IFERROR(INDEX(Transactions[[Transaction code]:[Transaction name]],_xlfn.XMATCH(INDEX(Transactions[[Transaction name]:[Parent code]],_xlfn.XMATCH(Transactions[[#This Row],[L1N]],Transactions[Transaction name],0),3),Transactions[Transaction code],0),2),Transactions[[#This Row],[L1N]])</f>
        <v>CHP plants</v>
      </c>
      <c r="AM261" s="26" t="str" cm="1">
        <f t="array" ref="AM261">IFERROR(INDEX(Transactions[[Transaction code]:[Transaction name]],_xlfn.XMATCH(INDEX(Transactions[[Transaction name]:[Parent code]],_xlfn.XMATCH(Transactions[[#This Row],[L2N]],Transactions[Transaction name],0),3),Transactions[Transaction code],0),2),Transactions[[#This Row],[L2N]])</f>
        <v>Electricity, CHP and heat plants (T)</v>
      </c>
      <c r="AN261" s="26" t="str" cm="1">
        <f t="array" ref="AN261">IFERROR(INDEX(Transactions[[Transaction code]:[Transaction name]],_xlfn.XMATCH(INDEX(Transactions[[Transaction name]:[Parent code]],_xlfn.XMATCH(Transactions[[#This Row],[L3N]],Transactions[Transaction name],0),3),Transactions[Transaction code],0),2),Transactions[[#This Row],[L3N]])</f>
        <v>Transformation</v>
      </c>
      <c r="AO261" s="26" t="str" cm="1">
        <f t="array" ref="AO261">IFERROR(INDEX(Transactions[[Transaction code]:[Transaction name]],_xlfn.XMATCH(INDEX(Transactions[[Transaction name]:[Parent code]],_xlfn.XMATCH(Transactions[[#This Row],[L4N]],Transactions[Transaction name],0),3),Transactions[Transaction code],0),2),Transactions[[#This Row],[L4N]])</f>
        <v>Transformation</v>
      </c>
      <c r="AP261" s="26" t="str" cm="1">
        <f t="array" ref="AP261">IFERROR(INDEX(Transactions[[Transaction code]:[Transaction name]],_xlfn.XMATCH(INDEX(Transactions[[Transaction name]:[Parent code]],_xlfn.XMATCH(Transactions[[#This Row],[L5N]],Transactions[Transaction name],0),3),Transactions[Transaction code],0),2),Transactions[[#This Row],[L5N]])</f>
        <v>Transformation</v>
      </c>
      <c r="AQ261" s="26" t="str" cm="1">
        <f t="array" ref="AQ261">IFERROR(INDEX(Transactions[[Transaction code]:[Transaction name]],_xlfn.XMATCH(INDEX(Transactions[[Transaction name]:[Parent code]],_xlfn.XMATCH(Transactions[[#This Row],[L6N]],Transactions[Transaction name],0),3),Transactions[Transaction code],0),2),Transactions[[#This Row],[L6N]])</f>
        <v>Transformation</v>
      </c>
      <c r="AR261" s="29" t="str">
        <f>IF(Transactions[[#This Row],[L7N]]=Transactions[[#This Row],[L6N]],Transactions[[#This Row],[L7N]],IF(Transactions[[#This Row],[L6N]]=Transactions[[#This Row],[L5N]],Transactions[[#This Row],[L6N]],IF(Transactions[[#This Row],[L5N]]=Transactions[[#This Row],[L4N]],Transactions[[#This Row],[L5N]],IF(Transactions[[#This Row],[L4N]]=Transactions[[#This Row],[L3N]],Transactions[[#This Row],[L4N]],IF(Transactions[[#This Row],[L3N]]=Transactions[[#This Row],[L2N]],Transactions[[#This Row],[L3N]],IF(Transactions[[#This Row],[L2N]]=Transactions[[#This Row],[L1N]],Transactions[[#This Row],[L2N]],IF(Transactions[[#This Row],[L1N]]=Transactions[[#This Row],[Transaction name]],Transactions[[#This Row],[L1N]],Transactions[[#This Row],[Transaction name]])))))))</f>
        <v>Transformation</v>
      </c>
      <c r="AS261" s="26" t="str">
        <f>IF(Transactions[[#This Row],[Level 0]]=Transactions[[#This Row],[Transaction name]],Transactions[[#This Row],[Transaction name]],IF(Transactions[[#This Row],[Level 0]]=Transactions[[#This Row],[L1N]],Transactions[[#This Row],[Transaction name]],IF(Transactions[[#This Row],[Level 0]]=Transactions[[#This Row],[L2N]],Transactions[[#This Row],[L1N]],IF(Transactions[[#This Row],[Level 0]]=Transactions[[#This Row],[L3N]],Transactions[[#This Row],[L2N]],IF(Transactions[[#This Row],[Level 0]]=Transactions[[#This Row],[L4N]],Transactions[[#This Row],[L3N]],IF(Transactions[[#This Row],[Level 0]]=Transactions[[#This Row],[L5N]],Transactions[[#This Row],[L4N]],IF(Transactions[[#This Row],[Level 0]]=Transactions[[#This Row],[L6N]],Transactions[[#This Row],[L5N]],IF(Transactions[[#This Row],[Level 0]]=Transactions[[#This Row],[L7N]],Transactions[[#This Row],[L6N]],Transactions[[#This Row],[L7N]]))))))))</f>
        <v>Electricity, CHP and heat plants (T)</v>
      </c>
      <c r="AT261" s="26" t="str">
        <f>IF(Transactions[[#This Row],[Level 1]]=Transactions[[#This Row],[Transaction name]],Transactions[[#This Row],[Transaction name]],IF(Transactions[[#This Row],[Level 1]]=Transactions[[#This Row],[L1N]],Transactions[[#This Row],[Transaction name]],IF(Transactions[[#This Row],[Level 1]]=Transactions[[#This Row],[L2N]],Transactions[[#This Row],[L1N]],IF(Transactions[[#This Row],[Level 1]]=Transactions[[#This Row],[L3N]],Transactions[[#This Row],[L2N]],IF(Transactions[[#This Row],[Level 1]]=Transactions[[#This Row],[L4N]],Transactions[[#This Row],[L3N]],IF(Transactions[[#This Row],[Level 1]]=Transactions[[#This Row],[L5N]],Transactions[[#This Row],[L4N]],IF(Transactions[[#This Row],[Level 1]]=Transactions[[#This Row],[L6N]],Transactions[[#This Row],[L5N]],IF(Transactions[[#This Row],[Level 1]]=Transactions[[#This Row],[L7N]],Transactions[[#This Row],[L6N]],Transactions[[#This Row],[L7N]]))))))))</f>
        <v>CHP plants</v>
      </c>
      <c r="AU261" s="26" t="str">
        <f>IF(Transactions[[#This Row],[Level 2]]=Transactions[[#This Row],[Transaction name]],Transactions[[#This Row],[Transaction name]],IF(Transactions[[#This Row],[Level 2]]=Transactions[[#This Row],[L1N]],Transactions[[#This Row],[Transaction name]],IF(Transactions[[#This Row],[Level 2]]=Transactions[[#This Row],[L2N]],Transactions[[#This Row],[L1N]],IF(Transactions[[#This Row],[Level 2]]=Transactions[[#This Row],[L3N]],Transactions[[#This Row],[L2N]],IF(Transactions[[#This Row],[Level 2]]=Transactions[[#This Row],[L4N]],Transactions[[#This Row],[L3N]],IF(Transactions[[#This Row],[Level 2]]=Transactions[[#This Row],[L5N]],Transactions[[#This Row],[L4N]],IF(Transactions[[#This Row],[Level 2]]=Transactions[[#This Row],[L6N]],Transactions[[#This Row],[L5N]],IF(Transactions[[#This Row],[Level 2]]=Transactions[[#This Row],[L7N]],Transactions[[#This Row],[L6N]],Transactions[[#This Row],[L7N]]))))))))</f>
        <v>CHP plants - fuel oil</v>
      </c>
      <c r="AV261" s="26" t="str">
        <f>IF(Transactions[[#This Row],[Level 3]]=Transactions[[#This Row],[Transaction name]],Transactions[[#This Row],[Transaction name]],IF(Transactions[[#This Row],[Level 3]]=Transactions[[#This Row],[L1N]],Transactions[[#This Row],[Transaction name]],IF(Transactions[[#This Row],[Level 3]]=Transactions[[#This Row],[L2N]],Transactions[[#This Row],[L1N]],IF(Transactions[[#This Row],[Level 3]]=Transactions[[#This Row],[L3N]],Transactions[[#This Row],[L2N]],IF(Transactions[[#This Row],[Level 3]]=Transactions[[#This Row],[L4N]],Transactions[[#This Row],[L3N]],IF(Transactions[[#This Row],[Level 3]]=Transactions[[#This Row],[L5N]],Transactions[[#This Row],[L4N]],IF(Transactions[[#This Row],[Level 3]]=Transactions[[#This Row],[L6N]],Transactions[[#This Row],[L5N]],IF(Transactions[[#This Row],[Level 3]]=Transactions[[#This Row],[L7N]],Transactions[[#This Row],[L6N]],Transactions[[#This Row],[L7N]]))))))))</f>
        <v>CHP plants - fuel oil</v>
      </c>
      <c r="AW261" s="26" t="str">
        <f>IF(Transactions[[#This Row],[Level 4]]=Transactions[[#This Row],[Transaction name]],Transactions[[#This Row],[Transaction name]],IF(Transactions[[#This Row],[Level 4]]=Transactions[[#This Row],[L1N]],Transactions[[#This Row],[Transaction name]],IF(Transactions[[#This Row],[Level 4]]=Transactions[[#This Row],[L2N]],Transactions[[#This Row],[L1N]],IF(Transactions[[#This Row],[Level 4]]=Transactions[[#This Row],[L3N]],Transactions[[#This Row],[L2N]],IF(Transactions[[#This Row],[Level 4]]=Transactions[[#This Row],[L4N]],Transactions[[#This Row],[L3N]],IF(Transactions[[#This Row],[Level 4]]=Transactions[[#This Row],[L5N]],Transactions[[#This Row],[L4N]],IF(Transactions[[#This Row],[Level 4]]=Transactions[[#This Row],[L6N]],Transactions[[#This Row],[L5N]],IF(Transactions[[#This Row],[Level 4]]=Transactions[[#This Row],[L7N]],Transactions[[#This Row],[L6N]],Transactions[[#This Row],[L7N]]))))))))</f>
        <v>CHP plants - fuel oil</v>
      </c>
      <c r="AX261" s="26" t="str">
        <f>IF(Transactions[[#This Row],[Level 5]]=Transactions[[#This Row],[Transaction name]],Transactions[[#This Row],[Transaction name]],IF(Transactions[[#This Row],[Level 5]]=Transactions[[#This Row],[L1N]],Transactions[[#This Row],[Transaction name]],IF(Transactions[[#This Row],[Level 5]]=Transactions[[#This Row],[L2N]],Transactions[[#This Row],[L1N]],IF(Transactions[[#This Row],[Level 5]]=Transactions[[#This Row],[L3N]],Transactions[[#This Row],[L2N]],IF(Transactions[[#This Row],[Level 5]]=Transactions[[#This Row],[L4N]],Transactions[[#This Row],[L3N]],IF(Transactions[[#This Row],[Level 5]]=Transactions[[#This Row],[L5N]],Transactions[[#This Row],[L4N]],IF(Transactions[[#This Row],[Level 5]]=Transactions[[#This Row],[L6N]],Transactions[[#This Row],[L5N]],IF(Transactions[[#This Row],[Level 5]]=Transactions[[#This Row],[L7N]],Transactions[[#This Row],[L6N]],Transactions[[#This Row],[L7N]]))))))))</f>
        <v>CHP plants - fuel oil</v>
      </c>
      <c r="AY261" s="26" t="str">
        <f>IF(Transactions[[#This Row],[Level 6]]=Transactions[[#This Row],[Transaction name]],Transactions[[#This Row],[Transaction name]],IF(Transactions[[#This Row],[Level 6]]=Transactions[[#This Row],[L1N]],Transactions[[#This Row],[Transaction name]],IF(Transactions[[#This Row],[Level 6]]=Transactions[[#This Row],[L2N]],Transactions[[#This Row],[L1N]],IF(Transactions[[#This Row],[Level 6]]=Transactions[[#This Row],[L3N]],Transactions[[#This Row],[L2N]],IF(Transactions[[#This Row],[Level 6]]=Transactions[[#This Row],[L4N]],Transactions[[#This Row],[L3N]],IF(Transactions[[#This Row],[Level 6]]=Transactions[[#This Row],[L5N]],Transactions[[#This Row],[L4N]],IF(Transactions[[#This Row],[Level 6]]=Transactions[[#This Row],[L6N]],Transactions[[#This Row],[L5N]],IF(Transactions[[#This Row],[Level 6]]=Transactions[[#This Row],[L7N]],Transactions[[#This Row],[L6N]],Transactions[[#This Row],[L7N]]))))))))</f>
        <v>CHP plants - fuel oil</v>
      </c>
      <c r="BE261" s="26" t="str">
        <f>_xlfn.XLOOKUP(Transformation[[#This Row],[cfrom]],Commodities[Commodity],Commodities[Commodity code])</f>
        <v>6100</v>
      </c>
      <c r="BF261" s="26" t="str">
        <f>_xlfn.XLOOKUP(Transformation[[#This Row],[tfrom]],Transactions[Transaction name],Transactions[Transaction code])</f>
        <v>08831</v>
      </c>
      <c r="BG261" s="26" t="str">
        <f>_xlfn.XLOOKUP(Transformation[[#This Row],[cto]],Commodities[Commodity],Commodities[Commodity code])</f>
        <v>6100</v>
      </c>
      <c r="BH261" s="26" t="str">
        <f>_xlfn.XLOOKUP(Transformation[[#This Row],[tto]],Transactions[Transaction name],Transactions[Transaction code])</f>
        <v>015ISWH</v>
      </c>
      <c r="BI261" s="11">
        <v>1</v>
      </c>
      <c r="BJ261" s="4" t="s">
        <v>291</v>
      </c>
      <c r="BK261" s="24" t="str">
        <f>_xlfn.XLOOKUP(Transformation[[#This Row],[Commodity from]],Commodities[Commodity code],Commodities[EnergyCode])</f>
        <v>IW</v>
      </c>
      <c r="BL261" s="4" t="s">
        <v>693</v>
      </c>
      <c r="BM261" s="4" t="s">
        <v>291</v>
      </c>
      <c r="BN261" s="24" t="str">
        <f>_xlfn.XLOOKUP(Transformation[[#This Row],[Commodity to]],Commodities[Commodity code],Commodities[EnergyCode])</f>
        <v>IW</v>
      </c>
      <c r="BO261" s="4" t="s">
        <v>1156</v>
      </c>
      <c r="BP261" s="16" t="s">
        <v>1493</v>
      </c>
      <c r="BQ261" s="33" t="str">
        <f>Transformation[[#This Row],[Commodity from]]&amp;Transformation[[#This Row],[Transaction from]]&amp;Transformation[[#This Row],[Commodity to]]&amp;Transformation[[#This Row],[Transaction to]]</f>
        <v>6100088316100015ISWH</v>
      </c>
      <c r="BR261" s="26" t="str">
        <f>Transformation[[#This Row],[crfomid]]&amp;Transformation[[#This Row],[Transaction from]]&amp;"("&amp;Transformation[[#This Row],[Multiplier]]&amp;") -&gt; "&amp;Transformation[[#This Row],[ctoid]]&amp;Transformation[[#This Row],[Transaction to]]</f>
        <v>IW08831(1) -&gt; IW015ISWH</v>
      </c>
    </row>
    <row r="262" spans="25:70" x14ac:dyDescent="0.45">
      <c r="Y262" s="5" t="s">
        <v>1018</v>
      </c>
      <c r="Z262" s="7" t="s">
        <v>1026</v>
      </c>
      <c r="AA262" s="4" t="s">
        <v>1339</v>
      </c>
      <c r="AB262" s="8" t="s">
        <v>1617</v>
      </c>
      <c r="AC262" s="24" t="str">
        <f>IFERROR(VLOOKUP(Transactions[[#This Row],[Parent code]],Transactions[[Transaction code]:[Transaction name]],2,0),"")</f>
        <v>CHP plants - fuel oil</v>
      </c>
      <c r="AD262" s="4" t="s">
        <v>189</v>
      </c>
      <c r="AE262" s="4" t="s">
        <v>922</v>
      </c>
      <c r="AF262" s="4" t="s">
        <v>642</v>
      </c>
      <c r="AG262" s="4" t="s">
        <v>1</v>
      </c>
      <c r="AH262" s="4" t="s">
        <v>696</v>
      </c>
      <c r="AI262" s="12" t="s">
        <v>1416</v>
      </c>
      <c r="AK262" s="24" t="str" cm="1">
        <f t="array" ref="AK262">IFERROR(INDEX(Transactions[[Transaction code]:[Transaction name]],_xlfn.XMATCH(Transactions[[#This Row],[Parent code]],Transactions[Transaction name],0),3),Transactions[[#This Row],[Transaction name]])</f>
        <v>CHP plants - Main activity - fuel oil</v>
      </c>
      <c r="AL262" s="24" t="str" cm="1">
        <f t="array" ref="AL262">IFERROR(INDEX(Transactions[[Transaction code]:[Transaction name]],_xlfn.XMATCH(INDEX(Transactions[[Transaction name]:[Parent code]],_xlfn.XMATCH(Transactions[[#This Row],[L1N]],Transactions[Transaction name],0),3),Transactions[Transaction code],0),2),Transactions[[#This Row],[L1N]])</f>
        <v>CHP plants - fuel oil</v>
      </c>
      <c r="AM262" s="24" t="str" cm="1">
        <f t="array" ref="AM262">IFERROR(INDEX(Transactions[[Transaction code]:[Transaction name]],_xlfn.XMATCH(INDEX(Transactions[[Transaction name]:[Parent code]],_xlfn.XMATCH(Transactions[[#This Row],[L2N]],Transactions[Transaction name],0),3),Transactions[Transaction code],0),2),Transactions[[#This Row],[L2N]])</f>
        <v>CHP plants</v>
      </c>
      <c r="AN262" s="24" t="str" cm="1">
        <f t="array" ref="AN262">IFERROR(INDEX(Transactions[[Transaction code]:[Transaction name]],_xlfn.XMATCH(INDEX(Transactions[[Transaction name]:[Parent code]],_xlfn.XMATCH(Transactions[[#This Row],[L3N]],Transactions[Transaction name],0),3),Transactions[Transaction code],0),2),Transactions[[#This Row],[L3N]])</f>
        <v>Electricity, CHP and heat plants (T)</v>
      </c>
      <c r="AO262" s="24" t="str" cm="1">
        <f t="array" ref="AO262">IFERROR(INDEX(Transactions[[Transaction code]:[Transaction name]],_xlfn.XMATCH(INDEX(Transactions[[Transaction name]:[Parent code]],_xlfn.XMATCH(Transactions[[#This Row],[L4N]],Transactions[Transaction name],0),3),Transactions[Transaction code],0),2),Transactions[[#This Row],[L4N]])</f>
        <v>Transformation</v>
      </c>
      <c r="AP262" s="24" t="str" cm="1">
        <f t="array" ref="AP262">IFERROR(INDEX(Transactions[[Transaction code]:[Transaction name]],_xlfn.XMATCH(INDEX(Transactions[[Transaction name]:[Parent code]],_xlfn.XMATCH(Transactions[[#This Row],[L5N]],Transactions[Transaction name],0),3),Transactions[Transaction code],0),2),Transactions[[#This Row],[L5N]])</f>
        <v>Transformation</v>
      </c>
      <c r="AQ262" s="24" t="str" cm="1">
        <f t="array" ref="AQ262">IFERROR(INDEX(Transactions[[Transaction code]:[Transaction name]],_xlfn.XMATCH(INDEX(Transactions[[Transaction name]:[Parent code]],_xlfn.XMATCH(Transactions[[#This Row],[L6N]],Transactions[Transaction name],0),3),Transactions[Transaction code],0),2),Transactions[[#This Row],[L6N]])</f>
        <v>Transformation</v>
      </c>
      <c r="AR262" s="28" t="str">
        <f>IF(Transactions[[#This Row],[L7N]]=Transactions[[#This Row],[L6N]],Transactions[[#This Row],[L7N]],IF(Transactions[[#This Row],[L6N]]=Transactions[[#This Row],[L5N]],Transactions[[#This Row],[L6N]],IF(Transactions[[#This Row],[L5N]]=Transactions[[#This Row],[L4N]],Transactions[[#This Row],[L5N]],IF(Transactions[[#This Row],[L4N]]=Transactions[[#This Row],[L3N]],Transactions[[#This Row],[L4N]],IF(Transactions[[#This Row],[L3N]]=Transactions[[#This Row],[L2N]],Transactions[[#This Row],[L3N]],IF(Transactions[[#This Row],[L2N]]=Transactions[[#This Row],[L1N]],Transactions[[#This Row],[L2N]],IF(Transactions[[#This Row],[L1N]]=Transactions[[#This Row],[Transaction name]],Transactions[[#This Row],[L1N]],Transactions[[#This Row],[Transaction name]])))))))</f>
        <v>Transformation</v>
      </c>
      <c r="AS262" s="24" t="str">
        <f>IF(Transactions[[#This Row],[Level 0]]=Transactions[[#This Row],[Transaction name]],Transactions[[#This Row],[Transaction name]],IF(Transactions[[#This Row],[Level 0]]=Transactions[[#This Row],[L1N]],Transactions[[#This Row],[Transaction name]],IF(Transactions[[#This Row],[Level 0]]=Transactions[[#This Row],[L2N]],Transactions[[#This Row],[L1N]],IF(Transactions[[#This Row],[Level 0]]=Transactions[[#This Row],[L3N]],Transactions[[#This Row],[L2N]],IF(Transactions[[#This Row],[Level 0]]=Transactions[[#This Row],[L4N]],Transactions[[#This Row],[L3N]],IF(Transactions[[#This Row],[Level 0]]=Transactions[[#This Row],[L5N]],Transactions[[#This Row],[L4N]],IF(Transactions[[#This Row],[Level 0]]=Transactions[[#This Row],[L6N]],Transactions[[#This Row],[L5N]],IF(Transactions[[#This Row],[Level 0]]=Transactions[[#This Row],[L7N]],Transactions[[#This Row],[L6N]],Transactions[[#This Row],[L7N]]))))))))</f>
        <v>Electricity, CHP and heat plants (T)</v>
      </c>
      <c r="AT262" s="24" t="str">
        <f>IF(Transactions[[#This Row],[Level 1]]=Transactions[[#This Row],[Transaction name]],Transactions[[#This Row],[Transaction name]],IF(Transactions[[#This Row],[Level 1]]=Transactions[[#This Row],[L1N]],Transactions[[#This Row],[Transaction name]],IF(Transactions[[#This Row],[Level 1]]=Transactions[[#This Row],[L2N]],Transactions[[#This Row],[L1N]],IF(Transactions[[#This Row],[Level 1]]=Transactions[[#This Row],[L3N]],Transactions[[#This Row],[L2N]],IF(Transactions[[#This Row],[Level 1]]=Transactions[[#This Row],[L4N]],Transactions[[#This Row],[L3N]],IF(Transactions[[#This Row],[Level 1]]=Transactions[[#This Row],[L5N]],Transactions[[#This Row],[L4N]],IF(Transactions[[#This Row],[Level 1]]=Transactions[[#This Row],[L6N]],Transactions[[#This Row],[L5N]],IF(Transactions[[#This Row],[Level 1]]=Transactions[[#This Row],[L7N]],Transactions[[#This Row],[L6N]],Transactions[[#This Row],[L7N]]))))))))</f>
        <v>CHP plants</v>
      </c>
      <c r="AU262" s="24" t="str">
        <f>IF(Transactions[[#This Row],[Level 2]]=Transactions[[#This Row],[Transaction name]],Transactions[[#This Row],[Transaction name]],IF(Transactions[[#This Row],[Level 2]]=Transactions[[#This Row],[L1N]],Transactions[[#This Row],[Transaction name]],IF(Transactions[[#This Row],[Level 2]]=Transactions[[#This Row],[L2N]],Transactions[[#This Row],[L1N]],IF(Transactions[[#This Row],[Level 2]]=Transactions[[#This Row],[L3N]],Transactions[[#This Row],[L2N]],IF(Transactions[[#This Row],[Level 2]]=Transactions[[#This Row],[L4N]],Transactions[[#This Row],[L3N]],IF(Transactions[[#This Row],[Level 2]]=Transactions[[#This Row],[L5N]],Transactions[[#This Row],[L4N]],IF(Transactions[[#This Row],[Level 2]]=Transactions[[#This Row],[L6N]],Transactions[[#This Row],[L5N]],IF(Transactions[[#This Row],[Level 2]]=Transactions[[#This Row],[L7N]],Transactions[[#This Row],[L6N]],Transactions[[#This Row],[L7N]]))))))))</f>
        <v>CHP plants - fuel oil</v>
      </c>
      <c r="AV262" s="24" t="str">
        <f>IF(Transactions[[#This Row],[Level 3]]=Transactions[[#This Row],[Transaction name]],Transactions[[#This Row],[Transaction name]],IF(Transactions[[#This Row],[Level 3]]=Transactions[[#This Row],[L1N]],Transactions[[#This Row],[Transaction name]],IF(Transactions[[#This Row],[Level 3]]=Transactions[[#This Row],[L2N]],Transactions[[#This Row],[L1N]],IF(Transactions[[#This Row],[Level 3]]=Transactions[[#This Row],[L3N]],Transactions[[#This Row],[L2N]],IF(Transactions[[#This Row],[Level 3]]=Transactions[[#This Row],[L4N]],Transactions[[#This Row],[L3N]],IF(Transactions[[#This Row],[Level 3]]=Transactions[[#This Row],[L5N]],Transactions[[#This Row],[L4N]],IF(Transactions[[#This Row],[Level 3]]=Transactions[[#This Row],[L6N]],Transactions[[#This Row],[L5N]],IF(Transactions[[#This Row],[Level 3]]=Transactions[[#This Row],[L7N]],Transactions[[#This Row],[L6N]],Transactions[[#This Row],[L7N]]))))))))</f>
        <v>CHP plants - Main activity - fuel oil</v>
      </c>
      <c r="AW262" s="24" t="str">
        <f>IF(Transactions[[#This Row],[Level 4]]=Transactions[[#This Row],[Transaction name]],Transactions[[#This Row],[Transaction name]],IF(Transactions[[#This Row],[Level 4]]=Transactions[[#This Row],[L1N]],Transactions[[#This Row],[Transaction name]],IF(Transactions[[#This Row],[Level 4]]=Transactions[[#This Row],[L2N]],Transactions[[#This Row],[L1N]],IF(Transactions[[#This Row],[Level 4]]=Transactions[[#This Row],[L3N]],Transactions[[#This Row],[L2N]],IF(Transactions[[#This Row],[Level 4]]=Transactions[[#This Row],[L4N]],Transactions[[#This Row],[L3N]],IF(Transactions[[#This Row],[Level 4]]=Transactions[[#This Row],[L5N]],Transactions[[#This Row],[L4N]],IF(Transactions[[#This Row],[Level 4]]=Transactions[[#This Row],[L6N]],Transactions[[#This Row],[L5N]],IF(Transactions[[#This Row],[Level 4]]=Transactions[[#This Row],[L7N]],Transactions[[#This Row],[L6N]],Transactions[[#This Row],[L7N]]))))))))</f>
        <v>CHP plants - Main activity - fuel oil</v>
      </c>
      <c r="AX262" s="24" t="str">
        <f>IF(Transactions[[#This Row],[Level 5]]=Transactions[[#This Row],[Transaction name]],Transactions[[#This Row],[Transaction name]],IF(Transactions[[#This Row],[Level 5]]=Transactions[[#This Row],[L1N]],Transactions[[#This Row],[Transaction name]],IF(Transactions[[#This Row],[Level 5]]=Transactions[[#This Row],[L2N]],Transactions[[#This Row],[L1N]],IF(Transactions[[#This Row],[Level 5]]=Transactions[[#This Row],[L3N]],Transactions[[#This Row],[L2N]],IF(Transactions[[#This Row],[Level 5]]=Transactions[[#This Row],[L4N]],Transactions[[#This Row],[L3N]],IF(Transactions[[#This Row],[Level 5]]=Transactions[[#This Row],[L5N]],Transactions[[#This Row],[L4N]],IF(Transactions[[#This Row],[Level 5]]=Transactions[[#This Row],[L6N]],Transactions[[#This Row],[L5N]],IF(Transactions[[#This Row],[Level 5]]=Transactions[[#This Row],[L7N]],Transactions[[#This Row],[L6N]],Transactions[[#This Row],[L7N]]))))))))</f>
        <v>CHP plants - Main activity - fuel oil</v>
      </c>
      <c r="AY262" s="24" t="str">
        <f>IF(Transactions[[#This Row],[Level 6]]=Transactions[[#This Row],[Transaction name]],Transactions[[#This Row],[Transaction name]],IF(Transactions[[#This Row],[Level 6]]=Transactions[[#This Row],[L1N]],Transactions[[#This Row],[Transaction name]],IF(Transactions[[#This Row],[Level 6]]=Transactions[[#This Row],[L2N]],Transactions[[#This Row],[L1N]],IF(Transactions[[#This Row],[Level 6]]=Transactions[[#This Row],[L3N]],Transactions[[#This Row],[L2N]],IF(Transactions[[#This Row],[Level 6]]=Transactions[[#This Row],[L4N]],Transactions[[#This Row],[L3N]],IF(Transactions[[#This Row],[Level 6]]=Transactions[[#This Row],[L5N]],Transactions[[#This Row],[L4N]],IF(Transactions[[#This Row],[Level 6]]=Transactions[[#This Row],[L6N]],Transactions[[#This Row],[L5N]],IF(Transactions[[#This Row],[Level 6]]=Transactions[[#This Row],[L7N]],Transactions[[#This Row],[L6N]],Transactions[[#This Row],[L7N]]))))))))</f>
        <v>CHP plants - Main activity - fuel oil</v>
      </c>
      <c r="BE262" s="26" t="str">
        <f>_xlfn.XLOOKUP(Transformation[[#This Row],[cfrom]],Commodities[Commodity],Commodities[Commodity code])</f>
        <v>4661</v>
      </c>
      <c r="BF262" s="26" t="str">
        <f>_xlfn.XLOOKUP(Transformation[[#This Row],[tfrom]],Transactions[Transaction name],Transactions[Transaction code])</f>
        <v>08831</v>
      </c>
      <c r="BG262" s="26" t="str">
        <f>_xlfn.XLOOKUP(Transformation[[#This Row],[cto]],Commodities[Commodity],Commodities[Commodity code])</f>
        <v>4661</v>
      </c>
      <c r="BH262" s="26" t="str">
        <f>_xlfn.XLOOKUP(Transformation[[#This Row],[tto]],Transactions[Transaction name],Transactions[Transaction code])</f>
        <v>015OPH</v>
      </c>
      <c r="BI262" s="11">
        <v>1</v>
      </c>
      <c r="BJ262" s="4" t="s">
        <v>381</v>
      </c>
      <c r="BK262" s="24" t="str">
        <f>_xlfn.XLOOKUP(Transformation[[#This Row],[Commodity from]],Commodities[Commodity code],Commodities[EnergyCode])</f>
        <v>JF</v>
      </c>
      <c r="BL262" s="4" t="s">
        <v>693</v>
      </c>
      <c r="BM262" s="4" t="s">
        <v>381</v>
      </c>
      <c r="BN262" s="24" t="str">
        <f>_xlfn.XLOOKUP(Transformation[[#This Row],[Commodity to]],Commodities[Commodity code],Commodities[EnergyCode])</f>
        <v>JF</v>
      </c>
      <c r="BO262" s="4" t="s">
        <v>1052</v>
      </c>
      <c r="BP262" s="16" t="s">
        <v>1493</v>
      </c>
      <c r="BQ262" s="33" t="str">
        <f>Transformation[[#This Row],[Commodity from]]&amp;Transformation[[#This Row],[Transaction from]]&amp;Transformation[[#This Row],[Commodity to]]&amp;Transformation[[#This Row],[Transaction to]]</f>
        <v>4661088314661015OPH</v>
      </c>
      <c r="BR262" s="26" t="str">
        <f>Transformation[[#This Row],[crfomid]]&amp;Transformation[[#This Row],[Transaction from]]&amp;"("&amp;Transformation[[#This Row],[Multiplier]]&amp;") -&gt; "&amp;Transformation[[#This Row],[ctoid]]&amp;Transformation[[#This Row],[Transaction to]]</f>
        <v>JF08831(1) -&gt; JF015OPH</v>
      </c>
    </row>
    <row r="263" spans="25:70" x14ac:dyDescent="0.45">
      <c r="Y263" s="5" t="s">
        <v>1253</v>
      </c>
      <c r="Z263" s="7" t="s">
        <v>1221</v>
      </c>
      <c r="AA263" s="4" t="s">
        <v>1383</v>
      </c>
      <c r="AB263" s="19" t="s">
        <v>1613</v>
      </c>
      <c r="AC263" s="24" t="str">
        <f>IFERROR(VLOOKUP(Transactions[[#This Row],[Parent code]],Transactions[[Transaction code]:[Transaction name]],2,0),"")</f>
        <v>CHP plants - gas coal products</v>
      </c>
      <c r="AD263" s="4" t="s">
        <v>189</v>
      </c>
      <c r="AE263" s="4" t="s">
        <v>922</v>
      </c>
      <c r="AF263" s="4" t="s">
        <v>642</v>
      </c>
      <c r="AG263" s="4" t="s">
        <v>1</v>
      </c>
      <c r="AH263" s="4" t="s">
        <v>696</v>
      </c>
      <c r="AI263" s="12" t="s">
        <v>1416</v>
      </c>
      <c r="AK263" s="24" t="str" cm="1">
        <f t="array" ref="AK263">IFERROR(INDEX(Transactions[[Transaction code]:[Transaction name]],_xlfn.XMATCH(Transactions[[#This Row],[Parent code]],Transactions[Transaction name],0),3),Transactions[[#This Row],[Transaction name]])</f>
        <v>CHP plants - Autoproducer - gas coal products</v>
      </c>
      <c r="AL263" s="24" t="str" cm="1">
        <f t="array" ref="AL263">IFERROR(INDEX(Transactions[[Transaction code]:[Transaction name]],_xlfn.XMATCH(INDEX(Transactions[[Transaction name]:[Parent code]],_xlfn.XMATCH(Transactions[[#This Row],[L1N]],Transactions[Transaction name],0),3),Transactions[Transaction code],0),2),Transactions[[#This Row],[L1N]])</f>
        <v>CHP plants - gas coal products</v>
      </c>
      <c r="AM263" s="24" t="str" cm="1">
        <f t="array" ref="AM263">IFERROR(INDEX(Transactions[[Transaction code]:[Transaction name]],_xlfn.XMATCH(INDEX(Transactions[[Transaction name]:[Parent code]],_xlfn.XMATCH(Transactions[[#This Row],[L2N]],Transactions[Transaction name],0),3),Transactions[Transaction code],0),2),Transactions[[#This Row],[L2N]])</f>
        <v>CHP plants</v>
      </c>
      <c r="AN263" s="24" t="str" cm="1">
        <f t="array" ref="AN263">IFERROR(INDEX(Transactions[[Transaction code]:[Transaction name]],_xlfn.XMATCH(INDEX(Transactions[[Transaction name]:[Parent code]],_xlfn.XMATCH(Transactions[[#This Row],[L3N]],Transactions[Transaction name],0),3),Transactions[Transaction code],0),2),Transactions[[#This Row],[L3N]])</f>
        <v>Electricity, CHP and heat plants (T)</v>
      </c>
      <c r="AO263" s="24" t="str" cm="1">
        <f t="array" ref="AO263">IFERROR(INDEX(Transactions[[Transaction code]:[Transaction name]],_xlfn.XMATCH(INDEX(Transactions[[Transaction name]:[Parent code]],_xlfn.XMATCH(Transactions[[#This Row],[L4N]],Transactions[Transaction name],0),3),Transactions[Transaction code],0),2),Transactions[[#This Row],[L4N]])</f>
        <v>Transformation</v>
      </c>
      <c r="AP263" s="24" t="str" cm="1">
        <f t="array" ref="AP263">IFERROR(INDEX(Transactions[[Transaction code]:[Transaction name]],_xlfn.XMATCH(INDEX(Transactions[[Transaction name]:[Parent code]],_xlfn.XMATCH(Transactions[[#This Row],[L5N]],Transactions[Transaction name],0),3),Transactions[Transaction code],0),2),Transactions[[#This Row],[L5N]])</f>
        <v>Transformation</v>
      </c>
      <c r="AQ263" s="24" t="str" cm="1">
        <f t="array" ref="AQ263">IFERROR(INDEX(Transactions[[Transaction code]:[Transaction name]],_xlfn.XMATCH(INDEX(Transactions[[Transaction name]:[Parent code]],_xlfn.XMATCH(Transactions[[#This Row],[L6N]],Transactions[Transaction name],0),3),Transactions[Transaction code],0),2),Transactions[[#This Row],[L6N]])</f>
        <v>Transformation</v>
      </c>
      <c r="AR263" s="28" t="str">
        <f>IF(Transactions[[#This Row],[L7N]]=Transactions[[#This Row],[L6N]],Transactions[[#This Row],[L7N]],IF(Transactions[[#This Row],[L6N]]=Transactions[[#This Row],[L5N]],Transactions[[#This Row],[L6N]],IF(Transactions[[#This Row],[L5N]]=Transactions[[#This Row],[L4N]],Transactions[[#This Row],[L5N]],IF(Transactions[[#This Row],[L4N]]=Transactions[[#This Row],[L3N]],Transactions[[#This Row],[L4N]],IF(Transactions[[#This Row],[L3N]]=Transactions[[#This Row],[L2N]],Transactions[[#This Row],[L3N]],IF(Transactions[[#This Row],[L2N]]=Transactions[[#This Row],[L1N]],Transactions[[#This Row],[L2N]],IF(Transactions[[#This Row],[L1N]]=Transactions[[#This Row],[Transaction name]],Transactions[[#This Row],[L1N]],Transactions[[#This Row],[Transaction name]])))))))</f>
        <v>Transformation</v>
      </c>
      <c r="AS263" s="24" t="str">
        <f>IF(Transactions[[#This Row],[Level 0]]=Transactions[[#This Row],[Transaction name]],Transactions[[#This Row],[Transaction name]],IF(Transactions[[#This Row],[Level 0]]=Transactions[[#This Row],[L1N]],Transactions[[#This Row],[Transaction name]],IF(Transactions[[#This Row],[Level 0]]=Transactions[[#This Row],[L2N]],Transactions[[#This Row],[L1N]],IF(Transactions[[#This Row],[Level 0]]=Transactions[[#This Row],[L3N]],Transactions[[#This Row],[L2N]],IF(Transactions[[#This Row],[Level 0]]=Transactions[[#This Row],[L4N]],Transactions[[#This Row],[L3N]],IF(Transactions[[#This Row],[Level 0]]=Transactions[[#This Row],[L5N]],Transactions[[#This Row],[L4N]],IF(Transactions[[#This Row],[Level 0]]=Transactions[[#This Row],[L6N]],Transactions[[#This Row],[L5N]],IF(Transactions[[#This Row],[Level 0]]=Transactions[[#This Row],[L7N]],Transactions[[#This Row],[L6N]],Transactions[[#This Row],[L7N]]))))))))</f>
        <v>Electricity, CHP and heat plants (T)</v>
      </c>
      <c r="AT263" s="24" t="str">
        <f>IF(Transactions[[#This Row],[Level 1]]=Transactions[[#This Row],[Transaction name]],Transactions[[#This Row],[Transaction name]],IF(Transactions[[#This Row],[Level 1]]=Transactions[[#This Row],[L1N]],Transactions[[#This Row],[Transaction name]],IF(Transactions[[#This Row],[Level 1]]=Transactions[[#This Row],[L2N]],Transactions[[#This Row],[L1N]],IF(Transactions[[#This Row],[Level 1]]=Transactions[[#This Row],[L3N]],Transactions[[#This Row],[L2N]],IF(Transactions[[#This Row],[Level 1]]=Transactions[[#This Row],[L4N]],Transactions[[#This Row],[L3N]],IF(Transactions[[#This Row],[Level 1]]=Transactions[[#This Row],[L5N]],Transactions[[#This Row],[L4N]],IF(Transactions[[#This Row],[Level 1]]=Transactions[[#This Row],[L6N]],Transactions[[#This Row],[L5N]],IF(Transactions[[#This Row],[Level 1]]=Transactions[[#This Row],[L7N]],Transactions[[#This Row],[L6N]],Transactions[[#This Row],[L7N]]))))))))</f>
        <v>CHP plants</v>
      </c>
      <c r="AU263" s="24" t="str">
        <f>IF(Transactions[[#This Row],[Level 2]]=Transactions[[#This Row],[Transaction name]],Transactions[[#This Row],[Transaction name]],IF(Transactions[[#This Row],[Level 2]]=Transactions[[#This Row],[L1N]],Transactions[[#This Row],[Transaction name]],IF(Transactions[[#This Row],[Level 2]]=Transactions[[#This Row],[L2N]],Transactions[[#This Row],[L1N]],IF(Transactions[[#This Row],[Level 2]]=Transactions[[#This Row],[L3N]],Transactions[[#This Row],[L2N]],IF(Transactions[[#This Row],[Level 2]]=Transactions[[#This Row],[L4N]],Transactions[[#This Row],[L3N]],IF(Transactions[[#This Row],[Level 2]]=Transactions[[#This Row],[L5N]],Transactions[[#This Row],[L4N]],IF(Transactions[[#This Row],[Level 2]]=Transactions[[#This Row],[L6N]],Transactions[[#This Row],[L5N]],IF(Transactions[[#This Row],[Level 2]]=Transactions[[#This Row],[L7N]],Transactions[[#This Row],[L6N]],Transactions[[#This Row],[L7N]]))))))))</f>
        <v>CHP plants - gas coal products</v>
      </c>
      <c r="AV263" s="24" t="str">
        <f>IF(Transactions[[#This Row],[Level 3]]=Transactions[[#This Row],[Transaction name]],Transactions[[#This Row],[Transaction name]],IF(Transactions[[#This Row],[Level 3]]=Transactions[[#This Row],[L1N]],Transactions[[#This Row],[Transaction name]],IF(Transactions[[#This Row],[Level 3]]=Transactions[[#This Row],[L2N]],Transactions[[#This Row],[L1N]],IF(Transactions[[#This Row],[Level 3]]=Transactions[[#This Row],[L3N]],Transactions[[#This Row],[L2N]],IF(Transactions[[#This Row],[Level 3]]=Transactions[[#This Row],[L4N]],Transactions[[#This Row],[L3N]],IF(Transactions[[#This Row],[Level 3]]=Transactions[[#This Row],[L5N]],Transactions[[#This Row],[L4N]],IF(Transactions[[#This Row],[Level 3]]=Transactions[[#This Row],[L6N]],Transactions[[#This Row],[L5N]],IF(Transactions[[#This Row],[Level 3]]=Transactions[[#This Row],[L7N]],Transactions[[#This Row],[L6N]],Transactions[[#This Row],[L7N]]))))))))</f>
        <v>CHP plants - Autoproducer - gas coal products</v>
      </c>
      <c r="AW263" s="24" t="str">
        <f>IF(Transactions[[#This Row],[Level 4]]=Transactions[[#This Row],[Transaction name]],Transactions[[#This Row],[Transaction name]],IF(Transactions[[#This Row],[Level 4]]=Transactions[[#This Row],[L1N]],Transactions[[#This Row],[Transaction name]],IF(Transactions[[#This Row],[Level 4]]=Transactions[[#This Row],[L2N]],Transactions[[#This Row],[L1N]],IF(Transactions[[#This Row],[Level 4]]=Transactions[[#This Row],[L3N]],Transactions[[#This Row],[L2N]],IF(Transactions[[#This Row],[Level 4]]=Transactions[[#This Row],[L4N]],Transactions[[#This Row],[L3N]],IF(Transactions[[#This Row],[Level 4]]=Transactions[[#This Row],[L5N]],Transactions[[#This Row],[L4N]],IF(Transactions[[#This Row],[Level 4]]=Transactions[[#This Row],[L6N]],Transactions[[#This Row],[L5N]],IF(Transactions[[#This Row],[Level 4]]=Transactions[[#This Row],[L7N]],Transactions[[#This Row],[L6N]],Transactions[[#This Row],[L7N]]))))))))</f>
        <v>CHP plants - Autoproducer - gas coal products</v>
      </c>
      <c r="AX263" s="24" t="str">
        <f>IF(Transactions[[#This Row],[Level 5]]=Transactions[[#This Row],[Transaction name]],Transactions[[#This Row],[Transaction name]],IF(Transactions[[#This Row],[Level 5]]=Transactions[[#This Row],[L1N]],Transactions[[#This Row],[Transaction name]],IF(Transactions[[#This Row],[Level 5]]=Transactions[[#This Row],[L2N]],Transactions[[#This Row],[L1N]],IF(Transactions[[#This Row],[Level 5]]=Transactions[[#This Row],[L3N]],Transactions[[#This Row],[L2N]],IF(Transactions[[#This Row],[Level 5]]=Transactions[[#This Row],[L4N]],Transactions[[#This Row],[L3N]],IF(Transactions[[#This Row],[Level 5]]=Transactions[[#This Row],[L5N]],Transactions[[#This Row],[L4N]],IF(Transactions[[#This Row],[Level 5]]=Transactions[[#This Row],[L6N]],Transactions[[#This Row],[L5N]],IF(Transactions[[#This Row],[Level 5]]=Transactions[[#This Row],[L7N]],Transactions[[#This Row],[L6N]],Transactions[[#This Row],[L7N]]))))))))</f>
        <v>CHP plants - Autoproducer - gas coal products</v>
      </c>
      <c r="AY263" s="24" t="str">
        <f>IF(Transactions[[#This Row],[Level 6]]=Transactions[[#This Row],[Transaction name]],Transactions[[#This Row],[Transaction name]],IF(Transactions[[#This Row],[Level 6]]=Transactions[[#This Row],[L1N]],Transactions[[#This Row],[Transaction name]],IF(Transactions[[#This Row],[Level 6]]=Transactions[[#This Row],[L2N]],Transactions[[#This Row],[L1N]],IF(Transactions[[#This Row],[Level 6]]=Transactions[[#This Row],[L3N]],Transactions[[#This Row],[L2N]],IF(Transactions[[#This Row],[Level 6]]=Transactions[[#This Row],[L4N]],Transactions[[#This Row],[L3N]],IF(Transactions[[#This Row],[Level 6]]=Transactions[[#This Row],[L5N]],Transactions[[#This Row],[L4N]],IF(Transactions[[#This Row],[Level 6]]=Transactions[[#This Row],[L6N]],Transactions[[#This Row],[L5N]],IF(Transactions[[#This Row],[Level 6]]=Transactions[[#This Row],[L7N]],Transactions[[#This Row],[L6N]],Transactions[[#This Row],[L7N]]))))))))</f>
        <v>CHP plants - Autoproducer - gas coal products</v>
      </c>
      <c r="BE263" s="26" t="str">
        <f>_xlfn.XLOOKUP(Transformation[[#This Row],[cfrom]],Commodities[Commodity],Commodities[Commodity code])</f>
        <v>4669</v>
      </c>
      <c r="BF263" s="26" t="str">
        <f>_xlfn.XLOOKUP(Transformation[[#This Row],[tfrom]],Transactions[Transaction name],Transactions[Transaction code])</f>
        <v>08831</v>
      </c>
      <c r="BG263" s="26" t="str">
        <f>_xlfn.XLOOKUP(Transformation[[#This Row],[cto]],Commodities[Commodity],Commodities[Commodity code])</f>
        <v>4669</v>
      </c>
      <c r="BH263" s="26" t="str">
        <f>_xlfn.XLOOKUP(Transformation[[#This Row],[tto]],Transactions[Transaction name],Transactions[Transaction code])</f>
        <v>015OPH</v>
      </c>
      <c r="BI263" s="11">
        <v>1</v>
      </c>
      <c r="BJ263" s="4" t="s">
        <v>377</v>
      </c>
      <c r="BK263" s="24" t="str">
        <f>_xlfn.XLOOKUP(Transformation[[#This Row],[Commodity from]],Commodities[Commodity code],Commodities[EnergyCode])</f>
        <v>KR</v>
      </c>
      <c r="BL263" s="4" t="s">
        <v>693</v>
      </c>
      <c r="BM263" s="4" t="s">
        <v>377</v>
      </c>
      <c r="BN263" s="24" t="str">
        <f>_xlfn.XLOOKUP(Transformation[[#This Row],[Commodity to]],Commodities[Commodity code],Commodities[EnergyCode])</f>
        <v>KR</v>
      </c>
      <c r="BO263" s="4" t="s">
        <v>1052</v>
      </c>
      <c r="BP263" s="16" t="s">
        <v>1493</v>
      </c>
      <c r="BQ263" s="33" t="str">
        <f>Transformation[[#This Row],[Commodity from]]&amp;Transformation[[#This Row],[Transaction from]]&amp;Transformation[[#This Row],[Commodity to]]&amp;Transformation[[#This Row],[Transaction to]]</f>
        <v>4669088314669015OPH</v>
      </c>
      <c r="BR263" s="26" t="str">
        <f>Transformation[[#This Row],[crfomid]]&amp;Transformation[[#This Row],[Transaction from]]&amp;"("&amp;Transformation[[#This Row],[Multiplier]]&amp;") -&gt; "&amp;Transformation[[#This Row],[ctoid]]&amp;Transformation[[#This Row],[Transaction to]]</f>
        <v>KR08831(1) -&gt; KR015OPH</v>
      </c>
    </row>
    <row r="264" spans="25:70" x14ac:dyDescent="0.45">
      <c r="Y264" s="19" t="s">
        <v>1613</v>
      </c>
      <c r="Z264" s="18" t="s">
        <v>1383</v>
      </c>
      <c r="AA264" s="18" t="s">
        <v>1383</v>
      </c>
      <c r="AB264" s="19" t="s">
        <v>1627</v>
      </c>
      <c r="AC264" s="26" t="str">
        <f>IFERROR(VLOOKUP(Transactions[[#This Row],[Parent code]],Transactions[[Transaction code]:[Transaction name]],2,0),"")</f>
        <v>CHP plants</v>
      </c>
      <c r="AD264" s="18" t="s">
        <v>189</v>
      </c>
      <c r="AE264" s="18" t="s">
        <v>922</v>
      </c>
      <c r="AF264" s="18" t="s">
        <v>642</v>
      </c>
      <c r="AG264" s="18" t="s">
        <v>1</v>
      </c>
      <c r="AH264" s="18" t="s">
        <v>696</v>
      </c>
      <c r="AI264" s="18" t="s">
        <v>1416</v>
      </c>
      <c r="AJ264" s="18"/>
      <c r="AK264" s="26" t="str" cm="1">
        <f t="array" ref="AK264">IFERROR(INDEX(Transactions[[Transaction code]:[Transaction name]],_xlfn.XMATCH(Transactions[[#This Row],[Parent code]],Transactions[Transaction name],0),3),Transactions[[#This Row],[Transaction name]])</f>
        <v>CHP plants - gas coal products</v>
      </c>
      <c r="AL264" s="26" t="str" cm="1">
        <f t="array" ref="AL264">IFERROR(INDEX(Transactions[[Transaction code]:[Transaction name]],_xlfn.XMATCH(INDEX(Transactions[[Transaction name]:[Parent code]],_xlfn.XMATCH(Transactions[[#This Row],[L1N]],Transactions[Transaction name],0),3),Transactions[Transaction code],0),2),Transactions[[#This Row],[L1N]])</f>
        <v>CHP plants</v>
      </c>
      <c r="AM264" s="26" t="str" cm="1">
        <f t="array" ref="AM264">IFERROR(INDEX(Transactions[[Transaction code]:[Transaction name]],_xlfn.XMATCH(INDEX(Transactions[[Transaction name]:[Parent code]],_xlfn.XMATCH(Transactions[[#This Row],[L2N]],Transactions[Transaction name],0),3),Transactions[Transaction code],0),2),Transactions[[#This Row],[L2N]])</f>
        <v>Electricity, CHP and heat plants (T)</v>
      </c>
      <c r="AN264" s="26" t="str" cm="1">
        <f t="array" ref="AN264">IFERROR(INDEX(Transactions[[Transaction code]:[Transaction name]],_xlfn.XMATCH(INDEX(Transactions[[Transaction name]:[Parent code]],_xlfn.XMATCH(Transactions[[#This Row],[L3N]],Transactions[Transaction name],0),3),Transactions[Transaction code],0),2),Transactions[[#This Row],[L3N]])</f>
        <v>Transformation</v>
      </c>
      <c r="AO264" s="26" t="str" cm="1">
        <f t="array" ref="AO264">IFERROR(INDEX(Transactions[[Transaction code]:[Transaction name]],_xlfn.XMATCH(INDEX(Transactions[[Transaction name]:[Parent code]],_xlfn.XMATCH(Transactions[[#This Row],[L4N]],Transactions[Transaction name],0),3),Transactions[Transaction code],0),2),Transactions[[#This Row],[L4N]])</f>
        <v>Transformation</v>
      </c>
      <c r="AP264" s="26" t="str" cm="1">
        <f t="array" ref="AP264">IFERROR(INDEX(Transactions[[Transaction code]:[Transaction name]],_xlfn.XMATCH(INDEX(Transactions[[Transaction name]:[Parent code]],_xlfn.XMATCH(Transactions[[#This Row],[L5N]],Transactions[Transaction name],0),3),Transactions[Transaction code],0),2),Transactions[[#This Row],[L5N]])</f>
        <v>Transformation</v>
      </c>
      <c r="AQ264" s="26" t="str" cm="1">
        <f t="array" ref="AQ264">IFERROR(INDEX(Transactions[[Transaction code]:[Transaction name]],_xlfn.XMATCH(INDEX(Transactions[[Transaction name]:[Parent code]],_xlfn.XMATCH(Transactions[[#This Row],[L6N]],Transactions[Transaction name],0),3),Transactions[Transaction code],0),2),Transactions[[#This Row],[L6N]])</f>
        <v>Transformation</v>
      </c>
      <c r="AR264" s="29" t="str">
        <f>IF(Transactions[[#This Row],[L7N]]=Transactions[[#This Row],[L6N]],Transactions[[#This Row],[L7N]],IF(Transactions[[#This Row],[L6N]]=Transactions[[#This Row],[L5N]],Transactions[[#This Row],[L6N]],IF(Transactions[[#This Row],[L5N]]=Transactions[[#This Row],[L4N]],Transactions[[#This Row],[L5N]],IF(Transactions[[#This Row],[L4N]]=Transactions[[#This Row],[L3N]],Transactions[[#This Row],[L4N]],IF(Transactions[[#This Row],[L3N]]=Transactions[[#This Row],[L2N]],Transactions[[#This Row],[L3N]],IF(Transactions[[#This Row],[L2N]]=Transactions[[#This Row],[L1N]],Transactions[[#This Row],[L2N]],IF(Transactions[[#This Row],[L1N]]=Transactions[[#This Row],[Transaction name]],Transactions[[#This Row],[L1N]],Transactions[[#This Row],[Transaction name]])))))))</f>
        <v>Transformation</v>
      </c>
      <c r="AS264" s="26" t="str">
        <f>IF(Transactions[[#This Row],[Level 0]]=Transactions[[#This Row],[Transaction name]],Transactions[[#This Row],[Transaction name]],IF(Transactions[[#This Row],[Level 0]]=Transactions[[#This Row],[L1N]],Transactions[[#This Row],[Transaction name]],IF(Transactions[[#This Row],[Level 0]]=Transactions[[#This Row],[L2N]],Transactions[[#This Row],[L1N]],IF(Transactions[[#This Row],[Level 0]]=Transactions[[#This Row],[L3N]],Transactions[[#This Row],[L2N]],IF(Transactions[[#This Row],[Level 0]]=Transactions[[#This Row],[L4N]],Transactions[[#This Row],[L3N]],IF(Transactions[[#This Row],[Level 0]]=Transactions[[#This Row],[L5N]],Transactions[[#This Row],[L4N]],IF(Transactions[[#This Row],[Level 0]]=Transactions[[#This Row],[L6N]],Transactions[[#This Row],[L5N]],IF(Transactions[[#This Row],[Level 0]]=Transactions[[#This Row],[L7N]],Transactions[[#This Row],[L6N]],Transactions[[#This Row],[L7N]]))))))))</f>
        <v>Electricity, CHP and heat plants (T)</v>
      </c>
      <c r="AT264" s="26" t="str">
        <f>IF(Transactions[[#This Row],[Level 1]]=Transactions[[#This Row],[Transaction name]],Transactions[[#This Row],[Transaction name]],IF(Transactions[[#This Row],[Level 1]]=Transactions[[#This Row],[L1N]],Transactions[[#This Row],[Transaction name]],IF(Transactions[[#This Row],[Level 1]]=Transactions[[#This Row],[L2N]],Transactions[[#This Row],[L1N]],IF(Transactions[[#This Row],[Level 1]]=Transactions[[#This Row],[L3N]],Transactions[[#This Row],[L2N]],IF(Transactions[[#This Row],[Level 1]]=Transactions[[#This Row],[L4N]],Transactions[[#This Row],[L3N]],IF(Transactions[[#This Row],[Level 1]]=Transactions[[#This Row],[L5N]],Transactions[[#This Row],[L4N]],IF(Transactions[[#This Row],[Level 1]]=Transactions[[#This Row],[L6N]],Transactions[[#This Row],[L5N]],IF(Transactions[[#This Row],[Level 1]]=Transactions[[#This Row],[L7N]],Transactions[[#This Row],[L6N]],Transactions[[#This Row],[L7N]]))))))))</f>
        <v>CHP plants</v>
      </c>
      <c r="AU264" s="26" t="str">
        <f>IF(Transactions[[#This Row],[Level 2]]=Transactions[[#This Row],[Transaction name]],Transactions[[#This Row],[Transaction name]],IF(Transactions[[#This Row],[Level 2]]=Transactions[[#This Row],[L1N]],Transactions[[#This Row],[Transaction name]],IF(Transactions[[#This Row],[Level 2]]=Transactions[[#This Row],[L2N]],Transactions[[#This Row],[L1N]],IF(Transactions[[#This Row],[Level 2]]=Transactions[[#This Row],[L3N]],Transactions[[#This Row],[L2N]],IF(Transactions[[#This Row],[Level 2]]=Transactions[[#This Row],[L4N]],Transactions[[#This Row],[L3N]],IF(Transactions[[#This Row],[Level 2]]=Transactions[[#This Row],[L5N]],Transactions[[#This Row],[L4N]],IF(Transactions[[#This Row],[Level 2]]=Transactions[[#This Row],[L6N]],Transactions[[#This Row],[L5N]],IF(Transactions[[#This Row],[Level 2]]=Transactions[[#This Row],[L7N]],Transactions[[#This Row],[L6N]],Transactions[[#This Row],[L7N]]))))))))</f>
        <v>CHP plants - gas coal products</v>
      </c>
      <c r="AV264" s="26" t="str">
        <f>IF(Transactions[[#This Row],[Level 3]]=Transactions[[#This Row],[Transaction name]],Transactions[[#This Row],[Transaction name]],IF(Transactions[[#This Row],[Level 3]]=Transactions[[#This Row],[L1N]],Transactions[[#This Row],[Transaction name]],IF(Transactions[[#This Row],[Level 3]]=Transactions[[#This Row],[L2N]],Transactions[[#This Row],[L1N]],IF(Transactions[[#This Row],[Level 3]]=Transactions[[#This Row],[L3N]],Transactions[[#This Row],[L2N]],IF(Transactions[[#This Row],[Level 3]]=Transactions[[#This Row],[L4N]],Transactions[[#This Row],[L3N]],IF(Transactions[[#This Row],[Level 3]]=Transactions[[#This Row],[L5N]],Transactions[[#This Row],[L4N]],IF(Transactions[[#This Row],[Level 3]]=Transactions[[#This Row],[L6N]],Transactions[[#This Row],[L5N]],IF(Transactions[[#This Row],[Level 3]]=Transactions[[#This Row],[L7N]],Transactions[[#This Row],[L6N]],Transactions[[#This Row],[L7N]]))))))))</f>
        <v>CHP plants - gas coal products</v>
      </c>
      <c r="AW264" s="26" t="str">
        <f>IF(Transactions[[#This Row],[Level 4]]=Transactions[[#This Row],[Transaction name]],Transactions[[#This Row],[Transaction name]],IF(Transactions[[#This Row],[Level 4]]=Transactions[[#This Row],[L1N]],Transactions[[#This Row],[Transaction name]],IF(Transactions[[#This Row],[Level 4]]=Transactions[[#This Row],[L2N]],Transactions[[#This Row],[L1N]],IF(Transactions[[#This Row],[Level 4]]=Transactions[[#This Row],[L3N]],Transactions[[#This Row],[L2N]],IF(Transactions[[#This Row],[Level 4]]=Transactions[[#This Row],[L4N]],Transactions[[#This Row],[L3N]],IF(Transactions[[#This Row],[Level 4]]=Transactions[[#This Row],[L5N]],Transactions[[#This Row],[L4N]],IF(Transactions[[#This Row],[Level 4]]=Transactions[[#This Row],[L6N]],Transactions[[#This Row],[L5N]],IF(Transactions[[#This Row],[Level 4]]=Transactions[[#This Row],[L7N]],Transactions[[#This Row],[L6N]],Transactions[[#This Row],[L7N]]))))))))</f>
        <v>CHP plants - gas coal products</v>
      </c>
      <c r="AX264" s="26" t="str">
        <f>IF(Transactions[[#This Row],[Level 5]]=Transactions[[#This Row],[Transaction name]],Transactions[[#This Row],[Transaction name]],IF(Transactions[[#This Row],[Level 5]]=Transactions[[#This Row],[L1N]],Transactions[[#This Row],[Transaction name]],IF(Transactions[[#This Row],[Level 5]]=Transactions[[#This Row],[L2N]],Transactions[[#This Row],[L1N]],IF(Transactions[[#This Row],[Level 5]]=Transactions[[#This Row],[L3N]],Transactions[[#This Row],[L2N]],IF(Transactions[[#This Row],[Level 5]]=Transactions[[#This Row],[L4N]],Transactions[[#This Row],[L3N]],IF(Transactions[[#This Row],[Level 5]]=Transactions[[#This Row],[L5N]],Transactions[[#This Row],[L4N]],IF(Transactions[[#This Row],[Level 5]]=Transactions[[#This Row],[L6N]],Transactions[[#This Row],[L5N]],IF(Transactions[[#This Row],[Level 5]]=Transactions[[#This Row],[L7N]],Transactions[[#This Row],[L6N]],Transactions[[#This Row],[L7N]]))))))))</f>
        <v>CHP plants - gas coal products</v>
      </c>
      <c r="AY264" s="26" t="str">
        <f>IF(Transactions[[#This Row],[Level 6]]=Transactions[[#This Row],[Transaction name]],Transactions[[#This Row],[Transaction name]],IF(Transactions[[#This Row],[Level 6]]=Transactions[[#This Row],[L1N]],Transactions[[#This Row],[Transaction name]],IF(Transactions[[#This Row],[Level 6]]=Transactions[[#This Row],[L2N]],Transactions[[#This Row],[L1N]],IF(Transactions[[#This Row],[Level 6]]=Transactions[[#This Row],[L3N]],Transactions[[#This Row],[L2N]],IF(Transactions[[#This Row],[Level 6]]=Transactions[[#This Row],[L4N]],Transactions[[#This Row],[L3N]],IF(Transactions[[#This Row],[Level 6]]=Transactions[[#This Row],[L5N]],Transactions[[#This Row],[L4N]],IF(Transactions[[#This Row],[Level 6]]=Transactions[[#This Row],[L6N]],Transactions[[#This Row],[L5N]],IF(Transactions[[#This Row],[Level 6]]=Transactions[[#This Row],[L7N]],Transactions[[#This Row],[L6N]],Transactions[[#This Row],[L7N]]))))))))</f>
        <v>CHP plants - gas coal products</v>
      </c>
      <c r="BE264" s="26" t="str">
        <f>_xlfn.XLOOKUP(Transformation[[#This Row],[cfrom]],Commodities[Commodity],Commodities[Commodity code])</f>
        <v>0200</v>
      </c>
      <c r="BF264" s="26" t="str">
        <f>_xlfn.XLOOKUP(Transformation[[#This Row],[tfrom]],Transactions[Transaction name],Transactions[Transaction code])</f>
        <v>08831</v>
      </c>
      <c r="BG264" s="26" t="str">
        <f>_xlfn.XLOOKUP(Transformation[[#This Row],[cto]],Commodities[Commodity],Commodities[Commodity code])</f>
        <v>0200</v>
      </c>
      <c r="BH264" s="26" t="str">
        <f>_xlfn.XLOOKUP(Transformation[[#This Row],[tto]],Transactions[Transaction name],Transactions[Transaction code])</f>
        <v>015CBH</v>
      </c>
      <c r="BI264" s="11">
        <v>1</v>
      </c>
      <c r="BJ264" s="4" t="s">
        <v>516</v>
      </c>
      <c r="BK264" s="24" t="str">
        <f>_xlfn.XLOOKUP(Transformation[[#This Row],[Commodity from]],Commodities[Commodity code],Commodities[EnergyCode])</f>
        <v>LB</v>
      </c>
      <c r="BL264" s="4" t="s">
        <v>693</v>
      </c>
      <c r="BM264" s="4" t="s">
        <v>516</v>
      </c>
      <c r="BN264" s="24" t="str">
        <f>_xlfn.XLOOKUP(Transformation[[#This Row],[Commodity to]],Commodities[Commodity code],Commodities[EnergyCode])</f>
        <v>LB</v>
      </c>
      <c r="BO264" s="4" t="s">
        <v>1179</v>
      </c>
      <c r="BP264" s="16" t="s">
        <v>1493</v>
      </c>
      <c r="BQ264" s="33" t="str">
        <f>Transformation[[#This Row],[Commodity from]]&amp;Transformation[[#This Row],[Transaction from]]&amp;Transformation[[#This Row],[Commodity to]]&amp;Transformation[[#This Row],[Transaction to]]</f>
        <v>0200088310200015CBH</v>
      </c>
      <c r="BR264" s="26" t="str">
        <f>Transformation[[#This Row],[crfomid]]&amp;Transformation[[#This Row],[Transaction from]]&amp;"("&amp;Transformation[[#This Row],[Multiplier]]&amp;") -&gt; "&amp;Transformation[[#This Row],[ctoid]]&amp;Transformation[[#This Row],[Transaction to]]</f>
        <v>LB08831(1) -&gt; LB015CBH</v>
      </c>
    </row>
    <row r="265" spans="25:70" x14ac:dyDescent="0.45">
      <c r="Y265" s="5" t="s">
        <v>1249</v>
      </c>
      <c r="Z265" s="7" t="s">
        <v>1217</v>
      </c>
      <c r="AA265" s="4" t="s">
        <v>1383</v>
      </c>
      <c r="AB265" s="19" t="s">
        <v>1613</v>
      </c>
      <c r="AC265" s="24" t="str">
        <f>IFERROR(VLOOKUP(Transactions[[#This Row],[Parent code]],Transactions[[Transaction code]:[Transaction name]],2,0),"")</f>
        <v>CHP plants - gas coal products</v>
      </c>
      <c r="AD265" s="4" t="s">
        <v>189</v>
      </c>
      <c r="AE265" s="4" t="s">
        <v>922</v>
      </c>
      <c r="AF265" s="4" t="s">
        <v>642</v>
      </c>
      <c r="AG265" s="4" t="s">
        <v>1</v>
      </c>
      <c r="AH265" s="4" t="s">
        <v>696</v>
      </c>
      <c r="AI265" s="12" t="s">
        <v>1416</v>
      </c>
      <c r="AK265" s="24" t="str" cm="1">
        <f t="array" ref="AK265">IFERROR(INDEX(Transactions[[Transaction code]:[Transaction name]],_xlfn.XMATCH(Transactions[[#This Row],[Parent code]],Transactions[Transaction name],0),3),Transactions[[#This Row],[Transaction name]])</f>
        <v>CHP plants - Main activity - gas coal products</v>
      </c>
      <c r="AL265" s="24" t="str" cm="1">
        <f t="array" ref="AL265">IFERROR(INDEX(Transactions[[Transaction code]:[Transaction name]],_xlfn.XMATCH(INDEX(Transactions[[Transaction name]:[Parent code]],_xlfn.XMATCH(Transactions[[#This Row],[L1N]],Transactions[Transaction name],0),3),Transactions[Transaction code],0),2),Transactions[[#This Row],[L1N]])</f>
        <v>CHP plants - gas coal products</v>
      </c>
      <c r="AM265" s="24" t="str" cm="1">
        <f t="array" ref="AM265">IFERROR(INDEX(Transactions[[Transaction code]:[Transaction name]],_xlfn.XMATCH(INDEX(Transactions[[Transaction name]:[Parent code]],_xlfn.XMATCH(Transactions[[#This Row],[L2N]],Transactions[Transaction name],0),3),Transactions[Transaction code],0),2),Transactions[[#This Row],[L2N]])</f>
        <v>CHP plants</v>
      </c>
      <c r="AN265" s="24" t="str" cm="1">
        <f t="array" ref="AN265">IFERROR(INDEX(Transactions[[Transaction code]:[Transaction name]],_xlfn.XMATCH(INDEX(Transactions[[Transaction name]:[Parent code]],_xlfn.XMATCH(Transactions[[#This Row],[L3N]],Transactions[Transaction name],0),3),Transactions[Transaction code],0),2),Transactions[[#This Row],[L3N]])</f>
        <v>Electricity, CHP and heat plants (T)</v>
      </c>
      <c r="AO265" s="24" t="str" cm="1">
        <f t="array" ref="AO265">IFERROR(INDEX(Transactions[[Transaction code]:[Transaction name]],_xlfn.XMATCH(INDEX(Transactions[[Transaction name]:[Parent code]],_xlfn.XMATCH(Transactions[[#This Row],[L4N]],Transactions[Transaction name],0),3),Transactions[Transaction code],0),2),Transactions[[#This Row],[L4N]])</f>
        <v>Transformation</v>
      </c>
      <c r="AP265" s="24" t="str" cm="1">
        <f t="array" ref="AP265">IFERROR(INDEX(Transactions[[Transaction code]:[Transaction name]],_xlfn.XMATCH(INDEX(Transactions[[Transaction name]:[Parent code]],_xlfn.XMATCH(Transactions[[#This Row],[L5N]],Transactions[Transaction name],0),3),Transactions[Transaction code],0),2),Transactions[[#This Row],[L5N]])</f>
        <v>Transformation</v>
      </c>
      <c r="AQ265" s="24" t="str" cm="1">
        <f t="array" ref="AQ265">IFERROR(INDEX(Transactions[[Transaction code]:[Transaction name]],_xlfn.XMATCH(INDEX(Transactions[[Transaction name]:[Parent code]],_xlfn.XMATCH(Transactions[[#This Row],[L6N]],Transactions[Transaction name],0),3),Transactions[Transaction code],0),2),Transactions[[#This Row],[L6N]])</f>
        <v>Transformation</v>
      </c>
      <c r="AR265" s="28" t="str">
        <f>IF(Transactions[[#This Row],[L7N]]=Transactions[[#This Row],[L6N]],Transactions[[#This Row],[L7N]],IF(Transactions[[#This Row],[L6N]]=Transactions[[#This Row],[L5N]],Transactions[[#This Row],[L6N]],IF(Transactions[[#This Row],[L5N]]=Transactions[[#This Row],[L4N]],Transactions[[#This Row],[L5N]],IF(Transactions[[#This Row],[L4N]]=Transactions[[#This Row],[L3N]],Transactions[[#This Row],[L4N]],IF(Transactions[[#This Row],[L3N]]=Transactions[[#This Row],[L2N]],Transactions[[#This Row],[L3N]],IF(Transactions[[#This Row],[L2N]]=Transactions[[#This Row],[L1N]],Transactions[[#This Row],[L2N]],IF(Transactions[[#This Row],[L1N]]=Transactions[[#This Row],[Transaction name]],Transactions[[#This Row],[L1N]],Transactions[[#This Row],[Transaction name]])))))))</f>
        <v>Transformation</v>
      </c>
      <c r="AS265" s="24" t="str">
        <f>IF(Transactions[[#This Row],[Level 0]]=Transactions[[#This Row],[Transaction name]],Transactions[[#This Row],[Transaction name]],IF(Transactions[[#This Row],[Level 0]]=Transactions[[#This Row],[L1N]],Transactions[[#This Row],[Transaction name]],IF(Transactions[[#This Row],[Level 0]]=Transactions[[#This Row],[L2N]],Transactions[[#This Row],[L1N]],IF(Transactions[[#This Row],[Level 0]]=Transactions[[#This Row],[L3N]],Transactions[[#This Row],[L2N]],IF(Transactions[[#This Row],[Level 0]]=Transactions[[#This Row],[L4N]],Transactions[[#This Row],[L3N]],IF(Transactions[[#This Row],[Level 0]]=Transactions[[#This Row],[L5N]],Transactions[[#This Row],[L4N]],IF(Transactions[[#This Row],[Level 0]]=Transactions[[#This Row],[L6N]],Transactions[[#This Row],[L5N]],IF(Transactions[[#This Row],[Level 0]]=Transactions[[#This Row],[L7N]],Transactions[[#This Row],[L6N]],Transactions[[#This Row],[L7N]]))))))))</f>
        <v>Electricity, CHP and heat plants (T)</v>
      </c>
      <c r="AT265" s="24" t="str">
        <f>IF(Transactions[[#This Row],[Level 1]]=Transactions[[#This Row],[Transaction name]],Transactions[[#This Row],[Transaction name]],IF(Transactions[[#This Row],[Level 1]]=Transactions[[#This Row],[L1N]],Transactions[[#This Row],[Transaction name]],IF(Transactions[[#This Row],[Level 1]]=Transactions[[#This Row],[L2N]],Transactions[[#This Row],[L1N]],IF(Transactions[[#This Row],[Level 1]]=Transactions[[#This Row],[L3N]],Transactions[[#This Row],[L2N]],IF(Transactions[[#This Row],[Level 1]]=Transactions[[#This Row],[L4N]],Transactions[[#This Row],[L3N]],IF(Transactions[[#This Row],[Level 1]]=Transactions[[#This Row],[L5N]],Transactions[[#This Row],[L4N]],IF(Transactions[[#This Row],[Level 1]]=Transactions[[#This Row],[L6N]],Transactions[[#This Row],[L5N]],IF(Transactions[[#This Row],[Level 1]]=Transactions[[#This Row],[L7N]],Transactions[[#This Row],[L6N]],Transactions[[#This Row],[L7N]]))))))))</f>
        <v>CHP plants</v>
      </c>
      <c r="AU265" s="24" t="str">
        <f>IF(Transactions[[#This Row],[Level 2]]=Transactions[[#This Row],[Transaction name]],Transactions[[#This Row],[Transaction name]],IF(Transactions[[#This Row],[Level 2]]=Transactions[[#This Row],[L1N]],Transactions[[#This Row],[Transaction name]],IF(Transactions[[#This Row],[Level 2]]=Transactions[[#This Row],[L2N]],Transactions[[#This Row],[L1N]],IF(Transactions[[#This Row],[Level 2]]=Transactions[[#This Row],[L3N]],Transactions[[#This Row],[L2N]],IF(Transactions[[#This Row],[Level 2]]=Transactions[[#This Row],[L4N]],Transactions[[#This Row],[L3N]],IF(Transactions[[#This Row],[Level 2]]=Transactions[[#This Row],[L5N]],Transactions[[#This Row],[L4N]],IF(Transactions[[#This Row],[Level 2]]=Transactions[[#This Row],[L6N]],Transactions[[#This Row],[L5N]],IF(Transactions[[#This Row],[Level 2]]=Transactions[[#This Row],[L7N]],Transactions[[#This Row],[L6N]],Transactions[[#This Row],[L7N]]))))))))</f>
        <v>CHP plants - gas coal products</v>
      </c>
      <c r="AV265" s="24" t="str">
        <f>IF(Transactions[[#This Row],[Level 3]]=Transactions[[#This Row],[Transaction name]],Transactions[[#This Row],[Transaction name]],IF(Transactions[[#This Row],[Level 3]]=Transactions[[#This Row],[L1N]],Transactions[[#This Row],[Transaction name]],IF(Transactions[[#This Row],[Level 3]]=Transactions[[#This Row],[L2N]],Transactions[[#This Row],[L1N]],IF(Transactions[[#This Row],[Level 3]]=Transactions[[#This Row],[L3N]],Transactions[[#This Row],[L2N]],IF(Transactions[[#This Row],[Level 3]]=Transactions[[#This Row],[L4N]],Transactions[[#This Row],[L3N]],IF(Transactions[[#This Row],[Level 3]]=Transactions[[#This Row],[L5N]],Transactions[[#This Row],[L4N]],IF(Transactions[[#This Row],[Level 3]]=Transactions[[#This Row],[L6N]],Transactions[[#This Row],[L5N]],IF(Transactions[[#This Row],[Level 3]]=Transactions[[#This Row],[L7N]],Transactions[[#This Row],[L6N]],Transactions[[#This Row],[L7N]]))))))))</f>
        <v>CHP plants - Main activity - gas coal products</v>
      </c>
      <c r="AW265" s="24" t="str">
        <f>IF(Transactions[[#This Row],[Level 4]]=Transactions[[#This Row],[Transaction name]],Transactions[[#This Row],[Transaction name]],IF(Transactions[[#This Row],[Level 4]]=Transactions[[#This Row],[L1N]],Transactions[[#This Row],[Transaction name]],IF(Transactions[[#This Row],[Level 4]]=Transactions[[#This Row],[L2N]],Transactions[[#This Row],[L1N]],IF(Transactions[[#This Row],[Level 4]]=Transactions[[#This Row],[L3N]],Transactions[[#This Row],[L2N]],IF(Transactions[[#This Row],[Level 4]]=Transactions[[#This Row],[L4N]],Transactions[[#This Row],[L3N]],IF(Transactions[[#This Row],[Level 4]]=Transactions[[#This Row],[L5N]],Transactions[[#This Row],[L4N]],IF(Transactions[[#This Row],[Level 4]]=Transactions[[#This Row],[L6N]],Transactions[[#This Row],[L5N]],IF(Transactions[[#This Row],[Level 4]]=Transactions[[#This Row],[L7N]],Transactions[[#This Row],[L6N]],Transactions[[#This Row],[L7N]]))))))))</f>
        <v>CHP plants - Main activity - gas coal products</v>
      </c>
      <c r="AX265" s="24" t="str">
        <f>IF(Transactions[[#This Row],[Level 5]]=Transactions[[#This Row],[Transaction name]],Transactions[[#This Row],[Transaction name]],IF(Transactions[[#This Row],[Level 5]]=Transactions[[#This Row],[L1N]],Transactions[[#This Row],[Transaction name]],IF(Transactions[[#This Row],[Level 5]]=Transactions[[#This Row],[L2N]],Transactions[[#This Row],[L1N]],IF(Transactions[[#This Row],[Level 5]]=Transactions[[#This Row],[L3N]],Transactions[[#This Row],[L2N]],IF(Transactions[[#This Row],[Level 5]]=Transactions[[#This Row],[L4N]],Transactions[[#This Row],[L3N]],IF(Transactions[[#This Row],[Level 5]]=Transactions[[#This Row],[L5N]],Transactions[[#This Row],[L4N]],IF(Transactions[[#This Row],[Level 5]]=Transactions[[#This Row],[L6N]],Transactions[[#This Row],[L5N]],IF(Transactions[[#This Row],[Level 5]]=Transactions[[#This Row],[L7N]],Transactions[[#This Row],[L6N]],Transactions[[#This Row],[L7N]]))))))))</f>
        <v>CHP plants - Main activity - gas coal products</v>
      </c>
      <c r="AY265" s="24" t="str">
        <f>IF(Transactions[[#This Row],[Level 6]]=Transactions[[#This Row],[Transaction name]],Transactions[[#This Row],[Transaction name]],IF(Transactions[[#This Row],[Level 6]]=Transactions[[#This Row],[L1N]],Transactions[[#This Row],[Transaction name]],IF(Transactions[[#This Row],[Level 6]]=Transactions[[#This Row],[L2N]],Transactions[[#This Row],[L1N]],IF(Transactions[[#This Row],[Level 6]]=Transactions[[#This Row],[L3N]],Transactions[[#This Row],[L2N]],IF(Transactions[[#This Row],[Level 6]]=Transactions[[#This Row],[L4N]],Transactions[[#This Row],[L3N]],IF(Transactions[[#This Row],[Level 6]]=Transactions[[#This Row],[L5N]],Transactions[[#This Row],[L4N]],IF(Transactions[[#This Row],[Level 6]]=Transactions[[#This Row],[L6N]],Transactions[[#This Row],[L5N]],IF(Transactions[[#This Row],[Level 6]]=Transactions[[#This Row],[L7N]],Transactions[[#This Row],[L6N]],Transactions[[#This Row],[L7N]]))))))))</f>
        <v>CHP plants - Main activity - gas coal products</v>
      </c>
      <c r="BE265" s="26" t="str">
        <f>_xlfn.XLOOKUP(Transformation[[#This Row],[cfrom]],Commodities[Commodity],Commodities[Commodity code])</f>
        <v>4630</v>
      </c>
      <c r="BF265" s="26" t="str">
        <f>_xlfn.XLOOKUP(Transformation[[#This Row],[tfrom]],Transactions[Transaction name],Transactions[Transaction code])</f>
        <v>08831</v>
      </c>
      <c r="BG265" s="26" t="str">
        <f>_xlfn.XLOOKUP(Transformation[[#This Row],[cto]],Commodities[Commodity],Commodities[Commodity code])</f>
        <v>4630</v>
      </c>
      <c r="BH265" s="26" t="str">
        <f>_xlfn.XLOOKUP(Transformation[[#This Row],[tto]],Transactions[Transaction name],Transactions[Transaction code])</f>
        <v>015OPH</v>
      </c>
      <c r="BI265" s="11">
        <v>1</v>
      </c>
      <c r="BJ265" s="4" t="s">
        <v>408</v>
      </c>
      <c r="BK265" s="24" t="str">
        <f>_xlfn.XLOOKUP(Transformation[[#This Row],[Commodity from]],Commodities[Commodity code],Commodities[EnergyCode])</f>
        <v>LP</v>
      </c>
      <c r="BL265" s="4" t="s">
        <v>693</v>
      </c>
      <c r="BM265" s="4" t="s">
        <v>408</v>
      </c>
      <c r="BN265" s="24" t="str">
        <f>_xlfn.XLOOKUP(Transformation[[#This Row],[Commodity to]],Commodities[Commodity code],Commodities[EnergyCode])</f>
        <v>LP</v>
      </c>
      <c r="BO265" s="4" t="s">
        <v>1052</v>
      </c>
      <c r="BP265" s="16" t="s">
        <v>1493</v>
      </c>
      <c r="BQ265" s="33" t="str">
        <f>Transformation[[#This Row],[Commodity from]]&amp;Transformation[[#This Row],[Transaction from]]&amp;Transformation[[#This Row],[Commodity to]]&amp;Transformation[[#This Row],[Transaction to]]</f>
        <v>4630088314630015OPH</v>
      </c>
      <c r="BR265" s="26" t="str">
        <f>Transformation[[#This Row],[crfomid]]&amp;Transformation[[#This Row],[Transaction from]]&amp;"("&amp;Transformation[[#This Row],[Multiplier]]&amp;") -&gt; "&amp;Transformation[[#This Row],[ctoid]]&amp;Transformation[[#This Row],[Transaction to]]</f>
        <v>LP08831(1) -&gt; LP015OPH</v>
      </c>
    </row>
    <row r="266" spans="25:70" x14ac:dyDescent="0.45">
      <c r="Y266" s="5" t="s">
        <v>1046</v>
      </c>
      <c r="Z266" s="7" t="s">
        <v>1038</v>
      </c>
      <c r="AA266" s="4" t="s">
        <v>1343</v>
      </c>
      <c r="AB266" s="19" t="s">
        <v>1616</v>
      </c>
      <c r="AC266" s="24" t="str">
        <f>IFERROR(VLOOKUP(Transactions[[#This Row],[Parent code]],Transactions[[Transaction code]:[Transaction name]],2,0),"")</f>
        <v>CHP plants - gas oil/diesel oil</v>
      </c>
      <c r="AD266" s="4" t="s">
        <v>189</v>
      </c>
      <c r="AE266" s="4" t="s">
        <v>922</v>
      </c>
      <c r="AF266" s="4" t="s">
        <v>642</v>
      </c>
      <c r="AG266" s="4" t="s">
        <v>1</v>
      </c>
      <c r="AH266" s="4" t="s">
        <v>696</v>
      </c>
      <c r="AI266" s="12" t="s">
        <v>1416</v>
      </c>
      <c r="AK266" s="24" t="str" cm="1">
        <f t="array" ref="AK266">IFERROR(INDEX(Transactions[[Transaction code]:[Transaction name]],_xlfn.XMATCH(Transactions[[#This Row],[Parent code]],Transactions[Transaction name],0),3),Transactions[[#This Row],[Transaction name]])</f>
        <v>CHP plants - Autoproducer - gas oil/diesel oil</v>
      </c>
      <c r="AL266" s="24" t="str" cm="1">
        <f t="array" ref="AL266">IFERROR(INDEX(Transactions[[Transaction code]:[Transaction name]],_xlfn.XMATCH(INDEX(Transactions[[Transaction name]:[Parent code]],_xlfn.XMATCH(Transactions[[#This Row],[L1N]],Transactions[Transaction name],0),3),Transactions[Transaction code],0),2),Transactions[[#This Row],[L1N]])</f>
        <v>CHP plants - gas oil/diesel oil</v>
      </c>
      <c r="AM266" s="24" t="str" cm="1">
        <f t="array" ref="AM266">IFERROR(INDEX(Transactions[[Transaction code]:[Transaction name]],_xlfn.XMATCH(INDEX(Transactions[[Transaction name]:[Parent code]],_xlfn.XMATCH(Transactions[[#This Row],[L2N]],Transactions[Transaction name],0),3),Transactions[Transaction code],0),2),Transactions[[#This Row],[L2N]])</f>
        <v>CHP plants</v>
      </c>
      <c r="AN266" s="24" t="str" cm="1">
        <f t="array" ref="AN266">IFERROR(INDEX(Transactions[[Transaction code]:[Transaction name]],_xlfn.XMATCH(INDEX(Transactions[[Transaction name]:[Parent code]],_xlfn.XMATCH(Transactions[[#This Row],[L3N]],Transactions[Transaction name],0),3),Transactions[Transaction code],0),2),Transactions[[#This Row],[L3N]])</f>
        <v>Electricity, CHP and heat plants (T)</v>
      </c>
      <c r="AO266" s="24" t="str" cm="1">
        <f t="array" ref="AO266">IFERROR(INDEX(Transactions[[Transaction code]:[Transaction name]],_xlfn.XMATCH(INDEX(Transactions[[Transaction name]:[Parent code]],_xlfn.XMATCH(Transactions[[#This Row],[L4N]],Transactions[Transaction name],0),3),Transactions[Transaction code],0),2),Transactions[[#This Row],[L4N]])</f>
        <v>Transformation</v>
      </c>
      <c r="AP266" s="24" t="str" cm="1">
        <f t="array" ref="AP266">IFERROR(INDEX(Transactions[[Transaction code]:[Transaction name]],_xlfn.XMATCH(INDEX(Transactions[[Transaction name]:[Parent code]],_xlfn.XMATCH(Transactions[[#This Row],[L5N]],Transactions[Transaction name],0),3),Transactions[Transaction code],0),2),Transactions[[#This Row],[L5N]])</f>
        <v>Transformation</v>
      </c>
      <c r="AQ266" s="24" t="str" cm="1">
        <f t="array" ref="AQ266">IFERROR(INDEX(Transactions[[Transaction code]:[Transaction name]],_xlfn.XMATCH(INDEX(Transactions[[Transaction name]:[Parent code]],_xlfn.XMATCH(Transactions[[#This Row],[L6N]],Transactions[Transaction name],0),3),Transactions[Transaction code],0),2),Transactions[[#This Row],[L6N]])</f>
        <v>Transformation</v>
      </c>
      <c r="AR266" s="28" t="str">
        <f>IF(Transactions[[#This Row],[L7N]]=Transactions[[#This Row],[L6N]],Transactions[[#This Row],[L7N]],IF(Transactions[[#This Row],[L6N]]=Transactions[[#This Row],[L5N]],Transactions[[#This Row],[L6N]],IF(Transactions[[#This Row],[L5N]]=Transactions[[#This Row],[L4N]],Transactions[[#This Row],[L5N]],IF(Transactions[[#This Row],[L4N]]=Transactions[[#This Row],[L3N]],Transactions[[#This Row],[L4N]],IF(Transactions[[#This Row],[L3N]]=Transactions[[#This Row],[L2N]],Transactions[[#This Row],[L3N]],IF(Transactions[[#This Row],[L2N]]=Transactions[[#This Row],[L1N]],Transactions[[#This Row],[L2N]],IF(Transactions[[#This Row],[L1N]]=Transactions[[#This Row],[Transaction name]],Transactions[[#This Row],[L1N]],Transactions[[#This Row],[Transaction name]])))))))</f>
        <v>Transformation</v>
      </c>
      <c r="AS266" s="24" t="str">
        <f>IF(Transactions[[#This Row],[Level 0]]=Transactions[[#This Row],[Transaction name]],Transactions[[#This Row],[Transaction name]],IF(Transactions[[#This Row],[Level 0]]=Transactions[[#This Row],[L1N]],Transactions[[#This Row],[Transaction name]],IF(Transactions[[#This Row],[Level 0]]=Transactions[[#This Row],[L2N]],Transactions[[#This Row],[L1N]],IF(Transactions[[#This Row],[Level 0]]=Transactions[[#This Row],[L3N]],Transactions[[#This Row],[L2N]],IF(Transactions[[#This Row],[Level 0]]=Transactions[[#This Row],[L4N]],Transactions[[#This Row],[L3N]],IF(Transactions[[#This Row],[Level 0]]=Transactions[[#This Row],[L5N]],Transactions[[#This Row],[L4N]],IF(Transactions[[#This Row],[Level 0]]=Transactions[[#This Row],[L6N]],Transactions[[#This Row],[L5N]],IF(Transactions[[#This Row],[Level 0]]=Transactions[[#This Row],[L7N]],Transactions[[#This Row],[L6N]],Transactions[[#This Row],[L7N]]))))))))</f>
        <v>Electricity, CHP and heat plants (T)</v>
      </c>
      <c r="AT266" s="24" t="str">
        <f>IF(Transactions[[#This Row],[Level 1]]=Transactions[[#This Row],[Transaction name]],Transactions[[#This Row],[Transaction name]],IF(Transactions[[#This Row],[Level 1]]=Transactions[[#This Row],[L1N]],Transactions[[#This Row],[Transaction name]],IF(Transactions[[#This Row],[Level 1]]=Transactions[[#This Row],[L2N]],Transactions[[#This Row],[L1N]],IF(Transactions[[#This Row],[Level 1]]=Transactions[[#This Row],[L3N]],Transactions[[#This Row],[L2N]],IF(Transactions[[#This Row],[Level 1]]=Transactions[[#This Row],[L4N]],Transactions[[#This Row],[L3N]],IF(Transactions[[#This Row],[Level 1]]=Transactions[[#This Row],[L5N]],Transactions[[#This Row],[L4N]],IF(Transactions[[#This Row],[Level 1]]=Transactions[[#This Row],[L6N]],Transactions[[#This Row],[L5N]],IF(Transactions[[#This Row],[Level 1]]=Transactions[[#This Row],[L7N]],Transactions[[#This Row],[L6N]],Transactions[[#This Row],[L7N]]))))))))</f>
        <v>CHP plants</v>
      </c>
      <c r="AU266" s="24" t="str">
        <f>IF(Transactions[[#This Row],[Level 2]]=Transactions[[#This Row],[Transaction name]],Transactions[[#This Row],[Transaction name]],IF(Transactions[[#This Row],[Level 2]]=Transactions[[#This Row],[L1N]],Transactions[[#This Row],[Transaction name]],IF(Transactions[[#This Row],[Level 2]]=Transactions[[#This Row],[L2N]],Transactions[[#This Row],[L1N]],IF(Transactions[[#This Row],[Level 2]]=Transactions[[#This Row],[L3N]],Transactions[[#This Row],[L2N]],IF(Transactions[[#This Row],[Level 2]]=Transactions[[#This Row],[L4N]],Transactions[[#This Row],[L3N]],IF(Transactions[[#This Row],[Level 2]]=Transactions[[#This Row],[L5N]],Transactions[[#This Row],[L4N]],IF(Transactions[[#This Row],[Level 2]]=Transactions[[#This Row],[L6N]],Transactions[[#This Row],[L5N]],IF(Transactions[[#This Row],[Level 2]]=Transactions[[#This Row],[L7N]],Transactions[[#This Row],[L6N]],Transactions[[#This Row],[L7N]]))))))))</f>
        <v>CHP plants - gas oil/diesel oil</v>
      </c>
      <c r="AV266" s="24" t="str">
        <f>IF(Transactions[[#This Row],[Level 3]]=Transactions[[#This Row],[Transaction name]],Transactions[[#This Row],[Transaction name]],IF(Transactions[[#This Row],[Level 3]]=Transactions[[#This Row],[L1N]],Transactions[[#This Row],[Transaction name]],IF(Transactions[[#This Row],[Level 3]]=Transactions[[#This Row],[L2N]],Transactions[[#This Row],[L1N]],IF(Transactions[[#This Row],[Level 3]]=Transactions[[#This Row],[L3N]],Transactions[[#This Row],[L2N]],IF(Transactions[[#This Row],[Level 3]]=Transactions[[#This Row],[L4N]],Transactions[[#This Row],[L3N]],IF(Transactions[[#This Row],[Level 3]]=Transactions[[#This Row],[L5N]],Transactions[[#This Row],[L4N]],IF(Transactions[[#This Row],[Level 3]]=Transactions[[#This Row],[L6N]],Transactions[[#This Row],[L5N]],IF(Transactions[[#This Row],[Level 3]]=Transactions[[#This Row],[L7N]],Transactions[[#This Row],[L6N]],Transactions[[#This Row],[L7N]]))))))))</f>
        <v>CHP plants - Autoproducer - gas oil/diesel oil</v>
      </c>
      <c r="AW266" s="24" t="str">
        <f>IF(Transactions[[#This Row],[Level 4]]=Transactions[[#This Row],[Transaction name]],Transactions[[#This Row],[Transaction name]],IF(Transactions[[#This Row],[Level 4]]=Transactions[[#This Row],[L1N]],Transactions[[#This Row],[Transaction name]],IF(Transactions[[#This Row],[Level 4]]=Transactions[[#This Row],[L2N]],Transactions[[#This Row],[L1N]],IF(Transactions[[#This Row],[Level 4]]=Transactions[[#This Row],[L3N]],Transactions[[#This Row],[L2N]],IF(Transactions[[#This Row],[Level 4]]=Transactions[[#This Row],[L4N]],Transactions[[#This Row],[L3N]],IF(Transactions[[#This Row],[Level 4]]=Transactions[[#This Row],[L5N]],Transactions[[#This Row],[L4N]],IF(Transactions[[#This Row],[Level 4]]=Transactions[[#This Row],[L6N]],Transactions[[#This Row],[L5N]],IF(Transactions[[#This Row],[Level 4]]=Transactions[[#This Row],[L7N]],Transactions[[#This Row],[L6N]],Transactions[[#This Row],[L7N]]))))))))</f>
        <v>CHP plants - Autoproducer - gas oil/diesel oil</v>
      </c>
      <c r="AX266" s="24" t="str">
        <f>IF(Transactions[[#This Row],[Level 5]]=Transactions[[#This Row],[Transaction name]],Transactions[[#This Row],[Transaction name]],IF(Transactions[[#This Row],[Level 5]]=Transactions[[#This Row],[L1N]],Transactions[[#This Row],[Transaction name]],IF(Transactions[[#This Row],[Level 5]]=Transactions[[#This Row],[L2N]],Transactions[[#This Row],[L1N]],IF(Transactions[[#This Row],[Level 5]]=Transactions[[#This Row],[L3N]],Transactions[[#This Row],[L2N]],IF(Transactions[[#This Row],[Level 5]]=Transactions[[#This Row],[L4N]],Transactions[[#This Row],[L3N]],IF(Transactions[[#This Row],[Level 5]]=Transactions[[#This Row],[L5N]],Transactions[[#This Row],[L4N]],IF(Transactions[[#This Row],[Level 5]]=Transactions[[#This Row],[L6N]],Transactions[[#This Row],[L5N]],IF(Transactions[[#This Row],[Level 5]]=Transactions[[#This Row],[L7N]],Transactions[[#This Row],[L6N]],Transactions[[#This Row],[L7N]]))))))))</f>
        <v>CHP plants - Autoproducer - gas oil/diesel oil</v>
      </c>
      <c r="AY266" s="24" t="str">
        <f>IF(Transactions[[#This Row],[Level 6]]=Transactions[[#This Row],[Transaction name]],Transactions[[#This Row],[Transaction name]],IF(Transactions[[#This Row],[Level 6]]=Transactions[[#This Row],[L1N]],Transactions[[#This Row],[Transaction name]],IF(Transactions[[#This Row],[Level 6]]=Transactions[[#This Row],[L2N]],Transactions[[#This Row],[L1N]],IF(Transactions[[#This Row],[Level 6]]=Transactions[[#This Row],[L3N]],Transactions[[#This Row],[L2N]],IF(Transactions[[#This Row],[Level 6]]=Transactions[[#This Row],[L4N]],Transactions[[#This Row],[L3N]],IF(Transactions[[#This Row],[Level 6]]=Transactions[[#This Row],[L5N]],Transactions[[#This Row],[L4N]],IF(Transactions[[#This Row],[Level 6]]=Transactions[[#This Row],[L6N]],Transactions[[#This Row],[L5N]],IF(Transactions[[#This Row],[Level 6]]=Transactions[[#This Row],[L7N]],Transactions[[#This Row],[L6N]],Transactions[[#This Row],[L7N]]))))))))</f>
        <v>CHP plants - Autoproducer - gas oil/diesel oil</v>
      </c>
      <c r="BE266" s="26" t="str">
        <f>_xlfn.XLOOKUP(Transformation[[#This Row],[cfrom]],Commodities[Commodity],Commodities[Commodity code])</f>
        <v>4652</v>
      </c>
      <c r="BF266" s="26" t="str">
        <f>_xlfn.XLOOKUP(Transformation[[#This Row],[tfrom]],Transactions[Transaction name],Transactions[Transaction code])</f>
        <v>08831</v>
      </c>
      <c r="BG266" s="26" t="str">
        <f>_xlfn.XLOOKUP(Transformation[[#This Row],[cto]],Commodities[Commodity],Commodities[Commodity code])</f>
        <v>4652</v>
      </c>
      <c r="BH266" s="26" t="str">
        <f>_xlfn.XLOOKUP(Transformation[[#This Row],[tto]],Transactions[Transaction name],Transactions[Transaction code])</f>
        <v>015OPH</v>
      </c>
      <c r="BI266" s="11">
        <v>1</v>
      </c>
      <c r="BJ266" s="4" t="s">
        <v>394</v>
      </c>
      <c r="BK266" s="24" t="str">
        <f>_xlfn.XLOOKUP(Transformation[[#This Row],[Commodity from]],Commodities[Commodity code],Commodities[EnergyCode])</f>
        <v>MO</v>
      </c>
      <c r="BL266" s="4" t="s">
        <v>693</v>
      </c>
      <c r="BM266" s="4" t="s">
        <v>394</v>
      </c>
      <c r="BN266" s="24" t="str">
        <f>_xlfn.XLOOKUP(Transformation[[#This Row],[Commodity to]],Commodities[Commodity code],Commodities[EnergyCode])</f>
        <v>MO</v>
      </c>
      <c r="BO266" s="4" t="s">
        <v>1052</v>
      </c>
      <c r="BP266" s="16" t="s">
        <v>1493</v>
      </c>
      <c r="BQ266" s="33" t="str">
        <f>Transformation[[#This Row],[Commodity from]]&amp;Transformation[[#This Row],[Transaction from]]&amp;Transformation[[#This Row],[Commodity to]]&amp;Transformation[[#This Row],[Transaction to]]</f>
        <v>4652088314652015OPH</v>
      </c>
      <c r="BR266" s="26" t="str">
        <f>Transformation[[#This Row],[crfomid]]&amp;Transformation[[#This Row],[Transaction from]]&amp;"("&amp;Transformation[[#This Row],[Multiplier]]&amp;") -&gt; "&amp;Transformation[[#This Row],[ctoid]]&amp;Transformation[[#This Row],[Transaction to]]</f>
        <v>MO08831(1) -&gt; MO015OPH</v>
      </c>
    </row>
    <row r="267" spans="25:70" x14ac:dyDescent="0.45">
      <c r="Y267" s="19" t="s">
        <v>1616</v>
      </c>
      <c r="Z267" s="18" t="s">
        <v>1343</v>
      </c>
      <c r="AA267" s="18" t="s">
        <v>1343</v>
      </c>
      <c r="AB267" s="19" t="s">
        <v>1627</v>
      </c>
      <c r="AC267" s="26" t="str">
        <f>IFERROR(VLOOKUP(Transactions[[#This Row],[Parent code]],Transactions[[Transaction code]:[Transaction name]],2,0),"")</f>
        <v>CHP plants</v>
      </c>
      <c r="AD267" s="18" t="s">
        <v>189</v>
      </c>
      <c r="AE267" s="18" t="s">
        <v>922</v>
      </c>
      <c r="AF267" s="18" t="s">
        <v>642</v>
      </c>
      <c r="AG267" s="18" t="s">
        <v>1</v>
      </c>
      <c r="AH267" s="18" t="s">
        <v>696</v>
      </c>
      <c r="AI267" s="18" t="s">
        <v>1416</v>
      </c>
      <c r="AJ267" s="18"/>
      <c r="AK267" s="26" t="str" cm="1">
        <f t="array" ref="AK267">IFERROR(INDEX(Transactions[[Transaction code]:[Transaction name]],_xlfn.XMATCH(Transactions[[#This Row],[Parent code]],Transactions[Transaction name],0),3),Transactions[[#This Row],[Transaction name]])</f>
        <v>CHP plants - gas oil/diesel oil</v>
      </c>
      <c r="AL267" s="26" t="str" cm="1">
        <f t="array" ref="AL267">IFERROR(INDEX(Transactions[[Transaction code]:[Transaction name]],_xlfn.XMATCH(INDEX(Transactions[[Transaction name]:[Parent code]],_xlfn.XMATCH(Transactions[[#This Row],[L1N]],Transactions[Transaction name],0),3),Transactions[Transaction code],0),2),Transactions[[#This Row],[L1N]])</f>
        <v>CHP plants</v>
      </c>
      <c r="AM267" s="26" t="str" cm="1">
        <f t="array" ref="AM267">IFERROR(INDEX(Transactions[[Transaction code]:[Transaction name]],_xlfn.XMATCH(INDEX(Transactions[[Transaction name]:[Parent code]],_xlfn.XMATCH(Transactions[[#This Row],[L2N]],Transactions[Transaction name],0),3),Transactions[Transaction code],0),2),Transactions[[#This Row],[L2N]])</f>
        <v>Electricity, CHP and heat plants (T)</v>
      </c>
      <c r="AN267" s="26" t="str" cm="1">
        <f t="array" ref="AN267">IFERROR(INDEX(Transactions[[Transaction code]:[Transaction name]],_xlfn.XMATCH(INDEX(Transactions[[Transaction name]:[Parent code]],_xlfn.XMATCH(Transactions[[#This Row],[L3N]],Transactions[Transaction name],0),3),Transactions[Transaction code],0),2),Transactions[[#This Row],[L3N]])</f>
        <v>Transformation</v>
      </c>
      <c r="AO267" s="26" t="str" cm="1">
        <f t="array" ref="AO267">IFERROR(INDEX(Transactions[[Transaction code]:[Transaction name]],_xlfn.XMATCH(INDEX(Transactions[[Transaction name]:[Parent code]],_xlfn.XMATCH(Transactions[[#This Row],[L4N]],Transactions[Transaction name],0),3),Transactions[Transaction code],0),2),Transactions[[#This Row],[L4N]])</f>
        <v>Transformation</v>
      </c>
      <c r="AP267" s="26" t="str" cm="1">
        <f t="array" ref="AP267">IFERROR(INDEX(Transactions[[Transaction code]:[Transaction name]],_xlfn.XMATCH(INDEX(Transactions[[Transaction name]:[Parent code]],_xlfn.XMATCH(Transactions[[#This Row],[L5N]],Transactions[Transaction name],0),3),Transactions[Transaction code],0),2),Transactions[[#This Row],[L5N]])</f>
        <v>Transformation</v>
      </c>
      <c r="AQ267" s="26" t="str" cm="1">
        <f t="array" ref="AQ267">IFERROR(INDEX(Transactions[[Transaction code]:[Transaction name]],_xlfn.XMATCH(INDEX(Transactions[[Transaction name]:[Parent code]],_xlfn.XMATCH(Transactions[[#This Row],[L6N]],Transactions[Transaction name],0),3),Transactions[Transaction code],0),2),Transactions[[#This Row],[L6N]])</f>
        <v>Transformation</v>
      </c>
      <c r="AR267" s="29" t="str">
        <f>IF(Transactions[[#This Row],[L7N]]=Transactions[[#This Row],[L6N]],Transactions[[#This Row],[L7N]],IF(Transactions[[#This Row],[L6N]]=Transactions[[#This Row],[L5N]],Transactions[[#This Row],[L6N]],IF(Transactions[[#This Row],[L5N]]=Transactions[[#This Row],[L4N]],Transactions[[#This Row],[L5N]],IF(Transactions[[#This Row],[L4N]]=Transactions[[#This Row],[L3N]],Transactions[[#This Row],[L4N]],IF(Transactions[[#This Row],[L3N]]=Transactions[[#This Row],[L2N]],Transactions[[#This Row],[L3N]],IF(Transactions[[#This Row],[L2N]]=Transactions[[#This Row],[L1N]],Transactions[[#This Row],[L2N]],IF(Transactions[[#This Row],[L1N]]=Transactions[[#This Row],[Transaction name]],Transactions[[#This Row],[L1N]],Transactions[[#This Row],[Transaction name]])))))))</f>
        <v>Transformation</v>
      </c>
      <c r="AS267" s="26" t="str">
        <f>IF(Transactions[[#This Row],[Level 0]]=Transactions[[#This Row],[Transaction name]],Transactions[[#This Row],[Transaction name]],IF(Transactions[[#This Row],[Level 0]]=Transactions[[#This Row],[L1N]],Transactions[[#This Row],[Transaction name]],IF(Transactions[[#This Row],[Level 0]]=Transactions[[#This Row],[L2N]],Transactions[[#This Row],[L1N]],IF(Transactions[[#This Row],[Level 0]]=Transactions[[#This Row],[L3N]],Transactions[[#This Row],[L2N]],IF(Transactions[[#This Row],[Level 0]]=Transactions[[#This Row],[L4N]],Transactions[[#This Row],[L3N]],IF(Transactions[[#This Row],[Level 0]]=Transactions[[#This Row],[L5N]],Transactions[[#This Row],[L4N]],IF(Transactions[[#This Row],[Level 0]]=Transactions[[#This Row],[L6N]],Transactions[[#This Row],[L5N]],IF(Transactions[[#This Row],[Level 0]]=Transactions[[#This Row],[L7N]],Transactions[[#This Row],[L6N]],Transactions[[#This Row],[L7N]]))))))))</f>
        <v>Electricity, CHP and heat plants (T)</v>
      </c>
      <c r="AT267" s="26" t="str">
        <f>IF(Transactions[[#This Row],[Level 1]]=Transactions[[#This Row],[Transaction name]],Transactions[[#This Row],[Transaction name]],IF(Transactions[[#This Row],[Level 1]]=Transactions[[#This Row],[L1N]],Transactions[[#This Row],[Transaction name]],IF(Transactions[[#This Row],[Level 1]]=Transactions[[#This Row],[L2N]],Transactions[[#This Row],[L1N]],IF(Transactions[[#This Row],[Level 1]]=Transactions[[#This Row],[L3N]],Transactions[[#This Row],[L2N]],IF(Transactions[[#This Row],[Level 1]]=Transactions[[#This Row],[L4N]],Transactions[[#This Row],[L3N]],IF(Transactions[[#This Row],[Level 1]]=Transactions[[#This Row],[L5N]],Transactions[[#This Row],[L4N]],IF(Transactions[[#This Row],[Level 1]]=Transactions[[#This Row],[L6N]],Transactions[[#This Row],[L5N]],IF(Transactions[[#This Row],[Level 1]]=Transactions[[#This Row],[L7N]],Transactions[[#This Row],[L6N]],Transactions[[#This Row],[L7N]]))))))))</f>
        <v>CHP plants</v>
      </c>
      <c r="AU267" s="26" t="str">
        <f>IF(Transactions[[#This Row],[Level 2]]=Transactions[[#This Row],[Transaction name]],Transactions[[#This Row],[Transaction name]],IF(Transactions[[#This Row],[Level 2]]=Transactions[[#This Row],[L1N]],Transactions[[#This Row],[Transaction name]],IF(Transactions[[#This Row],[Level 2]]=Transactions[[#This Row],[L2N]],Transactions[[#This Row],[L1N]],IF(Transactions[[#This Row],[Level 2]]=Transactions[[#This Row],[L3N]],Transactions[[#This Row],[L2N]],IF(Transactions[[#This Row],[Level 2]]=Transactions[[#This Row],[L4N]],Transactions[[#This Row],[L3N]],IF(Transactions[[#This Row],[Level 2]]=Transactions[[#This Row],[L5N]],Transactions[[#This Row],[L4N]],IF(Transactions[[#This Row],[Level 2]]=Transactions[[#This Row],[L6N]],Transactions[[#This Row],[L5N]],IF(Transactions[[#This Row],[Level 2]]=Transactions[[#This Row],[L7N]],Transactions[[#This Row],[L6N]],Transactions[[#This Row],[L7N]]))))))))</f>
        <v>CHP plants - gas oil/diesel oil</v>
      </c>
      <c r="AV267" s="26" t="str">
        <f>IF(Transactions[[#This Row],[Level 3]]=Transactions[[#This Row],[Transaction name]],Transactions[[#This Row],[Transaction name]],IF(Transactions[[#This Row],[Level 3]]=Transactions[[#This Row],[L1N]],Transactions[[#This Row],[Transaction name]],IF(Transactions[[#This Row],[Level 3]]=Transactions[[#This Row],[L2N]],Transactions[[#This Row],[L1N]],IF(Transactions[[#This Row],[Level 3]]=Transactions[[#This Row],[L3N]],Transactions[[#This Row],[L2N]],IF(Transactions[[#This Row],[Level 3]]=Transactions[[#This Row],[L4N]],Transactions[[#This Row],[L3N]],IF(Transactions[[#This Row],[Level 3]]=Transactions[[#This Row],[L5N]],Transactions[[#This Row],[L4N]],IF(Transactions[[#This Row],[Level 3]]=Transactions[[#This Row],[L6N]],Transactions[[#This Row],[L5N]],IF(Transactions[[#This Row],[Level 3]]=Transactions[[#This Row],[L7N]],Transactions[[#This Row],[L6N]],Transactions[[#This Row],[L7N]]))))))))</f>
        <v>CHP plants - gas oil/diesel oil</v>
      </c>
      <c r="AW267" s="26" t="str">
        <f>IF(Transactions[[#This Row],[Level 4]]=Transactions[[#This Row],[Transaction name]],Transactions[[#This Row],[Transaction name]],IF(Transactions[[#This Row],[Level 4]]=Transactions[[#This Row],[L1N]],Transactions[[#This Row],[Transaction name]],IF(Transactions[[#This Row],[Level 4]]=Transactions[[#This Row],[L2N]],Transactions[[#This Row],[L1N]],IF(Transactions[[#This Row],[Level 4]]=Transactions[[#This Row],[L3N]],Transactions[[#This Row],[L2N]],IF(Transactions[[#This Row],[Level 4]]=Transactions[[#This Row],[L4N]],Transactions[[#This Row],[L3N]],IF(Transactions[[#This Row],[Level 4]]=Transactions[[#This Row],[L5N]],Transactions[[#This Row],[L4N]],IF(Transactions[[#This Row],[Level 4]]=Transactions[[#This Row],[L6N]],Transactions[[#This Row],[L5N]],IF(Transactions[[#This Row],[Level 4]]=Transactions[[#This Row],[L7N]],Transactions[[#This Row],[L6N]],Transactions[[#This Row],[L7N]]))))))))</f>
        <v>CHP plants - gas oil/diesel oil</v>
      </c>
      <c r="AX267" s="26" t="str">
        <f>IF(Transactions[[#This Row],[Level 5]]=Transactions[[#This Row],[Transaction name]],Transactions[[#This Row],[Transaction name]],IF(Transactions[[#This Row],[Level 5]]=Transactions[[#This Row],[L1N]],Transactions[[#This Row],[Transaction name]],IF(Transactions[[#This Row],[Level 5]]=Transactions[[#This Row],[L2N]],Transactions[[#This Row],[L1N]],IF(Transactions[[#This Row],[Level 5]]=Transactions[[#This Row],[L3N]],Transactions[[#This Row],[L2N]],IF(Transactions[[#This Row],[Level 5]]=Transactions[[#This Row],[L4N]],Transactions[[#This Row],[L3N]],IF(Transactions[[#This Row],[Level 5]]=Transactions[[#This Row],[L5N]],Transactions[[#This Row],[L4N]],IF(Transactions[[#This Row],[Level 5]]=Transactions[[#This Row],[L6N]],Transactions[[#This Row],[L5N]],IF(Transactions[[#This Row],[Level 5]]=Transactions[[#This Row],[L7N]],Transactions[[#This Row],[L6N]],Transactions[[#This Row],[L7N]]))))))))</f>
        <v>CHP plants - gas oil/diesel oil</v>
      </c>
      <c r="AY267" s="26" t="str">
        <f>IF(Transactions[[#This Row],[Level 6]]=Transactions[[#This Row],[Transaction name]],Transactions[[#This Row],[Transaction name]],IF(Transactions[[#This Row],[Level 6]]=Transactions[[#This Row],[L1N]],Transactions[[#This Row],[Transaction name]],IF(Transactions[[#This Row],[Level 6]]=Transactions[[#This Row],[L2N]],Transactions[[#This Row],[L1N]],IF(Transactions[[#This Row],[Level 6]]=Transactions[[#This Row],[L3N]],Transactions[[#This Row],[L2N]],IF(Transactions[[#This Row],[Level 6]]=Transactions[[#This Row],[L4N]],Transactions[[#This Row],[L3N]],IF(Transactions[[#This Row],[Level 6]]=Transactions[[#This Row],[L5N]],Transactions[[#This Row],[L4N]],IF(Transactions[[#This Row],[Level 6]]=Transactions[[#This Row],[L6N]],Transactions[[#This Row],[L5N]],IF(Transactions[[#This Row],[Level 6]]=Transactions[[#This Row],[L7N]],Transactions[[#This Row],[L6N]],Transactions[[#This Row],[L7N]]))))))))</f>
        <v>CHP plants - gas oil/diesel oil</v>
      </c>
      <c r="BE267" s="26" t="str">
        <f>_xlfn.XLOOKUP(Transformation[[#This Row],[cfrom]],Commodities[Commodity],Commodities[Commodity code])</f>
        <v>6200</v>
      </c>
      <c r="BF267" s="26" t="str">
        <f>_xlfn.XLOOKUP(Transformation[[#This Row],[tfrom]],Transactions[Transaction name],Transactions[Transaction code])</f>
        <v>08831</v>
      </c>
      <c r="BG267" s="26" t="str">
        <f>_xlfn.XLOOKUP(Transformation[[#This Row],[cto]],Commodities[Commodity],Commodities[Commodity code])</f>
        <v>6200</v>
      </c>
      <c r="BH267" s="26" t="str">
        <f>_xlfn.XLOOKUP(Transformation[[#This Row],[tto]],Transactions[Transaction name],Transactions[Transaction code])</f>
        <v>015MSWH</v>
      </c>
      <c r="BI267" s="11">
        <v>1</v>
      </c>
      <c r="BJ267" s="4" t="s">
        <v>288</v>
      </c>
      <c r="BK267" s="24" t="str">
        <f>_xlfn.XLOOKUP(Transformation[[#This Row],[Commodity from]],Commodities[Commodity code],Commodities[EnergyCode])</f>
        <v>MW</v>
      </c>
      <c r="BL267" s="4" t="s">
        <v>693</v>
      </c>
      <c r="BM267" s="4" t="s">
        <v>288</v>
      </c>
      <c r="BN267" s="24" t="str">
        <f>_xlfn.XLOOKUP(Transformation[[#This Row],[Commodity to]],Commodities[Commodity code],Commodities[EnergyCode])</f>
        <v>MW</v>
      </c>
      <c r="BO267" s="4" t="s">
        <v>1140</v>
      </c>
      <c r="BP267" s="16" t="s">
        <v>1493</v>
      </c>
      <c r="BQ267" s="33" t="str">
        <f>Transformation[[#This Row],[Commodity from]]&amp;Transformation[[#This Row],[Transaction from]]&amp;Transformation[[#This Row],[Commodity to]]&amp;Transformation[[#This Row],[Transaction to]]</f>
        <v>6200088316200015MSWH</v>
      </c>
      <c r="BR267" s="26" t="str">
        <f>Transformation[[#This Row],[crfomid]]&amp;Transformation[[#This Row],[Transaction from]]&amp;"("&amp;Transformation[[#This Row],[Multiplier]]&amp;") -&gt; "&amp;Transformation[[#This Row],[ctoid]]&amp;Transformation[[#This Row],[Transaction to]]</f>
        <v>MW08831(1) -&gt; MW015MSWH</v>
      </c>
    </row>
    <row r="268" spans="25:70" x14ac:dyDescent="0.45">
      <c r="Y268" s="5" t="s">
        <v>1042</v>
      </c>
      <c r="Z268" s="7" t="s">
        <v>1034</v>
      </c>
      <c r="AA268" s="4" t="s">
        <v>1343</v>
      </c>
      <c r="AB268" s="19" t="s">
        <v>1616</v>
      </c>
      <c r="AC268" s="24" t="str">
        <f>IFERROR(VLOOKUP(Transactions[[#This Row],[Parent code]],Transactions[[Transaction code]:[Transaction name]],2,0),"")</f>
        <v>CHP plants - gas oil/diesel oil</v>
      </c>
      <c r="AD268" s="4" t="s">
        <v>189</v>
      </c>
      <c r="AE268" s="4" t="s">
        <v>922</v>
      </c>
      <c r="AF268" s="4" t="s">
        <v>642</v>
      </c>
      <c r="AG268" s="4" t="s">
        <v>1</v>
      </c>
      <c r="AH268" s="4" t="s">
        <v>696</v>
      </c>
      <c r="AI268" s="12" t="s">
        <v>1416</v>
      </c>
      <c r="AK268" s="24" t="str" cm="1">
        <f t="array" ref="AK268">IFERROR(INDEX(Transactions[[Transaction code]:[Transaction name]],_xlfn.XMATCH(Transactions[[#This Row],[Parent code]],Transactions[Transaction name],0),3),Transactions[[#This Row],[Transaction name]])</f>
        <v>CHP plants - Main activity - gas oil/diesel oil</v>
      </c>
      <c r="AL268" s="24" t="str" cm="1">
        <f t="array" ref="AL268">IFERROR(INDEX(Transactions[[Transaction code]:[Transaction name]],_xlfn.XMATCH(INDEX(Transactions[[Transaction name]:[Parent code]],_xlfn.XMATCH(Transactions[[#This Row],[L1N]],Transactions[Transaction name],0),3),Transactions[Transaction code],0),2),Transactions[[#This Row],[L1N]])</f>
        <v>CHP plants - gas oil/diesel oil</v>
      </c>
      <c r="AM268" s="24" t="str" cm="1">
        <f t="array" ref="AM268">IFERROR(INDEX(Transactions[[Transaction code]:[Transaction name]],_xlfn.XMATCH(INDEX(Transactions[[Transaction name]:[Parent code]],_xlfn.XMATCH(Transactions[[#This Row],[L2N]],Transactions[Transaction name],0),3),Transactions[Transaction code],0),2),Transactions[[#This Row],[L2N]])</f>
        <v>CHP plants</v>
      </c>
      <c r="AN268" s="24" t="str" cm="1">
        <f t="array" ref="AN268">IFERROR(INDEX(Transactions[[Transaction code]:[Transaction name]],_xlfn.XMATCH(INDEX(Transactions[[Transaction name]:[Parent code]],_xlfn.XMATCH(Transactions[[#This Row],[L3N]],Transactions[Transaction name],0),3),Transactions[Transaction code],0),2),Transactions[[#This Row],[L3N]])</f>
        <v>Electricity, CHP and heat plants (T)</v>
      </c>
      <c r="AO268" s="24" t="str" cm="1">
        <f t="array" ref="AO268">IFERROR(INDEX(Transactions[[Transaction code]:[Transaction name]],_xlfn.XMATCH(INDEX(Transactions[[Transaction name]:[Parent code]],_xlfn.XMATCH(Transactions[[#This Row],[L4N]],Transactions[Transaction name],0),3),Transactions[Transaction code],0),2),Transactions[[#This Row],[L4N]])</f>
        <v>Transformation</v>
      </c>
      <c r="AP268" s="24" t="str" cm="1">
        <f t="array" ref="AP268">IFERROR(INDEX(Transactions[[Transaction code]:[Transaction name]],_xlfn.XMATCH(INDEX(Transactions[[Transaction name]:[Parent code]],_xlfn.XMATCH(Transactions[[#This Row],[L5N]],Transactions[Transaction name],0),3),Transactions[Transaction code],0),2),Transactions[[#This Row],[L5N]])</f>
        <v>Transformation</v>
      </c>
      <c r="AQ268" s="24" t="str" cm="1">
        <f t="array" ref="AQ268">IFERROR(INDEX(Transactions[[Transaction code]:[Transaction name]],_xlfn.XMATCH(INDEX(Transactions[[Transaction name]:[Parent code]],_xlfn.XMATCH(Transactions[[#This Row],[L6N]],Transactions[Transaction name],0),3),Transactions[Transaction code],0),2),Transactions[[#This Row],[L6N]])</f>
        <v>Transformation</v>
      </c>
      <c r="AR268" s="28" t="str">
        <f>IF(Transactions[[#This Row],[L7N]]=Transactions[[#This Row],[L6N]],Transactions[[#This Row],[L7N]],IF(Transactions[[#This Row],[L6N]]=Transactions[[#This Row],[L5N]],Transactions[[#This Row],[L6N]],IF(Transactions[[#This Row],[L5N]]=Transactions[[#This Row],[L4N]],Transactions[[#This Row],[L5N]],IF(Transactions[[#This Row],[L4N]]=Transactions[[#This Row],[L3N]],Transactions[[#This Row],[L4N]],IF(Transactions[[#This Row],[L3N]]=Transactions[[#This Row],[L2N]],Transactions[[#This Row],[L3N]],IF(Transactions[[#This Row],[L2N]]=Transactions[[#This Row],[L1N]],Transactions[[#This Row],[L2N]],IF(Transactions[[#This Row],[L1N]]=Transactions[[#This Row],[Transaction name]],Transactions[[#This Row],[L1N]],Transactions[[#This Row],[Transaction name]])))))))</f>
        <v>Transformation</v>
      </c>
      <c r="AS268" s="24" t="str">
        <f>IF(Transactions[[#This Row],[Level 0]]=Transactions[[#This Row],[Transaction name]],Transactions[[#This Row],[Transaction name]],IF(Transactions[[#This Row],[Level 0]]=Transactions[[#This Row],[L1N]],Transactions[[#This Row],[Transaction name]],IF(Transactions[[#This Row],[Level 0]]=Transactions[[#This Row],[L2N]],Transactions[[#This Row],[L1N]],IF(Transactions[[#This Row],[Level 0]]=Transactions[[#This Row],[L3N]],Transactions[[#This Row],[L2N]],IF(Transactions[[#This Row],[Level 0]]=Transactions[[#This Row],[L4N]],Transactions[[#This Row],[L3N]],IF(Transactions[[#This Row],[Level 0]]=Transactions[[#This Row],[L5N]],Transactions[[#This Row],[L4N]],IF(Transactions[[#This Row],[Level 0]]=Transactions[[#This Row],[L6N]],Transactions[[#This Row],[L5N]],IF(Transactions[[#This Row],[Level 0]]=Transactions[[#This Row],[L7N]],Transactions[[#This Row],[L6N]],Transactions[[#This Row],[L7N]]))))))))</f>
        <v>Electricity, CHP and heat plants (T)</v>
      </c>
      <c r="AT268" s="24" t="str">
        <f>IF(Transactions[[#This Row],[Level 1]]=Transactions[[#This Row],[Transaction name]],Transactions[[#This Row],[Transaction name]],IF(Transactions[[#This Row],[Level 1]]=Transactions[[#This Row],[L1N]],Transactions[[#This Row],[Transaction name]],IF(Transactions[[#This Row],[Level 1]]=Transactions[[#This Row],[L2N]],Transactions[[#This Row],[L1N]],IF(Transactions[[#This Row],[Level 1]]=Transactions[[#This Row],[L3N]],Transactions[[#This Row],[L2N]],IF(Transactions[[#This Row],[Level 1]]=Transactions[[#This Row],[L4N]],Transactions[[#This Row],[L3N]],IF(Transactions[[#This Row],[Level 1]]=Transactions[[#This Row],[L5N]],Transactions[[#This Row],[L4N]],IF(Transactions[[#This Row],[Level 1]]=Transactions[[#This Row],[L6N]],Transactions[[#This Row],[L5N]],IF(Transactions[[#This Row],[Level 1]]=Transactions[[#This Row],[L7N]],Transactions[[#This Row],[L6N]],Transactions[[#This Row],[L7N]]))))))))</f>
        <v>CHP plants</v>
      </c>
      <c r="AU268" s="24" t="str">
        <f>IF(Transactions[[#This Row],[Level 2]]=Transactions[[#This Row],[Transaction name]],Transactions[[#This Row],[Transaction name]],IF(Transactions[[#This Row],[Level 2]]=Transactions[[#This Row],[L1N]],Transactions[[#This Row],[Transaction name]],IF(Transactions[[#This Row],[Level 2]]=Transactions[[#This Row],[L2N]],Transactions[[#This Row],[L1N]],IF(Transactions[[#This Row],[Level 2]]=Transactions[[#This Row],[L3N]],Transactions[[#This Row],[L2N]],IF(Transactions[[#This Row],[Level 2]]=Transactions[[#This Row],[L4N]],Transactions[[#This Row],[L3N]],IF(Transactions[[#This Row],[Level 2]]=Transactions[[#This Row],[L5N]],Transactions[[#This Row],[L4N]],IF(Transactions[[#This Row],[Level 2]]=Transactions[[#This Row],[L6N]],Transactions[[#This Row],[L5N]],IF(Transactions[[#This Row],[Level 2]]=Transactions[[#This Row],[L7N]],Transactions[[#This Row],[L6N]],Transactions[[#This Row],[L7N]]))))))))</f>
        <v>CHP plants - gas oil/diesel oil</v>
      </c>
      <c r="AV268" s="24" t="str">
        <f>IF(Transactions[[#This Row],[Level 3]]=Transactions[[#This Row],[Transaction name]],Transactions[[#This Row],[Transaction name]],IF(Transactions[[#This Row],[Level 3]]=Transactions[[#This Row],[L1N]],Transactions[[#This Row],[Transaction name]],IF(Transactions[[#This Row],[Level 3]]=Transactions[[#This Row],[L2N]],Transactions[[#This Row],[L1N]],IF(Transactions[[#This Row],[Level 3]]=Transactions[[#This Row],[L3N]],Transactions[[#This Row],[L2N]],IF(Transactions[[#This Row],[Level 3]]=Transactions[[#This Row],[L4N]],Transactions[[#This Row],[L3N]],IF(Transactions[[#This Row],[Level 3]]=Transactions[[#This Row],[L5N]],Transactions[[#This Row],[L4N]],IF(Transactions[[#This Row],[Level 3]]=Transactions[[#This Row],[L6N]],Transactions[[#This Row],[L5N]],IF(Transactions[[#This Row],[Level 3]]=Transactions[[#This Row],[L7N]],Transactions[[#This Row],[L6N]],Transactions[[#This Row],[L7N]]))))))))</f>
        <v>CHP plants - Main activity - gas oil/diesel oil</v>
      </c>
      <c r="AW268" s="24" t="str">
        <f>IF(Transactions[[#This Row],[Level 4]]=Transactions[[#This Row],[Transaction name]],Transactions[[#This Row],[Transaction name]],IF(Transactions[[#This Row],[Level 4]]=Transactions[[#This Row],[L1N]],Transactions[[#This Row],[Transaction name]],IF(Transactions[[#This Row],[Level 4]]=Transactions[[#This Row],[L2N]],Transactions[[#This Row],[L1N]],IF(Transactions[[#This Row],[Level 4]]=Transactions[[#This Row],[L3N]],Transactions[[#This Row],[L2N]],IF(Transactions[[#This Row],[Level 4]]=Transactions[[#This Row],[L4N]],Transactions[[#This Row],[L3N]],IF(Transactions[[#This Row],[Level 4]]=Transactions[[#This Row],[L5N]],Transactions[[#This Row],[L4N]],IF(Transactions[[#This Row],[Level 4]]=Transactions[[#This Row],[L6N]],Transactions[[#This Row],[L5N]],IF(Transactions[[#This Row],[Level 4]]=Transactions[[#This Row],[L7N]],Transactions[[#This Row],[L6N]],Transactions[[#This Row],[L7N]]))))))))</f>
        <v>CHP plants - Main activity - gas oil/diesel oil</v>
      </c>
      <c r="AX268" s="24" t="str">
        <f>IF(Transactions[[#This Row],[Level 5]]=Transactions[[#This Row],[Transaction name]],Transactions[[#This Row],[Transaction name]],IF(Transactions[[#This Row],[Level 5]]=Transactions[[#This Row],[L1N]],Transactions[[#This Row],[Transaction name]],IF(Transactions[[#This Row],[Level 5]]=Transactions[[#This Row],[L2N]],Transactions[[#This Row],[L1N]],IF(Transactions[[#This Row],[Level 5]]=Transactions[[#This Row],[L3N]],Transactions[[#This Row],[L2N]],IF(Transactions[[#This Row],[Level 5]]=Transactions[[#This Row],[L4N]],Transactions[[#This Row],[L3N]],IF(Transactions[[#This Row],[Level 5]]=Transactions[[#This Row],[L5N]],Transactions[[#This Row],[L4N]],IF(Transactions[[#This Row],[Level 5]]=Transactions[[#This Row],[L6N]],Transactions[[#This Row],[L5N]],IF(Transactions[[#This Row],[Level 5]]=Transactions[[#This Row],[L7N]],Transactions[[#This Row],[L6N]],Transactions[[#This Row],[L7N]]))))))))</f>
        <v>CHP plants - Main activity - gas oil/diesel oil</v>
      </c>
      <c r="AY268" s="24" t="str">
        <f>IF(Transactions[[#This Row],[Level 6]]=Transactions[[#This Row],[Transaction name]],Transactions[[#This Row],[Transaction name]],IF(Transactions[[#This Row],[Level 6]]=Transactions[[#This Row],[L1N]],Transactions[[#This Row],[Transaction name]],IF(Transactions[[#This Row],[Level 6]]=Transactions[[#This Row],[L2N]],Transactions[[#This Row],[L1N]],IF(Transactions[[#This Row],[Level 6]]=Transactions[[#This Row],[L3N]],Transactions[[#This Row],[L2N]],IF(Transactions[[#This Row],[Level 6]]=Transactions[[#This Row],[L4N]],Transactions[[#This Row],[L3N]],IF(Transactions[[#This Row],[Level 6]]=Transactions[[#This Row],[L5N]],Transactions[[#This Row],[L4N]],IF(Transactions[[#This Row],[Level 6]]=Transactions[[#This Row],[L6N]],Transactions[[#This Row],[L5N]],IF(Transactions[[#This Row],[Level 6]]=Transactions[[#This Row],[L7N]],Transactions[[#This Row],[L6N]],Transactions[[#This Row],[L7N]]))))))))</f>
        <v>CHP plants - Main activity - gas oil/diesel oil</v>
      </c>
      <c r="BE268" s="26" t="str">
        <f>_xlfn.XLOOKUP(Transformation[[#This Row],[cfrom]],Commodities[Commodity],Commodities[Commodity code])</f>
        <v>3000</v>
      </c>
      <c r="BF268" s="26" t="str">
        <f>_xlfn.XLOOKUP(Transformation[[#This Row],[tfrom]],Transactions[Transaction name],Transactions[Transaction code])</f>
        <v>08831</v>
      </c>
      <c r="BG268" s="26" t="str">
        <f>_xlfn.XLOOKUP(Transformation[[#This Row],[cto]],Commodities[Commodity],Commodities[Commodity code])</f>
        <v>3000</v>
      </c>
      <c r="BH268" s="26" t="str">
        <f>_xlfn.XLOOKUP(Transformation[[#This Row],[tto]],Transactions[Transaction name],Transactions[Transaction code])</f>
        <v>015NGH</v>
      </c>
      <c r="BI268" s="11">
        <v>1</v>
      </c>
      <c r="BJ268" s="4" t="s">
        <v>446</v>
      </c>
      <c r="BK268" s="24" t="str">
        <f>_xlfn.XLOOKUP(Transformation[[#This Row],[Commodity from]],Commodities[Commodity code],Commodities[EnergyCode])</f>
        <v>NG</v>
      </c>
      <c r="BL268" s="4" t="s">
        <v>693</v>
      </c>
      <c r="BM268" s="4" t="s">
        <v>446</v>
      </c>
      <c r="BN268" s="24" t="str">
        <f>_xlfn.XLOOKUP(Transformation[[#This Row],[Commodity to]],Commodities[Commodity code],Commodities[EnergyCode])</f>
        <v>NG</v>
      </c>
      <c r="BO268" s="4" t="s">
        <v>1235</v>
      </c>
      <c r="BP268" s="16" t="s">
        <v>1493</v>
      </c>
      <c r="BQ268" s="33" t="str">
        <f>Transformation[[#This Row],[Commodity from]]&amp;Transformation[[#This Row],[Transaction from]]&amp;Transformation[[#This Row],[Commodity to]]&amp;Transformation[[#This Row],[Transaction to]]</f>
        <v>3000088313000015NGH</v>
      </c>
      <c r="BR268" s="26" t="str">
        <f>Transformation[[#This Row],[crfomid]]&amp;Transformation[[#This Row],[Transaction from]]&amp;"("&amp;Transformation[[#This Row],[Multiplier]]&amp;") -&gt; "&amp;Transformation[[#This Row],[ctoid]]&amp;Transformation[[#This Row],[Transaction to]]</f>
        <v>NG08831(1) -&gt; NG015NGH</v>
      </c>
    </row>
    <row r="269" spans="25:70" x14ac:dyDescent="0.45">
      <c r="Y269" s="5" t="s">
        <v>271</v>
      </c>
      <c r="Z269" s="7" t="s">
        <v>654</v>
      </c>
      <c r="AA269" s="4" t="s">
        <v>1312</v>
      </c>
      <c r="AB269" s="19" t="s">
        <v>1618</v>
      </c>
      <c r="AC269" s="24" t="str">
        <f>IFERROR(VLOOKUP(Transactions[[#This Row],[Parent code]],Transactions[[Transaction code]:[Transaction name]],2,0),"")</f>
        <v>CHP plants - Geothermal</v>
      </c>
      <c r="AD269" s="4" t="s">
        <v>189</v>
      </c>
      <c r="AE269" s="4" t="s">
        <v>922</v>
      </c>
      <c r="AF269" s="4" t="s">
        <v>642</v>
      </c>
      <c r="AG269" s="4" t="s">
        <v>1</v>
      </c>
      <c r="AH269" s="4" t="s">
        <v>696</v>
      </c>
      <c r="AK269" s="24" t="str" cm="1">
        <f t="array" ref="AK269">IFERROR(INDEX(Transactions[[Transaction code]:[Transaction name]],_xlfn.XMATCH(Transactions[[#This Row],[Parent code]],Transactions[Transaction name],0),3),Transactions[[#This Row],[Transaction name]])</f>
        <v>CHP plants - Autoproducer - Geothermal</v>
      </c>
      <c r="AL269" s="24" t="str" cm="1">
        <f t="array" ref="AL269">IFERROR(INDEX(Transactions[[Transaction code]:[Transaction name]],_xlfn.XMATCH(INDEX(Transactions[[Transaction name]:[Parent code]],_xlfn.XMATCH(Transactions[[#This Row],[L1N]],Transactions[Transaction name],0),3),Transactions[Transaction code],0),2),Transactions[[#This Row],[L1N]])</f>
        <v>CHP plants - Geothermal</v>
      </c>
      <c r="AM269" s="24" t="str" cm="1">
        <f t="array" ref="AM269">IFERROR(INDEX(Transactions[[Transaction code]:[Transaction name]],_xlfn.XMATCH(INDEX(Transactions[[Transaction name]:[Parent code]],_xlfn.XMATCH(Transactions[[#This Row],[L2N]],Transactions[Transaction name],0),3),Transactions[Transaction code],0),2),Transactions[[#This Row],[L2N]])</f>
        <v>CHP plants</v>
      </c>
      <c r="AN269" s="24" t="str" cm="1">
        <f t="array" ref="AN269">IFERROR(INDEX(Transactions[[Transaction code]:[Transaction name]],_xlfn.XMATCH(INDEX(Transactions[[Transaction name]:[Parent code]],_xlfn.XMATCH(Transactions[[#This Row],[L3N]],Transactions[Transaction name],0),3),Transactions[Transaction code],0),2),Transactions[[#This Row],[L3N]])</f>
        <v>Electricity, CHP and heat plants (T)</v>
      </c>
      <c r="AO269" s="24" t="str" cm="1">
        <f t="array" ref="AO269">IFERROR(INDEX(Transactions[[Transaction code]:[Transaction name]],_xlfn.XMATCH(INDEX(Transactions[[Transaction name]:[Parent code]],_xlfn.XMATCH(Transactions[[#This Row],[L4N]],Transactions[Transaction name],0),3),Transactions[Transaction code],0),2),Transactions[[#This Row],[L4N]])</f>
        <v>Transformation</v>
      </c>
      <c r="AP269" s="24" t="str" cm="1">
        <f t="array" ref="AP269">IFERROR(INDEX(Transactions[[Transaction code]:[Transaction name]],_xlfn.XMATCH(INDEX(Transactions[[Transaction name]:[Parent code]],_xlfn.XMATCH(Transactions[[#This Row],[L5N]],Transactions[Transaction name],0),3),Transactions[Transaction code],0),2),Transactions[[#This Row],[L5N]])</f>
        <v>Transformation</v>
      </c>
      <c r="AQ269" s="24" t="str" cm="1">
        <f t="array" ref="AQ269">IFERROR(INDEX(Transactions[[Transaction code]:[Transaction name]],_xlfn.XMATCH(INDEX(Transactions[[Transaction name]:[Parent code]],_xlfn.XMATCH(Transactions[[#This Row],[L6N]],Transactions[Transaction name],0),3),Transactions[Transaction code],0),2),Transactions[[#This Row],[L6N]])</f>
        <v>Transformation</v>
      </c>
      <c r="AR269" s="28" t="str">
        <f>IF(Transactions[[#This Row],[L7N]]=Transactions[[#This Row],[L6N]],Transactions[[#This Row],[L7N]],IF(Transactions[[#This Row],[L6N]]=Transactions[[#This Row],[L5N]],Transactions[[#This Row],[L6N]],IF(Transactions[[#This Row],[L5N]]=Transactions[[#This Row],[L4N]],Transactions[[#This Row],[L5N]],IF(Transactions[[#This Row],[L4N]]=Transactions[[#This Row],[L3N]],Transactions[[#This Row],[L4N]],IF(Transactions[[#This Row],[L3N]]=Transactions[[#This Row],[L2N]],Transactions[[#This Row],[L3N]],IF(Transactions[[#This Row],[L2N]]=Transactions[[#This Row],[L1N]],Transactions[[#This Row],[L2N]],IF(Transactions[[#This Row],[L1N]]=Transactions[[#This Row],[Transaction name]],Transactions[[#This Row],[L1N]],Transactions[[#This Row],[Transaction name]])))))))</f>
        <v>Transformation</v>
      </c>
      <c r="AS269" s="24" t="str">
        <f>IF(Transactions[[#This Row],[Level 0]]=Transactions[[#This Row],[Transaction name]],Transactions[[#This Row],[Transaction name]],IF(Transactions[[#This Row],[Level 0]]=Transactions[[#This Row],[L1N]],Transactions[[#This Row],[Transaction name]],IF(Transactions[[#This Row],[Level 0]]=Transactions[[#This Row],[L2N]],Transactions[[#This Row],[L1N]],IF(Transactions[[#This Row],[Level 0]]=Transactions[[#This Row],[L3N]],Transactions[[#This Row],[L2N]],IF(Transactions[[#This Row],[Level 0]]=Transactions[[#This Row],[L4N]],Transactions[[#This Row],[L3N]],IF(Transactions[[#This Row],[Level 0]]=Transactions[[#This Row],[L5N]],Transactions[[#This Row],[L4N]],IF(Transactions[[#This Row],[Level 0]]=Transactions[[#This Row],[L6N]],Transactions[[#This Row],[L5N]],IF(Transactions[[#This Row],[Level 0]]=Transactions[[#This Row],[L7N]],Transactions[[#This Row],[L6N]],Transactions[[#This Row],[L7N]]))))))))</f>
        <v>Electricity, CHP and heat plants (T)</v>
      </c>
      <c r="AT269" s="24" t="str">
        <f>IF(Transactions[[#This Row],[Level 1]]=Transactions[[#This Row],[Transaction name]],Transactions[[#This Row],[Transaction name]],IF(Transactions[[#This Row],[Level 1]]=Transactions[[#This Row],[L1N]],Transactions[[#This Row],[Transaction name]],IF(Transactions[[#This Row],[Level 1]]=Transactions[[#This Row],[L2N]],Transactions[[#This Row],[L1N]],IF(Transactions[[#This Row],[Level 1]]=Transactions[[#This Row],[L3N]],Transactions[[#This Row],[L2N]],IF(Transactions[[#This Row],[Level 1]]=Transactions[[#This Row],[L4N]],Transactions[[#This Row],[L3N]],IF(Transactions[[#This Row],[Level 1]]=Transactions[[#This Row],[L5N]],Transactions[[#This Row],[L4N]],IF(Transactions[[#This Row],[Level 1]]=Transactions[[#This Row],[L6N]],Transactions[[#This Row],[L5N]],IF(Transactions[[#This Row],[Level 1]]=Transactions[[#This Row],[L7N]],Transactions[[#This Row],[L6N]],Transactions[[#This Row],[L7N]]))))))))</f>
        <v>CHP plants</v>
      </c>
      <c r="AU269" s="24" t="str">
        <f>IF(Transactions[[#This Row],[Level 2]]=Transactions[[#This Row],[Transaction name]],Transactions[[#This Row],[Transaction name]],IF(Transactions[[#This Row],[Level 2]]=Transactions[[#This Row],[L1N]],Transactions[[#This Row],[Transaction name]],IF(Transactions[[#This Row],[Level 2]]=Transactions[[#This Row],[L2N]],Transactions[[#This Row],[L1N]],IF(Transactions[[#This Row],[Level 2]]=Transactions[[#This Row],[L3N]],Transactions[[#This Row],[L2N]],IF(Transactions[[#This Row],[Level 2]]=Transactions[[#This Row],[L4N]],Transactions[[#This Row],[L3N]],IF(Transactions[[#This Row],[Level 2]]=Transactions[[#This Row],[L5N]],Transactions[[#This Row],[L4N]],IF(Transactions[[#This Row],[Level 2]]=Transactions[[#This Row],[L6N]],Transactions[[#This Row],[L5N]],IF(Transactions[[#This Row],[Level 2]]=Transactions[[#This Row],[L7N]],Transactions[[#This Row],[L6N]],Transactions[[#This Row],[L7N]]))))))))</f>
        <v>CHP plants - Geothermal</v>
      </c>
      <c r="AV269" s="24" t="str">
        <f>IF(Transactions[[#This Row],[Level 3]]=Transactions[[#This Row],[Transaction name]],Transactions[[#This Row],[Transaction name]],IF(Transactions[[#This Row],[Level 3]]=Transactions[[#This Row],[L1N]],Transactions[[#This Row],[Transaction name]],IF(Transactions[[#This Row],[Level 3]]=Transactions[[#This Row],[L2N]],Transactions[[#This Row],[L1N]],IF(Transactions[[#This Row],[Level 3]]=Transactions[[#This Row],[L3N]],Transactions[[#This Row],[L2N]],IF(Transactions[[#This Row],[Level 3]]=Transactions[[#This Row],[L4N]],Transactions[[#This Row],[L3N]],IF(Transactions[[#This Row],[Level 3]]=Transactions[[#This Row],[L5N]],Transactions[[#This Row],[L4N]],IF(Transactions[[#This Row],[Level 3]]=Transactions[[#This Row],[L6N]],Transactions[[#This Row],[L5N]],IF(Transactions[[#This Row],[Level 3]]=Transactions[[#This Row],[L7N]],Transactions[[#This Row],[L6N]],Transactions[[#This Row],[L7N]]))))))))</f>
        <v>CHP plants - Autoproducer - Geothermal</v>
      </c>
      <c r="AW269" s="24" t="str">
        <f>IF(Transactions[[#This Row],[Level 4]]=Transactions[[#This Row],[Transaction name]],Transactions[[#This Row],[Transaction name]],IF(Transactions[[#This Row],[Level 4]]=Transactions[[#This Row],[L1N]],Transactions[[#This Row],[Transaction name]],IF(Transactions[[#This Row],[Level 4]]=Transactions[[#This Row],[L2N]],Transactions[[#This Row],[L1N]],IF(Transactions[[#This Row],[Level 4]]=Transactions[[#This Row],[L3N]],Transactions[[#This Row],[L2N]],IF(Transactions[[#This Row],[Level 4]]=Transactions[[#This Row],[L4N]],Transactions[[#This Row],[L3N]],IF(Transactions[[#This Row],[Level 4]]=Transactions[[#This Row],[L5N]],Transactions[[#This Row],[L4N]],IF(Transactions[[#This Row],[Level 4]]=Transactions[[#This Row],[L6N]],Transactions[[#This Row],[L5N]],IF(Transactions[[#This Row],[Level 4]]=Transactions[[#This Row],[L7N]],Transactions[[#This Row],[L6N]],Transactions[[#This Row],[L7N]]))))))))</f>
        <v>CHP plants - Autoproducer - Geothermal</v>
      </c>
      <c r="AX269" s="24" t="str">
        <f>IF(Transactions[[#This Row],[Level 5]]=Transactions[[#This Row],[Transaction name]],Transactions[[#This Row],[Transaction name]],IF(Transactions[[#This Row],[Level 5]]=Transactions[[#This Row],[L1N]],Transactions[[#This Row],[Transaction name]],IF(Transactions[[#This Row],[Level 5]]=Transactions[[#This Row],[L2N]],Transactions[[#This Row],[L1N]],IF(Transactions[[#This Row],[Level 5]]=Transactions[[#This Row],[L3N]],Transactions[[#This Row],[L2N]],IF(Transactions[[#This Row],[Level 5]]=Transactions[[#This Row],[L4N]],Transactions[[#This Row],[L3N]],IF(Transactions[[#This Row],[Level 5]]=Transactions[[#This Row],[L5N]],Transactions[[#This Row],[L4N]],IF(Transactions[[#This Row],[Level 5]]=Transactions[[#This Row],[L6N]],Transactions[[#This Row],[L5N]],IF(Transactions[[#This Row],[Level 5]]=Transactions[[#This Row],[L7N]],Transactions[[#This Row],[L6N]],Transactions[[#This Row],[L7N]]))))))))</f>
        <v>CHP plants - Autoproducer - Geothermal</v>
      </c>
      <c r="AY269" s="24" t="str">
        <f>IF(Transactions[[#This Row],[Level 6]]=Transactions[[#This Row],[Transaction name]],Transactions[[#This Row],[Transaction name]],IF(Transactions[[#This Row],[Level 6]]=Transactions[[#This Row],[L1N]],Transactions[[#This Row],[Transaction name]],IF(Transactions[[#This Row],[Level 6]]=Transactions[[#This Row],[L2N]],Transactions[[#This Row],[L1N]],IF(Transactions[[#This Row],[Level 6]]=Transactions[[#This Row],[L3N]],Transactions[[#This Row],[L2N]],IF(Transactions[[#This Row],[Level 6]]=Transactions[[#This Row],[L4N]],Transactions[[#This Row],[L3N]],IF(Transactions[[#This Row],[Level 6]]=Transactions[[#This Row],[L5N]],Transactions[[#This Row],[L4N]],IF(Transactions[[#This Row],[Level 6]]=Transactions[[#This Row],[L6N]],Transactions[[#This Row],[L5N]],IF(Transactions[[#This Row],[Level 6]]=Transactions[[#This Row],[L7N]],Transactions[[#This Row],[L6N]],Transactions[[#This Row],[L7N]]))))))))</f>
        <v>CHP plants - Autoproducer - Geothermal</v>
      </c>
      <c r="BE269" s="26" t="str">
        <f>_xlfn.XLOOKUP(Transformation[[#This Row],[cfrom]],Commodities[Commodity],Commodities[Commodity code])</f>
        <v>4640</v>
      </c>
      <c r="BF269" s="26" t="str">
        <f>_xlfn.XLOOKUP(Transformation[[#This Row],[tfrom]],Transactions[Transaction name],Transactions[Transaction code])</f>
        <v>08831</v>
      </c>
      <c r="BG269" s="26" t="str">
        <f>_xlfn.XLOOKUP(Transformation[[#This Row],[cto]],Commodities[Commodity],Commodities[Commodity code])</f>
        <v>4640</v>
      </c>
      <c r="BH269" s="26" t="str">
        <f>_xlfn.XLOOKUP(Transformation[[#This Row],[tto]],Transactions[Transaction name],Transactions[Transaction code])</f>
        <v>015OPH</v>
      </c>
      <c r="BI269" s="11">
        <v>1</v>
      </c>
      <c r="BJ269" s="4" t="s">
        <v>405</v>
      </c>
      <c r="BK269" s="24" t="str">
        <f>_xlfn.XLOOKUP(Transformation[[#This Row],[Commodity from]],Commodities[Commodity code],Commodities[EnergyCode])</f>
        <v>NP</v>
      </c>
      <c r="BL269" s="4" t="s">
        <v>693</v>
      </c>
      <c r="BM269" s="4" t="s">
        <v>405</v>
      </c>
      <c r="BN269" s="24" t="str">
        <f>_xlfn.XLOOKUP(Transformation[[#This Row],[Commodity to]],Commodities[Commodity code],Commodities[EnergyCode])</f>
        <v>NP</v>
      </c>
      <c r="BO269" s="4" t="s">
        <v>1052</v>
      </c>
      <c r="BP269" s="16" t="s">
        <v>1493</v>
      </c>
      <c r="BQ269" s="33" t="str">
        <f>Transformation[[#This Row],[Commodity from]]&amp;Transformation[[#This Row],[Transaction from]]&amp;Transformation[[#This Row],[Commodity to]]&amp;Transformation[[#This Row],[Transaction to]]</f>
        <v>4640088314640015OPH</v>
      </c>
      <c r="BR269" s="26" t="str">
        <f>Transformation[[#This Row],[crfomid]]&amp;Transformation[[#This Row],[Transaction from]]&amp;"("&amp;Transformation[[#This Row],[Multiplier]]&amp;") -&gt; "&amp;Transformation[[#This Row],[ctoid]]&amp;Transformation[[#This Row],[Transaction to]]</f>
        <v>NP08831(1) -&gt; NP015OPH</v>
      </c>
    </row>
    <row r="270" spans="25:70" x14ac:dyDescent="0.45">
      <c r="Y270" s="19" t="s">
        <v>1618</v>
      </c>
      <c r="Z270" s="18" t="s">
        <v>1312</v>
      </c>
      <c r="AA270" s="18" t="s">
        <v>1312</v>
      </c>
      <c r="AB270" s="19" t="s">
        <v>1627</v>
      </c>
      <c r="AC270" s="26" t="str">
        <f>IFERROR(VLOOKUP(Transactions[[#This Row],[Parent code]],Transactions[[Transaction code]:[Transaction name]],2,0),"")</f>
        <v>CHP plants</v>
      </c>
      <c r="AD270" s="18" t="s">
        <v>189</v>
      </c>
      <c r="AE270" s="18" t="s">
        <v>922</v>
      </c>
      <c r="AF270" s="18" t="s">
        <v>642</v>
      </c>
      <c r="AG270" s="18" t="s">
        <v>1</v>
      </c>
      <c r="AH270" s="18" t="s">
        <v>696</v>
      </c>
      <c r="AI270" s="18"/>
      <c r="AJ270" s="18"/>
      <c r="AK270" s="26" t="str" cm="1">
        <f t="array" ref="AK270">IFERROR(INDEX(Transactions[[Transaction code]:[Transaction name]],_xlfn.XMATCH(Transactions[[#This Row],[Parent code]],Transactions[Transaction name],0),3),Transactions[[#This Row],[Transaction name]])</f>
        <v>CHP plants - Geothermal</v>
      </c>
      <c r="AL270" s="26" t="str" cm="1">
        <f t="array" ref="AL270">IFERROR(INDEX(Transactions[[Transaction code]:[Transaction name]],_xlfn.XMATCH(INDEX(Transactions[[Transaction name]:[Parent code]],_xlfn.XMATCH(Transactions[[#This Row],[L1N]],Transactions[Transaction name],0),3),Transactions[Transaction code],0),2),Transactions[[#This Row],[L1N]])</f>
        <v>CHP plants</v>
      </c>
      <c r="AM270" s="26" t="str" cm="1">
        <f t="array" ref="AM270">IFERROR(INDEX(Transactions[[Transaction code]:[Transaction name]],_xlfn.XMATCH(INDEX(Transactions[[Transaction name]:[Parent code]],_xlfn.XMATCH(Transactions[[#This Row],[L2N]],Transactions[Transaction name],0),3),Transactions[Transaction code],0),2),Transactions[[#This Row],[L2N]])</f>
        <v>Electricity, CHP and heat plants (T)</v>
      </c>
      <c r="AN270" s="26" t="str" cm="1">
        <f t="array" ref="AN270">IFERROR(INDEX(Transactions[[Transaction code]:[Transaction name]],_xlfn.XMATCH(INDEX(Transactions[[Transaction name]:[Parent code]],_xlfn.XMATCH(Transactions[[#This Row],[L3N]],Transactions[Transaction name],0),3),Transactions[Transaction code],0),2),Transactions[[#This Row],[L3N]])</f>
        <v>Transformation</v>
      </c>
      <c r="AO270" s="26" t="str" cm="1">
        <f t="array" ref="AO270">IFERROR(INDEX(Transactions[[Transaction code]:[Transaction name]],_xlfn.XMATCH(INDEX(Transactions[[Transaction name]:[Parent code]],_xlfn.XMATCH(Transactions[[#This Row],[L4N]],Transactions[Transaction name],0),3),Transactions[Transaction code],0),2),Transactions[[#This Row],[L4N]])</f>
        <v>Transformation</v>
      </c>
      <c r="AP270" s="26" t="str" cm="1">
        <f t="array" ref="AP270">IFERROR(INDEX(Transactions[[Transaction code]:[Transaction name]],_xlfn.XMATCH(INDEX(Transactions[[Transaction name]:[Parent code]],_xlfn.XMATCH(Transactions[[#This Row],[L5N]],Transactions[Transaction name],0),3),Transactions[Transaction code],0),2),Transactions[[#This Row],[L5N]])</f>
        <v>Transformation</v>
      </c>
      <c r="AQ270" s="26" t="str" cm="1">
        <f t="array" ref="AQ270">IFERROR(INDEX(Transactions[[Transaction code]:[Transaction name]],_xlfn.XMATCH(INDEX(Transactions[[Transaction name]:[Parent code]],_xlfn.XMATCH(Transactions[[#This Row],[L6N]],Transactions[Transaction name],0),3),Transactions[Transaction code],0),2),Transactions[[#This Row],[L6N]])</f>
        <v>Transformation</v>
      </c>
      <c r="AR270" s="29" t="str">
        <f>IF(Transactions[[#This Row],[L7N]]=Transactions[[#This Row],[L6N]],Transactions[[#This Row],[L7N]],IF(Transactions[[#This Row],[L6N]]=Transactions[[#This Row],[L5N]],Transactions[[#This Row],[L6N]],IF(Transactions[[#This Row],[L5N]]=Transactions[[#This Row],[L4N]],Transactions[[#This Row],[L5N]],IF(Transactions[[#This Row],[L4N]]=Transactions[[#This Row],[L3N]],Transactions[[#This Row],[L4N]],IF(Transactions[[#This Row],[L3N]]=Transactions[[#This Row],[L2N]],Transactions[[#This Row],[L3N]],IF(Transactions[[#This Row],[L2N]]=Transactions[[#This Row],[L1N]],Transactions[[#This Row],[L2N]],IF(Transactions[[#This Row],[L1N]]=Transactions[[#This Row],[Transaction name]],Transactions[[#This Row],[L1N]],Transactions[[#This Row],[Transaction name]])))))))</f>
        <v>Transformation</v>
      </c>
      <c r="AS270" s="26" t="str">
        <f>IF(Transactions[[#This Row],[Level 0]]=Transactions[[#This Row],[Transaction name]],Transactions[[#This Row],[Transaction name]],IF(Transactions[[#This Row],[Level 0]]=Transactions[[#This Row],[L1N]],Transactions[[#This Row],[Transaction name]],IF(Transactions[[#This Row],[Level 0]]=Transactions[[#This Row],[L2N]],Transactions[[#This Row],[L1N]],IF(Transactions[[#This Row],[Level 0]]=Transactions[[#This Row],[L3N]],Transactions[[#This Row],[L2N]],IF(Transactions[[#This Row],[Level 0]]=Transactions[[#This Row],[L4N]],Transactions[[#This Row],[L3N]],IF(Transactions[[#This Row],[Level 0]]=Transactions[[#This Row],[L5N]],Transactions[[#This Row],[L4N]],IF(Transactions[[#This Row],[Level 0]]=Transactions[[#This Row],[L6N]],Transactions[[#This Row],[L5N]],IF(Transactions[[#This Row],[Level 0]]=Transactions[[#This Row],[L7N]],Transactions[[#This Row],[L6N]],Transactions[[#This Row],[L7N]]))))))))</f>
        <v>Electricity, CHP and heat plants (T)</v>
      </c>
      <c r="AT270" s="26" t="str">
        <f>IF(Transactions[[#This Row],[Level 1]]=Transactions[[#This Row],[Transaction name]],Transactions[[#This Row],[Transaction name]],IF(Transactions[[#This Row],[Level 1]]=Transactions[[#This Row],[L1N]],Transactions[[#This Row],[Transaction name]],IF(Transactions[[#This Row],[Level 1]]=Transactions[[#This Row],[L2N]],Transactions[[#This Row],[L1N]],IF(Transactions[[#This Row],[Level 1]]=Transactions[[#This Row],[L3N]],Transactions[[#This Row],[L2N]],IF(Transactions[[#This Row],[Level 1]]=Transactions[[#This Row],[L4N]],Transactions[[#This Row],[L3N]],IF(Transactions[[#This Row],[Level 1]]=Transactions[[#This Row],[L5N]],Transactions[[#This Row],[L4N]],IF(Transactions[[#This Row],[Level 1]]=Transactions[[#This Row],[L6N]],Transactions[[#This Row],[L5N]],IF(Transactions[[#This Row],[Level 1]]=Transactions[[#This Row],[L7N]],Transactions[[#This Row],[L6N]],Transactions[[#This Row],[L7N]]))))))))</f>
        <v>CHP plants</v>
      </c>
      <c r="AU270" s="26" t="str">
        <f>IF(Transactions[[#This Row],[Level 2]]=Transactions[[#This Row],[Transaction name]],Transactions[[#This Row],[Transaction name]],IF(Transactions[[#This Row],[Level 2]]=Transactions[[#This Row],[L1N]],Transactions[[#This Row],[Transaction name]],IF(Transactions[[#This Row],[Level 2]]=Transactions[[#This Row],[L2N]],Transactions[[#This Row],[L1N]],IF(Transactions[[#This Row],[Level 2]]=Transactions[[#This Row],[L3N]],Transactions[[#This Row],[L2N]],IF(Transactions[[#This Row],[Level 2]]=Transactions[[#This Row],[L4N]],Transactions[[#This Row],[L3N]],IF(Transactions[[#This Row],[Level 2]]=Transactions[[#This Row],[L5N]],Transactions[[#This Row],[L4N]],IF(Transactions[[#This Row],[Level 2]]=Transactions[[#This Row],[L6N]],Transactions[[#This Row],[L5N]],IF(Transactions[[#This Row],[Level 2]]=Transactions[[#This Row],[L7N]],Transactions[[#This Row],[L6N]],Transactions[[#This Row],[L7N]]))))))))</f>
        <v>CHP plants - Geothermal</v>
      </c>
      <c r="AV270" s="26" t="str">
        <f>IF(Transactions[[#This Row],[Level 3]]=Transactions[[#This Row],[Transaction name]],Transactions[[#This Row],[Transaction name]],IF(Transactions[[#This Row],[Level 3]]=Transactions[[#This Row],[L1N]],Transactions[[#This Row],[Transaction name]],IF(Transactions[[#This Row],[Level 3]]=Transactions[[#This Row],[L2N]],Transactions[[#This Row],[L1N]],IF(Transactions[[#This Row],[Level 3]]=Transactions[[#This Row],[L3N]],Transactions[[#This Row],[L2N]],IF(Transactions[[#This Row],[Level 3]]=Transactions[[#This Row],[L4N]],Transactions[[#This Row],[L3N]],IF(Transactions[[#This Row],[Level 3]]=Transactions[[#This Row],[L5N]],Transactions[[#This Row],[L4N]],IF(Transactions[[#This Row],[Level 3]]=Transactions[[#This Row],[L6N]],Transactions[[#This Row],[L5N]],IF(Transactions[[#This Row],[Level 3]]=Transactions[[#This Row],[L7N]],Transactions[[#This Row],[L6N]],Transactions[[#This Row],[L7N]]))))))))</f>
        <v>CHP plants - Geothermal</v>
      </c>
      <c r="AW270" s="26" t="str">
        <f>IF(Transactions[[#This Row],[Level 4]]=Transactions[[#This Row],[Transaction name]],Transactions[[#This Row],[Transaction name]],IF(Transactions[[#This Row],[Level 4]]=Transactions[[#This Row],[L1N]],Transactions[[#This Row],[Transaction name]],IF(Transactions[[#This Row],[Level 4]]=Transactions[[#This Row],[L2N]],Transactions[[#This Row],[L1N]],IF(Transactions[[#This Row],[Level 4]]=Transactions[[#This Row],[L3N]],Transactions[[#This Row],[L2N]],IF(Transactions[[#This Row],[Level 4]]=Transactions[[#This Row],[L4N]],Transactions[[#This Row],[L3N]],IF(Transactions[[#This Row],[Level 4]]=Transactions[[#This Row],[L5N]],Transactions[[#This Row],[L4N]],IF(Transactions[[#This Row],[Level 4]]=Transactions[[#This Row],[L6N]],Transactions[[#This Row],[L5N]],IF(Transactions[[#This Row],[Level 4]]=Transactions[[#This Row],[L7N]],Transactions[[#This Row],[L6N]],Transactions[[#This Row],[L7N]]))))))))</f>
        <v>CHP plants - Geothermal</v>
      </c>
      <c r="AX270" s="26" t="str">
        <f>IF(Transactions[[#This Row],[Level 5]]=Transactions[[#This Row],[Transaction name]],Transactions[[#This Row],[Transaction name]],IF(Transactions[[#This Row],[Level 5]]=Transactions[[#This Row],[L1N]],Transactions[[#This Row],[Transaction name]],IF(Transactions[[#This Row],[Level 5]]=Transactions[[#This Row],[L2N]],Transactions[[#This Row],[L1N]],IF(Transactions[[#This Row],[Level 5]]=Transactions[[#This Row],[L3N]],Transactions[[#This Row],[L2N]],IF(Transactions[[#This Row],[Level 5]]=Transactions[[#This Row],[L4N]],Transactions[[#This Row],[L3N]],IF(Transactions[[#This Row],[Level 5]]=Transactions[[#This Row],[L5N]],Transactions[[#This Row],[L4N]],IF(Transactions[[#This Row],[Level 5]]=Transactions[[#This Row],[L6N]],Transactions[[#This Row],[L5N]],IF(Transactions[[#This Row],[Level 5]]=Transactions[[#This Row],[L7N]],Transactions[[#This Row],[L6N]],Transactions[[#This Row],[L7N]]))))))))</f>
        <v>CHP plants - Geothermal</v>
      </c>
      <c r="AY270" s="26" t="str">
        <f>IF(Transactions[[#This Row],[Level 6]]=Transactions[[#This Row],[Transaction name]],Transactions[[#This Row],[Transaction name]],IF(Transactions[[#This Row],[Level 6]]=Transactions[[#This Row],[L1N]],Transactions[[#This Row],[Transaction name]],IF(Transactions[[#This Row],[Level 6]]=Transactions[[#This Row],[L2N]],Transactions[[#This Row],[L1N]],IF(Transactions[[#This Row],[Level 6]]=Transactions[[#This Row],[L3N]],Transactions[[#This Row],[L2N]],IF(Transactions[[#This Row],[Level 6]]=Transactions[[#This Row],[L4N]],Transactions[[#This Row],[L3N]],IF(Transactions[[#This Row],[Level 6]]=Transactions[[#This Row],[L5N]],Transactions[[#This Row],[L4N]],IF(Transactions[[#This Row],[Level 6]]=Transactions[[#This Row],[L6N]],Transactions[[#This Row],[L5N]],IF(Transactions[[#This Row],[Level 6]]=Transactions[[#This Row],[L7N]],Transactions[[#This Row],[L6N]],Transactions[[#This Row],[L7N]]))))))))</f>
        <v>CHP plants - Geothermal</v>
      </c>
      <c r="BE270" s="26" t="str">
        <f>_xlfn.XLOOKUP(Transformation[[#This Row],[cfrom]],Commodities[Commodity],Commodities[Commodity code])</f>
        <v>0350</v>
      </c>
      <c r="BF270" s="26" t="str">
        <f>_xlfn.XLOOKUP(Transformation[[#This Row],[tfrom]],Transactions[Transaction name],Transactions[Transaction code])</f>
        <v>08831</v>
      </c>
      <c r="BG270" s="26" t="str">
        <f>_xlfn.XLOOKUP(Transformation[[#This Row],[cto]],Commodities[Commodity],Commodities[Commodity code])</f>
        <v>0350</v>
      </c>
      <c r="BH270" s="26" t="str">
        <f>_xlfn.XLOOKUP(Transformation[[#This Row],[tto]],Transactions[Transaction name],Transactions[Transaction code])</f>
        <v>015CGH</v>
      </c>
      <c r="BI270" s="11">
        <v>1</v>
      </c>
      <c r="BJ270" s="4" t="s">
        <v>487</v>
      </c>
      <c r="BK270" s="24" t="str">
        <f>_xlfn.XLOOKUP(Transformation[[#This Row],[Commodity from]],Commodities[Commodity code],Commodities[EnergyCode])</f>
        <v>OG</v>
      </c>
      <c r="BL270" s="4" t="s">
        <v>693</v>
      </c>
      <c r="BM270" s="4" t="s">
        <v>487</v>
      </c>
      <c r="BN270" s="24" t="str">
        <f>_xlfn.XLOOKUP(Transformation[[#This Row],[Commodity to]],Commodities[Commodity code],Commodities[EnergyCode])</f>
        <v>OG</v>
      </c>
      <c r="BO270" s="4" t="s">
        <v>1219</v>
      </c>
      <c r="BP270" s="16" t="s">
        <v>1493</v>
      </c>
      <c r="BQ270" s="33" t="str">
        <f>Transformation[[#This Row],[Commodity from]]&amp;Transformation[[#This Row],[Transaction from]]&amp;Transformation[[#This Row],[Commodity to]]&amp;Transformation[[#This Row],[Transaction to]]</f>
        <v>0350088310350015CGH</v>
      </c>
      <c r="BR270" s="26" t="str">
        <f>Transformation[[#This Row],[crfomid]]&amp;Transformation[[#This Row],[Transaction from]]&amp;"("&amp;Transformation[[#This Row],[Multiplier]]&amp;") -&gt; "&amp;Transformation[[#This Row],[ctoid]]&amp;Transformation[[#This Row],[Transaction to]]</f>
        <v>OG08831(1) -&gt; OG015CGH</v>
      </c>
    </row>
    <row r="271" spans="25:70" x14ac:dyDescent="0.45">
      <c r="Y271" s="5" t="s">
        <v>350</v>
      </c>
      <c r="Z271" s="7" t="s">
        <v>649</v>
      </c>
      <c r="AA271" s="4" t="s">
        <v>1312</v>
      </c>
      <c r="AB271" s="19" t="s">
        <v>1618</v>
      </c>
      <c r="AC271" s="24" t="str">
        <f>IFERROR(VLOOKUP(Transactions[[#This Row],[Parent code]],Transactions[[Transaction code]:[Transaction name]],2,0),"")</f>
        <v>CHP plants - Geothermal</v>
      </c>
      <c r="AD271" s="4" t="s">
        <v>189</v>
      </c>
      <c r="AE271" s="4" t="s">
        <v>922</v>
      </c>
      <c r="AF271" s="4" t="s">
        <v>642</v>
      </c>
      <c r="AG271" s="4" t="s">
        <v>1</v>
      </c>
      <c r="AH271" s="4" t="s">
        <v>696</v>
      </c>
      <c r="AK271" s="24" t="str" cm="1">
        <f t="array" ref="AK271">IFERROR(INDEX(Transactions[[Transaction code]:[Transaction name]],_xlfn.XMATCH(Transactions[[#This Row],[Parent code]],Transactions[Transaction name],0),3),Transactions[[#This Row],[Transaction name]])</f>
        <v>CHP plants - Main activity - Geothermal</v>
      </c>
      <c r="AL271" s="24" t="str" cm="1">
        <f t="array" ref="AL271">IFERROR(INDEX(Transactions[[Transaction code]:[Transaction name]],_xlfn.XMATCH(INDEX(Transactions[[Transaction name]:[Parent code]],_xlfn.XMATCH(Transactions[[#This Row],[L1N]],Transactions[Transaction name],0),3),Transactions[Transaction code],0),2),Transactions[[#This Row],[L1N]])</f>
        <v>CHP plants - Geothermal</v>
      </c>
      <c r="AM271" s="24" t="str" cm="1">
        <f t="array" ref="AM271">IFERROR(INDEX(Transactions[[Transaction code]:[Transaction name]],_xlfn.XMATCH(INDEX(Transactions[[Transaction name]:[Parent code]],_xlfn.XMATCH(Transactions[[#This Row],[L2N]],Transactions[Transaction name],0),3),Transactions[Transaction code],0),2),Transactions[[#This Row],[L2N]])</f>
        <v>CHP plants</v>
      </c>
      <c r="AN271" s="24" t="str" cm="1">
        <f t="array" ref="AN271">IFERROR(INDEX(Transactions[[Transaction code]:[Transaction name]],_xlfn.XMATCH(INDEX(Transactions[[Transaction name]:[Parent code]],_xlfn.XMATCH(Transactions[[#This Row],[L3N]],Transactions[Transaction name],0),3),Transactions[Transaction code],0),2),Transactions[[#This Row],[L3N]])</f>
        <v>Electricity, CHP and heat plants (T)</v>
      </c>
      <c r="AO271" s="24" t="str" cm="1">
        <f t="array" ref="AO271">IFERROR(INDEX(Transactions[[Transaction code]:[Transaction name]],_xlfn.XMATCH(INDEX(Transactions[[Transaction name]:[Parent code]],_xlfn.XMATCH(Transactions[[#This Row],[L4N]],Transactions[Transaction name],0),3),Transactions[Transaction code],0),2),Transactions[[#This Row],[L4N]])</f>
        <v>Transformation</v>
      </c>
      <c r="AP271" s="24" t="str" cm="1">
        <f t="array" ref="AP271">IFERROR(INDEX(Transactions[[Transaction code]:[Transaction name]],_xlfn.XMATCH(INDEX(Transactions[[Transaction name]:[Parent code]],_xlfn.XMATCH(Transactions[[#This Row],[L5N]],Transactions[Transaction name],0),3),Transactions[Transaction code],0),2),Transactions[[#This Row],[L5N]])</f>
        <v>Transformation</v>
      </c>
      <c r="AQ271" s="24" t="str" cm="1">
        <f t="array" ref="AQ271">IFERROR(INDEX(Transactions[[Transaction code]:[Transaction name]],_xlfn.XMATCH(INDEX(Transactions[[Transaction name]:[Parent code]],_xlfn.XMATCH(Transactions[[#This Row],[L6N]],Transactions[Transaction name],0),3),Transactions[Transaction code],0),2),Transactions[[#This Row],[L6N]])</f>
        <v>Transformation</v>
      </c>
      <c r="AR271" s="28" t="str">
        <f>IF(Transactions[[#This Row],[L7N]]=Transactions[[#This Row],[L6N]],Transactions[[#This Row],[L7N]],IF(Transactions[[#This Row],[L6N]]=Transactions[[#This Row],[L5N]],Transactions[[#This Row],[L6N]],IF(Transactions[[#This Row],[L5N]]=Transactions[[#This Row],[L4N]],Transactions[[#This Row],[L5N]],IF(Transactions[[#This Row],[L4N]]=Transactions[[#This Row],[L3N]],Transactions[[#This Row],[L4N]],IF(Transactions[[#This Row],[L3N]]=Transactions[[#This Row],[L2N]],Transactions[[#This Row],[L3N]],IF(Transactions[[#This Row],[L2N]]=Transactions[[#This Row],[L1N]],Transactions[[#This Row],[L2N]],IF(Transactions[[#This Row],[L1N]]=Transactions[[#This Row],[Transaction name]],Transactions[[#This Row],[L1N]],Transactions[[#This Row],[Transaction name]])))))))</f>
        <v>Transformation</v>
      </c>
      <c r="AS271" s="24" t="str">
        <f>IF(Transactions[[#This Row],[Level 0]]=Transactions[[#This Row],[Transaction name]],Transactions[[#This Row],[Transaction name]],IF(Transactions[[#This Row],[Level 0]]=Transactions[[#This Row],[L1N]],Transactions[[#This Row],[Transaction name]],IF(Transactions[[#This Row],[Level 0]]=Transactions[[#This Row],[L2N]],Transactions[[#This Row],[L1N]],IF(Transactions[[#This Row],[Level 0]]=Transactions[[#This Row],[L3N]],Transactions[[#This Row],[L2N]],IF(Transactions[[#This Row],[Level 0]]=Transactions[[#This Row],[L4N]],Transactions[[#This Row],[L3N]],IF(Transactions[[#This Row],[Level 0]]=Transactions[[#This Row],[L5N]],Transactions[[#This Row],[L4N]],IF(Transactions[[#This Row],[Level 0]]=Transactions[[#This Row],[L6N]],Transactions[[#This Row],[L5N]],IF(Transactions[[#This Row],[Level 0]]=Transactions[[#This Row],[L7N]],Transactions[[#This Row],[L6N]],Transactions[[#This Row],[L7N]]))))))))</f>
        <v>Electricity, CHP and heat plants (T)</v>
      </c>
      <c r="AT271" s="24" t="str">
        <f>IF(Transactions[[#This Row],[Level 1]]=Transactions[[#This Row],[Transaction name]],Transactions[[#This Row],[Transaction name]],IF(Transactions[[#This Row],[Level 1]]=Transactions[[#This Row],[L1N]],Transactions[[#This Row],[Transaction name]],IF(Transactions[[#This Row],[Level 1]]=Transactions[[#This Row],[L2N]],Transactions[[#This Row],[L1N]],IF(Transactions[[#This Row],[Level 1]]=Transactions[[#This Row],[L3N]],Transactions[[#This Row],[L2N]],IF(Transactions[[#This Row],[Level 1]]=Transactions[[#This Row],[L4N]],Transactions[[#This Row],[L3N]],IF(Transactions[[#This Row],[Level 1]]=Transactions[[#This Row],[L5N]],Transactions[[#This Row],[L4N]],IF(Transactions[[#This Row],[Level 1]]=Transactions[[#This Row],[L6N]],Transactions[[#This Row],[L5N]],IF(Transactions[[#This Row],[Level 1]]=Transactions[[#This Row],[L7N]],Transactions[[#This Row],[L6N]],Transactions[[#This Row],[L7N]]))))))))</f>
        <v>CHP plants</v>
      </c>
      <c r="AU271" s="24" t="str">
        <f>IF(Transactions[[#This Row],[Level 2]]=Transactions[[#This Row],[Transaction name]],Transactions[[#This Row],[Transaction name]],IF(Transactions[[#This Row],[Level 2]]=Transactions[[#This Row],[L1N]],Transactions[[#This Row],[Transaction name]],IF(Transactions[[#This Row],[Level 2]]=Transactions[[#This Row],[L2N]],Transactions[[#This Row],[L1N]],IF(Transactions[[#This Row],[Level 2]]=Transactions[[#This Row],[L3N]],Transactions[[#This Row],[L2N]],IF(Transactions[[#This Row],[Level 2]]=Transactions[[#This Row],[L4N]],Transactions[[#This Row],[L3N]],IF(Transactions[[#This Row],[Level 2]]=Transactions[[#This Row],[L5N]],Transactions[[#This Row],[L4N]],IF(Transactions[[#This Row],[Level 2]]=Transactions[[#This Row],[L6N]],Transactions[[#This Row],[L5N]],IF(Transactions[[#This Row],[Level 2]]=Transactions[[#This Row],[L7N]],Transactions[[#This Row],[L6N]],Transactions[[#This Row],[L7N]]))))))))</f>
        <v>CHP plants - Geothermal</v>
      </c>
      <c r="AV271" s="24" t="str">
        <f>IF(Transactions[[#This Row],[Level 3]]=Transactions[[#This Row],[Transaction name]],Transactions[[#This Row],[Transaction name]],IF(Transactions[[#This Row],[Level 3]]=Transactions[[#This Row],[L1N]],Transactions[[#This Row],[Transaction name]],IF(Transactions[[#This Row],[Level 3]]=Transactions[[#This Row],[L2N]],Transactions[[#This Row],[L1N]],IF(Transactions[[#This Row],[Level 3]]=Transactions[[#This Row],[L3N]],Transactions[[#This Row],[L2N]],IF(Transactions[[#This Row],[Level 3]]=Transactions[[#This Row],[L4N]],Transactions[[#This Row],[L3N]],IF(Transactions[[#This Row],[Level 3]]=Transactions[[#This Row],[L5N]],Transactions[[#This Row],[L4N]],IF(Transactions[[#This Row],[Level 3]]=Transactions[[#This Row],[L6N]],Transactions[[#This Row],[L5N]],IF(Transactions[[#This Row],[Level 3]]=Transactions[[#This Row],[L7N]],Transactions[[#This Row],[L6N]],Transactions[[#This Row],[L7N]]))))))))</f>
        <v>CHP plants - Main activity - Geothermal</v>
      </c>
      <c r="AW271" s="24" t="str">
        <f>IF(Transactions[[#This Row],[Level 4]]=Transactions[[#This Row],[Transaction name]],Transactions[[#This Row],[Transaction name]],IF(Transactions[[#This Row],[Level 4]]=Transactions[[#This Row],[L1N]],Transactions[[#This Row],[Transaction name]],IF(Transactions[[#This Row],[Level 4]]=Transactions[[#This Row],[L2N]],Transactions[[#This Row],[L1N]],IF(Transactions[[#This Row],[Level 4]]=Transactions[[#This Row],[L3N]],Transactions[[#This Row],[L2N]],IF(Transactions[[#This Row],[Level 4]]=Transactions[[#This Row],[L4N]],Transactions[[#This Row],[L3N]],IF(Transactions[[#This Row],[Level 4]]=Transactions[[#This Row],[L5N]],Transactions[[#This Row],[L4N]],IF(Transactions[[#This Row],[Level 4]]=Transactions[[#This Row],[L6N]],Transactions[[#This Row],[L5N]],IF(Transactions[[#This Row],[Level 4]]=Transactions[[#This Row],[L7N]],Transactions[[#This Row],[L6N]],Transactions[[#This Row],[L7N]]))))))))</f>
        <v>CHP plants - Main activity - Geothermal</v>
      </c>
      <c r="AX271" s="24" t="str">
        <f>IF(Transactions[[#This Row],[Level 5]]=Transactions[[#This Row],[Transaction name]],Transactions[[#This Row],[Transaction name]],IF(Transactions[[#This Row],[Level 5]]=Transactions[[#This Row],[L1N]],Transactions[[#This Row],[Transaction name]],IF(Transactions[[#This Row],[Level 5]]=Transactions[[#This Row],[L2N]],Transactions[[#This Row],[L1N]],IF(Transactions[[#This Row],[Level 5]]=Transactions[[#This Row],[L3N]],Transactions[[#This Row],[L2N]],IF(Transactions[[#This Row],[Level 5]]=Transactions[[#This Row],[L4N]],Transactions[[#This Row],[L3N]],IF(Transactions[[#This Row],[Level 5]]=Transactions[[#This Row],[L5N]],Transactions[[#This Row],[L4N]],IF(Transactions[[#This Row],[Level 5]]=Transactions[[#This Row],[L6N]],Transactions[[#This Row],[L5N]],IF(Transactions[[#This Row],[Level 5]]=Transactions[[#This Row],[L7N]],Transactions[[#This Row],[L6N]],Transactions[[#This Row],[L7N]]))))))))</f>
        <v>CHP plants - Main activity - Geothermal</v>
      </c>
      <c r="AY271" s="24" t="str">
        <f>IF(Transactions[[#This Row],[Level 6]]=Transactions[[#This Row],[Transaction name]],Transactions[[#This Row],[Transaction name]],IF(Transactions[[#This Row],[Level 6]]=Transactions[[#This Row],[L1N]],Transactions[[#This Row],[Transaction name]],IF(Transactions[[#This Row],[Level 6]]=Transactions[[#This Row],[L2N]],Transactions[[#This Row],[L1N]],IF(Transactions[[#This Row],[Level 6]]=Transactions[[#This Row],[L3N]],Transactions[[#This Row],[L2N]],IF(Transactions[[#This Row],[Level 6]]=Transactions[[#This Row],[L4N]],Transactions[[#This Row],[L3N]],IF(Transactions[[#This Row],[Level 6]]=Transactions[[#This Row],[L5N]],Transactions[[#This Row],[L4N]],IF(Transactions[[#This Row],[Level 6]]=Transactions[[#This Row],[L6N]],Transactions[[#This Row],[L5N]],IF(Transactions[[#This Row],[Level 6]]=Transactions[[#This Row],[L7N]],Transactions[[#This Row],[L6N]],Transactions[[#This Row],[L7N]]))))))))</f>
        <v>CHP plants - Main activity - Geothermal</v>
      </c>
      <c r="BE271" s="26" t="str">
        <f>_xlfn.XLOOKUP(Transformation[[#This Row],[cfrom]],Commodities[Commodity],Commodities[Commodity code])</f>
        <v>4500</v>
      </c>
      <c r="BF271" s="26" t="str">
        <f>_xlfn.XLOOKUP(Transformation[[#This Row],[tfrom]],Transactions[Transaction name],Transactions[Transaction code])</f>
        <v>08831</v>
      </c>
      <c r="BG271" s="26" t="str">
        <f>_xlfn.XLOOKUP(Transformation[[#This Row],[cto]],Commodities[Commodity],Commodities[Commodity code])</f>
        <v>4500</v>
      </c>
      <c r="BH271" s="26" t="str">
        <f>_xlfn.XLOOKUP(Transformation[[#This Row],[tto]],Transactions[Transaction name],Transactions[Transaction code])</f>
        <v>015COH</v>
      </c>
      <c r="BI271" s="31">
        <v>1</v>
      </c>
      <c r="BJ271" s="22" t="s">
        <v>424</v>
      </c>
      <c r="BK271" s="26" t="str">
        <f>_xlfn.XLOOKUP(Transformation[[#This Row],[Commodity from]],Commodities[Commodity code],Commodities[EnergyCode])</f>
        <v>OH</v>
      </c>
      <c r="BL271" s="22" t="s">
        <v>693</v>
      </c>
      <c r="BM271" s="22" t="s">
        <v>424</v>
      </c>
      <c r="BN271" s="26" t="str">
        <f>_xlfn.XLOOKUP(Transformation[[#This Row],[Commodity to]],Commodities[Commodity code],Commodities[EnergyCode])</f>
        <v>OH</v>
      </c>
      <c r="BO271" s="4" t="s">
        <v>1227</v>
      </c>
      <c r="BP271" s="22" t="s">
        <v>1493</v>
      </c>
      <c r="BQ271" s="33" t="str">
        <f>Transformation[[#This Row],[Commodity from]]&amp;Transformation[[#This Row],[Transaction from]]&amp;Transformation[[#This Row],[Commodity to]]&amp;Transformation[[#This Row],[Transaction to]]</f>
        <v>4500088314500015COH</v>
      </c>
      <c r="BR271" s="26" t="str">
        <f>Transformation[[#This Row],[crfomid]]&amp;Transformation[[#This Row],[Transaction from]]&amp;"("&amp;Transformation[[#This Row],[Multiplier]]&amp;") -&gt; "&amp;Transformation[[#This Row],[ctoid]]&amp;Transformation[[#This Row],[Transaction to]]</f>
        <v>OH08831(1) -&gt; OH015COH</v>
      </c>
    </row>
    <row r="272" spans="25:70" x14ac:dyDescent="0.45">
      <c r="Y272" s="5" t="s">
        <v>1246</v>
      </c>
      <c r="Z272" s="7" t="s">
        <v>1189</v>
      </c>
      <c r="AA272" s="4" t="s">
        <v>1379</v>
      </c>
      <c r="AB272" s="19" t="s">
        <v>1620</v>
      </c>
      <c r="AC272" s="24" t="str">
        <f>IFERROR(VLOOKUP(Transactions[[#This Row],[Parent code]],Transactions[[Transaction code]:[Transaction name]],2,0),"")</f>
        <v>CHP plants - hard coal</v>
      </c>
      <c r="AD272" s="4" t="s">
        <v>189</v>
      </c>
      <c r="AE272" s="4" t="s">
        <v>922</v>
      </c>
      <c r="AF272" s="4" t="s">
        <v>642</v>
      </c>
      <c r="AG272" s="4" t="s">
        <v>1</v>
      </c>
      <c r="AH272" s="4" t="s">
        <v>696</v>
      </c>
      <c r="AI272" s="12" t="s">
        <v>1416</v>
      </c>
      <c r="AK272" s="24" t="str" cm="1">
        <f t="array" ref="AK272">IFERROR(INDEX(Transactions[[Transaction code]:[Transaction name]],_xlfn.XMATCH(Transactions[[#This Row],[Parent code]],Transactions[Transaction name],0),3),Transactions[[#This Row],[Transaction name]])</f>
        <v>CHP plants - Autoproducer - hard coal</v>
      </c>
      <c r="AL272" s="24" t="str" cm="1">
        <f t="array" ref="AL272">IFERROR(INDEX(Transactions[[Transaction code]:[Transaction name]],_xlfn.XMATCH(INDEX(Transactions[[Transaction name]:[Parent code]],_xlfn.XMATCH(Transactions[[#This Row],[L1N]],Transactions[Transaction name],0),3),Transactions[Transaction code],0),2),Transactions[[#This Row],[L1N]])</f>
        <v>CHP plants - hard coal</v>
      </c>
      <c r="AM272" s="24" t="str" cm="1">
        <f t="array" ref="AM272">IFERROR(INDEX(Transactions[[Transaction code]:[Transaction name]],_xlfn.XMATCH(INDEX(Transactions[[Transaction name]:[Parent code]],_xlfn.XMATCH(Transactions[[#This Row],[L2N]],Transactions[Transaction name],0),3),Transactions[Transaction code],0),2),Transactions[[#This Row],[L2N]])</f>
        <v>CHP plants</v>
      </c>
      <c r="AN272" s="24" t="str" cm="1">
        <f t="array" ref="AN272">IFERROR(INDEX(Transactions[[Transaction code]:[Transaction name]],_xlfn.XMATCH(INDEX(Transactions[[Transaction name]:[Parent code]],_xlfn.XMATCH(Transactions[[#This Row],[L3N]],Transactions[Transaction name],0),3),Transactions[Transaction code],0),2),Transactions[[#This Row],[L3N]])</f>
        <v>Electricity, CHP and heat plants (T)</v>
      </c>
      <c r="AO272" s="24" t="str" cm="1">
        <f t="array" ref="AO272">IFERROR(INDEX(Transactions[[Transaction code]:[Transaction name]],_xlfn.XMATCH(INDEX(Transactions[[Transaction name]:[Parent code]],_xlfn.XMATCH(Transactions[[#This Row],[L4N]],Transactions[Transaction name],0),3),Transactions[Transaction code],0),2),Transactions[[#This Row],[L4N]])</f>
        <v>Transformation</v>
      </c>
      <c r="AP272" s="24" t="str" cm="1">
        <f t="array" ref="AP272">IFERROR(INDEX(Transactions[[Transaction code]:[Transaction name]],_xlfn.XMATCH(INDEX(Transactions[[Transaction name]:[Parent code]],_xlfn.XMATCH(Transactions[[#This Row],[L5N]],Transactions[Transaction name],0),3),Transactions[Transaction code],0),2),Transactions[[#This Row],[L5N]])</f>
        <v>Transformation</v>
      </c>
      <c r="AQ272" s="24" t="str" cm="1">
        <f t="array" ref="AQ272">IFERROR(INDEX(Transactions[[Transaction code]:[Transaction name]],_xlfn.XMATCH(INDEX(Transactions[[Transaction name]:[Parent code]],_xlfn.XMATCH(Transactions[[#This Row],[L6N]],Transactions[Transaction name],0),3),Transactions[Transaction code],0),2),Transactions[[#This Row],[L6N]])</f>
        <v>Transformation</v>
      </c>
      <c r="AR272" s="28" t="str">
        <f>IF(Transactions[[#This Row],[L7N]]=Transactions[[#This Row],[L6N]],Transactions[[#This Row],[L7N]],IF(Transactions[[#This Row],[L6N]]=Transactions[[#This Row],[L5N]],Transactions[[#This Row],[L6N]],IF(Transactions[[#This Row],[L5N]]=Transactions[[#This Row],[L4N]],Transactions[[#This Row],[L5N]],IF(Transactions[[#This Row],[L4N]]=Transactions[[#This Row],[L3N]],Transactions[[#This Row],[L4N]],IF(Transactions[[#This Row],[L3N]]=Transactions[[#This Row],[L2N]],Transactions[[#This Row],[L3N]],IF(Transactions[[#This Row],[L2N]]=Transactions[[#This Row],[L1N]],Transactions[[#This Row],[L2N]],IF(Transactions[[#This Row],[L1N]]=Transactions[[#This Row],[Transaction name]],Transactions[[#This Row],[L1N]],Transactions[[#This Row],[Transaction name]])))))))</f>
        <v>Transformation</v>
      </c>
      <c r="AS272" s="24" t="str">
        <f>IF(Transactions[[#This Row],[Level 0]]=Transactions[[#This Row],[Transaction name]],Transactions[[#This Row],[Transaction name]],IF(Transactions[[#This Row],[Level 0]]=Transactions[[#This Row],[L1N]],Transactions[[#This Row],[Transaction name]],IF(Transactions[[#This Row],[Level 0]]=Transactions[[#This Row],[L2N]],Transactions[[#This Row],[L1N]],IF(Transactions[[#This Row],[Level 0]]=Transactions[[#This Row],[L3N]],Transactions[[#This Row],[L2N]],IF(Transactions[[#This Row],[Level 0]]=Transactions[[#This Row],[L4N]],Transactions[[#This Row],[L3N]],IF(Transactions[[#This Row],[Level 0]]=Transactions[[#This Row],[L5N]],Transactions[[#This Row],[L4N]],IF(Transactions[[#This Row],[Level 0]]=Transactions[[#This Row],[L6N]],Transactions[[#This Row],[L5N]],IF(Transactions[[#This Row],[Level 0]]=Transactions[[#This Row],[L7N]],Transactions[[#This Row],[L6N]],Transactions[[#This Row],[L7N]]))))))))</f>
        <v>Electricity, CHP and heat plants (T)</v>
      </c>
      <c r="AT272" s="24" t="str">
        <f>IF(Transactions[[#This Row],[Level 1]]=Transactions[[#This Row],[Transaction name]],Transactions[[#This Row],[Transaction name]],IF(Transactions[[#This Row],[Level 1]]=Transactions[[#This Row],[L1N]],Transactions[[#This Row],[Transaction name]],IF(Transactions[[#This Row],[Level 1]]=Transactions[[#This Row],[L2N]],Transactions[[#This Row],[L1N]],IF(Transactions[[#This Row],[Level 1]]=Transactions[[#This Row],[L3N]],Transactions[[#This Row],[L2N]],IF(Transactions[[#This Row],[Level 1]]=Transactions[[#This Row],[L4N]],Transactions[[#This Row],[L3N]],IF(Transactions[[#This Row],[Level 1]]=Transactions[[#This Row],[L5N]],Transactions[[#This Row],[L4N]],IF(Transactions[[#This Row],[Level 1]]=Transactions[[#This Row],[L6N]],Transactions[[#This Row],[L5N]],IF(Transactions[[#This Row],[Level 1]]=Transactions[[#This Row],[L7N]],Transactions[[#This Row],[L6N]],Transactions[[#This Row],[L7N]]))))))))</f>
        <v>CHP plants</v>
      </c>
      <c r="AU272" s="24" t="str">
        <f>IF(Transactions[[#This Row],[Level 2]]=Transactions[[#This Row],[Transaction name]],Transactions[[#This Row],[Transaction name]],IF(Transactions[[#This Row],[Level 2]]=Transactions[[#This Row],[L1N]],Transactions[[#This Row],[Transaction name]],IF(Transactions[[#This Row],[Level 2]]=Transactions[[#This Row],[L2N]],Transactions[[#This Row],[L1N]],IF(Transactions[[#This Row],[Level 2]]=Transactions[[#This Row],[L3N]],Transactions[[#This Row],[L2N]],IF(Transactions[[#This Row],[Level 2]]=Transactions[[#This Row],[L4N]],Transactions[[#This Row],[L3N]],IF(Transactions[[#This Row],[Level 2]]=Transactions[[#This Row],[L5N]],Transactions[[#This Row],[L4N]],IF(Transactions[[#This Row],[Level 2]]=Transactions[[#This Row],[L6N]],Transactions[[#This Row],[L5N]],IF(Transactions[[#This Row],[Level 2]]=Transactions[[#This Row],[L7N]],Transactions[[#This Row],[L6N]],Transactions[[#This Row],[L7N]]))))))))</f>
        <v>CHP plants - hard coal</v>
      </c>
      <c r="AV272" s="24" t="str">
        <f>IF(Transactions[[#This Row],[Level 3]]=Transactions[[#This Row],[Transaction name]],Transactions[[#This Row],[Transaction name]],IF(Transactions[[#This Row],[Level 3]]=Transactions[[#This Row],[L1N]],Transactions[[#This Row],[Transaction name]],IF(Transactions[[#This Row],[Level 3]]=Transactions[[#This Row],[L2N]],Transactions[[#This Row],[L1N]],IF(Transactions[[#This Row],[Level 3]]=Transactions[[#This Row],[L3N]],Transactions[[#This Row],[L2N]],IF(Transactions[[#This Row],[Level 3]]=Transactions[[#This Row],[L4N]],Transactions[[#This Row],[L3N]],IF(Transactions[[#This Row],[Level 3]]=Transactions[[#This Row],[L5N]],Transactions[[#This Row],[L4N]],IF(Transactions[[#This Row],[Level 3]]=Transactions[[#This Row],[L6N]],Transactions[[#This Row],[L5N]],IF(Transactions[[#This Row],[Level 3]]=Transactions[[#This Row],[L7N]],Transactions[[#This Row],[L6N]],Transactions[[#This Row],[L7N]]))))))))</f>
        <v>CHP plants - Autoproducer - hard coal</v>
      </c>
      <c r="AW272" s="24" t="str">
        <f>IF(Transactions[[#This Row],[Level 4]]=Transactions[[#This Row],[Transaction name]],Transactions[[#This Row],[Transaction name]],IF(Transactions[[#This Row],[Level 4]]=Transactions[[#This Row],[L1N]],Transactions[[#This Row],[Transaction name]],IF(Transactions[[#This Row],[Level 4]]=Transactions[[#This Row],[L2N]],Transactions[[#This Row],[L1N]],IF(Transactions[[#This Row],[Level 4]]=Transactions[[#This Row],[L3N]],Transactions[[#This Row],[L2N]],IF(Transactions[[#This Row],[Level 4]]=Transactions[[#This Row],[L4N]],Transactions[[#This Row],[L3N]],IF(Transactions[[#This Row],[Level 4]]=Transactions[[#This Row],[L5N]],Transactions[[#This Row],[L4N]],IF(Transactions[[#This Row],[Level 4]]=Transactions[[#This Row],[L6N]],Transactions[[#This Row],[L5N]],IF(Transactions[[#This Row],[Level 4]]=Transactions[[#This Row],[L7N]],Transactions[[#This Row],[L6N]],Transactions[[#This Row],[L7N]]))))))))</f>
        <v>CHP plants - Autoproducer - hard coal</v>
      </c>
      <c r="AX272" s="24" t="str">
        <f>IF(Transactions[[#This Row],[Level 5]]=Transactions[[#This Row],[Transaction name]],Transactions[[#This Row],[Transaction name]],IF(Transactions[[#This Row],[Level 5]]=Transactions[[#This Row],[L1N]],Transactions[[#This Row],[Transaction name]],IF(Transactions[[#This Row],[Level 5]]=Transactions[[#This Row],[L2N]],Transactions[[#This Row],[L1N]],IF(Transactions[[#This Row],[Level 5]]=Transactions[[#This Row],[L3N]],Transactions[[#This Row],[L2N]],IF(Transactions[[#This Row],[Level 5]]=Transactions[[#This Row],[L4N]],Transactions[[#This Row],[L3N]],IF(Transactions[[#This Row],[Level 5]]=Transactions[[#This Row],[L5N]],Transactions[[#This Row],[L4N]],IF(Transactions[[#This Row],[Level 5]]=Transactions[[#This Row],[L6N]],Transactions[[#This Row],[L5N]],IF(Transactions[[#This Row],[Level 5]]=Transactions[[#This Row],[L7N]],Transactions[[#This Row],[L6N]],Transactions[[#This Row],[L7N]]))))))))</f>
        <v>CHP plants - Autoproducer - hard coal</v>
      </c>
      <c r="AY272" s="24" t="str">
        <f>IF(Transactions[[#This Row],[Level 6]]=Transactions[[#This Row],[Transaction name]],Transactions[[#This Row],[Transaction name]],IF(Transactions[[#This Row],[Level 6]]=Transactions[[#This Row],[L1N]],Transactions[[#This Row],[Transaction name]],IF(Transactions[[#This Row],[Level 6]]=Transactions[[#This Row],[L2N]],Transactions[[#This Row],[L1N]],IF(Transactions[[#This Row],[Level 6]]=Transactions[[#This Row],[L3N]],Transactions[[#This Row],[L2N]],IF(Transactions[[#This Row],[Level 6]]=Transactions[[#This Row],[L4N]],Transactions[[#This Row],[L3N]],IF(Transactions[[#This Row],[Level 6]]=Transactions[[#This Row],[L5N]],Transactions[[#This Row],[L4N]],IF(Transactions[[#This Row],[Level 6]]=Transactions[[#This Row],[L6N]],Transactions[[#This Row],[L5N]],IF(Transactions[[#This Row],[Level 6]]=Transactions[[#This Row],[L7N]],Transactions[[#This Row],[L6N]],Transactions[[#This Row],[L7N]]))))))))</f>
        <v>CHP plants - Autoproducer - hard coal</v>
      </c>
      <c r="BE272" s="26" t="str">
        <f>_xlfn.XLOOKUP(Transformation[[#This Row],[cfrom]],Commodities[Commodity],Commodities[Commodity code])</f>
        <v>0311</v>
      </c>
      <c r="BF272" s="26" t="str">
        <f>_xlfn.XLOOKUP(Transformation[[#This Row],[tfrom]],Transactions[Transaction name],Transactions[Transaction code])</f>
        <v>08831</v>
      </c>
      <c r="BG272" s="26" t="str">
        <f>_xlfn.XLOOKUP(Transformation[[#This Row],[cto]],Commodities[Commodity],Commodities[Commodity code])</f>
        <v>0311</v>
      </c>
      <c r="BH272" s="26" t="str">
        <f>_xlfn.XLOOKUP(Transformation[[#This Row],[tto]],Transactions[Transaction name],Transactions[Transaction code])</f>
        <v>015CSH</v>
      </c>
      <c r="BI272" s="11">
        <v>1</v>
      </c>
      <c r="BJ272" s="4" t="s">
        <v>500</v>
      </c>
      <c r="BK272" s="24" t="str">
        <f>_xlfn.XLOOKUP(Transformation[[#This Row],[Commodity from]],Commodities[Commodity code],Commodities[EnergyCode])</f>
        <v>OK</v>
      </c>
      <c r="BL272" s="4" t="s">
        <v>693</v>
      </c>
      <c r="BM272" s="4" t="s">
        <v>500</v>
      </c>
      <c r="BN272" s="24" t="str">
        <f>_xlfn.XLOOKUP(Transformation[[#This Row],[Commodity to]],Commodities[Commodity code],Commodities[EnergyCode])</f>
        <v>OK</v>
      </c>
      <c r="BO272" s="4" t="s">
        <v>1211</v>
      </c>
      <c r="BP272" s="16" t="s">
        <v>1493</v>
      </c>
      <c r="BQ272" s="33" t="str">
        <f>Transformation[[#This Row],[Commodity from]]&amp;Transformation[[#This Row],[Transaction from]]&amp;Transformation[[#This Row],[Commodity to]]&amp;Transformation[[#This Row],[Transaction to]]</f>
        <v>0311088310311015CSH</v>
      </c>
      <c r="BR272" s="26" t="str">
        <f>Transformation[[#This Row],[crfomid]]&amp;Transformation[[#This Row],[Transaction from]]&amp;"("&amp;Transformation[[#This Row],[Multiplier]]&amp;") -&gt; "&amp;Transformation[[#This Row],[ctoid]]&amp;Transformation[[#This Row],[Transaction to]]</f>
        <v>OK08831(1) -&gt; OK015CSH</v>
      </c>
    </row>
    <row r="273" spans="25:70" x14ac:dyDescent="0.45">
      <c r="Y273" s="19" t="s">
        <v>1620</v>
      </c>
      <c r="Z273" s="18" t="s">
        <v>1379</v>
      </c>
      <c r="AA273" s="18" t="s">
        <v>1379</v>
      </c>
      <c r="AB273" s="19" t="s">
        <v>1627</v>
      </c>
      <c r="AC273" s="26" t="str">
        <f>IFERROR(VLOOKUP(Transactions[[#This Row],[Parent code]],Transactions[[Transaction code]:[Transaction name]],2,0),"")</f>
        <v>CHP plants</v>
      </c>
      <c r="AD273" s="18" t="s">
        <v>189</v>
      </c>
      <c r="AE273" s="18" t="s">
        <v>922</v>
      </c>
      <c r="AF273" s="18" t="s">
        <v>642</v>
      </c>
      <c r="AG273" s="18" t="s">
        <v>1</v>
      </c>
      <c r="AH273" s="18" t="s">
        <v>696</v>
      </c>
      <c r="AI273" s="18" t="s">
        <v>1416</v>
      </c>
      <c r="AJ273" s="18"/>
      <c r="AK273" s="26" t="str" cm="1">
        <f t="array" ref="AK273">IFERROR(INDEX(Transactions[[Transaction code]:[Transaction name]],_xlfn.XMATCH(Transactions[[#This Row],[Parent code]],Transactions[Transaction name],0),3),Transactions[[#This Row],[Transaction name]])</f>
        <v>CHP plants - hard coal</v>
      </c>
      <c r="AL273" s="26" t="str" cm="1">
        <f t="array" ref="AL273">IFERROR(INDEX(Transactions[[Transaction code]:[Transaction name]],_xlfn.XMATCH(INDEX(Transactions[[Transaction name]:[Parent code]],_xlfn.XMATCH(Transactions[[#This Row],[L1N]],Transactions[Transaction name],0),3),Transactions[Transaction code],0),2),Transactions[[#This Row],[L1N]])</f>
        <v>CHP plants</v>
      </c>
      <c r="AM273" s="26" t="str" cm="1">
        <f t="array" ref="AM273">IFERROR(INDEX(Transactions[[Transaction code]:[Transaction name]],_xlfn.XMATCH(INDEX(Transactions[[Transaction name]:[Parent code]],_xlfn.XMATCH(Transactions[[#This Row],[L2N]],Transactions[Transaction name],0),3),Transactions[Transaction code],0),2),Transactions[[#This Row],[L2N]])</f>
        <v>Electricity, CHP and heat plants (T)</v>
      </c>
      <c r="AN273" s="26" t="str" cm="1">
        <f t="array" ref="AN273">IFERROR(INDEX(Transactions[[Transaction code]:[Transaction name]],_xlfn.XMATCH(INDEX(Transactions[[Transaction name]:[Parent code]],_xlfn.XMATCH(Transactions[[#This Row],[L3N]],Transactions[Transaction name],0),3),Transactions[Transaction code],0),2),Transactions[[#This Row],[L3N]])</f>
        <v>Transformation</v>
      </c>
      <c r="AO273" s="26" t="str" cm="1">
        <f t="array" ref="AO273">IFERROR(INDEX(Transactions[[Transaction code]:[Transaction name]],_xlfn.XMATCH(INDEX(Transactions[[Transaction name]:[Parent code]],_xlfn.XMATCH(Transactions[[#This Row],[L4N]],Transactions[Transaction name],0),3),Transactions[Transaction code],0),2),Transactions[[#This Row],[L4N]])</f>
        <v>Transformation</v>
      </c>
      <c r="AP273" s="26" t="str" cm="1">
        <f t="array" ref="AP273">IFERROR(INDEX(Transactions[[Transaction code]:[Transaction name]],_xlfn.XMATCH(INDEX(Transactions[[Transaction name]:[Parent code]],_xlfn.XMATCH(Transactions[[#This Row],[L5N]],Transactions[Transaction name],0),3),Transactions[Transaction code],0),2),Transactions[[#This Row],[L5N]])</f>
        <v>Transformation</v>
      </c>
      <c r="AQ273" s="26" t="str" cm="1">
        <f t="array" ref="AQ273">IFERROR(INDEX(Transactions[[Transaction code]:[Transaction name]],_xlfn.XMATCH(INDEX(Transactions[[Transaction name]:[Parent code]],_xlfn.XMATCH(Transactions[[#This Row],[L6N]],Transactions[Transaction name],0),3),Transactions[Transaction code],0),2),Transactions[[#This Row],[L6N]])</f>
        <v>Transformation</v>
      </c>
      <c r="AR273" s="29" t="str">
        <f>IF(Transactions[[#This Row],[L7N]]=Transactions[[#This Row],[L6N]],Transactions[[#This Row],[L7N]],IF(Transactions[[#This Row],[L6N]]=Transactions[[#This Row],[L5N]],Transactions[[#This Row],[L6N]],IF(Transactions[[#This Row],[L5N]]=Transactions[[#This Row],[L4N]],Transactions[[#This Row],[L5N]],IF(Transactions[[#This Row],[L4N]]=Transactions[[#This Row],[L3N]],Transactions[[#This Row],[L4N]],IF(Transactions[[#This Row],[L3N]]=Transactions[[#This Row],[L2N]],Transactions[[#This Row],[L3N]],IF(Transactions[[#This Row],[L2N]]=Transactions[[#This Row],[L1N]],Transactions[[#This Row],[L2N]],IF(Transactions[[#This Row],[L1N]]=Transactions[[#This Row],[Transaction name]],Transactions[[#This Row],[L1N]],Transactions[[#This Row],[Transaction name]])))))))</f>
        <v>Transformation</v>
      </c>
      <c r="AS273" s="26" t="str">
        <f>IF(Transactions[[#This Row],[Level 0]]=Transactions[[#This Row],[Transaction name]],Transactions[[#This Row],[Transaction name]],IF(Transactions[[#This Row],[Level 0]]=Transactions[[#This Row],[L1N]],Transactions[[#This Row],[Transaction name]],IF(Transactions[[#This Row],[Level 0]]=Transactions[[#This Row],[L2N]],Transactions[[#This Row],[L1N]],IF(Transactions[[#This Row],[Level 0]]=Transactions[[#This Row],[L3N]],Transactions[[#This Row],[L2N]],IF(Transactions[[#This Row],[Level 0]]=Transactions[[#This Row],[L4N]],Transactions[[#This Row],[L3N]],IF(Transactions[[#This Row],[Level 0]]=Transactions[[#This Row],[L5N]],Transactions[[#This Row],[L4N]],IF(Transactions[[#This Row],[Level 0]]=Transactions[[#This Row],[L6N]],Transactions[[#This Row],[L5N]],IF(Transactions[[#This Row],[Level 0]]=Transactions[[#This Row],[L7N]],Transactions[[#This Row],[L6N]],Transactions[[#This Row],[L7N]]))))))))</f>
        <v>Electricity, CHP and heat plants (T)</v>
      </c>
      <c r="AT273" s="26" t="str">
        <f>IF(Transactions[[#This Row],[Level 1]]=Transactions[[#This Row],[Transaction name]],Transactions[[#This Row],[Transaction name]],IF(Transactions[[#This Row],[Level 1]]=Transactions[[#This Row],[L1N]],Transactions[[#This Row],[Transaction name]],IF(Transactions[[#This Row],[Level 1]]=Transactions[[#This Row],[L2N]],Transactions[[#This Row],[L1N]],IF(Transactions[[#This Row],[Level 1]]=Transactions[[#This Row],[L3N]],Transactions[[#This Row],[L2N]],IF(Transactions[[#This Row],[Level 1]]=Transactions[[#This Row],[L4N]],Transactions[[#This Row],[L3N]],IF(Transactions[[#This Row],[Level 1]]=Transactions[[#This Row],[L5N]],Transactions[[#This Row],[L4N]],IF(Transactions[[#This Row],[Level 1]]=Transactions[[#This Row],[L6N]],Transactions[[#This Row],[L5N]],IF(Transactions[[#This Row],[Level 1]]=Transactions[[#This Row],[L7N]],Transactions[[#This Row],[L6N]],Transactions[[#This Row],[L7N]]))))))))</f>
        <v>CHP plants</v>
      </c>
      <c r="AU273" s="26" t="str">
        <f>IF(Transactions[[#This Row],[Level 2]]=Transactions[[#This Row],[Transaction name]],Transactions[[#This Row],[Transaction name]],IF(Transactions[[#This Row],[Level 2]]=Transactions[[#This Row],[L1N]],Transactions[[#This Row],[Transaction name]],IF(Transactions[[#This Row],[Level 2]]=Transactions[[#This Row],[L2N]],Transactions[[#This Row],[L1N]],IF(Transactions[[#This Row],[Level 2]]=Transactions[[#This Row],[L3N]],Transactions[[#This Row],[L2N]],IF(Transactions[[#This Row],[Level 2]]=Transactions[[#This Row],[L4N]],Transactions[[#This Row],[L3N]],IF(Transactions[[#This Row],[Level 2]]=Transactions[[#This Row],[L5N]],Transactions[[#This Row],[L4N]],IF(Transactions[[#This Row],[Level 2]]=Transactions[[#This Row],[L6N]],Transactions[[#This Row],[L5N]],IF(Transactions[[#This Row],[Level 2]]=Transactions[[#This Row],[L7N]],Transactions[[#This Row],[L6N]],Transactions[[#This Row],[L7N]]))))))))</f>
        <v>CHP plants - hard coal</v>
      </c>
      <c r="AV273" s="26" t="str">
        <f>IF(Transactions[[#This Row],[Level 3]]=Transactions[[#This Row],[Transaction name]],Transactions[[#This Row],[Transaction name]],IF(Transactions[[#This Row],[Level 3]]=Transactions[[#This Row],[L1N]],Transactions[[#This Row],[Transaction name]],IF(Transactions[[#This Row],[Level 3]]=Transactions[[#This Row],[L2N]],Transactions[[#This Row],[L1N]],IF(Transactions[[#This Row],[Level 3]]=Transactions[[#This Row],[L3N]],Transactions[[#This Row],[L2N]],IF(Transactions[[#This Row],[Level 3]]=Transactions[[#This Row],[L4N]],Transactions[[#This Row],[L3N]],IF(Transactions[[#This Row],[Level 3]]=Transactions[[#This Row],[L5N]],Transactions[[#This Row],[L4N]],IF(Transactions[[#This Row],[Level 3]]=Transactions[[#This Row],[L6N]],Transactions[[#This Row],[L5N]],IF(Transactions[[#This Row],[Level 3]]=Transactions[[#This Row],[L7N]],Transactions[[#This Row],[L6N]],Transactions[[#This Row],[L7N]]))))))))</f>
        <v>CHP plants - hard coal</v>
      </c>
      <c r="AW273" s="26" t="str">
        <f>IF(Transactions[[#This Row],[Level 4]]=Transactions[[#This Row],[Transaction name]],Transactions[[#This Row],[Transaction name]],IF(Transactions[[#This Row],[Level 4]]=Transactions[[#This Row],[L1N]],Transactions[[#This Row],[Transaction name]],IF(Transactions[[#This Row],[Level 4]]=Transactions[[#This Row],[L2N]],Transactions[[#This Row],[L1N]],IF(Transactions[[#This Row],[Level 4]]=Transactions[[#This Row],[L3N]],Transactions[[#This Row],[L2N]],IF(Transactions[[#This Row],[Level 4]]=Transactions[[#This Row],[L4N]],Transactions[[#This Row],[L3N]],IF(Transactions[[#This Row],[Level 4]]=Transactions[[#This Row],[L5N]],Transactions[[#This Row],[L4N]],IF(Transactions[[#This Row],[Level 4]]=Transactions[[#This Row],[L6N]],Transactions[[#This Row],[L5N]],IF(Transactions[[#This Row],[Level 4]]=Transactions[[#This Row],[L7N]],Transactions[[#This Row],[L6N]],Transactions[[#This Row],[L7N]]))))))))</f>
        <v>CHP plants - hard coal</v>
      </c>
      <c r="AX273" s="26" t="str">
        <f>IF(Transactions[[#This Row],[Level 5]]=Transactions[[#This Row],[Transaction name]],Transactions[[#This Row],[Transaction name]],IF(Transactions[[#This Row],[Level 5]]=Transactions[[#This Row],[L1N]],Transactions[[#This Row],[Transaction name]],IF(Transactions[[#This Row],[Level 5]]=Transactions[[#This Row],[L2N]],Transactions[[#This Row],[L1N]],IF(Transactions[[#This Row],[Level 5]]=Transactions[[#This Row],[L3N]],Transactions[[#This Row],[L2N]],IF(Transactions[[#This Row],[Level 5]]=Transactions[[#This Row],[L4N]],Transactions[[#This Row],[L3N]],IF(Transactions[[#This Row],[Level 5]]=Transactions[[#This Row],[L5N]],Transactions[[#This Row],[L4N]],IF(Transactions[[#This Row],[Level 5]]=Transactions[[#This Row],[L6N]],Transactions[[#This Row],[L5N]],IF(Transactions[[#This Row],[Level 5]]=Transactions[[#This Row],[L7N]],Transactions[[#This Row],[L6N]],Transactions[[#This Row],[L7N]]))))))))</f>
        <v>CHP plants - hard coal</v>
      </c>
      <c r="AY273" s="26" t="str">
        <f>IF(Transactions[[#This Row],[Level 6]]=Transactions[[#This Row],[Transaction name]],Transactions[[#This Row],[Transaction name]],IF(Transactions[[#This Row],[Level 6]]=Transactions[[#This Row],[L1N]],Transactions[[#This Row],[Transaction name]],IF(Transactions[[#This Row],[Level 6]]=Transactions[[#This Row],[L2N]],Transactions[[#This Row],[L1N]],IF(Transactions[[#This Row],[Level 6]]=Transactions[[#This Row],[L3N]],Transactions[[#This Row],[L2N]],IF(Transactions[[#This Row],[Level 6]]=Transactions[[#This Row],[L4N]],Transactions[[#This Row],[L3N]],IF(Transactions[[#This Row],[Level 6]]=Transactions[[#This Row],[L5N]],Transactions[[#This Row],[L4N]],IF(Transactions[[#This Row],[Level 6]]=Transactions[[#This Row],[L6N]],Transactions[[#This Row],[L5N]],IF(Transactions[[#This Row],[Level 6]]=Transactions[[#This Row],[L7N]],Transactions[[#This Row],[L6N]],Transactions[[#This Row],[L7N]]))))))))</f>
        <v>CHP plants - hard coal</v>
      </c>
      <c r="BE273" s="26" t="str">
        <f>_xlfn.XLOOKUP(Transformation[[#This Row],[cfrom]],Commodities[Commodity],Commodities[Commodity code])</f>
        <v>5290</v>
      </c>
      <c r="BF273" s="26" t="str">
        <f>_xlfn.XLOOKUP(Transformation[[#This Row],[tfrom]],Transactions[Transaction name],Transactions[Transaction code])</f>
        <v>08831</v>
      </c>
      <c r="BG273" s="26" t="str">
        <f>_xlfn.XLOOKUP(Transformation[[#This Row],[cto]],Commodities[Commodity],Commodities[Commodity code])</f>
        <v>5290</v>
      </c>
      <c r="BH273" s="26" t="str">
        <f>_xlfn.XLOOKUP(Transformation[[#This Row],[tto]],Transactions[Transaction name],Transactions[Transaction code])</f>
        <v>015BLH</v>
      </c>
      <c r="BI273" s="11">
        <v>1</v>
      </c>
      <c r="BJ273" s="4" t="s">
        <v>301</v>
      </c>
      <c r="BK273" s="24" t="str">
        <f>_xlfn.XLOOKUP(Transformation[[#This Row],[Commodity from]],Commodities[Commodity code],Commodities[EnergyCode])</f>
        <v>OL</v>
      </c>
      <c r="BL273" s="4" t="s">
        <v>693</v>
      </c>
      <c r="BM273" s="4" t="s">
        <v>301</v>
      </c>
      <c r="BN273" s="24" t="str">
        <f>_xlfn.XLOOKUP(Transformation[[#This Row],[Commodity to]],Commodities[Commodity code],Commodities[EnergyCode])</f>
        <v>OL</v>
      </c>
      <c r="BO273" s="4" t="s">
        <v>1076</v>
      </c>
      <c r="BP273" s="16" t="s">
        <v>1493</v>
      </c>
      <c r="BQ273" s="33" t="str">
        <f>Transformation[[#This Row],[Commodity from]]&amp;Transformation[[#This Row],[Transaction from]]&amp;Transformation[[#This Row],[Commodity to]]&amp;Transformation[[#This Row],[Transaction to]]</f>
        <v>5290088315290015BLH</v>
      </c>
      <c r="BR273" s="26" t="str">
        <f>Transformation[[#This Row],[crfomid]]&amp;Transformation[[#This Row],[Transaction from]]&amp;"("&amp;Transformation[[#This Row],[Multiplier]]&amp;") -&gt; "&amp;Transformation[[#This Row],[ctoid]]&amp;Transformation[[#This Row],[Transaction to]]</f>
        <v>OL08831(1) -&gt; OL015BLH</v>
      </c>
    </row>
    <row r="274" spans="25:70" x14ac:dyDescent="0.45">
      <c r="Y274" s="5" t="s">
        <v>1242</v>
      </c>
      <c r="Z274" s="7" t="s">
        <v>1185</v>
      </c>
      <c r="AA274" s="4" t="s">
        <v>1379</v>
      </c>
      <c r="AB274" s="19" t="s">
        <v>1620</v>
      </c>
      <c r="AC274" s="24" t="str">
        <f>IFERROR(VLOOKUP(Transactions[[#This Row],[Parent code]],Transactions[[Transaction code]:[Transaction name]],2,0),"")</f>
        <v>CHP plants - hard coal</v>
      </c>
      <c r="AD274" s="4" t="s">
        <v>189</v>
      </c>
      <c r="AE274" s="4" t="s">
        <v>922</v>
      </c>
      <c r="AF274" s="4" t="s">
        <v>642</v>
      </c>
      <c r="AG274" s="4" t="s">
        <v>1</v>
      </c>
      <c r="AH274" s="4" t="s">
        <v>696</v>
      </c>
      <c r="AI274" s="12" t="s">
        <v>1416</v>
      </c>
      <c r="AK274" s="24" t="str" cm="1">
        <f t="array" ref="AK274">IFERROR(INDEX(Transactions[[Transaction code]:[Transaction name]],_xlfn.XMATCH(Transactions[[#This Row],[Parent code]],Transactions[Transaction name],0),3),Transactions[[#This Row],[Transaction name]])</f>
        <v>CHP plants - Main activity - hard coal</v>
      </c>
      <c r="AL274" s="24" t="str" cm="1">
        <f t="array" ref="AL274">IFERROR(INDEX(Transactions[[Transaction code]:[Transaction name]],_xlfn.XMATCH(INDEX(Transactions[[Transaction name]:[Parent code]],_xlfn.XMATCH(Transactions[[#This Row],[L1N]],Transactions[Transaction name],0),3),Transactions[Transaction code],0),2),Transactions[[#This Row],[L1N]])</f>
        <v>CHP plants - hard coal</v>
      </c>
      <c r="AM274" s="24" t="str" cm="1">
        <f t="array" ref="AM274">IFERROR(INDEX(Transactions[[Transaction code]:[Transaction name]],_xlfn.XMATCH(INDEX(Transactions[[Transaction name]:[Parent code]],_xlfn.XMATCH(Transactions[[#This Row],[L2N]],Transactions[Transaction name],0),3),Transactions[Transaction code],0),2),Transactions[[#This Row],[L2N]])</f>
        <v>CHP plants</v>
      </c>
      <c r="AN274" s="24" t="str" cm="1">
        <f t="array" ref="AN274">IFERROR(INDEX(Transactions[[Transaction code]:[Transaction name]],_xlfn.XMATCH(INDEX(Transactions[[Transaction name]:[Parent code]],_xlfn.XMATCH(Transactions[[#This Row],[L3N]],Transactions[Transaction name],0),3),Transactions[Transaction code],0),2),Transactions[[#This Row],[L3N]])</f>
        <v>Electricity, CHP and heat plants (T)</v>
      </c>
      <c r="AO274" s="24" t="str" cm="1">
        <f t="array" ref="AO274">IFERROR(INDEX(Transactions[[Transaction code]:[Transaction name]],_xlfn.XMATCH(INDEX(Transactions[[Transaction name]:[Parent code]],_xlfn.XMATCH(Transactions[[#This Row],[L4N]],Transactions[Transaction name],0),3),Transactions[Transaction code],0),2),Transactions[[#This Row],[L4N]])</f>
        <v>Transformation</v>
      </c>
      <c r="AP274" s="24" t="str" cm="1">
        <f t="array" ref="AP274">IFERROR(INDEX(Transactions[[Transaction code]:[Transaction name]],_xlfn.XMATCH(INDEX(Transactions[[Transaction name]:[Parent code]],_xlfn.XMATCH(Transactions[[#This Row],[L5N]],Transactions[Transaction name],0),3),Transactions[Transaction code],0),2),Transactions[[#This Row],[L5N]])</f>
        <v>Transformation</v>
      </c>
      <c r="AQ274" s="24" t="str" cm="1">
        <f t="array" ref="AQ274">IFERROR(INDEX(Transactions[[Transaction code]:[Transaction name]],_xlfn.XMATCH(INDEX(Transactions[[Transaction name]:[Parent code]],_xlfn.XMATCH(Transactions[[#This Row],[L6N]],Transactions[Transaction name],0),3),Transactions[Transaction code],0),2),Transactions[[#This Row],[L6N]])</f>
        <v>Transformation</v>
      </c>
      <c r="AR274" s="28" t="str">
        <f>IF(Transactions[[#This Row],[L7N]]=Transactions[[#This Row],[L6N]],Transactions[[#This Row],[L7N]],IF(Transactions[[#This Row],[L6N]]=Transactions[[#This Row],[L5N]],Transactions[[#This Row],[L6N]],IF(Transactions[[#This Row],[L5N]]=Transactions[[#This Row],[L4N]],Transactions[[#This Row],[L5N]],IF(Transactions[[#This Row],[L4N]]=Transactions[[#This Row],[L3N]],Transactions[[#This Row],[L4N]],IF(Transactions[[#This Row],[L3N]]=Transactions[[#This Row],[L2N]],Transactions[[#This Row],[L3N]],IF(Transactions[[#This Row],[L2N]]=Transactions[[#This Row],[L1N]],Transactions[[#This Row],[L2N]],IF(Transactions[[#This Row],[L1N]]=Transactions[[#This Row],[Transaction name]],Transactions[[#This Row],[L1N]],Transactions[[#This Row],[Transaction name]])))))))</f>
        <v>Transformation</v>
      </c>
      <c r="AS274" s="24" t="str">
        <f>IF(Transactions[[#This Row],[Level 0]]=Transactions[[#This Row],[Transaction name]],Transactions[[#This Row],[Transaction name]],IF(Transactions[[#This Row],[Level 0]]=Transactions[[#This Row],[L1N]],Transactions[[#This Row],[Transaction name]],IF(Transactions[[#This Row],[Level 0]]=Transactions[[#This Row],[L2N]],Transactions[[#This Row],[L1N]],IF(Transactions[[#This Row],[Level 0]]=Transactions[[#This Row],[L3N]],Transactions[[#This Row],[L2N]],IF(Transactions[[#This Row],[Level 0]]=Transactions[[#This Row],[L4N]],Transactions[[#This Row],[L3N]],IF(Transactions[[#This Row],[Level 0]]=Transactions[[#This Row],[L5N]],Transactions[[#This Row],[L4N]],IF(Transactions[[#This Row],[Level 0]]=Transactions[[#This Row],[L6N]],Transactions[[#This Row],[L5N]],IF(Transactions[[#This Row],[Level 0]]=Transactions[[#This Row],[L7N]],Transactions[[#This Row],[L6N]],Transactions[[#This Row],[L7N]]))))))))</f>
        <v>Electricity, CHP and heat plants (T)</v>
      </c>
      <c r="AT274" s="24" t="str">
        <f>IF(Transactions[[#This Row],[Level 1]]=Transactions[[#This Row],[Transaction name]],Transactions[[#This Row],[Transaction name]],IF(Transactions[[#This Row],[Level 1]]=Transactions[[#This Row],[L1N]],Transactions[[#This Row],[Transaction name]],IF(Transactions[[#This Row],[Level 1]]=Transactions[[#This Row],[L2N]],Transactions[[#This Row],[L1N]],IF(Transactions[[#This Row],[Level 1]]=Transactions[[#This Row],[L3N]],Transactions[[#This Row],[L2N]],IF(Transactions[[#This Row],[Level 1]]=Transactions[[#This Row],[L4N]],Transactions[[#This Row],[L3N]],IF(Transactions[[#This Row],[Level 1]]=Transactions[[#This Row],[L5N]],Transactions[[#This Row],[L4N]],IF(Transactions[[#This Row],[Level 1]]=Transactions[[#This Row],[L6N]],Transactions[[#This Row],[L5N]],IF(Transactions[[#This Row],[Level 1]]=Transactions[[#This Row],[L7N]],Transactions[[#This Row],[L6N]],Transactions[[#This Row],[L7N]]))))))))</f>
        <v>CHP plants</v>
      </c>
      <c r="AU274" s="24" t="str">
        <f>IF(Transactions[[#This Row],[Level 2]]=Transactions[[#This Row],[Transaction name]],Transactions[[#This Row],[Transaction name]],IF(Transactions[[#This Row],[Level 2]]=Transactions[[#This Row],[L1N]],Transactions[[#This Row],[Transaction name]],IF(Transactions[[#This Row],[Level 2]]=Transactions[[#This Row],[L2N]],Transactions[[#This Row],[L1N]],IF(Transactions[[#This Row],[Level 2]]=Transactions[[#This Row],[L3N]],Transactions[[#This Row],[L2N]],IF(Transactions[[#This Row],[Level 2]]=Transactions[[#This Row],[L4N]],Transactions[[#This Row],[L3N]],IF(Transactions[[#This Row],[Level 2]]=Transactions[[#This Row],[L5N]],Transactions[[#This Row],[L4N]],IF(Transactions[[#This Row],[Level 2]]=Transactions[[#This Row],[L6N]],Transactions[[#This Row],[L5N]],IF(Transactions[[#This Row],[Level 2]]=Transactions[[#This Row],[L7N]],Transactions[[#This Row],[L6N]],Transactions[[#This Row],[L7N]]))))))))</f>
        <v>CHP plants - hard coal</v>
      </c>
      <c r="AV274" s="24" t="str">
        <f>IF(Transactions[[#This Row],[Level 3]]=Transactions[[#This Row],[Transaction name]],Transactions[[#This Row],[Transaction name]],IF(Transactions[[#This Row],[Level 3]]=Transactions[[#This Row],[L1N]],Transactions[[#This Row],[Transaction name]],IF(Transactions[[#This Row],[Level 3]]=Transactions[[#This Row],[L2N]],Transactions[[#This Row],[L1N]],IF(Transactions[[#This Row],[Level 3]]=Transactions[[#This Row],[L3N]],Transactions[[#This Row],[L2N]],IF(Transactions[[#This Row],[Level 3]]=Transactions[[#This Row],[L4N]],Transactions[[#This Row],[L3N]],IF(Transactions[[#This Row],[Level 3]]=Transactions[[#This Row],[L5N]],Transactions[[#This Row],[L4N]],IF(Transactions[[#This Row],[Level 3]]=Transactions[[#This Row],[L6N]],Transactions[[#This Row],[L5N]],IF(Transactions[[#This Row],[Level 3]]=Transactions[[#This Row],[L7N]],Transactions[[#This Row],[L6N]],Transactions[[#This Row],[L7N]]))))))))</f>
        <v>CHP plants - Main activity - hard coal</v>
      </c>
      <c r="AW274" s="24" t="str">
        <f>IF(Transactions[[#This Row],[Level 4]]=Transactions[[#This Row],[Transaction name]],Transactions[[#This Row],[Transaction name]],IF(Transactions[[#This Row],[Level 4]]=Transactions[[#This Row],[L1N]],Transactions[[#This Row],[Transaction name]],IF(Transactions[[#This Row],[Level 4]]=Transactions[[#This Row],[L2N]],Transactions[[#This Row],[L1N]],IF(Transactions[[#This Row],[Level 4]]=Transactions[[#This Row],[L3N]],Transactions[[#This Row],[L2N]],IF(Transactions[[#This Row],[Level 4]]=Transactions[[#This Row],[L4N]],Transactions[[#This Row],[L3N]],IF(Transactions[[#This Row],[Level 4]]=Transactions[[#This Row],[L5N]],Transactions[[#This Row],[L4N]],IF(Transactions[[#This Row],[Level 4]]=Transactions[[#This Row],[L6N]],Transactions[[#This Row],[L5N]],IF(Transactions[[#This Row],[Level 4]]=Transactions[[#This Row],[L7N]],Transactions[[#This Row],[L6N]],Transactions[[#This Row],[L7N]]))))))))</f>
        <v>CHP plants - Main activity - hard coal</v>
      </c>
      <c r="AX274" s="24" t="str">
        <f>IF(Transactions[[#This Row],[Level 5]]=Transactions[[#This Row],[Transaction name]],Transactions[[#This Row],[Transaction name]],IF(Transactions[[#This Row],[Level 5]]=Transactions[[#This Row],[L1N]],Transactions[[#This Row],[Transaction name]],IF(Transactions[[#This Row],[Level 5]]=Transactions[[#This Row],[L2N]],Transactions[[#This Row],[L1N]],IF(Transactions[[#This Row],[Level 5]]=Transactions[[#This Row],[L3N]],Transactions[[#This Row],[L2N]],IF(Transactions[[#This Row],[Level 5]]=Transactions[[#This Row],[L4N]],Transactions[[#This Row],[L3N]],IF(Transactions[[#This Row],[Level 5]]=Transactions[[#This Row],[L5N]],Transactions[[#This Row],[L4N]],IF(Transactions[[#This Row],[Level 5]]=Transactions[[#This Row],[L6N]],Transactions[[#This Row],[L5N]],IF(Transactions[[#This Row],[Level 5]]=Transactions[[#This Row],[L7N]],Transactions[[#This Row],[L6N]],Transactions[[#This Row],[L7N]]))))))))</f>
        <v>CHP plants - Main activity - hard coal</v>
      </c>
      <c r="AY274" s="24" t="str">
        <f>IF(Transactions[[#This Row],[Level 6]]=Transactions[[#This Row],[Transaction name]],Transactions[[#This Row],[Transaction name]],IF(Transactions[[#This Row],[Level 6]]=Transactions[[#This Row],[L1N]],Transactions[[#This Row],[Transaction name]],IF(Transactions[[#This Row],[Level 6]]=Transactions[[#This Row],[L2N]],Transactions[[#This Row],[L1N]],IF(Transactions[[#This Row],[Level 6]]=Transactions[[#This Row],[L3N]],Transactions[[#This Row],[L2N]],IF(Transactions[[#This Row],[Level 6]]=Transactions[[#This Row],[L4N]],Transactions[[#This Row],[L3N]],IF(Transactions[[#This Row],[Level 6]]=Transactions[[#This Row],[L5N]],Transactions[[#This Row],[L4N]],IF(Transactions[[#This Row],[Level 6]]=Transactions[[#This Row],[L6N]],Transactions[[#This Row],[L5N]],IF(Transactions[[#This Row],[Level 6]]=Transactions[[#This Row],[L7N]],Transactions[[#This Row],[L6N]],Transactions[[#This Row],[L7N]]))))))))</f>
        <v>CHP plants - Main activity - hard coal</v>
      </c>
      <c r="BE274" s="26" t="str">
        <f>_xlfn.XLOOKUP(Transformation[[#This Row],[cfrom]],Commodities[Commodity],Commodities[Commodity code])</f>
        <v>2000</v>
      </c>
      <c r="BF274" s="26" t="str">
        <f>_xlfn.XLOOKUP(Transformation[[#This Row],[tfrom]],Transactions[Transaction name],Transactions[Transaction code])</f>
        <v>08831</v>
      </c>
      <c r="BG274" s="26" t="str">
        <f>_xlfn.XLOOKUP(Transformation[[#This Row],[cto]],Commodities[Commodity],Commodities[Commodity code])</f>
        <v>2000</v>
      </c>
      <c r="BH274" s="26" t="str">
        <f>_xlfn.XLOOKUP(Transformation[[#This Row],[tto]],Transactions[Transaction name],Transactions[Transaction code])</f>
        <v>015SHH</v>
      </c>
      <c r="BI274" s="11">
        <v>1</v>
      </c>
      <c r="BJ274" s="4" t="s">
        <v>450</v>
      </c>
      <c r="BK274" s="24" t="str">
        <f>_xlfn.XLOOKUP(Transformation[[#This Row],[Commodity from]],Commodities[Commodity code],Commodities[EnergyCode])</f>
        <v>OS</v>
      </c>
      <c r="BL274" s="4" t="s">
        <v>693</v>
      </c>
      <c r="BM274" s="4" t="s">
        <v>450</v>
      </c>
      <c r="BN274" s="24" t="str">
        <f>_xlfn.XLOOKUP(Transformation[[#This Row],[Commodity to]],Commodities[Commodity code],Commodities[EnergyCode])</f>
        <v>OS</v>
      </c>
      <c r="BO274" s="4" t="s">
        <v>1195</v>
      </c>
      <c r="BP274" s="16" t="s">
        <v>1493</v>
      </c>
      <c r="BQ274" s="33" t="str">
        <f>Transformation[[#This Row],[Commodity from]]&amp;Transformation[[#This Row],[Transaction from]]&amp;Transformation[[#This Row],[Commodity to]]&amp;Transformation[[#This Row],[Transaction to]]</f>
        <v>2000088312000015SHH</v>
      </c>
      <c r="BR274" s="26" t="str">
        <f>Transformation[[#This Row],[crfomid]]&amp;Transformation[[#This Row],[Transaction from]]&amp;"("&amp;Transformation[[#This Row],[Multiplier]]&amp;") -&gt; "&amp;Transformation[[#This Row],[ctoid]]&amp;Transformation[[#This Row],[Transaction to]]</f>
        <v>OS08831(1) -&gt; OS015SHH</v>
      </c>
    </row>
    <row r="275" spans="25:70" x14ac:dyDescent="0.45">
      <c r="Y275" s="5" t="s">
        <v>1166</v>
      </c>
      <c r="Z275" s="7" t="s">
        <v>1158</v>
      </c>
      <c r="AA275" s="4" t="s">
        <v>1371</v>
      </c>
      <c r="AB275" s="19" t="s">
        <v>1621</v>
      </c>
      <c r="AC275" s="24" t="str">
        <f>IFERROR(VLOOKUP(Transactions[[#This Row],[Parent code]],Transactions[[Transaction code]:[Transaction name]],2,0),"")</f>
        <v>CHP plants - industrial solid waste</v>
      </c>
      <c r="AD275" s="4" t="s">
        <v>189</v>
      </c>
      <c r="AE275" s="4" t="s">
        <v>922</v>
      </c>
      <c r="AF275" s="4" t="s">
        <v>642</v>
      </c>
      <c r="AG275" s="4" t="s">
        <v>1</v>
      </c>
      <c r="AH275" s="4" t="s">
        <v>696</v>
      </c>
      <c r="AI275" s="12" t="s">
        <v>1416</v>
      </c>
      <c r="AK275" s="24" t="str" cm="1">
        <f t="array" ref="AK275">IFERROR(INDEX(Transactions[[Transaction code]:[Transaction name]],_xlfn.XMATCH(Transactions[[#This Row],[Parent code]],Transactions[Transaction name],0),3),Transactions[[#This Row],[Transaction name]])</f>
        <v>CHP plants - Autoproducer - industrial solid waste</v>
      </c>
      <c r="AL275" s="24" t="str" cm="1">
        <f t="array" ref="AL275">IFERROR(INDEX(Transactions[[Transaction code]:[Transaction name]],_xlfn.XMATCH(INDEX(Transactions[[Transaction name]:[Parent code]],_xlfn.XMATCH(Transactions[[#This Row],[L1N]],Transactions[Transaction name],0),3),Transactions[Transaction code],0),2),Transactions[[#This Row],[L1N]])</f>
        <v>CHP plants - industrial solid waste</v>
      </c>
      <c r="AM275" s="24" t="str" cm="1">
        <f t="array" ref="AM275">IFERROR(INDEX(Transactions[[Transaction code]:[Transaction name]],_xlfn.XMATCH(INDEX(Transactions[[Transaction name]:[Parent code]],_xlfn.XMATCH(Transactions[[#This Row],[L2N]],Transactions[Transaction name],0),3),Transactions[Transaction code],0),2),Transactions[[#This Row],[L2N]])</f>
        <v>CHP plants</v>
      </c>
      <c r="AN275" s="24" t="str" cm="1">
        <f t="array" ref="AN275">IFERROR(INDEX(Transactions[[Transaction code]:[Transaction name]],_xlfn.XMATCH(INDEX(Transactions[[Transaction name]:[Parent code]],_xlfn.XMATCH(Transactions[[#This Row],[L3N]],Transactions[Transaction name],0),3),Transactions[Transaction code],0),2),Transactions[[#This Row],[L3N]])</f>
        <v>Electricity, CHP and heat plants (T)</v>
      </c>
      <c r="AO275" s="24" t="str" cm="1">
        <f t="array" ref="AO275">IFERROR(INDEX(Transactions[[Transaction code]:[Transaction name]],_xlfn.XMATCH(INDEX(Transactions[[Transaction name]:[Parent code]],_xlfn.XMATCH(Transactions[[#This Row],[L4N]],Transactions[Transaction name],0),3),Transactions[Transaction code],0),2),Transactions[[#This Row],[L4N]])</f>
        <v>Transformation</v>
      </c>
      <c r="AP275" s="24" t="str" cm="1">
        <f t="array" ref="AP275">IFERROR(INDEX(Transactions[[Transaction code]:[Transaction name]],_xlfn.XMATCH(INDEX(Transactions[[Transaction name]:[Parent code]],_xlfn.XMATCH(Transactions[[#This Row],[L5N]],Transactions[Transaction name],0),3),Transactions[Transaction code],0),2),Transactions[[#This Row],[L5N]])</f>
        <v>Transformation</v>
      </c>
      <c r="AQ275" s="24" t="str" cm="1">
        <f t="array" ref="AQ275">IFERROR(INDEX(Transactions[[Transaction code]:[Transaction name]],_xlfn.XMATCH(INDEX(Transactions[[Transaction name]:[Parent code]],_xlfn.XMATCH(Transactions[[#This Row],[L6N]],Transactions[Transaction name],0),3),Transactions[Transaction code],0),2),Transactions[[#This Row],[L6N]])</f>
        <v>Transformation</v>
      </c>
      <c r="AR275" s="28" t="str">
        <f>IF(Transactions[[#This Row],[L7N]]=Transactions[[#This Row],[L6N]],Transactions[[#This Row],[L7N]],IF(Transactions[[#This Row],[L6N]]=Transactions[[#This Row],[L5N]],Transactions[[#This Row],[L6N]],IF(Transactions[[#This Row],[L5N]]=Transactions[[#This Row],[L4N]],Transactions[[#This Row],[L5N]],IF(Transactions[[#This Row],[L4N]]=Transactions[[#This Row],[L3N]],Transactions[[#This Row],[L4N]],IF(Transactions[[#This Row],[L3N]]=Transactions[[#This Row],[L2N]],Transactions[[#This Row],[L3N]],IF(Transactions[[#This Row],[L2N]]=Transactions[[#This Row],[L1N]],Transactions[[#This Row],[L2N]],IF(Transactions[[#This Row],[L1N]]=Transactions[[#This Row],[Transaction name]],Transactions[[#This Row],[L1N]],Transactions[[#This Row],[Transaction name]])))))))</f>
        <v>Transformation</v>
      </c>
      <c r="AS275" s="24" t="str">
        <f>IF(Transactions[[#This Row],[Level 0]]=Transactions[[#This Row],[Transaction name]],Transactions[[#This Row],[Transaction name]],IF(Transactions[[#This Row],[Level 0]]=Transactions[[#This Row],[L1N]],Transactions[[#This Row],[Transaction name]],IF(Transactions[[#This Row],[Level 0]]=Transactions[[#This Row],[L2N]],Transactions[[#This Row],[L1N]],IF(Transactions[[#This Row],[Level 0]]=Transactions[[#This Row],[L3N]],Transactions[[#This Row],[L2N]],IF(Transactions[[#This Row],[Level 0]]=Transactions[[#This Row],[L4N]],Transactions[[#This Row],[L3N]],IF(Transactions[[#This Row],[Level 0]]=Transactions[[#This Row],[L5N]],Transactions[[#This Row],[L4N]],IF(Transactions[[#This Row],[Level 0]]=Transactions[[#This Row],[L6N]],Transactions[[#This Row],[L5N]],IF(Transactions[[#This Row],[Level 0]]=Transactions[[#This Row],[L7N]],Transactions[[#This Row],[L6N]],Transactions[[#This Row],[L7N]]))))))))</f>
        <v>Electricity, CHP and heat plants (T)</v>
      </c>
      <c r="AT275" s="24" t="str">
        <f>IF(Transactions[[#This Row],[Level 1]]=Transactions[[#This Row],[Transaction name]],Transactions[[#This Row],[Transaction name]],IF(Transactions[[#This Row],[Level 1]]=Transactions[[#This Row],[L1N]],Transactions[[#This Row],[Transaction name]],IF(Transactions[[#This Row],[Level 1]]=Transactions[[#This Row],[L2N]],Transactions[[#This Row],[L1N]],IF(Transactions[[#This Row],[Level 1]]=Transactions[[#This Row],[L3N]],Transactions[[#This Row],[L2N]],IF(Transactions[[#This Row],[Level 1]]=Transactions[[#This Row],[L4N]],Transactions[[#This Row],[L3N]],IF(Transactions[[#This Row],[Level 1]]=Transactions[[#This Row],[L5N]],Transactions[[#This Row],[L4N]],IF(Transactions[[#This Row],[Level 1]]=Transactions[[#This Row],[L6N]],Transactions[[#This Row],[L5N]],IF(Transactions[[#This Row],[Level 1]]=Transactions[[#This Row],[L7N]],Transactions[[#This Row],[L6N]],Transactions[[#This Row],[L7N]]))))))))</f>
        <v>CHP plants</v>
      </c>
      <c r="AU275" s="24" t="str">
        <f>IF(Transactions[[#This Row],[Level 2]]=Transactions[[#This Row],[Transaction name]],Transactions[[#This Row],[Transaction name]],IF(Transactions[[#This Row],[Level 2]]=Transactions[[#This Row],[L1N]],Transactions[[#This Row],[Transaction name]],IF(Transactions[[#This Row],[Level 2]]=Transactions[[#This Row],[L2N]],Transactions[[#This Row],[L1N]],IF(Transactions[[#This Row],[Level 2]]=Transactions[[#This Row],[L3N]],Transactions[[#This Row],[L2N]],IF(Transactions[[#This Row],[Level 2]]=Transactions[[#This Row],[L4N]],Transactions[[#This Row],[L3N]],IF(Transactions[[#This Row],[Level 2]]=Transactions[[#This Row],[L5N]],Transactions[[#This Row],[L4N]],IF(Transactions[[#This Row],[Level 2]]=Transactions[[#This Row],[L6N]],Transactions[[#This Row],[L5N]],IF(Transactions[[#This Row],[Level 2]]=Transactions[[#This Row],[L7N]],Transactions[[#This Row],[L6N]],Transactions[[#This Row],[L7N]]))))))))</f>
        <v>CHP plants - industrial solid waste</v>
      </c>
      <c r="AV275" s="24" t="str">
        <f>IF(Transactions[[#This Row],[Level 3]]=Transactions[[#This Row],[Transaction name]],Transactions[[#This Row],[Transaction name]],IF(Transactions[[#This Row],[Level 3]]=Transactions[[#This Row],[L1N]],Transactions[[#This Row],[Transaction name]],IF(Transactions[[#This Row],[Level 3]]=Transactions[[#This Row],[L2N]],Transactions[[#This Row],[L1N]],IF(Transactions[[#This Row],[Level 3]]=Transactions[[#This Row],[L3N]],Transactions[[#This Row],[L2N]],IF(Transactions[[#This Row],[Level 3]]=Transactions[[#This Row],[L4N]],Transactions[[#This Row],[L3N]],IF(Transactions[[#This Row],[Level 3]]=Transactions[[#This Row],[L5N]],Transactions[[#This Row],[L4N]],IF(Transactions[[#This Row],[Level 3]]=Transactions[[#This Row],[L6N]],Transactions[[#This Row],[L5N]],IF(Transactions[[#This Row],[Level 3]]=Transactions[[#This Row],[L7N]],Transactions[[#This Row],[L6N]],Transactions[[#This Row],[L7N]]))))))))</f>
        <v>CHP plants - Autoproducer - industrial solid waste</v>
      </c>
      <c r="AW275" s="24" t="str">
        <f>IF(Transactions[[#This Row],[Level 4]]=Transactions[[#This Row],[Transaction name]],Transactions[[#This Row],[Transaction name]],IF(Transactions[[#This Row],[Level 4]]=Transactions[[#This Row],[L1N]],Transactions[[#This Row],[Transaction name]],IF(Transactions[[#This Row],[Level 4]]=Transactions[[#This Row],[L2N]],Transactions[[#This Row],[L1N]],IF(Transactions[[#This Row],[Level 4]]=Transactions[[#This Row],[L3N]],Transactions[[#This Row],[L2N]],IF(Transactions[[#This Row],[Level 4]]=Transactions[[#This Row],[L4N]],Transactions[[#This Row],[L3N]],IF(Transactions[[#This Row],[Level 4]]=Transactions[[#This Row],[L5N]],Transactions[[#This Row],[L4N]],IF(Transactions[[#This Row],[Level 4]]=Transactions[[#This Row],[L6N]],Transactions[[#This Row],[L5N]],IF(Transactions[[#This Row],[Level 4]]=Transactions[[#This Row],[L7N]],Transactions[[#This Row],[L6N]],Transactions[[#This Row],[L7N]]))))))))</f>
        <v>CHP plants - Autoproducer - industrial solid waste</v>
      </c>
      <c r="AX275" s="24" t="str">
        <f>IF(Transactions[[#This Row],[Level 5]]=Transactions[[#This Row],[Transaction name]],Transactions[[#This Row],[Transaction name]],IF(Transactions[[#This Row],[Level 5]]=Transactions[[#This Row],[L1N]],Transactions[[#This Row],[Transaction name]],IF(Transactions[[#This Row],[Level 5]]=Transactions[[#This Row],[L2N]],Transactions[[#This Row],[L1N]],IF(Transactions[[#This Row],[Level 5]]=Transactions[[#This Row],[L3N]],Transactions[[#This Row],[L2N]],IF(Transactions[[#This Row],[Level 5]]=Transactions[[#This Row],[L4N]],Transactions[[#This Row],[L3N]],IF(Transactions[[#This Row],[Level 5]]=Transactions[[#This Row],[L5N]],Transactions[[#This Row],[L4N]],IF(Transactions[[#This Row],[Level 5]]=Transactions[[#This Row],[L6N]],Transactions[[#This Row],[L5N]],IF(Transactions[[#This Row],[Level 5]]=Transactions[[#This Row],[L7N]],Transactions[[#This Row],[L6N]],Transactions[[#This Row],[L7N]]))))))))</f>
        <v>CHP plants - Autoproducer - industrial solid waste</v>
      </c>
      <c r="AY275" s="24" t="str">
        <f>IF(Transactions[[#This Row],[Level 6]]=Transactions[[#This Row],[Transaction name]],Transactions[[#This Row],[Transaction name]],IF(Transactions[[#This Row],[Level 6]]=Transactions[[#This Row],[L1N]],Transactions[[#This Row],[Transaction name]],IF(Transactions[[#This Row],[Level 6]]=Transactions[[#This Row],[L2N]],Transactions[[#This Row],[L1N]],IF(Transactions[[#This Row],[Level 6]]=Transactions[[#This Row],[L3N]],Transactions[[#This Row],[L2N]],IF(Transactions[[#This Row],[Level 6]]=Transactions[[#This Row],[L4N]],Transactions[[#This Row],[L3N]],IF(Transactions[[#This Row],[Level 6]]=Transactions[[#This Row],[L5N]],Transactions[[#This Row],[L4N]],IF(Transactions[[#This Row],[Level 6]]=Transactions[[#This Row],[L6N]],Transactions[[#This Row],[L5N]],IF(Transactions[[#This Row],[Level 6]]=Transactions[[#This Row],[L7N]],Transactions[[#This Row],[L6N]],Transactions[[#This Row],[L7N]]))))))))</f>
        <v>CHP plants - Autoproducer - industrial solid waste</v>
      </c>
      <c r="BE275" s="26" t="str">
        <f>_xlfn.XLOOKUP(Transformation[[#This Row],[cfrom]],Commodities[Commodity],Commodities[Commodity code])</f>
        <v>4694</v>
      </c>
      <c r="BF275" s="26" t="str">
        <f>_xlfn.XLOOKUP(Transformation[[#This Row],[tfrom]],Transactions[Transaction name],Transactions[Transaction code])</f>
        <v>08831</v>
      </c>
      <c r="BG275" s="26" t="str">
        <f>_xlfn.XLOOKUP(Transformation[[#This Row],[cto]],Commodities[Commodity],Commodities[Commodity code])</f>
        <v>4694</v>
      </c>
      <c r="BH275" s="26" t="str">
        <f>_xlfn.XLOOKUP(Transformation[[#This Row],[tto]],Transactions[Transaction name],Transactions[Transaction code])</f>
        <v>015OPH</v>
      </c>
      <c r="BI275" s="11">
        <v>1</v>
      </c>
      <c r="BJ275" s="4" t="s">
        <v>353</v>
      </c>
      <c r="BK275" s="24" t="str">
        <f>_xlfn.XLOOKUP(Transformation[[#This Row],[Commodity from]],Commodities[Commodity code],Commodities[EnergyCode])</f>
        <v>PK</v>
      </c>
      <c r="BL275" s="4" t="s">
        <v>693</v>
      </c>
      <c r="BM275" s="4" t="s">
        <v>353</v>
      </c>
      <c r="BN275" s="24" t="str">
        <f>_xlfn.XLOOKUP(Transformation[[#This Row],[Commodity to]],Commodities[Commodity code],Commodities[EnergyCode])</f>
        <v>PK</v>
      </c>
      <c r="BO275" s="4" t="s">
        <v>1052</v>
      </c>
      <c r="BP275" s="16" t="s">
        <v>1493</v>
      </c>
      <c r="BQ275" s="33" t="str">
        <f>Transformation[[#This Row],[Commodity from]]&amp;Transformation[[#This Row],[Transaction from]]&amp;Transformation[[#This Row],[Commodity to]]&amp;Transformation[[#This Row],[Transaction to]]</f>
        <v>4694088314694015OPH</v>
      </c>
      <c r="BR275" s="26" t="str">
        <f>Transformation[[#This Row],[crfomid]]&amp;Transformation[[#This Row],[Transaction from]]&amp;"("&amp;Transformation[[#This Row],[Multiplier]]&amp;") -&gt; "&amp;Transformation[[#This Row],[ctoid]]&amp;Transformation[[#This Row],[Transaction to]]</f>
        <v>PK08831(1) -&gt; PK015OPH</v>
      </c>
    </row>
    <row r="276" spans="25:70" x14ac:dyDescent="0.45">
      <c r="Y276" s="19" t="s">
        <v>1621</v>
      </c>
      <c r="Z276" s="18" t="s">
        <v>1371</v>
      </c>
      <c r="AA276" s="18" t="s">
        <v>1371</v>
      </c>
      <c r="AB276" s="19" t="s">
        <v>1627</v>
      </c>
      <c r="AC276" s="26" t="str">
        <f>IFERROR(VLOOKUP(Transactions[[#This Row],[Parent code]],Transactions[[Transaction code]:[Transaction name]],2,0),"")</f>
        <v>CHP plants</v>
      </c>
      <c r="AD276" s="18" t="s">
        <v>189</v>
      </c>
      <c r="AE276" s="18" t="s">
        <v>922</v>
      </c>
      <c r="AF276" s="18" t="s">
        <v>642</v>
      </c>
      <c r="AG276" s="18" t="s">
        <v>1</v>
      </c>
      <c r="AH276" s="18" t="s">
        <v>696</v>
      </c>
      <c r="AI276" s="18" t="s">
        <v>1416</v>
      </c>
      <c r="AJ276" s="18"/>
      <c r="AK276" s="26" t="str" cm="1">
        <f t="array" ref="AK276">IFERROR(INDEX(Transactions[[Transaction code]:[Transaction name]],_xlfn.XMATCH(Transactions[[#This Row],[Parent code]],Transactions[Transaction name],0),3),Transactions[[#This Row],[Transaction name]])</f>
        <v>CHP plants - industrial solid waste</v>
      </c>
      <c r="AL276" s="26" t="str" cm="1">
        <f t="array" ref="AL276">IFERROR(INDEX(Transactions[[Transaction code]:[Transaction name]],_xlfn.XMATCH(INDEX(Transactions[[Transaction name]:[Parent code]],_xlfn.XMATCH(Transactions[[#This Row],[L1N]],Transactions[Transaction name],0),3),Transactions[Transaction code],0),2),Transactions[[#This Row],[L1N]])</f>
        <v>CHP plants</v>
      </c>
      <c r="AM276" s="26" t="str" cm="1">
        <f t="array" ref="AM276">IFERROR(INDEX(Transactions[[Transaction code]:[Transaction name]],_xlfn.XMATCH(INDEX(Transactions[[Transaction name]:[Parent code]],_xlfn.XMATCH(Transactions[[#This Row],[L2N]],Transactions[Transaction name],0),3),Transactions[Transaction code],0),2),Transactions[[#This Row],[L2N]])</f>
        <v>Electricity, CHP and heat plants (T)</v>
      </c>
      <c r="AN276" s="26" t="str" cm="1">
        <f t="array" ref="AN276">IFERROR(INDEX(Transactions[[Transaction code]:[Transaction name]],_xlfn.XMATCH(INDEX(Transactions[[Transaction name]:[Parent code]],_xlfn.XMATCH(Transactions[[#This Row],[L3N]],Transactions[Transaction name],0),3),Transactions[Transaction code],0),2),Transactions[[#This Row],[L3N]])</f>
        <v>Transformation</v>
      </c>
      <c r="AO276" s="26" t="str" cm="1">
        <f t="array" ref="AO276">IFERROR(INDEX(Transactions[[Transaction code]:[Transaction name]],_xlfn.XMATCH(INDEX(Transactions[[Transaction name]:[Parent code]],_xlfn.XMATCH(Transactions[[#This Row],[L4N]],Transactions[Transaction name],0),3),Transactions[Transaction code],0),2),Transactions[[#This Row],[L4N]])</f>
        <v>Transformation</v>
      </c>
      <c r="AP276" s="26" t="str" cm="1">
        <f t="array" ref="AP276">IFERROR(INDEX(Transactions[[Transaction code]:[Transaction name]],_xlfn.XMATCH(INDEX(Transactions[[Transaction name]:[Parent code]],_xlfn.XMATCH(Transactions[[#This Row],[L5N]],Transactions[Transaction name],0),3),Transactions[Transaction code],0),2),Transactions[[#This Row],[L5N]])</f>
        <v>Transformation</v>
      </c>
      <c r="AQ276" s="26" t="str" cm="1">
        <f t="array" ref="AQ276">IFERROR(INDEX(Transactions[[Transaction code]:[Transaction name]],_xlfn.XMATCH(INDEX(Transactions[[Transaction name]:[Parent code]],_xlfn.XMATCH(Transactions[[#This Row],[L6N]],Transactions[Transaction name],0),3),Transactions[Transaction code],0),2),Transactions[[#This Row],[L6N]])</f>
        <v>Transformation</v>
      </c>
      <c r="AR276" s="29" t="str">
        <f>IF(Transactions[[#This Row],[L7N]]=Transactions[[#This Row],[L6N]],Transactions[[#This Row],[L7N]],IF(Transactions[[#This Row],[L6N]]=Transactions[[#This Row],[L5N]],Transactions[[#This Row],[L6N]],IF(Transactions[[#This Row],[L5N]]=Transactions[[#This Row],[L4N]],Transactions[[#This Row],[L5N]],IF(Transactions[[#This Row],[L4N]]=Transactions[[#This Row],[L3N]],Transactions[[#This Row],[L4N]],IF(Transactions[[#This Row],[L3N]]=Transactions[[#This Row],[L2N]],Transactions[[#This Row],[L3N]],IF(Transactions[[#This Row],[L2N]]=Transactions[[#This Row],[L1N]],Transactions[[#This Row],[L2N]],IF(Transactions[[#This Row],[L1N]]=Transactions[[#This Row],[Transaction name]],Transactions[[#This Row],[L1N]],Transactions[[#This Row],[Transaction name]])))))))</f>
        <v>Transformation</v>
      </c>
      <c r="AS276" s="26" t="str">
        <f>IF(Transactions[[#This Row],[Level 0]]=Transactions[[#This Row],[Transaction name]],Transactions[[#This Row],[Transaction name]],IF(Transactions[[#This Row],[Level 0]]=Transactions[[#This Row],[L1N]],Transactions[[#This Row],[Transaction name]],IF(Transactions[[#This Row],[Level 0]]=Transactions[[#This Row],[L2N]],Transactions[[#This Row],[L1N]],IF(Transactions[[#This Row],[Level 0]]=Transactions[[#This Row],[L3N]],Transactions[[#This Row],[L2N]],IF(Transactions[[#This Row],[Level 0]]=Transactions[[#This Row],[L4N]],Transactions[[#This Row],[L3N]],IF(Transactions[[#This Row],[Level 0]]=Transactions[[#This Row],[L5N]],Transactions[[#This Row],[L4N]],IF(Transactions[[#This Row],[Level 0]]=Transactions[[#This Row],[L6N]],Transactions[[#This Row],[L5N]],IF(Transactions[[#This Row],[Level 0]]=Transactions[[#This Row],[L7N]],Transactions[[#This Row],[L6N]],Transactions[[#This Row],[L7N]]))))))))</f>
        <v>Electricity, CHP and heat plants (T)</v>
      </c>
      <c r="AT276" s="26" t="str">
        <f>IF(Transactions[[#This Row],[Level 1]]=Transactions[[#This Row],[Transaction name]],Transactions[[#This Row],[Transaction name]],IF(Transactions[[#This Row],[Level 1]]=Transactions[[#This Row],[L1N]],Transactions[[#This Row],[Transaction name]],IF(Transactions[[#This Row],[Level 1]]=Transactions[[#This Row],[L2N]],Transactions[[#This Row],[L1N]],IF(Transactions[[#This Row],[Level 1]]=Transactions[[#This Row],[L3N]],Transactions[[#This Row],[L2N]],IF(Transactions[[#This Row],[Level 1]]=Transactions[[#This Row],[L4N]],Transactions[[#This Row],[L3N]],IF(Transactions[[#This Row],[Level 1]]=Transactions[[#This Row],[L5N]],Transactions[[#This Row],[L4N]],IF(Transactions[[#This Row],[Level 1]]=Transactions[[#This Row],[L6N]],Transactions[[#This Row],[L5N]],IF(Transactions[[#This Row],[Level 1]]=Transactions[[#This Row],[L7N]],Transactions[[#This Row],[L6N]],Transactions[[#This Row],[L7N]]))))))))</f>
        <v>CHP plants</v>
      </c>
      <c r="AU276" s="26" t="str">
        <f>IF(Transactions[[#This Row],[Level 2]]=Transactions[[#This Row],[Transaction name]],Transactions[[#This Row],[Transaction name]],IF(Transactions[[#This Row],[Level 2]]=Transactions[[#This Row],[L1N]],Transactions[[#This Row],[Transaction name]],IF(Transactions[[#This Row],[Level 2]]=Transactions[[#This Row],[L2N]],Transactions[[#This Row],[L1N]],IF(Transactions[[#This Row],[Level 2]]=Transactions[[#This Row],[L3N]],Transactions[[#This Row],[L2N]],IF(Transactions[[#This Row],[Level 2]]=Transactions[[#This Row],[L4N]],Transactions[[#This Row],[L3N]],IF(Transactions[[#This Row],[Level 2]]=Transactions[[#This Row],[L5N]],Transactions[[#This Row],[L4N]],IF(Transactions[[#This Row],[Level 2]]=Transactions[[#This Row],[L6N]],Transactions[[#This Row],[L5N]],IF(Transactions[[#This Row],[Level 2]]=Transactions[[#This Row],[L7N]],Transactions[[#This Row],[L6N]],Transactions[[#This Row],[L7N]]))))))))</f>
        <v>CHP plants - industrial solid waste</v>
      </c>
      <c r="AV276" s="26" t="str">
        <f>IF(Transactions[[#This Row],[Level 3]]=Transactions[[#This Row],[Transaction name]],Transactions[[#This Row],[Transaction name]],IF(Transactions[[#This Row],[Level 3]]=Transactions[[#This Row],[L1N]],Transactions[[#This Row],[Transaction name]],IF(Transactions[[#This Row],[Level 3]]=Transactions[[#This Row],[L2N]],Transactions[[#This Row],[L1N]],IF(Transactions[[#This Row],[Level 3]]=Transactions[[#This Row],[L3N]],Transactions[[#This Row],[L2N]],IF(Transactions[[#This Row],[Level 3]]=Transactions[[#This Row],[L4N]],Transactions[[#This Row],[L3N]],IF(Transactions[[#This Row],[Level 3]]=Transactions[[#This Row],[L5N]],Transactions[[#This Row],[L4N]],IF(Transactions[[#This Row],[Level 3]]=Transactions[[#This Row],[L6N]],Transactions[[#This Row],[L5N]],IF(Transactions[[#This Row],[Level 3]]=Transactions[[#This Row],[L7N]],Transactions[[#This Row],[L6N]],Transactions[[#This Row],[L7N]]))))))))</f>
        <v>CHP plants - industrial solid waste</v>
      </c>
      <c r="AW276" s="26" t="str">
        <f>IF(Transactions[[#This Row],[Level 4]]=Transactions[[#This Row],[Transaction name]],Transactions[[#This Row],[Transaction name]],IF(Transactions[[#This Row],[Level 4]]=Transactions[[#This Row],[L1N]],Transactions[[#This Row],[Transaction name]],IF(Transactions[[#This Row],[Level 4]]=Transactions[[#This Row],[L2N]],Transactions[[#This Row],[L1N]],IF(Transactions[[#This Row],[Level 4]]=Transactions[[#This Row],[L3N]],Transactions[[#This Row],[L2N]],IF(Transactions[[#This Row],[Level 4]]=Transactions[[#This Row],[L4N]],Transactions[[#This Row],[L3N]],IF(Transactions[[#This Row],[Level 4]]=Transactions[[#This Row],[L5N]],Transactions[[#This Row],[L4N]],IF(Transactions[[#This Row],[Level 4]]=Transactions[[#This Row],[L6N]],Transactions[[#This Row],[L5N]],IF(Transactions[[#This Row],[Level 4]]=Transactions[[#This Row],[L7N]],Transactions[[#This Row],[L6N]],Transactions[[#This Row],[L7N]]))))))))</f>
        <v>CHP plants - industrial solid waste</v>
      </c>
      <c r="AX276" s="26" t="str">
        <f>IF(Transactions[[#This Row],[Level 5]]=Transactions[[#This Row],[Transaction name]],Transactions[[#This Row],[Transaction name]],IF(Transactions[[#This Row],[Level 5]]=Transactions[[#This Row],[L1N]],Transactions[[#This Row],[Transaction name]],IF(Transactions[[#This Row],[Level 5]]=Transactions[[#This Row],[L2N]],Transactions[[#This Row],[L1N]],IF(Transactions[[#This Row],[Level 5]]=Transactions[[#This Row],[L3N]],Transactions[[#This Row],[L2N]],IF(Transactions[[#This Row],[Level 5]]=Transactions[[#This Row],[L4N]],Transactions[[#This Row],[L3N]],IF(Transactions[[#This Row],[Level 5]]=Transactions[[#This Row],[L5N]],Transactions[[#This Row],[L4N]],IF(Transactions[[#This Row],[Level 5]]=Transactions[[#This Row],[L6N]],Transactions[[#This Row],[L5N]],IF(Transactions[[#This Row],[Level 5]]=Transactions[[#This Row],[L7N]],Transactions[[#This Row],[L6N]],Transactions[[#This Row],[L7N]]))))))))</f>
        <v>CHP plants - industrial solid waste</v>
      </c>
      <c r="AY276" s="26" t="str">
        <f>IF(Transactions[[#This Row],[Level 6]]=Transactions[[#This Row],[Transaction name]],Transactions[[#This Row],[Transaction name]],IF(Transactions[[#This Row],[Level 6]]=Transactions[[#This Row],[L1N]],Transactions[[#This Row],[Transaction name]],IF(Transactions[[#This Row],[Level 6]]=Transactions[[#This Row],[L2N]],Transactions[[#This Row],[L1N]],IF(Transactions[[#This Row],[Level 6]]=Transactions[[#This Row],[L3N]],Transactions[[#This Row],[L2N]],IF(Transactions[[#This Row],[Level 6]]=Transactions[[#This Row],[L4N]],Transactions[[#This Row],[L3N]],IF(Transactions[[#This Row],[Level 6]]=Transactions[[#This Row],[L5N]],Transactions[[#This Row],[L4N]],IF(Transactions[[#This Row],[Level 6]]=Transactions[[#This Row],[L6N]],Transactions[[#This Row],[L5N]],IF(Transactions[[#This Row],[Level 6]]=Transactions[[#This Row],[L7N]],Transactions[[#This Row],[L6N]],Transactions[[#This Row],[L7N]]))))))))</f>
        <v>CHP plants - industrial solid waste</v>
      </c>
      <c r="BE276" s="26" t="str">
        <f>_xlfn.XLOOKUP(Transformation[[#This Row],[cfrom]],Commodities[Commodity],Commodities[Commodity code])</f>
        <v>4699</v>
      </c>
      <c r="BF276" s="26" t="str">
        <f>_xlfn.XLOOKUP(Transformation[[#This Row],[tfrom]],Transactions[Transaction name],Transactions[Transaction code])</f>
        <v>08831</v>
      </c>
      <c r="BG276" s="26" t="str">
        <f>_xlfn.XLOOKUP(Transformation[[#This Row],[cto]],Commodities[Commodity],Commodities[Commodity code])</f>
        <v>4699</v>
      </c>
      <c r="BH276" s="26" t="str">
        <f>_xlfn.XLOOKUP(Transformation[[#This Row],[tto]],Transactions[Transaction name],Transactions[Transaction code])</f>
        <v>015OPH</v>
      </c>
      <c r="BI276" s="11">
        <v>1</v>
      </c>
      <c r="BJ276" s="4" t="s">
        <v>348</v>
      </c>
      <c r="BK276" s="24" t="str">
        <f>_xlfn.XLOOKUP(Transformation[[#This Row],[Commodity from]],Commodities[Commodity code],Commodities[EnergyCode])</f>
        <v>PP</v>
      </c>
      <c r="BL276" s="4" t="s">
        <v>693</v>
      </c>
      <c r="BM276" s="4" t="s">
        <v>348</v>
      </c>
      <c r="BN276" s="24" t="str">
        <f>_xlfn.XLOOKUP(Transformation[[#This Row],[Commodity to]],Commodities[Commodity code],Commodities[EnergyCode])</f>
        <v>PP</v>
      </c>
      <c r="BO276" s="4" t="s">
        <v>1052</v>
      </c>
      <c r="BP276" s="16" t="s">
        <v>1493</v>
      </c>
      <c r="BQ276" s="33" t="str">
        <f>Transformation[[#This Row],[Commodity from]]&amp;Transformation[[#This Row],[Transaction from]]&amp;Transformation[[#This Row],[Commodity to]]&amp;Transformation[[#This Row],[Transaction to]]</f>
        <v>4699088314699015OPH</v>
      </c>
      <c r="BR276" s="26" t="str">
        <f>Transformation[[#This Row],[crfomid]]&amp;Transformation[[#This Row],[Transaction from]]&amp;"("&amp;Transformation[[#This Row],[Multiplier]]&amp;") -&gt; "&amp;Transformation[[#This Row],[ctoid]]&amp;Transformation[[#This Row],[Transaction to]]</f>
        <v>PP08831(1) -&gt; PP015OPH</v>
      </c>
    </row>
    <row r="277" spans="25:70" x14ac:dyDescent="0.45">
      <c r="Y277" s="5" t="s">
        <v>1162</v>
      </c>
      <c r="Z277" s="7" t="s">
        <v>1154</v>
      </c>
      <c r="AA277" s="4" t="s">
        <v>1371</v>
      </c>
      <c r="AB277" s="19" t="s">
        <v>1621</v>
      </c>
      <c r="AC277" s="24" t="str">
        <f>IFERROR(VLOOKUP(Transactions[[#This Row],[Parent code]],Transactions[[Transaction code]:[Transaction name]],2,0),"")</f>
        <v>CHP plants - industrial solid waste</v>
      </c>
      <c r="AD277" s="4" t="s">
        <v>189</v>
      </c>
      <c r="AE277" s="4" t="s">
        <v>922</v>
      </c>
      <c r="AF277" s="4" t="s">
        <v>642</v>
      </c>
      <c r="AG277" s="4" t="s">
        <v>1</v>
      </c>
      <c r="AH277" s="4" t="s">
        <v>696</v>
      </c>
      <c r="AI277" s="12" t="s">
        <v>1416</v>
      </c>
      <c r="AK277" s="24" t="str" cm="1">
        <f t="array" ref="AK277">IFERROR(INDEX(Transactions[[Transaction code]:[Transaction name]],_xlfn.XMATCH(Transactions[[#This Row],[Parent code]],Transactions[Transaction name],0),3),Transactions[[#This Row],[Transaction name]])</f>
        <v>CHP plants - Main activity - industrial solid waste</v>
      </c>
      <c r="AL277" s="24" t="str" cm="1">
        <f t="array" ref="AL277">IFERROR(INDEX(Transactions[[Transaction code]:[Transaction name]],_xlfn.XMATCH(INDEX(Transactions[[Transaction name]:[Parent code]],_xlfn.XMATCH(Transactions[[#This Row],[L1N]],Transactions[Transaction name],0),3),Transactions[Transaction code],0),2),Transactions[[#This Row],[L1N]])</f>
        <v>CHP plants - industrial solid waste</v>
      </c>
      <c r="AM277" s="24" t="str" cm="1">
        <f t="array" ref="AM277">IFERROR(INDEX(Transactions[[Transaction code]:[Transaction name]],_xlfn.XMATCH(INDEX(Transactions[[Transaction name]:[Parent code]],_xlfn.XMATCH(Transactions[[#This Row],[L2N]],Transactions[Transaction name],0),3),Transactions[Transaction code],0),2),Transactions[[#This Row],[L2N]])</f>
        <v>CHP plants</v>
      </c>
      <c r="AN277" s="24" t="str" cm="1">
        <f t="array" ref="AN277">IFERROR(INDEX(Transactions[[Transaction code]:[Transaction name]],_xlfn.XMATCH(INDEX(Transactions[[Transaction name]:[Parent code]],_xlfn.XMATCH(Transactions[[#This Row],[L3N]],Transactions[Transaction name],0),3),Transactions[Transaction code],0),2),Transactions[[#This Row],[L3N]])</f>
        <v>Electricity, CHP and heat plants (T)</v>
      </c>
      <c r="AO277" s="24" t="str" cm="1">
        <f t="array" ref="AO277">IFERROR(INDEX(Transactions[[Transaction code]:[Transaction name]],_xlfn.XMATCH(INDEX(Transactions[[Transaction name]:[Parent code]],_xlfn.XMATCH(Transactions[[#This Row],[L4N]],Transactions[Transaction name],0),3),Transactions[Transaction code],0),2),Transactions[[#This Row],[L4N]])</f>
        <v>Transformation</v>
      </c>
      <c r="AP277" s="24" t="str" cm="1">
        <f t="array" ref="AP277">IFERROR(INDEX(Transactions[[Transaction code]:[Transaction name]],_xlfn.XMATCH(INDEX(Transactions[[Transaction name]:[Parent code]],_xlfn.XMATCH(Transactions[[#This Row],[L5N]],Transactions[Transaction name],0),3),Transactions[Transaction code],0),2),Transactions[[#This Row],[L5N]])</f>
        <v>Transformation</v>
      </c>
      <c r="AQ277" s="24" t="str" cm="1">
        <f t="array" ref="AQ277">IFERROR(INDEX(Transactions[[Transaction code]:[Transaction name]],_xlfn.XMATCH(INDEX(Transactions[[Transaction name]:[Parent code]],_xlfn.XMATCH(Transactions[[#This Row],[L6N]],Transactions[Transaction name],0),3),Transactions[Transaction code],0),2),Transactions[[#This Row],[L6N]])</f>
        <v>Transformation</v>
      </c>
      <c r="AR277" s="28" t="str">
        <f>IF(Transactions[[#This Row],[L7N]]=Transactions[[#This Row],[L6N]],Transactions[[#This Row],[L7N]],IF(Transactions[[#This Row],[L6N]]=Transactions[[#This Row],[L5N]],Transactions[[#This Row],[L6N]],IF(Transactions[[#This Row],[L5N]]=Transactions[[#This Row],[L4N]],Transactions[[#This Row],[L5N]],IF(Transactions[[#This Row],[L4N]]=Transactions[[#This Row],[L3N]],Transactions[[#This Row],[L4N]],IF(Transactions[[#This Row],[L3N]]=Transactions[[#This Row],[L2N]],Transactions[[#This Row],[L3N]],IF(Transactions[[#This Row],[L2N]]=Transactions[[#This Row],[L1N]],Transactions[[#This Row],[L2N]],IF(Transactions[[#This Row],[L1N]]=Transactions[[#This Row],[Transaction name]],Transactions[[#This Row],[L1N]],Transactions[[#This Row],[Transaction name]])))))))</f>
        <v>Transformation</v>
      </c>
      <c r="AS277" s="24" t="str">
        <f>IF(Transactions[[#This Row],[Level 0]]=Transactions[[#This Row],[Transaction name]],Transactions[[#This Row],[Transaction name]],IF(Transactions[[#This Row],[Level 0]]=Transactions[[#This Row],[L1N]],Transactions[[#This Row],[Transaction name]],IF(Transactions[[#This Row],[Level 0]]=Transactions[[#This Row],[L2N]],Transactions[[#This Row],[L1N]],IF(Transactions[[#This Row],[Level 0]]=Transactions[[#This Row],[L3N]],Transactions[[#This Row],[L2N]],IF(Transactions[[#This Row],[Level 0]]=Transactions[[#This Row],[L4N]],Transactions[[#This Row],[L3N]],IF(Transactions[[#This Row],[Level 0]]=Transactions[[#This Row],[L5N]],Transactions[[#This Row],[L4N]],IF(Transactions[[#This Row],[Level 0]]=Transactions[[#This Row],[L6N]],Transactions[[#This Row],[L5N]],IF(Transactions[[#This Row],[Level 0]]=Transactions[[#This Row],[L7N]],Transactions[[#This Row],[L6N]],Transactions[[#This Row],[L7N]]))))))))</f>
        <v>Electricity, CHP and heat plants (T)</v>
      </c>
      <c r="AT277" s="24" t="str">
        <f>IF(Transactions[[#This Row],[Level 1]]=Transactions[[#This Row],[Transaction name]],Transactions[[#This Row],[Transaction name]],IF(Transactions[[#This Row],[Level 1]]=Transactions[[#This Row],[L1N]],Transactions[[#This Row],[Transaction name]],IF(Transactions[[#This Row],[Level 1]]=Transactions[[#This Row],[L2N]],Transactions[[#This Row],[L1N]],IF(Transactions[[#This Row],[Level 1]]=Transactions[[#This Row],[L3N]],Transactions[[#This Row],[L2N]],IF(Transactions[[#This Row],[Level 1]]=Transactions[[#This Row],[L4N]],Transactions[[#This Row],[L3N]],IF(Transactions[[#This Row],[Level 1]]=Transactions[[#This Row],[L5N]],Transactions[[#This Row],[L4N]],IF(Transactions[[#This Row],[Level 1]]=Transactions[[#This Row],[L6N]],Transactions[[#This Row],[L5N]],IF(Transactions[[#This Row],[Level 1]]=Transactions[[#This Row],[L7N]],Transactions[[#This Row],[L6N]],Transactions[[#This Row],[L7N]]))))))))</f>
        <v>CHP plants</v>
      </c>
      <c r="AU277" s="24" t="str">
        <f>IF(Transactions[[#This Row],[Level 2]]=Transactions[[#This Row],[Transaction name]],Transactions[[#This Row],[Transaction name]],IF(Transactions[[#This Row],[Level 2]]=Transactions[[#This Row],[L1N]],Transactions[[#This Row],[Transaction name]],IF(Transactions[[#This Row],[Level 2]]=Transactions[[#This Row],[L2N]],Transactions[[#This Row],[L1N]],IF(Transactions[[#This Row],[Level 2]]=Transactions[[#This Row],[L3N]],Transactions[[#This Row],[L2N]],IF(Transactions[[#This Row],[Level 2]]=Transactions[[#This Row],[L4N]],Transactions[[#This Row],[L3N]],IF(Transactions[[#This Row],[Level 2]]=Transactions[[#This Row],[L5N]],Transactions[[#This Row],[L4N]],IF(Transactions[[#This Row],[Level 2]]=Transactions[[#This Row],[L6N]],Transactions[[#This Row],[L5N]],IF(Transactions[[#This Row],[Level 2]]=Transactions[[#This Row],[L7N]],Transactions[[#This Row],[L6N]],Transactions[[#This Row],[L7N]]))))))))</f>
        <v>CHP plants - industrial solid waste</v>
      </c>
      <c r="AV277" s="24" t="str">
        <f>IF(Transactions[[#This Row],[Level 3]]=Transactions[[#This Row],[Transaction name]],Transactions[[#This Row],[Transaction name]],IF(Transactions[[#This Row],[Level 3]]=Transactions[[#This Row],[L1N]],Transactions[[#This Row],[Transaction name]],IF(Transactions[[#This Row],[Level 3]]=Transactions[[#This Row],[L2N]],Transactions[[#This Row],[L1N]],IF(Transactions[[#This Row],[Level 3]]=Transactions[[#This Row],[L3N]],Transactions[[#This Row],[L2N]],IF(Transactions[[#This Row],[Level 3]]=Transactions[[#This Row],[L4N]],Transactions[[#This Row],[L3N]],IF(Transactions[[#This Row],[Level 3]]=Transactions[[#This Row],[L5N]],Transactions[[#This Row],[L4N]],IF(Transactions[[#This Row],[Level 3]]=Transactions[[#This Row],[L6N]],Transactions[[#This Row],[L5N]],IF(Transactions[[#This Row],[Level 3]]=Transactions[[#This Row],[L7N]],Transactions[[#This Row],[L6N]],Transactions[[#This Row],[L7N]]))))))))</f>
        <v>CHP plants - Main activity - industrial solid waste</v>
      </c>
      <c r="AW277" s="24" t="str">
        <f>IF(Transactions[[#This Row],[Level 4]]=Transactions[[#This Row],[Transaction name]],Transactions[[#This Row],[Transaction name]],IF(Transactions[[#This Row],[Level 4]]=Transactions[[#This Row],[L1N]],Transactions[[#This Row],[Transaction name]],IF(Transactions[[#This Row],[Level 4]]=Transactions[[#This Row],[L2N]],Transactions[[#This Row],[L1N]],IF(Transactions[[#This Row],[Level 4]]=Transactions[[#This Row],[L3N]],Transactions[[#This Row],[L2N]],IF(Transactions[[#This Row],[Level 4]]=Transactions[[#This Row],[L4N]],Transactions[[#This Row],[L3N]],IF(Transactions[[#This Row],[Level 4]]=Transactions[[#This Row],[L5N]],Transactions[[#This Row],[L4N]],IF(Transactions[[#This Row],[Level 4]]=Transactions[[#This Row],[L6N]],Transactions[[#This Row],[L5N]],IF(Transactions[[#This Row],[Level 4]]=Transactions[[#This Row],[L7N]],Transactions[[#This Row],[L6N]],Transactions[[#This Row],[L7N]]))))))))</f>
        <v>CHP plants - Main activity - industrial solid waste</v>
      </c>
      <c r="AX277" s="24" t="str">
        <f>IF(Transactions[[#This Row],[Level 5]]=Transactions[[#This Row],[Transaction name]],Transactions[[#This Row],[Transaction name]],IF(Transactions[[#This Row],[Level 5]]=Transactions[[#This Row],[L1N]],Transactions[[#This Row],[Transaction name]],IF(Transactions[[#This Row],[Level 5]]=Transactions[[#This Row],[L2N]],Transactions[[#This Row],[L1N]],IF(Transactions[[#This Row],[Level 5]]=Transactions[[#This Row],[L3N]],Transactions[[#This Row],[L2N]],IF(Transactions[[#This Row],[Level 5]]=Transactions[[#This Row],[L4N]],Transactions[[#This Row],[L3N]],IF(Transactions[[#This Row],[Level 5]]=Transactions[[#This Row],[L5N]],Transactions[[#This Row],[L4N]],IF(Transactions[[#This Row],[Level 5]]=Transactions[[#This Row],[L6N]],Transactions[[#This Row],[L5N]],IF(Transactions[[#This Row],[Level 5]]=Transactions[[#This Row],[L7N]],Transactions[[#This Row],[L6N]],Transactions[[#This Row],[L7N]]))))))))</f>
        <v>CHP plants - Main activity - industrial solid waste</v>
      </c>
      <c r="AY277" s="24" t="str">
        <f>IF(Transactions[[#This Row],[Level 6]]=Transactions[[#This Row],[Transaction name]],Transactions[[#This Row],[Transaction name]],IF(Transactions[[#This Row],[Level 6]]=Transactions[[#This Row],[L1N]],Transactions[[#This Row],[Transaction name]],IF(Transactions[[#This Row],[Level 6]]=Transactions[[#This Row],[L2N]],Transactions[[#This Row],[L1N]],IF(Transactions[[#This Row],[Level 6]]=Transactions[[#This Row],[L3N]],Transactions[[#This Row],[L2N]],IF(Transactions[[#This Row],[Level 6]]=Transactions[[#This Row],[L4N]],Transactions[[#This Row],[L3N]],IF(Transactions[[#This Row],[Level 6]]=Transactions[[#This Row],[L5N]],Transactions[[#This Row],[L4N]],IF(Transactions[[#This Row],[Level 6]]=Transactions[[#This Row],[L6N]],Transactions[[#This Row],[L5N]],IF(Transactions[[#This Row],[Level 6]]=Transactions[[#This Row],[L7N]],Transactions[[#This Row],[L6N]],Transactions[[#This Row],[L7N]]))))))))</f>
        <v>CHP plants - Main activity - industrial solid waste</v>
      </c>
      <c r="BE277" s="26" t="str">
        <f>_xlfn.XLOOKUP(Transformation[[#This Row],[cfrom]],Commodities[Commodity],Commodities[Commodity code])</f>
        <v>1100</v>
      </c>
      <c r="BF277" s="26" t="str">
        <f>_xlfn.XLOOKUP(Transformation[[#This Row],[tfrom]],Transactions[Transaction name],Transactions[Transaction code])</f>
        <v>08831</v>
      </c>
      <c r="BG277" s="26" t="str">
        <f>_xlfn.XLOOKUP(Transformation[[#This Row],[cto]],Commodities[Commodity],Commodities[Commodity code])</f>
        <v>1100</v>
      </c>
      <c r="BH277" s="26" t="str">
        <f>_xlfn.XLOOKUP(Transformation[[#This Row],[tto]],Transactions[Transaction name],Transactions[Transaction code])</f>
        <v>015PTH</v>
      </c>
      <c r="BI277" s="11">
        <v>1</v>
      </c>
      <c r="BJ277" s="4" t="s">
        <v>459</v>
      </c>
      <c r="BK277" s="24" t="str">
        <f>_xlfn.XLOOKUP(Transformation[[#This Row],[Commodity from]],Commodities[Commodity code],Commodities[EnergyCode])</f>
        <v>PT</v>
      </c>
      <c r="BL277" s="4" t="s">
        <v>693</v>
      </c>
      <c r="BM277" s="4" t="s">
        <v>459</v>
      </c>
      <c r="BN277" s="24" t="str">
        <f>_xlfn.XLOOKUP(Transformation[[#This Row],[Commodity to]],Commodities[Commodity code],Commodities[EnergyCode])</f>
        <v>PT</v>
      </c>
      <c r="BO277" s="4" t="s">
        <v>1203</v>
      </c>
      <c r="BP277" s="16" t="s">
        <v>1493</v>
      </c>
      <c r="BQ277" s="33" t="str">
        <f>Transformation[[#This Row],[Commodity from]]&amp;Transformation[[#This Row],[Transaction from]]&amp;Transformation[[#This Row],[Commodity to]]&amp;Transformation[[#This Row],[Transaction to]]</f>
        <v>1100088311100015PTH</v>
      </c>
      <c r="BR277" s="26" t="str">
        <f>Transformation[[#This Row],[crfomid]]&amp;Transformation[[#This Row],[Transaction from]]&amp;"("&amp;Transformation[[#This Row],[Multiplier]]&amp;") -&gt; "&amp;Transformation[[#This Row],[ctoid]]&amp;Transformation[[#This Row],[Transaction to]]</f>
        <v>PT08831(1) -&gt; PT015PTH</v>
      </c>
    </row>
    <row r="278" spans="25:70" x14ac:dyDescent="0.45">
      <c r="Y278" s="5" t="s">
        <v>1102</v>
      </c>
      <c r="Z278" s="7" t="s">
        <v>1078</v>
      </c>
      <c r="AA278" s="4" t="s">
        <v>1355</v>
      </c>
      <c r="AB278" s="19" t="s">
        <v>1609</v>
      </c>
      <c r="AC278" s="24" t="str">
        <f>IFERROR(VLOOKUP(Transactions[[#This Row],[Parent code]],Transactions[[Transaction code]:[Transaction name]],2,0),"")</f>
        <v>CHP plants - liquid biofuels</v>
      </c>
      <c r="AD278" s="4" t="s">
        <v>189</v>
      </c>
      <c r="AE278" s="4" t="s">
        <v>922</v>
      </c>
      <c r="AF278" s="4" t="s">
        <v>642</v>
      </c>
      <c r="AG278" s="4" t="s">
        <v>1</v>
      </c>
      <c r="AH278" s="4" t="s">
        <v>696</v>
      </c>
      <c r="AI278" s="12" t="s">
        <v>1416</v>
      </c>
      <c r="AK278" s="24" t="str" cm="1">
        <f t="array" ref="AK278">IFERROR(INDEX(Transactions[[Transaction code]:[Transaction name]],_xlfn.XMATCH(Transactions[[#This Row],[Parent code]],Transactions[Transaction name],0),3),Transactions[[#This Row],[Transaction name]])</f>
        <v>CHP plants - Autoproducer - liquid biofuels</v>
      </c>
      <c r="AL278" s="24" t="str" cm="1">
        <f t="array" ref="AL278">IFERROR(INDEX(Transactions[[Transaction code]:[Transaction name]],_xlfn.XMATCH(INDEX(Transactions[[Transaction name]:[Parent code]],_xlfn.XMATCH(Transactions[[#This Row],[L1N]],Transactions[Transaction name],0),3),Transactions[Transaction code],0),2),Transactions[[#This Row],[L1N]])</f>
        <v>CHP plants - liquid biofuels</v>
      </c>
      <c r="AM278" s="24" t="str" cm="1">
        <f t="array" ref="AM278">IFERROR(INDEX(Transactions[[Transaction code]:[Transaction name]],_xlfn.XMATCH(INDEX(Transactions[[Transaction name]:[Parent code]],_xlfn.XMATCH(Transactions[[#This Row],[L2N]],Transactions[Transaction name],0),3),Transactions[Transaction code],0),2),Transactions[[#This Row],[L2N]])</f>
        <v>CHP plants</v>
      </c>
      <c r="AN278" s="24" t="str" cm="1">
        <f t="array" ref="AN278">IFERROR(INDEX(Transactions[[Transaction code]:[Transaction name]],_xlfn.XMATCH(INDEX(Transactions[[Transaction name]:[Parent code]],_xlfn.XMATCH(Transactions[[#This Row],[L3N]],Transactions[Transaction name],0),3),Transactions[Transaction code],0),2),Transactions[[#This Row],[L3N]])</f>
        <v>Electricity, CHP and heat plants (T)</v>
      </c>
      <c r="AO278" s="24" t="str" cm="1">
        <f t="array" ref="AO278">IFERROR(INDEX(Transactions[[Transaction code]:[Transaction name]],_xlfn.XMATCH(INDEX(Transactions[[Transaction name]:[Parent code]],_xlfn.XMATCH(Transactions[[#This Row],[L4N]],Transactions[Transaction name],0),3),Transactions[Transaction code],0),2),Transactions[[#This Row],[L4N]])</f>
        <v>Transformation</v>
      </c>
      <c r="AP278" s="24" t="str" cm="1">
        <f t="array" ref="AP278">IFERROR(INDEX(Transactions[[Transaction code]:[Transaction name]],_xlfn.XMATCH(INDEX(Transactions[[Transaction name]:[Parent code]],_xlfn.XMATCH(Transactions[[#This Row],[L5N]],Transactions[Transaction name],0),3),Transactions[Transaction code],0),2),Transactions[[#This Row],[L5N]])</f>
        <v>Transformation</v>
      </c>
      <c r="AQ278" s="24" t="str" cm="1">
        <f t="array" ref="AQ278">IFERROR(INDEX(Transactions[[Transaction code]:[Transaction name]],_xlfn.XMATCH(INDEX(Transactions[[Transaction name]:[Parent code]],_xlfn.XMATCH(Transactions[[#This Row],[L6N]],Transactions[Transaction name],0),3),Transactions[Transaction code],0),2),Transactions[[#This Row],[L6N]])</f>
        <v>Transformation</v>
      </c>
      <c r="AR278" s="28" t="str">
        <f>IF(Transactions[[#This Row],[L7N]]=Transactions[[#This Row],[L6N]],Transactions[[#This Row],[L7N]],IF(Transactions[[#This Row],[L6N]]=Transactions[[#This Row],[L5N]],Transactions[[#This Row],[L6N]],IF(Transactions[[#This Row],[L5N]]=Transactions[[#This Row],[L4N]],Transactions[[#This Row],[L5N]],IF(Transactions[[#This Row],[L4N]]=Transactions[[#This Row],[L3N]],Transactions[[#This Row],[L4N]],IF(Transactions[[#This Row],[L3N]]=Transactions[[#This Row],[L2N]],Transactions[[#This Row],[L3N]],IF(Transactions[[#This Row],[L2N]]=Transactions[[#This Row],[L1N]],Transactions[[#This Row],[L2N]],IF(Transactions[[#This Row],[L1N]]=Transactions[[#This Row],[Transaction name]],Transactions[[#This Row],[L1N]],Transactions[[#This Row],[Transaction name]])))))))</f>
        <v>Transformation</v>
      </c>
      <c r="AS278" s="24" t="str">
        <f>IF(Transactions[[#This Row],[Level 0]]=Transactions[[#This Row],[Transaction name]],Transactions[[#This Row],[Transaction name]],IF(Transactions[[#This Row],[Level 0]]=Transactions[[#This Row],[L1N]],Transactions[[#This Row],[Transaction name]],IF(Transactions[[#This Row],[Level 0]]=Transactions[[#This Row],[L2N]],Transactions[[#This Row],[L1N]],IF(Transactions[[#This Row],[Level 0]]=Transactions[[#This Row],[L3N]],Transactions[[#This Row],[L2N]],IF(Transactions[[#This Row],[Level 0]]=Transactions[[#This Row],[L4N]],Transactions[[#This Row],[L3N]],IF(Transactions[[#This Row],[Level 0]]=Transactions[[#This Row],[L5N]],Transactions[[#This Row],[L4N]],IF(Transactions[[#This Row],[Level 0]]=Transactions[[#This Row],[L6N]],Transactions[[#This Row],[L5N]],IF(Transactions[[#This Row],[Level 0]]=Transactions[[#This Row],[L7N]],Transactions[[#This Row],[L6N]],Transactions[[#This Row],[L7N]]))))))))</f>
        <v>Electricity, CHP and heat plants (T)</v>
      </c>
      <c r="AT278" s="24" t="str">
        <f>IF(Transactions[[#This Row],[Level 1]]=Transactions[[#This Row],[Transaction name]],Transactions[[#This Row],[Transaction name]],IF(Transactions[[#This Row],[Level 1]]=Transactions[[#This Row],[L1N]],Transactions[[#This Row],[Transaction name]],IF(Transactions[[#This Row],[Level 1]]=Transactions[[#This Row],[L2N]],Transactions[[#This Row],[L1N]],IF(Transactions[[#This Row],[Level 1]]=Transactions[[#This Row],[L3N]],Transactions[[#This Row],[L2N]],IF(Transactions[[#This Row],[Level 1]]=Transactions[[#This Row],[L4N]],Transactions[[#This Row],[L3N]],IF(Transactions[[#This Row],[Level 1]]=Transactions[[#This Row],[L5N]],Transactions[[#This Row],[L4N]],IF(Transactions[[#This Row],[Level 1]]=Transactions[[#This Row],[L6N]],Transactions[[#This Row],[L5N]],IF(Transactions[[#This Row],[Level 1]]=Transactions[[#This Row],[L7N]],Transactions[[#This Row],[L6N]],Transactions[[#This Row],[L7N]]))))))))</f>
        <v>CHP plants</v>
      </c>
      <c r="AU278" s="24" t="str">
        <f>IF(Transactions[[#This Row],[Level 2]]=Transactions[[#This Row],[Transaction name]],Transactions[[#This Row],[Transaction name]],IF(Transactions[[#This Row],[Level 2]]=Transactions[[#This Row],[L1N]],Transactions[[#This Row],[Transaction name]],IF(Transactions[[#This Row],[Level 2]]=Transactions[[#This Row],[L2N]],Transactions[[#This Row],[L1N]],IF(Transactions[[#This Row],[Level 2]]=Transactions[[#This Row],[L3N]],Transactions[[#This Row],[L2N]],IF(Transactions[[#This Row],[Level 2]]=Transactions[[#This Row],[L4N]],Transactions[[#This Row],[L3N]],IF(Transactions[[#This Row],[Level 2]]=Transactions[[#This Row],[L5N]],Transactions[[#This Row],[L4N]],IF(Transactions[[#This Row],[Level 2]]=Transactions[[#This Row],[L6N]],Transactions[[#This Row],[L5N]],IF(Transactions[[#This Row],[Level 2]]=Transactions[[#This Row],[L7N]],Transactions[[#This Row],[L6N]],Transactions[[#This Row],[L7N]]))))))))</f>
        <v>CHP plants - liquid biofuels</v>
      </c>
      <c r="AV278" s="24" t="str">
        <f>IF(Transactions[[#This Row],[Level 3]]=Transactions[[#This Row],[Transaction name]],Transactions[[#This Row],[Transaction name]],IF(Transactions[[#This Row],[Level 3]]=Transactions[[#This Row],[L1N]],Transactions[[#This Row],[Transaction name]],IF(Transactions[[#This Row],[Level 3]]=Transactions[[#This Row],[L2N]],Transactions[[#This Row],[L1N]],IF(Transactions[[#This Row],[Level 3]]=Transactions[[#This Row],[L3N]],Transactions[[#This Row],[L2N]],IF(Transactions[[#This Row],[Level 3]]=Transactions[[#This Row],[L4N]],Transactions[[#This Row],[L3N]],IF(Transactions[[#This Row],[Level 3]]=Transactions[[#This Row],[L5N]],Transactions[[#This Row],[L4N]],IF(Transactions[[#This Row],[Level 3]]=Transactions[[#This Row],[L6N]],Transactions[[#This Row],[L5N]],IF(Transactions[[#This Row],[Level 3]]=Transactions[[#This Row],[L7N]],Transactions[[#This Row],[L6N]],Transactions[[#This Row],[L7N]]))))))))</f>
        <v>CHP plants - Autoproducer - liquid biofuels</v>
      </c>
      <c r="AW278" s="24" t="str">
        <f>IF(Transactions[[#This Row],[Level 4]]=Transactions[[#This Row],[Transaction name]],Transactions[[#This Row],[Transaction name]],IF(Transactions[[#This Row],[Level 4]]=Transactions[[#This Row],[L1N]],Transactions[[#This Row],[Transaction name]],IF(Transactions[[#This Row],[Level 4]]=Transactions[[#This Row],[L2N]],Transactions[[#This Row],[L1N]],IF(Transactions[[#This Row],[Level 4]]=Transactions[[#This Row],[L3N]],Transactions[[#This Row],[L2N]],IF(Transactions[[#This Row],[Level 4]]=Transactions[[#This Row],[L4N]],Transactions[[#This Row],[L3N]],IF(Transactions[[#This Row],[Level 4]]=Transactions[[#This Row],[L5N]],Transactions[[#This Row],[L4N]],IF(Transactions[[#This Row],[Level 4]]=Transactions[[#This Row],[L6N]],Transactions[[#This Row],[L5N]],IF(Transactions[[#This Row],[Level 4]]=Transactions[[#This Row],[L7N]],Transactions[[#This Row],[L6N]],Transactions[[#This Row],[L7N]]))))))))</f>
        <v>CHP plants - Autoproducer - liquid biofuels</v>
      </c>
      <c r="AX278" s="24" t="str">
        <f>IF(Transactions[[#This Row],[Level 5]]=Transactions[[#This Row],[Transaction name]],Transactions[[#This Row],[Transaction name]],IF(Transactions[[#This Row],[Level 5]]=Transactions[[#This Row],[L1N]],Transactions[[#This Row],[Transaction name]],IF(Transactions[[#This Row],[Level 5]]=Transactions[[#This Row],[L2N]],Transactions[[#This Row],[L1N]],IF(Transactions[[#This Row],[Level 5]]=Transactions[[#This Row],[L3N]],Transactions[[#This Row],[L2N]],IF(Transactions[[#This Row],[Level 5]]=Transactions[[#This Row],[L4N]],Transactions[[#This Row],[L3N]],IF(Transactions[[#This Row],[Level 5]]=Transactions[[#This Row],[L5N]],Transactions[[#This Row],[L4N]],IF(Transactions[[#This Row],[Level 5]]=Transactions[[#This Row],[L6N]],Transactions[[#This Row],[L5N]],IF(Transactions[[#This Row],[Level 5]]=Transactions[[#This Row],[L7N]],Transactions[[#This Row],[L6N]],Transactions[[#This Row],[L7N]]))))))))</f>
        <v>CHP plants - Autoproducer - liquid biofuels</v>
      </c>
      <c r="AY278" s="24" t="str">
        <f>IF(Transactions[[#This Row],[Level 6]]=Transactions[[#This Row],[Transaction name]],Transactions[[#This Row],[Transaction name]],IF(Transactions[[#This Row],[Level 6]]=Transactions[[#This Row],[L1N]],Transactions[[#This Row],[Transaction name]],IF(Transactions[[#This Row],[Level 6]]=Transactions[[#This Row],[L2N]],Transactions[[#This Row],[L1N]],IF(Transactions[[#This Row],[Level 6]]=Transactions[[#This Row],[L3N]],Transactions[[#This Row],[L2N]],IF(Transactions[[#This Row],[Level 6]]=Transactions[[#This Row],[L4N]],Transactions[[#This Row],[L3N]],IF(Transactions[[#This Row],[Level 6]]=Transactions[[#This Row],[L5N]],Transactions[[#This Row],[L4N]],IF(Transactions[[#This Row],[Level 6]]=Transactions[[#This Row],[L6N]],Transactions[[#This Row],[L5N]],IF(Transactions[[#This Row],[Level 6]]=Transactions[[#This Row],[L7N]],Transactions[[#This Row],[L6N]],Transactions[[#This Row],[L7N]]))))))))</f>
        <v>CHP plants - Autoproducer - liquid biofuels</v>
      </c>
      <c r="BE278" s="26" t="str">
        <f>_xlfn.XLOOKUP(Transformation[[#This Row],[cfrom]],Commodities[Commodity],Commodities[Commodity code])</f>
        <v>5140</v>
      </c>
      <c r="BF278" s="26" t="str">
        <f>_xlfn.XLOOKUP(Transformation[[#This Row],[tfrom]],Transactions[Transaction name],Transactions[Transaction code])</f>
        <v>08831</v>
      </c>
      <c r="BG278" s="26" t="str">
        <f>_xlfn.XLOOKUP(Transformation[[#This Row],[cto]],Commodities[Commodity],Commodities[Commodity code])</f>
        <v>5140</v>
      </c>
      <c r="BH278" s="26" t="str">
        <f>_xlfn.XLOOKUP(Transformation[[#This Row],[tto]],Transactions[Transaction name],Transactions[Transaction code])</f>
        <v>015BSH</v>
      </c>
      <c r="BI278" s="11">
        <v>1</v>
      </c>
      <c r="BJ278" s="4" t="s">
        <v>330</v>
      </c>
      <c r="BK278" s="24" t="str">
        <f>_xlfn.XLOOKUP(Transformation[[#This Row],[Commodity from]],Commodities[Commodity code],Commodities[EnergyCode])</f>
        <v>PU</v>
      </c>
      <c r="BL278" s="4" t="s">
        <v>693</v>
      </c>
      <c r="BM278" s="4" t="s">
        <v>330</v>
      </c>
      <c r="BN278" s="24" t="str">
        <f>_xlfn.XLOOKUP(Transformation[[#This Row],[Commodity to]],Commodities[Commodity code],Commodities[EnergyCode])</f>
        <v>PU</v>
      </c>
      <c r="BO278" s="4" t="s">
        <v>1124</v>
      </c>
      <c r="BP278" s="16" t="s">
        <v>1493</v>
      </c>
      <c r="BQ278" s="33" t="str">
        <f>Transformation[[#This Row],[Commodity from]]&amp;Transformation[[#This Row],[Transaction from]]&amp;Transformation[[#This Row],[Commodity to]]&amp;Transformation[[#This Row],[Transaction to]]</f>
        <v>5140088315140015BSH</v>
      </c>
      <c r="BR278" s="26" t="str">
        <f>Transformation[[#This Row],[crfomid]]&amp;Transformation[[#This Row],[Transaction from]]&amp;"("&amp;Transformation[[#This Row],[Multiplier]]&amp;") -&gt; "&amp;Transformation[[#This Row],[ctoid]]&amp;Transformation[[#This Row],[Transaction to]]</f>
        <v>PU08831(1) -&gt; PU015BSH</v>
      </c>
    </row>
    <row r="279" spans="25:70" x14ac:dyDescent="0.45">
      <c r="Y279" s="19" t="s">
        <v>1609</v>
      </c>
      <c r="Z279" s="18" t="s">
        <v>1355</v>
      </c>
      <c r="AA279" s="18" t="s">
        <v>1355</v>
      </c>
      <c r="AB279" s="19" t="s">
        <v>1627</v>
      </c>
      <c r="AC279" s="26" t="str">
        <f>IFERROR(VLOOKUP(Transactions[[#This Row],[Parent code]],Transactions[[Transaction code]:[Transaction name]],2,0),"")</f>
        <v>CHP plants</v>
      </c>
      <c r="AD279" s="18" t="s">
        <v>189</v>
      </c>
      <c r="AE279" s="18" t="s">
        <v>922</v>
      </c>
      <c r="AF279" s="18" t="s">
        <v>642</v>
      </c>
      <c r="AG279" s="18" t="s">
        <v>1</v>
      </c>
      <c r="AH279" s="18" t="s">
        <v>696</v>
      </c>
      <c r="AI279" s="18" t="s">
        <v>1416</v>
      </c>
      <c r="AJ279" s="18"/>
      <c r="AK279" s="26" t="str" cm="1">
        <f t="array" ref="AK279">IFERROR(INDEX(Transactions[[Transaction code]:[Transaction name]],_xlfn.XMATCH(Transactions[[#This Row],[Parent code]],Transactions[Transaction name],0),3),Transactions[[#This Row],[Transaction name]])</f>
        <v>CHP plants - liquid biofuels</v>
      </c>
      <c r="AL279" s="26" t="str" cm="1">
        <f t="array" ref="AL279">IFERROR(INDEX(Transactions[[Transaction code]:[Transaction name]],_xlfn.XMATCH(INDEX(Transactions[[Transaction name]:[Parent code]],_xlfn.XMATCH(Transactions[[#This Row],[L1N]],Transactions[Transaction name],0),3),Transactions[Transaction code],0),2),Transactions[[#This Row],[L1N]])</f>
        <v>CHP plants</v>
      </c>
      <c r="AM279" s="26" t="str" cm="1">
        <f t="array" ref="AM279">IFERROR(INDEX(Transactions[[Transaction code]:[Transaction name]],_xlfn.XMATCH(INDEX(Transactions[[Transaction name]:[Parent code]],_xlfn.XMATCH(Transactions[[#This Row],[L2N]],Transactions[Transaction name],0),3),Transactions[Transaction code],0),2),Transactions[[#This Row],[L2N]])</f>
        <v>Electricity, CHP and heat plants (T)</v>
      </c>
      <c r="AN279" s="26" t="str" cm="1">
        <f t="array" ref="AN279">IFERROR(INDEX(Transactions[[Transaction code]:[Transaction name]],_xlfn.XMATCH(INDEX(Transactions[[Transaction name]:[Parent code]],_xlfn.XMATCH(Transactions[[#This Row],[L3N]],Transactions[Transaction name],0),3),Transactions[Transaction code],0),2),Transactions[[#This Row],[L3N]])</f>
        <v>Transformation</v>
      </c>
      <c r="AO279" s="26" t="str" cm="1">
        <f t="array" ref="AO279">IFERROR(INDEX(Transactions[[Transaction code]:[Transaction name]],_xlfn.XMATCH(INDEX(Transactions[[Transaction name]:[Parent code]],_xlfn.XMATCH(Transactions[[#This Row],[L4N]],Transactions[Transaction name],0),3),Transactions[Transaction code],0),2),Transactions[[#This Row],[L4N]])</f>
        <v>Transformation</v>
      </c>
      <c r="AP279" s="26" t="str" cm="1">
        <f t="array" ref="AP279">IFERROR(INDEX(Transactions[[Transaction code]:[Transaction name]],_xlfn.XMATCH(INDEX(Transactions[[Transaction name]:[Parent code]],_xlfn.XMATCH(Transactions[[#This Row],[L5N]],Transactions[Transaction name],0),3),Transactions[Transaction code],0),2),Transactions[[#This Row],[L5N]])</f>
        <v>Transformation</v>
      </c>
      <c r="AQ279" s="26" t="str" cm="1">
        <f t="array" ref="AQ279">IFERROR(INDEX(Transactions[[Transaction code]:[Transaction name]],_xlfn.XMATCH(INDEX(Transactions[[Transaction name]:[Parent code]],_xlfn.XMATCH(Transactions[[#This Row],[L6N]],Transactions[Transaction name],0),3),Transactions[Transaction code],0),2),Transactions[[#This Row],[L6N]])</f>
        <v>Transformation</v>
      </c>
      <c r="AR279" s="29" t="str">
        <f>IF(Transactions[[#This Row],[L7N]]=Transactions[[#This Row],[L6N]],Transactions[[#This Row],[L7N]],IF(Transactions[[#This Row],[L6N]]=Transactions[[#This Row],[L5N]],Transactions[[#This Row],[L6N]],IF(Transactions[[#This Row],[L5N]]=Transactions[[#This Row],[L4N]],Transactions[[#This Row],[L5N]],IF(Transactions[[#This Row],[L4N]]=Transactions[[#This Row],[L3N]],Transactions[[#This Row],[L4N]],IF(Transactions[[#This Row],[L3N]]=Transactions[[#This Row],[L2N]],Transactions[[#This Row],[L3N]],IF(Transactions[[#This Row],[L2N]]=Transactions[[#This Row],[L1N]],Transactions[[#This Row],[L2N]],IF(Transactions[[#This Row],[L1N]]=Transactions[[#This Row],[Transaction name]],Transactions[[#This Row],[L1N]],Transactions[[#This Row],[Transaction name]])))))))</f>
        <v>Transformation</v>
      </c>
      <c r="AS279" s="26" t="str">
        <f>IF(Transactions[[#This Row],[Level 0]]=Transactions[[#This Row],[Transaction name]],Transactions[[#This Row],[Transaction name]],IF(Transactions[[#This Row],[Level 0]]=Transactions[[#This Row],[L1N]],Transactions[[#This Row],[Transaction name]],IF(Transactions[[#This Row],[Level 0]]=Transactions[[#This Row],[L2N]],Transactions[[#This Row],[L1N]],IF(Transactions[[#This Row],[Level 0]]=Transactions[[#This Row],[L3N]],Transactions[[#This Row],[L2N]],IF(Transactions[[#This Row],[Level 0]]=Transactions[[#This Row],[L4N]],Transactions[[#This Row],[L3N]],IF(Transactions[[#This Row],[Level 0]]=Transactions[[#This Row],[L5N]],Transactions[[#This Row],[L4N]],IF(Transactions[[#This Row],[Level 0]]=Transactions[[#This Row],[L6N]],Transactions[[#This Row],[L5N]],IF(Transactions[[#This Row],[Level 0]]=Transactions[[#This Row],[L7N]],Transactions[[#This Row],[L6N]],Transactions[[#This Row],[L7N]]))))))))</f>
        <v>Electricity, CHP and heat plants (T)</v>
      </c>
      <c r="AT279" s="26" t="str">
        <f>IF(Transactions[[#This Row],[Level 1]]=Transactions[[#This Row],[Transaction name]],Transactions[[#This Row],[Transaction name]],IF(Transactions[[#This Row],[Level 1]]=Transactions[[#This Row],[L1N]],Transactions[[#This Row],[Transaction name]],IF(Transactions[[#This Row],[Level 1]]=Transactions[[#This Row],[L2N]],Transactions[[#This Row],[L1N]],IF(Transactions[[#This Row],[Level 1]]=Transactions[[#This Row],[L3N]],Transactions[[#This Row],[L2N]],IF(Transactions[[#This Row],[Level 1]]=Transactions[[#This Row],[L4N]],Transactions[[#This Row],[L3N]],IF(Transactions[[#This Row],[Level 1]]=Transactions[[#This Row],[L5N]],Transactions[[#This Row],[L4N]],IF(Transactions[[#This Row],[Level 1]]=Transactions[[#This Row],[L6N]],Transactions[[#This Row],[L5N]],IF(Transactions[[#This Row],[Level 1]]=Transactions[[#This Row],[L7N]],Transactions[[#This Row],[L6N]],Transactions[[#This Row],[L7N]]))))))))</f>
        <v>CHP plants</v>
      </c>
      <c r="AU279" s="26" t="str">
        <f>IF(Transactions[[#This Row],[Level 2]]=Transactions[[#This Row],[Transaction name]],Transactions[[#This Row],[Transaction name]],IF(Transactions[[#This Row],[Level 2]]=Transactions[[#This Row],[L1N]],Transactions[[#This Row],[Transaction name]],IF(Transactions[[#This Row],[Level 2]]=Transactions[[#This Row],[L2N]],Transactions[[#This Row],[L1N]],IF(Transactions[[#This Row],[Level 2]]=Transactions[[#This Row],[L3N]],Transactions[[#This Row],[L2N]],IF(Transactions[[#This Row],[Level 2]]=Transactions[[#This Row],[L4N]],Transactions[[#This Row],[L3N]],IF(Transactions[[#This Row],[Level 2]]=Transactions[[#This Row],[L5N]],Transactions[[#This Row],[L4N]],IF(Transactions[[#This Row],[Level 2]]=Transactions[[#This Row],[L6N]],Transactions[[#This Row],[L5N]],IF(Transactions[[#This Row],[Level 2]]=Transactions[[#This Row],[L7N]],Transactions[[#This Row],[L6N]],Transactions[[#This Row],[L7N]]))))))))</f>
        <v>CHP plants - liquid biofuels</v>
      </c>
      <c r="AV279" s="26" t="str">
        <f>IF(Transactions[[#This Row],[Level 3]]=Transactions[[#This Row],[Transaction name]],Transactions[[#This Row],[Transaction name]],IF(Transactions[[#This Row],[Level 3]]=Transactions[[#This Row],[L1N]],Transactions[[#This Row],[Transaction name]],IF(Transactions[[#This Row],[Level 3]]=Transactions[[#This Row],[L2N]],Transactions[[#This Row],[L1N]],IF(Transactions[[#This Row],[Level 3]]=Transactions[[#This Row],[L3N]],Transactions[[#This Row],[L2N]],IF(Transactions[[#This Row],[Level 3]]=Transactions[[#This Row],[L4N]],Transactions[[#This Row],[L3N]],IF(Transactions[[#This Row],[Level 3]]=Transactions[[#This Row],[L5N]],Transactions[[#This Row],[L4N]],IF(Transactions[[#This Row],[Level 3]]=Transactions[[#This Row],[L6N]],Transactions[[#This Row],[L5N]],IF(Transactions[[#This Row],[Level 3]]=Transactions[[#This Row],[L7N]],Transactions[[#This Row],[L6N]],Transactions[[#This Row],[L7N]]))))))))</f>
        <v>CHP plants - liquid biofuels</v>
      </c>
      <c r="AW279" s="26" t="str">
        <f>IF(Transactions[[#This Row],[Level 4]]=Transactions[[#This Row],[Transaction name]],Transactions[[#This Row],[Transaction name]],IF(Transactions[[#This Row],[Level 4]]=Transactions[[#This Row],[L1N]],Transactions[[#This Row],[Transaction name]],IF(Transactions[[#This Row],[Level 4]]=Transactions[[#This Row],[L2N]],Transactions[[#This Row],[L1N]],IF(Transactions[[#This Row],[Level 4]]=Transactions[[#This Row],[L3N]],Transactions[[#This Row],[L2N]],IF(Transactions[[#This Row],[Level 4]]=Transactions[[#This Row],[L4N]],Transactions[[#This Row],[L3N]],IF(Transactions[[#This Row],[Level 4]]=Transactions[[#This Row],[L5N]],Transactions[[#This Row],[L4N]],IF(Transactions[[#This Row],[Level 4]]=Transactions[[#This Row],[L6N]],Transactions[[#This Row],[L5N]],IF(Transactions[[#This Row],[Level 4]]=Transactions[[#This Row],[L7N]],Transactions[[#This Row],[L6N]],Transactions[[#This Row],[L7N]]))))))))</f>
        <v>CHP plants - liquid biofuels</v>
      </c>
      <c r="AX279" s="26" t="str">
        <f>IF(Transactions[[#This Row],[Level 5]]=Transactions[[#This Row],[Transaction name]],Transactions[[#This Row],[Transaction name]],IF(Transactions[[#This Row],[Level 5]]=Transactions[[#This Row],[L1N]],Transactions[[#This Row],[Transaction name]],IF(Transactions[[#This Row],[Level 5]]=Transactions[[#This Row],[L2N]],Transactions[[#This Row],[L1N]],IF(Transactions[[#This Row],[Level 5]]=Transactions[[#This Row],[L3N]],Transactions[[#This Row],[L2N]],IF(Transactions[[#This Row],[Level 5]]=Transactions[[#This Row],[L4N]],Transactions[[#This Row],[L3N]],IF(Transactions[[#This Row],[Level 5]]=Transactions[[#This Row],[L5N]],Transactions[[#This Row],[L4N]],IF(Transactions[[#This Row],[Level 5]]=Transactions[[#This Row],[L6N]],Transactions[[#This Row],[L5N]],IF(Transactions[[#This Row],[Level 5]]=Transactions[[#This Row],[L7N]],Transactions[[#This Row],[L6N]],Transactions[[#This Row],[L7N]]))))))))</f>
        <v>CHP plants - liquid biofuels</v>
      </c>
      <c r="AY279" s="26" t="str">
        <f>IF(Transactions[[#This Row],[Level 6]]=Transactions[[#This Row],[Transaction name]],Transactions[[#This Row],[Transaction name]],IF(Transactions[[#This Row],[Level 6]]=Transactions[[#This Row],[L1N]],Transactions[[#This Row],[Transaction name]],IF(Transactions[[#This Row],[Level 6]]=Transactions[[#This Row],[L2N]],Transactions[[#This Row],[L1N]],IF(Transactions[[#This Row],[Level 6]]=Transactions[[#This Row],[L3N]],Transactions[[#This Row],[L2N]],IF(Transactions[[#This Row],[Level 6]]=Transactions[[#This Row],[L4N]],Transactions[[#This Row],[L3N]],IF(Transactions[[#This Row],[Level 6]]=Transactions[[#This Row],[L5N]],Transactions[[#This Row],[L4N]],IF(Transactions[[#This Row],[Level 6]]=Transactions[[#This Row],[L6N]],Transactions[[#This Row],[L5N]],IF(Transactions[[#This Row],[Level 6]]=Transactions[[#This Row],[L7N]],Transactions[[#This Row],[L6N]],Transactions[[#This Row],[L7N]]))))))))</f>
        <v>CHP plants - liquid biofuels</v>
      </c>
      <c r="BE279" s="26" t="str">
        <f>_xlfn.XLOOKUP(Transformation[[#This Row],[cfrom]],Commodities[Commodity],Commodities[Commodity code])</f>
        <v>4680</v>
      </c>
      <c r="BF279" s="26" t="str">
        <f>_xlfn.XLOOKUP(Transformation[[#This Row],[tfrom]],Transactions[Transaction name],Transactions[Transaction code])</f>
        <v>08831</v>
      </c>
      <c r="BG279" s="26" t="str">
        <f>_xlfn.XLOOKUP(Transformation[[#This Row],[cto]],Commodities[Commodity],Commodities[Commodity code])</f>
        <v>4680</v>
      </c>
      <c r="BH279" s="26" t="str">
        <f>_xlfn.XLOOKUP(Transformation[[#This Row],[tto]],Transactions[Transaction name],Transactions[Transaction code])</f>
        <v>015FOH</v>
      </c>
      <c r="BI279" s="11">
        <v>1</v>
      </c>
      <c r="BJ279" s="4" t="s">
        <v>368</v>
      </c>
      <c r="BK279" s="24" t="str">
        <f>_xlfn.XLOOKUP(Transformation[[#This Row],[Commodity from]],Commodities[Commodity code],Commodities[EnergyCode])</f>
        <v>RF</v>
      </c>
      <c r="BL279" s="4" t="s">
        <v>693</v>
      </c>
      <c r="BM279" s="4" t="s">
        <v>368</v>
      </c>
      <c r="BN279" s="24" t="str">
        <f>_xlfn.XLOOKUP(Transformation[[#This Row],[Commodity to]],Commodities[Commodity code],Commodities[EnergyCode])</f>
        <v>RF</v>
      </c>
      <c r="BO279" s="4" t="s">
        <v>1028</v>
      </c>
      <c r="BP279" s="16" t="s">
        <v>1493</v>
      </c>
      <c r="BQ279" s="33" t="str">
        <f>Transformation[[#This Row],[Commodity from]]&amp;Transformation[[#This Row],[Transaction from]]&amp;Transformation[[#This Row],[Commodity to]]&amp;Transformation[[#This Row],[Transaction to]]</f>
        <v>4680088314680015FOH</v>
      </c>
      <c r="BR279" s="26" t="str">
        <f>Transformation[[#This Row],[crfomid]]&amp;Transformation[[#This Row],[Transaction from]]&amp;"("&amp;Transformation[[#This Row],[Multiplier]]&amp;") -&gt; "&amp;Transformation[[#This Row],[ctoid]]&amp;Transformation[[#This Row],[Transaction to]]</f>
        <v>RF08831(1) -&gt; RF015FOH</v>
      </c>
    </row>
    <row r="280" spans="25:70" x14ac:dyDescent="0.45">
      <c r="Y280" s="5" t="s">
        <v>1098</v>
      </c>
      <c r="Z280" s="7" t="s">
        <v>1074</v>
      </c>
      <c r="AA280" s="4" t="s">
        <v>1355</v>
      </c>
      <c r="AB280" s="19" t="s">
        <v>1609</v>
      </c>
      <c r="AC280" s="24" t="str">
        <f>IFERROR(VLOOKUP(Transactions[[#This Row],[Parent code]],Transactions[[Transaction code]:[Transaction name]],2,0),"")</f>
        <v>CHP plants - liquid biofuels</v>
      </c>
      <c r="AD280" s="4" t="s">
        <v>189</v>
      </c>
      <c r="AE280" s="4" t="s">
        <v>922</v>
      </c>
      <c r="AF280" s="4" t="s">
        <v>642</v>
      </c>
      <c r="AG280" s="4" t="s">
        <v>1</v>
      </c>
      <c r="AH280" s="4" t="s">
        <v>696</v>
      </c>
      <c r="AI280" s="12" t="s">
        <v>1416</v>
      </c>
      <c r="AK280" s="24" t="str" cm="1">
        <f t="array" ref="AK280">IFERROR(INDEX(Transactions[[Transaction code]:[Transaction name]],_xlfn.XMATCH(Transactions[[#This Row],[Parent code]],Transactions[Transaction name],0),3),Transactions[[#This Row],[Transaction name]])</f>
        <v>CHP plants - Main activity - liquid biofuels</v>
      </c>
      <c r="AL280" s="24" t="str" cm="1">
        <f t="array" ref="AL280">IFERROR(INDEX(Transactions[[Transaction code]:[Transaction name]],_xlfn.XMATCH(INDEX(Transactions[[Transaction name]:[Parent code]],_xlfn.XMATCH(Transactions[[#This Row],[L1N]],Transactions[Transaction name],0),3),Transactions[Transaction code],0),2),Transactions[[#This Row],[L1N]])</f>
        <v>CHP plants - liquid biofuels</v>
      </c>
      <c r="AM280" s="24" t="str" cm="1">
        <f t="array" ref="AM280">IFERROR(INDEX(Transactions[[Transaction code]:[Transaction name]],_xlfn.XMATCH(INDEX(Transactions[[Transaction name]:[Parent code]],_xlfn.XMATCH(Transactions[[#This Row],[L2N]],Transactions[Transaction name],0),3),Transactions[Transaction code],0),2),Transactions[[#This Row],[L2N]])</f>
        <v>CHP plants</v>
      </c>
      <c r="AN280" s="24" t="str" cm="1">
        <f t="array" ref="AN280">IFERROR(INDEX(Transactions[[Transaction code]:[Transaction name]],_xlfn.XMATCH(INDEX(Transactions[[Transaction name]:[Parent code]],_xlfn.XMATCH(Transactions[[#This Row],[L3N]],Transactions[Transaction name],0),3),Transactions[Transaction code],0),2),Transactions[[#This Row],[L3N]])</f>
        <v>Electricity, CHP and heat plants (T)</v>
      </c>
      <c r="AO280" s="24" t="str" cm="1">
        <f t="array" ref="AO280">IFERROR(INDEX(Transactions[[Transaction code]:[Transaction name]],_xlfn.XMATCH(INDEX(Transactions[[Transaction name]:[Parent code]],_xlfn.XMATCH(Transactions[[#This Row],[L4N]],Transactions[Transaction name],0),3),Transactions[Transaction code],0),2),Transactions[[#This Row],[L4N]])</f>
        <v>Transformation</v>
      </c>
      <c r="AP280" s="24" t="str" cm="1">
        <f t="array" ref="AP280">IFERROR(INDEX(Transactions[[Transaction code]:[Transaction name]],_xlfn.XMATCH(INDEX(Transactions[[Transaction name]:[Parent code]],_xlfn.XMATCH(Transactions[[#This Row],[L5N]],Transactions[Transaction name],0),3),Transactions[Transaction code],0),2),Transactions[[#This Row],[L5N]])</f>
        <v>Transformation</v>
      </c>
      <c r="AQ280" s="24" t="str" cm="1">
        <f t="array" ref="AQ280">IFERROR(INDEX(Transactions[[Transaction code]:[Transaction name]],_xlfn.XMATCH(INDEX(Transactions[[Transaction name]:[Parent code]],_xlfn.XMATCH(Transactions[[#This Row],[L6N]],Transactions[Transaction name],0),3),Transactions[Transaction code],0),2),Transactions[[#This Row],[L6N]])</f>
        <v>Transformation</v>
      </c>
      <c r="AR280" s="28" t="str">
        <f>IF(Transactions[[#This Row],[L7N]]=Transactions[[#This Row],[L6N]],Transactions[[#This Row],[L7N]],IF(Transactions[[#This Row],[L6N]]=Transactions[[#This Row],[L5N]],Transactions[[#This Row],[L6N]],IF(Transactions[[#This Row],[L5N]]=Transactions[[#This Row],[L4N]],Transactions[[#This Row],[L5N]],IF(Transactions[[#This Row],[L4N]]=Transactions[[#This Row],[L3N]],Transactions[[#This Row],[L4N]],IF(Transactions[[#This Row],[L3N]]=Transactions[[#This Row],[L2N]],Transactions[[#This Row],[L3N]],IF(Transactions[[#This Row],[L2N]]=Transactions[[#This Row],[L1N]],Transactions[[#This Row],[L2N]],IF(Transactions[[#This Row],[L1N]]=Transactions[[#This Row],[Transaction name]],Transactions[[#This Row],[L1N]],Transactions[[#This Row],[Transaction name]])))))))</f>
        <v>Transformation</v>
      </c>
      <c r="AS280" s="24" t="str">
        <f>IF(Transactions[[#This Row],[Level 0]]=Transactions[[#This Row],[Transaction name]],Transactions[[#This Row],[Transaction name]],IF(Transactions[[#This Row],[Level 0]]=Transactions[[#This Row],[L1N]],Transactions[[#This Row],[Transaction name]],IF(Transactions[[#This Row],[Level 0]]=Transactions[[#This Row],[L2N]],Transactions[[#This Row],[L1N]],IF(Transactions[[#This Row],[Level 0]]=Transactions[[#This Row],[L3N]],Transactions[[#This Row],[L2N]],IF(Transactions[[#This Row],[Level 0]]=Transactions[[#This Row],[L4N]],Transactions[[#This Row],[L3N]],IF(Transactions[[#This Row],[Level 0]]=Transactions[[#This Row],[L5N]],Transactions[[#This Row],[L4N]],IF(Transactions[[#This Row],[Level 0]]=Transactions[[#This Row],[L6N]],Transactions[[#This Row],[L5N]],IF(Transactions[[#This Row],[Level 0]]=Transactions[[#This Row],[L7N]],Transactions[[#This Row],[L6N]],Transactions[[#This Row],[L7N]]))))))))</f>
        <v>Electricity, CHP and heat plants (T)</v>
      </c>
      <c r="AT280" s="24" t="str">
        <f>IF(Transactions[[#This Row],[Level 1]]=Transactions[[#This Row],[Transaction name]],Transactions[[#This Row],[Transaction name]],IF(Transactions[[#This Row],[Level 1]]=Transactions[[#This Row],[L1N]],Transactions[[#This Row],[Transaction name]],IF(Transactions[[#This Row],[Level 1]]=Transactions[[#This Row],[L2N]],Transactions[[#This Row],[L1N]],IF(Transactions[[#This Row],[Level 1]]=Transactions[[#This Row],[L3N]],Transactions[[#This Row],[L2N]],IF(Transactions[[#This Row],[Level 1]]=Transactions[[#This Row],[L4N]],Transactions[[#This Row],[L3N]],IF(Transactions[[#This Row],[Level 1]]=Transactions[[#This Row],[L5N]],Transactions[[#This Row],[L4N]],IF(Transactions[[#This Row],[Level 1]]=Transactions[[#This Row],[L6N]],Transactions[[#This Row],[L5N]],IF(Transactions[[#This Row],[Level 1]]=Transactions[[#This Row],[L7N]],Transactions[[#This Row],[L6N]],Transactions[[#This Row],[L7N]]))))))))</f>
        <v>CHP plants</v>
      </c>
      <c r="AU280" s="24" t="str">
        <f>IF(Transactions[[#This Row],[Level 2]]=Transactions[[#This Row],[Transaction name]],Transactions[[#This Row],[Transaction name]],IF(Transactions[[#This Row],[Level 2]]=Transactions[[#This Row],[L1N]],Transactions[[#This Row],[Transaction name]],IF(Transactions[[#This Row],[Level 2]]=Transactions[[#This Row],[L2N]],Transactions[[#This Row],[L1N]],IF(Transactions[[#This Row],[Level 2]]=Transactions[[#This Row],[L3N]],Transactions[[#This Row],[L2N]],IF(Transactions[[#This Row],[Level 2]]=Transactions[[#This Row],[L4N]],Transactions[[#This Row],[L3N]],IF(Transactions[[#This Row],[Level 2]]=Transactions[[#This Row],[L5N]],Transactions[[#This Row],[L4N]],IF(Transactions[[#This Row],[Level 2]]=Transactions[[#This Row],[L6N]],Transactions[[#This Row],[L5N]],IF(Transactions[[#This Row],[Level 2]]=Transactions[[#This Row],[L7N]],Transactions[[#This Row],[L6N]],Transactions[[#This Row],[L7N]]))))))))</f>
        <v>CHP plants - liquid biofuels</v>
      </c>
      <c r="AV280" s="24" t="str">
        <f>IF(Transactions[[#This Row],[Level 3]]=Transactions[[#This Row],[Transaction name]],Transactions[[#This Row],[Transaction name]],IF(Transactions[[#This Row],[Level 3]]=Transactions[[#This Row],[L1N]],Transactions[[#This Row],[Transaction name]],IF(Transactions[[#This Row],[Level 3]]=Transactions[[#This Row],[L2N]],Transactions[[#This Row],[L1N]],IF(Transactions[[#This Row],[Level 3]]=Transactions[[#This Row],[L3N]],Transactions[[#This Row],[L2N]],IF(Transactions[[#This Row],[Level 3]]=Transactions[[#This Row],[L4N]],Transactions[[#This Row],[L3N]],IF(Transactions[[#This Row],[Level 3]]=Transactions[[#This Row],[L5N]],Transactions[[#This Row],[L4N]],IF(Transactions[[#This Row],[Level 3]]=Transactions[[#This Row],[L6N]],Transactions[[#This Row],[L5N]],IF(Transactions[[#This Row],[Level 3]]=Transactions[[#This Row],[L7N]],Transactions[[#This Row],[L6N]],Transactions[[#This Row],[L7N]]))))))))</f>
        <v>CHP plants - Main activity - liquid biofuels</v>
      </c>
      <c r="AW280" s="24" t="str">
        <f>IF(Transactions[[#This Row],[Level 4]]=Transactions[[#This Row],[Transaction name]],Transactions[[#This Row],[Transaction name]],IF(Transactions[[#This Row],[Level 4]]=Transactions[[#This Row],[L1N]],Transactions[[#This Row],[Transaction name]],IF(Transactions[[#This Row],[Level 4]]=Transactions[[#This Row],[L2N]],Transactions[[#This Row],[L1N]],IF(Transactions[[#This Row],[Level 4]]=Transactions[[#This Row],[L3N]],Transactions[[#This Row],[L2N]],IF(Transactions[[#This Row],[Level 4]]=Transactions[[#This Row],[L4N]],Transactions[[#This Row],[L3N]],IF(Transactions[[#This Row],[Level 4]]=Transactions[[#This Row],[L5N]],Transactions[[#This Row],[L4N]],IF(Transactions[[#This Row],[Level 4]]=Transactions[[#This Row],[L6N]],Transactions[[#This Row],[L5N]],IF(Transactions[[#This Row],[Level 4]]=Transactions[[#This Row],[L7N]],Transactions[[#This Row],[L6N]],Transactions[[#This Row],[L7N]]))))))))</f>
        <v>CHP plants - Main activity - liquid biofuels</v>
      </c>
      <c r="AX280" s="24" t="str">
        <f>IF(Transactions[[#This Row],[Level 5]]=Transactions[[#This Row],[Transaction name]],Transactions[[#This Row],[Transaction name]],IF(Transactions[[#This Row],[Level 5]]=Transactions[[#This Row],[L1N]],Transactions[[#This Row],[Transaction name]],IF(Transactions[[#This Row],[Level 5]]=Transactions[[#This Row],[L2N]],Transactions[[#This Row],[L1N]],IF(Transactions[[#This Row],[Level 5]]=Transactions[[#This Row],[L3N]],Transactions[[#This Row],[L2N]],IF(Transactions[[#This Row],[Level 5]]=Transactions[[#This Row],[L4N]],Transactions[[#This Row],[L3N]],IF(Transactions[[#This Row],[Level 5]]=Transactions[[#This Row],[L5N]],Transactions[[#This Row],[L4N]],IF(Transactions[[#This Row],[Level 5]]=Transactions[[#This Row],[L6N]],Transactions[[#This Row],[L5N]],IF(Transactions[[#This Row],[Level 5]]=Transactions[[#This Row],[L7N]],Transactions[[#This Row],[L6N]],Transactions[[#This Row],[L7N]]))))))))</f>
        <v>CHP plants - Main activity - liquid biofuels</v>
      </c>
      <c r="AY280" s="24" t="str">
        <f>IF(Transactions[[#This Row],[Level 6]]=Transactions[[#This Row],[Transaction name]],Transactions[[#This Row],[Transaction name]],IF(Transactions[[#This Row],[Level 6]]=Transactions[[#This Row],[L1N]],Transactions[[#This Row],[Transaction name]],IF(Transactions[[#This Row],[Level 6]]=Transactions[[#This Row],[L2N]],Transactions[[#This Row],[L1N]],IF(Transactions[[#This Row],[Level 6]]=Transactions[[#This Row],[L3N]],Transactions[[#This Row],[L2N]],IF(Transactions[[#This Row],[Level 6]]=Transactions[[#This Row],[L4N]],Transactions[[#This Row],[L3N]],IF(Transactions[[#This Row],[Level 6]]=Transactions[[#This Row],[L5N]],Transactions[[#This Row],[L4N]],IF(Transactions[[#This Row],[Level 6]]=Transactions[[#This Row],[L6N]],Transactions[[#This Row],[L5N]],IF(Transactions[[#This Row],[Level 6]]=Transactions[[#This Row],[L7N]],Transactions[[#This Row],[L6N]],Transactions[[#This Row],[L7N]]))))))))</f>
        <v>CHP plants - Main activity - liquid biofuels</v>
      </c>
      <c r="BE280" s="26" t="str">
        <f>_xlfn.XLOOKUP(Transformation[[#This Row],[cfrom]],Commodities[Commodity],Commodities[Commodity code])</f>
        <v>4610</v>
      </c>
      <c r="BF280" s="26" t="str">
        <f>_xlfn.XLOOKUP(Transformation[[#This Row],[tfrom]],Transactions[Transaction name],Transactions[Transaction code])</f>
        <v>08831</v>
      </c>
      <c r="BG280" s="26" t="str">
        <f>_xlfn.XLOOKUP(Transformation[[#This Row],[cto]],Commodities[Commodity],Commodities[Commodity code])</f>
        <v>4610</v>
      </c>
      <c r="BH280" s="26" t="str">
        <f>_xlfn.XLOOKUP(Transformation[[#This Row],[tto]],Transactions[Transaction name],Transactions[Transaction code])</f>
        <v>015OPH</v>
      </c>
      <c r="BI280" s="11">
        <v>1</v>
      </c>
      <c r="BJ280" s="4" t="s">
        <v>416</v>
      </c>
      <c r="BK280" s="24" t="str">
        <f>_xlfn.XLOOKUP(Transformation[[#This Row],[Commodity from]],Commodities[Commodity code],Commodities[EnergyCode])</f>
        <v>RG</v>
      </c>
      <c r="BL280" s="4" t="s">
        <v>693</v>
      </c>
      <c r="BM280" s="4" t="s">
        <v>416</v>
      </c>
      <c r="BN280" s="24" t="str">
        <f>_xlfn.XLOOKUP(Transformation[[#This Row],[Commodity to]],Commodities[Commodity code],Commodities[EnergyCode])</f>
        <v>RG</v>
      </c>
      <c r="BO280" s="4" t="s">
        <v>1052</v>
      </c>
      <c r="BP280" s="16" t="s">
        <v>1493</v>
      </c>
      <c r="BQ280" s="33" t="str">
        <f>Transformation[[#This Row],[Commodity from]]&amp;Transformation[[#This Row],[Transaction from]]&amp;Transformation[[#This Row],[Commodity to]]&amp;Transformation[[#This Row],[Transaction to]]</f>
        <v>4610088314610015OPH</v>
      </c>
      <c r="BR280" s="26" t="str">
        <f>Transformation[[#This Row],[crfomid]]&amp;Transformation[[#This Row],[Transaction from]]&amp;"("&amp;Transformation[[#This Row],[Multiplier]]&amp;") -&gt; "&amp;Transformation[[#This Row],[ctoid]]&amp;Transformation[[#This Row],[Transaction to]]</f>
        <v>RG08831(1) -&gt; RG015OPH</v>
      </c>
    </row>
    <row r="281" spans="25:70" x14ac:dyDescent="0.45">
      <c r="Y281" s="5" t="s">
        <v>1150</v>
      </c>
      <c r="Z281" s="7" t="s">
        <v>1142</v>
      </c>
      <c r="AA281" s="4" t="s">
        <v>1367</v>
      </c>
      <c r="AB281" s="19" t="s">
        <v>1622</v>
      </c>
      <c r="AC281" s="24" t="str">
        <f>IFERROR(VLOOKUP(Transactions[[#This Row],[Parent code]],Transactions[[Transaction code]:[Transaction name]],2,0),"")</f>
        <v>CHP plants - municipal solid waste</v>
      </c>
      <c r="AD281" s="4" t="s">
        <v>189</v>
      </c>
      <c r="AE281" s="4" t="s">
        <v>922</v>
      </c>
      <c r="AF281" s="4" t="s">
        <v>642</v>
      </c>
      <c r="AG281" s="4" t="s">
        <v>1</v>
      </c>
      <c r="AH281" s="4" t="s">
        <v>696</v>
      </c>
      <c r="AI281" s="12" t="s">
        <v>1416</v>
      </c>
      <c r="AK281" s="24" t="str" cm="1">
        <f t="array" ref="AK281">IFERROR(INDEX(Transactions[[Transaction code]:[Transaction name]],_xlfn.XMATCH(Transactions[[#This Row],[Parent code]],Transactions[Transaction name],0),3),Transactions[[#This Row],[Transaction name]])</f>
        <v>CHP plants - Autoproducer - municipal solid waste</v>
      </c>
      <c r="AL281" s="24" t="str" cm="1">
        <f t="array" ref="AL281">IFERROR(INDEX(Transactions[[Transaction code]:[Transaction name]],_xlfn.XMATCH(INDEX(Transactions[[Transaction name]:[Parent code]],_xlfn.XMATCH(Transactions[[#This Row],[L1N]],Transactions[Transaction name],0),3),Transactions[Transaction code],0),2),Transactions[[#This Row],[L1N]])</f>
        <v>CHP plants - municipal solid waste</v>
      </c>
      <c r="AM281" s="24" t="str" cm="1">
        <f t="array" ref="AM281">IFERROR(INDEX(Transactions[[Transaction code]:[Transaction name]],_xlfn.XMATCH(INDEX(Transactions[[Transaction name]:[Parent code]],_xlfn.XMATCH(Transactions[[#This Row],[L2N]],Transactions[Transaction name],0),3),Transactions[Transaction code],0),2),Transactions[[#This Row],[L2N]])</f>
        <v>CHP plants</v>
      </c>
      <c r="AN281" s="24" t="str" cm="1">
        <f t="array" ref="AN281">IFERROR(INDEX(Transactions[[Transaction code]:[Transaction name]],_xlfn.XMATCH(INDEX(Transactions[[Transaction name]:[Parent code]],_xlfn.XMATCH(Transactions[[#This Row],[L3N]],Transactions[Transaction name],0),3),Transactions[Transaction code],0),2),Transactions[[#This Row],[L3N]])</f>
        <v>Electricity, CHP and heat plants (T)</v>
      </c>
      <c r="AO281" s="24" t="str" cm="1">
        <f t="array" ref="AO281">IFERROR(INDEX(Transactions[[Transaction code]:[Transaction name]],_xlfn.XMATCH(INDEX(Transactions[[Transaction name]:[Parent code]],_xlfn.XMATCH(Transactions[[#This Row],[L4N]],Transactions[Transaction name],0),3),Transactions[Transaction code],0),2),Transactions[[#This Row],[L4N]])</f>
        <v>Transformation</v>
      </c>
      <c r="AP281" s="24" t="str" cm="1">
        <f t="array" ref="AP281">IFERROR(INDEX(Transactions[[Transaction code]:[Transaction name]],_xlfn.XMATCH(INDEX(Transactions[[Transaction name]:[Parent code]],_xlfn.XMATCH(Transactions[[#This Row],[L5N]],Transactions[Transaction name],0),3),Transactions[Transaction code],0),2),Transactions[[#This Row],[L5N]])</f>
        <v>Transformation</v>
      </c>
      <c r="AQ281" s="24" t="str" cm="1">
        <f t="array" ref="AQ281">IFERROR(INDEX(Transactions[[Transaction code]:[Transaction name]],_xlfn.XMATCH(INDEX(Transactions[[Transaction name]:[Parent code]],_xlfn.XMATCH(Transactions[[#This Row],[L6N]],Transactions[Transaction name],0),3),Transactions[Transaction code],0),2),Transactions[[#This Row],[L6N]])</f>
        <v>Transformation</v>
      </c>
      <c r="AR281" s="28" t="str">
        <f>IF(Transactions[[#This Row],[L7N]]=Transactions[[#This Row],[L6N]],Transactions[[#This Row],[L7N]],IF(Transactions[[#This Row],[L6N]]=Transactions[[#This Row],[L5N]],Transactions[[#This Row],[L6N]],IF(Transactions[[#This Row],[L5N]]=Transactions[[#This Row],[L4N]],Transactions[[#This Row],[L5N]],IF(Transactions[[#This Row],[L4N]]=Transactions[[#This Row],[L3N]],Transactions[[#This Row],[L4N]],IF(Transactions[[#This Row],[L3N]]=Transactions[[#This Row],[L2N]],Transactions[[#This Row],[L3N]],IF(Transactions[[#This Row],[L2N]]=Transactions[[#This Row],[L1N]],Transactions[[#This Row],[L2N]],IF(Transactions[[#This Row],[L1N]]=Transactions[[#This Row],[Transaction name]],Transactions[[#This Row],[L1N]],Transactions[[#This Row],[Transaction name]])))))))</f>
        <v>Transformation</v>
      </c>
      <c r="AS281" s="24" t="str">
        <f>IF(Transactions[[#This Row],[Level 0]]=Transactions[[#This Row],[Transaction name]],Transactions[[#This Row],[Transaction name]],IF(Transactions[[#This Row],[Level 0]]=Transactions[[#This Row],[L1N]],Transactions[[#This Row],[Transaction name]],IF(Transactions[[#This Row],[Level 0]]=Transactions[[#This Row],[L2N]],Transactions[[#This Row],[L1N]],IF(Transactions[[#This Row],[Level 0]]=Transactions[[#This Row],[L3N]],Transactions[[#This Row],[L2N]],IF(Transactions[[#This Row],[Level 0]]=Transactions[[#This Row],[L4N]],Transactions[[#This Row],[L3N]],IF(Transactions[[#This Row],[Level 0]]=Transactions[[#This Row],[L5N]],Transactions[[#This Row],[L4N]],IF(Transactions[[#This Row],[Level 0]]=Transactions[[#This Row],[L6N]],Transactions[[#This Row],[L5N]],IF(Transactions[[#This Row],[Level 0]]=Transactions[[#This Row],[L7N]],Transactions[[#This Row],[L6N]],Transactions[[#This Row],[L7N]]))))))))</f>
        <v>Electricity, CHP and heat plants (T)</v>
      </c>
      <c r="AT281" s="24" t="str">
        <f>IF(Transactions[[#This Row],[Level 1]]=Transactions[[#This Row],[Transaction name]],Transactions[[#This Row],[Transaction name]],IF(Transactions[[#This Row],[Level 1]]=Transactions[[#This Row],[L1N]],Transactions[[#This Row],[Transaction name]],IF(Transactions[[#This Row],[Level 1]]=Transactions[[#This Row],[L2N]],Transactions[[#This Row],[L1N]],IF(Transactions[[#This Row],[Level 1]]=Transactions[[#This Row],[L3N]],Transactions[[#This Row],[L2N]],IF(Transactions[[#This Row],[Level 1]]=Transactions[[#This Row],[L4N]],Transactions[[#This Row],[L3N]],IF(Transactions[[#This Row],[Level 1]]=Transactions[[#This Row],[L5N]],Transactions[[#This Row],[L4N]],IF(Transactions[[#This Row],[Level 1]]=Transactions[[#This Row],[L6N]],Transactions[[#This Row],[L5N]],IF(Transactions[[#This Row],[Level 1]]=Transactions[[#This Row],[L7N]],Transactions[[#This Row],[L6N]],Transactions[[#This Row],[L7N]]))))))))</f>
        <v>CHP plants</v>
      </c>
      <c r="AU281" s="24" t="str">
        <f>IF(Transactions[[#This Row],[Level 2]]=Transactions[[#This Row],[Transaction name]],Transactions[[#This Row],[Transaction name]],IF(Transactions[[#This Row],[Level 2]]=Transactions[[#This Row],[L1N]],Transactions[[#This Row],[Transaction name]],IF(Transactions[[#This Row],[Level 2]]=Transactions[[#This Row],[L2N]],Transactions[[#This Row],[L1N]],IF(Transactions[[#This Row],[Level 2]]=Transactions[[#This Row],[L3N]],Transactions[[#This Row],[L2N]],IF(Transactions[[#This Row],[Level 2]]=Transactions[[#This Row],[L4N]],Transactions[[#This Row],[L3N]],IF(Transactions[[#This Row],[Level 2]]=Transactions[[#This Row],[L5N]],Transactions[[#This Row],[L4N]],IF(Transactions[[#This Row],[Level 2]]=Transactions[[#This Row],[L6N]],Transactions[[#This Row],[L5N]],IF(Transactions[[#This Row],[Level 2]]=Transactions[[#This Row],[L7N]],Transactions[[#This Row],[L6N]],Transactions[[#This Row],[L7N]]))))))))</f>
        <v>CHP plants - municipal solid waste</v>
      </c>
      <c r="AV281" s="24" t="str">
        <f>IF(Transactions[[#This Row],[Level 3]]=Transactions[[#This Row],[Transaction name]],Transactions[[#This Row],[Transaction name]],IF(Transactions[[#This Row],[Level 3]]=Transactions[[#This Row],[L1N]],Transactions[[#This Row],[Transaction name]],IF(Transactions[[#This Row],[Level 3]]=Transactions[[#This Row],[L2N]],Transactions[[#This Row],[L1N]],IF(Transactions[[#This Row],[Level 3]]=Transactions[[#This Row],[L3N]],Transactions[[#This Row],[L2N]],IF(Transactions[[#This Row],[Level 3]]=Transactions[[#This Row],[L4N]],Transactions[[#This Row],[L3N]],IF(Transactions[[#This Row],[Level 3]]=Transactions[[#This Row],[L5N]],Transactions[[#This Row],[L4N]],IF(Transactions[[#This Row],[Level 3]]=Transactions[[#This Row],[L6N]],Transactions[[#This Row],[L5N]],IF(Transactions[[#This Row],[Level 3]]=Transactions[[#This Row],[L7N]],Transactions[[#This Row],[L6N]],Transactions[[#This Row],[L7N]]))))))))</f>
        <v>CHP plants - Autoproducer - municipal solid waste</v>
      </c>
      <c r="AW281" s="24" t="str">
        <f>IF(Transactions[[#This Row],[Level 4]]=Transactions[[#This Row],[Transaction name]],Transactions[[#This Row],[Transaction name]],IF(Transactions[[#This Row],[Level 4]]=Transactions[[#This Row],[L1N]],Transactions[[#This Row],[Transaction name]],IF(Transactions[[#This Row],[Level 4]]=Transactions[[#This Row],[L2N]],Transactions[[#This Row],[L1N]],IF(Transactions[[#This Row],[Level 4]]=Transactions[[#This Row],[L3N]],Transactions[[#This Row],[L2N]],IF(Transactions[[#This Row],[Level 4]]=Transactions[[#This Row],[L4N]],Transactions[[#This Row],[L3N]],IF(Transactions[[#This Row],[Level 4]]=Transactions[[#This Row],[L5N]],Transactions[[#This Row],[L4N]],IF(Transactions[[#This Row],[Level 4]]=Transactions[[#This Row],[L6N]],Transactions[[#This Row],[L5N]],IF(Transactions[[#This Row],[Level 4]]=Transactions[[#This Row],[L7N]],Transactions[[#This Row],[L6N]],Transactions[[#This Row],[L7N]]))))))))</f>
        <v>CHP plants - Autoproducer - municipal solid waste</v>
      </c>
      <c r="AX281" s="24" t="str">
        <f>IF(Transactions[[#This Row],[Level 5]]=Transactions[[#This Row],[Transaction name]],Transactions[[#This Row],[Transaction name]],IF(Transactions[[#This Row],[Level 5]]=Transactions[[#This Row],[L1N]],Transactions[[#This Row],[Transaction name]],IF(Transactions[[#This Row],[Level 5]]=Transactions[[#This Row],[L2N]],Transactions[[#This Row],[L1N]],IF(Transactions[[#This Row],[Level 5]]=Transactions[[#This Row],[L3N]],Transactions[[#This Row],[L2N]],IF(Transactions[[#This Row],[Level 5]]=Transactions[[#This Row],[L4N]],Transactions[[#This Row],[L3N]],IF(Transactions[[#This Row],[Level 5]]=Transactions[[#This Row],[L5N]],Transactions[[#This Row],[L4N]],IF(Transactions[[#This Row],[Level 5]]=Transactions[[#This Row],[L6N]],Transactions[[#This Row],[L5N]],IF(Transactions[[#This Row],[Level 5]]=Transactions[[#This Row],[L7N]],Transactions[[#This Row],[L6N]],Transactions[[#This Row],[L7N]]))))))))</f>
        <v>CHP plants - Autoproducer - municipal solid waste</v>
      </c>
      <c r="AY281" s="24" t="str">
        <f>IF(Transactions[[#This Row],[Level 6]]=Transactions[[#This Row],[Transaction name]],Transactions[[#This Row],[Transaction name]],IF(Transactions[[#This Row],[Level 6]]=Transactions[[#This Row],[L1N]],Transactions[[#This Row],[Transaction name]],IF(Transactions[[#This Row],[Level 6]]=Transactions[[#This Row],[L2N]],Transactions[[#This Row],[L1N]],IF(Transactions[[#This Row],[Level 6]]=Transactions[[#This Row],[L3N]],Transactions[[#This Row],[L2N]],IF(Transactions[[#This Row],[Level 6]]=Transactions[[#This Row],[L4N]],Transactions[[#This Row],[L3N]],IF(Transactions[[#This Row],[Level 6]]=Transactions[[#This Row],[L5N]],Transactions[[#This Row],[L4N]],IF(Transactions[[#This Row],[Level 6]]=Transactions[[#This Row],[L6N]],Transactions[[#This Row],[L5N]],IF(Transactions[[#This Row],[Level 6]]=Transactions[[#This Row],[L7N]],Transactions[[#This Row],[L6N]],Transactions[[#This Row],[L7N]]))))))))</f>
        <v>CHP plants - Autoproducer - municipal solid waste</v>
      </c>
      <c r="BE281" s="26" t="str">
        <f>_xlfn.XLOOKUP(Transformation[[#This Row],[cfrom]],Commodities[Commodity],Commodities[Commodity code])</f>
        <v>5150</v>
      </c>
      <c r="BF281" s="26" t="str">
        <f>_xlfn.XLOOKUP(Transformation[[#This Row],[tfrom]],Transactions[Transaction name],Transactions[Transaction code])</f>
        <v>08831</v>
      </c>
      <c r="BG281" s="26" t="str">
        <f>_xlfn.XLOOKUP(Transformation[[#This Row],[cto]],Commodities[Commodity],Commodities[Commodity code])</f>
        <v>5150</v>
      </c>
      <c r="BH281" s="26" t="str">
        <f>_xlfn.XLOOKUP(Transformation[[#This Row],[tto]],Transactions[Transaction name],Transactions[Transaction code])</f>
        <v>015BSH</v>
      </c>
      <c r="BI281" s="11">
        <v>1</v>
      </c>
      <c r="BJ281" s="4" t="s">
        <v>328</v>
      </c>
      <c r="BK281" s="24" t="str">
        <f>_xlfn.XLOOKUP(Transformation[[#This Row],[Commodity from]],Commodities[Commodity code],Commodities[EnergyCode])</f>
        <v>VW</v>
      </c>
      <c r="BL281" s="4" t="s">
        <v>693</v>
      </c>
      <c r="BM281" s="4" t="s">
        <v>328</v>
      </c>
      <c r="BN281" s="24" t="str">
        <f>_xlfn.XLOOKUP(Transformation[[#This Row],[Commodity to]],Commodities[Commodity code],Commodities[EnergyCode])</f>
        <v>VW</v>
      </c>
      <c r="BO281" s="4" t="s">
        <v>1124</v>
      </c>
      <c r="BP281" s="16" t="s">
        <v>1493</v>
      </c>
      <c r="BQ281" s="33" t="str">
        <f>Transformation[[#This Row],[Commodity from]]&amp;Transformation[[#This Row],[Transaction from]]&amp;Transformation[[#This Row],[Commodity to]]&amp;Transformation[[#This Row],[Transaction to]]</f>
        <v>5150088315150015BSH</v>
      </c>
      <c r="BR281" s="26" t="str">
        <f>Transformation[[#This Row],[crfomid]]&amp;Transformation[[#This Row],[Transaction from]]&amp;"("&amp;Transformation[[#This Row],[Multiplier]]&amp;") -&gt; "&amp;Transformation[[#This Row],[ctoid]]&amp;Transformation[[#This Row],[Transaction to]]</f>
        <v>VW08831(1) -&gt; VW015BSH</v>
      </c>
    </row>
    <row r="282" spans="25:70" x14ac:dyDescent="0.45">
      <c r="Y282" s="5" t="s">
        <v>1146</v>
      </c>
      <c r="Z282" s="7" t="s">
        <v>1138</v>
      </c>
      <c r="AA282" s="4" t="s">
        <v>1367</v>
      </c>
      <c r="AB282" s="19" t="s">
        <v>1622</v>
      </c>
      <c r="AC282" s="24" t="str">
        <f>IFERROR(VLOOKUP(Transactions[[#This Row],[Parent code]],Transactions[[Transaction code]:[Transaction name]],2,0),"")</f>
        <v>CHP plants - municipal solid waste</v>
      </c>
      <c r="AD282" s="4" t="s">
        <v>189</v>
      </c>
      <c r="AE282" s="4" t="s">
        <v>922</v>
      </c>
      <c r="AF282" s="4" t="s">
        <v>642</v>
      </c>
      <c r="AG282" s="4" t="s">
        <v>1</v>
      </c>
      <c r="AH282" s="4" t="s">
        <v>696</v>
      </c>
      <c r="AI282" s="12" t="s">
        <v>1416</v>
      </c>
      <c r="AK282" s="24" t="str" cm="1">
        <f t="array" ref="AK282">IFERROR(INDEX(Transactions[[Transaction code]:[Transaction name]],_xlfn.XMATCH(Transactions[[#This Row],[Parent code]],Transactions[Transaction name],0),3),Transactions[[#This Row],[Transaction name]])</f>
        <v>CHP plants - Main activity - municipal solid waste</v>
      </c>
      <c r="AL282" s="24" t="str" cm="1">
        <f t="array" ref="AL282">IFERROR(INDEX(Transactions[[Transaction code]:[Transaction name]],_xlfn.XMATCH(INDEX(Transactions[[Transaction name]:[Parent code]],_xlfn.XMATCH(Transactions[[#This Row],[L1N]],Transactions[Transaction name],0),3),Transactions[Transaction code],0),2),Transactions[[#This Row],[L1N]])</f>
        <v>CHP plants - municipal solid waste</v>
      </c>
      <c r="AM282" s="24" t="str" cm="1">
        <f t="array" ref="AM282">IFERROR(INDEX(Transactions[[Transaction code]:[Transaction name]],_xlfn.XMATCH(INDEX(Transactions[[Transaction name]:[Parent code]],_xlfn.XMATCH(Transactions[[#This Row],[L2N]],Transactions[Transaction name],0),3),Transactions[Transaction code],0),2),Transactions[[#This Row],[L2N]])</f>
        <v>CHP plants</v>
      </c>
      <c r="AN282" s="24" t="str" cm="1">
        <f t="array" ref="AN282">IFERROR(INDEX(Transactions[[Transaction code]:[Transaction name]],_xlfn.XMATCH(INDEX(Transactions[[Transaction name]:[Parent code]],_xlfn.XMATCH(Transactions[[#This Row],[L3N]],Transactions[Transaction name],0),3),Transactions[Transaction code],0),2),Transactions[[#This Row],[L3N]])</f>
        <v>Electricity, CHP and heat plants (T)</v>
      </c>
      <c r="AO282" s="24" t="str" cm="1">
        <f t="array" ref="AO282">IFERROR(INDEX(Transactions[[Transaction code]:[Transaction name]],_xlfn.XMATCH(INDEX(Transactions[[Transaction name]:[Parent code]],_xlfn.XMATCH(Transactions[[#This Row],[L4N]],Transactions[Transaction name],0),3),Transactions[Transaction code],0),2),Transactions[[#This Row],[L4N]])</f>
        <v>Transformation</v>
      </c>
      <c r="AP282" s="24" t="str" cm="1">
        <f t="array" ref="AP282">IFERROR(INDEX(Transactions[[Transaction code]:[Transaction name]],_xlfn.XMATCH(INDEX(Transactions[[Transaction name]:[Parent code]],_xlfn.XMATCH(Transactions[[#This Row],[L5N]],Transactions[Transaction name],0),3),Transactions[Transaction code],0),2),Transactions[[#This Row],[L5N]])</f>
        <v>Transformation</v>
      </c>
      <c r="AQ282" s="24" t="str" cm="1">
        <f t="array" ref="AQ282">IFERROR(INDEX(Transactions[[Transaction code]:[Transaction name]],_xlfn.XMATCH(INDEX(Transactions[[Transaction name]:[Parent code]],_xlfn.XMATCH(Transactions[[#This Row],[L6N]],Transactions[Transaction name],0),3),Transactions[Transaction code],0),2),Transactions[[#This Row],[L6N]])</f>
        <v>Transformation</v>
      </c>
      <c r="AR282" s="28" t="str">
        <f>IF(Transactions[[#This Row],[L7N]]=Transactions[[#This Row],[L6N]],Transactions[[#This Row],[L7N]],IF(Transactions[[#This Row],[L6N]]=Transactions[[#This Row],[L5N]],Transactions[[#This Row],[L6N]],IF(Transactions[[#This Row],[L5N]]=Transactions[[#This Row],[L4N]],Transactions[[#This Row],[L5N]],IF(Transactions[[#This Row],[L4N]]=Transactions[[#This Row],[L3N]],Transactions[[#This Row],[L4N]],IF(Transactions[[#This Row],[L3N]]=Transactions[[#This Row],[L2N]],Transactions[[#This Row],[L3N]],IF(Transactions[[#This Row],[L2N]]=Transactions[[#This Row],[L1N]],Transactions[[#This Row],[L2N]],IF(Transactions[[#This Row],[L1N]]=Transactions[[#This Row],[Transaction name]],Transactions[[#This Row],[L1N]],Transactions[[#This Row],[Transaction name]])))))))</f>
        <v>Transformation</v>
      </c>
      <c r="AS282" s="24" t="str">
        <f>IF(Transactions[[#This Row],[Level 0]]=Transactions[[#This Row],[Transaction name]],Transactions[[#This Row],[Transaction name]],IF(Transactions[[#This Row],[Level 0]]=Transactions[[#This Row],[L1N]],Transactions[[#This Row],[Transaction name]],IF(Transactions[[#This Row],[Level 0]]=Transactions[[#This Row],[L2N]],Transactions[[#This Row],[L1N]],IF(Transactions[[#This Row],[Level 0]]=Transactions[[#This Row],[L3N]],Transactions[[#This Row],[L2N]],IF(Transactions[[#This Row],[Level 0]]=Transactions[[#This Row],[L4N]],Transactions[[#This Row],[L3N]],IF(Transactions[[#This Row],[Level 0]]=Transactions[[#This Row],[L5N]],Transactions[[#This Row],[L4N]],IF(Transactions[[#This Row],[Level 0]]=Transactions[[#This Row],[L6N]],Transactions[[#This Row],[L5N]],IF(Transactions[[#This Row],[Level 0]]=Transactions[[#This Row],[L7N]],Transactions[[#This Row],[L6N]],Transactions[[#This Row],[L7N]]))))))))</f>
        <v>Electricity, CHP and heat plants (T)</v>
      </c>
      <c r="AT282" s="24" t="str">
        <f>IF(Transactions[[#This Row],[Level 1]]=Transactions[[#This Row],[Transaction name]],Transactions[[#This Row],[Transaction name]],IF(Transactions[[#This Row],[Level 1]]=Transactions[[#This Row],[L1N]],Transactions[[#This Row],[Transaction name]],IF(Transactions[[#This Row],[Level 1]]=Transactions[[#This Row],[L2N]],Transactions[[#This Row],[L1N]],IF(Transactions[[#This Row],[Level 1]]=Transactions[[#This Row],[L3N]],Transactions[[#This Row],[L2N]],IF(Transactions[[#This Row],[Level 1]]=Transactions[[#This Row],[L4N]],Transactions[[#This Row],[L3N]],IF(Transactions[[#This Row],[Level 1]]=Transactions[[#This Row],[L5N]],Transactions[[#This Row],[L4N]],IF(Transactions[[#This Row],[Level 1]]=Transactions[[#This Row],[L6N]],Transactions[[#This Row],[L5N]],IF(Transactions[[#This Row],[Level 1]]=Transactions[[#This Row],[L7N]],Transactions[[#This Row],[L6N]],Transactions[[#This Row],[L7N]]))))))))</f>
        <v>CHP plants</v>
      </c>
      <c r="AU282" s="24" t="str">
        <f>IF(Transactions[[#This Row],[Level 2]]=Transactions[[#This Row],[Transaction name]],Transactions[[#This Row],[Transaction name]],IF(Transactions[[#This Row],[Level 2]]=Transactions[[#This Row],[L1N]],Transactions[[#This Row],[Transaction name]],IF(Transactions[[#This Row],[Level 2]]=Transactions[[#This Row],[L2N]],Transactions[[#This Row],[L1N]],IF(Transactions[[#This Row],[Level 2]]=Transactions[[#This Row],[L3N]],Transactions[[#This Row],[L2N]],IF(Transactions[[#This Row],[Level 2]]=Transactions[[#This Row],[L4N]],Transactions[[#This Row],[L3N]],IF(Transactions[[#This Row],[Level 2]]=Transactions[[#This Row],[L5N]],Transactions[[#This Row],[L4N]],IF(Transactions[[#This Row],[Level 2]]=Transactions[[#This Row],[L6N]],Transactions[[#This Row],[L5N]],IF(Transactions[[#This Row],[Level 2]]=Transactions[[#This Row],[L7N]],Transactions[[#This Row],[L6N]],Transactions[[#This Row],[L7N]]))))))))</f>
        <v>CHP plants - municipal solid waste</v>
      </c>
      <c r="AV282" s="24" t="str">
        <f>IF(Transactions[[#This Row],[Level 3]]=Transactions[[#This Row],[Transaction name]],Transactions[[#This Row],[Transaction name]],IF(Transactions[[#This Row],[Level 3]]=Transactions[[#This Row],[L1N]],Transactions[[#This Row],[Transaction name]],IF(Transactions[[#This Row],[Level 3]]=Transactions[[#This Row],[L2N]],Transactions[[#This Row],[L1N]],IF(Transactions[[#This Row],[Level 3]]=Transactions[[#This Row],[L3N]],Transactions[[#This Row],[L2N]],IF(Transactions[[#This Row],[Level 3]]=Transactions[[#This Row],[L4N]],Transactions[[#This Row],[L3N]],IF(Transactions[[#This Row],[Level 3]]=Transactions[[#This Row],[L5N]],Transactions[[#This Row],[L4N]],IF(Transactions[[#This Row],[Level 3]]=Transactions[[#This Row],[L6N]],Transactions[[#This Row],[L5N]],IF(Transactions[[#This Row],[Level 3]]=Transactions[[#This Row],[L7N]],Transactions[[#This Row],[L6N]],Transactions[[#This Row],[L7N]]))))))))</f>
        <v>CHP plants - Main activity - municipal solid waste</v>
      </c>
      <c r="AW282" s="24" t="str">
        <f>IF(Transactions[[#This Row],[Level 4]]=Transactions[[#This Row],[Transaction name]],Transactions[[#This Row],[Transaction name]],IF(Transactions[[#This Row],[Level 4]]=Transactions[[#This Row],[L1N]],Transactions[[#This Row],[Transaction name]],IF(Transactions[[#This Row],[Level 4]]=Transactions[[#This Row],[L2N]],Transactions[[#This Row],[L1N]],IF(Transactions[[#This Row],[Level 4]]=Transactions[[#This Row],[L3N]],Transactions[[#This Row],[L2N]],IF(Transactions[[#This Row],[Level 4]]=Transactions[[#This Row],[L4N]],Transactions[[#This Row],[L3N]],IF(Transactions[[#This Row],[Level 4]]=Transactions[[#This Row],[L5N]],Transactions[[#This Row],[L4N]],IF(Transactions[[#This Row],[Level 4]]=Transactions[[#This Row],[L6N]],Transactions[[#This Row],[L5N]],IF(Transactions[[#This Row],[Level 4]]=Transactions[[#This Row],[L7N]],Transactions[[#This Row],[L6N]],Transactions[[#This Row],[L7N]]))))))))</f>
        <v>CHP plants - Main activity - municipal solid waste</v>
      </c>
      <c r="AX282" s="24" t="str">
        <f>IF(Transactions[[#This Row],[Level 5]]=Transactions[[#This Row],[Transaction name]],Transactions[[#This Row],[Transaction name]],IF(Transactions[[#This Row],[Level 5]]=Transactions[[#This Row],[L1N]],Transactions[[#This Row],[Transaction name]],IF(Transactions[[#This Row],[Level 5]]=Transactions[[#This Row],[L2N]],Transactions[[#This Row],[L1N]],IF(Transactions[[#This Row],[Level 5]]=Transactions[[#This Row],[L3N]],Transactions[[#This Row],[L2N]],IF(Transactions[[#This Row],[Level 5]]=Transactions[[#This Row],[L4N]],Transactions[[#This Row],[L3N]],IF(Transactions[[#This Row],[Level 5]]=Transactions[[#This Row],[L5N]],Transactions[[#This Row],[L4N]],IF(Transactions[[#This Row],[Level 5]]=Transactions[[#This Row],[L6N]],Transactions[[#This Row],[L5N]],IF(Transactions[[#This Row],[Level 5]]=Transactions[[#This Row],[L7N]],Transactions[[#This Row],[L6N]],Transactions[[#This Row],[L7N]]))))))))</f>
        <v>CHP plants - Main activity - municipal solid waste</v>
      </c>
      <c r="AY282" s="24" t="str">
        <f>IF(Transactions[[#This Row],[Level 6]]=Transactions[[#This Row],[Transaction name]],Transactions[[#This Row],[Transaction name]],IF(Transactions[[#This Row],[Level 6]]=Transactions[[#This Row],[L1N]],Transactions[[#This Row],[Transaction name]],IF(Transactions[[#This Row],[Level 6]]=Transactions[[#This Row],[L2N]],Transactions[[#This Row],[L1N]],IF(Transactions[[#This Row],[Level 6]]=Transactions[[#This Row],[L3N]],Transactions[[#This Row],[L2N]],IF(Transactions[[#This Row],[Level 6]]=Transactions[[#This Row],[L4N]],Transactions[[#This Row],[L3N]],IF(Transactions[[#This Row],[Level 6]]=Transactions[[#This Row],[L5N]],Transactions[[#This Row],[L4N]],IF(Transactions[[#This Row],[Level 6]]=Transactions[[#This Row],[L6N]],Transactions[[#This Row],[L5N]],IF(Transactions[[#This Row],[Level 6]]=Transactions[[#This Row],[L7N]],Transactions[[#This Row],[L6N]],Transactions[[#This Row],[L7N]]))))))))</f>
        <v>CHP plants - Main activity - municipal solid waste</v>
      </c>
      <c r="BE282" s="26" t="str">
        <f>_xlfn.XLOOKUP(Transformation[[#This Row],[cfrom]],Commodities[Commodity],Commodities[Commodity code])</f>
        <v>8000</v>
      </c>
      <c r="BF282" s="26" t="str">
        <f>_xlfn.XLOOKUP(Transformation[[#This Row],[tfrom]],Transactions[Transaction name],Transactions[Transaction code])</f>
        <v>015HH</v>
      </c>
      <c r="BG282" s="26" t="str">
        <f>_xlfn.XLOOKUP(Transformation[[#This Row],[cto]],Commodities[Commodity],Commodities[Commodity code])</f>
        <v>8000</v>
      </c>
      <c r="BH282" s="26" t="str">
        <f>_xlfn.XLOOKUP(Transformation[[#This Row],[tto]],Transactions[Transaction name],Transactions[Transaction code])</f>
        <v>01</v>
      </c>
      <c r="BI282" s="31">
        <v>1</v>
      </c>
      <c r="BJ282" s="22" t="s">
        <v>262</v>
      </c>
      <c r="BK282" s="26" t="str">
        <f>_xlfn.XLOOKUP(Transformation[[#This Row],[Commodity from]],Commodities[Commodity code],Commodities[EnergyCode])</f>
        <v>ST</v>
      </c>
      <c r="BL282" s="22" t="s">
        <v>1668</v>
      </c>
      <c r="BM282" s="22" t="s">
        <v>262</v>
      </c>
      <c r="BN282" s="26" t="str">
        <f>_xlfn.XLOOKUP(Transformation[[#This Row],[Commodity to]],Commodities[Commodity code],Commodities[EnergyCode])</f>
        <v>ST</v>
      </c>
      <c r="BO282" s="22" t="s">
        <v>383</v>
      </c>
      <c r="BP282" s="22" t="s">
        <v>1673</v>
      </c>
      <c r="BQ282" s="33" t="str">
        <f>Transformation[[#This Row],[Commodity from]]&amp;Transformation[[#This Row],[Transaction from]]&amp;Transformation[[#This Row],[Commodity to]]&amp;Transformation[[#This Row],[Transaction to]]</f>
        <v>8000015HH800001</v>
      </c>
      <c r="BR282" s="26" t="str">
        <f>Transformation[[#This Row],[crfomid]]&amp;Transformation[[#This Row],[Transaction from]]&amp;"("&amp;Transformation[[#This Row],[Multiplier]]&amp;") -&gt; "&amp;Transformation[[#This Row],[ctoid]]&amp;Transformation[[#This Row],[Transaction to]]</f>
        <v>ST015HH(1) -&gt; ST01</v>
      </c>
    </row>
    <row r="283" spans="25:70" x14ac:dyDescent="0.45">
      <c r="Y283" s="19" t="s">
        <v>1622</v>
      </c>
      <c r="Z283" s="18" t="s">
        <v>1367</v>
      </c>
      <c r="AA283" s="18" t="s">
        <v>1367</v>
      </c>
      <c r="AB283" s="19" t="s">
        <v>1627</v>
      </c>
      <c r="AC283" s="26" t="str">
        <f>IFERROR(VLOOKUP(Transactions[[#This Row],[Parent code]],Transactions[[Transaction code]:[Transaction name]],2,0),"")</f>
        <v>CHP plants</v>
      </c>
      <c r="AD283" s="18" t="s">
        <v>189</v>
      </c>
      <c r="AE283" s="18" t="s">
        <v>922</v>
      </c>
      <c r="AF283" s="18" t="s">
        <v>642</v>
      </c>
      <c r="AG283" s="18" t="s">
        <v>1</v>
      </c>
      <c r="AH283" s="18" t="s">
        <v>696</v>
      </c>
      <c r="AI283" s="18" t="s">
        <v>1416</v>
      </c>
      <c r="AJ283" s="18"/>
      <c r="AK283" s="26" t="str" cm="1">
        <f t="array" ref="AK283">IFERROR(INDEX(Transactions[[Transaction code]:[Transaction name]],_xlfn.XMATCH(Transactions[[#This Row],[Parent code]],Transactions[Transaction name],0),3),Transactions[[#This Row],[Transaction name]])</f>
        <v>CHP plants - municipal solid waste</v>
      </c>
      <c r="AL283" s="26" t="str" cm="1">
        <f t="array" ref="AL283">IFERROR(INDEX(Transactions[[Transaction code]:[Transaction name]],_xlfn.XMATCH(INDEX(Transactions[[Transaction name]:[Parent code]],_xlfn.XMATCH(Transactions[[#This Row],[L1N]],Transactions[Transaction name],0),3),Transactions[Transaction code],0),2),Transactions[[#This Row],[L1N]])</f>
        <v>CHP plants</v>
      </c>
      <c r="AM283" s="26" t="str" cm="1">
        <f t="array" ref="AM283">IFERROR(INDEX(Transactions[[Transaction code]:[Transaction name]],_xlfn.XMATCH(INDEX(Transactions[[Transaction name]:[Parent code]],_xlfn.XMATCH(Transactions[[#This Row],[L2N]],Transactions[Transaction name],0),3),Transactions[Transaction code],0),2),Transactions[[#This Row],[L2N]])</f>
        <v>Electricity, CHP and heat plants (T)</v>
      </c>
      <c r="AN283" s="26" t="str" cm="1">
        <f t="array" ref="AN283">IFERROR(INDEX(Transactions[[Transaction code]:[Transaction name]],_xlfn.XMATCH(INDEX(Transactions[[Transaction name]:[Parent code]],_xlfn.XMATCH(Transactions[[#This Row],[L3N]],Transactions[Transaction name],0),3),Transactions[Transaction code],0),2),Transactions[[#This Row],[L3N]])</f>
        <v>Transformation</v>
      </c>
      <c r="AO283" s="26" t="str" cm="1">
        <f t="array" ref="AO283">IFERROR(INDEX(Transactions[[Transaction code]:[Transaction name]],_xlfn.XMATCH(INDEX(Transactions[[Transaction name]:[Parent code]],_xlfn.XMATCH(Transactions[[#This Row],[L4N]],Transactions[Transaction name],0),3),Transactions[Transaction code],0),2),Transactions[[#This Row],[L4N]])</f>
        <v>Transformation</v>
      </c>
      <c r="AP283" s="26" t="str" cm="1">
        <f t="array" ref="AP283">IFERROR(INDEX(Transactions[[Transaction code]:[Transaction name]],_xlfn.XMATCH(INDEX(Transactions[[Transaction name]:[Parent code]],_xlfn.XMATCH(Transactions[[#This Row],[L5N]],Transactions[Transaction name],0),3),Transactions[Transaction code],0),2),Transactions[[#This Row],[L5N]])</f>
        <v>Transformation</v>
      </c>
      <c r="AQ283" s="26" t="str" cm="1">
        <f t="array" ref="AQ283">IFERROR(INDEX(Transactions[[Transaction code]:[Transaction name]],_xlfn.XMATCH(INDEX(Transactions[[Transaction name]:[Parent code]],_xlfn.XMATCH(Transactions[[#This Row],[L6N]],Transactions[Transaction name],0),3),Transactions[Transaction code],0),2),Transactions[[#This Row],[L6N]])</f>
        <v>Transformation</v>
      </c>
      <c r="AR283" s="29" t="str">
        <f>IF(Transactions[[#This Row],[L7N]]=Transactions[[#This Row],[L6N]],Transactions[[#This Row],[L7N]],IF(Transactions[[#This Row],[L6N]]=Transactions[[#This Row],[L5N]],Transactions[[#This Row],[L6N]],IF(Transactions[[#This Row],[L5N]]=Transactions[[#This Row],[L4N]],Transactions[[#This Row],[L5N]],IF(Transactions[[#This Row],[L4N]]=Transactions[[#This Row],[L3N]],Transactions[[#This Row],[L4N]],IF(Transactions[[#This Row],[L3N]]=Transactions[[#This Row],[L2N]],Transactions[[#This Row],[L3N]],IF(Transactions[[#This Row],[L2N]]=Transactions[[#This Row],[L1N]],Transactions[[#This Row],[L2N]],IF(Transactions[[#This Row],[L1N]]=Transactions[[#This Row],[Transaction name]],Transactions[[#This Row],[L1N]],Transactions[[#This Row],[Transaction name]])))))))</f>
        <v>Transformation</v>
      </c>
      <c r="AS283" s="26" t="str">
        <f>IF(Transactions[[#This Row],[Level 0]]=Transactions[[#This Row],[Transaction name]],Transactions[[#This Row],[Transaction name]],IF(Transactions[[#This Row],[Level 0]]=Transactions[[#This Row],[L1N]],Transactions[[#This Row],[Transaction name]],IF(Transactions[[#This Row],[Level 0]]=Transactions[[#This Row],[L2N]],Transactions[[#This Row],[L1N]],IF(Transactions[[#This Row],[Level 0]]=Transactions[[#This Row],[L3N]],Transactions[[#This Row],[L2N]],IF(Transactions[[#This Row],[Level 0]]=Transactions[[#This Row],[L4N]],Transactions[[#This Row],[L3N]],IF(Transactions[[#This Row],[Level 0]]=Transactions[[#This Row],[L5N]],Transactions[[#This Row],[L4N]],IF(Transactions[[#This Row],[Level 0]]=Transactions[[#This Row],[L6N]],Transactions[[#This Row],[L5N]],IF(Transactions[[#This Row],[Level 0]]=Transactions[[#This Row],[L7N]],Transactions[[#This Row],[L6N]],Transactions[[#This Row],[L7N]]))))))))</f>
        <v>Electricity, CHP and heat plants (T)</v>
      </c>
      <c r="AT283" s="26" t="str">
        <f>IF(Transactions[[#This Row],[Level 1]]=Transactions[[#This Row],[Transaction name]],Transactions[[#This Row],[Transaction name]],IF(Transactions[[#This Row],[Level 1]]=Transactions[[#This Row],[L1N]],Transactions[[#This Row],[Transaction name]],IF(Transactions[[#This Row],[Level 1]]=Transactions[[#This Row],[L2N]],Transactions[[#This Row],[L1N]],IF(Transactions[[#This Row],[Level 1]]=Transactions[[#This Row],[L3N]],Transactions[[#This Row],[L2N]],IF(Transactions[[#This Row],[Level 1]]=Transactions[[#This Row],[L4N]],Transactions[[#This Row],[L3N]],IF(Transactions[[#This Row],[Level 1]]=Transactions[[#This Row],[L5N]],Transactions[[#This Row],[L4N]],IF(Transactions[[#This Row],[Level 1]]=Transactions[[#This Row],[L6N]],Transactions[[#This Row],[L5N]],IF(Transactions[[#This Row],[Level 1]]=Transactions[[#This Row],[L7N]],Transactions[[#This Row],[L6N]],Transactions[[#This Row],[L7N]]))))))))</f>
        <v>CHP plants</v>
      </c>
      <c r="AU283" s="26" t="str">
        <f>IF(Transactions[[#This Row],[Level 2]]=Transactions[[#This Row],[Transaction name]],Transactions[[#This Row],[Transaction name]],IF(Transactions[[#This Row],[Level 2]]=Transactions[[#This Row],[L1N]],Transactions[[#This Row],[Transaction name]],IF(Transactions[[#This Row],[Level 2]]=Transactions[[#This Row],[L2N]],Transactions[[#This Row],[L1N]],IF(Transactions[[#This Row],[Level 2]]=Transactions[[#This Row],[L3N]],Transactions[[#This Row],[L2N]],IF(Transactions[[#This Row],[Level 2]]=Transactions[[#This Row],[L4N]],Transactions[[#This Row],[L3N]],IF(Transactions[[#This Row],[Level 2]]=Transactions[[#This Row],[L5N]],Transactions[[#This Row],[L4N]],IF(Transactions[[#This Row],[Level 2]]=Transactions[[#This Row],[L6N]],Transactions[[#This Row],[L5N]],IF(Transactions[[#This Row],[Level 2]]=Transactions[[#This Row],[L7N]],Transactions[[#This Row],[L6N]],Transactions[[#This Row],[L7N]]))))))))</f>
        <v>CHP plants - municipal solid waste</v>
      </c>
      <c r="AV283" s="26" t="str">
        <f>IF(Transactions[[#This Row],[Level 3]]=Transactions[[#This Row],[Transaction name]],Transactions[[#This Row],[Transaction name]],IF(Transactions[[#This Row],[Level 3]]=Transactions[[#This Row],[L1N]],Transactions[[#This Row],[Transaction name]],IF(Transactions[[#This Row],[Level 3]]=Transactions[[#This Row],[L2N]],Transactions[[#This Row],[L1N]],IF(Transactions[[#This Row],[Level 3]]=Transactions[[#This Row],[L3N]],Transactions[[#This Row],[L2N]],IF(Transactions[[#This Row],[Level 3]]=Transactions[[#This Row],[L4N]],Transactions[[#This Row],[L3N]],IF(Transactions[[#This Row],[Level 3]]=Transactions[[#This Row],[L5N]],Transactions[[#This Row],[L4N]],IF(Transactions[[#This Row],[Level 3]]=Transactions[[#This Row],[L6N]],Transactions[[#This Row],[L5N]],IF(Transactions[[#This Row],[Level 3]]=Transactions[[#This Row],[L7N]],Transactions[[#This Row],[L6N]],Transactions[[#This Row],[L7N]]))))))))</f>
        <v>CHP plants - municipal solid waste</v>
      </c>
      <c r="AW283" s="26" t="str">
        <f>IF(Transactions[[#This Row],[Level 4]]=Transactions[[#This Row],[Transaction name]],Transactions[[#This Row],[Transaction name]],IF(Transactions[[#This Row],[Level 4]]=Transactions[[#This Row],[L1N]],Transactions[[#This Row],[Transaction name]],IF(Transactions[[#This Row],[Level 4]]=Transactions[[#This Row],[L2N]],Transactions[[#This Row],[L1N]],IF(Transactions[[#This Row],[Level 4]]=Transactions[[#This Row],[L3N]],Transactions[[#This Row],[L2N]],IF(Transactions[[#This Row],[Level 4]]=Transactions[[#This Row],[L4N]],Transactions[[#This Row],[L3N]],IF(Transactions[[#This Row],[Level 4]]=Transactions[[#This Row],[L5N]],Transactions[[#This Row],[L4N]],IF(Transactions[[#This Row],[Level 4]]=Transactions[[#This Row],[L6N]],Transactions[[#This Row],[L5N]],IF(Transactions[[#This Row],[Level 4]]=Transactions[[#This Row],[L7N]],Transactions[[#This Row],[L6N]],Transactions[[#This Row],[L7N]]))))))))</f>
        <v>CHP plants - municipal solid waste</v>
      </c>
      <c r="AX283" s="26" t="str">
        <f>IF(Transactions[[#This Row],[Level 5]]=Transactions[[#This Row],[Transaction name]],Transactions[[#This Row],[Transaction name]],IF(Transactions[[#This Row],[Level 5]]=Transactions[[#This Row],[L1N]],Transactions[[#This Row],[Transaction name]],IF(Transactions[[#This Row],[Level 5]]=Transactions[[#This Row],[L2N]],Transactions[[#This Row],[L1N]],IF(Transactions[[#This Row],[Level 5]]=Transactions[[#This Row],[L3N]],Transactions[[#This Row],[L2N]],IF(Transactions[[#This Row],[Level 5]]=Transactions[[#This Row],[L4N]],Transactions[[#This Row],[L3N]],IF(Transactions[[#This Row],[Level 5]]=Transactions[[#This Row],[L5N]],Transactions[[#This Row],[L4N]],IF(Transactions[[#This Row],[Level 5]]=Transactions[[#This Row],[L6N]],Transactions[[#This Row],[L5N]],IF(Transactions[[#This Row],[Level 5]]=Transactions[[#This Row],[L7N]],Transactions[[#This Row],[L6N]],Transactions[[#This Row],[L7N]]))))))))</f>
        <v>CHP plants - municipal solid waste</v>
      </c>
      <c r="AY283" s="26" t="str">
        <f>IF(Transactions[[#This Row],[Level 6]]=Transactions[[#This Row],[Transaction name]],Transactions[[#This Row],[Transaction name]],IF(Transactions[[#This Row],[Level 6]]=Transactions[[#This Row],[L1N]],Transactions[[#This Row],[Transaction name]],IF(Transactions[[#This Row],[Level 6]]=Transactions[[#This Row],[L2N]],Transactions[[#This Row],[L1N]],IF(Transactions[[#This Row],[Level 6]]=Transactions[[#This Row],[L3N]],Transactions[[#This Row],[L2N]],IF(Transactions[[#This Row],[Level 6]]=Transactions[[#This Row],[L4N]],Transactions[[#This Row],[L3N]],IF(Transactions[[#This Row],[Level 6]]=Transactions[[#This Row],[L5N]],Transactions[[#This Row],[L4N]],IF(Transactions[[#This Row],[Level 6]]=Transactions[[#This Row],[L6N]],Transactions[[#This Row],[L5N]],IF(Transactions[[#This Row],[Level 6]]=Transactions[[#This Row],[L7N]],Transactions[[#This Row],[L6N]],Transactions[[#This Row],[L7N]]))))))))</f>
        <v>CHP plants - municipal solid waste</v>
      </c>
      <c r="BE283" s="26" t="str">
        <f>_xlfn.XLOOKUP(Transformation[[#This Row],[cfrom]],Commodities[Commodity],Commodities[Commodity code])</f>
        <v>8000</v>
      </c>
      <c r="BF283" s="26" t="str">
        <f>_xlfn.XLOOKUP(Transformation[[#This Row],[tfrom]],Transactions[Transaction name],Transactions[Transaction code])</f>
        <v>015GH</v>
      </c>
      <c r="BG283" s="26" t="str">
        <f>_xlfn.XLOOKUP(Transformation[[#This Row],[cto]],Commodities[Commodity],Commodities[Commodity code])</f>
        <v>8000</v>
      </c>
      <c r="BH283" s="26" t="str">
        <f>_xlfn.XLOOKUP(Transformation[[#This Row],[tto]],Transactions[Transaction name],Transactions[Transaction code])</f>
        <v>01</v>
      </c>
      <c r="BI283" s="31">
        <v>2</v>
      </c>
      <c r="BJ283" s="22" t="s">
        <v>262</v>
      </c>
      <c r="BK283" s="26" t="str">
        <f>_xlfn.XLOOKUP(Transformation[[#This Row],[Commodity from]],Commodities[Commodity code],Commodities[EnergyCode])</f>
        <v>ST</v>
      </c>
      <c r="BL283" s="22" t="s">
        <v>673</v>
      </c>
      <c r="BM283" s="22" t="s">
        <v>262</v>
      </c>
      <c r="BN283" s="26" t="str">
        <f>_xlfn.XLOOKUP(Transformation[[#This Row],[Commodity to]],Commodities[Commodity code],Commodities[EnergyCode])</f>
        <v>ST</v>
      </c>
      <c r="BO283" s="22" t="s">
        <v>383</v>
      </c>
      <c r="BP283" s="22" t="s">
        <v>1670</v>
      </c>
      <c r="BQ283" s="33" t="str">
        <f>Transformation[[#This Row],[Commodity from]]&amp;Transformation[[#This Row],[Transaction from]]&amp;Transformation[[#This Row],[Commodity to]]&amp;Transformation[[#This Row],[Transaction to]]</f>
        <v>8000015GH800001</v>
      </c>
      <c r="BR283" s="26" t="str">
        <f>Transformation[[#This Row],[crfomid]]&amp;Transformation[[#This Row],[Transaction from]]&amp;"("&amp;Transformation[[#This Row],[Multiplier]]&amp;") -&gt; "&amp;Transformation[[#This Row],[ctoid]]&amp;Transformation[[#This Row],[Transaction to]]</f>
        <v>ST015GH(2) -&gt; ST01</v>
      </c>
    </row>
    <row r="284" spans="25:70" x14ac:dyDescent="0.45">
      <c r="Y284" s="5" t="s">
        <v>1288</v>
      </c>
      <c r="Z284" s="7" t="s">
        <v>1237</v>
      </c>
      <c r="AA284" s="4" t="s">
        <v>1403</v>
      </c>
      <c r="AB284" s="19" t="s">
        <v>1624</v>
      </c>
      <c r="AC284" s="24" t="str">
        <f>IFERROR(VLOOKUP(Transactions[[#This Row],[Parent code]],Transactions[[Transaction code]:[Transaction name]],2,0),"")</f>
        <v>CHP plants - natural gas</v>
      </c>
      <c r="AD284" s="4" t="s">
        <v>189</v>
      </c>
      <c r="AE284" s="4" t="s">
        <v>922</v>
      </c>
      <c r="AF284" s="4" t="s">
        <v>642</v>
      </c>
      <c r="AG284" s="4" t="s">
        <v>1</v>
      </c>
      <c r="AH284" s="4" t="s">
        <v>696</v>
      </c>
      <c r="AI284" s="12" t="s">
        <v>1416</v>
      </c>
      <c r="AK284" s="24" t="str" cm="1">
        <f t="array" ref="AK284">IFERROR(INDEX(Transactions[[Transaction code]:[Transaction name]],_xlfn.XMATCH(Transactions[[#This Row],[Parent code]],Transactions[Transaction name],0),3),Transactions[[#This Row],[Transaction name]])</f>
        <v>CHP plants - Autoproducer - natural gas</v>
      </c>
      <c r="AL284" s="24" t="str" cm="1">
        <f t="array" ref="AL284">IFERROR(INDEX(Transactions[[Transaction code]:[Transaction name]],_xlfn.XMATCH(INDEX(Transactions[[Transaction name]:[Parent code]],_xlfn.XMATCH(Transactions[[#This Row],[L1N]],Transactions[Transaction name],0),3),Transactions[Transaction code],0),2),Transactions[[#This Row],[L1N]])</f>
        <v>CHP plants - natural gas</v>
      </c>
      <c r="AM284" s="24" t="str" cm="1">
        <f t="array" ref="AM284">IFERROR(INDEX(Transactions[[Transaction code]:[Transaction name]],_xlfn.XMATCH(INDEX(Transactions[[Transaction name]:[Parent code]],_xlfn.XMATCH(Transactions[[#This Row],[L2N]],Transactions[Transaction name],0),3),Transactions[Transaction code],0),2),Transactions[[#This Row],[L2N]])</f>
        <v>CHP plants</v>
      </c>
      <c r="AN284" s="24" t="str" cm="1">
        <f t="array" ref="AN284">IFERROR(INDEX(Transactions[[Transaction code]:[Transaction name]],_xlfn.XMATCH(INDEX(Transactions[[Transaction name]:[Parent code]],_xlfn.XMATCH(Transactions[[#This Row],[L3N]],Transactions[Transaction name],0),3),Transactions[Transaction code],0),2),Transactions[[#This Row],[L3N]])</f>
        <v>Electricity, CHP and heat plants (T)</v>
      </c>
      <c r="AO284" s="24" t="str" cm="1">
        <f t="array" ref="AO284">IFERROR(INDEX(Transactions[[Transaction code]:[Transaction name]],_xlfn.XMATCH(INDEX(Transactions[[Transaction name]:[Parent code]],_xlfn.XMATCH(Transactions[[#This Row],[L4N]],Transactions[Transaction name],0),3),Transactions[Transaction code],0),2),Transactions[[#This Row],[L4N]])</f>
        <v>Transformation</v>
      </c>
      <c r="AP284" s="24" t="str" cm="1">
        <f t="array" ref="AP284">IFERROR(INDEX(Transactions[[Transaction code]:[Transaction name]],_xlfn.XMATCH(INDEX(Transactions[[Transaction name]:[Parent code]],_xlfn.XMATCH(Transactions[[#This Row],[L5N]],Transactions[Transaction name],0),3),Transactions[Transaction code],0),2),Transactions[[#This Row],[L5N]])</f>
        <v>Transformation</v>
      </c>
      <c r="AQ284" s="24" t="str" cm="1">
        <f t="array" ref="AQ284">IFERROR(INDEX(Transactions[[Transaction code]:[Transaction name]],_xlfn.XMATCH(INDEX(Transactions[[Transaction name]:[Parent code]],_xlfn.XMATCH(Transactions[[#This Row],[L6N]],Transactions[Transaction name],0),3),Transactions[Transaction code],0),2),Transactions[[#This Row],[L6N]])</f>
        <v>Transformation</v>
      </c>
      <c r="AR284" s="28" t="str">
        <f>IF(Transactions[[#This Row],[L7N]]=Transactions[[#This Row],[L6N]],Transactions[[#This Row],[L7N]],IF(Transactions[[#This Row],[L6N]]=Transactions[[#This Row],[L5N]],Transactions[[#This Row],[L6N]],IF(Transactions[[#This Row],[L5N]]=Transactions[[#This Row],[L4N]],Transactions[[#This Row],[L5N]],IF(Transactions[[#This Row],[L4N]]=Transactions[[#This Row],[L3N]],Transactions[[#This Row],[L4N]],IF(Transactions[[#This Row],[L3N]]=Transactions[[#This Row],[L2N]],Transactions[[#This Row],[L3N]],IF(Transactions[[#This Row],[L2N]]=Transactions[[#This Row],[L1N]],Transactions[[#This Row],[L2N]],IF(Transactions[[#This Row],[L1N]]=Transactions[[#This Row],[Transaction name]],Transactions[[#This Row],[L1N]],Transactions[[#This Row],[Transaction name]])))))))</f>
        <v>Transformation</v>
      </c>
      <c r="AS284" s="24" t="str">
        <f>IF(Transactions[[#This Row],[Level 0]]=Transactions[[#This Row],[Transaction name]],Transactions[[#This Row],[Transaction name]],IF(Transactions[[#This Row],[Level 0]]=Transactions[[#This Row],[L1N]],Transactions[[#This Row],[Transaction name]],IF(Transactions[[#This Row],[Level 0]]=Transactions[[#This Row],[L2N]],Transactions[[#This Row],[L1N]],IF(Transactions[[#This Row],[Level 0]]=Transactions[[#This Row],[L3N]],Transactions[[#This Row],[L2N]],IF(Transactions[[#This Row],[Level 0]]=Transactions[[#This Row],[L4N]],Transactions[[#This Row],[L3N]],IF(Transactions[[#This Row],[Level 0]]=Transactions[[#This Row],[L5N]],Transactions[[#This Row],[L4N]],IF(Transactions[[#This Row],[Level 0]]=Transactions[[#This Row],[L6N]],Transactions[[#This Row],[L5N]],IF(Transactions[[#This Row],[Level 0]]=Transactions[[#This Row],[L7N]],Transactions[[#This Row],[L6N]],Transactions[[#This Row],[L7N]]))))))))</f>
        <v>Electricity, CHP and heat plants (T)</v>
      </c>
      <c r="AT284" s="24" t="str">
        <f>IF(Transactions[[#This Row],[Level 1]]=Transactions[[#This Row],[Transaction name]],Transactions[[#This Row],[Transaction name]],IF(Transactions[[#This Row],[Level 1]]=Transactions[[#This Row],[L1N]],Transactions[[#This Row],[Transaction name]],IF(Transactions[[#This Row],[Level 1]]=Transactions[[#This Row],[L2N]],Transactions[[#This Row],[L1N]],IF(Transactions[[#This Row],[Level 1]]=Transactions[[#This Row],[L3N]],Transactions[[#This Row],[L2N]],IF(Transactions[[#This Row],[Level 1]]=Transactions[[#This Row],[L4N]],Transactions[[#This Row],[L3N]],IF(Transactions[[#This Row],[Level 1]]=Transactions[[#This Row],[L5N]],Transactions[[#This Row],[L4N]],IF(Transactions[[#This Row],[Level 1]]=Transactions[[#This Row],[L6N]],Transactions[[#This Row],[L5N]],IF(Transactions[[#This Row],[Level 1]]=Transactions[[#This Row],[L7N]],Transactions[[#This Row],[L6N]],Transactions[[#This Row],[L7N]]))))))))</f>
        <v>CHP plants</v>
      </c>
      <c r="AU284" s="24" t="str">
        <f>IF(Transactions[[#This Row],[Level 2]]=Transactions[[#This Row],[Transaction name]],Transactions[[#This Row],[Transaction name]],IF(Transactions[[#This Row],[Level 2]]=Transactions[[#This Row],[L1N]],Transactions[[#This Row],[Transaction name]],IF(Transactions[[#This Row],[Level 2]]=Transactions[[#This Row],[L2N]],Transactions[[#This Row],[L1N]],IF(Transactions[[#This Row],[Level 2]]=Transactions[[#This Row],[L3N]],Transactions[[#This Row],[L2N]],IF(Transactions[[#This Row],[Level 2]]=Transactions[[#This Row],[L4N]],Transactions[[#This Row],[L3N]],IF(Transactions[[#This Row],[Level 2]]=Transactions[[#This Row],[L5N]],Transactions[[#This Row],[L4N]],IF(Transactions[[#This Row],[Level 2]]=Transactions[[#This Row],[L6N]],Transactions[[#This Row],[L5N]],IF(Transactions[[#This Row],[Level 2]]=Transactions[[#This Row],[L7N]],Transactions[[#This Row],[L6N]],Transactions[[#This Row],[L7N]]))))))))</f>
        <v>CHP plants - natural gas</v>
      </c>
      <c r="AV284" s="24" t="str">
        <f>IF(Transactions[[#This Row],[Level 3]]=Transactions[[#This Row],[Transaction name]],Transactions[[#This Row],[Transaction name]],IF(Transactions[[#This Row],[Level 3]]=Transactions[[#This Row],[L1N]],Transactions[[#This Row],[Transaction name]],IF(Transactions[[#This Row],[Level 3]]=Transactions[[#This Row],[L2N]],Transactions[[#This Row],[L1N]],IF(Transactions[[#This Row],[Level 3]]=Transactions[[#This Row],[L3N]],Transactions[[#This Row],[L2N]],IF(Transactions[[#This Row],[Level 3]]=Transactions[[#This Row],[L4N]],Transactions[[#This Row],[L3N]],IF(Transactions[[#This Row],[Level 3]]=Transactions[[#This Row],[L5N]],Transactions[[#This Row],[L4N]],IF(Transactions[[#This Row],[Level 3]]=Transactions[[#This Row],[L6N]],Transactions[[#This Row],[L5N]],IF(Transactions[[#This Row],[Level 3]]=Transactions[[#This Row],[L7N]],Transactions[[#This Row],[L6N]],Transactions[[#This Row],[L7N]]))))))))</f>
        <v>CHP plants - Autoproducer - natural gas</v>
      </c>
      <c r="AW284" s="24" t="str">
        <f>IF(Transactions[[#This Row],[Level 4]]=Transactions[[#This Row],[Transaction name]],Transactions[[#This Row],[Transaction name]],IF(Transactions[[#This Row],[Level 4]]=Transactions[[#This Row],[L1N]],Transactions[[#This Row],[Transaction name]],IF(Transactions[[#This Row],[Level 4]]=Transactions[[#This Row],[L2N]],Transactions[[#This Row],[L1N]],IF(Transactions[[#This Row],[Level 4]]=Transactions[[#This Row],[L3N]],Transactions[[#This Row],[L2N]],IF(Transactions[[#This Row],[Level 4]]=Transactions[[#This Row],[L4N]],Transactions[[#This Row],[L3N]],IF(Transactions[[#This Row],[Level 4]]=Transactions[[#This Row],[L5N]],Transactions[[#This Row],[L4N]],IF(Transactions[[#This Row],[Level 4]]=Transactions[[#This Row],[L6N]],Transactions[[#This Row],[L5N]],IF(Transactions[[#This Row],[Level 4]]=Transactions[[#This Row],[L7N]],Transactions[[#This Row],[L6N]],Transactions[[#This Row],[L7N]]))))))))</f>
        <v>CHP plants - Autoproducer - natural gas</v>
      </c>
      <c r="AX284" s="24" t="str">
        <f>IF(Transactions[[#This Row],[Level 5]]=Transactions[[#This Row],[Transaction name]],Transactions[[#This Row],[Transaction name]],IF(Transactions[[#This Row],[Level 5]]=Transactions[[#This Row],[L1N]],Transactions[[#This Row],[Transaction name]],IF(Transactions[[#This Row],[Level 5]]=Transactions[[#This Row],[L2N]],Transactions[[#This Row],[L1N]],IF(Transactions[[#This Row],[Level 5]]=Transactions[[#This Row],[L3N]],Transactions[[#This Row],[L2N]],IF(Transactions[[#This Row],[Level 5]]=Transactions[[#This Row],[L4N]],Transactions[[#This Row],[L3N]],IF(Transactions[[#This Row],[Level 5]]=Transactions[[#This Row],[L5N]],Transactions[[#This Row],[L4N]],IF(Transactions[[#This Row],[Level 5]]=Transactions[[#This Row],[L6N]],Transactions[[#This Row],[L5N]],IF(Transactions[[#This Row],[Level 5]]=Transactions[[#This Row],[L7N]],Transactions[[#This Row],[L6N]],Transactions[[#This Row],[L7N]]))))))))</f>
        <v>CHP plants - Autoproducer - natural gas</v>
      </c>
      <c r="AY284" s="24" t="str">
        <f>IF(Transactions[[#This Row],[Level 6]]=Transactions[[#This Row],[Transaction name]],Transactions[[#This Row],[Transaction name]],IF(Transactions[[#This Row],[Level 6]]=Transactions[[#This Row],[L1N]],Transactions[[#This Row],[Transaction name]],IF(Transactions[[#This Row],[Level 6]]=Transactions[[#This Row],[L2N]],Transactions[[#This Row],[L1N]],IF(Transactions[[#This Row],[Level 6]]=Transactions[[#This Row],[L3N]],Transactions[[#This Row],[L2N]],IF(Transactions[[#This Row],[Level 6]]=Transactions[[#This Row],[L4N]],Transactions[[#This Row],[L3N]],IF(Transactions[[#This Row],[Level 6]]=Transactions[[#This Row],[L5N]],Transactions[[#This Row],[L4N]],IF(Transactions[[#This Row],[Level 6]]=Transactions[[#This Row],[L6N]],Transactions[[#This Row],[L5N]],IF(Transactions[[#This Row],[Level 6]]=Transactions[[#This Row],[L7N]],Transactions[[#This Row],[L6N]],Transactions[[#This Row],[L7N]]))))))))</f>
        <v>CHP plants - Autoproducer - natural gas</v>
      </c>
      <c r="BE284" s="26" t="str">
        <f>_xlfn.XLOOKUP(Transformation[[#This Row],[cfrom]],Commodities[Commodity],Commodities[Commodity code])</f>
        <v>8000</v>
      </c>
      <c r="BF284" s="26" t="str">
        <f>_xlfn.XLOOKUP(Transformation[[#This Row],[tfrom]],Transactions[Transaction name],Transactions[Transaction code])</f>
        <v>015NH</v>
      </c>
      <c r="BG284" s="26" t="str">
        <f>_xlfn.XLOOKUP(Transformation[[#This Row],[cto]],Commodities[Commodity],Commodities[Commodity code])</f>
        <v>9101</v>
      </c>
      <c r="BH284" s="26" t="str">
        <f>_xlfn.XLOOKUP(Transformation[[#This Row],[tto]],Transactions[Transaction name],Transactions[Transaction code])</f>
        <v>015NH</v>
      </c>
      <c r="BI284" s="11">
        <v>-1</v>
      </c>
      <c r="BJ284" s="4" t="s">
        <v>262</v>
      </c>
      <c r="BK284" s="24" t="str">
        <f>_xlfn.XLOOKUP(Transformation[[#This Row],[Commodity from]],Commodities[Commodity code],Commodities[EnergyCode])</f>
        <v>ST</v>
      </c>
      <c r="BL284" s="4" t="s">
        <v>674</v>
      </c>
      <c r="BM284" s="4" t="s">
        <v>256</v>
      </c>
      <c r="BN284" s="24" t="str">
        <f>_xlfn.XLOOKUP(Transformation[[#This Row],[Commodity to]],Commodities[Commodity code],Commodities[EnergyCode])</f>
        <v>EN</v>
      </c>
      <c r="BO284" s="4" t="s">
        <v>674</v>
      </c>
      <c r="BP284" s="16" t="s">
        <v>1493</v>
      </c>
      <c r="BQ284" s="33" t="str">
        <f>Transformation[[#This Row],[Commodity from]]&amp;Transformation[[#This Row],[Transaction from]]&amp;Transformation[[#This Row],[Commodity to]]&amp;Transformation[[#This Row],[Transaction to]]</f>
        <v>8000015NH9101015NH</v>
      </c>
      <c r="BR284" s="26" t="str">
        <f>Transformation[[#This Row],[crfomid]]&amp;Transformation[[#This Row],[Transaction from]]&amp;"("&amp;Transformation[[#This Row],[Multiplier]]&amp;") -&gt; "&amp;Transformation[[#This Row],[ctoid]]&amp;Transformation[[#This Row],[Transaction to]]</f>
        <v>ST015NH(-1) -&gt; EN015NH</v>
      </c>
    </row>
    <row r="285" spans="25:70" x14ac:dyDescent="0.45">
      <c r="Y285" s="5" t="s">
        <v>1284</v>
      </c>
      <c r="Z285" s="7" t="s">
        <v>1233</v>
      </c>
      <c r="AA285" s="4" t="s">
        <v>1403</v>
      </c>
      <c r="AB285" s="19" t="s">
        <v>1624</v>
      </c>
      <c r="AC285" s="24" t="str">
        <f>IFERROR(VLOOKUP(Transactions[[#This Row],[Parent code]],Transactions[[Transaction code]:[Transaction name]],2,0),"")</f>
        <v>CHP plants - natural gas</v>
      </c>
      <c r="AD285" s="4" t="s">
        <v>189</v>
      </c>
      <c r="AE285" s="4" t="s">
        <v>922</v>
      </c>
      <c r="AF285" s="4" t="s">
        <v>642</v>
      </c>
      <c r="AG285" s="4" t="s">
        <v>1</v>
      </c>
      <c r="AH285" s="4" t="s">
        <v>696</v>
      </c>
      <c r="AI285" s="12" t="s">
        <v>1416</v>
      </c>
      <c r="AK285" s="24" t="str" cm="1">
        <f t="array" ref="AK285">IFERROR(INDEX(Transactions[[Transaction code]:[Transaction name]],_xlfn.XMATCH(Transactions[[#This Row],[Parent code]],Transactions[Transaction name],0),3),Transactions[[#This Row],[Transaction name]])</f>
        <v>CHP plants - Main activity - natural gas</v>
      </c>
      <c r="AL285" s="24" t="str" cm="1">
        <f t="array" ref="AL285">IFERROR(INDEX(Transactions[[Transaction code]:[Transaction name]],_xlfn.XMATCH(INDEX(Transactions[[Transaction name]:[Parent code]],_xlfn.XMATCH(Transactions[[#This Row],[L1N]],Transactions[Transaction name],0),3),Transactions[Transaction code],0),2),Transactions[[#This Row],[L1N]])</f>
        <v>CHP plants - natural gas</v>
      </c>
      <c r="AM285" s="24" t="str" cm="1">
        <f t="array" ref="AM285">IFERROR(INDEX(Transactions[[Transaction code]:[Transaction name]],_xlfn.XMATCH(INDEX(Transactions[[Transaction name]:[Parent code]],_xlfn.XMATCH(Transactions[[#This Row],[L2N]],Transactions[Transaction name],0),3),Transactions[Transaction code],0),2),Transactions[[#This Row],[L2N]])</f>
        <v>CHP plants</v>
      </c>
      <c r="AN285" s="24" t="str" cm="1">
        <f t="array" ref="AN285">IFERROR(INDEX(Transactions[[Transaction code]:[Transaction name]],_xlfn.XMATCH(INDEX(Transactions[[Transaction name]:[Parent code]],_xlfn.XMATCH(Transactions[[#This Row],[L3N]],Transactions[Transaction name],0),3),Transactions[Transaction code],0),2),Transactions[[#This Row],[L3N]])</f>
        <v>Electricity, CHP and heat plants (T)</v>
      </c>
      <c r="AO285" s="24" t="str" cm="1">
        <f t="array" ref="AO285">IFERROR(INDEX(Transactions[[Transaction code]:[Transaction name]],_xlfn.XMATCH(INDEX(Transactions[[Transaction name]:[Parent code]],_xlfn.XMATCH(Transactions[[#This Row],[L4N]],Transactions[Transaction name],0),3),Transactions[Transaction code],0),2),Transactions[[#This Row],[L4N]])</f>
        <v>Transformation</v>
      </c>
      <c r="AP285" s="24" t="str" cm="1">
        <f t="array" ref="AP285">IFERROR(INDEX(Transactions[[Transaction code]:[Transaction name]],_xlfn.XMATCH(INDEX(Transactions[[Transaction name]:[Parent code]],_xlfn.XMATCH(Transactions[[#This Row],[L5N]],Transactions[Transaction name],0),3),Transactions[Transaction code],0),2),Transactions[[#This Row],[L5N]])</f>
        <v>Transformation</v>
      </c>
      <c r="AQ285" s="24" t="str" cm="1">
        <f t="array" ref="AQ285">IFERROR(INDEX(Transactions[[Transaction code]:[Transaction name]],_xlfn.XMATCH(INDEX(Transactions[[Transaction name]:[Parent code]],_xlfn.XMATCH(Transactions[[#This Row],[L6N]],Transactions[Transaction name],0),3),Transactions[Transaction code],0),2),Transactions[[#This Row],[L6N]])</f>
        <v>Transformation</v>
      </c>
      <c r="AR285" s="28" t="str">
        <f>IF(Transactions[[#This Row],[L7N]]=Transactions[[#This Row],[L6N]],Transactions[[#This Row],[L7N]],IF(Transactions[[#This Row],[L6N]]=Transactions[[#This Row],[L5N]],Transactions[[#This Row],[L6N]],IF(Transactions[[#This Row],[L5N]]=Transactions[[#This Row],[L4N]],Transactions[[#This Row],[L5N]],IF(Transactions[[#This Row],[L4N]]=Transactions[[#This Row],[L3N]],Transactions[[#This Row],[L4N]],IF(Transactions[[#This Row],[L3N]]=Transactions[[#This Row],[L2N]],Transactions[[#This Row],[L3N]],IF(Transactions[[#This Row],[L2N]]=Transactions[[#This Row],[L1N]],Transactions[[#This Row],[L2N]],IF(Transactions[[#This Row],[L1N]]=Transactions[[#This Row],[Transaction name]],Transactions[[#This Row],[L1N]],Transactions[[#This Row],[Transaction name]])))))))</f>
        <v>Transformation</v>
      </c>
      <c r="AS285" s="24" t="str">
        <f>IF(Transactions[[#This Row],[Level 0]]=Transactions[[#This Row],[Transaction name]],Transactions[[#This Row],[Transaction name]],IF(Transactions[[#This Row],[Level 0]]=Transactions[[#This Row],[L1N]],Transactions[[#This Row],[Transaction name]],IF(Transactions[[#This Row],[Level 0]]=Transactions[[#This Row],[L2N]],Transactions[[#This Row],[L1N]],IF(Transactions[[#This Row],[Level 0]]=Transactions[[#This Row],[L3N]],Transactions[[#This Row],[L2N]],IF(Transactions[[#This Row],[Level 0]]=Transactions[[#This Row],[L4N]],Transactions[[#This Row],[L3N]],IF(Transactions[[#This Row],[Level 0]]=Transactions[[#This Row],[L5N]],Transactions[[#This Row],[L4N]],IF(Transactions[[#This Row],[Level 0]]=Transactions[[#This Row],[L6N]],Transactions[[#This Row],[L5N]],IF(Transactions[[#This Row],[Level 0]]=Transactions[[#This Row],[L7N]],Transactions[[#This Row],[L6N]],Transactions[[#This Row],[L7N]]))))))))</f>
        <v>Electricity, CHP and heat plants (T)</v>
      </c>
      <c r="AT285" s="24" t="str">
        <f>IF(Transactions[[#This Row],[Level 1]]=Transactions[[#This Row],[Transaction name]],Transactions[[#This Row],[Transaction name]],IF(Transactions[[#This Row],[Level 1]]=Transactions[[#This Row],[L1N]],Transactions[[#This Row],[Transaction name]],IF(Transactions[[#This Row],[Level 1]]=Transactions[[#This Row],[L2N]],Transactions[[#This Row],[L1N]],IF(Transactions[[#This Row],[Level 1]]=Transactions[[#This Row],[L3N]],Transactions[[#This Row],[L2N]],IF(Transactions[[#This Row],[Level 1]]=Transactions[[#This Row],[L4N]],Transactions[[#This Row],[L3N]],IF(Transactions[[#This Row],[Level 1]]=Transactions[[#This Row],[L5N]],Transactions[[#This Row],[L4N]],IF(Transactions[[#This Row],[Level 1]]=Transactions[[#This Row],[L6N]],Transactions[[#This Row],[L5N]],IF(Transactions[[#This Row],[Level 1]]=Transactions[[#This Row],[L7N]],Transactions[[#This Row],[L6N]],Transactions[[#This Row],[L7N]]))))))))</f>
        <v>CHP plants</v>
      </c>
      <c r="AU285" s="24" t="str">
        <f>IF(Transactions[[#This Row],[Level 2]]=Transactions[[#This Row],[Transaction name]],Transactions[[#This Row],[Transaction name]],IF(Transactions[[#This Row],[Level 2]]=Transactions[[#This Row],[L1N]],Transactions[[#This Row],[Transaction name]],IF(Transactions[[#This Row],[Level 2]]=Transactions[[#This Row],[L2N]],Transactions[[#This Row],[L1N]],IF(Transactions[[#This Row],[Level 2]]=Transactions[[#This Row],[L3N]],Transactions[[#This Row],[L2N]],IF(Transactions[[#This Row],[Level 2]]=Transactions[[#This Row],[L4N]],Transactions[[#This Row],[L3N]],IF(Transactions[[#This Row],[Level 2]]=Transactions[[#This Row],[L5N]],Transactions[[#This Row],[L4N]],IF(Transactions[[#This Row],[Level 2]]=Transactions[[#This Row],[L6N]],Transactions[[#This Row],[L5N]],IF(Transactions[[#This Row],[Level 2]]=Transactions[[#This Row],[L7N]],Transactions[[#This Row],[L6N]],Transactions[[#This Row],[L7N]]))))))))</f>
        <v>CHP plants - natural gas</v>
      </c>
      <c r="AV285" s="24" t="str">
        <f>IF(Transactions[[#This Row],[Level 3]]=Transactions[[#This Row],[Transaction name]],Transactions[[#This Row],[Transaction name]],IF(Transactions[[#This Row],[Level 3]]=Transactions[[#This Row],[L1N]],Transactions[[#This Row],[Transaction name]],IF(Transactions[[#This Row],[Level 3]]=Transactions[[#This Row],[L2N]],Transactions[[#This Row],[L1N]],IF(Transactions[[#This Row],[Level 3]]=Transactions[[#This Row],[L3N]],Transactions[[#This Row],[L2N]],IF(Transactions[[#This Row],[Level 3]]=Transactions[[#This Row],[L4N]],Transactions[[#This Row],[L3N]],IF(Transactions[[#This Row],[Level 3]]=Transactions[[#This Row],[L5N]],Transactions[[#This Row],[L4N]],IF(Transactions[[#This Row],[Level 3]]=Transactions[[#This Row],[L6N]],Transactions[[#This Row],[L5N]],IF(Transactions[[#This Row],[Level 3]]=Transactions[[#This Row],[L7N]],Transactions[[#This Row],[L6N]],Transactions[[#This Row],[L7N]]))))))))</f>
        <v>CHP plants - Main activity - natural gas</v>
      </c>
      <c r="AW285" s="24" t="str">
        <f>IF(Transactions[[#This Row],[Level 4]]=Transactions[[#This Row],[Transaction name]],Transactions[[#This Row],[Transaction name]],IF(Transactions[[#This Row],[Level 4]]=Transactions[[#This Row],[L1N]],Transactions[[#This Row],[Transaction name]],IF(Transactions[[#This Row],[Level 4]]=Transactions[[#This Row],[L2N]],Transactions[[#This Row],[L1N]],IF(Transactions[[#This Row],[Level 4]]=Transactions[[#This Row],[L3N]],Transactions[[#This Row],[L2N]],IF(Transactions[[#This Row],[Level 4]]=Transactions[[#This Row],[L4N]],Transactions[[#This Row],[L3N]],IF(Transactions[[#This Row],[Level 4]]=Transactions[[#This Row],[L5N]],Transactions[[#This Row],[L4N]],IF(Transactions[[#This Row],[Level 4]]=Transactions[[#This Row],[L6N]],Transactions[[#This Row],[L5N]],IF(Transactions[[#This Row],[Level 4]]=Transactions[[#This Row],[L7N]],Transactions[[#This Row],[L6N]],Transactions[[#This Row],[L7N]]))))))))</f>
        <v>CHP plants - Main activity - natural gas</v>
      </c>
      <c r="AX285" s="24" t="str">
        <f>IF(Transactions[[#This Row],[Level 5]]=Transactions[[#This Row],[Transaction name]],Transactions[[#This Row],[Transaction name]],IF(Transactions[[#This Row],[Level 5]]=Transactions[[#This Row],[L1N]],Transactions[[#This Row],[Transaction name]],IF(Transactions[[#This Row],[Level 5]]=Transactions[[#This Row],[L2N]],Transactions[[#This Row],[L1N]],IF(Transactions[[#This Row],[Level 5]]=Transactions[[#This Row],[L3N]],Transactions[[#This Row],[L2N]],IF(Transactions[[#This Row],[Level 5]]=Transactions[[#This Row],[L4N]],Transactions[[#This Row],[L3N]],IF(Transactions[[#This Row],[Level 5]]=Transactions[[#This Row],[L5N]],Transactions[[#This Row],[L4N]],IF(Transactions[[#This Row],[Level 5]]=Transactions[[#This Row],[L6N]],Transactions[[#This Row],[L5N]],IF(Transactions[[#This Row],[Level 5]]=Transactions[[#This Row],[L7N]],Transactions[[#This Row],[L6N]],Transactions[[#This Row],[L7N]]))))))))</f>
        <v>CHP plants - Main activity - natural gas</v>
      </c>
      <c r="AY285" s="24" t="str">
        <f>IF(Transactions[[#This Row],[Level 6]]=Transactions[[#This Row],[Transaction name]],Transactions[[#This Row],[Transaction name]],IF(Transactions[[#This Row],[Level 6]]=Transactions[[#This Row],[L1N]],Transactions[[#This Row],[Transaction name]],IF(Transactions[[#This Row],[Level 6]]=Transactions[[#This Row],[L2N]],Transactions[[#This Row],[L1N]],IF(Transactions[[#This Row],[Level 6]]=Transactions[[#This Row],[L3N]],Transactions[[#This Row],[L2N]],IF(Transactions[[#This Row],[Level 6]]=Transactions[[#This Row],[L4N]],Transactions[[#This Row],[L3N]],IF(Transactions[[#This Row],[Level 6]]=Transactions[[#This Row],[L5N]],Transactions[[#This Row],[L4N]],IF(Transactions[[#This Row],[Level 6]]=Transactions[[#This Row],[L6N]],Transactions[[#This Row],[L5N]],IF(Transactions[[#This Row],[Level 6]]=Transactions[[#This Row],[L7N]],Transactions[[#This Row],[L6N]],Transactions[[#This Row],[L7N]]))))))))</f>
        <v>CHP plants - Main activity - natural gas</v>
      </c>
      <c r="BE285" s="26" t="str">
        <f>_xlfn.XLOOKUP(Transformation[[#This Row],[cfrom]],Commodities[Commodity],Commodities[Commodity code])</f>
        <v>8000</v>
      </c>
      <c r="BF285" s="26" t="str">
        <f>_xlfn.XLOOKUP(Transformation[[#This Row],[tfrom]],Transactions[Transaction name],Transactions[Transaction code])</f>
        <v>015NH</v>
      </c>
      <c r="BG285" s="26" t="str">
        <f>_xlfn.XLOOKUP(Transformation[[#This Row],[cto]],Commodities[Commodity],Commodities[Commodity code])</f>
        <v>9101</v>
      </c>
      <c r="BH285" s="26" t="str">
        <f>_xlfn.XLOOKUP(Transformation[[#This Row],[tto]],Transactions[Transaction name],Transactions[Transaction code])</f>
        <v>01</v>
      </c>
      <c r="BI285" s="31">
        <v>1</v>
      </c>
      <c r="BJ285" s="22" t="s">
        <v>262</v>
      </c>
      <c r="BK285" s="26" t="str">
        <f>_xlfn.XLOOKUP(Transformation[[#This Row],[Commodity from]],Commodities[Commodity code],Commodities[EnergyCode])</f>
        <v>ST</v>
      </c>
      <c r="BL285" s="4" t="s">
        <v>674</v>
      </c>
      <c r="BM285" s="22" t="s">
        <v>256</v>
      </c>
      <c r="BN285" s="26" t="str">
        <f>_xlfn.XLOOKUP(Transformation[[#This Row],[Commodity to]],Commodities[Commodity code],Commodities[EnergyCode])</f>
        <v>EN</v>
      </c>
      <c r="BO285" s="22" t="s">
        <v>383</v>
      </c>
      <c r="BP285" s="22" t="s">
        <v>1551</v>
      </c>
      <c r="BQ285" s="33" t="str">
        <f>Transformation[[#This Row],[Commodity from]]&amp;Transformation[[#This Row],[Transaction from]]&amp;Transformation[[#This Row],[Commodity to]]&amp;Transformation[[#This Row],[Transaction to]]</f>
        <v>8000015NH910101</v>
      </c>
      <c r="BR285" s="26" t="str">
        <f>Transformation[[#This Row],[crfomid]]&amp;Transformation[[#This Row],[Transaction from]]&amp;"("&amp;Transformation[[#This Row],[Multiplier]]&amp;") -&gt; "&amp;Transformation[[#This Row],[ctoid]]&amp;Transformation[[#This Row],[Transaction to]]</f>
        <v>ST015NH(1) -&gt; EN01</v>
      </c>
    </row>
    <row r="286" spans="25:70" x14ac:dyDescent="0.45">
      <c r="Y286" s="19" t="s">
        <v>1624</v>
      </c>
      <c r="Z286" s="18" t="s">
        <v>1403</v>
      </c>
      <c r="AA286" s="18" t="s">
        <v>1403</v>
      </c>
      <c r="AB286" s="19" t="s">
        <v>1627</v>
      </c>
      <c r="AC286" s="26" t="str">
        <f>IFERROR(VLOOKUP(Transactions[[#This Row],[Parent code]],Transactions[[Transaction code]:[Transaction name]],2,0),"")</f>
        <v>CHP plants</v>
      </c>
      <c r="AD286" s="18" t="s">
        <v>189</v>
      </c>
      <c r="AE286" s="18" t="s">
        <v>922</v>
      </c>
      <c r="AF286" s="18" t="s">
        <v>642</v>
      </c>
      <c r="AG286" s="18" t="s">
        <v>1</v>
      </c>
      <c r="AH286" s="18" t="s">
        <v>696</v>
      </c>
      <c r="AI286" s="18" t="s">
        <v>1416</v>
      </c>
      <c r="AJ286" s="18"/>
      <c r="AK286" s="26" t="str" cm="1">
        <f t="array" ref="AK286">IFERROR(INDEX(Transactions[[Transaction code]:[Transaction name]],_xlfn.XMATCH(Transactions[[#This Row],[Parent code]],Transactions[Transaction name],0),3),Transactions[[#This Row],[Transaction name]])</f>
        <v>CHP plants - natural gas</v>
      </c>
      <c r="AL286" s="26" t="str" cm="1">
        <f t="array" ref="AL286">IFERROR(INDEX(Transactions[[Transaction code]:[Transaction name]],_xlfn.XMATCH(INDEX(Transactions[[Transaction name]:[Parent code]],_xlfn.XMATCH(Transactions[[#This Row],[L1N]],Transactions[Transaction name],0),3),Transactions[Transaction code],0),2),Transactions[[#This Row],[L1N]])</f>
        <v>CHP plants</v>
      </c>
      <c r="AM286" s="26" t="str" cm="1">
        <f t="array" ref="AM286">IFERROR(INDEX(Transactions[[Transaction code]:[Transaction name]],_xlfn.XMATCH(INDEX(Transactions[[Transaction name]:[Parent code]],_xlfn.XMATCH(Transactions[[#This Row],[L2N]],Transactions[Transaction name],0),3),Transactions[Transaction code],0),2),Transactions[[#This Row],[L2N]])</f>
        <v>Electricity, CHP and heat plants (T)</v>
      </c>
      <c r="AN286" s="26" t="str" cm="1">
        <f t="array" ref="AN286">IFERROR(INDEX(Transactions[[Transaction code]:[Transaction name]],_xlfn.XMATCH(INDEX(Transactions[[Transaction name]:[Parent code]],_xlfn.XMATCH(Transactions[[#This Row],[L3N]],Transactions[Transaction name],0),3),Transactions[Transaction code],0),2),Transactions[[#This Row],[L3N]])</f>
        <v>Transformation</v>
      </c>
      <c r="AO286" s="26" t="str" cm="1">
        <f t="array" ref="AO286">IFERROR(INDEX(Transactions[[Transaction code]:[Transaction name]],_xlfn.XMATCH(INDEX(Transactions[[Transaction name]:[Parent code]],_xlfn.XMATCH(Transactions[[#This Row],[L4N]],Transactions[Transaction name],0),3),Transactions[Transaction code],0),2),Transactions[[#This Row],[L4N]])</f>
        <v>Transformation</v>
      </c>
      <c r="AP286" s="26" t="str" cm="1">
        <f t="array" ref="AP286">IFERROR(INDEX(Transactions[[Transaction code]:[Transaction name]],_xlfn.XMATCH(INDEX(Transactions[[Transaction name]:[Parent code]],_xlfn.XMATCH(Transactions[[#This Row],[L5N]],Transactions[Transaction name],0),3),Transactions[Transaction code],0),2),Transactions[[#This Row],[L5N]])</f>
        <v>Transformation</v>
      </c>
      <c r="AQ286" s="26" t="str" cm="1">
        <f t="array" ref="AQ286">IFERROR(INDEX(Transactions[[Transaction code]:[Transaction name]],_xlfn.XMATCH(INDEX(Transactions[[Transaction name]:[Parent code]],_xlfn.XMATCH(Transactions[[#This Row],[L6N]],Transactions[Transaction name],0),3),Transactions[Transaction code],0),2),Transactions[[#This Row],[L6N]])</f>
        <v>Transformation</v>
      </c>
      <c r="AR286" s="29" t="str">
        <f>IF(Transactions[[#This Row],[L7N]]=Transactions[[#This Row],[L6N]],Transactions[[#This Row],[L7N]],IF(Transactions[[#This Row],[L6N]]=Transactions[[#This Row],[L5N]],Transactions[[#This Row],[L6N]],IF(Transactions[[#This Row],[L5N]]=Transactions[[#This Row],[L4N]],Transactions[[#This Row],[L5N]],IF(Transactions[[#This Row],[L4N]]=Transactions[[#This Row],[L3N]],Transactions[[#This Row],[L4N]],IF(Transactions[[#This Row],[L3N]]=Transactions[[#This Row],[L2N]],Transactions[[#This Row],[L3N]],IF(Transactions[[#This Row],[L2N]]=Transactions[[#This Row],[L1N]],Transactions[[#This Row],[L2N]],IF(Transactions[[#This Row],[L1N]]=Transactions[[#This Row],[Transaction name]],Transactions[[#This Row],[L1N]],Transactions[[#This Row],[Transaction name]])))))))</f>
        <v>Transformation</v>
      </c>
      <c r="AS286" s="26" t="str">
        <f>IF(Transactions[[#This Row],[Level 0]]=Transactions[[#This Row],[Transaction name]],Transactions[[#This Row],[Transaction name]],IF(Transactions[[#This Row],[Level 0]]=Transactions[[#This Row],[L1N]],Transactions[[#This Row],[Transaction name]],IF(Transactions[[#This Row],[Level 0]]=Transactions[[#This Row],[L2N]],Transactions[[#This Row],[L1N]],IF(Transactions[[#This Row],[Level 0]]=Transactions[[#This Row],[L3N]],Transactions[[#This Row],[L2N]],IF(Transactions[[#This Row],[Level 0]]=Transactions[[#This Row],[L4N]],Transactions[[#This Row],[L3N]],IF(Transactions[[#This Row],[Level 0]]=Transactions[[#This Row],[L5N]],Transactions[[#This Row],[L4N]],IF(Transactions[[#This Row],[Level 0]]=Transactions[[#This Row],[L6N]],Transactions[[#This Row],[L5N]],IF(Transactions[[#This Row],[Level 0]]=Transactions[[#This Row],[L7N]],Transactions[[#This Row],[L6N]],Transactions[[#This Row],[L7N]]))))))))</f>
        <v>Electricity, CHP and heat plants (T)</v>
      </c>
      <c r="AT286" s="26" t="str">
        <f>IF(Transactions[[#This Row],[Level 1]]=Transactions[[#This Row],[Transaction name]],Transactions[[#This Row],[Transaction name]],IF(Transactions[[#This Row],[Level 1]]=Transactions[[#This Row],[L1N]],Transactions[[#This Row],[Transaction name]],IF(Transactions[[#This Row],[Level 1]]=Transactions[[#This Row],[L2N]],Transactions[[#This Row],[L1N]],IF(Transactions[[#This Row],[Level 1]]=Transactions[[#This Row],[L3N]],Transactions[[#This Row],[L2N]],IF(Transactions[[#This Row],[Level 1]]=Transactions[[#This Row],[L4N]],Transactions[[#This Row],[L3N]],IF(Transactions[[#This Row],[Level 1]]=Transactions[[#This Row],[L5N]],Transactions[[#This Row],[L4N]],IF(Transactions[[#This Row],[Level 1]]=Transactions[[#This Row],[L6N]],Transactions[[#This Row],[L5N]],IF(Transactions[[#This Row],[Level 1]]=Transactions[[#This Row],[L7N]],Transactions[[#This Row],[L6N]],Transactions[[#This Row],[L7N]]))))))))</f>
        <v>CHP plants</v>
      </c>
      <c r="AU286" s="26" t="str">
        <f>IF(Transactions[[#This Row],[Level 2]]=Transactions[[#This Row],[Transaction name]],Transactions[[#This Row],[Transaction name]],IF(Transactions[[#This Row],[Level 2]]=Transactions[[#This Row],[L1N]],Transactions[[#This Row],[Transaction name]],IF(Transactions[[#This Row],[Level 2]]=Transactions[[#This Row],[L2N]],Transactions[[#This Row],[L1N]],IF(Transactions[[#This Row],[Level 2]]=Transactions[[#This Row],[L3N]],Transactions[[#This Row],[L2N]],IF(Transactions[[#This Row],[Level 2]]=Transactions[[#This Row],[L4N]],Transactions[[#This Row],[L3N]],IF(Transactions[[#This Row],[Level 2]]=Transactions[[#This Row],[L5N]],Transactions[[#This Row],[L4N]],IF(Transactions[[#This Row],[Level 2]]=Transactions[[#This Row],[L6N]],Transactions[[#This Row],[L5N]],IF(Transactions[[#This Row],[Level 2]]=Transactions[[#This Row],[L7N]],Transactions[[#This Row],[L6N]],Transactions[[#This Row],[L7N]]))))))))</f>
        <v>CHP plants - natural gas</v>
      </c>
      <c r="AV286" s="26" t="str">
        <f>IF(Transactions[[#This Row],[Level 3]]=Transactions[[#This Row],[Transaction name]],Transactions[[#This Row],[Transaction name]],IF(Transactions[[#This Row],[Level 3]]=Transactions[[#This Row],[L1N]],Transactions[[#This Row],[Transaction name]],IF(Transactions[[#This Row],[Level 3]]=Transactions[[#This Row],[L2N]],Transactions[[#This Row],[L1N]],IF(Transactions[[#This Row],[Level 3]]=Transactions[[#This Row],[L3N]],Transactions[[#This Row],[L2N]],IF(Transactions[[#This Row],[Level 3]]=Transactions[[#This Row],[L4N]],Transactions[[#This Row],[L3N]],IF(Transactions[[#This Row],[Level 3]]=Transactions[[#This Row],[L5N]],Transactions[[#This Row],[L4N]],IF(Transactions[[#This Row],[Level 3]]=Transactions[[#This Row],[L6N]],Transactions[[#This Row],[L5N]],IF(Transactions[[#This Row],[Level 3]]=Transactions[[#This Row],[L7N]],Transactions[[#This Row],[L6N]],Transactions[[#This Row],[L7N]]))))))))</f>
        <v>CHP plants - natural gas</v>
      </c>
      <c r="AW286" s="26" t="str">
        <f>IF(Transactions[[#This Row],[Level 4]]=Transactions[[#This Row],[Transaction name]],Transactions[[#This Row],[Transaction name]],IF(Transactions[[#This Row],[Level 4]]=Transactions[[#This Row],[L1N]],Transactions[[#This Row],[Transaction name]],IF(Transactions[[#This Row],[Level 4]]=Transactions[[#This Row],[L2N]],Transactions[[#This Row],[L1N]],IF(Transactions[[#This Row],[Level 4]]=Transactions[[#This Row],[L3N]],Transactions[[#This Row],[L2N]],IF(Transactions[[#This Row],[Level 4]]=Transactions[[#This Row],[L4N]],Transactions[[#This Row],[L3N]],IF(Transactions[[#This Row],[Level 4]]=Transactions[[#This Row],[L5N]],Transactions[[#This Row],[L4N]],IF(Transactions[[#This Row],[Level 4]]=Transactions[[#This Row],[L6N]],Transactions[[#This Row],[L5N]],IF(Transactions[[#This Row],[Level 4]]=Transactions[[#This Row],[L7N]],Transactions[[#This Row],[L6N]],Transactions[[#This Row],[L7N]]))))))))</f>
        <v>CHP plants - natural gas</v>
      </c>
      <c r="AX286" s="26" t="str">
        <f>IF(Transactions[[#This Row],[Level 5]]=Transactions[[#This Row],[Transaction name]],Transactions[[#This Row],[Transaction name]],IF(Transactions[[#This Row],[Level 5]]=Transactions[[#This Row],[L1N]],Transactions[[#This Row],[Transaction name]],IF(Transactions[[#This Row],[Level 5]]=Transactions[[#This Row],[L2N]],Transactions[[#This Row],[L1N]],IF(Transactions[[#This Row],[Level 5]]=Transactions[[#This Row],[L3N]],Transactions[[#This Row],[L2N]],IF(Transactions[[#This Row],[Level 5]]=Transactions[[#This Row],[L4N]],Transactions[[#This Row],[L3N]],IF(Transactions[[#This Row],[Level 5]]=Transactions[[#This Row],[L5N]],Transactions[[#This Row],[L4N]],IF(Transactions[[#This Row],[Level 5]]=Transactions[[#This Row],[L6N]],Transactions[[#This Row],[L5N]],IF(Transactions[[#This Row],[Level 5]]=Transactions[[#This Row],[L7N]],Transactions[[#This Row],[L6N]],Transactions[[#This Row],[L7N]]))))))))</f>
        <v>CHP plants - natural gas</v>
      </c>
      <c r="AY286" s="26" t="str">
        <f>IF(Transactions[[#This Row],[Level 6]]=Transactions[[#This Row],[Transaction name]],Transactions[[#This Row],[Transaction name]],IF(Transactions[[#This Row],[Level 6]]=Transactions[[#This Row],[L1N]],Transactions[[#This Row],[Transaction name]],IF(Transactions[[#This Row],[Level 6]]=Transactions[[#This Row],[L2N]],Transactions[[#This Row],[L1N]],IF(Transactions[[#This Row],[Level 6]]=Transactions[[#This Row],[L3N]],Transactions[[#This Row],[L2N]],IF(Transactions[[#This Row],[Level 6]]=Transactions[[#This Row],[L4N]],Transactions[[#This Row],[L3N]],IF(Transactions[[#This Row],[Level 6]]=Transactions[[#This Row],[L5N]],Transactions[[#This Row],[L4N]],IF(Transactions[[#This Row],[Level 6]]=Transactions[[#This Row],[L6N]],Transactions[[#This Row],[L5N]],IF(Transactions[[#This Row],[Level 6]]=Transactions[[#This Row],[L7N]],Transactions[[#This Row],[L6N]],Transactions[[#This Row],[L7N]]))))))))</f>
        <v>CHP plants - natural gas</v>
      </c>
      <c r="BE286" s="26" t="str">
        <f>_xlfn.XLOOKUP(Transformation[[#This Row],[cfrom]],Commodities[Commodity],Commodities[Commodity code])</f>
        <v>8000</v>
      </c>
      <c r="BF286" s="26" t="str">
        <f>_xlfn.XLOOKUP(Transformation[[#This Row],[tfrom]],Transactions[Transaction name],Transactions[Transaction code])</f>
        <v>015STH</v>
      </c>
      <c r="BG286" s="26" t="str">
        <f>_xlfn.XLOOKUP(Transformation[[#This Row],[cto]],Commodities[Commodity],Commodities[Commodity code])</f>
        <v>8000</v>
      </c>
      <c r="BH286" s="26" t="str">
        <f>_xlfn.XLOOKUP(Transformation[[#This Row],[tto]],Transactions[Transaction name],Transactions[Transaction code])</f>
        <v>01</v>
      </c>
      <c r="BI286" s="31">
        <v>1</v>
      </c>
      <c r="BJ286" s="22" t="s">
        <v>262</v>
      </c>
      <c r="BK286" s="26" t="str">
        <f>_xlfn.XLOOKUP(Transformation[[#This Row],[Commodity from]],Commodities[Commodity code],Commodities[EnergyCode])</f>
        <v>ST</v>
      </c>
      <c r="BL286" s="22" t="s">
        <v>1300</v>
      </c>
      <c r="BM286" s="22" t="s">
        <v>262</v>
      </c>
      <c r="BN286" s="26" t="str">
        <f>_xlfn.XLOOKUP(Transformation[[#This Row],[Commodity to]],Commodities[Commodity code],Commodities[EnergyCode])</f>
        <v>ST</v>
      </c>
      <c r="BO286" s="22" t="s">
        <v>383</v>
      </c>
      <c r="BP286" s="22" t="s">
        <v>1672</v>
      </c>
      <c r="BQ286" s="33" t="str">
        <f>Transformation[[#This Row],[Commodity from]]&amp;Transformation[[#This Row],[Transaction from]]&amp;Transformation[[#This Row],[Commodity to]]&amp;Transformation[[#This Row],[Transaction to]]</f>
        <v>8000015STH800001</v>
      </c>
      <c r="BR286" s="26" t="str">
        <f>Transformation[[#This Row],[crfomid]]&amp;Transformation[[#This Row],[Transaction from]]&amp;"("&amp;Transformation[[#This Row],[Multiplier]]&amp;") -&gt; "&amp;Transformation[[#This Row],[ctoid]]&amp;Transformation[[#This Row],[Transaction to]]</f>
        <v>ST015STH(1) -&gt; ST01</v>
      </c>
    </row>
    <row r="287" spans="25:70" x14ac:dyDescent="0.45">
      <c r="Y287" s="5" t="s">
        <v>243</v>
      </c>
      <c r="Z287" s="7" t="s">
        <v>656</v>
      </c>
      <c r="AA287" s="4" t="s">
        <v>1321</v>
      </c>
      <c r="AB287" s="19" t="s">
        <v>1623</v>
      </c>
      <c r="AC287" s="24" t="str">
        <f>IFERROR(VLOOKUP(Transactions[[#This Row],[Parent code]],Transactions[[Transaction code]:[Transaction name]],2,0),"")</f>
        <v>CHP plants - Nuclear</v>
      </c>
      <c r="AD287" s="4" t="s">
        <v>189</v>
      </c>
      <c r="AE287" s="4" t="s">
        <v>922</v>
      </c>
      <c r="AF287" s="4" t="s">
        <v>642</v>
      </c>
      <c r="AG287" s="4" t="s">
        <v>1</v>
      </c>
      <c r="AH287" s="4" t="s">
        <v>696</v>
      </c>
      <c r="AK287" s="24" t="str" cm="1">
        <f t="array" ref="AK287">IFERROR(INDEX(Transactions[[Transaction code]:[Transaction name]],_xlfn.XMATCH(Transactions[[#This Row],[Parent code]],Transactions[Transaction name],0),3),Transactions[[#This Row],[Transaction name]])</f>
        <v>CHP plants - Autoproducer - Nuclear</v>
      </c>
      <c r="AL287" s="24" t="str" cm="1">
        <f t="array" ref="AL287">IFERROR(INDEX(Transactions[[Transaction code]:[Transaction name]],_xlfn.XMATCH(INDEX(Transactions[[Transaction name]:[Parent code]],_xlfn.XMATCH(Transactions[[#This Row],[L1N]],Transactions[Transaction name],0),3),Transactions[Transaction code],0),2),Transactions[[#This Row],[L1N]])</f>
        <v>CHP plants - Nuclear</v>
      </c>
      <c r="AM287" s="24" t="str" cm="1">
        <f t="array" ref="AM287">IFERROR(INDEX(Transactions[[Transaction code]:[Transaction name]],_xlfn.XMATCH(INDEX(Transactions[[Transaction name]:[Parent code]],_xlfn.XMATCH(Transactions[[#This Row],[L2N]],Transactions[Transaction name],0),3),Transactions[Transaction code],0),2),Transactions[[#This Row],[L2N]])</f>
        <v>CHP plants</v>
      </c>
      <c r="AN287" s="24" t="str" cm="1">
        <f t="array" ref="AN287">IFERROR(INDEX(Transactions[[Transaction code]:[Transaction name]],_xlfn.XMATCH(INDEX(Transactions[[Transaction name]:[Parent code]],_xlfn.XMATCH(Transactions[[#This Row],[L3N]],Transactions[Transaction name],0),3),Transactions[Transaction code],0),2),Transactions[[#This Row],[L3N]])</f>
        <v>Electricity, CHP and heat plants (T)</v>
      </c>
      <c r="AO287" s="24" t="str" cm="1">
        <f t="array" ref="AO287">IFERROR(INDEX(Transactions[[Transaction code]:[Transaction name]],_xlfn.XMATCH(INDEX(Transactions[[Transaction name]:[Parent code]],_xlfn.XMATCH(Transactions[[#This Row],[L4N]],Transactions[Transaction name],0),3),Transactions[Transaction code],0),2),Transactions[[#This Row],[L4N]])</f>
        <v>Transformation</v>
      </c>
      <c r="AP287" s="24" t="str" cm="1">
        <f t="array" ref="AP287">IFERROR(INDEX(Transactions[[Transaction code]:[Transaction name]],_xlfn.XMATCH(INDEX(Transactions[[Transaction name]:[Parent code]],_xlfn.XMATCH(Transactions[[#This Row],[L5N]],Transactions[Transaction name],0),3),Transactions[Transaction code],0),2),Transactions[[#This Row],[L5N]])</f>
        <v>Transformation</v>
      </c>
      <c r="AQ287" s="24" t="str" cm="1">
        <f t="array" ref="AQ287">IFERROR(INDEX(Transactions[[Transaction code]:[Transaction name]],_xlfn.XMATCH(INDEX(Transactions[[Transaction name]:[Parent code]],_xlfn.XMATCH(Transactions[[#This Row],[L6N]],Transactions[Transaction name],0),3),Transactions[Transaction code],0),2),Transactions[[#This Row],[L6N]])</f>
        <v>Transformation</v>
      </c>
      <c r="AR287" s="28" t="str">
        <f>IF(Transactions[[#This Row],[L7N]]=Transactions[[#This Row],[L6N]],Transactions[[#This Row],[L7N]],IF(Transactions[[#This Row],[L6N]]=Transactions[[#This Row],[L5N]],Transactions[[#This Row],[L6N]],IF(Transactions[[#This Row],[L5N]]=Transactions[[#This Row],[L4N]],Transactions[[#This Row],[L5N]],IF(Transactions[[#This Row],[L4N]]=Transactions[[#This Row],[L3N]],Transactions[[#This Row],[L4N]],IF(Transactions[[#This Row],[L3N]]=Transactions[[#This Row],[L2N]],Transactions[[#This Row],[L3N]],IF(Transactions[[#This Row],[L2N]]=Transactions[[#This Row],[L1N]],Transactions[[#This Row],[L2N]],IF(Transactions[[#This Row],[L1N]]=Transactions[[#This Row],[Transaction name]],Transactions[[#This Row],[L1N]],Transactions[[#This Row],[Transaction name]])))))))</f>
        <v>Transformation</v>
      </c>
      <c r="AS287" s="24" t="str">
        <f>IF(Transactions[[#This Row],[Level 0]]=Transactions[[#This Row],[Transaction name]],Transactions[[#This Row],[Transaction name]],IF(Transactions[[#This Row],[Level 0]]=Transactions[[#This Row],[L1N]],Transactions[[#This Row],[Transaction name]],IF(Transactions[[#This Row],[Level 0]]=Transactions[[#This Row],[L2N]],Transactions[[#This Row],[L1N]],IF(Transactions[[#This Row],[Level 0]]=Transactions[[#This Row],[L3N]],Transactions[[#This Row],[L2N]],IF(Transactions[[#This Row],[Level 0]]=Transactions[[#This Row],[L4N]],Transactions[[#This Row],[L3N]],IF(Transactions[[#This Row],[Level 0]]=Transactions[[#This Row],[L5N]],Transactions[[#This Row],[L4N]],IF(Transactions[[#This Row],[Level 0]]=Transactions[[#This Row],[L6N]],Transactions[[#This Row],[L5N]],IF(Transactions[[#This Row],[Level 0]]=Transactions[[#This Row],[L7N]],Transactions[[#This Row],[L6N]],Transactions[[#This Row],[L7N]]))))))))</f>
        <v>Electricity, CHP and heat plants (T)</v>
      </c>
      <c r="AT287" s="24" t="str">
        <f>IF(Transactions[[#This Row],[Level 1]]=Transactions[[#This Row],[Transaction name]],Transactions[[#This Row],[Transaction name]],IF(Transactions[[#This Row],[Level 1]]=Transactions[[#This Row],[L1N]],Transactions[[#This Row],[Transaction name]],IF(Transactions[[#This Row],[Level 1]]=Transactions[[#This Row],[L2N]],Transactions[[#This Row],[L1N]],IF(Transactions[[#This Row],[Level 1]]=Transactions[[#This Row],[L3N]],Transactions[[#This Row],[L2N]],IF(Transactions[[#This Row],[Level 1]]=Transactions[[#This Row],[L4N]],Transactions[[#This Row],[L3N]],IF(Transactions[[#This Row],[Level 1]]=Transactions[[#This Row],[L5N]],Transactions[[#This Row],[L4N]],IF(Transactions[[#This Row],[Level 1]]=Transactions[[#This Row],[L6N]],Transactions[[#This Row],[L5N]],IF(Transactions[[#This Row],[Level 1]]=Transactions[[#This Row],[L7N]],Transactions[[#This Row],[L6N]],Transactions[[#This Row],[L7N]]))))))))</f>
        <v>CHP plants</v>
      </c>
      <c r="AU287" s="24" t="str">
        <f>IF(Transactions[[#This Row],[Level 2]]=Transactions[[#This Row],[Transaction name]],Transactions[[#This Row],[Transaction name]],IF(Transactions[[#This Row],[Level 2]]=Transactions[[#This Row],[L1N]],Transactions[[#This Row],[Transaction name]],IF(Transactions[[#This Row],[Level 2]]=Transactions[[#This Row],[L2N]],Transactions[[#This Row],[L1N]],IF(Transactions[[#This Row],[Level 2]]=Transactions[[#This Row],[L3N]],Transactions[[#This Row],[L2N]],IF(Transactions[[#This Row],[Level 2]]=Transactions[[#This Row],[L4N]],Transactions[[#This Row],[L3N]],IF(Transactions[[#This Row],[Level 2]]=Transactions[[#This Row],[L5N]],Transactions[[#This Row],[L4N]],IF(Transactions[[#This Row],[Level 2]]=Transactions[[#This Row],[L6N]],Transactions[[#This Row],[L5N]],IF(Transactions[[#This Row],[Level 2]]=Transactions[[#This Row],[L7N]],Transactions[[#This Row],[L6N]],Transactions[[#This Row],[L7N]]))))))))</f>
        <v>CHP plants - Nuclear</v>
      </c>
      <c r="AV287" s="24" t="str">
        <f>IF(Transactions[[#This Row],[Level 3]]=Transactions[[#This Row],[Transaction name]],Transactions[[#This Row],[Transaction name]],IF(Transactions[[#This Row],[Level 3]]=Transactions[[#This Row],[L1N]],Transactions[[#This Row],[Transaction name]],IF(Transactions[[#This Row],[Level 3]]=Transactions[[#This Row],[L2N]],Transactions[[#This Row],[L1N]],IF(Transactions[[#This Row],[Level 3]]=Transactions[[#This Row],[L3N]],Transactions[[#This Row],[L2N]],IF(Transactions[[#This Row],[Level 3]]=Transactions[[#This Row],[L4N]],Transactions[[#This Row],[L3N]],IF(Transactions[[#This Row],[Level 3]]=Transactions[[#This Row],[L5N]],Transactions[[#This Row],[L4N]],IF(Transactions[[#This Row],[Level 3]]=Transactions[[#This Row],[L6N]],Transactions[[#This Row],[L5N]],IF(Transactions[[#This Row],[Level 3]]=Transactions[[#This Row],[L7N]],Transactions[[#This Row],[L6N]],Transactions[[#This Row],[L7N]]))))))))</f>
        <v>CHP plants - Autoproducer - Nuclear</v>
      </c>
      <c r="AW287" s="24" t="str">
        <f>IF(Transactions[[#This Row],[Level 4]]=Transactions[[#This Row],[Transaction name]],Transactions[[#This Row],[Transaction name]],IF(Transactions[[#This Row],[Level 4]]=Transactions[[#This Row],[L1N]],Transactions[[#This Row],[Transaction name]],IF(Transactions[[#This Row],[Level 4]]=Transactions[[#This Row],[L2N]],Transactions[[#This Row],[L1N]],IF(Transactions[[#This Row],[Level 4]]=Transactions[[#This Row],[L3N]],Transactions[[#This Row],[L2N]],IF(Transactions[[#This Row],[Level 4]]=Transactions[[#This Row],[L4N]],Transactions[[#This Row],[L3N]],IF(Transactions[[#This Row],[Level 4]]=Transactions[[#This Row],[L5N]],Transactions[[#This Row],[L4N]],IF(Transactions[[#This Row],[Level 4]]=Transactions[[#This Row],[L6N]],Transactions[[#This Row],[L5N]],IF(Transactions[[#This Row],[Level 4]]=Transactions[[#This Row],[L7N]],Transactions[[#This Row],[L6N]],Transactions[[#This Row],[L7N]]))))))))</f>
        <v>CHP plants - Autoproducer - Nuclear</v>
      </c>
      <c r="AX287" s="24" t="str">
        <f>IF(Transactions[[#This Row],[Level 5]]=Transactions[[#This Row],[Transaction name]],Transactions[[#This Row],[Transaction name]],IF(Transactions[[#This Row],[Level 5]]=Transactions[[#This Row],[L1N]],Transactions[[#This Row],[Transaction name]],IF(Transactions[[#This Row],[Level 5]]=Transactions[[#This Row],[L2N]],Transactions[[#This Row],[L1N]],IF(Transactions[[#This Row],[Level 5]]=Transactions[[#This Row],[L3N]],Transactions[[#This Row],[L2N]],IF(Transactions[[#This Row],[Level 5]]=Transactions[[#This Row],[L4N]],Transactions[[#This Row],[L3N]],IF(Transactions[[#This Row],[Level 5]]=Transactions[[#This Row],[L5N]],Transactions[[#This Row],[L4N]],IF(Transactions[[#This Row],[Level 5]]=Transactions[[#This Row],[L6N]],Transactions[[#This Row],[L5N]],IF(Transactions[[#This Row],[Level 5]]=Transactions[[#This Row],[L7N]],Transactions[[#This Row],[L6N]],Transactions[[#This Row],[L7N]]))))))))</f>
        <v>CHP plants - Autoproducer - Nuclear</v>
      </c>
      <c r="AY287" s="24" t="str">
        <f>IF(Transactions[[#This Row],[Level 6]]=Transactions[[#This Row],[Transaction name]],Transactions[[#This Row],[Transaction name]],IF(Transactions[[#This Row],[Level 6]]=Transactions[[#This Row],[L1N]],Transactions[[#This Row],[Transaction name]],IF(Transactions[[#This Row],[Level 6]]=Transactions[[#This Row],[L2N]],Transactions[[#This Row],[L1N]],IF(Transactions[[#This Row],[Level 6]]=Transactions[[#This Row],[L3N]],Transactions[[#This Row],[L2N]],IF(Transactions[[#This Row],[Level 6]]=Transactions[[#This Row],[L4N]],Transactions[[#This Row],[L3N]],IF(Transactions[[#This Row],[Level 6]]=Transactions[[#This Row],[L5N]],Transactions[[#This Row],[L4N]],IF(Transactions[[#This Row],[Level 6]]=Transactions[[#This Row],[L6N]],Transactions[[#This Row],[L5N]],IF(Transactions[[#This Row],[Level 6]]=Transactions[[#This Row],[L7N]],Transactions[[#This Row],[L6N]],Transactions[[#This Row],[L7N]]))))))))</f>
        <v>CHP plants - Autoproducer - Nuclear</v>
      </c>
      <c r="BE287" s="26" t="str">
        <f>_xlfn.XLOOKUP(Transformation[[#This Row],[cfrom]],Commodities[Commodity],Commodities[Commodity code])</f>
        <v>5222</v>
      </c>
      <c r="BF287" s="26" t="str">
        <f>_xlfn.XLOOKUP(Transformation[[#This Row],[tfrom]],Transactions[Transaction name],Transactions[Transaction code])</f>
        <v>03</v>
      </c>
      <c r="BG287" s="26" t="str">
        <f>_xlfn.XLOOKUP(Transformation[[#This Row],[cto]],Commodities[Commodity],Commodities[Commodity code])</f>
        <v>5222</v>
      </c>
      <c r="BH287" s="26" t="str">
        <f>_xlfn.XLOOKUP(Transformation[[#This Row],[tto]],Transactions[Transaction name],Transactions[Transaction code])</f>
        <v>03</v>
      </c>
      <c r="BI287" s="32">
        <v>-2</v>
      </c>
      <c r="BJ287" s="22" t="s">
        <v>962</v>
      </c>
      <c r="BK287" s="26" t="str">
        <f>_xlfn.XLOOKUP(Transformation[[#This Row],[Commodity from]],Commodities[Commodity code],Commodities[EnergyCode])</f>
        <v>ZD</v>
      </c>
      <c r="BL287" s="22" t="s">
        <v>200</v>
      </c>
      <c r="BM287" s="22" t="s">
        <v>962</v>
      </c>
      <c r="BN287" s="26" t="str">
        <f>_xlfn.XLOOKUP(Transformation[[#This Row],[Commodity to]],Commodities[Commodity code],Commodities[EnergyCode])</f>
        <v>ZD</v>
      </c>
      <c r="BO287" s="22" t="s">
        <v>200</v>
      </c>
      <c r="BP287" s="22" t="s">
        <v>1648</v>
      </c>
      <c r="BQ287" s="33" t="str">
        <f>Transformation[[#This Row],[Commodity from]]&amp;Transformation[[#This Row],[Transaction from]]&amp;Transformation[[#This Row],[Commodity to]]&amp;Transformation[[#This Row],[Transaction to]]</f>
        <v>522203522203</v>
      </c>
      <c r="BR287" s="26" t="str">
        <f>Transformation[[#This Row],[crfomid]]&amp;Transformation[[#This Row],[Transaction from]]&amp;"("&amp;Transformation[[#This Row],[Multiplier]]&amp;") -&gt; "&amp;Transformation[[#This Row],[ctoid]]&amp;Transformation[[#This Row],[Transaction to]]</f>
        <v>ZD03(-2) -&gt; ZD03</v>
      </c>
    </row>
    <row r="288" spans="25:70" x14ac:dyDescent="0.45">
      <c r="Y288" s="5" t="s">
        <v>324</v>
      </c>
      <c r="Z288" s="7" t="s">
        <v>651</v>
      </c>
      <c r="AA288" s="4" t="s">
        <v>1321</v>
      </c>
      <c r="AB288" s="19" t="s">
        <v>1623</v>
      </c>
      <c r="AC288" s="24" t="str">
        <f>IFERROR(VLOOKUP(Transactions[[#This Row],[Parent code]],Transactions[[Transaction code]:[Transaction name]],2,0),"")</f>
        <v>CHP plants - Nuclear</v>
      </c>
      <c r="AD288" s="4" t="s">
        <v>189</v>
      </c>
      <c r="AE288" s="4" t="s">
        <v>922</v>
      </c>
      <c r="AF288" s="4" t="s">
        <v>642</v>
      </c>
      <c r="AG288" s="4" t="s">
        <v>1</v>
      </c>
      <c r="AH288" s="4" t="s">
        <v>696</v>
      </c>
      <c r="AK288" s="24" t="str" cm="1">
        <f t="array" ref="AK288">IFERROR(INDEX(Transactions[[Transaction code]:[Transaction name]],_xlfn.XMATCH(Transactions[[#This Row],[Parent code]],Transactions[Transaction name],0),3),Transactions[[#This Row],[Transaction name]])</f>
        <v>CHP plants - Main activity - Nuclear</v>
      </c>
      <c r="AL288" s="24" t="str" cm="1">
        <f t="array" ref="AL288">IFERROR(INDEX(Transactions[[Transaction code]:[Transaction name]],_xlfn.XMATCH(INDEX(Transactions[[Transaction name]:[Parent code]],_xlfn.XMATCH(Transactions[[#This Row],[L1N]],Transactions[Transaction name],0),3),Transactions[Transaction code],0),2),Transactions[[#This Row],[L1N]])</f>
        <v>CHP plants - Nuclear</v>
      </c>
      <c r="AM288" s="24" t="str" cm="1">
        <f t="array" ref="AM288">IFERROR(INDEX(Transactions[[Transaction code]:[Transaction name]],_xlfn.XMATCH(INDEX(Transactions[[Transaction name]:[Parent code]],_xlfn.XMATCH(Transactions[[#This Row],[L2N]],Transactions[Transaction name],0),3),Transactions[Transaction code],0),2),Transactions[[#This Row],[L2N]])</f>
        <v>CHP plants</v>
      </c>
      <c r="AN288" s="24" t="str" cm="1">
        <f t="array" ref="AN288">IFERROR(INDEX(Transactions[[Transaction code]:[Transaction name]],_xlfn.XMATCH(INDEX(Transactions[[Transaction name]:[Parent code]],_xlfn.XMATCH(Transactions[[#This Row],[L3N]],Transactions[Transaction name],0),3),Transactions[Transaction code],0),2),Transactions[[#This Row],[L3N]])</f>
        <v>Electricity, CHP and heat plants (T)</v>
      </c>
      <c r="AO288" s="24" t="str" cm="1">
        <f t="array" ref="AO288">IFERROR(INDEX(Transactions[[Transaction code]:[Transaction name]],_xlfn.XMATCH(INDEX(Transactions[[Transaction name]:[Parent code]],_xlfn.XMATCH(Transactions[[#This Row],[L4N]],Transactions[Transaction name],0),3),Transactions[Transaction code],0),2),Transactions[[#This Row],[L4N]])</f>
        <v>Transformation</v>
      </c>
      <c r="AP288" s="24" t="str" cm="1">
        <f t="array" ref="AP288">IFERROR(INDEX(Transactions[[Transaction code]:[Transaction name]],_xlfn.XMATCH(INDEX(Transactions[[Transaction name]:[Parent code]],_xlfn.XMATCH(Transactions[[#This Row],[L5N]],Transactions[Transaction name],0),3),Transactions[Transaction code],0),2),Transactions[[#This Row],[L5N]])</f>
        <v>Transformation</v>
      </c>
      <c r="AQ288" s="24" t="str" cm="1">
        <f t="array" ref="AQ288">IFERROR(INDEX(Transactions[[Transaction code]:[Transaction name]],_xlfn.XMATCH(INDEX(Transactions[[Transaction name]:[Parent code]],_xlfn.XMATCH(Transactions[[#This Row],[L6N]],Transactions[Transaction name],0),3),Transactions[Transaction code],0),2),Transactions[[#This Row],[L6N]])</f>
        <v>Transformation</v>
      </c>
      <c r="AR288" s="28" t="str">
        <f>IF(Transactions[[#This Row],[L7N]]=Transactions[[#This Row],[L6N]],Transactions[[#This Row],[L7N]],IF(Transactions[[#This Row],[L6N]]=Transactions[[#This Row],[L5N]],Transactions[[#This Row],[L6N]],IF(Transactions[[#This Row],[L5N]]=Transactions[[#This Row],[L4N]],Transactions[[#This Row],[L5N]],IF(Transactions[[#This Row],[L4N]]=Transactions[[#This Row],[L3N]],Transactions[[#This Row],[L4N]],IF(Transactions[[#This Row],[L3N]]=Transactions[[#This Row],[L2N]],Transactions[[#This Row],[L3N]],IF(Transactions[[#This Row],[L2N]]=Transactions[[#This Row],[L1N]],Transactions[[#This Row],[L2N]],IF(Transactions[[#This Row],[L1N]]=Transactions[[#This Row],[Transaction name]],Transactions[[#This Row],[L1N]],Transactions[[#This Row],[Transaction name]])))))))</f>
        <v>Transformation</v>
      </c>
      <c r="AS288" s="24" t="str">
        <f>IF(Transactions[[#This Row],[Level 0]]=Transactions[[#This Row],[Transaction name]],Transactions[[#This Row],[Transaction name]],IF(Transactions[[#This Row],[Level 0]]=Transactions[[#This Row],[L1N]],Transactions[[#This Row],[Transaction name]],IF(Transactions[[#This Row],[Level 0]]=Transactions[[#This Row],[L2N]],Transactions[[#This Row],[L1N]],IF(Transactions[[#This Row],[Level 0]]=Transactions[[#This Row],[L3N]],Transactions[[#This Row],[L2N]],IF(Transactions[[#This Row],[Level 0]]=Transactions[[#This Row],[L4N]],Transactions[[#This Row],[L3N]],IF(Transactions[[#This Row],[Level 0]]=Transactions[[#This Row],[L5N]],Transactions[[#This Row],[L4N]],IF(Transactions[[#This Row],[Level 0]]=Transactions[[#This Row],[L6N]],Transactions[[#This Row],[L5N]],IF(Transactions[[#This Row],[Level 0]]=Transactions[[#This Row],[L7N]],Transactions[[#This Row],[L6N]],Transactions[[#This Row],[L7N]]))))))))</f>
        <v>Electricity, CHP and heat plants (T)</v>
      </c>
      <c r="AT288" s="24" t="str">
        <f>IF(Transactions[[#This Row],[Level 1]]=Transactions[[#This Row],[Transaction name]],Transactions[[#This Row],[Transaction name]],IF(Transactions[[#This Row],[Level 1]]=Transactions[[#This Row],[L1N]],Transactions[[#This Row],[Transaction name]],IF(Transactions[[#This Row],[Level 1]]=Transactions[[#This Row],[L2N]],Transactions[[#This Row],[L1N]],IF(Transactions[[#This Row],[Level 1]]=Transactions[[#This Row],[L3N]],Transactions[[#This Row],[L2N]],IF(Transactions[[#This Row],[Level 1]]=Transactions[[#This Row],[L4N]],Transactions[[#This Row],[L3N]],IF(Transactions[[#This Row],[Level 1]]=Transactions[[#This Row],[L5N]],Transactions[[#This Row],[L4N]],IF(Transactions[[#This Row],[Level 1]]=Transactions[[#This Row],[L6N]],Transactions[[#This Row],[L5N]],IF(Transactions[[#This Row],[Level 1]]=Transactions[[#This Row],[L7N]],Transactions[[#This Row],[L6N]],Transactions[[#This Row],[L7N]]))))))))</f>
        <v>CHP plants</v>
      </c>
      <c r="AU288" s="24" t="str">
        <f>IF(Transactions[[#This Row],[Level 2]]=Transactions[[#This Row],[Transaction name]],Transactions[[#This Row],[Transaction name]],IF(Transactions[[#This Row],[Level 2]]=Transactions[[#This Row],[L1N]],Transactions[[#This Row],[Transaction name]],IF(Transactions[[#This Row],[Level 2]]=Transactions[[#This Row],[L2N]],Transactions[[#This Row],[L1N]],IF(Transactions[[#This Row],[Level 2]]=Transactions[[#This Row],[L3N]],Transactions[[#This Row],[L2N]],IF(Transactions[[#This Row],[Level 2]]=Transactions[[#This Row],[L4N]],Transactions[[#This Row],[L3N]],IF(Transactions[[#This Row],[Level 2]]=Transactions[[#This Row],[L5N]],Transactions[[#This Row],[L4N]],IF(Transactions[[#This Row],[Level 2]]=Transactions[[#This Row],[L6N]],Transactions[[#This Row],[L5N]],IF(Transactions[[#This Row],[Level 2]]=Transactions[[#This Row],[L7N]],Transactions[[#This Row],[L6N]],Transactions[[#This Row],[L7N]]))))))))</f>
        <v>CHP plants - Nuclear</v>
      </c>
      <c r="AV288" s="24" t="str">
        <f>IF(Transactions[[#This Row],[Level 3]]=Transactions[[#This Row],[Transaction name]],Transactions[[#This Row],[Transaction name]],IF(Transactions[[#This Row],[Level 3]]=Transactions[[#This Row],[L1N]],Transactions[[#This Row],[Transaction name]],IF(Transactions[[#This Row],[Level 3]]=Transactions[[#This Row],[L2N]],Transactions[[#This Row],[L1N]],IF(Transactions[[#This Row],[Level 3]]=Transactions[[#This Row],[L3N]],Transactions[[#This Row],[L2N]],IF(Transactions[[#This Row],[Level 3]]=Transactions[[#This Row],[L4N]],Transactions[[#This Row],[L3N]],IF(Transactions[[#This Row],[Level 3]]=Transactions[[#This Row],[L5N]],Transactions[[#This Row],[L4N]],IF(Transactions[[#This Row],[Level 3]]=Transactions[[#This Row],[L6N]],Transactions[[#This Row],[L5N]],IF(Transactions[[#This Row],[Level 3]]=Transactions[[#This Row],[L7N]],Transactions[[#This Row],[L6N]],Transactions[[#This Row],[L7N]]))))))))</f>
        <v>CHP plants - Main activity - Nuclear</v>
      </c>
      <c r="AW288" s="24" t="str">
        <f>IF(Transactions[[#This Row],[Level 4]]=Transactions[[#This Row],[Transaction name]],Transactions[[#This Row],[Transaction name]],IF(Transactions[[#This Row],[Level 4]]=Transactions[[#This Row],[L1N]],Transactions[[#This Row],[Transaction name]],IF(Transactions[[#This Row],[Level 4]]=Transactions[[#This Row],[L2N]],Transactions[[#This Row],[L1N]],IF(Transactions[[#This Row],[Level 4]]=Transactions[[#This Row],[L3N]],Transactions[[#This Row],[L2N]],IF(Transactions[[#This Row],[Level 4]]=Transactions[[#This Row],[L4N]],Transactions[[#This Row],[L3N]],IF(Transactions[[#This Row],[Level 4]]=Transactions[[#This Row],[L5N]],Transactions[[#This Row],[L4N]],IF(Transactions[[#This Row],[Level 4]]=Transactions[[#This Row],[L6N]],Transactions[[#This Row],[L5N]],IF(Transactions[[#This Row],[Level 4]]=Transactions[[#This Row],[L7N]],Transactions[[#This Row],[L6N]],Transactions[[#This Row],[L7N]]))))))))</f>
        <v>CHP plants - Main activity - Nuclear</v>
      </c>
      <c r="AX288" s="24" t="str">
        <f>IF(Transactions[[#This Row],[Level 5]]=Transactions[[#This Row],[Transaction name]],Transactions[[#This Row],[Transaction name]],IF(Transactions[[#This Row],[Level 5]]=Transactions[[#This Row],[L1N]],Transactions[[#This Row],[Transaction name]],IF(Transactions[[#This Row],[Level 5]]=Transactions[[#This Row],[L2N]],Transactions[[#This Row],[L1N]],IF(Transactions[[#This Row],[Level 5]]=Transactions[[#This Row],[L3N]],Transactions[[#This Row],[L2N]],IF(Transactions[[#This Row],[Level 5]]=Transactions[[#This Row],[L4N]],Transactions[[#This Row],[L3N]],IF(Transactions[[#This Row],[Level 5]]=Transactions[[#This Row],[L5N]],Transactions[[#This Row],[L4N]],IF(Transactions[[#This Row],[Level 5]]=Transactions[[#This Row],[L6N]],Transactions[[#This Row],[L5N]],IF(Transactions[[#This Row],[Level 5]]=Transactions[[#This Row],[L7N]],Transactions[[#This Row],[L6N]],Transactions[[#This Row],[L7N]]))))))))</f>
        <v>CHP plants - Main activity - Nuclear</v>
      </c>
      <c r="AY288" s="24" t="str">
        <f>IF(Transactions[[#This Row],[Level 6]]=Transactions[[#This Row],[Transaction name]],Transactions[[#This Row],[Transaction name]],IF(Transactions[[#This Row],[Level 6]]=Transactions[[#This Row],[L1N]],Transactions[[#This Row],[Transaction name]],IF(Transactions[[#This Row],[Level 6]]=Transactions[[#This Row],[L2N]],Transactions[[#This Row],[L1N]],IF(Transactions[[#This Row],[Level 6]]=Transactions[[#This Row],[L3N]],Transactions[[#This Row],[L2N]],IF(Transactions[[#This Row],[Level 6]]=Transactions[[#This Row],[L4N]],Transactions[[#This Row],[L3N]],IF(Transactions[[#This Row],[Level 6]]=Transactions[[#This Row],[L5N]],Transactions[[#This Row],[L4N]],IF(Transactions[[#This Row],[Level 6]]=Transactions[[#This Row],[L6N]],Transactions[[#This Row],[L5N]],IF(Transactions[[#This Row],[Level 6]]=Transactions[[#This Row],[L7N]],Transactions[[#This Row],[L6N]],Transactions[[#This Row],[L7N]]))))))))</f>
        <v>CHP plants - Main activity - Nuclear</v>
      </c>
      <c r="BE288" s="26" t="str">
        <f>_xlfn.XLOOKUP(Transformation[[#This Row],[cfrom]],Commodities[Commodity],Commodities[Commodity code])</f>
        <v>5212</v>
      </c>
      <c r="BF288" s="26" t="str">
        <f>_xlfn.XLOOKUP(Transformation[[#This Row],[tfrom]],Transactions[Transaction name],Transactions[Transaction code])</f>
        <v>03</v>
      </c>
      <c r="BG288" s="26" t="str">
        <f>_xlfn.XLOOKUP(Transformation[[#This Row],[cto]],Commodities[Commodity],Commodities[Commodity code])</f>
        <v>5212</v>
      </c>
      <c r="BH288" s="26" t="str">
        <f>_xlfn.XLOOKUP(Transformation[[#This Row],[tto]],Transactions[Transaction name],Transactions[Transaction code])</f>
        <v>03</v>
      </c>
      <c r="BI288" s="32">
        <v>-2</v>
      </c>
      <c r="BJ288" s="22" t="s">
        <v>317</v>
      </c>
      <c r="BK288" s="26" t="str">
        <f>_xlfn.XLOOKUP(Transformation[[#This Row],[Commodity from]],Commodities[Commodity code],Commodities[EnergyCode])</f>
        <v>ZG</v>
      </c>
      <c r="BL288" s="22" t="s">
        <v>200</v>
      </c>
      <c r="BM288" s="22" t="s">
        <v>317</v>
      </c>
      <c r="BN288" s="26" t="str">
        <f>_xlfn.XLOOKUP(Transformation[[#This Row],[Commodity to]],Commodities[Commodity code],Commodities[EnergyCode])</f>
        <v>ZG</v>
      </c>
      <c r="BO288" s="22" t="s">
        <v>200</v>
      </c>
      <c r="BP288" s="22" t="s">
        <v>1648</v>
      </c>
      <c r="BQ288" s="33" t="str">
        <f>Transformation[[#This Row],[Commodity from]]&amp;Transformation[[#This Row],[Transaction from]]&amp;Transformation[[#This Row],[Commodity to]]&amp;Transformation[[#This Row],[Transaction to]]</f>
        <v>521203521203</v>
      </c>
      <c r="BR288" s="26" t="str">
        <f>Transformation[[#This Row],[crfomid]]&amp;Transformation[[#This Row],[Transaction from]]&amp;"("&amp;Transformation[[#This Row],[Multiplier]]&amp;") -&gt; "&amp;Transformation[[#This Row],[ctoid]]&amp;Transformation[[#This Row],[Transaction to]]</f>
        <v>ZG03(-2) -&gt; ZG03</v>
      </c>
    </row>
    <row r="289" spans="25:70" x14ac:dyDescent="0.45">
      <c r="Y289" s="19" t="s">
        <v>1623</v>
      </c>
      <c r="Z289" s="18" t="s">
        <v>1321</v>
      </c>
      <c r="AA289" s="18" t="s">
        <v>1321</v>
      </c>
      <c r="AB289" s="19" t="s">
        <v>1627</v>
      </c>
      <c r="AC289" s="26" t="str">
        <f>IFERROR(VLOOKUP(Transactions[[#This Row],[Parent code]],Transactions[[Transaction code]:[Transaction name]],2,0),"")</f>
        <v>CHP plants</v>
      </c>
      <c r="AD289" s="18" t="s">
        <v>189</v>
      </c>
      <c r="AE289" s="18" t="s">
        <v>922</v>
      </c>
      <c r="AF289" s="18" t="s">
        <v>642</v>
      </c>
      <c r="AG289" s="18" t="s">
        <v>1</v>
      </c>
      <c r="AH289" s="18" t="s">
        <v>696</v>
      </c>
      <c r="AI289" s="18"/>
      <c r="AJ289" s="18"/>
      <c r="AK289" s="26" t="str" cm="1">
        <f t="array" ref="AK289">IFERROR(INDEX(Transactions[[Transaction code]:[Transaction name]],_xlfn.XMATCH(Transactions[[#This Row],[Parent code]],Transactions[Transaction name],0),3),Transactions[[#This Row],[Transaction name]])</f>
        <v>CHP plants - Nuclear</v>
      </c>
      <c r="AL289" s="26" t="str" cm="1">
        <f t="array" ref="AL289">IFERROR(INDEX(Transactions[[Transaction code]:[Transaction name]],_xlfn.XMATCH(INDEX(Transactions[[Transaction name]:[Parent code]],_xlfn.XMATCH(Transactions[[#This Row],[L1N]],Transactions[Transaction name],0),3),Transactions[Transaction code],0),2),Transactions[[#This Row],[L1N]])</f>
        <v>CHP plants</v>
      </c>
      <c r="AM289" s="26" t="str" cm="1">
        <f t="array" ref="AM289">IFERROR(INDEX(Transactions[[Transaction code]:[Transaction name]],_xlfn.XMATCH(INDEX(Transactions[[Transaction name]:[Parent code]],_xlfn.XMATCH(Transactions[[#This Row],[L2N]],Transactions[Transaction name],0),3),Transactions[Transaction code],0),2),Transactions[[#This Row],[L2N]])</f>
        <v>Electricity, CHP and heat plants (T)</v>
      </c>
      <c r="AN289" s="26" t="str" cm="1">
        <f t="array" ref="AN289">IFERROR(INDEX(Transactions[[Transaction code]:[Transaction name]],_xlfn.XMATCH(INDEX(Transactions[[Transaction name]:[Parent code]],_xlfn.XMATCH(Transactions[[#This Row],[L3N]],Transactions[Transaction name],0),3),Transactions[Transaction code],0),2),Transactions[[#This Row],[L3N]])</f>
        <v>Transformation</v>
      </c>
      <c r="AO289" s="26" t="str" cm="1">
        <f t="array" ref="AO289">IFERROR(INDEX(Transactions[[Transaction code]:[Transaction name]],_xlfn.XMATCH(INDEX(Transactions[[Transaction name]:[Parent code]],_xlfn.XMATCH(Transactions[[#This Row],[L4N]],Transactions[Transaction name],0),3),Transactions[Transaction code],0),2),Transactions[[#This Row],[L4N]])</f>
        <v>Transformation</v>
      </c>
      <c r="AP289" s="26" t="str" cm="1">
        <f t="array" ref="AP289">IFERROR(INDEX(Transactions[[Transaction code]:[Transaction name]],_xlfn.XMATCH(INDEX(Transactions[[Transaction name]:[Parent code]],_xlfn.XMATCH(Transactions[[#This Row],[L5N]],Transactions[Transaction name],0),3),Transactions[Transaction code],0),2),Transactions[[#This Row],[L5N]])</f>
        <v>Transformation</v>
      </c>
      <c r="AQ289" s="26" t="str" cm="1">
        <f t="array" ref="AQ289">IFERROR(INDEX(Transactions[[Transaction code]:[Transaction name]],_xlfn.XMATCH(INDEX(Transactions[[Transaction name]:[Parent code]],_xlfn.XMATCH(Transactions[[#This Row],[L6N]],Transactions[Transaction name],0),3),Transactions[Transaction code],0),2),Transactions[[#This Row],[L6N]])</f>
        <v>Transformation</v>
      </c>
      <c r="AR289" s="29" t="str">
        <f>IF(Transactions[[#This Row],[L7N]]=Transactions[[#This Row],[L6N]],Transactions[[#This Row],[L7N]],IF(Transactions[[#This Row],[L6N]]=Transactions[[#This Row],[L5N]],Transactions[[#This Row],[L6N]],IF(Transactions[[#This Row],[L5N]]=Transactions[[#This Row],[L4N]],Transactions[[#This Row],[L5N]],IF(Transactions[[#This Row],[L4N]]=Transactions[[#This Row],[L3N]],Transactions[[#This Row],[L4N]],IF(Transactions[[#This Row],[L3N]]=Transactions[[#This Row],[L2N]],Transactions[[#This Row],[L3N]],IF(Transactions[[#This Row],[L2N]]=Transactions[[#This Row],[L1N]],Transactions[[#This Row],[L2N]],IF(Transactions[[#This Row],[L1N]]=Transactions[[#This Row],[Transaction name]],Transactions[[#This Row],[L1N]],Transactions[[#This Row],[Transaction name]])))))))</f>
        <v>Transformation</v>
      </c>
      <c r="AS289" s="26" t="str">
        <f>IF(Transactions[[#This Row],[Level 0]]=Transactions[[#This Row],[Transaction name]],Transactions[[#This Row],[Transaction name]],IF(Transactions[[#This Row],[Level 0]]=Transactions[[#This Row],[L1N]],Transactions[[#This Row],[Transaction name]],IF(Transactions[[#This Row],[Level 0]]=Transactions[[#This Row],[L2N]],Transactions[[#This Row],[L1N]],IF(Transactions[[#This Row],[Level 0]]=Transactions[[#This Row],[L3N]],Transactions[[#This Row],[L2N]],IF(Transactions[[#This Row],[Level 0]]=Transactions[[#This Row],[L4N]],Transactions[[#This Row],[L3N]],IF(Transactions[[#This Row],[Level 0]]=Transactions[[#This Row],[L5N]],Transactions[[#This Row],[L4N]],IF(Transactions[[#This Row],[Level 0]]=Transactions[[#This Row],[L6N]],Transactions[[#This Row],[L5N]],IF(Transactions[[#This Row],[Level 0]]=Transactions[[#This Row],[L7N]],Transactions[[#This Row],[L6N]],Transactions[[#This Row],[L7N]]))))))))</f>
        <v>Electricity, CHP and heat plants (T)</v>
      </c>
      <c r="AT289" s="26" t="str">
        <f>IF(Transactions[[#This Row],[Level 1]]=Transactions[[#This Row],[Transaction name]],Transactions[[#This Row],[Transaction name]],IF(Transactions[[#This Row],[Level 1]]=Transactions[[#This Row],[L1N]],Transactions[[#This Row],[Transaction name]],IF(Transactions[[#This Row],[Level 1]]=Transactions[[#This Row],[L2N]],Transactions[[#This Row],[L1N]],IF(Transactions[[#This Row],[Level 1]]=Transactions[[#This Row],[L3N]],Transactions[[#This Row],[L2N]],IF(Transactions[[#This Row],[Level 1]]=Transactions[[#This Row],[L4N]],Transactions[[#This Row],[L3N]],IF(Transactions[[#This Row],[Level 1]]=Transactions[[#This Row],[L5N]],Transactions[[#This Row],[L4N]],IF(Transactions[[#This Row],[Level 1]]=Transactions[[#This Row],[L6N]],Transactions[[#This Row],[L5N]],IF(Transactions[[#This Row],[Level 1]]=Transactions[[#This Row],[L7N]],Transactions[[#This Row],[L6N]],Transactions[[#This Row],[L7N]]))))))))</f>
        <v>CHP plants</v>
      </c>
      <c r="AU289" s="26" t="str">
        <f>IF(Transactions[[#This Row],[Level 2]]=Transactions[[#This Row],[Transaction name]],Transactions[[#This Row],[Transaction name]],IF(Transactions[[#This Row],[Level 2]]=Transactions[[#This Row],[L1N]],Transactions[[#This Row],[Transaction name]],IF(Transactions[[#This Row],[Level 2]]=Transactions[[#This Row],[L2N]],Transactions[[#This Row],[L1N]],IF(Transactions[[#This Row],[Level 2]]=Transactions[[#This Row],[L3N]],Transactions[[#This Row],[L2N]],IF(Transactions[[#This Row],[Level 2]]=Transactions[[#This Row],[L4N]],Transactions[[#This Row],[L3N]],IF(Transactions[[#This Row],[Level 2]]=Transactions[[#This Row],[L5N]],Transactions[[#This Row],[L4N]],IF(Transactions[[#This Row],[Level 2]]=Transactions[[#This Row],[L6N]],Transactions[[#This Row],[L5N]],IF(Transactions[[#This Row],[Level 2]]=Transactions[[#This Row],[L7N]],Transactions[[#This Row],[L6N]],Transactions[[#This Row],[L7N]]))))))))</f>
        <v>CHP plants - Nuclear</v>
      </c>
      <c r="AV289" s="26" t="str">
        <f>IF(Transactions[[#This Row],[Level 3]]=Transactions[[#This Row],[Transaction name]],Transactions[[#This Row],[Transaction name]],IF(Transactions[[#This Row],[Level 3]]=Transactions[[#This Row],[L1N]],Transactions[[#This Row],[Transaction name]],IF(Transactions[[#This Row],[Level 3]]=Transactions[[#This Row],[L2N]],Transactions[[#This Row],[L1N]],IF(Transactions[[#This Row],[Level 3]]=Transactions[[#This Row],[L3N]],Transactions[[#This Row],[L2N]],IF(Transactions[[#This Row],[Level 3]]=Transactions[[#This Row],[L4N]],Transactions[[#This Row],[L3N]],IF(Transactions[[#This Row],[Level 3]]=Transactions[[#This Row],[L5N]],Transactions[[#This Row],[L4N]],IF(Transactions[[#This Row],[Level 3]]=Transactions[[#This Row],[L6N]],Transactions[[#This Row],[L5N]],IF(Transactions[[#This Row],[Level 3]]=Transactions[[#This Row],[L7N]],Transactions[[#This Row],[L6N]],Transactions[[#This Row],[L7N]]))))))))</f>
        <v>CHP plants - Nuclear</v>
      </c>
      <c r="AW289" s="26" t="str">
        <f>IF(Transactions[[#This Row],[Level 4]]=Transactions[[#This Row],[Transaction name]],Transactions[[#This Row],[Transaction name]],IF(Transactions[[#This Row],[Level 4]]=Transactions[[#This Row],[L1N]],Transactions[[#This Row],[Transaction name]],IF(Transactions[[#This Row],[Level 4]]=Transactions[[#This Row],[L2N]],Transactions[[#This Row],[L1N]],IF(Transactions[[#This Row],[Level 4]]=Transactions[[#This Row],[L3N]],Transactions[[#This Row],[L2N]],IF(Transactions[[#This Row],[Level 4]]=Transactions[[#This Row],[L4N]],Transactions[[#This Row],[L3N]],IF(Transactions[[#This Row],[Level 4]]=Transactions[[#This Row],[L5N]],Transactions[[#This Row],[L4N]],IF(Transactions[[#This Row],[Level 4]]=Transactions[[#This Row],[L6N]],Transactions[[#This Row],[L5N]],IF(Transactions[[#This Row],[Level 4]]=Transactions[[#This Row],[L7N]],Transactions[[#This Row],[L6N]],Transactions[[#This Row],[L7N]]))))))))</f>
        <v>CHP plants - Nuclear</v>
      </c>
      <c r="AX289" s="26" t="str">
        <f>IF(Transactions[[#This Row],[Level 5]]=Transactions[[#This Row],[Transaction name]],Transactions[[#This Row],[Transaction name]],IF(Transactions[[#This Row],[Level 5]]=Transactions[[#This Row],[L1N]],Transactions[[#This Row],[Transaction name]],IF(Transactions[[#This Row],[Level 5]]=Transactions[[#This Row],[L2N]],Transactions[[#This Row],[L1N]],IF(Transactions[[#This Row],[Level 5]]=Transactions[[#This Row],[L3N]],Transactions[[#This Row],[L2N]],IF(Transactions[[#This Row],[Level 5]]=Transactions[[#This Row],[L4N]],Transactions[[#This Row],[L3N]],IF(Transactions[[#This Row],[Level 5]]=Transactions[[#This Row],[L5N]],Transactions[[#This Row],[L4N]],IF(Transactions[[#This Row],[Level 5]]=Transactions[[#This Row],[L6N]],Transactions[[#This Row],[L5N]],IF(Transactions[[#This Row],[Level 5]]=Transactions[[#This Row],[L7N]],Transactions[[#This Row],[L6N]],Transactions[[#This Row],[L7N]]))))))))</f>
        <v>CHP plants - Nuclear</v>
      </c>
      <c r="AY289" s="26" t="str">
        <f>IF(Transactions[[#This Row],[Level 6]]=Transactions[[#This Row],[Transaction name]],Transactions[[#This Row],[Transaction name]],IF(Transactions[[#This Row],[Level 6]]=Transactions[[#This Row],[L1N]],Transactions[[#This Row],[Transaction name]],IF(Transactions[[#This Row],[Level 6]]=Transactions[[#This Row],[L2N]],Transactions[[#This Row],[L1N]],IF(Transactions[[#This Row],[Level 6]]=Transactions[[#This Row],[L3N]],Transactions[[#This Row],[L2N]],IF(Transactions[[#This Row],[Level 6]]=Transactions[[#This Row],[L4N]],Transactions[[#This Row],[L3N]],IF(Transactions[[#This Row],[Level 6]]=Transactions[[#This Row],[L5N]],Transactions[[#This Row],[L4N]],IF(Transactions[[#This Row],[Level 6]]=Transactions[[#This Row],[L6N]],Transactions[[#This Row],[L5N]],IF(Transactions[[#This Row],[Level 6]]=Transactions[[#This Row],[L7N]],Transactions[[#This Row],[L6N]],Transactions[[#This Row],[L7N]]))))))))</f>
        <v>CHP plants - Nuclear</v>
      </c>
      <c r="BE289" s="26" t="str">
        <f>_xlfn.XLOOKUP(Transformation[[#This Row],[cfrom]],Commodities[Commodity],Commodities[Commodity code])</f>
        <v>5232</v>
      </c>
      <c r="BF289" s="26" t="str">
        <f>_xlfn.XLOOKUP(Transformation[[#This Row],[tfrom]],Transactions[Transaction name],Transactions[Transaction code])</f>
        <v>03</v>
      </c>
      <c r="BG289" s="26" t="str">
        <f>_xlfn.XLOOKUP(Transformation[[#This Row],[cto]],Commodities[Commodity],Commodities[Commodity code])</f>
        <v>5232</v>
      </c>
      <c r="BH289" s="26" t="str">
        <f>_xlfn.XLOOKUP(Transformation[[#This Row],[tto]],Transactions[Transaction name],Transactions[Transaction code])</f>
        <v>03</v>
      </c>
      <c r="BI289" s="32">
        <v>-2</v>
      </c>
      <c r="BJ289" s="22" t="s">
        <v>306</v>
      </c>
      <c r="BK289" s="26" t="str">
        <f>_xlfn.XLOOKUP(Transformation[[#This Row],[Commodity from]],Commodities[Commodity code],Commodities[EnergyCode])</f>
        <v>ZJ</v>
      </c>
      <c r="BL289" s="22" t="s">
        <v>200</v>
      </c>
      <c r="BM289" s="22" t="s">
        <v>306</v>
      </c>
      <c r="BN289" s="26" t="str">
        <f>_xlfn.XLOOKUP(Transformation[[#This Row],[Commodity to]],Commodities[Commodity code],Commodities[EnergyCode])</f>
        <v>ZJ</v>
      </c>
      <c r="BO289" s="22" t="s">
        <v>200</v>
      </c>
      <c r="BP289" s="22" t="s">
        <v>1648</v>
      </c>
      <c r="BQ289" s="33" t="str">
        <f>Transformation[[#This Row],[Commodity from]]&amp;Transformation[[#This Row],[Transaction from]]&amp;Transformation[[#This Row],[Commodity to]]&amp;Transformation[[#This Row],[Transaction to]]</f>
        <v>523203523203</v>
      </c>
      <c r="BR289" s="26" t="str">
        <f>Transformation[[#This Row],[crfomid]]&amp;Transformation[[#This Row],[Transaction from]]&amp;"("&amp;Transformation[[#This Row],[Multiplier]]&amp;") -&gt; "&amp;Transformation[[#This Row],[ctoid]]&amp;Transformation[[#This Row],[Transaction to]]</f>
        <v>ZJ03(-2) -&gt; ZJ03</v>
      </c>
    </row>
    <row r="290" spans="25:70" x14ac:dyDescent="0.45">
      <c r="Y290" s="5" t="s">
        <v>1014</v>
      </c>
      <c r="Z290" s="7" t="s">
        <v>1054</v>
      </c>
      <c r="AA290" s="4" t="s">
        <v>1335</v>
      </c>
      <c r="AB290" s="19" t="s">
        <v>1626</v>
      </c>
      <c r="AC290" s="24" t="str">
        <f>IFERROR(VLOOKUP(Transactions[[#This Row],[Parent code]],Transactions[[Transaction code]:[Transaction name]],2,0),"")</f>
        <v>CHP plants - other oil products</v>
      </c>
      <c r="AD290" s="4" t="s">
        <v>189</v>
      </c>
      <c r="AE290" s="4" t="s">
        <v>922</v>
      </c>
      <c r="AF290" s="4" t="s">
        <v>642</v>
      </c>
      <c r="AG290" s="4" t="s">
        <v>1</v>
      </c>
      <c r="AH290" s="4" t="s">
        <v>696</v>
      </c>
      <c r="AI290" s="12" t="s">
        <v>1416</v>
      </c>
      <c r="AK290" s="24" t="str" cm="1">
        <f t="array" ref="AK290">IFERROR(INDEX(Transactions[[Transaction code]:[Transaction name]],_xlfn.XMATCH(Transactions[[#This Row],[Parent code]],Transactions[Transaction name],0),3),Transactions[[#This Row],[Transaction name]])</f>
        <v>CHP plants - Autoproducer - other oil products</v>
      </c>
      <c r="AL290" s="24" t="str" cm="1">
        <f t="array" ref="AL290">IFERROR(INDEX(Transactions[[Transaction code]:[Transaction name]],_xlfn.XMATCH(INDEX(Transactions[[Transaction name]:[Parent code]],_xlfn.XMATCH(Transactions[[#This Row],[L1N]],Transactions[Transaction name],0),3),Transactions[Transaction code],0),2),Transactions[[#This Row],[L1N]])</f>
        <v>CHP plants - other oil products</v>
      </c>
      <c r="AM290" s="24" t="str" cm="1">
        <f t="array" ref="AM290">IFERROR(INDEX(Transactions[[Transaction code]:[Transaction name]],_xlfn.XMATCH(INDEX(Transactions[[Transaction name]:[Parent code]],_xlfn.XMATCH(Transactions[[#This Row],[L2N]],Transactions[Transaction name],0),3),Transactions[Transaction code],0),2),Transactions[[#This Row],[L2N]])</f>
        <v>CHP plants</v>
      </c>
      <c r="AN290" s="24" t="str" cm="1">
        <f t="array" ref="AN290">IFERROR(INDEX(Transactions[[Transaction code]:[Transaction name]],_xlfn.XMATCH(INDEX(Transactions[[Transaction name]:[Parent code]],_xlfn.XMATCH(Transactions[[#This Row],[L3N]],Transactions[Transaction name],0),3),Transactions[Transaction code],0),2),Transactions[[#This Row],[L3N]])</f>
        <v>Electricity, CHP and heat plants (T)</v>
      </c>
      <c r="AO290" s="24" t="str" cm="1">
        <f t="array" ref="AO290">IFERROR(INDEX(Transactions[[Transaction code]:[Transaction name]],_xlfn.XMATCH(INDEX(Transactions[[Transaction name]:[Parent code]],_xlfn.XMATCH(Transactions[[#This Row],[L4N]],Transactions[Transaction name],0),3),Transactions[Transaction code],0),2),Transactions[[#This Row],[L4N]])</f>
        <v>Transformation</v>
      </c>
      <c r="AP290" s="24" t="str" cm="1">
        <f t="array" ref="AP290">IFERROR(INDEX(Transactions[[Transaction code]:[Transaction name]],_xlfn.XMATCH(INDEX(Transactions[[Transaction name]:[Parent code]],_xlfn.XMATCH(Transactions[[#This Row],[L5N]],Transactions[Transaction name],0),3),Transactions[Transaction code],0),2),Transactions[[#This Row],[L5N]])</f>
        <v>Transformation</v>
      </c>
      <c r="AQ290" s="24" t="str" cm="1">
        <f t="array" ref="AQ290">IFERROR(INDEX(Transactions[[Transaction code]:[Transaction name]],_xlfn.XMATCH(INDEX(Transactions[[Transaction name]:[Parent code]],_xlfn.XMATCH(Transactions[[#This Row],[L6N]],Transactions[Transaction name],0),3),Transactions[Transaction code],0),2),Transactions[[#This Row],[L6N]])</f>
        <v>Transformation</v>
      </c>
      <c r="AR290" s="28" t="str">
        <f>IF(Transactions[[#This Row],[L7N]]=Transactions[[#This Row],[L6N]],Transactions[[#This Row],[L7N]],IF(Transactions[[#This Row],[L6N]]=Transactions[[#This Row],[L5N]],Transactions[[#This Row],[L6N]],IF(Transactions[[#This Row],[L5N]]=Transactions[[#This Row],[L4N]],Transactions[[#This Row],[L5N]],IF(Transactions[[#This Row],[L4N]]=Transactions[[#This Row],[L3N]],Transactions[[#This Row],[L4N]],IF(Transactions[[#This Row],[L3N]]=Transactions[[#This Row],[L2N]],Transactions[[#This Row],[L3N]],IF(Transactions[[#This Row],[L2N]]=Transactions[[#This Row],[L1N]],Transactions[[#This Row],[L2N]],IF(Transactions[[#This Row],[L1N]]=Transactions[[#This Row],[Transaction name]],Transactions[[#This Row],[L1N]],Transactions[[#This Row],[Transaction name]])))))))</f>
        <v>Transformation</v>
      </c>
      <c r="AS290" s="24" t="str">
        <f>IF(Transactions[[#This Row],[Level 0]]=Transactions[[#This Row],[Transaction name]],Transactions[[#This Row],[Transaction name]],IF(Transactions[[#This Row],[Level 0]]=Transactions[[#This Row],[L1N]],Transactions[[#This Row],[Transaction name]],IF(Transactions[[#This Row],[Level 0]]=Transactions[[#This Row],[L2N]],Transactions[[#This Row],[L1N]],IF(Transactions[[#This Row],[Level 0]]=Transactions[[#This Row],[L3N]],Transactions[[#This Row],[L2N]],IF(Transactions[[#This Row],[Level 0]]=Transactions[[#This Row],[L4N]],Transactions[[#This Row],[L3N]],IF(Transactions[[#This Row],[Level 0]]=Transactions[[#This Row],[L5N]],Transactions[[#This Row],[L4N]],IF(Transactions[[#This Row],[Level 0]]=Transactions[[#This Row],[L6N]],Transactions[[#This Row],[L5N]],IF(Transactions[[#This Row],[Level 0]]=Transactions[[#This Row],[L7N]],Transactions[[#This Row],[L6N]],Transactions[[#This Row],[L7N]]))))))))</f>
        <v>Electricity, CHP and heat plants (T)</v>
      </c>
      <c r="AT290" s="24" t="str">
        <f>IF(Transactions[[#This Row],[Level 1]]=Transactions[[#This Row],[Transaction name]],Transactions[[#This Row],[Transaction name]],IF(Transactions[[#This Row],[Level 1]]=Transactions[[#This Row],[L1N]],Transactions[[#This Row],[Transaction name]],IF(Transactions[[#This Row],[Level 1]]=Transactions[[#This Row],[L2N]],Transactions[[#This Row],[L1N]],IF(Transactions[[#This Row],[Level 1]]=Transactions[[#This Row],[L3N]],Transactions[[#This Row],[L2N]],IF(Transactions[[#This Row],[Level 1]]=Transactions[[#This Row],[L4N]],Transactions[[#This Row],[L3N]],IF(Transactions[[#This Row],[Level 1]]=Transactions[[#This Row],[L5N]],Transactions[[#This Row],[L4N]],IF(Transactions[[#This Row],[Level 1]]=Transactions[[#This Row],[L6N]],Transactions[[#This Row],[L5N]],IF(Transactions[[#This Row],[Level 1]]=Transactions[[#This Row],[L7N]],Transactions[[#This Row],[L6N]],Transactions[[#This Row],[L7N]]))))))))</f>
        <v>CHP plants</v>
      </c>
      <c r="AU290" s="24" t="str">
        <f>IF(Transactions[[#This Row],[Level 2]]=Transactions[[#This Row],[Transaction name]],Transactions[[#This Row],[Transaction name]],IF(Transactions[[#This Row],[Level 2]]=Transactions[[#This Row],[L1N]],Transactions[[#This Row],[Transaction name]],IF(Transactions[[#This Row],[Level 2]]=Transactions[[#This Row],[L2N]],Transactions[[#This Row],[L1N]],IF(Transactions[[#This Row],[Level 2]]=Transactions[[#This Row],[L3N]],Transactions[[#This Row],[L2N]],IF(Transactions[[#This Row],[Level 2]]=Transactions[[#This Row],[L4N]],Transactions[[#This Row],[L3N]],IF(Transactions[[#This Row],[Level 2]]=Transactions[[#This Row],[L5N]],Transactions[[#This Row],[L4N]],IF(Transactions[[#This Row],[Level 2]]=Transactions[[#This Row],[L6N]],Transactions[[#This Row],[L5N]],IF(Transactions[[#This Row],[Level 2]]=Transactions[[#This Row],[L7N]],Transactions[[#This Row],[L6N]],Transactions[[#This Row],[L7N]]))))))))</f>
        <v>CHP plants - other oil products</v>
      </c>
      <c r="AV290" s="24" t="str">
        <f>IF(Transactions[[#This Row],[Level 3]]=Transactions[[#This Row],[Transaction name]],Transactions[[#This Row],[Transaction name]],IF(Transactions[[#This Row],[Level 3]]=Transactions[[#This Row],[L1N]],Transactions[[#This Row],[Transaction name]],IF(Transactions[[#This Row],[Level 3]]=Transactions[[#This Row],[L2N]],Transactions[[#This Row],[L1N]],IF(Transactions[[#This Row],[Level 3]]=Transactions[[#This Row],[L3N]],Transactions[[#This Row],[L2N]],IF(Transactions[[#This Row],[Level 3]]=Transactions[[#This Row],[L4N]],Transactions[[#This Row],[L3N]],IF(Transactions[[#This Row],[Level 3]]=Transactions[[#This Row],[L5N]],Transactions[[#This Row],[L4N]],IF(Transactions[[#This Row],[Level 3]]=Transactions[[#This Row],[L6N]],Transactions[[#This Row],[L5N]],IF(Transactions[[#This Row],[Level 3]]=Transactions[[#This Row],[L7N]],Transactions[[#This Row],[L6N]],Transactions[[#This Row],[L7N]]))))))))</f>
        <v>CHP plants - Autoproducer - other oil products</v>
      </c>
      <c r="AW290" s="24" t="str">
        <f>IF(Transactions[[#This Row],[Level 4]]=Transactions[[#This Row],[Transaction name]],Transactions[[#This Row],[Transaction name]],IF(Transactions[[#This Row],[Level 4]]=Transactions[[#This Row],[L1N]],Transactions[[#This Row],[Transaction name]],IF(Transactions[[#This Row],[Level 4]]=Transactions[[#This Row],[L2N]],Transactions[[#This Row],[L1N]],IF(Transactions[[#This Row],[Level 4]]=Transactions[[#This Row],[L3N]],Transactions[[#This Row],[L2N]],IF(Transactions[[#This Row],[Level 4]]=Transactions[[#This Row],[L4N]],Transactions[[#This Row],[L3N]],IF(Transactions[[#This Row],[Level 4]]=Transactions[[#This Row],[L5N]],Transactions[[#This Row],[L4N]],IF(Transactions[[#This Row],[Level 4]]=Transactions[[#This Row],[L6N]],Transactions[[#This Row],[L5N]],IF(Transactions[[#This Row],[Level 4]]=Transactions[[#This Row],[L7N]],Transactions[[#This Row],[L6N]],Transactions[[#This Row],[L7N]]))))))))</f>
        <v>CHP plants - Autoproducer - other oil products</v>
      </c>
      <c r="AX290" s="24" t="str">
        <f>IF(Transactions[[#This Row],[Level 5]]=Transactions[[#This Row],[Transaction name]],Transactions[[#This Row],[Transaction name]],IF(Transactions[[#This Row],[Level 5]]=Transactions[[#This Row],[L1N]],Transactions[[#This Row],[Transaction name]],IF(Transactions[[#This Row],[Level 5]]=Transactions[[#This Row],[L2N]],Transactions[[#This Row],[L1N]],IF(Transactions[[#This Row],[Level 5]]=Transactions[[#This Row],[L3N]],Transactions[[#This Row],[L2N]],IF(Transactions[[#This Row],[Level 5]]=Transactions[[#This Row],[L4N]],Transactions[[#This Row],[L3N]],IF(Transactions[[#This Row],[Level 5]]=Transactions[[#This Row],[L5N]],Transactions[[#This Row],[L4N]],IF(Transactions[[#This Row],[Level 5]]=Transactions[[#This Row],[L6N]],Transactions[[#This Row],[L5N]],IF(Transactions[[#This Row],[Level 5]]=Transactions[[#This Row],[L7N]],Transactions[[#This Row],[L6N]],Transactions[[#This Row],[L7N]]))))))))</f>
        <v>CHP plants - Autoproducer - other oil products</v>
      </c>
      <c r="AY290" s="24" t="str">
        <f>IF(Transactions[[#This Row],[Level 6]]=Transactions[[#This Row],[Transaction name]],Transactions[[#This Row],[Transaction name]],IF(Transactions[[#This Row],[Level 6]]=Transactions[[#This Row],[L1N]],Transactions[[#This Row],[Transaction name]],IF(Transactions[[#This Row],[Level 6]]=Transactions[[#This Row],[L2N]],Transactions[[#This Row],[L1N]],IF(Transactions[[#This Row],[Level 6]]=Transactions[[#This Row],[L3N]],Transactions[[#This Row],[L2N]],IF(Transactions[[#This Row],[Level 6]]=Transactions[[#This Row],[L4N]],Transactions[[#This Row],[L3N]],IF(Transactions[[#This Row],[Level 6]]=Transactions[[#This Row],[L5N]],Transactions[[#This Row],[L4N]],IF(Transactions[[#This Row],[Level 6]]=Transactions[[#This Row],[L6N]],Transactions[[#This Row],[L5N]],IF(Transactions[[#This Row],[Level 6]]=Transactions[[#This Row],[L7N]],Transactions[[#This Row],[L6N]],Transactions[[#This Row],[L7N]]))))))))</f>
        <v>CHP plants - Autoproducer - other oil products</v>
      </c>
      <c r="BE290" s="26" t="str">
        <f>_xlfn.XLOOKUP(Transformation[[#This Row],[cfrom]],Commodities[Commodity],Commodities[Commodity code])</f>
        <v>4500</v>
      </c>
      <c r="BF290" s="26" t="str">
        <f>_xlfn.XLOOKUP(Transformation[[#This Row],[tfrom]],Transactions[Transaction name],Transactions[Transaction code])</f>
        <v>022H</v>
      </c>
      <c r="BG290" s="26" t="str">
        <f>_xlfn.XLOOKUP(Transformation[[#This Row],[cto]],Commodities[Commodity],Commodities[Commodity code])</f>
        <v>4500</v>
      </c>
      <c r="BH290" s="26" t="str">
        <f>_xlfn.XLOOKUP(Transformation[[#This Row],[tto]],Transactions[Transaction name],Transactions[Transaction code])</f>
        <v>085LP</v>
      </c>
      <c r="BI290" s="32">
        <v>-0.6</v>
      </c>
      <c r="BJ290" s="22" t="s">
        <v>424</v>
      </c>
      <c r="BK290" s="26" t="str">
        <f>_xlfn.XLOOKUP(Transformation[[#This Row],[Commodity from]],Commodities[Commodity code],Commodities[EnergyCode])</f>
        <v>OH</v>
      </c>
      <c r="BL290" s="22" t="s">
        <v>203</v>
      </c>
      <c r="BM290" s="22" t="s">
        <v>424</v>
      </c>
      <c r="BN290" s="26" t="str">
        <f>_xlfn.XLOOKUP(Transformation[[#This Row],[Commodity to]],Commodities[Commodity code],Commodities[EnergyCode])</f>
        <v>OH</v>
      </c>
      <c r="BO290" s="22" t="s">
        <v>726</v>
      </c>
      <c r="BP290" s="22" t="s">
        <v>1642</v>
      </c>
      <c r="BQ290" s="33" t="str">
        <f>Transformation[[#This Row],[Commodity from]]&amp;Transformation[[#This Row],[Transaction from]]&amp;Transformation[[#This Row],[Commodity to]]&amp;Transformation[[#This Row],[Transaction to]]</f>
        <v>4500022H4500085LP</v>
      </c>
      <c r="BR290" s="26" t="str">
        <f>Transformation[[#This Row],[crfomid]]&amp;Transformation[[#This Row],[Transaction from]]&amp;"("&amp;Transformation[[#This Row],[Multiplier]]&amp;") -&gt; "&amp;Transformation[[#This Row],[ctoid]]&amp;Transformation[[#This Row],[Transaction to]]</f>
        <v>OH022H(-0.6) -&gt; OH085LP</v>
      </c>
    </row>
    <row r="291" spans="25:70" x14ac:dyDescent="0.45">
      <c r="Y291" s="5" t="s">
        <v>1010</v>
      </c>
      <c r="Z291" s="7" t="s">
        <v>1050</v>
      </c>
      <c r="AA291" s="4" t="s">
        <v>1335</v>
      </c>
      <c r="AB291" s="19" t="s">
        <v>1626</v>
      </c>
      <c r="AC291" s="24" t="str">
        <f>IFERROR(VLOOKUP(Transactions[[#This Row],[Parent code]],Transactions[[Transaction code]:[Transaction name]],2,0),"")</f>
        <v>CHP plants - other oil products</v>
      </c>
      <c r="AD291" s="4" t="s">
        <v>189</v>
      </c>
      <c r="AE291" s="4" t="s">
        <v>922</v>
      </c>
      <c r="AF291" s="4" t="s">
        <v>642</v>
      </c>
      <c r="AG291" s="4" t="s">
        <v>1</v>
      </c>
      <c r="AH291" s="4" t="s">
        <v>696</v>
      </c>
      <c r="AI291" s="12" t="s">
        <v>1416</v>
      </c>
      <c r="AK291" s="24" t="str" cm="1">
        <f t="array" ref="AK291">IFERROR(INDEX(Transactions[[Transaction code]:[Transaction name]],_xlfn.XMATCH(Transactions[[#This Row],[Parent code]],Transactions[Transaction name],0),3),Transactions[[#This Row],[Transaction name]])</f>
        <v>CHP plants - Main activity - other oil products</v>
      </c>
      <c r="AL291" s="24" t="str" cm="1">
        <f t="array" ref="AL291">IFERROR(INDEX(Transactions[[Transaction code]:[Transaction name]],_xlfn.XMATCH(INDEX(Transactions[[Transaction name]:[Parent code]],_xlfn.XMATCH(Transactions[[#This Row],[L1N]],Transactions[Transaction name],0),3),Transactions[Transaction code],0),2),Transactions[[#This Row],[L1N]])</f>
        <v>CHP plants - other oil products</v>
      </c>
      <c r="AM291" s="24" t="str" cm="1">
        <f t="array" ref="AM291">IFERROR(INDEX(Transactions[[Transaction code]:[Transaction name]],_xlfn.XMATCH(INDEX(Transactions[[Transaction name]:[Parent code]],_xlfn.XMATCH(Transactions[[#This Row],[L2N]],Transactions[Transaction name],0),3),Transactions[Transaction code],0),2),Transactions[[#This Row],[L2N]])</f>
        <v>CHP plants</v>
      </c>
      <c r="AN291" s="24" t="str" cm="1">
        <f t="array" ref="AN291">IFERROR(INDEX(Transactions[[Transaction code]:[Transaction name]],_xlfn.XMATCH(INDEX(Transactions[[Transaction name]:[Parent code]],_xlfn.XMATCH(Transactions[[#This Row],[L3N]],Transactions[Transaction name],0),3),Transactions[Transaction code],0),2),Transactions[[#This Row],[L3N]])</f>
        <v>Electricity, CHP and heat plants (T)</v>
      </c>
      <c r="AO291" s="24" t="str" cm="1">
        <f t="array" ref="AO291">IFERROR(INDEX(Transactions[[Transaction code]:[Transaction name]],_xlfn.XMATCH(INDEX(Transactions[[Transaction name]:[Parent code]],_xlfn.XMATCH(Transactions[[#This Row],[L4N]],Transactions[Transaction name],0),3),Transactions[Transaction code],0),2),Transactions[[#This Row],[L4N]])</f>
        <v>Transformation</v>
      </c>
      <c r="AP291" s="24" t="str" cm="1">
        <f t="array" ref="AP291">IFERROR(INDEX(Transactions[[Transaction code]:[Transaction name]],_xlfn.XMATCH(INDEX(Transactions[[Transaction name]:[Parent code]],_xlfn.XMATCH(Transactions[[#This Row],[L5N]],Transactions[Transaction name],0),3),Transactions[Transaction code],0),2),Transactions[[#This Row],[L5N]])</f>
        <v>Transformation</v>
      </c>
      <c r="AQ291" s="24" t="str" cm="1">
        <f t="array" ref="AQ291">IFERROR(INDEX(Transactions[[Transaction code]:[Transaction name]],_xlfn.XMATCH(INDEX(Transactions[[Transaction name]:[Parent code]],_xlfn.XMATCH(Transactions[[#This Row],[L6N]],Transactions[Transaction name],0),3),Transactions[Transaction code],0),2),Transactions[[#This Row],[L6N]])</f>
        <v>Transformation</v>
      </c>
      <c r="AR291" s="28" t="str">
        <f>IF(Transactions[[#This Row],[L7N]]=Transactions[[#This Row],[L6N]],Transactions[[#This Row],[L7N]],IF(Transactions[[#This Row],[L6N]]=Transactions[[#This Row],[L5N]],Transactions[[#This Row],[L6N]],IF(Transactions[[#This Row],[L5N]]=Transactions[[#This Row],[L4N]],Transactions[[#This Row],[L5N]],IF(Transactions[[#This Row],[L4N]]=Transactions[[#This Row],[L3N]],Transactions[[#This Row],[L4N]],IF(Transactions[[#This Row],[L3N]]=Transactions[[#This Row],[L2N]],Transactions[[#This Row],[L3N]],IF(Transactions[[#This Row],[L2N]]=Transactions[[#This Row],[L1N]],Transactions[[#This Row],[L2N]],IF(Transactions[[#This Row],[L1N]]=Transactions[[#This Row],[Transaction name]],Transactions[[#This Row],[L1N]],Transactions[[#This Row],[Transaction name]])))))))</f>
        <v>Transformation</v>
      </c>
      <c r="AS291" s="24" t="str">
        <f>IF(Transactions[[#This Row],[Level 0]]=Transactions[[#This Row],[Transaction name]],Transactions[[#This Row],[Transaction name]],IF(Transactions[[#This Row],[Level 0]]=Transactions[[#This Row],[L1N]],Transactions[[#This Row],[Transaction name]],IF(Transactions[[#This Row],[Level 0]]=Transactions[[#This Row],[L2N]],Transactions[[#This Row],[L1N]],IF(Transactions[[#This Row],[Level 0]]=Transactions[[#This Row],[L3N]],Transactions[[#This Row],[L2N]],IF(Transactions[[#This Row],[Level 0]]=Transactions[[#This Row],[L4N]],Transactions[[#This Row],[L3N]],IF(Transactions[[#This Row],[Level 0]]=Transactions[[#This Row],[L5N]],Transactions[[#This Row],[L4N]],IF(Transactions[[#This Row],[Level 0]]=Transactions[[#This Row],[L6N]],Transactions[[#This Row],[L5N]],IF(Transactions[[#This Row],[Level 0]]=Transactions[[#This Row],[L7N]],Transactions[[#This Row],[L6N]],Transactions[[#This Row],[L7N]]))))))))</f>
        <v>Electricity, CHP and heat plants (T)</v>
      </c>
      <c r="AT291" s="24" t="str">
        <f>IF(Transactions[[#This Row],[Level 1]]=Transactions[[#This Row],[Transaction name]],Transactions[[#This Row],[Transaction name]],IF(Transactions[[#This Row],[Level 1]]=Transactions[[#This Row],[L1N]],Transactions[[#This Row],[Transaction name]],IF(Transactions[[#This Row],[Level 1]]=Transactions[[#This Row],[L2N]],Transactions[[#This Row],[L1N]],IF(Transactions[[#This Row],[Level 1]]=Transactions[[#This Row],[L3N]],Transactions[[#This Row],[L2N]],IF(Transactions[[#This Row],[Level 1]]=Transactions[[#This Row],[L4N]],Transactions[[#This Row],[L3N]],IF(Transactions[[#This Row],[Level 1]]=Transactions[[#This Row],[L5N]],Transactions[[#This Row],[L4N]],IF(Transactions[[#This Row],[Level 1]]=Transactions[[#This Row],[L6N]],Transactions[[#This Row],[L5N]],IF(Transactions[[#This Row],[Level 1]]=Transactions[[#This Row],[L7N]],Transactions[[#This Row],[L6N]],Transactions[[#This Row],[L7N]]))))))))</f>
        <v>CHP plants</v>
      </c>
      <c r="AU291" s="24" t="str">
        <f>IF(Transactions[[#This Row],[Level 2]]=Transactions[[#This Row],[Transaction name]],Transactions[[#This Row],[Transaction name]],IF(Transactions[[#This Row],[Level 2]]=Transactions[[#This Row],[L1N]],Transactions[[#This Row],[Transaction name]],IF(Transactions[[#This Row],[Level 2]]=Transactions[[#This Row],[L2N]],Transactions[[#This Row],[L1N]],IF(Transactions[[#This Row],[Level 2]]=Transactions[[#This Row],[L3N]],Transactions[[#This Row],[L2N]],IF(Transactions[[#This Row],[Level 2]]=Transactions[[#This Row],[L4N]],Transactions[[#This Row],[L3N]],IF(Transactions[[#This Row],[Level 2]]=Transactions[[#This Row],[L5N]],Transactions[[#This Row],[L4N]],IF(Transactions[[#This Row],[Level 2]]=Transactions[[#This Row],[L6N]],Transactions[[#This Row],[L5N]],IF(Transactions[[#This Row],[Level 2]]=Transactions[[#This Row],[L7N]],Transactions[[#This Row],[L6N]],Transactions[[#This Row],[L7N]]))))))))</f>
        <v>CHP plants - other oil products</v>
      </c>
      <c r="AV291" s="24" t="str">
        <f>IF(Transactions[[#This Row],[Level 3]]=Transactions[[#This Row],[Transaction name]],Transactions[[#This Row],[Transaction name]],IF(Transactions[[#This Row],[Level 3]]=Transactions[[#This Row],[L1N]],Transactions[[#This Row],[Transaction name]],IF(Transactions[[#This Row],[Level 3]]=Transactions[[#This Row],[L2N]],Transactions[[#This Row],[L1N]],IF(Transactions[[#This Row],[Level 3]]=Transactions[[#This Row],[L3N]],Transactions[[#This Row],[L2N]],IF(Transactions[[#This Row],[Level 3]]=Transactions[[#This Row],[L4N]],Transactions[[#This Row],[L3N]],IF(Transactions[[#This Row],[Level 3]]=Transactions[[#This Row],[L5N]],Transactions[[#This Row],[L4N]],IF(Transactions[[#This Row],[Level 3]]=Transactions[[#This Row],[L6N]],Transactions[[#This Row],[L5N]],IF(Transactions[[#This Row],[Level 3]]=Transactions[[#This Row],[L7N]],Transactions[[#This Row],[L6N]],Transactions[[#This Row],[L7N]]))))))))</f>
        <v>CHP plants - Main activity - other oil products</v>
      </c>
      <c r="AW291" s="24" t="str">
        <f>IF(Transactions[[#This Row],[Level 4]]=Transactions[[#This Row],[Transaction name]],Transactions[[#This Row],[Transaction name]],IF(Transactions[[#This Row],[Level 4]]=Transactions[[#This Row],[L1N]],Transactions[[#This Row],[Transaction name]],IF(Transactions[[#This Row],[Level 4]]=Transactions[[#This Row],[L2N]],Transactions[[#This Row],[L1N]],IF(Transactions[[#This Row],[Level 4]]=Transactions[[#This Row],[L3N]],Transactions[[#This Row],[L2N]],IF(Transactions[[#This Row],[Level 4]]=Transactions[[#This Row],[L4N]],Transactions[[#This Row],[L3N]],IF(Transactions[[#This Row],[Level 4]]=Transactions[[#This Row],[L5N]],Transactions[[#This Row],[L4N]],IF(Transactions[[#This Row],[Level 4]]=Transactions[[#This Row],[L6N]],Transactions[[#This Row],[L5N]],IF(Transactions[[#This Row],[Level 4]]=Transactions[[#This Row],[L7N]],Transactions[[#This Row],[L6N]],Transactions[[#This Row],[L7N]]))))))))</f>
        <v>CHP plants - Main activity - other oil products</v>
      </c>
      <c r="AX291" s="24" t="str">
        <f>IF(Transactions[[#This Row],[Level 5]]=Transactions[[#This Row],[Transaction name]],Transactions[[#This Row],[Transaction name]],IF(Transactions[[#This Row],[Level 5]]=Transactions[[#This Row],[L1N]],Transactions[[#This Row],[Transaction name]],IF(Transactions[[#This Row],[Level 5]]=Transactions[[#This Row],[L2N]],Transactions[[#This Row],[L1N]],IF(Transactions[[#This Row],[Level 5]]=Transactions[[#This Row],[L3N]],Transactions[[#This Row],[L2N]],IF(Transactions[[#This Row],[Level 5]]=Transactions[[#This Row],[L4N]],Transactions[[#This Row],[L3N]],IF(Transactions[[#This Row],[Level 5]]=Transactions[[#This Row],[L5N]],Transactions[[#This Row],[L4N]],IF(Transactions[[#This Row],[Level 5]]=Transactions[[#This Row],[L6N]],Transactions[[#This Row],[L5N]],IF(Transactions[[#This Row],[Level 5]]=Transactions[[#This Row],[L7N]],Transactions[[#This Row],[L6N]],Transactions[[#This Row],[L7N]]))))))))</f>
        <v>CHP plants - Main activity - other oil products</v>
      </c>
      <c r="AY291" s="24" t="str">
        <f>IF(Transactions[[#This Row],[Level 6]]=Transactions[[#This Row],[Transaction name]],Transactions[[#This Row],[Transaction name]],IF(Transactions[[#This Row],[Level 6]]=Transactions[[#This Row],[L1N]],Transactions[[#This Row],[Transaction name]],IF(Transactions[[#This Row],[Level 6]]=Transactions[[#This Row],[L2N]],Transactions[[#This Row],[L1N]],IF(Transactions[[#This Row],[Level 6]]=Transactions[[#This Row],[L3N]],Transactions[[#This Row],[L2N]],IF(Transactions[[#This Row],[Level 6]]=Transactions[[#This Row],[L4N]],Transactions[[#This Row],[L3N]],IF(Transactions[[#This Row],[Level 6]]=Transactions[[#This Row],[L5N]],Transactions[[#This Row],[L4N]],IF(Transactions[[#This Row],[Level 6]]=Transactions[[#This Row],[L6N]],Transactions[[#This Row],[L5N]],IF(Transactions[[#This Row],[Level 6]]=Transactions[[#This Row],[L7N]],Transactions[[#This Row],[L6N]],Transactions[[#This Row],[L7N]]))))))))</f>
        <v>CHP plants - Main activity - other oil products</v>
      </c>
      <c r="BE291" s="26" t="str">
        <f>_xlfn.XLOOKUP(Transformation[[#This Row],[cfrom]],Commodities[Commodity],Commodities[Commodity code])</f>
        <v>4500</v>
      </c>
      <c r="BF291" s="26" t="str">
        <f>_xlfn.XLOOKUP(Transformation[[#This Row],[tfrom]],Transactions[Transaction name],Transactions[Transaction code])</f>
        <v>022H</v>
      </c>
      <c r="BG291" s="26" t="str">
        <f>_xlfn.XLOOKUP(Transformation[[#This Row],[cto]],Commodities[Commodity],Commodities[Commodity code])</f>
        <v>4500</v>
      </c>
      <c r="BH291" s="26" t="str">
        <f>_xlfn.XLOOKUP(Transformation[[#This Row],[tto]],Transactions[Transaction name],Transactions[Transaction code])</f>
        <v>085GL</v>
      </c>
      <c r="BI291" s="32">
        <v>-0.4</v>
      </c>
      <c r="BJ291" s="22" t="s">
        <v>424</v>
      </c>
      <c r="BK291" s="26" t="str">
        <f>_xlfn.XLOOKUP(Transformation[[#This Row],[Commodity from]],Commodities[Commodity code],Commodities[EnergyCode])</f>
        <v>OH</v>
      </c>
      <c r="BL291" s="22" t="s">
        <v>203</v>
      </c>
      <c r="BM291" s="22" t="s">
        <v>424</v>
      </c>
      <c r="BN291" s="26" t="str">
        <f>_xlfn.XLOOKUP(Transformation[[#This Row],[Commodity to]],Commodities[Commodity code],Commodities[EnergyCode])</f>
        <v>OH</v>
      </c>
      <c r="BO291" s="22" t="s">
        <v>725</v>
      </c>
      <c r="BP291" s="22" t="s">
        <v>1643</v>
      </c>
      <c r="BQ291" s="33" t="str">
        <f>Transformation[[#This Row],[Commodity from]]&amp;Transformation[[#This Row],[Transaction from]]&amp;Transformation[[#This Row],[Commodity to]]&amp;Transformation[[#This Row],[Transaction to]]</f>
        <v>4500022H4500085GL</v>
      </c>
      <c r="BR291" s="26" t="str">
        <f>Transformation[[#This Row],[crfomid]]&amp;Transformation[[#This Row],[Transaction from]]&amp;"("&amp;Transformation[[#This Row],[Multiplier]]&amp;") -&gt; "&amp;Transformation[[#This Row],[ctoid]]&amp;Transformation[[#This Row],[Transaction to]]</f>
        <v>OH022H(-0.4) -&gt; OH085GL</v>
      </c>
    </row>
    <row r="292" spans="25:70" x14ac:dyDescent="0.45">
      <c r="Y292" s="19" t="s">
        <v>1626</v>
      </c>
      <c r="Z292" s="18" t="s">
        <v>1335</v>
      </c>
      <c r="AA292" s="18" t="s">
        <v>1335</v>
      </c>
      <c r="AB292" s="19" t="s">
        <v>1627</v>
      </c>
      <c r="AC292" s="26" t="str">
        <f>IFERROR(VLOOKUP(Transactions[[#This Row],[Parent code]],Transactions[[Transaction code]:[Transaction name]],2,0),"")</f>
        <v>CHP plants</v>
      </c>
      <c r="AD292" s="18" t="s">
        <v>189</v>
      </c>
      <c r="AE292" s="18" t="s">
        <v>922</v>
      </c>
      <c r="AF292" s="18" t="s">
        <v>642</v>
      </c>
      <c r="AG292" s="18" t="s">
        <v>1</v>
      </c>
      <c r="AH292" s="18" t="s">
        <v>696</v>
      </c>
      <c r="AI292" s="18" t="s">
        <v>1416</v>
      </c>
      <c r="AJ292" s="18"/>
      <c r="AK292" s="26" t="str" cm="1">
        <f t="array" ref="AK292">IFERROR(INDEX(Transactions[[Transaction code]:[Transaction name]],_xlfn.XMATCH(Transactions[[#This Row],[Parent code]],Transactions[Transaction name],0),3),Transactions[[#This Row],[Transaction name]])</f>
        <v>CHP plants - other oil products</v>
      </c>
      <c r="AL292" s="26" t="str" cm="1">
        <f t="array" ref="AL292">IFERROR(INDEX(Transactions[[Transaction code]:[Transaction name]],_xlfn.XMATCH(INDEX(Transactions[[Transaction name]:[Parent code]],_xlfn.XMATCH(Transactions[[#This Row],[L1N]],Transactions[Transaction name],0),3),Transactions[Transaction code],0),2),Transactions[[#This Row],[L1N]])</f>
        <v>CHP plants</v>
      </c>
      <c r="AM292" s="26" t="str" cm="1">
        <f t="array" ref="AM292">IFERROR(INDEX(Transactions[[Transaction code]:[Transaction name]],_xlfn.XMATCH(INDEX(Transactions[[Transaction name]:[Parent code]],_xlfn.XMATCH(Transactions[[#This Row],[L2N]],Transactions[Transaction name],0),3),Transactions[Transaction code],0),2),Transactions[[#This Row],[L2N]])</f>
        <v>Electricity, CHP and heat plants (T)</v>
      </c>
      <c r="AN292" s="26" t="str" cm="1">
        <f t="array" ref="AN292">IFERROR(INDEX(Transactions[[Transaction code]:[Transaction name]],_xlfn.XMATCH(INDEX(Transactions[[Transaction name]:[Parent code]],_xlfn.XMATCH(Transactions[[#This Row],[L3N]],Transactions[Transaction name],0),3),Transactions[Transaction code],0),2),Transactions[[#This Row],[L3N]])</f>
        <v>Transformation</v>
      </c>
      <c r="AO292" s="26" t="str" cm="1">
        <f t="array" ref="AO292">IFERROR(INDEX(Transactions[[Transaction code]:[Transaction name]],_xlfn.XMATCH(INDEX(Transactions[[Transaction name]:[Parent code]],_xlfn.XMATCH(Transactions[[#This Row],[L4N]],Transactions[Transaction name],0),3),Transactions[Transaction code],0),2),Transactions[[#This Row],[L4N]])</f>
        <v>Transformation</v>
      </c>
      <c r="AP292" s="26" t="str" cm="1">
        <f t="array" ref="AP292">IFERROR(INDEX(Transactions[[Transaction code]:[Transaction name]],_xlfn.XMATCH(INDEX(Transactions[[Transaction name]:[Parent code]],_xlfn.XMATCH(Transactions[[#This Row],[L5N]],Transactions[Transaction name],0),3),Transactions[Transaction code],0),2),Transactions[[#This Row],[L5N]])</f>
        <v>Transformation</v>
      </c>
      <c r="AQ292" s="26" t="str" cm="1">
        <f t="array" ref="AQ292">IFERROR(INDEX(Transactions[[Transaction code]:[Transaction name]],_xlfn.XMATCH(INDEX(Transactions[[Transaction name]:[Parent code]],_xlfn.XMATCH(Transactions[[#This Row],[L6N]],Transactions[Transaction name],0),3),Transactions[Transaction code],0),2),Transactions[[#This Row],[L6N]])</f>
        <v>Transformation</v>
      </c>
      <c r="AR292" s="29" t="str">
        <f>IF(Transactions[[#This Row],[L7N]]=Transactions[[#This Row],[L6N]],Transactions[[#This Row],[L7N]],IF(Transactions[[#This Row],[L6N]]=Transactions[[#This Row],[L5N]],Transactions[[#This Row],[L6N]],IF(Transactions[[#This Row],[L5N]]=Transactions[[#This Row],[L4N]],Transactions[[#This Row],[L5N]],IF(Transactions[[#This Row],[L4N]]=Transactions[[#This Row],[L3N]],Transactions[[#This Row],[L4N]],IF(Transactions[[#This Row],[L3N]]=Transactions[[#This Row],[L2N]],Transactions[[#This Row],[L3N]],IF(Transactions[[#This Row],[L2N]]=Transactions[[#This Row],[L1N]],Transactions[[#This Row],[L2N]],IF(Transactions[[#This Row],[L1N]]=Transactions[[#This Row],[Transaction name]],Transactions[[#This Row],[L1N]],Transactions[[#This Row],[Transaction name]])))))))</f>
        <v>Transformation</v>
      </c>
      <c r="AS292" s="26" t="str">
        <f>IF(Transactions[[#This Row],[Level 0]]=Transactions[[#This Row],[Transaction name]],Transactions[[#This Row],[Transaction name]],IF(Transactions[[#This Row],[Level 0]]=Transactions[[#This Row],[L1N]],Transactions[[#This Row],[Transaction name]],IF(Transactions[[#This Row],[Level 0]]=Transactions[[#This Row],[L2N]],Transactions[[#This Row],[L1N]],IF(Transactions[[#This Row],[Level 0]]=Transactions[[#This Row],[L3N]],Transactions[[#This Row],[L2N]],IF(Transactions[[#This Row],[Level 0]]=Transactions[[#This Row],[L4N]],Transactions[[#This Row],[L3N]],IF(Transactions[[#This Row],[Level 0]]=Transactions[[#This Row],[L5N]],Transactions[[#This Row],[L4N]],IF(Transactions[[#This Row],[Level 0]]=Transactions[[#This Row],[L6N]],Transactions[[#This Row],[L5N]],IF(Transactions[[#This Row],[Level 0]]=Transactions[[#This Row],[L7N]],Transactions[[#This Row],[L6N]],Transactions[[#This Row],[L7N]]))))))))</f>
        <v>Electricity, CHP and heat plants (T)</v>
      </c>
      <c r="AT292" s="26" t="str">
        <f>IF(Transactions[[#This Row],[Level 1]]=Transactions[[#This Row],[Transaction name]],Transactions[[#This Row],[Transaction name]],IF(Transactions[[#This Row],[Level 1]]=Transactions[[#This Row],[L1N]],Transactions[[#This Row],[Transaction name]],IF(Transactions[[#This Row],[Level 1]]=Transactions[[#This Row],[L2N]],Transactions[[#This Row],[L1N]],IF(Transactions[[#This Row],[Level 1]]=Transactions[[#This Row],[L3N]],Transactions[[#This Row],[L2N]],IF(Transactions[[#This Row],[Level 1]]=Transactions[[#This Row],[L4N]],Transactions[[#This Row],[L3N]],IF(Transactions[[#This Row],[Level 1]]=Transactions[[#This Row],[L5N]],Transactions[[#This Row],[L4N]],IF(Transactions[[#This Row],[Level 1]]=Transactions[[#This Row],[L6N]],Transactions[[#This Row],[L5N]],IF(Transactions[[#This Row],[Level 1]]=Transactions[[#This Row],[L7N]],Transactions[[#This Row],[L6N]],Transactions[[#This Row],[L7N]]))))))))</f>
        <v>CHP plants</v>
      </c>
      <c r="AU292" s="26" t="str">
        <f>IF(Transactions[[#This Row],[Level 2]]=Transactions[[#This Row],[Transaction name]],Transactions[[#This Row],[Transaction name]],IF(Transactions[[#This Row],[Level 2]]=Transactions[[#This Row],[L1N]],Transactions[[#This Row],[Transaction name]],IF(Transactions[[#This Row],[Level 2]]=Transactions[[#This Row],[L2N]],Transactions[[#This Row],[L1N]],IF(Transactions[[#This Row],[Level 2]]=Transactions[[#This Row],[L3N]],Transactions[[#This Row],[L2N]],IF(Transactions[[#This Row],[Level 2]]=Transactions[[#This Row],[L4N]],Transactions[[#This Row],[L3N]],IF(Transactions[[#This Row],[Level 2]]=Transactions[[#This Row],[L5N]],Transactions[[#This Row],[L4N]],IF(Transactions[[#This Row],[Level 2]]=Transactions[[#This Row],[L6N]],Transactions[[#This Row],[L5N]],IF(Transactions[[#This Row],[Level 2]]=Transactions[[#This Row],[L7N]],Transactions[[#This Row],[L6N]],Transactions[[#This Row],[L7N]]))))))))</f>
        <v>CHP plants - other oil products</v>
      </c>
      <c r="AV292" s="26" t="str">
        <f>IF(Transactions[[#This Row],[Level 3]]=Transactions[[#This Row],[Transaction name]],Transactions[[#This Row],[Transaction name]],IF(Transactions[[#This Row],[Level 3]]=Transactions[[#This Row],[L1N]],Transactions[[#This Row],[Transaction name]],IF(Transactions[[#This Row],[Level 3]]=Transactions[[#This Row],[L2N]],Transactions[[#This Row],[L1N]],IF(Transactions[[#This Row],[Level 3]]=Transactions[[#This Row],[L3N]],Transactions[[#This Row],[L2N]],IF(Transactions[[#This Row],[Level 3]]=Transactions[[#This Row],[L4N]],Transactions[[#This Row],[L3N]],IF(Transactions[[#This Row],[Level 3]]=Transactions[[#This Row],[L5N]],Transactions[[#This Row],[L4N]],IF(Transactions[[#This Row],[Level 3]]=Transactions[[#This Row],[L6N]],Transactions[[#This Row],[L5N]],IF(Transactions[[#This Row],[Level 3]]=Transactions[[#This Row],[L7N]],Transactions[[#This Row],[L6N]],Transactions[[#This Row],[L7N]]))))))))</f>
        <v>CHP plants - other oil products</v>
      </c>
      <c r="AW292" s="26" t="str">
        <f>IF(Transactions[[#This Row],[Level 4]]=Transactions[[#This Row],[Transaction name]],Transactions[[#This Row],[Transaction name]],IF(Transactions[[#This Row],[Level 4]]=Transactions[[#This Row],[L1N]],Transactions[[#This Row],[Transaction name]],IF(Transactions[[#This Row],[Level 4]]=Transactions[[#This Row],[L2N]],Transactions[[#This Row],[L1N]],IF(Transactions[[#This Row],[Level 4]]=Transactions[[#This Row],[L3N]],Transactions[[#This Row],[L2N]],IF(Transactions[[#This Row],[Level 4]]=Transactions[[#This Row],[L4N]],Transactions[[#This Row],[L3N]],IF(Transactions[[#This Row],[Level 4]]=Transactions[[#This Row],[L5N]],Transactions[[#This Row],[L4N]],IF(Transactions[[#This Row],[Level 4]]=Transactions[[#This Row],[L6N]],Transactions[[#This Row],[L5N]],IF(Transactions[[#This Row],[Level 4]]=Transactions[[#This Row],[L7N]],Transactions[[#This Row],[L6N]],Transactions[[#This Row],[L7N]]))))))))</f>
        <v>CHP plants - other oil products</v>
      </c>
      <c r="AX292" s="26" t="str">
        <f>IF(Transactions[[#This Row],[Level 5]]=Transactions[[#This Row],[Transaction name]],Transactions[[#This Row],[Transaction name]],IF(Transactions[[#This Row],[Level 5]]=Transactions[[#This Row],[L1N]],Transactions[[#This Row],[Transaction name]],IF(Transactions[[#This Row],[Level 5]]=Transactions[[#This Row],[L2N]],Transactions[[#This Row],[L1N]],IF(Transactions[[#This Row],[Level 5]]=Transactions[[#This Row],[L3N]],Transactions[[#This Row],[L2N]],IF(Transactions[[#This Row],[Level 5]]=Transactions[[#This Row],[L4N]],Transactions[[#This Row],[L3N]],IF(Transactions[[#This Row],[Level 5]]=Transactions[[#This Row],[L5N]],Transactions[[#This Row],[L4N]],IF(Transactions[[#This Row],[Level 5]]=Transactions[[#This Row],[L6N]],Transactions[[#This Row],[L5N]],IF(Transactions[[#This Row],[Level 5]]=Transactions[[#This Row],[L7N]],Transactions[[#This Row],[L6N]],Transactions[[#This Row],[L7N]]))))))))</f>
        <v>CHP plants - other oil products</v>
      </c>
      <c r="AY292" s="26" t="str">
        <f>IF(Transactions[[#This Row],[Level 6]]=Transactions[[#This Row],[Transaction name]],Transactions[[#This Row],[Transaction name]],IF(Transactions[[#This Row],[Level 6]]=Transactions[[#This Row],[L1N]],Transactions[[#This Row],[Transaction name]],IF(Transactions[[#This Row],[Level 6]]=Transactions[[#This Row],[L2N]],Transactions[[#This Row],[L1N]],IF(Transactions[[#This Row],[Level 6]]=Transactions[[#This Row],[L3N]],Transactions[[#This Row],[L2N]],IF(Transactions[[#This Row],[Level 6]]=Transactions[[#This Row],[L4N]],Transactions[[#This Row],[L3N]],IF(Transactions[[#This Row],[Level 6]]=Transactions[[#This Row],[L5N]],Transactions[[#This Row],[L4N]],IF(Transactions[[#This Row],[Level 6]]=Transactions[[#This Row],[L6N]],Transactions[[#This Row],[L5N]],IF(Transactions[[#This Row],[Level 6]]=Transactions[[#This Row],[L7N]],Transactions[[#This Row],[L6N]],Transactions[[#This Row],[L7N]]))))))))</f>
        <v>CHP plants - other oil products</v>
      </c>
      <c r="BE292" s="26" t="str">
        <f>_xlfn.XLOOKUP(Transformation[[#This Row],[cfrom]],Commodities[Commodity],Commodities[Commodity code])</f>
        <v>4500</v>
      </c>
      <c r="BF292" s="26" t="str">
        <f>_xlfn.XLOOKUP(Transformation[[#This Row],[tfrom]],Transactions[Transaction name],Transactions[Transaction code])</f>
        <v>022H</v>
      </c>
      <c r="BG292" s="26" t="str">
        <f>_xlfn.XLOOKUP(Transformation[[#This Row],[cto]],Commodities[Commodity],Commodities[Commodity code])</f>
        <v>4500</v>
      </c>
      <c r="BH292" s="26" t="str">
        <f>_xlfn.XLOOKUP(Transformation[[#This Row],[tto]],Transactions[Transaction name],Transactions[Transaction code])</f>
        <v>022H</v>
      </c>
      <c r="BI292" s="32">
        <v>-1</v>
      </c>
      <c r="BJ292" s="22" t="s">
        <v>424</v>
      </c>
      <c r="BK292" s="26" t="str">
        <f>_xlfn.XLOOKUP(Transformation[[#This Row],[Commodity from]],Commodities[Commodity code],Commodities[EnergyCode])</f>
        <v>OH</v>
      </c>
      <c r="BL292" s="22" t="s">
        <v>203</v>
      </c>
      <c r="BM292" s="22" t="s">
        <v>424</v>
      </c>
      <c r="BN292" s="26" t="str">
        <f>_xlfn.XLOOKUP(Transformation[[#This Row],[Commodity to]],Commodities[Commodity code],Commodities[EnergyCode])</f>
        <v>OH</v>
      </c>
      <c r="BO292" s="22" t="s">
        <v>203</v>
      </c>
      <c r="BP292" s="22" t="s">
        <v>1639</v>
      </c>
      <c r="BQ292" s="33" t="str">
        <f>Transformation[[#This Row],[Commodity from]]&amp;Transformation[[#This Row],[Transaction from]]&amp;Transformation[[#This Row],[Commodity to]]&amp;Transformation[[#This Row],[Transaction to]]</f>
        <v>4500022H4500022H</v>
      </c>
      <c r="BR292" s="26" t="str">
        <f>Transformation[[#This Row],[crfomid]]&amp;Transformation[[#This Row],[Transaction from]]&amp;"("&amp;Transformation[[#This Row],[Multiplier]]&amp;") -&gt; "&amp;Transformation[[#This Row],[ctoid]]&amp;Transformation[[#This Row],[Transaction to]]</f>
        <v>OH022H(-1) -&gt; OH022H</v>
      </c>
    </row>
    <row r="293" spans="25:70" x14ac:dyDescent="0.45">
      <c r="Y293" s="5" t="s">
        <v>1134</v>
      </c>
      <c r="Z293" s="7" t="s">
        <v>1126</v>
      </c>
      <c r="AA293" s="4" t="s">
        <v>1363</v>
      </c>
      <c r="AB293" s="19" t="s">
        <v>1610</v>
      </c>
      <c r="AC293" s="24" t="str">
        <f>IFERROR(VLOOKUP(Transactions[[#This Row],[Parent code]],Transactions[[Transaction code]:[Transaction name]],2,0),"")</f>
        <v>CHP plants - other solid biofuels</v>
      </c>
      <c r="AD293" s="4" t="s">
        <v>189</v>
      </c>
      <c r="AE293" s="4" t="s">
        <v>922</v>
      </c>
      <c r="AF293" s="4" t="s">
        <v>642</v>
      </c>
      <c r="AG293" s="4" t="s">
        <v>1</v>
      </c>
      <c r="AH293" s="4" t="s">
        <v>696</v>
      </c>
      <c r="AI293" s="12" t="s">
        <v>1416</v>
      </c>
      <c r="AK293" s="24" t="str" cm="1">
        <f t="array" ref="AK293">IFERROR(INDEX(Transactions[[Transaction code]:[Transaction name]],_xlfn.XMATCH(Transactions[[#This Row],[Parent code]],Transactions[Transaction name],0),3),Transactions[[#This Row],[Transaction name]])</f>
        <v>CHP plants - Autoproducer - other solid biofuels</v>
      </c>
      <c r="AL293" s="24" t="str" cm="1">
        <f t="array" ref="AL293">IFERROR(INDEX(Transactions[[Transaction code]:[Transaction name]],_xlfn.XMATCH(INDEX(Transactions[[Transaction name]:[Parent code]],_xlfn.XMATCH(Transactions[[#This Row],[L1N]],Transactions[Transaction name],0),3),Transactions[Transaction code],0),2),Transactions[[#This Row],[L1N]])</f>
        <v>CHP plants - other solid biofuels</v>
      </c>
      <c r="AM293" s="24" t="str" cm="1">
        <f t="array" ref="AM293">IFERROR(INDEX(Transactions[[Transaction code]:[Transaction name]],_xlfn.XMATCH(INDEX(Transactions[[Transaction name]:[Parent code]],_xlfn.XMATCH(Transactions[[#This Row],[L2N]],Transactions[Transaction name],0),3),Transactions[Transaction code],0),2),Transactions[[#This Row],[L2N]])</f>
        <v>CHP plants</v>
      </c>
      <c r="AN293" s="24" t="str" cm="1">
        <f t="array" ref="AN293">IFERROR(INDEX(Transactions[[Transaction code]:[Transaction name]],_xlfn.XMATCH(INDEX(Transactions[[Transaction name]:[Parent code]],_xlfn.XMATCH(Transactions[[#This Row],[L3N]],Transactions[Transaction name],0),3),Transactions[Transaction code],0),2),Transactions[[#This Row],[L3N]])</f>
        <v>Electricity, CHP and heat plants (T)</v>
      </c>
      <c r="AO293" s="24" t="str" cm="1">
        <f t="array" ref="AO293">IFERROR(INDEX(Transactions[[Transaction code]:[Transaction name]],_xlfn.XMATCH(INDEX(Transactions[[Transaction name]:[Parent code]],_xlfn.XMATCH(Transactions[[#This Row],[L4N]],Transactions[Transaction name],0),3),Transactions[Transaction code],0),2),Transactions[[#This Row],[L4N]])</f>
        <v>Transformation</v>
      </c>
      <c r="AP293" s="24" t="str" cm="1">
        <f t="array" ref="AP293">IFERROR(INDEX(Transactions[[Transaction code]:[Transaction name]],_xlfn.XMATCH(INDEX(Transactions[[Transaction name]:[Parent code]],_xlfn.XMATCH(Transactions[[#This Row],[L5N]],Transactions[Transaction name],0),3),Transactions[Transaction code],0),2),Transactions[[#This Row],[L5N]])</f>
        <v>Transformation</v>
      </c>
      <c r="AQ293" s="24" t="str" cm="1">
        <f t="array" ref="AQ293">IFERROR(INDEX(Transactions[[Transaction code]:[Transaction name]],_xlfn.XMATCH(INDEX(Transactions[[Transaction name]:[Parent code]],_xlfn.XMATCH(Transactions[[#This Row],[L6N]],Transactions[Transaction name],0),3),Transactions[Transaction code],0),2),Transactions[[#This Row],[L6N]])</f>
        <v>Transformation</v>
      </c>
      <c r="AR293" s="28" t="str">
        <f>IF(Transactions[[#This Row],[L7N]]=Transactions[[#This Row],[L6N]],Transactions[[#This Row],[L7N]],IF(Transactions[[#This Row],[L6N]]=Transactions[[#This Row],[L5N]],Transactions[[#This Row],[L6N]],IF(Transactions[[#This Row],[L5N]]=Transactions[[#This Row],[L4N]],Transactions[[#This Row],[L5N]],IF(Transactions[[#This Row],[L4N]]=Transactions[[#This Row],[L3N]],Transactions[[#This Row],[L4N]],IF(Transactions[[#This Row],[L3N]]=Transactions[[#This Row],[L2N]],Transactions[[#This Row],[L3N]],IF(Transactions[[#This Row],[L2N]]=Transactions[[#This Row],[L1N]],Transactions[[#This Row],[L2N]],IF(Transactions[[#This Row],[L1N]]=Transactions[[#This Row],[Transaction name]],Transactions[[#This Row],[L1N]],Transactions[[#This Row],[Transaction name]])))))))</f>
        <v>Transformation</v>
      </c>
      <c r="AS293" s="24" t="str">
        <f>IF(Transactions[[#This Row],[Level 0]]=Transactions[[#This Row],[Transaction name]],Transactions[[#This Row],[Transaction name]],IF(Transactions[[#This Row],[Level 0]]=Transactions[[#This Row],[L1N]],Transactions[[#This Row],[Transaction name]],IF(Transactions[[#This Row],[Level 0]]=Transactions[[#This Row],[L2N]],Transactions[[#This Row],[L1N]],IF(Transactions[[#This Row],[Level 0]]=Transactions[[#This Row],[L3N]],Transactions[[#This Row],[L2N]],IF(Transactions[[#This Row],[Level 0]]=Transactions[[#This Row],[L4N]],Transactions[[#This Row],[L3N]],IF(Transactions[[#This Row],[Level 0]]=Transactions[[#This Row],[L5N]],Transactions[[#This Row],[L4N]],IF(Transactions[[#This Row],[Level 0]]=Transactions[[#This Row],[L6N]],Transactions[[#This Row],[L5N]],IF(Transactions[[#This Row],[Level 0]]=Transactions[[#This Row],[L7N]],Transactions[[#This Row],[L6N]],Transactions[[#This Row],[L7N]]))))))))</f>
        <v>Electricity, CHP and heat plants (T)</v>
      </c>
      <c r="AT293" s="24" t="str">
        <f>IF(Transactions[[#This Row],[Level 1]]=Transactions[[#This Row],[Transaction name]],Transactions[[#This Row],[Transaction name]],IF(Transactions[[#This Row],[Level 1]]=Transactions[[#This Row],[L1N]],Transactions[[#This Row],[Transaction name]],IF(Transactions[[#This Row],[Level 1]]=Transactions[[#This Row],[L2N]],Transactions[[#This Row],[L1N]],IF(Transactions[[#This Row],[Level 1]]=Transactions[[#This Row],[L3N]],Transactions[[#This Row],[L2N]],IF(Transactions[[#This Row],[Level 1]]=Transactions[[#This Row],[L4N]],Transactions[[#This Row],[L3N]],IF(Transactions[[#This Row],[Level 1]]=Transactions[[#This Row],[L5N]],Transactions[[#This Row],[L4N]],IF(Transactions[[#This Row],[Level 1]]=Transactions[[#This Row],[L6N]],Transactions[[#This Row],[L5N]],IF(Transactions[[#This Row],[Level 1]]=Transactions[[#This Row],[L7N]],Transactions[[#This Row],[L6N]],Transactions[[#This Row],[L7N]]))))))))</f>
        <v>CHP plants</v>
      </c>
      <c r="AU293" s="24" t="str">
        <f>IF(Transactions[[#This Row],[Level 2]]=Transactions[[#This Row],[Transaction name]],Transactions[[#This Row],[Transaction name]],IF(Transactions[[#This Row],[Level 2]]=Transactions[[#This Row],[L1N]],Transactions[[#This Row],[Transaction name]],IF(Transactions[[#This Row],[Level 2]]=Transactions[[#This Row],[L2N]],Transactions[[#This Row],[L1N]],IF(Transactions[[#This Row],[Level 2]]=Transactions[[#This Row],[L3N]],Transactions[[#This Row],[L2N]],IF(Transactions[[#This Row],[Level 2]]=Transactions[[#This Row],[L4N]],Transactions[[#This Row],[L3N]],IF(Transactions[[#This Row],[Level 2]]=Transactions[[#This Row],[L5N]],Transactions[[#This Row],[L4N]],IF(Transactions[[#This Row],[Level 2]]=Transactions[[#This Row],[L6N]],Transactions[[#This Row],[L5N]],IF(Transactions[[#This Row],[Level 2]]=Transactions[[#This Row],[L7N]],Transactions[[#This Row],[L6N]],Transactions[[#This Row],[L7N]]))))))))</f>
        <v>CHP plants - other solid biofuels</v>
      </c>
      <c r="AV293" s="24" t="str">
        <f>IF(Transactions[[#This Row],[Level 3]]=Transactions[[#This Row],[Transaction name]],Transactions[[#This Row],[Transaction name]],IF(Transactions[[#This Row],[Level 3]]=Transactions[[#This Row],[L1N]],Transactions[[#This Row],[Transaction name]],IF(Transactions[[#This Row],[Level 3]]=Transactions[[#This Row],[L2N]],Transactions[[#This Row],[L1N]],IF(Transactions[[#This Row],[Level 3]]=Transactions[[#This Row],[L3N]],Transactions[[#This Row],[L2N]],IF(Transactions[[#This Row],[Level 3]]=Transactions[[#This Row],[L4N]],Transactions[[#This Row],[L3N]],IF(Transactions[[#This Row],[Level 3]]=Transactions[[#This Row],[L5N]],Transactions[[#This Row],[L4N]],IF(Transactions[[#This Row],[Level 3]]=Transactions[[#This Row],[L6N]],Transactions[[#This Row],[L5N]],IF(Transactions[[#This Row],[Level 3]]=Transactions[[#This Row],[L7N]],Transactions[[#This Row],[L6N]],Transactions[[#This Row],[L7N]]))))))))</f>
        <v>CHP plants - Autoproducer - other solid biofuels</v>
      </c>
      <c r="AW293" s="24" t="str">
        <f>IF(Transactions[[#This Row],[Level 4]]=Transactions[[#This Row],[Transaction name]],Transactions[[#This Row],[Transaction name]],IF(Transactions[[#This Row],[Level 4]]=Transactions[[#This Row],[L1N]],Transactions[[#This Row],[Transaction name]],IF(Transactions[[#This Row],[Level 4]]=Transactions[[#This Row],[L2N]],Transactions[[#This Row],[L1N]],IF(Transactions[[#This Row],[Level 4]]=Transactions[[#This Row],[L3N]],Transactions[[#This Row],[L2N]],IF(Transactions[[#This Row],[Level 4]]=Transactions[[#This Row],[L4N]],Transactions[[#This Row],[L3N]],IF(Transactions[[#This Row],[Level 4]]=Transactions[[#This Row],[L5N]],Transactions[[#This Row],[L4N]],IF(Transactions[[#This Row],[Level 4]]=Transactions[[#This Row],[L6N]],Transactions[[#This Row],[L5N]],IF(Transactions[[#This Row],[Level 4]]=Transactions[[#This Row],[L7N]],Transactions[[#This Row],[L6N]],Transactions[[#This Row],[L7N]]))))))))</f>
        <v>CHP plants - Autoproducer - other solid biofuels</v>
      </c>
      <c r="AX293" s="24" t="str">
        <f>IF(Transactions[[#This Row],[Level 5]]=Transactions[[#This Row],[Transaction name]],Transactions[[#This Row],[Transaction name]],IF(Transactions[[#This Row],[Level 5]]=Transactions[[#This Row],[L1N]],Transactions[[#This Row],[Transaction name]],IF(Transactions[[#This Row],[Level 5]]=Transactions[[#This Row],[L2N]],Transactions[[#This Row],[L1N]],IF(Transactions[[#This Row],[Level 5]]=Transactions[[#This Row],[L3N]],Transactions[[#This Row],[L2N]],IF(Transactions[[#This Row],[Level 5]]=Transactions[[#This Row],[L4N]],Transactions[[#This Row],[L3N]],IF(Transactions[[#This Row],[Level 5]]=Transactions[[#This Row],[L5N]],Transactions[[#This Row],[L4N]],IF(Transactions[[#This Row],[Level 5]]=Transactions[[#This Row],[L6N]],Transactions[[#This Row],[L5N]],IF(Transactions[[#This Row],[Level 5]]=Transactions[[#This Row],[L7N]],Transactions[[#This Row],[L6N]],Transactions[[#This Row],[L7N]]))))))))</f>
        <v>CHP plants - Autoproducer - other solid biofuels</v>
      </c>
      <c r="AY293" s="24" t="str">
        <f>IF(Transactions[[#This Row],[Level 6]]=Transactions[[#This Row],[Transaction name]],Transactions[[#This Row],[Transaction name]],IF(Transactions[[#This Row],[Level 6]]=Transactions[[#This Row],[L1N]],Transactions[[#This Row],[Transaction name]],IF(Transactions[[#This Row],[Level 6]]=Transactions[[#This Row],[L2N]],Transactions[[#This Row],[L1N]],IF(Transactions[[#This Row],[Level 6]]=Transactions[[#This Row],[L3N]],Transactions[[#This Row],[L2N]],IF(Transactions[[#This Row],[Level 6]]=Transactions[[#This Row],[L4N]],Transactions[[#This Row],[L3N]],IF(Transactions[[#This Row],[Level 6]]=Transactions[[#This Row],[L5N]],Transactions[[#This Row],[L4N]],IF(Transactions[[#This Row],[Level 6]]=Transactions[[#This Row],[L6N]],Transactions[[#This Row],[L5N]],IF(Transactions[[#This Row],[Level 6]]=Transactions[[#This Row],[L7N]],Transactions[[#This Row],[L6N]],Transactions[[#This Row],[L7N]]))))))))</f>
        <v>CHP plants - Autoproducer - other solid biofuels</v>
      </c>
      <c r="BE293" s="26" t="str">
        <f>_xlfn.XLOOKUP(Transformation[[#This Row],[cfrom]],Commodities[Commodity],Commodities[Commodity code])</f>
        <v>4300</v>
      </c>
      <c r="BF293" s="26" t="str">
        <f>_xlfn.XLOOKUP(Transformation[[#This Row],[tfrom]],Transactions[Transaction name],Transactions[Transaction code])</f>
        <v>086</v>
      </c>
      <c r="BG293" s="26" t="str">
        <f>_xlfn.XLOOKUP(Transformation[[#This Row],[cto]],Commodities[Commodity],Commodities[Commodity code])</f>
        <v>4100</v>
      </c>
      <c r="BH293" s="26" t="str">
        <f>_xlfn.XLOOKUP(Transformation[[#This Row],[tto]],Transactions[Transaction name],Transactions[Transaction code])</f>
        <v>086</v>
      </c>
      <c r="BI293" s="10">
        <v>1</v>
      </c>
      <c r="BJ293" s="4" t="s">
        <v>432</v>
      </c>
      <c r="BK293" s="24" t="str">
        <f>_xlfn.XLOOKUP(Transformation[[#This Row],[Commodity from]],Commodities[Commodity code],Commodities[EnergyCode])</f>
        <v>FS</v>
      </c>
      <c r="BL293" s="4" t="s">
        <v>728</v>
      </c>
      <c r="BM293" s="4" t="s">
        <v>439</v>
      </c>
      <c r="BN293" s="24" t="str">
        <f>_xlfn.XLOOKUP(Transformation[[#This Row],[Commodity to]],Commodities[Commodity code],Commodities[EnergyCode])</f>
        <v>CR</v>
      </c>
      <c r="BO293" s="4" t="s">
        <v>728</v>
      </c>
      <c r="BP293" s="16" t="s">
        <v>1494</v>
      </c>
      <c r="BQ293" s="33" t="str">
        <f>Transformation[[#This Row],[Commodity from]]&amp;Transformation[[#This Row],[Transaction from]]&amp;Transformation[[#This Row],[Commodity to]]&amp;Transformation[[#This Row],[Transaction to]]</f>
        <v>43000864100086</v>
      </c>
      <c r="BR293" s="26" t="str">
        <f>Transformation[[#This Row],[crfomid]]&amp;Transformation[[#This Row],[Transaction from]]&amp;"("&amp;Transformation[[#This Row],[Multiplier]]&amp;") -&gt; "&amp;Transformation[[#This Row],[ctoid]]&amp;Transformation[[#This Row],[Transaction to]]</f>
        <v>FS086(1) -&gt; CR086</v>
      </c>
    </row>
    <row r="294" spans="25:70" x14ac:dyDescent="0.45">
      <c r="Y294" s="5" t="s">
        <v>1130</v>
      </c>
      <c r="Z294" s="7" t="s">
        <v>1122</v>
      </c>
      <c r="AA294" s="4" t="s">
        <v>1363</v>
      </c>
      <c r="AB294" s="19" t="s">
        <v>1610</v>
      </c>
      <c r="AC294" s="24" t="str">
        <f>IFERROR(VLOOKUP(Transactions[[#This Row],[Parent code]],Transactions[[Transaction code]:[Transaction name]],2,0),"")</f>
        <v>CHP plants - other solid biofuels</v>
      </c>
      <c r="AD294" s="4" t="s">
        <v>189</v>
      </c>
      <c r="AE294" s="4" t="s">
        <v>922</v>
      </c>
      <c r="AF294" s="4" t="s">
        <v>642</v>
      </c>
      <c r="AG294" s="4" t="s">
        <v>1</v>
      </c>
      <c r="AH294" s="4" t="s">
        <v>696</v>
      </c>
      <c r="AI294" s="12" t="s">
        <v>1416</v>
      </c>
      <c r="AK294" s="24" t="str" cm="1">
        <f t="array" ref="AK294">IFERROR(INDEX(Transactions[[Transaction code]:[Transaction name]],_xlfn.XMATCH(Transactions[[#This Row],[Parent code]],Transactions[Transaction name],0),3),Transactions[[#This Row],[Transaction name]])</f>
        <v>CHP plants - Main activity - other solid biofuels</v>
      </c>
      <c r="AL294" s="24" t="str" cm="1">
        <f t="array" ref="AL294">IFERROR(INDEX(Transactions[[Transaction code]:[Transaction name]],_xlfn.XMATCH(INDEX(Transactions[[Transaction name]:[Parent code]],_xlfn.XMATCH(Transactions[[#This Row],[L1N]],Transactions[Transaction name],0),3),Transactions[Transaction code],0),2),Transactions[[#This Row],[L1N]])</f>
        <v>CHP plants - other solid biofuels</v>
      </c>
      <c r="AM294" s="24" t="str" cm="1">
        <f t="array" ref="AM294">IFERROR(INDEX(Transactions[[Transaction code]:[Transaction name]],_xlfn.XMATCH(INDEX(Transactions[[Transaction name]:[Parent code]],_xlfn.XMATCH(Transactions[[#This Row],[L2N]],Transactions[Transaction name],0),3),Transactions[Transaction code],0),2),Transactions[[#This Row],[L2N]])</f>
        <v>CHP plants</v>
      </c>
      <c r="AN294" s="24" t="str" cm="1">
        <f t="array" ref="AN294">IFERROR(INDEX(Transactions[[Transaction code]:[Transaction name]],_xlfn.XMATCH(INDEX(Transactions[[Transaction name]:[Parent code]],_xlfn.XMATCH(Transactions[[#This Row],[L3N]],Transactions[Transaction name],0),3),Transactions[Transaction code],0),2),Transactions[[#This Row],[L3N]])</f>
        <v>Electricity, CHP and heat plants (T)</v>
      </c>
      <c r="AO294" s="24" t="str" cm="1">
        <f t="array" ref="AO294">IFERROR(INDEX(Transactions[[Transaction code]:[Transaction name]],_xlfn.XMATCH(INDEX(Transactions[[Transaction name]:[Parent code]],_xlfn.XMATCH(Transactions[[#This Row],[L4N]],Transactions[Transaction name],0),3),Transactions[Transaction code],0),2),Transactions[[#This Row],[L4N]])</f>
        <v>Transformation</v>
      </c>
      <c r="AP294" s="24" t="str" cm="1">
        <f t="array" ref="AP294">IFERROR(INDEX(Transactions[[Transaction code]:[Transaction name]],_xlfn.XMATCH(INDEX(Transactions[[Transaction name]:[Parent code]],_xlfn.XMATCH(Transactions[[#This Row],[L5N]],Transactions[Transaction name],0),3),Transactions[Transaction code],0),2),Transactions[[#This Row],[L5N]])</f>
        <v>Transformation</v>
      </c>
      <c r="AQ294" s="24" t="str" cm="1">
        <f t="array" ref="AQ294">IFERROR(INDEX(Transactions[[Transaction code]:[Transaction name]],_xlfn.XMATCH(INDEX(Transactions[[Transaction name]:[Parent code]],_xlfn.XMATCH(Transactions[[#This Row],[L6N]],Transactions[Transaction name],0),3),Transactions[Transaction code],0),2),Transactions[[#This Row],[L6N]])</f>
        <v>Transformation</v>
      </c>
      <c r="AR294" s="27" t="str">
        <f>IF(Transactions[[#This Row],[L7N]]=Transactions[[#This Row],[L6N]],Transactions[[#This Row],[L7N]],IF(Transactions[[#This Row],[L6N]]=Transactions[[#This Row],[L5N]],Transactions[[#This Row],[L6N]],IF(Transactions[[#This Row],[L5N]]=Transactions[[#This Row],[L4N]],Transactions[[#This Row],[L5N]],IF(Transactions[[#This Row],[L4N]]=Transactions[[#This Row],[L3N]],Transactions[[#This Row],[L4N]],IF(Transactions[[#This Row],[L3N]]=Transactions[[#This Row],[L2N]],Transactions[[#This Row],[L3N]],IF(Transactions[[#This Row],[L2N]]=Transactions[[#This Row],[L1N]],Transactions[[#This Row],[L2N]],IF(Transactions[[#This Row],[L1N]]=Transactions[[#This Row],[Transaction name]],Transactions[[#This Row],[L1N]],Transactions[[#This Row],[Transaction name]])))))))</f>
        <v>Transformation</v>
      </c>
      <c r="AS294" s="24" t="str">
        <f>IF(Transactions[[#This Row],[Level 0]]=Transactions[[#This Row],[Transaction name]],Transactions[[#This Row],[Transaction name]],IF(Transactions[[#This Row],[Level 0]]=Transactions[[#This Row],[L1N]],Transactions[[#This Row],[Transaction name]],IF(Transactions[[#This Row],[Level 0]]=Transactions[[#This Row],[L2N]],Transactions[[#This Row],[L1N]],IF(Transactions[[#This Row],[Level 0]]=Transactions[[#This Row],[L3N]],Transactions[[#This Row],[L2N]],IF(Transactions[[#This Row],[Level 0]]=Transactions[[#This Row],[L4N]],Transactions[[#This Row],[L3N]],IF(Transactions[[#This Row],[Level 0]]=Transactions[[#This Row],[L5N]],Transactions[[#This Row],[L4N]],IF(Transactions[[#This Row],[Level 0]]=Transactions[[#This Row],[L6N]],Transactions[[#This Row],[L5N]],IF(Transactions[[#This Row],[Level 0]]=Transactions[[#This Row],[L7N]],Transactions[[#This Row],[L6N]],Transactions[[#This Row],[L7N]]))))))))</f>
        <v>Electricity, CHP and heat plants (T)</v>
      </c>
      <c r="AT294" s="24" t="str">
        <f>IF(Transactions[[#This Row],[Level 1]]=Transactions[[#This Row],[Transaction name]],Transactions[[#This Row],[Transaction name]],IF(Transactions[[#This Row],[Level 1]]=Transactions[[#This Row],[L1N]],Transactions[[#This Row],[Transaction name]],IF(Transactions[[#This Row],[Level 1]]=Transactions[[#This Row],[L2N]],Transactions[[#This Row],[L1N]],IF(Transactions[[#This Row],[Level 1]]=Transactions[[#This Row],[L3N]],Transactions[[#This Row],[L2N]],IF(Transactions[[#This Row],[Level 1]]=Transactions[[#This Row],[L4N]],Transactions[[#This Row],[L3N]],IF(Transactions[[#This Row],[Level 1]]=Transactions[[#This Row],[L5N]],Transactions[[#This Row],[L4N]],IF(Transactions[[#This Row],[Level 1]]=Transactions[[#This Row],[L6N]],Transactions[[#This Row],[L5N]],IF(Transactions[[#This Row],[Level 1]]=Transactions[[#This Row],[L7N]],Transactions[[#This Row],[L6N]],Transactions[[#This Row],[L7N]]))))))))</f>
        <v>CHP plants</v>
      </c>
      <c r="AU294" s="24" t="str">
        <f>IF(Transactions[[#This Row],[Level 2]]=Transactions[[#This Row],[Transaction name]],Transactions[[#This Row],[Transaction name]],IF(Transactions[[#This Row],[Level 2]]=Transactions[[#This Row],[L1N]],Transactions[[#This Row],[Transaction name]],IF(Transactions[[#This Row],[Level 2]]=Transactions[[#This Row],[L2N]],Transactions[[#This Row],[L1N]],IF(Transactions[[#This Row],[Level 2]]=Transactions[[#This Row],[L3N]],Transactions[[#This Row],[L2N]],IF(Transactions[[#This Row],[Level 2]]=Transactions[[#This Row],[L4N]],Transactions[[#This Row],[L3N]],IF(Transactions[[#This Row],[Level 2]]=Transactions[[#This Row],[L5N]],Transactions[[#This Row],[L4N]],IF(Transactions[[#This Row],[Level 2]]=Transactions[[#This Row],[L6N]],Transactions[[#This Row],[L5N]],IF(Transactions[[#This Row],[Level 2]]=Transactions[[#This Row],[L7N]],Transactions[[#This Row],[L6N]],Transactions[[#This Row],[L7N]]))))))))</f>
        <v>CHP plants - other solid biofuels</v>
      </c>
      <c r="AV294" s="24" t="str">
        <f>IF(Transactions[[#This Row],[Level 3]]=Transactions[[#This Row],[Transaction name]],Transactions[[#This Row],[Transaction name]],IF(Transactions[[#This Row],[Level 3]]=Transactions[[#This Row],[L1N]],Transactions[[#This Row],[Transaction name]],IF(Transactions[[#This Row],[Level 3]]=Transactions[[#This Row],[L2N]],Transactions[[#This Row],[L1N]],IF(Transactions[[#This Row],[Level 3]]=Transactions[[#This Row],[L3N]],Transactions[[#This Row],[L2N]],IF(Transactions[[#This Row],[Level 3]]=Transactions[[#This Row],[L4N]],Transactions[[#This Row],[L3N]],IF(Transactions[[#This Row],[Level 3]]=Transactions[[#This Row],[L5N]],Transactions[[#This Row],[L4N]],IF(Transactions[[#This Row],[Level 3]]=Transactions[[#This Row],[L6N]],Transactions[[#This Row],[L5N]],IF(Transactions[[#This Row],[Level 3]]=Transactions[[#This Row],[L7N]],Transactions[[#This Row],[L6N]],Transactions[[#This Row],[L7N]]))))))))</f>
        <v>CHP plants - Main activity - other solid biofuels</v>
      </c>
      <c r="AW294" s="24" t="str">
        <f>IF(Transactions[[#This Row],[Level 4]]=Transactions[[#This Row],[Transaction name]],Transactions[[#This Row],[Transaction name]],IF(Transactions[[#This Row],[Level 4]]=Transactions[[#This Row],[L1N]],Transactions[[#This Row],[Transaction name]],IF(Transactions[[#This Row],[Level 4]]=Transactions[[#This Row],[L2N]],Transactions[[#This Row],[L1N]],IF(Transactions[[#This Row],[Level 4]]=Transactions[[#This Row],[L3N]],Transactions[[#This Row],[L2N]],IF(Transactions[[#This Row],[Level 4]]=Transactions[[#This Row],[L4N]],Transactions[[#This Row],[L3N]],IF(Transactions[[#This Row],[Level 4]]=Transactions[[#This Row],[L5N]],Transactions[[#This Row],[L4N]],IF(Transactions[[#This Row],[Level 4]]=Transactions[[#This Row],[L6N]],Transactions[[#This Row],[L5N]],IF(Transactions[[#This Row],[Level 4]]=Transactions[[#This Row],[L7N]],Transactions[[#This Row],[L6N]],Transactions[[#This Row],[L7N]]))))))))</f>
        <v>CHP plants - Main activity - other solid biofuels</v>
      </c>
      <c r="AX294" s="24" t="str">
        <f>IF(Transactions[[#This Row],[Level 5]]=Transactions[[#This Row],[Transaction name]],Transactions[[#This Row],[Transaction name]],IF(Transactions[[#This Row],[Level 5]]=Transactions[[#This Row],[L1N]],Transactions[[#This Row],[Transaction name]],IF(Transactions[[#This Row],[Level 5]]=Transactions[[#This Row],[L2N]],Transactions[[#This Row],[L1N]],IF(Transactions[[#This Row],[Level 5]]=Transactions[[#This Row],[L3N]],Transactions[[#This Row],[L2N]],IF(Transactions[[#This Row],[Level 5]]=Transactions[[#This Row],[L4N]],Transactions[[#This Row],[L3N]],IF(Transactions[[#This Row],[Level 5]]=Transactions[[#This Row],[L5N]],Transactions[[#This Row],[L4N]],IF(Transactions[[#This Row],[Level 5]]=Transactions[[#This Row],[L6N]],Transactions[[#This Row],[L5N]],IF(Transactions[[#This Row],[Level 5]]=Transactions[[#This Row],[L7N]],Transactions[[#This Row],[L6N]],Transactions[[#This Row],[L7N]]))))))))</f>
        <v>CHP plants - Main activity - other solid biofuels</v>
      </c>
      <c r="AY294" s="24" t="str">
        <f>IF(Transactions[[#This Row],[Level 6]]=Transactions[[#This Row],[Transaction name]],Transactions[[#This Row],[Transaction name]],IF(Transactions[[#This Row],[Level 6]]=Transactions[[#This Row],[L1N]],Transactions[[#This Row],[Transaction name]],IF(Transactions[[#This Row],[Level 6]]=Transactions[[#This Row],[L2N]],Transactions[[#This Row],[L1N]],IF(Transactions[[#This Row],[Level 6]]=Transactions[[#This Row],[L3N]],Transactions[[#This Row],[L2N]],IF(Transactions[[#This Row],[Level 6]]=Transactions[[#This Row],[L4N]],Transactions[[#This Row],[L3N]],IF(Transactions[[#This Row],[Level 6]]=Transactions[[#This Row],[L5N]],Transactions[[#This Row],[L4N]],IF(Transactions[[#This Row],[Level 6]]=Transactions[[#This Row],[L6N]],Transactions[[#This Row],[L5N]],IF(Transactions[[#This Row],[Level 6]]=Transactions[[#This Row],[L7N]],Transactions[[#This Row],[L6N]],Transactions[[#This Row],[L7N]]))))))))</f>
        <v>CHP plants - Main activity - other solid biofuels</v>
      </c>
      <c r="BE294" s="26" t="str">
        <f>_xlfn.XLOOKUP(Transformation[[#This Row],[cfrom]],Commodities[Commodity],Commodities[Commodity code])</f>
        <v>4300</v>
      </c>
      <c r="BF294" s="26" t="str">
        <f>_xlfn.XLOOKUP(Transformation[[#This Row],[tfrom]],Transactions[Transaction name],Transactions[Transaction code])</f>
        <v>086</v>
      </c>
      <c r="BG294" s="26" t="str">
        <f>_xlfn.XLOOKUP(Transformation[[#This Row],[cto]],Commodities[Commodity],Commodities[Commodity code])</f>
        <v>4100</v>
      </c>
      <c r="BH294" s="26" t="str">
        <f>_xlfn.XLOOKUP(Transformation[[#This Row],[tto]],Transactions[Transaction name],Transactions[Transaction code])</f>
        <v>07</v>
      </c>
      <c r="BI294" s="10">
        <v>-1</v>
      </c>
      <c r="BJ294" s="4" t="s">
        <v>432</v>
      </c>
      <c r="BK294" s="24" t="str">
        <f>_xlfn.XLOOKUP(Transformation[[#This Row],[Commodity from]],Commodities[Commodity code],Commodities[EnergyCode])</f>
        <v>FS</v>
      </c>
      <c r="BL294" s="4" t="s">
        <v>728</v>
      </c>
      <c r="BM294" s="4" t="s">
        <v>439</v>
      </c>
      <c r="BN294" s="24" t="str">
        <f>_xlfn.XLOOKUP(Transformation[[#This Row],[Commodity to]],Commodities[Commodity code],Commodities[EnergyCode])</f>
        <v>CR</v>
      </c>
      <c r="BO294" s="4" t="s">
        <v>190</v>
      </c>
      <c r="BQ294" s="33" t="str">
        <f>Transformation[[#This Row],[Commodity from]]&amp;Transformation[[#This Row],[Transaction from]]&amp;Transformation[[#This Row],[Commodity to]]&amp;Transformation[[#This Row],[Transaction to]]</f>
        <v>4300086410007</v>
      </c>
      <c r="BR294" s="26" t="str">
        <f>Transformation[[#This Row],[crfomid]]&amp;Transformation[[#This Row],[Transaction from]]&amp;"("&amp;Transformation[[#This Row],[Multiplier]]&amp;") -&gt; "&amp;Transformation[[#This Row],[ctoid]]&amp;Transformation[[#This Row],[Transaction to]]</f>
        <v>FS086(-1) -&gt; CR07</v>
      </c>
    </row>
    <row r="295" spans="25:70" x14ac:dyDescent="0.45">
      <c r="Y295" s="19" t="s">
        <v>1610</v>
      </c>
      <c r="Z295" s="18" t="s">
        <v>1363</v>
      </c>
      <c r="AA295" s="18" t="s">
        <v>1363</v>
      </c>
      <c r="AB295" s="19" t="s">
        <v>1627</v>
      </c>
      <c r="AC295" s="26" t="str">
        <f>IFERROR(VLOOKUP(Transactions[[#This Row],[Parent code]],Transactions[[Transaction code]:[Transaction name]],2,0),"")</f>
        <v>CHP plants</v>
      </c>
      <c r="AD295" s="18" t="s">
        <v>189</v>
      </c>
      <c r="AE295" s="18" t="s">
        <v>922</v>
      </c>
      <c r="AF295" s="18" t="s">
        <v>642</v>
      </c>
      <c r="AG295" s="18" t="s">
        <v>1</v>
      </c>
      <c r="AH295" s="18" t="s">
        <v>696</v>
      </c>
      <c r="AI295" s="18" t="s">
        <v>1416</v>
      </c>
      <c r="AJ295" s="18"/>
      <c r="AK295" s="26" t="str" cm="1">
        <f t="array" ref="AK295">IFERROR(INDEX(Transactions[[Transaction code]:[Transaction name]],_xlfn.XMATCH(Transactions[[#This Row],[Parent code]],Transactions[Transaction name],0),3),Transactions[[#This Row],[Transaction name]])</f>
        <v>CHP plants - other solid biofuels</v>
      </c>
      <c r="AL295" s="26" t="str" cm="1">
        <f t="array" ref="AL295">IFERROR(INDEX(Transactions[[Transaction code]:[Transaction name]],_xlfn.XMATCH(INDEX(Transactions[[Transaction name]:[Parent code]],_xlfn.XMATCH(Transactions[[#This Row],[L1N]],Transactions[Transaction name],0),3),Transactions[Transaction code],0),2),Transactions[[#This Row],[L1N]])</f>
        <v>CHP plants</v>
      </c>
      <c r="AM295" s="26" t="str" cm="1">
        <f t="array" ref="AM295">IFERROR(INDEX(Transactions[[Transaction code]:[Transaction name]],_xlfn.XMATCH(INDEX(Transactions[[Transaction name]:[Parent code]],_xlfn.XMATCH(Transactions[[#This Row],[L2N]],Transactions[Transaction name],0),3),Transactions[Transaction code],0),2),Transactions[[#This Row],[L2N]])</f>
        <v>Electricity, CHP and heat plants (T)</v>
      </c>
      <c r="AN295" s="26" t="str" cm="1">
        <f t="array" ref="AN295">IFERROR(INDEX(Transactions[[Transaction code]:[Transaction name]],_xlfn.XMATCH(INDEX(Transactions[[Transaction name]:[Parent code]],_xlfn.XMATCH(Transactions[[#This Row],[L3N]],Transactions[Transaction name],0),3),Transactions[Transaction code],0),2),Transactions[[#This Row],[L3N]])</f>
        <v>Transformation</v>
      </c>
      <c r="AO295" s="26" t="str" cm="1">
        <f t="array" ref="AO295">IFERROR(INDEX(Transactions[[Transaction code]:[Transaction name]],_xlfn.XMATCH(INDEX(Transactions[[Transaction name]:[Parent code]],_xlfn.XMATCH(Transactions[[#This Row],[L4N]],Transactions[Transaction name],0),3),Transactions[Transaction code],0),2),Transactions[[#This Row],[L4N]])</f>
        <v>Transformation</v>
      </c>
      <c r="AP295" s="26" t="str" cm="1">
        <f t="array" ref="AP295">IFERROR(INDEX(Transactions[[Transaction code]:[Transaction name]],_xlfn.XMATCH(INDEX(Transactions[[Transaction name]:[Parent code]],_xlfn.XMATCH(Transactions[[#This Row],[L5N]],Transactions[Transaction name],0),3),Transactions[Transaction code],0),2),Transactions[[#This Row],[L5N]])</f>
        <v>Transformation</v>
      </c>
      <c r="AQ295" s="26" t="str" cm="1">
        <f t="array" ref="AQ295">IFERROR(INDEX(Transactions[[Transaction code]:[Transaction name]],_xlfn.XMATCH(INDEX(Transactions[[Transaction name]:[Parent code]],_xlfn.XMATCH(Transactions[[#This Row],[L6N]],Transactions[Transaction name],0),3),Transactions[Transaction code],0),2),Transactions[[#This Row],[L6N]])</f>
        <v>Transformation</v>
      </c>
      <c r="AR295" s="29" t="str">
        <f>IF(Transactions[[#This Row],[L7N]]=Transactions[[#This Row],[L6N]],Transactions[[#This Row],[L7N]],IF(Transactions[[#This Row],[L6N]]=Transactions[[#This Row],[L5N]],Transactions[[#This Row],[L6N]],IF(Transactions[[#This Row],[L5N]]=Transactions[[#This Row],[L4N]],Transactions[[#This Row],[L5N]],IF(Transactions[[#This Row],[L4N]]=Transactions[[#This Row],[L3N]],Transactions[[#This Row],[L4N]],IF(Transactions[[#This Row],[L3N]]=Transactions[[#This Row],[L2N]],Transactions[[#This Row],[L3N]],IF(Transactions[[#This Row],[L2N]]=Transactions[[#This Row],[L1N]],Transactions[[#This Row],[L2N]],IF(Transactions[[#This Row],[L1N]]=Transactions[[#This Row],[Transaction name]],Transactions[[#This Row],[L1N]],Transactions[[#This Row],[Transaction name]])))))))</f>
        <v>Transformation</v>
      </c>
      <c r="AS295" s="26" t="str">
        <f>IF(Transactions[[#This Row],[Level 0]]=Transactions[[#This Row],[Transaction name]],Transactions[[#This Row],[Transaction name]],IF(Transactions[[#This Row],[Level 0]]=Transactions[[#This Row],[L1N]],Transactions[[#This Row],[Transaction name]],IF(Transactions[[#This Row],[Level 0]]=Transactions[[#This Row],[L2N]],Transactions[[#This Row],[L1N]],IF(Transactions[[#This Row],[Level 0]]=Transactions[[#This Row],[L3N]],Transactions[[#This Row],[L2N]],IF(Transactions[[#This Row],[Level 0]]=Transactions[[#This Row],[L4N]],Transactions[[#This Row],[L3N]],IF(Transactions[[#This Row],[Level 0]]=Transactions[[#This Row],[L5N]],Transactions[[#This Row],[L4N]],IF(Transactions[[#This Row],[Level 0]]=Transactions[[#This Row],[L6N]],Transactions[[#This Row],[L5N]],IF(Transactions[[#This Row],[Level 0]]=Transactions[[#This Row],[L7N]],Transactions[[#This Row],[L6N]],Transactions[[#This Row],[L7N]]))))))))</f>
        <v>Electricity, CHP and heat plants (T)</v>
      </c>
      <c r="AT295" s="26" t="str">
        <f>IF(Transactions[[#This Row],[Level 1]]=Transactions[[#This Row],[Transaction name]],Transactions[[#This Row],[Transaction name]],IF(Transactions[[#This Row],[Level 1]]=Transactions[[#This Row],[L1N]],Transactions[[#This Row],[Transaction name]],IF(Transactions[[#This Row],[Level 1]]=Transactions[[#This Row],[L2N]],Transactions[[#This Row],[L1N]],IF(Transactions[[#This Row],[Level 1]]=Transactions[[#This Row],[L3N]],Transactions[[#This Row],[L2N]],IF(Transactions[[#This Row],[Level 1]]=Transactions[[#This Row],[L4N]],Transactions[[#This Row],[L3N]],IF(Transactions[[#This Row],[Level 1]]=Transactions[[#This Row],[L5N]],Transactions[[#This Row],[L4N]],IF(Transactions[[#This Row],[Level 1]]=Transactions[[#This Row],[L6N]],Transactions[[#This Row],[L5N]],IF(Transactions[[#This Row],[Level 1]]=Transactions[[#This Row],[L7N]],Transactions[[#This Row],[L6N]],Transactions[[#This Row],[L7N]]))))))))</f>
        <v>CHP plants</v>
      </c>
      <c r="AU295" s="26" t="str">
        <f>IF(Transactions[[#This Row],[Level 2]]=Transactions[[#This Row],[Transaction name]],Transactions[[#This Row],[Transaction name]],IF(Transactions[[#This Row],[Level 2]]=Transactions[[#This Row],[L1N]],Transactions[[#This Row],[Transaction name]],IF(Transactions[[#This Row],[Level 2]]=Transactions[[#This Row],[L2N]],Transactions[[#This Row],[L1N]],IF(Transactions[[#This Row],[Level 2]]=Transactions[[#This Row],[L3N]],Transactions[[#This Row],[L2N]],IF(Transactions[[#This Row],[Level 2]]=Transactions[[#This Row],[L4N]],Transactions[[#This Row],[L3N]],IF(Transactions[[#This Row],[Level 2]]=Transactions[[#This Row],[L5N]],Transactions[[#This Row],[L4N]],IF(Transactions[[#This Row],[Level 2]]=Transactions[[#This Row],[L6N]],Transactions[[#This Row],[L5N]],IF(Transactions[[#This Row],[Level 2]]=Transactions[[#This Row],[L7N]],Transactions[[#This Row],[L6N]],Transactions[[#This Row],[L7N]]))))))))</f>
        <v>CHP plants - other solid biofuels</v>
      </c>
      <c r="AV295" s="26" t="str">
        <f>IF(Transactions[[#This Row],[Level 3]]=Transactions[[#This Row],[Transaction name]],Transactions[[#This Row],[Transaction name]],IF(Transactions[[#This Row],[Level 3]]=Transactions[[#This Row],[L1N]],Transactions[[#This Row],[Transaction name]],IF(Transactions[[#This Row],[Level 3]]=Transactions[[#This Row],[L2N]],Transactions[[#This Row],[L1N]],IF(Transactions[[#This Row],[Level 3]]=Transactions[[#This Row],[L3N]],Transactions[[#This Row],[L2N]],IF(Transactions[[#This Row],[Level 3]]=Transactions[[#This Row],[L4N]],Transactions[[#This Row],[L3N]],IF(Transactions[[#This Row],[Level 3]]=Transactions[[#This Row],[L5N]],Transactions[[#This Row],[L4N]],IF(Transactions[[#This Row],[Level 3]]=Transactions[[#This Row],[L6N]],Transactions[[#This Row],[L5N]],IF(Transactions[[#This Row],[Level 3]]=Transactions[[#This Row],[L7N]],Transactions[[#This Row],[L6N]],Transactions[[#This Row],[L7N]]))))))))</f>
        <v>CHP plants - other solid biofuels</v>
      </c>
      <c r="AW295" s="26" t="str">
        <f>IF(Transactions[[#This Row],[Level 4]]=Transactions[[#This Row],[Transaction name]],Transactions[[#This Row],[Transaction name]],IF(Transactions[[#This Row],[Level 4]]=Transactions[[#This Row],[L1N]],Transactions[[#This Row],[Transaction name]],IF(Transactions[[#This Row],[Level 4]]=Transactions[[#This Row],[L2N]],Transactions[[#This Row],[L1N]],IF(Transactions[[#This Row],[Level 4]]=Transactions[[#This Row],[L3N]],Transactions[[#This Row],[L2N]],IF(Transactions[[#This Row],[Level 4]]=Transactions[[#This Row],[L4N]],Transactions[[#This Row],[L3N]],IF(Transactions[[#This Row],[Level 4]]=Transactions[[#This Row],[L5N]],Transactions[[#This Row],[L4N]],IF(Transactions[[#This Row],[Level 4]]=Transactions[[#This Row],[L6N]],Transactions[[#This Row],[L5N]],IF(Transactions[[#This Row],[Level 4]]=Transactions[[#This Row],[L7N]],Transactions[[#This Row],[L6N]],Transactions[[#This Row],[L7N]]))))))))</f>
        <v>CHP plants - other solid biofuels</v>
      </c>
      <c r="AX295" s="26" t="str">
        <f>IF(Transactions[[#This Row],[Level 5]]=Transactions[[#This Row],[Transaction name]],Transactions[[#This Row],[Transaction name]],IF(Transactions[[#This Row],[Level 5]]=Transactions[[#This Row],[L1N]],Transactions[[#This Row],[Transaction name]],IF(Transactions[[#This Row],[Level 5]]=Transactions[[#This Row],[L2N]],Transactions[[#This Row],[L1N]],IF(Transactions[[#This Row],[Level 5]]=Transactions[[#This Row],[L3N]],Transactions[[#This Row],[L2N]],IF(Transactions[[#This Row],[Level 5]]=Transactions[[#This Row],[L4N]],Transactions[[#This Row],[L3N]],IF(Transactions[[#This Row],[Level 5]]=Transactions[[#This Row],[L5N]],Transactions[[#This Row],[L4N]],IF(Transactions[[#This Row],[Level 5]]=Transactions[[#This Row],[L6N]],Transactions[[#This Row],[L5N]],IF(Transactions[[#This Row],[Level 5]]=Transactions[[#This Row],[L7N]],Transactions[[#This Row],[L6N]],Transactions[[#This Row],[L7N]]))))))))</f>
        <v>CHP plants - other solid biofuels</v>
      </c>
      <c r="AY295" s="26" t="str">
        <f>IF(Transactions[[#This Row],[Level 6]]=Transactions[[#This Row],[Transaction name]],Transactions[[#This Row],[Transaction name]],IF(Transactions[[#This Row],[Level 6]]=Transactions[[#This Row],[L1N]],Transactions[[#This Row],[Transaction name]],IF(Transactions[[#This Row],[Level 6]]=Transactions[[#This Row],[L2N]],Transactions[[#This Row],[L1N]],IF(Transactions[[#This Row],[Level 6]]=Transactions[[#This Row],[L3N]],Transactions[[#This Row],[L2N]],IF(Transactions[[#This Row],[Level 6]]=Transactions[[#This Row],[L4N]],Transactions[[#This Row],[L3N]],IF(Transactions[[#This Row],[Level 6]]=Transactions[[#This Row],[L5N]],Transactions[[#This Row],[L4N]],IF(Transactions[[#This Row],[Level 6]]=Transactions[[#This Row],[L6N]],Transactions[[#This Row],[L5N]],IF(Transactions[[#This Row],[Level 6]]=Transactions[[#This Row],[L7N]],Transactions[[#This Row],[L6N]],Transactions[[#This Row],[L7N]]))))))))</f>
        <v>CHP plants - other solid biofuels</v>
      </c>
      <c r="BE295" s="26" t="str">
        <f>_xlfn.XLOOKUP(Transformation[[#This Row],[cfrom]],Commodities[Commodity],Commodities[Commodity code])</f>
        <v>4300</v>
      </c>
      <c r="BF295" s="26" t="str">
        <f>_xlfn.XLOOKUP(Transformation[[#This Row],[tfrom]],Transactions[Transaction name],Transactions[Transaction code])</f>
        <v>086</v>
      </c>
      <c r="BG295" s="26" t="str">
        <f>_xlfn.XLOOKUP(Transformation[[#This Row],[cto]],Commodities[Commodity],Commodities[Commodity code])</f>
        <v>4300</v>
      </c>
      <c r="BH295" s="26" t="str">
        <f>_xlfn.XLOOKUP(Transformation[[#This Row],[tto]],Transactions[Transaction name],Transactions[Transaction code])</f>
        <v>086</v>
      </c>
      <c r="BI295" s="10">
        <v>-1</v>
      </c>
      <c r="BJ295" s="4" t="s">
        <v>432</v>
      </c>
      <c r="BK295" s="24" t="str">
        <f>_xlfn.XLOOKUP(Transformation[[#This Row],[Commodity from]],Commodities[Commodity code],Commodities[EnergyCode])</f>
        <v>FS</v>
      </c>
      <c r="BL295" s="4" t="s">
        <v>728</v>
      </c>
      <c r="BM295" s="4" t="s">
        <v>432</v>
      </c>
      <c r="BN295" s="24" t="str">
        <f>_xlfn.XLOOKUP(Transformation[[#This Row],[Commodity to]],Commodities[Commodity code],Commodities[EnergyCode])</f>
        <v>FS</v>
      </c>
      <c r="BO295" s="4" t="s">
        <v>728</v>
      </c>
      <c r="BP295" s="22" t="s">
        <v>1645</v>
      </c>
      <c r="BQ295" s="33" t="str">
        <f>Transformation[[#This Row],[Commodity from]]&amp;Transformation[[#This Row],[Transaction from]]&amp;Transformation[[#This Row],[Commodity to]]&amp;Transformation[[#This Row],[Transaction to]]</f>
        <v>43000864300086</v>
      </c>
      <c r="BR295" s="26" t="str">
        <f>Transformation[[#This Row],[crfomid]]&amp;Transformation[[#This Row],[Transaction from]]&amp;"("&amp;Transformation[[#This Row],[Multiplier]]&amp;") -&gt; "&amp;Transformation[[#This Row],[ctoid]]&amp;Transformation[[#This Row],[Transaction to]]</f>
        <v>FS086(-1) -&gt; FS086</v>
      </c>
    </row>
    <row r="296" spans="25:70" x14ac:dyDescent="0.45">
      <c r="Y296" s="5" t="s">
        <v>238</v>
      </c>
      <c r="Z296" s="7" t="s">
        <v>657</v>
      </c>
      <c r="AA296" s="4" t="s">
        <v>1324</v>
      </c>
      <c r="AB296" s="19" t="s">
        <v>1625</v>
      </c>
      <c r="AC296" s="24" t="str">
        <f>IFERROR(VLOOKUP(Transactions[[#This Row],[Parent code]],Transactions[[Transaction code]:[Transaction name]],2,0),"")</f>
        <v>CHP plants - other sources</v>
      </c>
      <c r="AD296" s="4" t="s">
        <v>189</v>
      </c>
      <c r="AE296" s="4" t="s">
        <v>922</v>
      </c>
      <c r="AF296" s="4" t="s">
        <v>642</v>
      </c>
      <c r="AG296" s="4" t="s">
        <v>1</v>
      </c>
      <c r="AH296" s="4" t="s">
        <v>696</v>
      </c>
      <c r="AK296" s="24" t="str" cm="1">
        <f t="array" ref="AK296">IFERROR(INDEX(Transactions[[Transaction code]:[Transaction name]],_xlfn.XMATCH(Transactions[[#This Row],[Parent code]],Transactions[Transaction name],0),3),Transactions[[#This Row],[Transaction name]])</f>
        <v>CHP plants - Autoproducer - other sources</v>
      </c>
      <c r="AL296" s="24" t="str" cm="1">
        <f t="array" ref="AL296">IFERROR(INDEX(Transactions[[Transaction code]:[Transaction name]],_xlfn.XMATCH(INDEX(Transactions[[Transaction name]:[Parent code]],_xlfn.XMATCH(Transactions[[#This Row],[L1N]],Transactions[Transaction name],0),3),Transactions[Transaction code],0),2),Transactions[[#This Row],[L1N]])</f>
        <v>CHP plants - other sources</v>
      </c>
      <c r="AM296" s="24" t="str" cm="1">
        <f t="array" ref="AM296">IFERROR(INDEX(Transactions[[Transaction code]:[Transaction name]],_xlfn.XMATCH(INDEX(Transactions[[Transaction name]:[Parent code]],_xlfn.XMATCH(Transactions[[#This Row],[L2N]],Transactions[Transaction name],0),3),Transactions[Transaction code],0),2),Transactions[[#This Row],[L2N]])</f>
        <v>CHP plants</v>
      </c>
      <c r="AN296" s="24" t="str" cm="1">
        <f t="array" ref="AN296">IFERROR(INDEX(Transactions[[Transaction code]:[Transaction name]],_xlfn.XMATCH(INDEX(Transactions[[Transaction name]:[Parent code]],_xlfn.XMATCH(Transactions[[#This Row],[L3N]],Transactions[Transaction name],0),3),Transactions[Transaction code],0),2),Transactions[[#This Row],[L3N]])</f>
        <v>Electricity, CHP and heat plants (T)</v>
      </c>
      <c r="AO296" s="24" t="str" cm="1">
        <f t="array" ref="AO296">IFERROR(INDEX(Transactions[[Transaction code]:[Transaction name]],_xlfn.XMATCH(INDEX(Transactions[[Transaction name]:[Parent code]],_xlfn.XMATCH(Transactions[[#This Row],[L4N]],Transactions[Transaction name],0),3),Transactions[Transaction code],0),2),Transactions[[#This Row],[L4N]])</f>
        <v>Transformation</v>
      </c>
      <c r="AP296" s="24" t="str" cm="1">
        <f t="array" ref="AP296">IFERROR(INDEX(Transactions[[Transaction code]:[Transaction name]],_xlfn.XMATCH(INDEX(Transactions[[Transaction name]:[Parent code]],_xlfn.XMATCH(Transactions[[#This Row],[L5N]],Transactions[Transaction name],0),3),Transactions[Transaction code],0),2),Transactions[[#This Row],[L5N]])</f>
        <v>Transformation</v>
      </c>
      <c r="AQ296" s="24" t="str" cm="1">
        <f t="array" ref="AQ296">IFERROR(INDEX(Transactions[[Transaction code]:[Transaction name]],_xlfn.XMATCH(INDEX(Transactions[[Transaction name]:[Parent code]],_xlfn.XMATCH(Transactions[[#This Row],[L6N]],Transactions[Transaction name],0),3),Transactions[Transaction code],0),2),Transactions[[#This Row],[L6N]])</f>
        <v>Transformation</v>
      </c>
      <c r="AR296" s="28" t="str">
        <f>IF(Transactions[[#This Row],[L7N]]=Transactions[[#This Row],[L6N]],Transactions[[#This Row],[L7N]],IF(Transactions[[#This Row],[L6N]]=Transactions[[#This Row],[L5N]],Transactions[[#This Row],[L6N]],IF(Transactions[[#This Row],[L5N]]=Transactions[[#This Row],[L4N]],Transactions[[#This Row],[L5N]],IF(Transactions[[#This Row],[L4N]]=Transactions[[#This Row],[L3N]],Transactions[[#This Row],[L4N]],IF(Transactions[[#This Row],[L3N]]=Transactions[[#This Row],[L2N]],Transactions[[#This Row],[L3N]],IF(Transactions[[#This Row],[L2N]]=Transactions[[#This Row],[L1N]],Transactions[[#This Row],[L2N]],IF(Transactions[[#This Row],[L1N]]=Transactions[[#This Row],[Transaction name]],Transactions[[#This Row],[L1N]],Transactions[[#This Row],[Transaction name]])))))))</f>
        <v>Transformation</v>
      </c>
      <c r="AS296" s="24" t="str">
        <f>IF(Transactions[[#This Row],[Level 0]]=Transactions[[#This Row],[Transaction name]],Transactions[[#This Row],[Transaction name]],IF(Transactions[[#This Row],[Level 0]]=Transactions[[#This Row],[L1N]],Transactions[[#This Row],[Transaction name]],IF(Transactions[[#This Row],[Level 0]]=Transactions[[#This Row],[L2N]],Transactions[[#This Row],[L1N]],IF(Transactions[[#This Row],[Level 0]]=Transactions[[#This Row],[L3N]],Transactions[[#This Row],[L2N]],IF(Transactions[[#This Row],[Level 0]]=Transactions[[#This Row],[L4N]],Transactions[[#This Row],[L3N]],IF(Transactions[[#This Row],[Level 0]]=Transactions[[#This Row],[L5N]],Transactions[[#This Row],[L4N]],IF(Transactions[[#This Row],[Level 0]]=Transactions[[#This Row],[L6N]],Transactions[[#This Row],[L5N]],IF(Transactions[[#This Row],[Level 0]]=Transactions[[#This Row],[L7N]],Transactions[[#This Row],[L6N]],Transactions[[#This Row],[L7N]]))))))))</f>
        <v>Electricity, CHP and heat plants (T)</v>
      </c>
      <c r="AT296" s="24" t="str">
        <f>IF(Transactions[[#This Row],[Level 1]]=Transactions[[#This Row],[Transaction name]],Transactions[[#This Row],[Transaction name]],IF(Transactions[[#This Row],[Level 1]]=Transactions[[#This Row],[L1N]],Transactions[[#This Row],[Transaction name]],IF(Transactions[[#This Row],[Level 1]]=Transactions[[#This Row],[L2N]],Transactions[[#This Row],[L1N]],IF(Transactions[[#This Row],[Level 1]]=Transactions[[#This Row],[L3N]],Transactions[[#This Row],[L2N]],IF(Transactions[[#This Row],[Level 1]]=Transactions[[#This Row],[L4N]],Transactions[[#This Row],[L3N]],IF(Transactions[[#This Row],[Level 1]]=Transactions[[#This Row],[L5N]],Transactions[[#This Row],[L4N]],IF(Transactions[[#This Row],[Level 1]]=Transactions[[#This Row],[L6N]],Transactions[[#This Row],[L5N]],IF(Transactions[[#This Row],[Level 1]]=Transactions[[#This Row],[L7N]],Transactions[[#This Row],[L6N]],Transactions[[#This Row],[L7N]]))))))))</f>
        <v>CHP plants</v>
      </c>
      <c r="AU296" s="24" t="str">
        <f>IF(Transactions[[#This Row],[Level 2]]=Transactions[[#This Row],[Transaction name]],Transactions[[#This Row],[Transaction name]],IF(Transactions[[#This Row],[Level 2]]=Transactions[[#This Row],[L1N]],Transactions[[#This Row],[Transaction name]],IF(Transactions[[#This Row],[Level 2]]=Transactions[[#This Row],[L2N]],Transactions[[#This Row],[L1N]],IF(Transactions[[#This Row],[Level 2]]=Transactions[[#This Row],[L3N]],Transactions[[#This Row],[L2N]],IF(Transactions[[#This Row],[Level 2]]=Transactions[[#This Row],[L4N]],Transactions[[#This Row],[L3N]],IF(Transactions[[#This Row],[Level 2]]=Transactions[[#This Row],[L5N]],Transactions[[#This Row],[L4N]],IF(Transactions[[#This Row],[Level 2]]=Transactions[[#This Row],[L6N]],Transactions[[#This Row],[L5N]],IF(Transactions[[#This Row],[Level 2]]=Transactions[[#This Row],[L7N]],Transactions[[#This Row],[L6N]],Transactions[[#This Row],[L7N]]))))))))</f>
        <v>CHP plants - other sources</v>
      </c>
      <c r="AV296" s="24" t="str">
        <f>IF(Transactions[[#This Row],[Level 3]]=Transactions[[#This Row],[Transaction name]],Transactions[[#This Row],[Transaction name]],IF(Transactions[[#This Row],[Level 3]]=Transactions[[#This Row],[L1N]],Transactions[[#This Row],[Transaction name]],IF(Transactions[[#This Row],[Level 3]]=Transactions[[#This Row],[L2N]],Transactions[[#This Row],[L1N]],IF(Transactions[[#This Row],[Level 3]]=Transactions[[#This Row],[L3N]],Transactions[[#This Row],[L2N]],IF(Transactions[[#This Row],[Level 3]]=Transactions[[#This Row],[L4N]],Transactions[[#This Row],[L3N]],IF(Transactions[[#This Row],[Level 3]]=Transactions[[#This Row],[L5N]],Transactions[[#This Row],[L4N]],IF(Transactions[[#This Row],[Level 3]]=Transactions[[#This Row],[L6N]],Transactions[[#This Row],[L5N]],IF(Transactions[[#This Row],[Level 3]]=Transactions[[#This Row],[L7N]],Transactions[[#This Row],[L6N]],Transactions[[#This Row],[L7N]]))))))))</f>
        <v>CHP plants - Autoproducer - other sources</v>
      </c>
      <c r="AW296" s="24" t="str">
        <f>IF(Transactions[[#This Row],[Level 4]]=Transactions[[#This Row],[Transaction name]],Transactions[[#This Row],[Transaction name]],IF(Transactions[[#This Row],[Level 4]]=Transactions[[#This Row],[L1N]],Transactions[[#This Row],[Transaction name]],IF(Transactions[[#This Row],[Level 4]]=Transactions[[#This Row],[L2N]],Transactions[[#This Row],[L1N]],IF(Transactions[[#This Row],[Level 4]]=Transactions[[#This Row],[L3N]],Transactions[[#This Row],[L2N]],IF(Transactions[[#This Row],[Level 4]]=Transactions[[#This Row],[L4N]],Transactions[[#This Row],[L3N]],IF(Transactions[[#This Row],[Level 4]]=Transactions[[#This Row],[L5N]],Transactions[[#This Row],[L4N]],IF(Transactions[[#This Row],[Level 4]]=Transactions[[#This Row],[L6N]],Transactions[[#This Row],[L5N]],IF(Transactions[[#This Row],[Level 4]]=Transactions[[#This Row],[L7N]],Transactions[[#This Row],[L6N]],Transactions[[#This Row],[L7N]]))))))))</f>
        <v>CHP plants - Autoproducer - other sources</v>
      </c>
      <c r="AX296" s="24" t="str">
        <f>IF(Transactions[[#This Row],[Level 5]]=Transactions[[#This Row],[Transaction name]],Transactions[[#This Row],[Transaction name]],IF(Transactions[[#This Row],[Level 5]]=Transactions[[#This Row],[L1N]],Transactions[[#This Row],[Transaction name]],IF(Transactions[[#This Row],[Level 5]]=Transactions[[#This Row],[L2N]],Transactions[[#This Row],[L1N]],IF(Transactions[[#This Row],[Level 5]]=Transactions[[#This Row],[L3N]],Transactions[[#This Row],[L2N]],IF(Transactions[[#This Row],[Level 5]]=Transactions[[#This Row],[L4N]],Transactions[[#This Row],[L3N]],IF(Transactions[[#This Row],[Level 5]]=Transactions[[#This Row],[L5N]],Transactions[[#This Row],[L4N]],IF(Transactions[[#This Row],[Level 5]]=Transactions[[#This Row],[L6N]],Transactions[[#This Row],[L5N]],IF(Transactions[[#This Row],[Level 5]]=Transactions[[#This Row],[L7N]],Transactions[[#This Row],[L6N]],Transactions[[#This Row],[L7N]]))))))))</f>
        <v>CHP plants - Autoproducer - other sources</v>
      </c>
      <c r="AY296" s="24" t="str">
        <f>IF(Transactions[[#This Row],[Level 6]]=Transactions[[#This Row],[Transaction name]],Transactions[[#This Row],[Transaction name]],IF(Transactions[[#This Row],[Level 6]]=Transactions[[#This Row],[L1N]],Transactions[[#This Row],[Transaction name]],IF(Transactions[[#This Row],[Level 6]]=Transactions[[#This Row],[L2N]],Transactions[[#This Row],[L1N]],IF(Transactions[[#This Row],[Level 6]]=Transactions[[#This Row],[L3N]],Transactions[[#This Row],[L2N]],IF(Transactions[[#This Row],[Level 6]]=Transactions[[#This Row],[L4N]],Transactions[[#This Row],[L3N]],IF(Transactions[[#This Row],[Level 6]]=Transactions[[#This Row],[L5N]],Transactions[[#This Row],[L4N]],IF(Transactions[[#This Row],[Level 6]]=Transactions[[#This Row],[L6N]],Transactions[[#This Row],[L5N]],IF(Transactions[[#This Row],[Level 6]]=Transactions[[#This Row],[L7N]],Transactions[[#This Row],[L6N]],Transactions[[#This Row],[L7N]]))))))))</f>
        <v>CHP plants - Autoproducer - other sources</v>
      </c>
      <c r="BE296" s="26" t="str">
        <f>_xlfn.XLOOKUP(Transformation[[#This Row],[cfrom]],Commodities[Commodity],Commodities[Commodity code])</f>
        <v>4300</v>
      </c>
      <c r="BF296" s="26" t="str">
        <f>_xlfn.XLOOKUP(Transformation[[#This Row],[tfrom]],Transactions[Transaction name],Transactions[Transaction code])</f>
        <v>086</v>
      </c>
      <c r="BG296" s="26" t="str">
        <f>_xlfn.XLOOKUP(Transformation[[#This Row],[cto]],Commodities[Commodity],Commodities[Commodity code])</f>
        <v>4300</v>
      </c>
      <c r="BH296" s="26" t="str">
        <f>_xlfn.XLOOKUP(Transformation[[#This Row],[tto]],Transactions[Transaction name],Transactions[Transaction code])</f>
        <v>07</v>
      </c>
      <c r="BI296" s="10">
        <v>-1</v>
      </c>
      <c r="BJ296" s="4" t="s">
        <v>432</v>
      </c>
      <c r="BK296" s="24" t="str">
        <f>_xlfn.XLOOKUP(Transformation[[#This Row],[Commodity from]],Commodities[Commodity code],Commodities[EnergyCode])</f>
        <v>FS</v>
      </c>
      <c r="BL296" s="4" t="s">
        <v>728</v>
      </c>
      <c r="BM296" s="4" t="s">
        <v>432</v>
      </c>
      <c r="BN296" s="24" t="str">
        <f>_xlfn.XLOOKUP(Transformation[[#This Row],[Commodity to]],Commodities[Commodity code],Commodities[EnergyCode])</f>
        <v>FS</v>
      </c>
      <c r="BO296" s="4" t="s">
        <v>190</v>
      </c>
      <c r="BP296" s="22" t="s">
        <v>1646</v>
      </c>
      <c r="BQ296" s="33" t="str">
        <f>Transformation[[#This Row],[Commodity from]]&amp;Transformation[[#This Row],[Transaction from]]&amp;Transformation[[#This Row],[Commodity to]]&amp;Transformation[[#This Row],[Transaction to]]</f>
        <v>4300086430007</v>
      </c>
      <c r="BR296" s="26" t="str">
        <f>Transformation[[#This Row],[crfomid]]&amp;Transformation[[#This Row],[Transaction from]]&amp;"("&amp;Transformation[[#This Row],[Multiplier]]&amp;") -&gt; "&amp;Transformation[[#This Row],[ctoid]]&amp;Transformation[[#This Row],[Transaction to]]</f>
        <v>FS086(-1) -&gt; FS07</v>
      </c>
    </row>
    <row r="297" spans="25:70" x14ac:dyDescent="0.45">
      <c r="Y297" s="5" t="s">
        <v>314</v>
      </c>
      <c r="Z297" s="7" t="s">
        <v>652</v>
      </c>
      <c r="AA297" s="4" t="s">
        <v>1324</v>
      </c>
      <c r="AB297" s="19" t="s">
        <v>1625</v>
      </c>
      <c r="AC297" s="24" t="str">
        <f>IFERROR(VLOOKUP(Transactions[[#This Row],[Parent code]],Transactions[[Transaction code]:[Transaction name]],2,0),"")</f>
        <v>CHP plants - other sources</v>
      </c>
      <c r="AD297" s="4" t="s">
        <v>189</v>
      </c>
      <c r="AE297" s="4" t="s">
        <v>922</v>
      </c>
      <c r="AF297" s="4" t="s">
        <v>642</v>
      </c>
      <c r="AG297" s="4" t="s">
        <v>1</v>
      </c>
      <c r="AH297" s="4" t="s">
        <v>696</v>
      </c>
      <c r="AK297" s="24" t="str" cm="1">
        <f t="array" ref="AK297">IFERROR(INDEX(Transactions[[Transaction code]:[Transaction name]],_xlfn.XMATCH(Transactions[[#This Row],[Parent code]],Transactions[Transaction name],0),3),Transactions[[#This Row],[Transaction name]])</f>
        <v>CHP plants - Main activity - other sources</v>
      </c>
      <c r="AL297" s="24" t="str" cm="1">
        <f t="array" ref="AL297">IFERROR(INDEX(Transactions[[Transaction code]:[Transaction name]],_xlfn.XMATCH(INDEX(Transactions[[Transaction name]:[Parent code]],_xlfn.XMATCH(Transactions[[#This Row],[L1N]],Transactions[Transaction name],0),3),Transactions[Transaction code],0),2),Transactions[[#This Row],[L1N]])</f>
        <v>CHP plants - other sources</v>
      </c>
      <c r="AM297" s="24" t="str" cm="1">
        <f t="array" ref="AM297">IFERROR(INDEX(Transactions[[Transaction code]:[Transaction name]],_xlfn.XMATCH(INDEX(Transactions[[Transaction name]:[Parent code]],_xlfn.XMATCH(Transactions[[#This Row],[L2N]],Transactions[Transaction name],0),3),Transactions[Transaction code],0),2),Transactions[[#This Row],[L2N]])</f>
        <v>CHP plants</v>
      </c>
      <c r="AN297" s="24" t="str" cm="1">
        <f t="array" ref="AN297">IFERROR(INDEX(Transactions[[Transaction code]:[Transaction name]],_xlfn.XMATCH(INDEX(Transactions[[Transaction name]:[Parent code]],_xlfn.XMATCH(Transactions[[#This Row],[L3N]],Transactions[Transaction name],0),3),Transactions[Transaction code],0),2),Transactions[[#This Row],[L3N]])</f>
        <v>Electricity, CHP and heat plants (T)</v>
      </c>
      <c r="AO297" s="24" t="str" cm="1">
        <f t="array" ref="AO297">IFERROR(INDEX(Transactions[[Transaction code]:[Transaction name]],_xlfn.XMATCH(INDEX(Transactions[[Transaction name]:[Parent code]],_xlfn.XMATCH(Transactions[[#This Row],[L4N]],Transactions[Transaction name],0),3),Transactions[Transaction code],0),2),Transactions[[#This Row],[L4N]])</f>
        <v>Transformation</v>
      </c>
      <c r="AP297" s="24" t="str" cm="1">
        <f t="array" ref="AP297">IFERROR(INDEX(Transactions[[Transaction code]:[Transaction name]],_xlfn.XMATCH(INDEX(Transactions[[Transaction name]:[Parent code]],_xlfn.XMATCH(Transactions[[#This Row],[L5N]],Transactions[Transaction name],0),3),Transactions[Transaction code],0),2),Transactions[[#This Row],[L5N]])</f>
        <v>Transformation</v>
      </c>
      <c r="AQ297" s="24" t="str" cm="1">
        <f t="array" ref="AQ297">IFERROR(INDEX(Transactions[[Transaction code]:[Transaction name]],_xlfn.XMATCH(INDEX(Transactions[[Transaction name]:[Parent code]],_xlfn.XMATCH(Transactions[[#This Row],[L6N]],Transactions[Transaction name],0),3),Transactions[Transaction code],0),2),Transactions[[#This Row],[L6N]])</f>
        <v>Transformation</v>
      </c>
      <c r="AR297" s="28" t="str">
        <f>IF(Transactions[[#This Row],[L7N]]=Transactions[[#This Row],[L6N]],Transactions[[#This Row],[L7N]],IF(Transactions[[#This Row],[L6N]]=Transactions[[#This Row],[L5N]],Transactions[[#This Row],[L6N]],IF(Transactions[[#This Row],[L5N]]=Transactions[[#This Row],[L4N]],Transactions[[#This Row],[L5N]],IF(Transactions[[#This Row],[L4N]]=Transactions[[#This Row],[L3N]],Transactions[[#This Row],[L4N]],IF(Transactions[[#This Row],[L3N]]=Transactions[[#This Row],[L2N]],Transactions[[#This Row],[L3N]],IF(Transactions[[#This Row],[L2N]]=Transactions[[#This Row],[L1N]],Transactions[[#This Row],[L2N]],IF(Transactions[[#This Row],[L1N]]=Transactions[[#This Row],[Transaction name]],Transactions[[#This Row],[L1N]],Transactions[[#This Row],[Transaction name]])))))))</f>
        <v>Transformation</v>
      </c>
      <c r="AS297" s="24" t="str">
        <f>IF(Transactions[[#This Row],[Level 0]]=Transactions[[#This Row],[Transaction name]],Transactions[[#This Row],[Transaction name]],IF(Transactions[[#This Row],[Level 0]]=Transactions[[#This Row],[L1N]],Transactions[[#This Row],[Transaction name]],IF(Transactions[[#This Row],[Level 0]]=Transactions[[#This Row],[L2N]],Transactions[[#This Row],[L1N]],IF(Transactions[[#This Row],[Level 0]]=Transactions[[#This Row],[L3N]],Transactions[[#This Row],[L2N]],IF(Transactions[[#This Row],[Level 0]]=Transactions[[#This Row],[L4N]],Transactions[[#This Row],[L3N]],IF(Transactions[[#This Row],[Level 0]]=Transactions[[#This Row],[L5N]],Transactions[[#This Row],[L4N]],IF(Transactions[[#This Row],[Level 0]]=Transactions[[#This Row],[L6N]],Transactions[[#This Row],[L5N]],IF(Transactions[[#This Row],[Level 0]]=Transactions[[#This Row],[L7N]],Transactions[[#This Row],[L6N]],Transactions[[#This Row],[L7N]]))))))))</f>
        <v>Electricity, CHP and heat plants (T)</v>
      </c>
      <c r="AT297" s="24" t="str">
        <f>IF(Transactions[[#This Row],[Level 1]]=Transactions[[#This Row],[Transaction name]],Transactions[[#This Row],[Transaction name]],IF(Transactions[[#This Row],[Level 1]]=Transactions[[#This Row],[L1N]],Transactions[[#This Row],[Transaction name]],IF(Transactions[[#This Row],[Level 1]]=Transactions[[#This Row],[L2N]],Transactions[[#This Row],[L1N]],IF(Transactions[[#This Row],[Level 1]]=Transactions[[#This Row],[L3N]],Transactions[[#This Row],[L2N]],IF(Transactions[[#This Row],[Level 1]]=Transactions[[#This Row],[L4N]],Transactions[[#This Row],[L3N]],IF(Transactions[[#This Row],[Level 1]]=Transactions[[#This Row],[L5N]],Transactions[[#This Row],[L4N]],IF(Transactions[[#This Row],[Level 1]]=Transactions[[#This Row],[L6N]],Transactions[[#This Row],[L5N]],IF(Transactions[[#This Row],[Level 1]]=Transactions[[#This Row],[L7N]],Transactions[[#This Row],[L6N]],Transactions[[#This Row],[L7N]]))))))))</f>
        <v>CHP plants</v>
      </c>
      <c r="AU297" s="24" t="str">
        <f>IF(Transactions[[#This Row],[Level 2]]=Transactions[[#This Row],[Transaction name]],Transactions[[#This Row],[Transaction name]],IF(Transactions[[#This Row],[Level 2]]=Transactions[[#This Row],[L1N]],Transactions[[#This Row],[Transaction name]],IF(Transactions[[#This Row],[Level 2]]=Transactions[[#This Row],[L2N]],Transactions[[#This Row],[L1N]],IF(Transactions[[#This Row],[Level 2]]=Transactions[[#This Row],[L3N]],Transactions[[#This Row],[L2N]],IF(Transactions[[#This Row],[Level 2]]=Transactions[[#This Row],[L4N]],Transactions[[#This Row],[L3N]],IF(Transactions[[#This Row],[Level 2]]=Transactions[[#This Row],[L5N]],Transactions[[#This Row],[L4N]],IF(Transactions[[#This Row],[Level 2]]=Transactions[[#This Row],[L6N]],Transactions[[#This Row],[L5N]],IF(Transactions[[#This Row],[Level 2]]=Transactions[[#This Row],[L7N]],Transactions[[#This Row],[L6N]],Transactions[[#This Row],[L7N]]))))))))</f>
        <v>CHP plants - other sources</v>
      </c>
      <c r="AV297" s="24" t="str">
        <f>IF(Transactions[[#This Row],[Level 3]]=Transactions[[#This Row],[Transaction name]],Transactions[[#This Row],[Transaction name]],IF(Transactions[[#This Row],[Level 3]]=Transactions[[#This Row],[L1N]],Transactions[[#This Row],[Transaction name]],IF(Transactions[[#This Row],[Level 3]]=Transactions[[#This Row],[L2N]],Transactions[[#This Row],[L1N]],IF(Transactions[[#This Row],[Level 3]]=Transactions[[#This Row],[L3N]],Transactions[[#This Row],[L2N]],IF(Transactions[[#This Row],[Level 3]]=Transactions[[#This Row],[L4N]],Transactions[[#This Row],[L3N]],IF(Transactions[[#This Row],[Level 3]]=Transactions[[#This Row],[L5N]],Transactions[[#This Row],[L4N]],IF(Transactions[[#This Row],[Level 3]]=Transactions[[#This Row],[L6N]],Transactions[[#This Row],[L5N]],IF(Transactions[[#This Row],[Level 3]]=Transactions[[#This Row],[L7N]],Transactions[[#This Row],[L6N]],Transactions[[#This Row],[L7N]]))))))))</f>
        <v>CHP plants - Main activity - other sources</v>
      </c>
      <c r="AW297" s="24" t="str">
        <f>IF(Transactions[[#This Row],[Level 4]]=Transactions[[#This Row],[Transaction name]],Transactions[[#This Row],[Transaction name]],IF(Transactions[[#This Row],[Level 4]]=Transactions[[#This Row],[L1N]],Transactions[[#This Row],[Transaction name]],IF(Transactions[[#This Row],[Level 4]]=Transactions[[#This Row],[L2N]],Transactions[[#This Row],[L1N]],IF(Transactions[[#This Row],[Level 4]]=Transactions[[#This Row],[L3N]],Transactions[[#This Row],[L2N]],IF(Transactions[[#This Row],[Level 4]]=Transactions[[#This Row],[L4N]],Transactions[[#This Row],[L3N]],IF(Transactions[[#This Row],[Level 4]]=Transactions[[#This Row],[L5N]],Transactions[[#This Row],[L4N]],IF(Transactions[[#This Row],[Level 4]]=Transactions[[#This Row],[L6N]],Transactions[[#This Row],[L5N]],IF(Transactions[[#This Row],[Level 4]]=Transactions[[#This Row],[L7N]],Transactions[[#This Row],[L6N]],Transactions[[#This Row],[L7N]]))))))))</f>
        <v>CHP plants - Main activity - other sources</v>
      </c>
      <c r="AX297" s="24" t="str">
        <f>IF(Transactions[[#This Row],[Level 5]]=Transactions[[#This Row],[Transaction name]],Transactions[[#This Row],[Transaction name]],IF(Transactions[[#This Row],[Level 5]]=Transactions[[#This Row],[L1N]],Transactions[[#This Row],[Transaction name]],IF(Transactions[[#This Row],[Level 5]]=Transactions[[#This Row],[L2N]],Transactions[[#This Row],[L1N]],IF(Transactions[[#This Row],[Level 5]]=Transactions[[#This Row],[L3N]],Transactions[[#This Row],[L2N]],IF(Transactions[[#This Row],[Level 5]]=Transactions[[#This Row],[L4N]],Transactions[[#This Row],[L3N]],IF(Transactions[[#This Row],[Level 5]]=Transactions[[#This Row],[L5N]],Transactions[[#This Row],[L4N]],IF(Transactions[[#This Row],[Level 5]]=Transactions[[#This Row],[L6N]],Transactions[[#This Row],[L5N]],IF(Transactions[[#This Row],[Level 5]]=Transactions[[#This Row],[L7N]],Transactions[[#This Row],[L6N]],Transactions[[#This Row],[L7N]]))))))))</f>
        <v>CHP plants - Main activity - other sources</v>
      </c>
      <c r="AY297" s="24" t="str">
        <f>IF(Transactions[[#This Row],[Level 6]]=Transactions[[#This Row],[Transaction name]],Transactions[[#This Row],[Transaction name]],IF(Transactions[[#This Row],[Level 6]]=Transactions[[#This Row],[L1N]],Transactions[[#This Row],[Transaction name]],IF(Transactions[[#This Row],[Level 6]]=Transactions[[#This Row],[L2N]],Transactions[[#This Row],[L1N]],IF(Transactions[[#This Row],[Level 6]]=Transactions[[#This Row],[L3N]],Transactions[[#This Row],[L2N]],IF(Transactions[[#This Row],[Level 6]]=Transactions[[#This Row],[L4N]],Transactions[[#This Row],[L3N]],IF(Transactions[[#This Row],[Level 6]]=Transactions[[#This Row],[L5N]],Transactions[[#This Row],[L4N]],IF(Transactions[[#This Row],[Level 6]]=Transactions[[#This Row],[L6N]],Transactions[[#This Row],[L5N]],IF(Transactions[[#This Row],[Level 6]]=Transactions[[#This Row],[L7N]],Transactions[[#This Row],[L6N]],Transactions[[#This Row],[L7N]]))))))))</f>
        <v>CHP plants - Main activity - other sources</v>
      </c>
      <c r="BE297" s="26" t="str">
        <f>_xlfn.XLOOKUP(Transformation[[#This Row],[cfrom]],Commodities[Commodity],Commodities[Commodity code])</f>
        <v>4200</v>
      </c>
      <c r="BF297" s="26" t="str">
        <f>_xlfn.XLOOKUP(Transformation[[#This Row],[tfrom]],Transactions[Transaction name],Transactions[Transaction code])</f>
        <v>089</v>
      </c>
      <c r="BG297" s="26" t="str">
        <f>_xlfn.XLOOKUP(Transformation[[#This Row],[cto]],Commodities[Commodity],Commodities[Commodity code])</f>
        <v>4200</v>
      </c>
      <c r="BH297" s="26" t="str">
        <f>_xlfn.XLOOKUP(Transformation[[#This Row],[tto]],Transactions[Transaction name],Transactions[Transaction code])</f>
        <v>087</v>
      </c>
      <c r="BI297" s="32">
        <v>1</v>
      </c>
      <c r="BJ297" s="22" t="s">
        <v>435</v>
      </c>
      <c r="BK297" s="26" t="str">
        <f>_xlfn.XLOOKUP(Transformation[[#This Row],[Commodity from]],Commodities[Commodity code],Commodities[EnergyCode])</f>
        <v>GL</v>
      </c>
      <c r="BL297" s="22" t="s">
        <v>165</v>
      </c>
      <c r="BM297" s="22" t="s">
        <v>435</v>
      </c>
      <c r="BN297" s="26" t="str">
        <f>_xlfn.XLOOKUP(Transformation[[#This Row],[Commodity to]],Commodities[Commodity code],Commodities[EnergyCode])</f>
        <v>GL</v>
      </c>
      <c r="BO297" s="22" t="s">
        <v>729</v>
      </c>
      <c r="BP297" s="22" t="s">
        <v>1641</v>
      </c>
      <c r="BQ297" s="33" t="str">
        <f>Transformation[[#This Row],[Commodity from]]&amp;Transformation[[#This Row],[Transaction from]]&amp;Transformation[[#This Row],[Commodity to]]&amp;Transformation[[#This Row],[Transaction to]]</f>
        <v>42000894200087</v>
      </c>
      <c r="BR297" s="26" t="str">
        <f>Transformation[[#This Row],[crfomid]]&amp;Transformation[[#This Row],[Transaction from]]&amp;"("&amp;Transformation[[#This Row],[Multiplier]]&amp;") -&gt; "&amp;Transformation[[#This Row],[ctoid]]&amp;Transformation[[#This Row],[Transaction to]]</f>
        <v>GL089(1) -&gt; GL087</v>
      </c>
    </row>
    <row r="298" spans="25:70" x14ac:dyDescent="0.45">
      <c r="Y298" s="19" t="s">
        <v>1625</v>
      </c>
      <c r="Z298" s="18" t="s">
        <v>1324</v>
      </c>
      <c r="AA298" s="18" t="s">
        <v>1324</v>
      </c>
      <c r="AB298" s="19" t="s">
        <v>1627</v>
      </c>
      <c r="AC298" s="26" t="str">
        <f>IFERROR(VLOOKUP(Transactions[[#This Row],[Parent code]],Transactions[[Transaction code]:[Transaction name]],2,0),"")</f>
        <v>CHP plants</v>
      </c>
      <c r="AD298" s="18" t="s">
        <v>189</v>
      </c>
      <c r="AE298" s="18" t="s">
        <v>922</v>
      </c>
      <c r="AF298" s="18" t="s">
        <v>642</v>
      </c>
      <c r="AG298" s="18" t="s">
        <v>1</v>
      </c>
      <c r="AH298" s="18" t="s">
        <v>696</v>
      </c>
      <c r="AI298" s="18"/>
      <c r="AJ298" s="18"/>
      <c r="AK298" s="26" t="str" cm="1">
        <f t="array" ref="AK298">IFERROR(INDEX(Transactions[[Transaction code]:[Transaction name]],_xlfn.XMATCH(Transactions[[#This Row],[Parent code]],Transactions[Transaction name],0),3),Transactions[[#This Row],[Transaction name]])</f>
        <v>CHP plants - other sources</v>
      </c>
      <c r="AL298" s="26" t="str" cm="1">
        <f t="array" ref="AL298">IFERROR(INDEX(Transactions[[Transaction code]:[Transaction name]],_xlfn.XMATCH(INDEX(Transactions[[Transaction name]:[Parent code]],_xlfn.XMATCH(Transactions[[#This Row],[L1N]],Transactions[Transaction name],0),3),Transactions[Transaction code],0),2),Transactions[[#This Row],[L1N]])</f>
        <v>CHP plants</v>
      </c>
      <c r="AM298" s="26" t="str" cm="1">
        <f t="array" ref="AM298">IFERROR(INDEX(Transactions[[Transaction code]:[Transaction name]],_xlfn.XMATCH(INDEX(Transactions[[Transaction name]:[Parent code]],_xlfn.XMATCH(Transactions[[#This Row],[L2N]],Transactions[Transaction name],0),3),Transactions[Transaction code],0),2),Transactions[[#This Row],[L2N]])</f>
        <v>Electricity, CHP and heat plants (T)</v>
      </c>
      <c r="AN298" s="26" t="str" cm="1">
        <f t="array" ref="AN298">IFERROR(INDEX(Transactions[[Transaction code]:[Transaction name]],_xlfn.XMATCH(INDEX(Transactions[[Transaction name]:[Parent code]],_xlfn.XMATCH(Transactions[[#This Row],[L3N]],Transactions[Transaction name],0),3),Transactions[Transaction code],0),2),Transactions[[#This Row],[L3N]])</f>
        <v>Transformation</v>
      </c>
      <c r="AO298" s="26" t="str" cm="1">
        <f t="array" ref="AO298">IFERROR(INDEX(Transactions[[Transaction code]:[Transaction name]],_xlfn.XMATCH(INDEX(Transactions[[Transaction name]:[Parent code]],_xlfn.XMATCH(Transactions[[#This Row],[L4N]],Transactions[Transaction name],0),3),Transactions[Transaction code],0),2),Transactions[[#This Row],[L4N]])</f>
        <v>Transformation</v>
      </c>
      <c r="AP298" s="26" t="str" cm="1">
        <f t="array" ref="AP298">IFERROR(INDEX(Transactions[[Transaction code]:[Transaction name]],_xlfn.XMATCH(INDEX(Transactions[[Transaction name]:[Parent code]],_xlfn.XMATCH(Transactions[[#This Row],[L5N]],Transactions[Transaction name],0),3),Transactions[Transaction code],0),2),Transactions[[#This Row],[L5N]])</f>
        <v>Transformation</v>
      </c>
      <c r="AQ298" s="26" t="str" cm="1">
        <f t="array" ref="AQ298">IFERROR(INDEX(Transactions[[Transaction code]:[Transaction name]],_xlfn.XMATCH(INDEX(Transactions[[Transaction name]:[Parent code]],_xlfn.XMATCH(Transactions[[#This Row],[L6N]],Transactions[Transaction name],0),3),Transactions[Transaction code],0),2),Transactions[[#This Row],[L6N]])</f>
        <v>Transformation</v>
      </c>
      <c r="AR298" s="30" t="str">
        <f>IF(Transactions[[#This Row],[L7N]]=Transactions[[#This Row],[L6N]],Transactions[[#This Row],[L7N]],IF(Transactions[[#This Row],[L6N]]=Transactions[[#This Row],[L5N]],Transactions[[#This Row],[L6N]],IF(Transactions[[#This Row],[L5N]]=Transactions[[#This Row],[L4N]],Transactions[[#This Row],[L5N]],IF(Transactions[[#This Row],[L4N]]=Transactions[[#This Row],[L3N]],Transactions[[#This Row],[L4N]],IF(Transactions[[#This Row],[L3N]]=Transactions[[#This Row],[L2N]],Transactions[[#This Row],[L3N]],IF(Transactions[[#This Row],[L2N]]=Transactions[[#This Row],[L1N]],Transactions[[#This Row],[L2N]],IF(Transactions[[#This Row],[L1N]]=Transactions[[#This Row],[Transaction name]],Transactions[[#This Row],[L1N]],Transactions[[#This Row],[Transaction name]])))))))</f>
        <v>Transformation</v>
      </c>
      <c r="AS298" s="26" t="str">
        <f>IF(Transactions[[#This Row],[Level 0]]=Transactions[[#This Row],[Transaction name]],Transactions[[#This Row],[Transaction name]],IF(Transactions[[#This Row],[Level 0]]=Transactions[[#This Row],[L1N]],Transactions[[#This Row],[Transaction name]],IF(Transactions[[#This Row],[Level 0]]=Transactions[[#This Row],[L2N]],Transactions[[#This Row],[L1N]],IF(Transactions[[#This Row],[Level 0]]=Transactions[[#This Row],[L3N]],Transactions[[#This Row],[L2N]],IF(Transactions[[#This Row],[Level 0]]=Transactions[[#This Row],[L4N]],Transactions[[#This Row],[L3N]],IF(Transactions[[#This Row],[Level 0]]=Transactions[[#This Row],[L5N]],Transactions[[#This Row],[L4N]],IF(Transactions[[#This Row],[Level 0]]=Transactions[[#This Row],[L6N]],Transactions[[#This Row],[L5N]],IF(Transactions[[#This Row],[Level 0]]=Transactions[[#This Row],[L7N]],Transactions[[#This Row],[L6N]],Transactions[[#This Row],[L7N]]))))))))</f>
        <v>Electricity, CHP and heat plants (T)</v>
      </c>
      <c r="AT298" s="26" t="str">
        <f>IF(Transactions[[#This Row],[Level 1]]=Transactions[[#This Row],[Transaction name]],Transactions[[#This Row],[Transaction name]],IF(Transactions[[#This Row],[Level 1]]=Transactions[[#This Row],[L1N]],Transactions[[#This Row],[Transaction name]],IF(Transactions[[#This Row],[Level 1]]=Transactions[[#This Row],[L2N]],Transactions[[#This Row],[L1N]],IF(Transactions[[#This Row],[Level 1]]=Transactions[[#This Row],[L3N]],Transactions[[#This Row],[L2N]],IF(Transactions[[#This Row],[Level 1]]=Transactions[[#This Row],[L4N]],Transactions[[#This Row],[L3N]],IF(Transactions[[#This Row],[Level 1]]=Transactions[[#This Row],[L5N]],Transactions[[#This Row],[L4N]],IF(Transactions[[#This Row],[Level 1]]=Transactions[[#This Row],[L6N]],Transactions[[#This Row],[L5N]],IF(Transactions[[#This Row],[Level 1]]=Transactions[[#This Row],[L7N]],Transactions[[#This Row],[L6N]],Transactions[[#This Row],[L7N]]))))))))</f>
        <v>CHP plants</v>
      </c>
      <c r="AU298" s="26" t="str">
        <f>IF(Transactions[[#This Row],[Level 2]]=Transactions[[#This Row],[Transaction name]],Transactions[[#This Row],[Transaction name]],IF(Transactions[[#This Row],[Level 2]]=Transactions[[#This Row],[L1N]],Transactions[[#This Row],[Transaction name]],IF(Transactions[[#This Row],[Level 2]]=Transactions[[#This Row],[L2N]],Transactions[[#This Row],[L1N]],IF(Transactions[[#This Row],[Level 2]]=Transactions[[#This Row],[L3N]],Transactions[[#This Row],[L2N]],IF(Transactions[[#This Row],[Level 2]]=Transactions[[#This Row],[L4N]],Transactions[[#This Row],[L3N]],IF(Transactions[[#This Row],[Level 2]]=Transactions[[#This Row],[L5N]],Transactions[[#This Row],[L4N]],IF(Transactions[[#This Row],[Level 2]]=Transactions[[#This Row],[L6N]],Transactions[[#This Row],[L5N]],IF(Transactions[[#This Row],[Level 2]]=Transactions[[#This Row],[L7N]],Transactions[[#This Row],[L6N]],Transactions[[#This Row],[L7N]]))))))))</f>
        <v>CHP plants - other sources</v>
      </c>
      <c r="AV298" s="26" t="str">
        <f>IF(Transactions[[#This Row],[Level 3]]=Transactions[[#This Row],[Transaction name]],Transactions[[#This Row],[Transaction name]],IF(Transactions[[#This Row],[Level 3]]=Transactions[[#This Row],[L1N]],Transactions[[#This Row],[Transaction name]],IF(Transactions[[#This Row],[Level 3]]=Transactions[[#This Row],[L2N]],Transactions[[#This Row],[L1N]],IF(Transactions[[#This Row],[Level 3]]=Transactions[[#This Row],[L3N]],Transactions[[#This Row],[L2N]],IF(Transactions[[#This Row],[Level 3]]=Transactions[[#This Row],[L4N]],Transactions[[#This Row],[L3N]],IF(Transactions[[#This Row],[Level 3]]=Transactions[[#This Row],[L5N]],Transactions[[#This Row],[L4N]],IF(Transactions[[#This Row],[Level 3]]=Transactions[[#This Row],[L6N]],Transactions[[#This Row],[L5N]],IF(Transactions[[#This Row],[Level 3]]=Transactions[[#This Row],[L7N]],Transactions[[#This Row],[L6N]],Transactions[[#This Row],[L7N]]))))))))</f>
        <v>CHP plants - other sources</v>
      </c>
      <c r="AW298" s="26" t="str">
        <f>IF(Transactions[[#This Row],[Level 4]]=Transactions[[#This Row],[Transaction name]],Transactions[[#This Row],[Transaction name]],IF(Transactions[[#This Row],[Level 4]]=Transactions[[#This Row],[L1N]],Transactions[[#This Row],[Transaction name]],IF(Transactions[[#This Row],[Level 4]]=Transactions[[#This Row],[L2N]],Transactions[[#This Row],[L1N]],IF(Transactions[[#This Row],[Level 4]]=Transactions[[#This Row],[L3N]],Transactions[[#This Row],[L2N]],IF(Transactions[[#This Row],[Level 4]]=Transactions[[#This Row],[L4N]],Transactions[[#This Row],[L3N]],IF(Transactions[[#This Row],[Level 4]]=Transactions[[#This Row],[L5N]],Transactions[[#This Row],[L4N]],IF(Transactions[[#This Row],[Level 4]]=Transactions[[#This Row],[L6N]],Transactions[[#This Row],[L5N]],IF(Transactions[[#This Row],[Level 4]]=Transactions[[#This Row],[L7N]],Transactions[[#This Row],[L6N]],Transactions[[#This Row],[L7N]]))))))))</f>
        <v>CHP plants - other sources</v>
      </c>
      <c r="AX298" s="26" t="str">
        <f>IF(Transactions[[#This Row],[Level 5]]=Transactions[[#This Row],[Transaction name]],Transactions[[#This Row],[Transaction name]],IF(Transactions[[#This Row],[Level 5]]=Transactions[[#This Row],[L1N]],Transactions[[#This Row],[Transaction name]],IF(Transactions[[#This Row],[Level 5]]=Transactions[[#This Row],[L2N]],Transactions[[#This Row],[L1N]],IF(Transactions[[#This Row],[Level 5]]=Transactions[[#This Row],[L3N]],Transactions[[#This Row],[L2N]],IF(Transactions[[#This Row],[Level 5]]=Transactions[[#This Row],[L4N]],Transactions[[#This Row],[L3N]],IF(Transactions[[#This Row],[Level 5]]=Transactions[[#This Row],[L5N]],Transactions[[#This Row],[L4N]],IF(Transactions[[#This Row],[Level 5]]=Transactions[[#This Row],[L6N]],Transactions[[#This Row],[L5N]],IF(Transactions[[#This Row],[Level 5]]=Transactions[[#This Row],[L7N]],Transactions[[#This Row],[L6N]],Transactions[[#This Row],[L7N]]))))))))</f>
        <v>CHP plants - other sources</v>
      </c>
      <c r="AY298" s="26" t="str">
        <f>IF(Transactions[[#This Row],[Level 6]]=Transactions[[#This Row],[Transaction name]],Transactions[[#This Row],[Transaction name]],IF(Transactions[[#This Row],[Level 6]]=Transactions[[#This Row],[L1N]],Transactions[[#This Row],[Transaction name]],IF(Transactions[[#This Row],[Level 6]]=Transactions[[#This Row],[L2N]],Transactions[[#This Row],[L1N]],IF(Transactions[[#This Row],[Level 6]]=Transactions[[#This Row],[L3N]],Transactions[[#This Row],[L2N]],IF(Transactions[[#This Row],[Level 6]]=Transactions[[#This Row],[L4N]],Transactions[[#This Row],[L3N]],IF(Transactions[[#This Row],[Level 6]]=Transactions[[#This Row],[L5N]],Transactions[[#This Row],[L4N]],IF(Transactions[[#This Row],[Level 6]]=Transactions[[#This Row],[L6N]],Transactions[[#This Row],[L5N]],IF(Transactions[[#This Row],[Level 6]]=Transactions[[#This Row],[L7N]],Transactions[[#This Row],[L6N]],Transactions[[#This Row],[L7N]]))))))))</f>
        <v>CHP plants - other sources</v>
      </c>
      <c r="BE298" s="26" t="str">
        <f>_xlfn.XLOOKUP(Transformation[[#This Row],[cfrom]],Commodities[Commodity],Commodities[Commodity code])</f>
        <v>4200</v>
      </c>
      <c r="BF298" s="26" t="str">
        <f>_xlfn.XLOOKUP(Transformation[[#This Row],[tfrom]],Transactions[Transaction name],Transactions[Transaction code])</f>
        <v>089</v>
      </c>
      <c r="BG298" s="26" t="str">
        <f>_xlfn.XLOOKUP(Transformation[[#This Row],[cto]],Commodities[Commodity],Commodities[Commodity code])</f>
        <v>4200</v>
      </c>
      <c r="BH298" s="26" t="str">
        <f>_xlfn.XLOOKUP(Transformation[[#This Row],[tto]],Transactions[Transaction name],Transactions[Transaction code])</f>
        <v>089</v>
      </c>
      <c r="BI298" s="32">
        <v>-1</v>
      </c>
      <c r="BJ298" s="22" t="s">
        <v>435</v>
      </c>
      <c r="BK298" s="26" t="str">
        <f>_xlfn.XLOOKUP(Transformation[[#This Row],[Commodity from]],Commodities[Commodity code],Commodities[EnergyCode])</f>
        <v>GL</v>
      </c>
      <c r="BL298" s="22" t="s">
        <v>165</v>
      </c>
      <c r="BM298" s="22" t="s">
        <v>435</v>
      </c>
      <c r="BN298" s="26" t="str">
        <f>_xlfn.XLOOKUP(Transformation[[#This Row],[Commodity to]],Commodities[Commodity code],Commodities[EnergyCode])</f>
        <v>GL</v>
      </c>
      <c r="BO298" s="22" t="s">
        <v>165</v>
      </c>
      <c r="BP298" s="22" t="s">
        <v>1640</v>
      </c>
      <c r="BQ298" s="33" t="str">
        <f>Transformation[[#This Row],[Commodity from]]&amp;Transformation[[#This Row],[Transaction from]]&amp;Transformation[[#This Row],[Commodity to]]&amp;Transformation[[#This Row],[Transaction to]]</f>
        <v>42000894200089</v>
      </c>
      <c r="BR298" s="26" t="str">
        <f>Transformation[[#This Row],[crfomid]]&amp;Transformation[[#This Row],[Transaction from]]&amp;"("&amp;Transformation[[#This Row],[Multiplier]]&amp;") -&gt; "&amp;Transformation[[#This Row],[ctoid]]&amp;Transformation[[#This Row],[Transaction to]]</f>
        <v>GL089(-1) -&gt; GL089</v>
      </c>
    </row>
    <row r="299" spans="25:70" x14ac:dyDescent="0.45">
      <c r="Y299" s="5" t="s">
        <v>1267</v>
      </c>
      <c r="Z299" s="7" t="s">
        <v>1205</v>
      </c>
      <c r="AA299" s="4" t="s">
        <v>1391</v>
      </c>
      <c r="AB299" s="19" t="s">
        <v>1628</v>
      </c>
      <c r="AC299" s="24" t="str">
        <f>IFERROR(VLOOKUP(Transactions[[#This Row],[Parent code]],Transactions[[Transaction code]:[Transaction name]],2,0),"")</f>
        <v>CHP plants - peat</v>
      </c>
      <c r="AD299" s="4" t="s">
        <v>189</v>
      </c>
      <c r="AE299" s="4" t="s">
        <v>922</v>
      </c>
      <c r="AF299" s="4" t="s">
        <v>642</v>
      </c>
      <c r="AG299" s="4" t="s">
        <v>1</v>
      </c>
      <c r="AH299" s="4" t="s">
        <v>696</v>
      </c>
      <c r="AI299" s="12" t="s">
        <v>1416</v>
      </c>
      <c r="AK299" s="24" t="str" cm="1">
        <f t="array" ref="AK299">IFERROR(INDEX(Transactions[[Transaction code]:[Transaction name]],_xlfn.XMATCH(Transactions[[#This Row],[Parent code]],Transactions[Transaction name],0),3),Transactions[[#This Row],[Transaction name]])</f>
        <v>CHP plants - Autoproducer - peat</v>
      </c>
      <c r="AL299" s="24" t="str" cm="1">
        <f t="array" ref="AL299">IFERROR(INDEX(Transactions[[Transaction code]:[Transaction name]],_xlfn.XMATCH(INDEX(Transactions[[Transaction name]:[Parent code]],_xlfn.XMATCH(Transactions[[#This Row],[L1N]],Transactions[Transaction name],0),3),Transactions[Transaction code],0),2),Transactions[[#This Row],[L1N]])</f>
        <v>CHP plants - peat</v>
      </c>
      <c r="AM299" s="24" t="str" cm="1">
        <f t="array" ref="AM299">IFERROR(INDEX(Transactions[[Transaction code]:[Transaction name]],_xlfn.XMATCH(INDEX(Transactions[[Transaction name]:[Parent code]],_xlfn.XMATCH(Transactions[[#This Row],[L2N]],Transactions[Transaction name],0),3),Transactions[Transaction code],0),2),Transactions[[#This Row],[L2N]])</f>
        <v>CHP plants</v>
      </c>
      <c r="AN299" s="24" t="str" cm="1">
        <f t="array" ref="AN299">IFERROR(INDEX(Transactions[[Transaction code]:[Transaction name]],_xlfn.XMATCH(INDEX(Transactions[[Transaction name]:[Parent code]],_xlfn.XMATCH(Transactions[[#This Row],[L3N]],Transactions[Transaction name],0),3),Transactions[Transaction code],0),2),Transactions[[#This Row],[L3N]])</f>
        <v>Electricity, CHP and heat plants (T)</v>
      </c>
      <c r="AO299" s="24" t="str" cm="1">
        <f t="array" ref="AO299">IFERROR(INDEX(Transactions[[Transaction code]:[Transaction name]],_xlfn.XMATCH(INDEX(Transactions[[Transaction name]:[Parent code]],_xlfn.XMATCH(Transactions[[#This Row],[L4N]],Transactions[Transaction name],0),3),Transactions[Transaction code],0),2),Transactions[[#This Row],[L4N]])</f>
        <v>Transformation</v>
      </c>
      <c r="AP299" s="24" t="str" cm="1">
        <f t="array" ref="AP299">IFERROR(INDEX(Transactions[[Transaction code]:[Transaction name]],_xlfn.XMATCH(INDEX(Transactions[[Transaction name]:[Parent code]],_xlfn.XMATCH(Transactions[[#This Row],[L5N]],Transactions[Transaction name],0),3),Transactions[Transaction code],0),2),Transactions[[#This Row],[L5N]])</f>
        <v>Transformation</v>
      </c>
      <c r="AQ299" s="24" t="str" cm="1">
        <f t="array" ref="AQ299">IFERROR(INDEX(Transactions[[Transaction code]:[Transaction name]],_xlfn.XMATCH(INDEX(Transactions[[Transaction name]:[Parent code]],_xlfn.XMATCH(Transactions[[#This Row],[L6N]],Transactions[Transaction name],0),3),Transactions[Transaction code],0),2),Transactions[[#This Row],[L6N]])</f>
        <v>Transformation</v>
      </c>
      <c r="AR299" s="27" t="str">
        <f>IF(Transactions[[#This Row],[L7N]]=Transactions[[#This Row],[L6N]],Transactions[[#This Row],[L7N]],IF(Transactions[[#This Row],[L6N]]=Transactions[[#This Row],[L5N]],Transactions[[#This Row],[L6N]],IF(Transactions[[#This Row],[L5N]]=Transactions[[#This Row],[L4N]],Transactions[[#This Row],[L5N]],IF(Transactions[[#This Row],[L4N]]=Transactions[[#This Row],[L3N]],Transactions[[#This Row],[L4N]],IF(Transactions[[#This Row],[L3N]]=Transactions[[#This Row],[L2N]],Transactions[[#This Row],[L3N]],IF(Transactions[[#This Row],[L2N]]=Transactions[[#This Row],[L1N]],Transactions[[#This Row],[L2N]],IF(Transactions[[#This Row],[L1N]]=Transactions[[#This Row],[Transaction name]],Transactions[[#This Row],[L1N]],Transactions[[#This Row],[Transaction name]])))))))</f>
        <v>Transformation</v>
      </c>
      <c r="AS299" s="24" t="str">
        <f>IF(Transactions[[#This Row],[Level 0]]=Transactions[[#This Row],[Transaction name]],Transactions[[#This Row],[Transaction name]],IF(Transactions[[#This Row],[Level 0]]=Transactions[[#This Row],[L1N]],Transactions[[#This Row],[Transaction name]],IF(Transactions[[#This Row],[Level 0]]=Transactions[[#This Row],[L2N]],Transactions[[#This Row],[L1N]],IF(Transactions[[#This Row],[Level 0]]=Transactions[[#This Row],[L3N]],Transactions[[#This Row],[L2N]],IF(Transactions[[#This Row],[Level 0]]=Transactions[[#This Row],[L4N]],Transactions[[#This Row],[L3N]],IF(Transactions[[#This Row],[Level 0]]=Transactions[[#This Row],[L5N]],Transactions[[#This Row],[L4N]],IF(Transactions[[#This Row],[Level 0]]=Transactions[[#This Row],[L6N]],Transactions[[#This Row],[L5N]],IF(Transactions[[#This Row],[Level 0]]=Transactions[[#This Row],[L7N]],Transactions[[#This Row],[L6N]],Transactions[[#This Row],[L7N]]))))))))</f>
        <v>Electricity, CHP and heat plants (T)</v>
      </c>
      <c r="AT299" s="24" t="str">
        <f>IF(Transactions[[#This Row],[Level 1]]=Transactions[[#This Row],[Transaction name]],Transactions[[#This Row],[Transaction name]],IF(Transactions[[#This Row],[Level 1]]=Transactions[[#This Row],[L1N]],Transactions[[#This Row],[Transaction name]],IF(Transactions[[#This Row],[Level 1]]=Transactions[[#This Row],[L2N]],Transactions[[#This Row],[L1N]],IF(Transactions[[#This Row],[Level 1]]=Transactions[[#This Row],[L3N]],Transactions[[#This Row],[L2N]],IF(Transactions[[#This Row],[Level 1]]=Transactions[[#This Row],[L4N]],Transactions[[#This Row],[L3N]],IF(Transactions[[#This Row],[Level 1]]=Transactions[[#This Row],[L5N]],Transactions[[#This Row],[L4N]],IF(Transactions[[#This Row],[Level 1]]=Transactions[[#This Row],[L6N]],Transactions[[#This Row],[L5N]],IF(Transactions[[#This Row],[Level 1]]=Transactions[[#This Row],[L7N]],Transactions[[#This Row],[L6N]],Transactions[[#This Row],[L7N]]))))))))</f>
        <v>CHP plants</v>
      </c>
      <c r="AU299" s="24" t="str">
        <f>IF(Transactions[[#This Row],[Level 2]]=Transactions[[#This Row],[Transaction name]],Transactions[[#This Row],[Transaction name]],IF(Transactions[[#This Row],[Level 2]]=Transactions[[#This Row],[L1N]],Transactions[[#This Row],[Transaction name]],IF(Transactions[[#This Row],[Level 2]]=Transactions[[#This Row],[L2N]],Transactions[[#This Row],[L1N]],IF(Transactions[[#This Row],[Level 2]]=Transactions[[#This Row],[L3N]],Transactions[[#This Row],[L2N]],IF(Transactions[[#This Row],[Level 2]]=Transactions[[#This Row],[L4N]],Transactions[[#This Row],[L3N]],IF(Transactions[[#This Row],[Level 2]]=Transactions[[#This Row],[L5N]],Transactions[[#This Row],[L4N]],IF(Transactions[[#This Row],[Level 2]]=Transactions[[#This Row],[L6N]],Transactions[[#This Row],[L5N]],IF(Transactions[[#This Row],[Level 2]]=Transactions[[#This Row],[L7N]],Transactions[[#This Row],[L6N]],Transactions[[#This Row],[L7N]]))))))))</f>
        <v>CHP plants - peat</v>
      </c>
      <c r="AV299" s="24" t="str">
        <f>IF(Transactions[[#This Row],[Level 3]]=Transactions[[#This Row],[Transaction name]],Transactions[[#This Row],[Transaction name]],IF(Transactions[[#This Row],[Level 3]]=Transactions[[#This Row],[L1N]],Transactions[[#This Row],[Transaction name]],IF(Transactions[[#This Row],[Level 3]]=Transactions[[#This Row],[L2N]],Transactions[[#This Row],[L1N]],IF(Transactions[[#This Row],[Level 3]]=Transactions[[#This Row],[L3N]],Transactions[[#This Row],[L2N]],IF(Transactions[[#This Row],[Level 3]]=Transactions[[#This Row],[L4N]],Transactions[[#This Row],[L3N]],IF(Transactions[[#This Row],[Level 3]]=Transactions[[#This Row],[L5N]],Transactions[[#This Row],[L4N]],IF(Transactions[[#This Row],[Level 3]]=Transactions[[#This Row],[L6N]],Transactions[[#This Row],[L5N]],IF(Transactions[[#This Row],[Level 3]]=Transactions[[#This Row],[L7N]],Transactions[[#This Row],[L6N]],Transactions[[#This Row],[L7N]]))))))))</f>
        <v>CHP plants - Autoproducer - peat</v>
      </c>
      <c r="AW299" s="24" t="str">
        <f>IF(Transactions[[#This Row],[Level 4]]=Transactions[[#This Row],[Transaction name]],Transactions[[#This Row],[Transaction name]],IF(Transactions[[#This Row],[Level 4]]=Transactions[[#This Row],[L1N]],Transactions[[#This Row],[Transaction name]],IF(Transactions[[#This Row],[Level 4]]=Transactions[[#This Row],[L2N]],Transactions[[#This Row],[L1N]],IF(Transactions[[#This Row],[Level 4]]=Transactions[[#This Row],[L3N]],Transactions[[#This Row],[L2N]],IF(Transactions[[#This Row],[Level 4]]=Transactions[[#This Row],[L4N]],Transactions[[#This Row],[L3N]],IF(Transactions[[#This Row],[Level 4]]=Transactions[[#This Row],[L5N]],Transactions[[#This Row],[L4N]],IF(Transactions[[#This Row],[Level 4]]=Transactions[[#This Row],[L6N]],Transactions[[#This Row],[L5N]],IF(Transactions[[#This Row],[Level 4]]=Transactions[[#This Row],[L7N]],Transactions[[#This Row],[L6N]],Transactions[[#This Row],[L7N]]))))))))</f>
        <v>CHP plants - Autoproducer - peat</v>
      </c>
      <c r="AX299" s="24" t="str">
        <f>IF(Transactions[[#This Row],[Level 5]]=Transactions[[#This Row],[Transaction name]],Transactions[[#This Row],[Transaction name]],IF(Transactions[[#This Row],[Level 5]]=Transactions[[#This Row],[L1N]],Transactions[[#This Row],[Transaction name]],IF(Transactions[[#This Row],[Level 5]]=Transactions[[#This Row],[L2N]],Transactions[[#This Row],[L1N]],IF(Transactions[[#This Row],[Level 5]]=Transactions[[#This Row],[L3N]],Transactions[[#This Row],[L2N]],IF(Transactions[[#This Row],[Level 5]]=Transactions[[#This Row],[L4N]],Transactions[[#This Row],[L3N]],IF(Transactions[[#This Row],[Level 5]]=Transactions[[#This Row],[L5N]],Transactions[[#This Row],[L4N]],IF(Transactions[[#This Row],[Level 5]]=Transactions[[#This Row],[L6N]],Transactions[[#This Row],[L5N]],IF(Transactions[[#This Row],[Level 5]]=Transactions[[#This Row],[L7N]],Transactions[[#This Row],[L6N]],Transactions[[#This Row],[L7N]]))))))))</f>
        <v>CHP plants - Autoproducer - peat</v>
      </c>
      <c r="AY299" s="24" t="str">
        <f>IF(Transactions[[#This Row],[Level 6]]=Transactions[[#This Row],[Transaction name]],Transactions[[#This Row],[Transaction name]],IF(Transactions[[#This Row],[Level 6]]=Transactions[[#This Row],[L1N]],Transactions[[#This Row],[Transaction name]],IF(Transactions[[#This Row],[Level 6]]=Transactions[[#This Row],[L2N]],Transactions[[#This Row],[L1N]],IF(Transactions[[#This Row],[Level 6]]=Transactions[[#This Row],[L3N]],Transactions[[#This Row],[L2N]],IF(Transactions[[#This Row],[Level 6]]=Transactions[[#This Row],[L4N]],Transactions[[#This Row],[L3N]],IF(Transactions[[#This Row],[Level 6]]=Transactions[[#This Row],[L5N]],Transactions[[#This Row],[L4N]],IF(Transactions[[#This Row],[Level 6]]=Transactions[[#This Row],[L6N]],Transactions[[#This Row],[L5N]],IF(Transactions[[#This Row],[Level 6]]=Transactions[[#This Row],[L7N]],Transactions[[#This Row],[L6N]],Transactions[[#This Row],[L7N]]))))))))</f>
        <v>CHP plants - Autoproducer - peat</v>
      </c>
      <c r="BE299" s="26" t="str">
        <f>_xlfn.XLOOKUP(Transformation[[#This Row],[cfrom]],Commodities[Commodity],Commodities[Commodity code])</f>
        <v>4400</v>
      </c>
      <c r="BF299" s="26" t="str">
        <f>_xlfn.XLOOKUP(Transformation[[#This Row],[tfrom]],Transactions[Transaction name],Transactions[Transaction code])</f>
        <v>01</v>
      </c>
      <c r="BG299" s="26" t="str">
        <f>_xlfn.XLOOKUP(Transformation[[#This Row],[cto]],Commodities[Commodity],Commodities[Commodity code])</f>
        <v>4400</v>
      </c>
      <c r="BH299" s="26" t="str">
        <f>_xlfn.XLOOKUP(Transformation[[#This Row],[tto]],Transactions[Transaction name],Transactions[Transaction code])</f>
        <v>089</v>
      </c>
      <c r="BI299" s="32">
        <v>1</v>
      </c>
      <c r="BJ299" s="22" t="s">
        <v>428</v>
      </c>
      <c r="BK299" s="26" t="str">
        <f>_xlfn.XLOOKUP(Transformation[[#This Row],[Commodity from]],Commodities[Commodity code],Commodities[EnergyCode])</f>
        <v>AO</v>
      </c>
      <c r="BL299" s="22" t="s">
        <v>383</v>
      </c>
      <c r="BM299" s="22" t="s">
        <v>428</v>
      </c>
      <c r="BN299" s="26" t="str">
        <f>_xlfn.XLOOKUP(Transformation[[#This Row],[Commodity to]],Commodities[Commodity code],Commodities[EnergyCode])</f>
        <v>AO</v>
      </c>
      <c r="BO299" s="22" t="s">
        <v>165</v>
      </c>
      <c r="BP299" s="22" t="s">
        <v>1693</v>
      </c>
      <c r="BQ299" s="33" t="str">
        <f>Transformation[[#This Row],[Commodity from]]&amp;Transformation[[#This Row],[Transaction from]]&amp;Transformation[[#This Row],[Commodity to]]&amp;Transformation[[#This Row],[Transaction to]]</f>
        <v>4400014400089</v>
      </c>
      <c r="BR299" s="26" t="str">
        <f>Transformation[[#This Row],[crfomid]]&amp;Transformation[[#This Row],[Transaction from]]&amp;"("&amp;Transformation[[#This Row],[Multiplier]]&amp;") -&gt; "&amp;Transformation[[#This Row],[ctoid]]&amp;Transformation[[#This Row],[Transaction to]]</f>
        <v>AO01(1) -&gt; AO089</v>
      </c>
    </row>
    <row r="300" spans="25:70" x14ac:dyDescent="0.45">
      <c r="Y300" s="5" t="s">
        <v>1263</v>
      </c>
      <c r="Z300" s="7" t="s">
        <v>1201</v>
      </c>
      <c r="AA300" s="4" t="s">
        <v>1391</v>
      </c>
      <c r="AB300" s="19" t="s">
        <v>1628</v>
      </c>
      <c r="AC300" s="24" t="str">
        <f>IFERROR(VLOOKUP(Transactions[[#This Row],[Parent code]],Transactions[[Transaction code]:[Transaction name]],2,0),"")</f>
        <v>CHP plants - peat</v>
      </c>
      <c r="AD300" s="4" t="s">
        <v>189</v>
      </c>
      <c r="AE300" s="4" t="s">
        <v>922</v>
      </c>
      <c r="AF300" s="4" t="s">
        <v>642</v>
      </c>
      <c r="AG300" s="4" t="s">
        <v>1</v>
      </c>
      <c r="AH300" s="4" t="s">
        <v>696</v>
      </c>
      <c r="AI300" s="12" t="s">
        <v>1416</v>
      </c>
      <c r="AK300" s="24" t="str" cm="1">
        <f t="array" ref="AK300">IFERROR(INDEX(Transactions[[Transaction code]:[Transaction name]],_xlfn.XMATCH(Transactions[[#This Row],[Parent code]],Transactions[Transaction name],0),3),Transactions[[#This Row],[Transaction name]])</f>
        <v>CHP plants - Main activity - peat</v>
      </c>
      <c r="AL300" s="24" t="str" cm="1">
        <f t="array" ref="AL300">IFERROR(INDEX(Transactions[[Transaction code]:[Transaction name]],_xlfn.XMATCH(INDEX(Transactions[[Transaction name]:[Parent code]],_xlfn.XMATCH(Transactions[[#This Row],[L1N]],Transactions[Transaction name],0),3),Transactions[Transaction code],0),2),Transactions[[#This Row],[L1N]])</f>
        <v>CHP plants - peat</v>
      </c>
      <c r="AM300" s="24" t="str" cm="1">
        <f t="array" ref="AM300">IFERROR(INDEX(Transactions[[Transaction code]:[Transaction name]],_xlfn.XMATCH(INDEX(Transactions[[Transaction name]:[Parent code]],_xlfn.XMATCH(Transactions[[#This Row],[L2N]],Transactions[Transaction name],0),3),Transactions[Transaction code],0),2),Transactions[[#This Row],[L2N]])</f>
        <v>CHP plants</v>
      </c>
      <c r="AN300" s="24" t="str" cm="1">
        <f t="array" ref="AN300">IFERROR(INDEX(Transactions[[Transaction code]:[Transaction name]],_xlfn.XMATCH(INDEX(Transactions[[Transaction name]:[Parent code]],_xlfn.XMATCH(Transactions[[#This Row],[L3N]],Transactions[Transaction name],0),3),Transactions[Transaction code],0),2),Transactions[[#This Row],[L3N]])</f>
        <v>Electricity, CHP and heat plants (T)</v>
      </c>
      <c r="AO300" s="24" t="str" cm="1">
        <f t="array" ref="AO300">IFERROR(INDEX(Transactions[[Transaction code]:[Transaction name]],_xlfn.XMATCH(INDEX(Transactions[[Transaction name]:[Parent code]],_xlfn.XMATCH(Transactions[[#This Row],[L4N]],Transactions[Transaction name],0),3),Transactions[Transaction code],0),2),Transactions[[#This Row],[L4N]])</f>
        <v>Transformation</v>
      </c>
      <c r="AP300" s="24" t="str" cm="1">
        <f t="array" ref="AP300">IFERROR(INDEX(Transactions[[Transaction code]:[Transaction name]],_xlfn.XMATCH(INDEX(Transactions[[Transaction name]:[Parent code]],_xlfn.XMATCH(Transactions[[#This Row],[L5N]],Transactions[Transaction name],0),3),Transactions[Transaction code],0),2),Transactions[[#This Row],[L5N]])</f>
        <v>Transformation</v>
      </c>
      <c r="AQ300" s="24" t="str" cm="1">
        <f t="array" ref="AQ300">IFERROR(INDEX(Transactions[[Transaction code]:[Transaction name]],_xlfn.XMATCH(INDEX(Transactions[[Transaction name]:[Parent code]],_xlfn.XMATCH(Transactions[[#This Row],[L6N]],Transactions[Transaction name],0),3),Transactions[Transaction code],0),2),Transactions[[#This Row],[L6N]])</f>
        <v>Transformation</v>
      </c>
      <c r="AR300" s="27" t="str">
        <f>IF(Transactions[[#This Row],[L7N]]=Transactions[[#This Row],[L6N]],Transactions[[#This Row],[L7N]],IF(Transactions[[#This Row],[L6N]]=Transactions[[#This Row],[L5N]],Transactions[[#This Row],[L6N]],IF(Transactions[[#This Row],[L5N]]=Transactions[[#This Row],[L4N]],Transactions[[#This Row],[L5N]],IF(Transactions[[#This Row],[L4N]]=Transactions[[#This Row],[L3N]],Transactions[[#This Row],[L4N]],IF(Transactions[[#This Row],[L3N]]=Transactions[[#This Row],[L2N]],Transactions[[#This Row],[L3N]],IF(Transactions[[#This Row],[L2N]]=Transactions[[#This Row],[L1N]],Transactions[[#This Row],[L2N]],IF(Transactions[[#This Row],[L1N]]=Transactions[[#This Row],[Transaction name]],Transactions[[#This Row],[L1N]],Transactions[[#This Row],[Transaction name]])))))))</f>
        <v>Transformation</v>
      </c>
      <c r="AS300" s="24" t="str">
        <f>IF(Transactions[[#This Row],[Level 0]]=Transactions[[#This Row],[Transaction name]],Transactions[[#This Row],[Transaction name]],IF(Transactions[[#This Row],[Level 0]]=Transactions[[#This Row],[L1N]],Transactions[[#This Row],[Transaction name]],IF(Transactions[[#This Row],[Level 0]]=Transactions[[#This Row],[L2N]],Transactions[[#This Row],[L1N]],IF(Transactions[[#This Row],[Level 0]]=Transactions[[#This Row],[L3N]],Transactions[[#This Row],[L2N]],IF(Transactions[[#This Row],[Level 0]]=Transactions[[#This Row],[L4N]],Transactions[[#This Row],[L3N]],IF(Transactions[[#This Row],[Level 0]]=Transactions[[#This Row],[L5N]],Transactions[[#This Row],[L4N]],IF(Transactions[[#This Row],[Level 0]]=Transactions[[#This Row],[L6N]],Transactions[[#This Row],[L5N]],IF(Transactions[[#This Row],[Level 0]]=Transactions[[#This Row],[L7N]],Transactions[[#This Row],[L6N]],Transactions[[#This Row],[L7N]]))))))))</f>
        <v>Electricity, CHP and heat plants (T)</v>
      </c>
      <c r="AT300" s="24" t="str">
        <f>IF(Transactions[[#This Row],[Level 1]]=Transactions[[#This Row],[Transaction name]],Transactions[[#This Row],[Transaction name]],IF(Transactions[[#This Row],[Level 1]]=Transactions[[#This Row],[L1N]],Transactions[[#This Row],[Transaction name]],IF(Transactions[[#This Row],[Level 1]]=Transactions[[#This Row],[L2N]],Transactions[[#This Row],[L1N]],IF(Transactions[[#This Row],[Level 1]]=Transactions[[#This Row],[L3N]],Transactions[[#This Row],[L2N]],IF(Transactions[[#This Row],[Level 1]]=Transactions[[#This Row],[L4N]],Transactions[[#This Row],[L3N]],IF(Transactions[[#This Row],[Level 1]]=Transactions[[#This Row],[L5N]],Transactions[[#This Row],[L4N]],IF(Transactions[[#This Row],[Level 1]]=Transactions[[#This Row],[L6N]],Transactions[[#This Row],[L5N]],IF(Transactions[[#This Row],[Level 1]]=Transactions[[#This Row],[L7N]],Transactions[[#This Row],[L6N]],Transactions[[#This Row],[L7N]]))))))))</f>
        <v>CHP plants</v>
      </c>
      <c r="AU300" s="24" t="str">
        <f>IF(Transactions[[#This Row],[Level 2]]=Transactions[[#This Row],[Transaction name]],Transactions[[#This Row],[Transaction name]],IF(Transactions[[#This Row],[Level 2]]=Transactions[[#This Row],[L1N]],Transactions[[#This Row],[Transaction name]],IF(Transactions[[#This Row],[Level 2]]=Transactions[[#This Row],[L2N]],Transactions[[#This Row],[L1N]],IF(Transactions[[#This Row],[Level 2]]=Transactions[[#This Row],[L3N]],Transactions[[#This Row],[L2N]],IF(Transactions[[#This Row],[Level 2]]=Transactions[[#This Row],[L4N]],Transactions[[#This Row],[L3N]],IF(Transactions[[#This Row],[Level 2]]=Transactions[[#This Row],[L5N]],Transactions[[#This Row],[L4N]],IF(Transactions[[#This Row],[Level 2]]=Transactions[[#This Row],[L6N]],Transactions[[#This Row],[L5N]],IF(Transactions[[#This Row],[Level 2]]=Transactions[[#This Row],[L7N]],Transactions[[#This Row],[L6N]],Transactions[[#This Row],[L7N]]))))))))</f>
        <v>CHP plants - peat</v>
      </c>
      <c r="AV300" s="24" t="str">
        <f>IF(Transactions[[#This Row],[Level 3]]=Transactions[[#This Row],[Transaction name]],Transactions[[#This Row],[Transaction name]],IF(Transactions[[#This Row],[Level 3]]=Transactions[[#This Row],[L1N]],Transactions[[#This Row],[Transaction name]],IF(Transactions[[#This Row],[Level 3]]=Transactions[[#This Row],[L2N]],Transactions[[#This Row],[L1N]],IF(Transactions[[#This Row],[Level 3]]=Transactions[[#This Row],[L3N]],Transactions[[#This Row],[L2N]],IF(Transactions[[#This Row],[Level 3]]=Transactions[[#This Row],[L4N]],Transactions[[#This Row],[L3N]],IF(Transactions[[#This Row],[Level 3]]=Transactions[[#This Row],[L5N]],Transactions[[#This Row],[L4N]],IF(Transactions[[#This Row],[Level 3]]=Transactions[[#This Row],[L6N]],Transactions[[#This Row],[L5N]],IF(Transactions[[#This Row],[Level 3]]=Transactions[[#This Row],[L7N]],Transactions[[#This Row],[L6N]],Transactions[[#This Row],[L7N]]))))))))</f>
        <v>CHP plants - Main activity - peat</v>
      </c>
      <c r="AW300" s="24" t="str">
        <f>IF(Transactions[[#This Row],[Level 4]]=Transactions[[#This Row],[Transaction name]],Transactions[[#This Row],[Transaction name]],IF(Transactions[[#This Row],[Level 4]]=Transactions[[#This Row],[L1N]],Transactions[[#This Row],[Transaction name]],IF(Transactions[[#This Row],[Level 4]]=Transactions[[#This Row],[L2N]],Transactions[[#This Row],[L1N]],IF(Transactions[[#This Row],[Level 4]]=Transactions[[#This Row],[L3N]],Transactions[[#This Row],[L2N]],IF(Transactions[[#This Row],[Level 4]]=Transactions[[#This Row],[L4N]],Transactions[[#This Row],[L3N]],IF(Transactions[[#This Row],[Level 4]]=Transactions[[#This Row],[L5N]],Transactions[[#This Row],[L4N]],IF(Transactions[[#This Row],[Level 4]]=Transactions[[#This Row],[L6N]],Transactions[[#This Row],[L5N]],IF(Transactions[[#This Row],[Level 4]]=Transactions[[#This Row],[L7N]],Transactions[[#This Row],[L6N]],Transactions[[#This Row],[L7N]]))))))))</f>
        <v>CHP plants - Main activity - peat</v>
      </c>
      <c r="AX300" s="24" t="str">
        <f>IF(Transactions[[#This Row],[Level 5]]=Transactions[[#This Row],[Transaction name]],Transactions[[#This Row],[Transaction name]],IF(Transactions[[#This Row],[Level 5]]=Transactions[[#This Row],[L1N]],Transactions[[#This Row],[Transaction name]],IF(Transactions[[#This Row],[Level 5]]=Transactions[[#This Row],[L2N]],Transactions[[#This Row],[L1N]],IF(Transactions[[#This Row],[Level 5]]=Transactions[[#This Row],[L3N]],Transactions[[#This Row],[L2N]],IF(Transactions[[#This Row],[Level 5]]=Transactions[[#This Row],[L4N]],Transactions[[#This Row],[L3N]],IF(Transactions[[#This Row],[Level 5]]=Transactions[[#This Row],[L5N]],Transactions[[#This Row],[L4N]],IF(Transactions[[#This Row],[Level 5]]=Transactions[[#This Row],[L6N]],Transactions[[#This Row],[L5N]],IF(Transactions[[#This Row],[Level 5]]=Transactions[[#This Row],[L7N]],Transactions[[#This Row],[L6N]],Transactions[[#This Row],[L7N]]))))))))</f>
        <v>CHP plants - Main activity - peat</v>
      </c>
      <c r="AY300" s="24" t="str">
        <f>IF(Transactions[[#This Row],[Level 6]]=Transactions[[#This Row],[Transaction name]],Transactions[[#This Row],[Transaction name]],IF(Transactions[[#This Row],[Level 6]]=Transactions[[#This Row],[L1N]],Transactions[[#This Row],[Transaction name]],IF(Transactions[[#This Row],[Level 6]]=Transactions[[#This Row],[L2N]],Transactions[[#This Row],[L1N]],IF(Transactions[[#This Row],[Level 6]]=Transactions[[#This Row],[L3N]],Transactions[[#This Row],[L2N]],IF(Transactions[[#This Row],[Level 6]]=Transactions[[#This Row],[L4N]],Transactions[[#This Row],[L3N]],IF(Transactions[[#This Row],[Level 6]]=Transactions[[#This Row],[L5N]],Transactions[[#This Row],[L4N]],IF(Transactions[[#This Row],[Level 6]]=Transactions[[#This Row],[L6N]],Transactions[[#This Row],[L5N]],IF(Transactions[[#This Row],[Level 6]]=Transactions[[#This Row],[L7N]],Transactions[[#This Row],[L6N]],Transactions[[#This Row],[L7N]]))))))))</f>
        <v>CHP plants - Main activity - peat</v>
      </c>
      <c r="BE300" s="26" t="str">
        <f>_xlfn.XLOOKUP(Transformation[[#This Row],[cfrom]],Commodities[Commodity],Commodities[Commodity code])</f>
        <v>4400</v>
      </c>
      <c r="BF300" s="26" t="str">
        <f>_xlfn.XLOOKUP(Transformation[[#This Row],[tfrom]],Transactions[Transaction name],Transactions[Transaction code])</f>
        <v>01</v>
      </c>
      <c r="BG300" s="26" t="str">
        <f>_xlfn.XLOOKUP(Transformation[[#This Row],[cto]],Commodities[Commodity],Commodities[Commodity code])</f>
        <v>4400</v>
      </c>
      <c r="BH300" s="26" t="str">
        <f>_xlfn.XLOOKUP(Transformation[[#This Row],[tto]],Transactions[Transaction name],Transactions[Transaction code])</f>
        <v>01</v>
      </c>
      <c r="BI300" s="32">
        <v>-1</v>
      </c>
      <c r="BJ300" s="22" t="s">
        <v>428</v>
      </c>
      <c r="BK300" s="26" t="str">
        <f>_xlfn.XLOOKUP(Transformation[[#This Row],[Commodity from]],Commodities[Commodity code],Commodities[EnergyCode])</f>
        <v>AO</v>
      </c>
      <c r="BL300" s="22" t="s">
        <v>383</v>
      </c>
      <c r="BM300" s="22" t="s">
        <v>428</v>
      </c>
      <c r="BN300" s="26" t="str">
        <f>_xlfn.XLOOKUP(Transformation[[#This Row],[Commodity to]],Commodities[Commodity code],Commodities[EnergyCode])</f>
        <v>AO</v>
      </c>
      <c r="BO300" s="22" t="s">
        <v>383</v>
      </c>
      <c r="BP300" s="22" t="s">
        <v>1633</v>
      </c>
      <c r="BQ300" s="33" t="str">
        <f>Transformation[[#This Row],[Commodity from]]&amp;Transformation[[#This Row],[Transaction from]]&amp;Transformation[[#This Row],[Commodity to]]&amp;Transformation[[#This Row],[Transaction to]]</f>
        <v>440001440001</v>
      </c>
      <c r="BR300" s="26" t="str">
        <f>Transformation[[#This Row],[crfomid]]&amp;Transformation[[#This Row],[Transaction from]]&amp;"("&amp;Transformation[[#This Row],[Multiplier]]&amp;") -&gt; "&amp;Transformation[[#This Row],[ctoid]]&amp;Transformation[[#This Row],[Transaction to]]</f>
        <v>AO01(-1) -&gt; AO01</v>
      </c>
    </row>
    <row r="301" spans="25:70" x14ac:dyDescent="0.45">
      <c r="Y301" s="19" t="s">
        <v>1628</v>
      </c>
      <c r="Z301" s="18" t="s">
        <v>1391</v>
      </c>
      <c r="AA301" s="18" t="s">
        <v>1391</v>
      </c>
      <c r="AB301" s="19" t="s">
        <v>1627</v>
      </c>
      <c r="AC301" s="26" t="str">
        <f>IFERROR(VLOOKUP(Transactions[[#This Row],[Parent code]],Transactions[[Transaction code]:[Transaction name]],2,0),"")</f>
        <v>CHP plants</v>
      </c>
      <c r="AD301" s="18" t="s">
        <v>189</v>
      </c>
      <c r="AE301" s="18" t="s">
        <v>922</v>
      </c>
      <c r="AF301" s="18" t="s">
        <v>642</v>
      </c>
      <c r="AG301" s="18" t="s">
        <v>1</v>
      </c>
      <c r="AH301" s="18" t="s">
        <v>696</v>
      </c>
      <c r="AI301" s="18" t="s">
        <v>1416</v>
      </c>
      <c r="AJ301" s="18"/>
      <c r="AK301" s="26" t="str" cm="1">
        <f t="array" ref="AK301">IFERROR(INDEX(Transactions[[Transaction code]:[Transaction name]],_xlfn.XMATCH(Transactions[[#This Row],[Parent code]],Transactions[Transaction name],0),3),Transactions[[#This Row],[Transaction name]])</f>
        <v>CHP plants - peat</v>
      </c>
      <c r="AL301" s="26" t="str" cm="1">
        <f t="array" ref="AL301">IFERROR(INDEX(Transactions[[Transaction code]:[Transaction name]],_xlfn.XMATCH(INDEX(Transactions[[Transaction name]:[Parent code]],_xlfn.XMATCH(Transactions[[#This Row],[L1N]],Transactions[Transaction name],0),3),Transactions[Transaction code],0),2),Transactions[[#This Row],[L1N]])</f>
        <v>CHP plants</v>
      </c>
      <c r="AM301" s="26" t="str" cm="1">
        <f t="array" ref="AM301">IFERROR(INDEX(Transactions[[Transaction code]:[Transaction name]],_xlfn.XMATCH(INDEX(Transactions[[Transaction name]:[Parent code]],_xlfn.XMATCH(Transactions[[#This Row],[L2N]],Transactions[Transaction name],0),3),Transactions[Transaction code],0),2),Transactions[[#This Row],[L2N]])</f>
        <v>Electricity, CHP and heat plants (T)</v>
      </c>
      <c r="AN301" s="26" t="str" cm="1">
        <f t="array" ref="AN301">IFERROR(INDEX(Transactions[[Transaction code]:[Transaction name]],_xlfn.XMATCH(INDEX(Transactions[[Transaction name]:[Parent code]],_xlfn.XMATCH(Transactions[[#This Row],[L3N]],Transactions[Transaction name],0),3),Transactions[Transaction code],0),2),Transactions[[#This Row],[L3N]])</f>
        <v>Transformation</v>
      </c>
      <c r="AO301" s="26" t="str" cm="1">
        <f t="array" ref="AO301">IFERROR(INDEX(Transactions[[Transaction code]:[Transaction name]],_xlfn.XMATCH(INDEX(Transactions[[Transaction name]:[Parent code]],_xlfn.XMATCH(Transactions[[#This Row],[L4N]],Transactions[Transaction name],0),3),Transactions[Transaction code],0),2),Transactions[[#This Row],[L4N]])</f>
        <v>Transformation</v>
      </c>
      <c r="AP301" s="26" t="str" cm="1">
        <f t="array" ref="AP301">IFERROR(INDEX(Transactions[[Transaction code]:[Transaction name]],_xlfn.XMATCH(INDEX(Transactions[[Transaction name]:[Parent code]],_xlfn.XMATCH(Transactions[[#This Row],[L5N]],Transactions[Transaction name],0),3),Transactions[Transaction code],0),2),Transactions[[#This Row],[L5N]])</f>
        <v>Transformation</v>
      </c>
      <c r="AQ301" s="26" t="str" cm="1">
        <f t="array" ref="AQ301">IFERROR(INDEX(Transactions[[Transaction code]:[Transaction name]],_xlfn.XMATCH(INDEX(Transactions[[Transaction name]:[Parent code]],_xlfn.XMATCH(Transactions[[#This Row],[L6N]],Transactions[Transaction name],0),3),Transactions[Transaction code],0),2),Transactions[[#This Row],[L6N]])</f>
        <v>Transformation</v>
      </c>
      <c r="AR301" s="30" t="str">
        <f>IF(Transactions[[#This Row],[L7N]]=Transactions[[#This Row],[L6N]],Transactions[[#This Row],[L7N]],IF(Transactions[[#This Row],[L6N]]=Transactions[[#This Row],[L5N]],Transactions[[#This Row],[L6N]],IF(Transactions[[#This Row],[L5N]]=Transactions[[#This Row],[L4N]],Transactions[[#This Row],[L5N]],IF(Transactions[[#This Row],[L4N]]=Transactions[[#This Row],[L3N]],Transactions[[#This Row],[L4N]],IF(Transactions[[#This Row],[L3N]]=Transactions[[#This Row],[L2N]],Transactions[[#This Row],[L3N]],IF(Transactions[[#This Row],[L2N]]=Transactions[[#This Row],[L1N]],Transactions[[#This Row],[L2N]],IF(Transactions[[#This Row],[L1N]]=Transactions[[#This Row],[Transaction name]],Transactions[[#This Row],[L1N]],Transactions[[#This Row],[Transaction name]])))))))</f>
        <v>Transformation</v>
      </c>
      <c r="AS301" s="26" t="str">
        <f>IF(Transactions[[#This Row],[Level 0]]=Transactions[[#This Row],[Transaction name]],Transactions[[#This Row],[Transaction name]],IF(Transactions[[#This Row],[Level 0]]=Transactions[[#This Row],[L1N]],Transactions[[#This Row],[Transaction name]],IF(Transactions[[#This Row],[Level 0]]=Transactions[[#This Row],[L2N]],Transactions[[#This Row],[L1N]],IF(Transactions[[#This Row],[Level 0]]=Transactions[[#This Row],[L3N]],Transactions[[#This Row],[L2N]],IF(Transactions[[#This Row],[Level 0]]=Transactions[[#This Row],[L4N]],Transactions[[#This Row],[L3N]],IF(Transactions[[#This Row],[Level 0]]=Transactions[[#This Row],[L5N]],Transactions[[#This Row],[L4N]],IF(Transactions[[#This Row],[Level 0]]=Transactions[[#This Row],[L6N]],Transactions[[#This Row],[L5N]],IF(Transactions[[#This Row],[Level 0]]=Transactions[[#This Row],[L7N]],Transactions[[#This Row],[L6N]],Transactions[[#This Row],[L7N]]))))))))</f>
        <v>Electricity, CHP and heat plants (T)</v>
      </c>
      <c r="AT301" s="26" t="str">
        <f>IF(Transactions[[#This Row],[Level 1]]=Transactions[[#This Row],[Transaction name]],Transactions[[#This Row],[Transaction name]],IF(Transactions[[#This Row],[Level 1]]=Transactions[[#This Row],[L1N]],Transactions[[#This Row],[Transaction name]],IF(Transactions[[#This Row],[Level 1]]=Transactions[[#This Row],[L2N]],Transactions[[#This Row],[L1N]],IF(Transactions[[#This Row],[Level 1]]=Transactions[[#This Row],[L3N]],Transactions[[#This Row],[L2N]],IF(Transactions[[#This Row],[Level 1]]=Transactions[[#This Row],[L4N]],Transactions[[#This Row],[L3N]],IF(Transactions[[#This Row],[Level 1]]=Transactions[[#This Row],[L5N]],Transactions[[#This Row],[L4N]],IF(Transactions[[#This Row],[Level 1]]=Transactions[[#This Row],[L6N]],Transactions[[#This Row],[L5N]],IF(Transactions[[#This Row],[Level 1]]=Transactions[[#This Row],[L7N]],Transactions[[#This Row],[L6N]],Transactions[[#This Row],[L7N]]))))))))</f>
        <v>CHP plants</v>
      </c>
      <c r="AU301" s="26" t="str">
        <f>IF(Transactions[[#This Row],[Level 2]]=Transactions[[#This Row],[Transaction name]],Transactions[[#This Row],[Transaction name]],IF(Transactions[[#This Row],[Level 2]]=Transactions[[#This Row],[L1N]],Transactions[[#This Row],[Transaction name]],IF(Transactions[[#This Row],[Level 2]]=Transactions[[#This Row],[L2N]],Transactions[[#This Row],[L1N]],IF(Transactions[[#This Row],[Level 2]]=Transactions[[#This Row],[L3N]],Transactions[[#This Row],[L2N]],IF(Transactions[[#This Row],[Level 2]]=Transactions[[#This Row],[L4N]],Transactions[[#This Row],[L3N]],IF(Transactions[[#This Row],[Level 2]]=Transactions[[#This Row],[L5N]],Transactions[[#This Row],[L4N]],IF(Transactions[[#This Row],[Level 2]]=Transactions[[#This Row],[L6N]],Transactions[[#This Row],[L5N]],IF(Transactions[[#This Row],[Level 2]]=Transactions[[#This Row],[L7N]],Transactions[[#This Row],[L6N]],Transactions[[#This Row],[L7N]]))))))))</f>
        <v>CHP plants - peat</v>
      </c>
      <c r="AV301" s="26" t="str">
        <f>IF(Transactions[[#This Row],[Level 3]]=Transactions[[#This Row],[Transaction name]],Transactions[[#This Row],[Transaction name]],IF(Transactions[[#This Row],[Level 3]]=Transactions[[#This Row],[L1N]],Transactions[[#This Row],[Transaction name]],IF(Transactions[[#This Row],[Level 3]]=Transactions[[#This Row],[L2N]],Transactions[[#This Row],[L1N]],IF(Transactions[[#This Row],[Level 3]]=Transactions[[#This Row],[L3N]],Transactions[[#This Row],[L2N]],IF(Transactions[[#This Row],[Level 3]]=Transactions[[#This Row],[L4N]],Transactions[[#This Row],[L3N]],IF(Transactions[[#This Row],[Level 3]]=Transactions[[#This Row],[L5N]],Transactions[[#This Row],[L4N]],IF(Transactions[[#This Row],[Level 3]]=Transactions[[#This Row],[L6N]],Transactions[[#This Row],[L5N]],IF(Transactions[[#This Row],[Level 3]]=Transactions[[#This Row],[L7N]],Transactions[[#This Row],[L6N]],Transactions[[#This Row],[L7N]]))))))))</f>
        <v>CHP plants - peat</v>
      </c>
      <c r="AW301" s="26" t="str">
        <f>IF(Transactions[[#This Row],[Level 4]]=Transactions[[#This Row],[Transaction name]],Transactions[[#This Row],[Transaction name]],IF(Transactions[[#This Row],[Level 4]]=Transactions[[#This Row],[L1N]],Transactions[[#This Row],[Transaction name]],IF(Transactions[[#This Row],[Level 4]]=Transactions[[#This Row],[L2N]],Transactions[[#This Row],[L1N]],IF(Transactions[[#This Row],[Level 4]]=Transactions[[#This Row],[L3N]],Transactions[[#This Row],[L2N]],IF(Transactions[[#This Row],[Level 4]]=Transactions[[#This Row],[L4N]],Transactions[[#This Row],[L3N]],IF(Transactions[[#This Row],[Level 4]]=Transactions[[#This Row],[L5N]],Transactions[[#This Row],[L4N]],IF(Transactions[[#This Row],[Level 4]]=Transactions[[#This Row],[L6N]],Transactions[[#This Row],[L5N]],IF(Transactions[[#This Row],[Level 4]]=Transactions[[#This Row],[L7N]],Transactions[[#This Row],[L6N]],Transactions[[#This Row],[L7N]]))))))))</f>
        <v>CHP plants - peat</v>
      </c>
      <c r="AX301" s="26" t="str">
        <f>IF(Transactions[[#This Row],[Level 5]]=Transactions[[#This Row],[Transaction name]],Transactions[[#This Row],[Transaction name]],IF(Transactions[[#This Row],[Level 5]]=Transactions[[#This Row],[L1N]],Transactions[[#This Row],[Transaction name]],IF(Transactions[[#This Row],[Level 5]]=Transactions[[#This Row],[L2N]],Transactions[[#This Row],[L1N]],IF(Transactions[[#This Row],[Level 5]]=Transactions[[#This Row],[L3N]],Transactions[[#This Row],[L2N]],IF(Transactions[[#This Row],[Level 5]]=Transactions[[#This Row],[L4N]],Transactions[[#This Row],[L3N]],IF(Transactions[[#This Row],[Level 5]]=Transactions[[#This Row],[L5N]],Transactions[[#This Row],[L4N]],IF(Transactions[[#This Row],[Level 5]]=Transactions[[#This Row],[L6N]],Transactions[[#This Row],[L5N]],IF(Transactions[[#This Row],[Level 5]]=Transactions[[#This Row],[L7N]],Transactions[[#This Row],[L6N]],Transactions[[#This Row],[L7N]]))))))))</f>
        <v>CHP plants - peat</v>
      </c>
      <c r="AY301" s="26" t="str">
        <f>IF(Transactions[[#This Row],[Level 6]]=Transactions[[#This Row],[Transaction name]],Transactions[[#This Row],[Transaction name]],IF(Transactions[[#This Row],[Level 6]]=Transactions[[#This Row],[L1N]],Transactions[[#This Row],[Transaction name]],IF(Transactions[[#This Row],[Level 6]]=Transactions[[#This Row],[L2N]],Transactions[[#This Row],[L1N]],IF(Transactions[[#This Row],[Level 6]]=Transactions[[#This Row],[L3N]],Transactions[[#This Row],[L2N]],IF(Transactions[[#This Row],[Level 6]]=Transactions[[#This Row],[L4N]],Transactions[[#This Row],[L3N]],IF(Transactions[[#This Row],[Level 6]]=Transactions[[#This Row],[L5N]],Transactions[[#This Row],[L4N]],IF(Transactions[[#This Row],[Level 6]]=Transactions[[#This Row],[L6N]],Transactions[[#This Row],[L5N]],IF(Transactions[[#This Row],[Level 6]]=Transactions[[#This Row],[L7N]],Transactions[[#This Row],[L6N]],Transactions[[#This Row],[L7N]]))))))))</f>
        <v>CHP plants - peat</v>
      </c>
      <c r="BE301" s="26" t="str">
        <f>_xlfn.XLOOKUP(Transformation[[#This Row],[cfrom]],Commodities[Commodity],Commodities[Commodity code])</f>
        <v>4400</v>
      </c>
      <c r="BF301" s="26" t="str">
        <f>_xlfn.XLOOKUP(Transformation[[#This Row],[tfrom]],Transactions[Transaction name],Transactions[Transaction code])</f>
        <v>022</v>
      </c>
      <c r="BG301" s="26" t="str">
        <f>_xlfn.XLOOKUP(Transformation[[#This Row],[cto]],Commodities[Commodity],Commodities[Commodity code])</f>
        <v>4400</v>
      </c>
      <c r="BH301" s="26" t="str">
        <f>_xlfn.XLOOKUP(Transformation[[#This Row],[tto]],Transactions[Transaction name],Transactions[Transaction code])</f>
        <v>089</v>
      </c>
      <c r="BI301" s="32">
        <v>1</v>
      </c>
      <c r="BJ301" s="22" t="s">
        <v>428</v>
      </c>
      <c r="BK301" s="26" t="str">
        <f>_xlfn.XLOOKUP(Transformation[[#This Row],[Commodity from]],Commodities[Commodity code],Commodities[EnergyCode])</f>
        <v>AO</v>
      </c>
      <c r="BL301" s="22" t="s">
        <v>205</v>
      </c>
      <c r="BM301" s="22" t="s">
        <v>428</v>
      </c>
      <c r="BN301" s="26" t="str">
        <f>_xlfn.XLOOKUP(Transformation[[#This Row],[Commodity to]],Commodities[Commodity code],Commodities[EnergyCode])</f>
        <v>AO</v>
      </c>
      <c r="BO301" s="22" t="s">
        <v>165</v>
      </c>
      <c r="BP301" s="22" t="s">
        <v>1644</v>
      </c>
      <c r="BQ301" s="33" t="str">
        <f>Transformation[[#This Row],[Commodity from]]&amp;Transformation[[#This Row],[Transaction from]]&amp;Transformation[[#This Row],[Commodity to]]&amp;Transformation[[#This Row],[Transaction to]]</f>
        <v>44000224400089</v>
      </c>
      <c r="BR301" s="26" t="str">
        <f>Transformation[[#This Row],[crfomid]]&amp;Transformation[[#This Row],[Transaction from]]&amp;"("&amp;Transformation[[#This Row],[Multiplier]]&amp;") -&gt; "&amp;Transformation[[#This Row],[ctoid]]&amp;Transformation[[#This Row],[Transaction to]]</f>
        <v>AO022(1) -&gt; AO089</v>
      </c>
    </row>
    <row r="302" spans="25:70" x14ac:dyDescent="0.45">
      <c r="Y302" s="5" t="s">
        <v>1260</v>
      </c>
      <c r="Z302" s="7" t="s">
        <v>1197</v>
      </c>
      <c r="AA302" s="4" t="s">
        <v>1387</v>
      </c>
      <c r="AB302" s="19" t="s">
        <v>1629</v>
      </c>
      <c r="AC302" s="24" t="str">
        <f>IFERROR(VLOOKUP(Transactions[[#This Row],[Parent code]],Transactions[[Transaction code]:[Transaction name]],2,0),"")</f>
        <v>CHP plants - shale</v>
      </c>
      <c r="AD302" s="4" t="s">
        <v>189</v>
      </c>
      <c r="AE302" s="4" t="s">
        <v>922</v>
      </c>
      <c r="AF302" s="4" t="s">
        <v>642</v>
      </c>
      <c r="AG302" s="4" t="s">
        <v>1</v>
      </c>
      <c r="AH302" s="4" t="s">
        <v>696</v>
      </c>
      <c r="AI302" s="12" t="s">
        <v>1416</v>
      </c>
      <c r="AK302" s="24" t="str" cm="1">
        <f t="array" ref="AK302">IFERROR(INDEX(Transactions[[Transaction code]:[Transaction name]],_xlfn.XMATCH(Transactions[[#This Row],[Parent code]],Transactions[Transaction name],0),3),Transactions[[#This Row],[Transaction name]])</f>
        <v>CHP plants - Autoproducer - shale</v>
      </c>
      <c r="AL302" s="24" t="str" cm="1">
        <f t="array" ref="AL302">IFERROR(INDEX(Transactions[[Transaction code]:[Transaction name]],_xlfn.XMATCH(INDEX(Transactions[[Transaction name]:[Parent code]],_xlfn.XMATCH(Transactions[[#This Row],[L1N]],Transactions[Transaction name],0),3),Transactions[Transaction code],0),2),Transactions[[#This Row],[L1N]])</f>
        <v>CHP plants - shale</v>
      </c>
      <c r="AM302" s="24" t="str" cm="1">
        <f t="array" ref="AM302">IFERROR(INDEX(Transactions[[Transaction code]:[Transaction name]],_xlfn.XMATCH(INDEX(Transactions[[Transaction name]:[Parent code]],_xlfn.XMATCH(Transactions[[#This Row],[L2N]],Transactions[Transaction name],0),3),Transactions[Transaction code],0),2),Transactions[[#This Row],[L2N]])</f>
        <v>CHP plants</v>
      </c>
      <c r="AN302" s="24" t="str" cm="1">
        <f t="array" ref="AN302">IFERROR(INDEX(Transactions[[Transaction code]:[Transaction name]],_xlfn.XMATCH(INDEX(Transactions[[Transaction name]:[Parent code]],_xlfn.XMATCH(Transactions[[#This Row],[L3N]],Transactions[Transaction name],0),3),Transactions[Transaction code],0),2),Transactions[[#This Row],[L3N]])</f>
        <v>Electricity, CHP and heat plants (T)</v>
      </c>
      <c r="AO302" s="24" t="str" cm="1">
        <f t="array" ref="AO302">IFERROR(INDEX(Transactions[[Transaction code]:[Transaction name]],_xlfn.XMATCH(INDEX(Transactions[[Transaction name]:[Parent code]],_xlfn.XMATCH(Transactions[[#This Row],[L4N]],Transactions[Transaction name],0),3),Transactions[Transaction code],0),2),Transactions[[#This Row],[L4N]])</f>
        <v>Transformation</v>
      </c>
      <c r="AP302" s="24" t="str" cm="1">
        <f t="array" ref="AP302">IFERROR(INDEX(Transactions[[Transaction code]:[Transaction name]],_xlfn.XMATCH(INDEX(Transactions[[Transaction name]:[Parent code]],_xlfn.XMATCH(Transactions[[#This Row],[L5N]],Transactions[Transaction name],0),3),Transactions[Transaction code],0),2),Transactions[[#This Row],[L5N]])</f>
        <v>Transformation</v>
      </c>
      <c r="AQ302" s="24" t="str" cm="1">
        <f t="array" ref="AQ302">IFERROR(INDEX(Transactions[[Transaction code]:[Transaction name]],_xlfn.XMATCH(INDEX(Transactions[[Transaction name]:[Parent code]],_xlfn.XMATCH(Transactions[[#This Row],[L6N]],Transactions[Transaction name],0),3),Transactions[Transaction code],0),2),Transactions[[#This Row],[L6N]])</f>
        <v>Transformation</v>
      </c>
      <c r="AR302" s="27" t="str">
        <f>IF(Transactions[[#This Row],[L7N]]=Transactions[[#This Row],[L6N]],Transactions[[#This Row],[L7N]],IF(Transactions[[#This Row],[L6N]]=Transactions[[#This Row],[L5N]],Transactions[[#This Row],[L6N]],IF(Transactions[[#This Row],[L5N]]=Transactions[[#This Row],[L4N]],Transactions[[#This Row],[L5N]],IF(Transactions[[#This Row],[L4N]]=Transactions[[#This Row],[L3N]],Transactions[[#This Row],[L4N]],IF(Transactions[[#This Row],[L3N]]=Transactions[[#This Row],[L2N]],Transactions[[#This Row],[L3N]],IF(Transactions[[#This Row],[L2N]]=Transactions[[#This Row],[L1N]],Transactions[[#This Row],[L2N]],IF(Transactions[[#This Row],[L1N]]=Transactions[[#This Row],[Transaction name]],Transactions[[#This Row],[L1N]],Transactions[[#This Row],[Transaction name]])))))))</f>
        <v>Transformation</v>
      </c>
      <c r="AS302" s="24" t="str">
        <f>IF(Transactions[[#This Row],[Level 0]]=Transactions[[#This Row],[Transaction name]],Transactions[[#This Row],[Transaction name]],IF(Transactions[[#This Row],[Level 0]]=Transactions[[#This Row],[L1N]],Transactions[[#This Row],[Transaction name]],IF(Transactions[[#This Row],[Level 0]]=Transactions[[#This Row],[L2N]],Transactions[[#This Row],[L1N]],IF(Transactions[[#This Row],[Level 0]]=Transactions[[#This Row],[L3N]],Transactions[[#This Row],[L2N]],IF(Transactions[[#This Row],[Level 0]]=Transactions[[#This Row],[L4N]],Transactions[[#This Row],[L3N]],IF(Transactions[[#This Row],[Level 0]]=Transactions[[#This Row],[L5N]],Transactions[[#This Row],[L4N]],IF(Transactions[[#This Row],[Level 0]]=Transactions[[#This Row],[L6N]],Transactions[[#This Row],[L5N]],IF(Transactions[[#This Row],[Level 0]]=Transactions[[#This Row],[L7N]],Transactions[[#This Row],[L6N]],Transactions[[#This Row],[L7N]]))))))))</f>
        <v>Electricity, CHP and heat plants (T)</v>
      </c>
      <c r="AT302" s="24" t="str">
        <f>IF(Transactions[[#This Row],[Level 1]]=Transactions[[#This Row],[Transaction name]],Transactions[[#This Row],[Transaction name]],IF(Transactions[[#This Row],[Level 1]]=Transactions[[#This Row],[L1N]],Transactions[[#This Row],[Transaction name]],IF(Transactions[[#This Row],[Level 1]]=Transactions[[#This Row],[L2N]],Transactions[[#This Row],[L1N]],IF(Transactions[[#This Row],[Level 1]]=Transactions[[#This Row],[L3N]],Transactions[[#This Row],[L2N]],IF(Transactions[[#This Row],[Level 1]]=Transactions[[#This Row],[L4N]],Transactions[[#This Row],[L3N]],IF(Transactions[[#This Row],[Level 1]]=Transactions[[#This Row],[L5N]],Transactions[[#This Row],[L4N]],IF(Transactions[[#This Row],[Level 1]]=Transactions[[#This Row],[L6N]],Transactions[[#This Row],[L5N]],IF(Transactions[[#This Row],[Level 1]]=Transactions[[#This Row],[L7N]],Transactions[[#This Row],[L6N]],Transactions[[#This Row],[L7N]]))))))))</f>
        <v>CHP plants</v>
      </c>
      <c r="AU302" s="24" t="str">
        <f>IF(Transactions[[#This Row],[Level 2]]=Transactions[[#This Row],[Transaction name]],Transactions[[#This Row],[Transaction name]],IF(Transactions[[#This Row],[Level 2]]=Transactions[[#This Row],[L1N]],Transactions[[#This Row],[Transaction name]],IF(Transactions[[#This Row],[Level 2]]=Transactions[[#This Row],[L2N]],Transactions[[#This Row],[L1N]],IF(Transactions[[#This Row],[Level 2]]=Transactions[[#This Row],[L3N]],Transactions[[#This Row],[L2N]],IF(Transactions[[#This Row],[Level 2]]=Transactions[[#This Row],[L4N]],Transactions[[#This Row],[L3N]],IF(Transactions[[#This Row],[Level 2]]=Transactions[[#This Row],[L5N]],Transactions[[#This Row],[L4N]],IF(Transactions[[#This Row],[Level 2]]=Transactions[[#This Row],[L6N]],Transactions[[#This Row],[L5N]],IF(Transactions[[#This Row],[Level 2]]=Transactions[[#This Row],[L7N]],Transactions[[#This Row],[L6N]],Transactions[[#This Row],[L7N]]))))))))</f>
        <v>CHP plants - shale</v>
      </c>
      <c r="AV302" s="24" t="str">
        <f>IF(Transactions[[#This Row],[Level 3]]=Transactions[[#This Row],[Transaction name]],Transactions[[#This Row],[Transaction name]],IF(Transactions[[#This Row],[Level 3]]=Transactions[[#This Row],[L1N]],Transactions[[#This Row],[Transaction name]],IF(Transactions[[#This Row],[Level 3]]=Transactions[[#This Row],[L2N]],Transactions[[#This Row],[L1N]],IF(Transactions[[#This Row],[Level 3]]=Transactions[[#This Row],[L3N]],Transactions[[#This Row],[L2N]],IF(Transactions[[#This Row],[Level 3]]=Transactions[[#This Row],[L4N]],Transactions[[#This Row],[L3N]],IF(Transactions[[#This Row],[Level 3]]=Transactions[[#This Row],[L5N]],Transactions[[#This Row],[L4N]],IF(Transactions[[#This Row],[Level 3]]=Transactions[[#This Row],[L6N]],Transactions[[#This Row],[L5N]],IF(Transactions[[#This Row],[Level 3]]=Transactions[[#This Row],[L7N]],Transactions[[#This Row],[L6N]],Transactions[[#This Row],[L7N]]))))))))</f>
        <v>CHP plants - Autoproducer - shale</v>
      </c>
      <c r="AW302" s="24" t="str">
        <f>IF(Transactions[[#This Row],[Level 4]]=Transactions[[#This Row],[Transaction name]],Transactions[[#This Row],[Transaction name]],IF(Transactions[[#This Row],[Level 4]]=Transactions[[#This Row],[L1N]],Transactions[[#This Row],[Transaction name]],IF(Transactions[[#This Row],[Level 4]]=Transactions[[#This Row],[L2N]],Transactions[[#This Row],[L1N]],IF(Transactions[[#This Row],[Level 4]]=Transactions[[#This Row],[L3N]],Transactions[[#This Row],[L2N]],IF(Transactions[[#This Row],[Level 4]]=Transactions[[#This Row],[L4N]],Transactions[[#This Row],[L3N]],IF(Transactions[[#This Row],[Level 4]]=Transactions[[#This Row],[L5N]],Transactions[[#This Row],[L4N]],IF(Transactions[[#This Row],[Level 4]]=Transactions[[#This Row],[L6N]],Transactions[[#This Row],[L5N]],IF(Transactions[[#This Row],[Level 4]]=Transactions[[#This Row],[L7N]],Transactions[[#This Row],[L6N]],Transactions[[#This Row],[L7N]]))))))))</f>
        <v>CHP plants - Autoproducer - shale</v>
      </c>
      <c r="AX302" s="24" t="str">
        <f>IF(Transactions[[#This Row],[Level 5]]=Transactions[[#This Row],[Transaction name]],Transactions[[#This Row],[Transaction name]],IF(Transactions[[#This Row],[Level 5]]=Transactions[[#This Row],[L1N]],Transactions[[#This Row],[Transaction name]],IF(Transactions[[#This Row],[Level 5]]=Transactions[[#This Row],[L2N]],Transactions[[#This Row],[L1N]],IF(Transactions[[#This Row],[Level 5]]=Transactions[[#This Row],[L3N]],Transactions[[#This Row],[L2N]],IF(Transactions[[#This Row],[Level 5]]=Transactions[[#This Row],[L4N]],Transactions[[#This Row],[L3N]],IF(Transactions[[#This Row],[Level 5]]=Transactions[[#This Row],[L5N]],Transactions[[#This Row],[L4N]],IF(Transactions[[#This Row],[Level 5]]=Transactions[[#This Row],[L6N]],Transactions[[#This Row],[L5N]],IF(Transactions[[#This Row],[Level 5]]=Transactions[[#This Row],[L7N]],Transactions[[#This Row],[L6N]],Transactions[[#This Row],[L7N]]))))))))</f>
        <v>CHP plants - Autoproducer - shale</v>
      </c>
      <c r="AY302" s="24" t="str">
        <f>IF(Transactions[[#This Row],[Level 6]]=Transactions[[#This Row],[Transaction name]],Transactions[[#This Row],[Transaction name]],IF(Transactions[[#This Row],[Level 6]]=Transactions[[#This Row],[L1N]],Transactions[[#This Row],[Transaction name]],IF(Transactions[[#This Row],[Level 6]]=Transactions[[#This Row],[L2N]],Transactions[[#This Row],[L1N]],IF(Transactions[[#This Row],[Level 6]]=Transactions[[#This Row],[L3N]],Transactions[[#This Row],[L2N]],IF(Transactions[[#This Row],[Level 6]]=Transactions[[#This Row],[L4N]],Transactions[[#This Row],[L3N]],IF(Transactions[[#This Row],[Level 6]]=Transactions[[#This Row],[L5N]],Transactions[[#This Row],[L4N]],IF(Transactions[[#This Row],[Level 6]]=Transactions[[#This Row],[L6N]],Transactions[[#This Row],[L5N]],IF(Transactions[[#This Row],[Level 6]]=Transactions[[#This Row],[L7N]],Transactions[[#This Row],[L6N]],Transactions[[#This Row],[L7N]]))))))))</f>
        <v>CHP plants - Autoproducer - shale</v>
      </c>
      <c r="BE302" s="26" t="str">
        <f>_xlfn.XLOOKUP(Transformation[[#This Row],[cfrom]],Commodities[Commodity],Commodities[Commodity code])</f>
        <v>4400</v>
      </c>
      <c r="BF302" s="26" t="str">
        <f>_xlfn.XLOOKUP(Transformation[[#This Row],[tfrom]],Transactions[Transaction name],Transactions[Transaction code])</f>
        <v>022</v>
      </c>
      <c r="BG302" s="26" t="str">
        <f>_xlfn.XLOOKUP(Transformation[[#This Row],[cto]],Commodities[Commodity],Commodities[Commodity code])</f>
        <v>4400</v>
      </c>
      <c r="BH302" s="26" t="str">
        <f>_xlfn.XLOOKUP(Transformation[[#This Row],[tto]],Transactions[Transaction name],Transactions[Transaction code])</f>
        <v>022</v>
      </c>
      <c r="BI302" s="32">
        <v>-1</v>
      </c>
      <c r="BJ302" s="22" t="s">
        <v>428</v>
      </c>
      <c r="BK302" s="26" t="str">
        <f>_xlfn.XLOOKUP(Transformation[[#This Row],[Commodity from]],Commodities[Commodity code],Commodities[EnergyCode])</f>
        <v>AO</v>
      </c>
      <c r="BL302" s="22" t="s">
        <v>205</v>
      </c>
      <c r="BM302" s="22" t="s">
        <v>428</v>
      </c>
      <c r="BN302" s="26" t="str">
        <f>_xlfn.XLOOKUP(Transformation[[#This Row],[Commodity to]],Commodities[Commodity code],Commodities[EnergyCode])</f>
        <v>AO</v>
      </c>
      <c r="BO302" s="22" t="s">
        <v>205</v>
      </c>
      <c r="BP302" s="22" t="s">
        <v>1639</v>
      </c>
      <c r="BQ302" s="33" t="str">
        <f>Transformation[[#This Row],[Commodity from]]&amp;Transformation[[#This Row],[Transaction from]]&amp;Transformation[[#This Row],[Commodity to]]&amp;Transformation[[#This Row],[Transaction to]]</f>
        <v>44000224400022</v>
      </c>
      <c r="BR302" s="26" t="str">
        <f>Transformation[[#This Row],[crfomid]]&amp;Transformation[[#This Row],[Transaction from]]&amp;"("&amp;Transformation[[#This Row],[Multiplier]]&amp;") -&gt; "&amp;Transformation[[#This Row],[ctoid]]&amp;Transformation[[#This Row],[Transaction to]]</f>
        <v>AO022(-1) -&gt; AO022</v>
      </c>
    </row>
    <row r="303" spans="25:70" x14ac:dyDescent="0.45">
      <c r="Y303" s="5" t="s">
        <v>1256</v>
      </c>
      <c r="Z303" s="7" t="s">
        <v>1193</v>
      </c>
      <c r="AA303" s="4" t="s">
        <v>1387</v>
      </c>
      <c r="AB303" s="19" t="s">
        <v>1629</v>
      </c>
      <c r="AC303" s="24" t="str">
        <f>IFERROR(VLOOKUP(Transactions[[#This Row],[Parent code]],Transactions[[Transaction code]:[Transaction name]],2,0),"")</f>
        <v>CHP plants - shale</v>
      </c>
      <c r="AD303" s="4" t="s">
        <v>189</v>
      </c>
      <c r="AE303" s="4" t="s">
        <v>922</v>
      </c>
      <c r="AF303" s="4" t="s">
        <v>642</v>
      </c>
      <c r="AG303" s="4" t="s">
        <v>1</v>
      </c>
      <c r="AH303" s="4" t="s">
        <v>696</v>
      </c>
      <c r="AI303" s="12" t="s">
        <v>1416</v>
      </c>
      <c r="AK303" s="24" t="str" cm="1">
        <f t="array" ref="AK303">IFERROR(INDEX(Transactions[[Transaction code]:[Transaction name]],_xlfn.XMATCH(Transactions[[#This Row],[Parent code]],Transactions[Transaction name],0),3),Transactions[[#This Row],[Transaction name]])</f>
        <v>CHP plants - Main activity - shale</v>
      </c>
      <c r="AL303" s="24" t="str" cm="1">
        <f t="array" ref="AL303">IFERROR(INDEX(Transactions[[Transaction code]:[Transaction name]],_xlfn.XMATCH(INDEX(Transactions[[Transaction name]:[Parent code]],_xlfn.XMATCH(Transactions[[#This Row],[L1N]],Transactions[Transaction name],0),3),Transactions[Transaction code],0),2),Transactions[[#This Row],[L1N]])</f>
        <v>CHP plants - shale</v>
      </c>
      <c r="AM303" s="24" t="str" cm="1">
        <f t="array" ref="AM303">IFERROR(INDEX(Transactions[[Transaction code]:[Transaction name]],_xlfn.XMATCH(INDEX(Transactions[[Transaction name]:[Parent code]],_xlfn.XMATCH(Transactions[[#This Row],[L2N]],Transactions[Transaction name],0),3),Transactions[Transaction code],0),2),Transactions[[#This Row],[L2N]])</f>
        <v>CHP plants</v>
      </c>
      <c r="AN303" s="24" t="str" cm="1">
        <f t="array" ref="AN303">IFERROR(INDEX(Transactions[[Transaction code]:[Transaction name]],_xlfn.XMATCH(INDEX(Transactions[[Transaction name]:[Parent code]],_xlfn.XMATCH(Transactions[[#This Row],[L3N]],Transactions[Transaction name],0),3),Transactions[Transaction code],0),2),Transactions[[#This Row],[L3N]])</f>
        <v>Electricity, CHP and heat plants (T)</v>
      </c>
      <c r="AO303" s="24" t="str" cm="1">
        <f t="array" ref="AO303">IFERROR(INDEX(Transactions[[Transaction code]:[Transaction name]],_xlfn.XMATCH(INDEX(Transactions[[Transaction name]:[Parent code]],_xlfn.XMATCH(Transactions[[#This Row],[L4N]],Transactions[Transaction name],0),3),Transactions[Transaction code],0),2),Transactions[[#This Row],[L4N]])</f>
        <v>Transformation</v>
      </c>
      <c r="AP303" s="24" t="str" cm="1">
        <f t="array" ref="AP303">IFERROR(INDEX(Transactions[[Transaction code]:[Transaction name]],_xlfn.XMATCH(INDEX(Transactions[[Transaction name]:[Parent code]],_xlfn.XMATCH(Transactions[[#This Row],[L5N]],Transactions[Transaction name],0),3),Transactions[Transaction code],0),2),Transactions[[#This Row],[L5N]])</f>
        <v>Transformation</v>
      </c>
      <c r="AQ303" s="24" t="str" cm="1">
        <f t="array" ref="AQ303">IFERROR(INDEX(Transactions[[Transaction code]:[Transaction name]],_xlfn.XMATCH(INDEX(Transactions[[Transaction name]:[Parent code]],_xlfn.XMATCH(Transactions[[#This Row],[L6N]],Transactions[Transaction name],0),3),Transactions[Transaction code],0),2),Transactions[[#This Row],[L6N]])</f>
        <v>Transformation</v>
      </c>
      <c r="AR303" s="28" t="str">
        <f>IF(Transactions[[#This Row],[L7N]]=Transactions[[#This Row],[L6N]],Transactions[[#This Row],[L7N]],IF(Transactions[[#This Row],[L6N]]=Transactions[[#This Row],[L5N]],Transactions[[#This Row],[L6N]],IF(Transactions[[#This Row],[L5N]]=Transactions[[#This Row],[L4N]],Transactions[[#This Row],[L5N]],IF(Transactions[[#This Row],[L4N]]=Transactions[[#This Row],[L3N]],Transactions[[#This Row],[L4N]],IF(Transactions[[#This Row],[L3N]]=Transactions[[#This Row],[L2N]],Transactions[[#This Row],[L3N]],IF(Transactions[[#This Row],[L2N]]=Transactions[[#This Row],[L1N]],Transactions[[#This Row],[L2N]],IF(Transactions[[#This Row],[L1N]]=Transactions[[#This Row],[Transaction name]],Transactions[[#This Row],[L1N]],Transactions[[#This Row],[Transaction name]])))))))</f>
        <v>Transformation</v>
      </c>
      <c r="AS303" s="24" t="str">
        <f>IF(Transactions[[#This Row],[Level 0]]=Transactions[[#This Row],[Transaction name]],Transactions[[#This Row],[Transaction name]],IF(Transactions[[#This Row],[Level 0]]=Transactions[[#This Row],[L1N]],Transactions[[#This Row],[Transaction name]],IF(Transactions[[#This Row],[Level 0]]=Transactions[[#This Row],[L2N]],Transactions[[#This Row],[L1N]],IF(Transactions[[#This Row],[Level 0]]=Transactions[[#This Row],[L3N]],Transactions[[#This Row],[L2N]],IF(Transactions[[#This Row],[Level 0]]=Transactions[[#This Row],[L4N]],Transactions[[#This Row],[L3N]],IF(Transactions[[#This Row],[Level 0]]=Transactions[[#This Row],[L5N]],Transactions[[#This Row],[L4N]],IF(Transactions[[#This Row],[Level 0]]=Transactions[[#This Row],[L6N]],Transactions[[#This Row],[L5N]],IF(Transactions[[#This Row],[Level 0]]=Transactions[[#This Row],[L7N]],Transactions[[#This Row],[L6N]],Transactions[[#This Row],[L7N]]))))))))</f>
        <v>Electricity, CHP and heat plants (T)</v>
      </c>
      <c r="AT303" s="24" t="str">
        <f>IF(Transactions[[#This Row],[Level 1]]=Transactions[[#This Row],[Transaction name]],Transactions[[#This Row],[Transaction name]],IF(Transactions[[#This Row],[Level 1]]=Transactions[[#This Row],[L1N]],Transactions[[#This Row],[Transaction name]],IF(Transactions[[#This Row],[Level 1]]=Transactions[[#This Row],[L2N]],Transactions[[#This Row],[L1N]],IF(Transactions[[#This Row],[Level 1]]=Transactions[[#This Row],[L3N]],Transactions[[#This Row],[L2N]],IF(Transactions[[#This Row],[Level 1]]=Transactions[[#This Row],[L4N]],Transactions[[#This Row],[L3N]],IF(Transactions[[#This Row],[Level 1]]=Transactions[[#This Row],[L5N]],Transactions[[#This Row],[L4N]],IF(Transactions[[#This Row],[Level 1]]=Transactions[[#This Row],[L6N]],Transactions[[#This Row],[L5N]],IF(Transactions[[#This Row],[Level 1]]=Transactions[[#This Row],[L7N]],Transactions[[#This Row],[L6N]],Transactions[[#This Row],[L7N]]))))))))</f>
        <v>CHP plants</v>
      </c>
      <c r="AU303" s="24" t="str">
        <f>IF(Transactions[[#This Row],[Level 2]]=Transactions[[#This Row],[Transaction name]],Transactions[[#This Row],[Transaction name]],IF(Transactions[[#This Row],[Level 2]]=Transactions[[#This Row],[L1N]],Transactions[[#This Row],[Transaction name]],IF(Transactions[[#This Row],[Level 2]]=Transactions[[#This Row],[L2N]],Transactions[[#This Row],[L1N]],IF(Transactions[[#This Row],[Level 2]]=Transactions[[#This Row],[L3N]],Transactions[[#This Row],[L2N]],IF(Transactions[[#This Row],[Level 2]]=Transactions[[#This Row],[L4N]],Transactions[[#This Row],[L3N]],IF(Transactions[[#This Row],[Level 2]]=Transactions[[#This Row],[L5N]],Transactions[[#This Row],[L4N]],IF(Transactions[[#This Row],[Level 2]]=Transactions[[#This Row],[L6N]],Transactions[[#This Row],[L5N]],IF(Transactions[[#This Row],[Level 2]]=Transactions[[#This Row],[L7N]],Transactions[[#This Row],[L6N]],Transactions[[#This Row],[L7N]]))))))))</f>
        <v>CHP plants - shale</v>
      </c>
      <c r="AV303" s="24" t="str">
        <f>IF(Transactions[[#This Row],[Level 3]]=Transactions[[#This Row],[Transaction name]],Transactions[[#This Row],[Transaction name]],IF(Transactions[[#This Row],[Level 3]]=Transactions[[#This Row],[L1N]],Transactions[[#This Row],[Transaction name]],IF(Transactions[[#This Row],[Level 3]]=Transactions[[#This Row],[L2N]],Transactions[[#This Row],[L1N]],IF(Transactions[[#This Row],[Level 3]]=Transactions[[#This Row],[L3N]],Transactions[[#This Row],[L2N]],IF(Transactions[[#This Row],[Level 3]]=Transactions[[#This Row],[L4N]],Transactions[[#This Row],[L3N]],IF(Transactions[[#This Row],[Level 3]]=Transactions[[#This Row],[L5N]],Transactions[[#This Row],[L4N]],IF(Transactions[[#This Row],[Level 3]]=Transactions[[#This Row],[L6N]],Transactions[[#This Row],[L5N]],IF(Transactions[[#This Row],[Level 3]]=Transactions[[#This Row],[L7N]],Transactions[[#This Row],[L6N]],Transactions[[#This Row],[L7N]]))))))))</f>
        <v>CHP plants - Main activity - shale</v>
      </c>
      <c r="AW303" s="24" t="str">
        <f>IF(Transactions[[#This Row],[Level 4]]=Transactions[[#This Row],[Transaction name]],Transactions[[#This Row],[Transaction name]],IF(Transactions[[#This Row],[Level 4]]=Transactions[[#This Row],[L1N]],Transactions[[#This Row],[Transaction name]],IF(Transactions[[#This Row],[Level 4]]=Transactions[[#This Row],[L2N]],Transactions[[#This Row],[L1N]],IF(Transactions[[#This Row],[Level 4]]=Transactions[[#This Row],[L3N]],Transactions[[#This Row],[L2N]],IF(Transactions[[#This Row],[Level 4]]=Transactions[[#This Row],[L4N]],Transactions[[#This Row],[L3N]],IF(Transactions[[#This Row],[Level 4]]=Transactions[[#This Row],[L5N]],Transactions[[#This Row],[L4N]],IF(Transactions[[#This Row],[Level 4]]=Transactions[[#This Row],[L6N]],Transactions[[#This Row],[L5N]],IF(Transactions[[#This Row],[Level 4]]=Transactions[[#This Row],[L7N]],Transactions[[#This Row],[L6N]],Transactions[[#This Row],[L7N]]))))))))</f>
        <v>CHP plants - Main activity - shale</v>
      </c>
      <c r="AX303" s="24" t="str">
        <f>IF(Transactions[[#This Row],[Level 5]]=Transactions[[#This Row],[Transaction name]],Transactions[[#This Row],[Transaction name]],IF(Transactions[[#This Row],[Level 5]]=Transactions[[#This Row],[L1N]],Transactions[[#This Row],[Transaction name]],IF(Transactions[[#This Row],[Level 5]]=Transactions[[#This Row],[L2N]],Transactions[[#This Row],[L1N]],IF(Transactions[[#This Row],[Level 5]]=Transactions[[#This Row],[L3N]],Transactions[[#This Row],[L2N]],IF(Transactions[[#This Row],[Level 5]]=Transactions[[#This Row],[L4N]],Transactions[[#This Row],[L3N]],IF(Transactions[[#This Row],[Level 5]]=Transactions[[#This Row],[L5N]],Transactions[[#This Row],[L4N]],IF(Transactions[[#This Row],[Level 5]]=Transactions[[#This Row],[L6N]],Transactions[[#This Row],[L5N]],IF(Transactions[[#This Row],[Level 5]]=Transactions[[#This Row],[L7N]],Transactions[[#This Row],[L6N]],Transactions[[#This Row],[L7N]]))))))))</f>
        <v>CHP plants - Main activity - shale</v>
      </c>
      <c r="AY303" s="24" t="str">
        <f>IF(Transactions[[#This Row],[Level 6]]=Transactions[[#This Row],[Transaction name]],Transactions[[#This Row],[Transaction name]],IF(Transactions[[#This Row],[Level 6]]=Transactions[[#This Row],[L1N]],Transactions[[#This Row],[Transaction name]],IF(Transactions[[#This Row],[Level 6]]=Transactions[[#This Row],[L2N]],Transactions[[#This Row],[L1N]],IF(Transactions[[#This Row],[Level 6]]=Transactions[[#This Row],[L3N]],Transactions[[#This Row],[L2N]],IF(Transactions[[#This Row],[Level 6]]=Transactions[[#This Row],[L4N]],Transactions[[#This Row],[L3N]],IF(Transactions[[#This Row],[Level 6]]=Transactions[[#This Row],[L5N]],Transactions[[#This Row],[L4N]],IF(Transactions[[#This Row],[Level 6]]=Transactions[[#This Row],[L6N]],Transactions[[#This Row],[L5N]],IF(Transactions[[#This Row],[Level 6]]=Transactions[[#This Row],[L7N]],Transactions[[#This Row],[L6N]],Transactions[[#This Row],[L7N]]))))))))</f>
        <v>CHP plants - Main activity - shale</v>
      </c>
      <c r="BE303" s="26" t="str">
        <f>_xlfn.XLOOKUP(Transformation[[#This Row],[cfrom]],Commodities[Commodity],Commodities[Commodity code])</f>
        <v>4651</v>
      </c>
      <c r="BF303" s="26" t="str">
        <f>_xlfn.XLOOKUP(Transformation[[#This Row],[tfrom]],Transactions[Transaction name],Transactions[Transaction code])</f>
        <v>01</v>
      </c>
      <c r="BG303" s="26" t="str">
        <f>_xlfn.XLOOKUP(Transformation[[#This Row],[cto]],Commodities[Commodity],Commodities[Commodity code])</f>
        <v>4651</v>
      </c>
      <c r="BH303" s="26" t="str">
        <f>_xlfn.XLOOKUP(Transformation[[#This Row],[tto]],Transactions[Transaction name],Transactions[Transaction code])</f>
        <v>01</v>
      </c>
      <c r="BI303" s="32">
        <v>-1</v>
      </c>
      <c r="BJ303" s="22" t="s">
        <v>398</v>
      </c>
      <c r="BK303" s="26" t="str">
        <f>_xlfn.XLOOKUP(Transformation[[#This Row],[Commodity from]],Commodities[Commodity code],Commodities[EnergyCode])</f>
        <v>AV</v>
      </c>
      <c r="BL303" s="22" t="s">
        <v>383</v>
      </c>
      <c r="BM303" s="22" t="s">
        <v>398</v>
      </c>
      <c r="BN303" s="26" t="str">
        <f>_xlfn.XLOOKUP(Transformation[[#This Row],[Commodity to]],Commodities[Commodity code],Commodities[EnergyCode])</f>
        <v>AV</v>
      </c>
      <c r="BO303" s="22" t="s">
        <v>383</v>
      </c>
      <c r="BP303" s="22" t="s">
        <v>1633</v>
      </c>
      <c r="BQ303" s="33" t="str">
        <f>Transformation[[#This Row],[Commodity from]]&amp;Transformation[[#This Row],[Transaction from]]&amp;Transformation[[#This Row],[Commodity to]]&amp;Transformation[[#This Row],[Transaction to]]</f>
        <v>465101465101</v>
      </c>
      <c r="BR303" s="26" t="str">
        <f>Transformation[[#This Row],[crfomid]]&amp;Transformation[[#This Row],[Transaction from]]&amp;"("&amp;Transformation[[#This Row],[Multiplier]]&amp;") -&gt; "&amp;Transformation[[#This Row],[ctoid]]&amp;Transformation[[#This Row],[Transaction to]]</f>
        <v>AV01(-1) -&gt; AV01</v>
      </c>
    </row>
    <row r="304" spans="25:70" x14ac:dyDescent="0.45">
      <c r="Y304" s="19" t="s">
        <v>1629</v>
      </c>
      <c r="Z304" s="18" t="s">
        <v>1387</v>
      </c>
      <c r="AA304" s="18" t="s">
        <v>1387</v>
      </c>
      <c r="AB304" s="19" t="s">
        <v>1627</v>
      </c>
      <c r="AC304" s="26" t="str">
        <f>IFERROR(VLOOKUP(Transactions[[#This Row],[Parent code]],Transactions[[Transaction code]:[Transaction name]],2,0),"")</f>
        <v>CHP plants</v>
      </c>
      <c r="AD304" s="18" t="s">
        <v>189</v>
      </c>
      <c r="AE304" s="18" t="s">
        <v>922</v>
      </c>
      <c r="AF304" s="18" t="s">
        <v>642</v>
      </c>
      <c r="AG304" s="18" t="s">
        <v>1</v>
      </c>
      <c r="AH304" s="18" t="s">
        <v>696</v>
      </c>
      <c r="AI304" s="18" t="s">
        <v>1416</v>
      </c>
      <c r="AJ304" s="18"/>
      <c r="AK304" s="26" t="str" cm="1">
        <f t="array" ref="AK304">IFERROR(INDEX(Transactions[[Transaction code]:[Transaction name]],_xlfn.XMATCH(Transactions[[#This Row],[Parent code]],Transactions[Transaction name],0),3),Transactions[[#This Row],[Transaction name]])</f>
        <v>CHP plants - shale</v>
      </c>
      <c r="AL304" s="26" t="str" cm="1">
        <f t="array" ref="AL304">IFERROR(INDEX(Transactions[[Transaction code]:[Transaction name]],_xlfn.XMATCH(INDEX(Transactions[[Transaction name]:[Parent code]],_xlfn.XMATCH(Transactions[[#This Row],[L1N]],Transactions[Transaction name],0),3),Transactions[Transaction code],0),2),Transactions[[#This Row],[L1N]])</f>
        <v>CHP plants</v>
      </c>
      <c r="AM304" s="26" t="str" cm="1">
        <f t="array" ref="AM304">IFERROR(INDEX(Transactions[[Transaction code]:[Transaction name]],_xlfn.XMATCH(INDEX(Transactions[[Transaction name]:[Parent code]],_xlfn.XMATCH(Transactions[[#This Row],[L2N]],Transactions[Transaction name],0),3),Transactions[Transaction code],0),2),Transactions[[#This Row],[L2N]])</f>
        <v>Electricity, CHP and heat plants (T)</v>
      </c>
      <c r="AN304" s="26" t="str" cm="1">
        <f t="array" ref="AN304">IFERROR(INDEX(Transactions[[Transaction code]:[Transaction name]],_xlfn.XMATCH(INDEX(Transactions[[Transaction name]:[Parent code]],_xlfn.XMATCH(Transactions[[#This Row],[L3N]],Transactions[Transaction name],0),3),Transactions[Transaction code],0),2),Transactions[[#This Row],[L3N]])</f>
        <v>Transformation</v>
      </c>
      <c r="AO304" s="26" t="str" cm="1">
        <f t="array" ref="AO304">IFERROR(INDEX(Transactions[[Transaction code]:[Transaction name]],_xlfn.XMATCH(INDEX(Transactions[[Transaction name]:[Parent code]],_xlfn.XMATCH(Transactions[[#This Row],[L4N]],Transactions[Transaction name],0),3),Transactions[Transaction code],0),2),Transactions[[#This Row],[L4N]])</f>
        <v>Transformation</v>
      </c>
      <c r="AP304" s="26" t="str" cm="1">
        <f t="array" ref="AP304">IFERROR(INDEX(Transactions[[Transaction code]:[Transaction name]],_xlfn.XMATCH(INDEX(Transactions[[Transaction name]:[Parent code]],_xlfn.XMATCH(Transactions[[#This Row],[L5N]],Transactions[Transaction name],0),3),Transactions[Transaction code],0),2),Transactions[[#This Row],[L5N]])</f>
        <v>Transformation</v>
      </c>
      <c r="AQ304" s="26" t="str" cm="1">
        <f t="array" ref="AQ304">IFERROR(INDEX(Transactions[[Transaction code]:[Transaction name]],_xlfn.XMATCH(INDEX(Transactions[[Transaction name]:[Parent code]],_xlfn.XMATCH(Transactions[[#This Row],[L6N]],Transactions[Transaction name],0),3),Transactions[Transaction code],0),2),Transactions[[#This Row],[L6N]])</f>
        <v>Transformation</v>
      </c>
      <c r="AR304" s="29" t="str">
        <f>IF(Transactions[[#This Row],[L7N]]=Transactions[[#This Row],[L6N]],Transactions[[#This Row],[L7N]],IF(Transactions[[#This Row],[L6N]]=Transactions[[#This Row],[L5N]],Transactions[[#This Row],[L6N]],IF(Transactions[[#This Row],[L5N]]=Transactions[[#This Row],[L4N]],Transactions[[#This Row],[L5N]],IF(Transactions[[#This Row],[L4N]]=Transactions[[#This Row],[L3N]],Transactions[[#This Row],[L4N]],IF(Transactions[[#This Row],[L3N]]=Transactions[[#This Row],[L2N]],Transactions[[#This Row],[L3N]],IF(Transactions[[#This Row],[L2N]]=Transactions[[#This Row],[L1N]],Transactions[[#This Row],[L2N]],IF(Transactions[[#This Row],[L1N]]=Transactions[[#This Row],[Transaction name]],Transactions[[#This Row],[L1N]],Transactions[[#This Row],[Transaction name]])))))))</f>
        <v>Transformation</v>
      </c>
      <c r="AS304" s="26" t="str">
        <f>IF(Transactions[[#This Row],[Level 0]]=Transactions[[#This Row],[Transaction name]],Transactions[[#This Row],[Transaction name]],IF(Transactions[[#This Row],[Level 0]]=Transactions[[#This Row],[L1N]],Transactions[[#This Row],[Transaction name]],IF(Transactions[[#This Row],[Level 0]]=Transactions[[#This Row],[L2N]],Transactions[[#This Row],[L1N]],IF(Transactions[[#This Row],[Level 0]]=Transactions[[#This Row],[L3N]],Transactions[[#This Row],[L2N]],IF(Transactions[[#This Row],[Level 0]]=Transactions[[#This Row],[L4N]],Transactions[[#This Row],[L3N]],IF(Transactions[[#This Row],[Level 0]]=Transactions[[#This Row],[L5N]],Transactions[[#This Row],[L4N]],IF(Transactions[[#This Row],[Level 0]]=Transactions[[#This Row],[L6N]],Transactions[[#This Row],[L5N]],IF(Transactions[[#This Row],[Level 0]]=Transactions[[#This Row],[L7N]],Transactions[[#This Row],[L6N]],Transactions[[#This Row],[L7N]]))))))))</f>
        <v>Electricity, CHP and heat plants (T)</v>
      </c>
      <c r="AT304" s="26" t="str">
        <f>IF(Transactions[[#This Row],[Level 1]]=Transactions[[#This Row],[Transaction name]],Transactions[[#This Row],[Transaction name]],IF(Transactions[[#This Row],[Level 1]]=Transactions[[#This Row],[L1N]],Transactions[[#This Row],[Transaction name]],IF(Transactions[[#This Row],[Level 1]]=Transactions[[#This Row],[L2N]],Transactions[[#This Row],[L1N]],IF(Transactions[[#This Row],[Level 1]]=Transactions[[#This Row],[L3N]],Transactions[[#This Row],[L2N]],IF(Transactions[[#This Row],[Level 1]]=Transactions[[#This Row],[L4N]],Transactions[[#This Row],[L3N]],IF(Transactions[[#This Row],[Level 1]]=Transactions[[#This Row],[L5N]],Transactions[[#This Row],[L4N]],IF(Transactions[[#This Row],[Level 1]]=Transactions[[#This Row],[L6N]],Transactions[[#This Row],[L5N]],IF(Transactions[[#This Row],[Level 1]]=Transactions[[#This Row],[L7N]],Transactions[[#This Row],[L6N]],Transactions[[#This Row],[L7N]]))))))))</f>
        <v>CHP plants</v>
      </c>
      <c r="AU304" s="26" t="str">
        <f>IF(Transactions[[#This Row],[Level 2]]=Transactions[[#This Row],[Transaction name]],Transactions[[#This Row],[Transaction name]],IF(Transactions[[#This Row],[Level 2]]=Transactions[[#This Row],[L1N]],Transactions[[#This Row],[Transaction name]],IF(Transactions[[#This Row],[Level 2]]=Transactions[[#This Row],[L2N]],Transactions[[#This Row],[L1N]],IF(Transactions[[#This Row],[Level 2]]=Transactions[[#This Row],[L3N]],Transactions[[#This Row],[L2N]],IF(Transactions[[#This Row],[Level 2]]=Transactions[[#This Row],[L4N]],Transactions[[#This Row],[L3N]],IF(Transactions[[#This Row],[Level 2]]=Transactions[[#This Row],[L5N]],Transactions[[#This Row],[L4N]],IF(Transactions[[#This Row],[Level 2]]=Transactions[[#This Row],[L6N]],Transactions[[#This Row],[L5N]],IF(Transactions[[#This Row],[Level 2]]=Transactions[[#This Row],[L7N]],Transactions[[#This Row],[L6N]],Transactions[[#This Row],[L7N]]))))))))</f>
        <v>CHP plants - shale</v>
      </c>
      <c r="AV304" s="26" t="str">
        <f>IF(Transactions[[#This Row],[Level 3]]=Transactions[[#This Row],[Transaction name]],Transactions[[#This Row],[Transaction name]],IF(Transactions[[#This Row],[Level 3]]=Transactions[[#This Row],[L1N]],Transactions[[#This Row],[Transaction name]],IF(Transactions[[#This Row],[Level 3]]=Transactions[[#This Row],[L2N]],Transactions[[#This Row],[L1N]],IF(Transactions[[#This Row],[Level 3]]=Transactions[[#This Row],[L3N]],Transactions[[#This Row],[L2N]],IF(Transactions[[#This Row],[Level 3]]=Transactions[[#This Row],[L4N]],Transactions[[#This Row],[L3N]],IF(Transactions[[#This Row],[Level 3]]=Transactions[[#This Row],[L5N]],Transactions[[#This Row],[L4N]],IF(Transactions[[#This Row],[Level 3]]=Transactions[[#This Row],[L6N]],Transactions[[#This Row],[L5N]],IF(Transactions[[#This Row],[Level 3]]=Transactions[[#This Row],[L7N]],Transactions[[#This Row],[L6N]],Transactions[[#This Row],[L7N]]))))))))</f>
        <v>CHP plants - shale</v>
      </c>
      <c r="AW304" s="26" t="str">
        <f>IF(Transactions[[#This Row],[Level 4]]=Transactions[[#This Row],[Transaction name]],Transactions[[#This Row],[Transaction name]],IF(Transactions[[#This Row],[Level 4]]=Transactions[[#This Row],[L1N]],Transactions[[#This Row],[Transaction name]],IF(Transactions[[#This Row],[Level 4]]=Transactions[[#This Row],[L2N]],Transactions[[#This Row],[L1N]],IF(Transactions[[#This Row],[Level 4]]=Transactions[[#This Row],[L3N]],Transactions[[#This Row],[L2N]],IF(Transactions[[#This Row],[Level 4]]=Transactions[[#This Row],[L4N]],Transactions[[#This Row],[L3N]],IF(Transactions[[#This Row],[Level 4]]=Transactions[[#This Row],[L5N]],Transactions[[#This Row],[L4N]],IF(Transactions[[#This Row],[Level 4]]=Transactions[[#This Row],[L6N]],Transactions[[#This Row],[L5N]],IF(Transactions[[#This Row],[Level 4]]=Transactions[[#This Row],[L7N]],Transactions[[#This Row],[L6N]],Transactions[[#This Row],[L7N]]))))))))</f>
        <v>CHP plants - shale</v>
      </c>
      <c r="AX304" s="26" t="str">
        <f>IF(Transactions[[#This Row],[Level 5]]=Transactions[[#This Row],[Transaction name]],Transactions[[#This Row],[Transaction name]],IF(Transactions[[#This Row],[Level 5]]=Transactions[[#This Row],[L1N]],Transactions[[#This Row],[Transaction name]],IF(Transactions[[#This Row],[Level 5]]=Transactions[[#This Row],[L2N]],Transactions[[#This Row],[L1N]],IF(Transactions[[#This Row],[Level 5]]=Transactions[[#This Row],[L3N]],Transactions[[#This Row],[L2N]],IF(Transactions[[#This Row],[Level 5]]=Transactions[[#This Row],[L4N]],Transactions[[#This Row],[L3N]],IF(Transactions[[#This Row],[Level 5]]=Transactions[[#This Row],[L5N]],Transactions[[#This Row],[L4N]],IF(Transactions[[#This Row],[Level 5]]=Transactions[[#This Row],[L6N]],Transactions[[#This Row],[L5N]],IF(Transactions[[#This Row],[Level 5]]=Transactions[[#This Row],[L7N]],Transactions[[#This Row],[L6N]],Transactions[[#This Row],[L7N]]))))))))</f>
        <v>CHP plants - shale</v>
      </c>
      <c r="AY304" s="26" t="str">
        <f>IF(Transactions[[#This Row],[Level 6]]=Transactions[[#This Row],[Transaction name]],Transactions[[#This Row],[Transaction name]],IF(Transactions[[#This Row],[Level 6]]=Transactions[[#This Row],[L1N]],Transactions[[#This Row],[Transaction name]],IF(Transactions[[#This Row],[Level 6]]=Transactions[[#This Row],[L2N]],Transactions[[#This Row],[L1N]],IF(Transactions[[#This Row],[Level 6]]=Transactions[[#This Row],[L3N]],Transactions[[#This Row],[L2N]],IF(Transactions[[#This Row],[Level 6]]=Transactions[[#This Row],[L4N]],Transactions[[#This Row],[L3N]],IF(Transactions[[#This Row],[Level 6]]=Transactions[[#This Row],[L5N]],Transactions[[#This Row],[L4N]],IF(Transactions[[#This Row],[Level 6]]=Transactions[[#This Row],[L6N]],Transactions[[#This Row],[L5N]],IF(Transactions[[#This Row],[Level 6]]=Transactions[[#This Row],[L7N]],Transactions[[#This Row],[L6N]],Transactions[[#This Row],[L7N]]))))))))</f>
        <v>CHP plants - shale</v>
      </c>
      <c r="BE304" s="26" t="str">
        <f>_xlfn.XLOOKUP(Transformation[[#This Row],[cfrom]],Commodities[Commodity],Commodities[Commodity code])</f>
        <v>0330</v>
      </c>
      <c r="BF304" s="26" t="str">
        <f>_xlfn.XLOOKUP(Transformation[[#This Row],[tfrom]],Transactions[Transaction name],Transactions[Transaction code])</f>
        <v>01</v>
      </c>
      <c r="BG304" s="26" t="str">
        <f>_xlfn.XLOOKUP(Transformation[[#This Row],[cto]],Commodities[Commodity],Commodities[Commodity code])</f>
        <v>0330</v>
      </c>
      <c r="BH304" s="26" t="str">
        <f>_xlfn.XLOOKUP(Transformation[[#This Row],[tto]],Transactions[Transaction name],Transactions[Transaction code])</f>
        <v>083</v>
      </c>
      <c r="BI304" s="32">
        <v>1</v>
      </c>
      <c r="BJ304" s="22" t="s">
        <v>491</v>
      </c>
      <c r="BK304" s="26" t="str">
        <f>_xlfn.XLOOKUP(Transformation[[#This Row],[Commodity from]],Commodities[Commodity code],Commodities[EnergyCode])</f>
        <v>BB</v>
      </c>
      <c r="BL304" s="22" t="s">
        <v>383</v>
      </c>
      <c r="BM304" s="22" t="s">
        <v>491</v>
      </c>
      <c r="BN304" s="26" t="str">
        <f>_xlfn.XLOOKUP(Transformation[[#This Row],[Commodity to]],Commodities[Commodity code],Commodities[EnergyCode])</f>
        <v>BB</v>
      </c>
      <c r="BO304" s="22" t="s">
        <v>719</v>
      </c>
      <c r="BP304" s="22" t="s">
        <v>1632</v>
      </c>
      <c r="BQ304" s="33" t="str">
        <f>Transformation[[#This Row],[Commodity from]]&amp;Transformation[[#This Row],[Transaction from]]&amp;Transformation[[#This Row],[Commodity to]]&amp;Transformation[[#This Row],[Transaction to]]</f>
        <v>0330010330083</v>
      </c>
      <c r="BR304" s="26" t="str">
        <f>Transformation[[#This Row],[crfomid]]&amp;Transformation[[#This Row],[Transaction from]]&amp;"("&amp;Transformation[[#This Row],[Multiplier]]&amp;") -&gt; "&amp;Transformation[[#This Row],[ctoid]]&amp;Transformation[[#This Row],[Transaction to]]</f>
        <v>BB01(1) -&gt; BB083</v>
      </c>
    </row>
    <row r="305" spans="25:70" x14ac:dyDescent="0.45">
      <c r="Y305" s="19" t="s">
        <v>1630</v>
      </c>
      <c r="Z305" s="18" t="s">
        <v>1407</v>
      </c>
      <c r="AA305" s="18" t="s">
        <v>1407</v>
      </c>
      <c r="AB305" s="19" t="s">
        <v>1627</v>
      </c>
      <c r="AC305" s="26" t="str">
        <f>IFERROR(VLOOKUP(Transactions[[#This Row],[Parent code]],Transactions[[Transaction code]:[Transaction name]],2,0),"")</f>
        <v>CHP plants</v>
      </c>
      <c r="AD305" s="18" t="s">
        <v>189</v>
      </c>
      <c r="AE305" s="18" t="s">
        <v>922</v>
      </c>
      <c r="AF305" s="18" t="s">
        <v>642</v>
      </c>
      <c r="AG305" s="18" t="s">
        <v>1</v>
      </c>
      <c r="AH305" s="18" t="s">
        <v>696</v>
      </c>
      <c r="AI305" s="18"/>
      <c r="AJ305" s="18"/>
      <c r="AK305" s="26" t="str" cm="1">
        <f t="array" ref="AK305">IFERROR(INDEX(Transactions[[Transaction code]:[Transaction name]],_xlfn.XMATCH(Transactions[[#This Row],[Parent code]],Transactions[Transaction name],0),3),Transactions[[#This Row],[Transaction name]])</f>
        <v>CHP plants - Solar CSP</v>
      </c>
      <c r="AL305" s="26" t="str" cm="1">
        <f t="array" ref="AL305">IFERROR(INDEX(Transactions[[Transaction code]:[Transaction name]],_xlfn.XMATCH(INDEX(Transactions[[Transaction name]:[Parent code]],_xlfn.XMATCH(Transactions[[#This Row],[L1N]],Transactions[Transaction name],0),3),Transactions[Transaction code],0),2),Transactions[[#This Row],[L1N]])</f>
        <v>CHP plants</v>
      </c>
      <c r="AM305" s="26" t="str" cm="1">
        <f t="array" ref="AM305">IFERROR(INDEX(Transactions[[Transaction code]:[Transaction name]],_xlfn.XMATCH(INDEX(Transactions[[Transaction name]:[Parent code]],_xlfn.XMATCH(Transactions[[#This Row],[L2N]],Transactions[Transaction name],0),3),Transactions[Transaction code],0),2),Transactions[[#This Row],[L2N]])</f>
        <v>Electricity, CHP and heat plants (T)</v>
      </c>
      <c r="AN305" s="26" t="str" cm="1">
        <f t="array" ref="AN305">IFERROR(INDEX(Transactions[[Transaction code]:[Transaction name]],_xlfn.XMATCH(INDEX(Transactions[[Transaction name]:[Parent code]],_xlfn.XMATCH(Transactions[[#This Row],[L3N]],Transactions[Transaction name],0),3),Transactions[Transaction code],0),2),Transactions[[#This Row],[L3N]])</f>
        <v>Transformation</v>
      </c>
      <c r="AO305" s="26" t="str" cm="1">
        <f t="array" ref="AO305">IFERROR(INDEX(Transactions[[Transaction code]:[Transaction name]],_xlfn.XMATCH(INDEX(Transactions[[Transaction name]:[Parent code]],_xlfn.XMATCH(Transactions[[#This Row],[L4N]],Transactions[Transaction name],0),3),Transactions[Transaction code],0),2),Transactions[[#This Row],[L4N]])</f>
        <v>Transformation</v>
      </c>
      <c r="AP305" s="26" t="str" cm="1">
        <f t="array" ref="AP305">IFERROR(INDEX(Transactions[[Transaction code]:[Transaction name]],_xlfn.XMATCH(INDEX(Transactions[[Transaction name]:[Parent code]],_xlfn.XMATCH(Transactions[[#This Row],[L5N]],Transactions[Transaction name],0),3),Transactions[Transaction code],0),2),Transactions[[#This Row],[L5N]])</f>
        <v>Transformation</v>
      </c>
      <c r="AQ305" s="26" t="str" cm="1">
        <f t="array" ref="AQ305">IFERROR(INDEX(Transactions[[Transaction code]:[Transaction name]],_xlfn.XMATCH(INDEX(Transactions[[Transaction name]:[Parent code]],_xlfn.XMATCH(Transactions[[#This Row],[L6N]],Transactions[Transaction name],0),3),Transactions[Transaction code],0),2),Transactions[[#This Row],[L6N]])</f>
        <v>Transformation</v>
      </c>
      <c r="AR305" s="29" t="str">
        <f>IF(Transactions[[#This Row],[L7N]]=Transactions[[#This Row],[L6N]],Transactions[[#This Row],[L7N]],IF(Transactions[[#This Row],[L6N]]=Transactions[[#This Row],[L5N]],Transactions[[#This Row],[L6N]],IF(Transactions[[#This Row],[L5N]]=Transactions[[#This Row],[L4N]],Transactions[[#This Row],[L5N]],IF(Transactions[[#This Row],[L4N]]=Transactions[[#This Row],[L3N]],Transactions[[#This Row],[L4N]],IF(Transactions[[#This Row],[L3N]]=Transactions[[#This Row],[L2N]],Transactions[[#This Row],[L3N]],IF(Transactions[[#This Row],[L2N]]=Transactions[[#This Row],[L1N]],Transactions[[#This Row],[L2N]],IF(Transactions[[#This Row],[L1N]]=Transactions[[#This Row],[Transaction name]],Transactions[[#This Row],[L1N]],Transactions[[#This Row],[Transaction name]])))))))</f>
        <v>Transformation</v>
      </c>
      <c r="AS305" s="26" t="str">
        <f>IF(Transactions[[#This Row],[Level 0]]=Transactions[[#This Row],[Transaction name]],Transactions[[#This Row],[Transaction name]],IF(Transactions[[#This Row],[Level 0]]=Transactions[[#This Row],[L1N]],Transactions[[#This Row],[Transaction name]],IF(Transactions[[#This Row],[Level 0]]=Transactions[[#This Row],[L2N]],Transactions[[#This Row],[L1N]],IF(Transactions[[#This Row],[Level 0]]=Transactions[[#This Row],[L3N]],Transactions[[#This Row],[L2N]],IF(Transactions[[#This Row],[Level 0]]=Transactions[[#This Row],[L4N]],Transactions[[#This Row],[L3N]],IF(Transactions[[#This Row],[Level 0]]=Transactions[[#This Row],[L5N]],Transactions[[#This Row],[L4N]],IF(Transactions[[#This Row],[Level 0]]=Transactions[[#This Row],[L6N]],Transactions[[#This Row],[L5N]],IF(Transactions[[#This Row],[Level 0]]=Transactions[[#This Row],[L7N]],Transactions[[#This Row],[L6N]],Transactions[[#This Row],[L7N]]))))))))</f>
        <v>Electricity, CHP and heat plants (T)</v>
      </c>
      <c r="AT305" s="26" t="str">
        <f>IF(Transactions[[#This Row],[Level 1]]=Transactions[[#This Row],[Transaction name]],Transactions[[#This Row],[Transaction name]],IF(Transactions[[#This Row],[Level 1]]=Transactions[[#This Row],[L1N]],Transactions[[#This Row],[Transaction name]],IF(Transactions[[#This Row],[Level 1]]=Transactions[[#This Row],[L2N]],Transactions[[#This Row],[L1N]],IF(Transactions[[#This Row],[Level 1]]=Transactions[[#This Row],[L3N]],Transactions[[#This Row],[L2N]],IF(Transactions[[#This Row],[Level 1]]=Transactions[[#This Row],[L4N]],Transactions[[#This Row],[L3N]],IF(Transactions[[#This Row],[Level 1]]=Transactions[[#This Row],[L5N]],Transactions[[#This Row],[L4N]],IF(Transactions[[#This Row],[Level 1]]=Transactions[[#This Row],[L6N]],Transactions[[#This Row],[L5N]],IF(Transactions[[#This Row],[Level 1]]=Transactions[[#This Row],[L7N]],Transactions[[#This Row],[L6N]],Transactions[[#This Row],[L7N]]))))))))</f>
        <v>CHP plants</v>
      </c>
      <c r="AU305" s="26" t="str">
        <f>IF(Transactions[[#This Row],[Level 2]]=Transactions[[#This Row],[Transaction name]],Transactions[[#This Row],[Transaction name]],IF(Transactions[[#This Row],[Level 2]]=Transactions[[#This Row],[L1N]],Transactions[[#This Row],[Transaction name]],IF(Transactions[[#This Row],[Level 2]]=Transactions[[#This Row],[L2N]],Transactions[[#This Row],[L1N]],IF(Transactions[[#This Row],[Level 2]]=Transactions[[#This Row],[L3N]],Transactions[[#This Row],[L2N]],IF(Transactions[[#This Row],[Level 2]]=Transactions[[#This Row],[L4N]],Transactions[[#This Row],[L3N]],IF(Transactions[[#This Row],[Level 2]]=Transactions[[#This Row],[L5N]],Transactions[[#This Row],[L4N]],IF(Transactions[[#This Row],[Level 2]]=Transactions[[#This Row],[L6N]],Transactions[[#This Row],[L5N]],IF(Transactions[[#This Row],[Level 2]]=Transactions[[#This Row],[L7N]],Transactions[[#This Row],[L6N]],Transactions[[#This Row],[L7N]]))))))))</f>
        <v>CHP plants - Solar CSP</v>
      </c>
      <c r="AV305" s="26" t="str">
        <f>IF(Transactions[[#This Row],[Level 3]]=Transactions[[#This Row],[Transaction name]],Transactions[[#This Row],[Transaction name]],IF(Transactions[[#This Row],[Level 3]]=Transactions[[#This Row],[L1N]],Transactions[[#This Row],[Transaction name]],IF(Transactions[[#This Row],[Level 3]]=Transactions[[#This Row],[L2N]],Transactions[[#This Row],[L1N]],IF(Transactions[[#This Row],[Level 3]]=Transactions[[#This Row],[L3N]],Transactions[[#This Row],[L2N]],IF(Transactions[[#This Row],[Level 3]]=Transactions[[#This Row],[L4N]],Transactions[[#This Row],[L3N]],IF(Transactions[[#This Row],[Level 3]]=Transactions[[#This Row],[L5N]],Transactions[[#This Row],[L4N]],IF(Transactions[[#This Row],[Level 3]]=Transactions[[#This Row],[L6N]],Transactions[[#This Row],[L5N]],IF(Transactions[[#This Row],[Level 3]]=Transactions[[#This Row],[L7N]],Transactions[[#This Row],[L6N]],Transactions[[#This Row],[L7N]]))))))))</f>
        <v>CHP plants - Solar CSP</v>
      </c>
      <c r="AW305" s="26" t="str">
        <f>IF(Transactions[[#This Row],[Level 4]]=Transactions[[#This Row],[Transaction name]],Transactions[[#This Row],[Transaction name]],IF(Transactions[[#This Row],[Level 4]]=Transactions[[#This Row],[L1N]],Transactions[[#This Row],[Transaction name]],IF(Transactions[[#This Row],[Level 4]]=Transactions[[#This Row],[L2N]],Transactions[[#This Row],[L1N]],IF(Transactions[[#This Row],[Level 4]]=Transactions[[#This Row],[L3N]],Transactions[[#This Row],[L2N]],IF(Transactions[[#This Row],[Level 4]]=Transactions[[#This Row],[L4N]],Transactions[[#This Row],[L3N]],IF(Transactions[[#This Row],[Level 4]]=Transactions[[#This Row],[L5N]],Transactions[[#This Row],[L4N]],IF(Transactions[[#This Row],[Level 4]]=Transactions[[#This Row],[L6N]],Transactions[[#This Row],[L5N]],IF(Transactions[[#This Row],[Level 4]]=Transactions[[#This Row],[L7N]],Transactions[[#This Row],[L6N]],Transactions[[#This Row],[L7N]]))))))))</f>
        <v>CHP plants - Solar CSP</v>
      </c>
      <c r="AX305" s="26" t="str">
        <f>IF(Transactions[[#This Row],[Level 5]]=Transactions[[#This Row],[Transaction name]],Transactions[[#This Row],[Transaction name]],IF(Transactions[[#This Row],[Level 5]]=Transactions[[#This Row],[L1N]],Transactions[[#This Row],[Transaction name]],IF(Transactions[[#This Row],[Level 5]]=Transactions[[#This Row],[L2N]],Transactions[[#This Row],[L1N]],IF(Transactions[[#This Row],[Level 5]]=Transactions[[#This Row],[L3N]],Transactions[[#This Row],[L2N]],IF(Transactions[[#This Row],[Level 5]]=Transactions[[#This Row],[L4N]],Transactions[[#This Row],[L3N]],IF(Transactions[[#This Row],[Level 5]]=Transactions[[#This Row],[L5N]],Transactions[[#This Row],[L4N]],IF(Transactions[[#This Row],[Level 5]]=Transactions[[#This Row],[L6N]],Transactions[[#This Row],[L5N]],IF(Transactions[[#This Row],[Level 5]]=Transactions[[#This Row],[L7N]],Transactions[[#This Row],[L6N]],Transactions[[#This Row],[L7N]]))))))))</f>
        <v>CHP plants - Solar CSP</v>
      </c>
      <c r="AY305" s="26" t="str">
        <f>IF(Transactions[[#This Row],[Level 6]]=Transactions[[#This Row],[Transaction name]],Transactions[[#This Row],[Transaction name]],IF(Transactions[[#This Row],[Level 6]]=Transactions[[#This Row],[L1N]],Transactions[[#This Row],[Transaction name]],IF(Transactions[[#This Row],[Level 6]]=Transactions[[#This Row],[L2N]],Transactions[[#This Row],[L1N]],IF(Transactions[[#This Row],[Level 6]]=Transactions[[#This Row],[L3N]],Transactions[[#This Row],[L2N]],IF(Transactions[[#This Row],[Level 6]]=Transactions[[#This Row],[L4N]],Transactions[[#This Row],[L3N]],IF(Transactions[[#This Row],[Level 6]]=Transactions[[#This Row],[L5N]],Transactions[[#This Row],[L4N]],IF(Transactions[[#This Row],[Level 6]]=Transactions[[#This Row],[L6N]],Transactions[[#This Row],[L5N]],IF(Transactions[[#This Row],[Level 6]]=Transactions[[#This Row],[L7N]],Transactions[[#This Row],[L6N]],Transactions[[#This Row],[L7N]]))))))))</f>
        <v>CHP plants - Solar CSP</v>
      </c>
      <c r="BE305" s="26" t="str">
        <f>_xlfn.XLOOKUP(Transformation[[#This Row],[cfrom]],Commodities[Commodity],Commodities[Commodity code])</f>
        <v>0330</v>
      </c>
      <c r="BF305" s="26" t="str">
        <f>_xlfn.XLOOKUP(Transformation[[#This Row],[tfrom]],Transactions[Transaction name],Transactions[Transaction code])</f>
        <v>01</v>
      </c>
      <c r="BG305" s="26" t="str">
        <f>_xlfn.XLOOKUP(Transformation[[#This Row],[cto]],Commodities[Commodity],Commodities[Commodity code])</f>
        <v>0330</v>
      </c>
      <c r="BH305" s="26" t="str">
        <f>_xlfn.XLOOKUP(Transformation[[#This Row],[tto]],Transactions[Transaction name],Transactions[Transaction code])</f>
        <v>01</v>
      </c>
      <c r="BI305" s="32">
        <v>-1</v>
      </c>
      <c r="BJ305" s="22" t="s">
        <v>491</v>
      </c>
      <c r="BK305" s="26" t="str">
        <f>_xlfn.XLOOKUP(Transformation[[#This Row],[Commodity from]],Commodities[Commodity code],Commodities[EnergyCode])</f>
        <v>BB</v>
      </c>
      <c r="BL305" s="22" t="s">
        <v>383</v>
      </c>
      <c r="BM305" s="22" t="s">
        <v>491</v>
      </c>
      <c r="BN305" s="26" t="str">
        <f>_xlfn.XLOOKUP(Transformation[[#This Row],[Commodity to]],Commodities[Commodity code],Commodities[EnergyCode])</f>
        <v>BB</v>
      </c>
      <c r="BO305" s="22" t="s">
        <v>383</v>
      </c>
      <c r="BP305" s="22" t="s">
        <v>1633</v>
      </c>
      <c r="BQ305" s="33" t="str">
        <f>Transformation[[#This Row],[Commodity from]]&amp;Transformation[[#This Row],[Transaction from]]&amp;Transformation[[#This Row],[Commodity to]]&amp;Transformation[[#This Row],[Transaction to]]</f>
        <v>033001033001</v>
      </c>
      <c r="BR305" s="26" t="str">
        <f>Transformation[[#This Row],[crfomid]]&amp;Transformation[[#This Row],[Transaction from]]&amp;"("&amp;Transformation[[#This Row],[Multiplier]]&amp;") -&gt; "&amp;Transformation[[#This Row],[ctoid]]&amp;Transformation[[#This Row],[Transaction to]]</f>
        <v>BB01(-1) -&gt; BB01</v>
      </c>
    </row>
    <row r="306" spans="25:70" x14ac:dyDescent="0.45">
      <c r="Y306" s="5" t="s">
        <v>1274</v>
      </c>
      <c r="Z306" s="7" t="s">
        <v>1213</v>
      </c>
      <c r="AA306" s="4" t="s">
        <v>1395</v>
      </c>
      <c r="AB306" s="19" t="s">
        <v>1615</v>
      </c>
      <c r="AC306" s="24" t="str">
        <f>IFERROR(VLOOKUP(Transactions[[#This Row],[Parent code]],Transactions[[Transaction code]:[Transaction name]],2,0),"")</f>
        <v>CHP plants - solid coal products</v>
      </c>
      <c r="AD306" s="4" t="s">
        <v>189</v>
      </c>
      <c r="AE306" s="4" t="s">
        <v>922</v>
      </c>
      <c r="AF306" s="4" t="s">
        <v>642</v>
      </c>
      <c r="AG306" s="4" t="s">
        <v>1</v>
      </c>
      <c r="AH306" s="4" t="s">
        <v>696</v>
      </c>
      <c r="AI306" s="12" t="s">
        <v>1416</v>
      </c>
      <c r="AK306" s="24" t="str" cm="1">
        <f t="array" ref="AK306">IFERROR(INDEX(Transactions[[Transaction code]:[Transaction name]],_xlfn.XMATCH(Transactions[[#This Row],[Parent code]],Transactions[Transaction name],0),3),Transactions[[#This Row],[Transaction name]])</f>
        <v>CHP plants - Autoproducer - solid coal products</v>
      </c>
      <c r="AL306" s="24" t="str" cm="1">
        <f t="array" ref="AL306">IFERROR(INDEX(Transactions[[Transaction code]:[Transaction name]],_xlfn.XMATCH(INDEX(Transactions[[Transaction name]:[Parent code]],_xlfn.XMATCH(Transactions[[#This Row],[L1N]],Transactions[Transaction name],0),3),Transactions[Transaction code],0),2),Transactions[[#This Row],[L1N]])</f>
        <v>CHP plants - solid coal products</v>
      </c>
      <c r="AM306" s="24" t="str" cm="1">
        <f t="array" ref="AM306">IFERROR(INDEX(Transactions[[Transaction code]:[Transaction name]],_xlfn.XMATCH(INDEX(Transactions[[Transaction name]:[Parent code]],_xlfn.XMATCH(Transactions[[#This Row],[L2N]],Transactions[Transaction name],0),3),Transactions[Transaction code],0),2),Transactions[[#This Row],[L2N]])</f>
        <v>CHP plants</v>
      </c>
      <c r="AN306" s="24" t="str" cm="1">
        <f t="array" ref="AN306">IFERROR(INDEX(Transactions[[Transaction code]:[Transaction name]],_xlfn.XMATCH(INDEX(Transactions[[Transaction name]:[Parent code]],_xlfn.XMATCH(Transactions[[#This Row],[L3N]],Transactions[Transaction name],0),3),Transactions[Transaction code],0),2),Transactions[[#This Row],[L3N]])</f>
        <v>Electricity, CHP and heat plants (T)</v>
      </c>
      <c r="AO306" s="24" t="str" cm="1">
        <f t="array" ref="AO306">IFERROR(INDEX(Transactions[[Transaction code]:[Transaction name]],_xlfn.XMATCH(INDEX(Transactions[[Transaction name]:[Parent code]],_xlfn.XMATCH(Transactions[[#This Row],[L4N]],Transactions[Transaction name],0),3),Transactions[Transaction code],0),2),Transactions[[#This Row],[L4N]])</f>
        <v>Transformation</v>
      </c>
      <c r="AP306" s="24" t="str" cm="1">
        <f t="array" ref="AP306">IFERROR(INDEX(Transactions[[Transaction code]:[Transaction name]],_xlfn.XMATCH(INDEX(Transactions[[Transaction name]:[Parent code]],_xlfn.XMATCH(Transactions[[#This Row],[L5N]],Transactions[Transaction name],0),3),Transactions[Transaction code],0),2),Transactions[[#This Row],[L5N]])</f>
        <v>Transformation</v>
      </c>
      <c r="AQ306" s="24" t="str" cm="1">
        <f t="array" ref="AQ306">IFERROR(INDEX(Transactions[[Transaction code]:[Transaction name]],_xlfn.XMATCH(INDEX(Transactions[[Transaction name]:[Parent code]],_xlfn.XMATCH(Transactions[[#This Row],[L6N]],Transactions[Transaction name],0),3),Transactions[Transaction code],0),2),Transactions[[#This Row],[L6N]])</f>
        <v>Transformation</v>
      </c>
      <c r="AR306" s="27" t="str">
        <f>IF(Transactions[[#This Row],[L7N]]=Transactions[[#This Row],[L6N]],Transactions[[#This Row],[L7N]],IF(Transactions[[#This Row],[L6N]]=Transactions[[#This Row],[L5N]],Transactions[[#This Row],[L6N]],IF(Transactions[[#This Row],[L5N]]=Transactions[[#This Row],[L4N]],Transactions[[#This Row],[L5N]],IF(Transactions[[#This Row],[L4N]]=Transactions[[#This Row],[L3N]],Transactions[[#This Row],[L4N]],IF(Transactions[[#This Row],[L3N]]=Transactions[[#This Row],[L2N]],Transactions[[#This Row],[L3N]],IF(Transactions[[#This Row],[L2N]]=Transactions[[#This Row],[L1N]],Transactions[[#This Row],[L2N]],IF(Transactions[[#This Row],[L1N]]=Transactions[[#This Row],[Transaction name]],Transactions[[#This Row],[L1N]],Transactions[[#This Row],[Transaction name]])))))))</f>
        <v>Transformation</v>
      </c>
      <c r="AS306" s="24" t="str">
        <f>IF(Transactions[[#This Row],[Level 0]]=Transactions[[#This Row],[Transaction name]],Transactions[[#This Row],[Transaction name]],IF(Transactions[[#This Row],[Level 0]]=Transactions[[#This Row],[L1N]],Transactions[[#This Row],[Transaction name]],IF(Transactions[[#This Row],[Level 0]]=Transactions[[#This Row],[L2N]],Transactions[[#This Row],[L1N]],IF(Transactions[[#This Row],[Level 0]]=Transactions[[#This Row],[L3N]],Transactions[[#This Row],[L2N]],IF(Transactions[[#This Row],[Level 0]]=Transactions[[#This Row],[L4N]],Transactions[[#This Row],[L3N]],IF(Transactions[[#This Row],[Level 0]]=Transactions[[#This Row],[L5N]],Transactions[[#This Row],[L4N]],IF(Transactions[[#This Row],[Level 0]]=Transactions[[#This Row],[L6N]],Transactions[[#This Row],[L5N]],IF(Transactions[[#This Row],[Level 0]]=Transactions[[#This Row],[L7N]],Transactions[[#This Row],[L6N]],Transactions[[#This Row],[L7N]]))))))))</f>
        <v>Electricity, CHP and heat plants (T)</v>
      </c>
      <c r="AT306" s="24" t="str">
        <f>IF(Transactions[[#This Row],[Level 1]]=Transactions[[#This Row],[Transaction name]],Transactions[[#This Row],[Transaction name]],IF(Transactions[[#This Row],[Level 1]]=Transactions[[#This Row],[L1N]],Transactions[[#This Row],[Transaction name]],IF(Transactions[[#This Row],[Level 1]]=Transactions[[#This Row],[L2N]],Transactions[[#This Row],[L1N]],IF(Transactions[[#This Row],[Level 1]]=Transactions[[#This Row],[L3N]],Transactions[[#This Row],[L2N]],IF(Transactions[[#This Row],[Level 1]]=Transactions[[#This Row],[L4N]],Transactions[[#This Row],[L3N]],IF(Transactions[[#This Row],[Level 1]]=Transactions[[#This Row],[L5N]],Transactions[[#This Row],[L4N]],IF(Transactions[[#This Row],[Level 1]]=Transactions[[#This Row],[L6N]],Transactions[[#This Row],[L5N]],IF(Transactions[[#This Row],[Level 1]]=Transactions[[#This Row],[L7N]],Transactions[[#This Row],[L6N]],Transactions[[#This Row],[L7N]]))))))))</f>
        <v>CHP plants</v>
      </c>
      <c r="AU306" s="24" t="str">
        <f>IF(Transactions[[#This Row],[Level 2]]=Transactions[[#This Row],[Transaction name]],Transactions[[#This Row],[Transaction name]],IF(Transactions[[#This Row],[Level 2]]=Transactions[[#This Row],[L1N]],Transactions[[#This Row],[Transaction name]],IF(Transactions[[#This Row],[Level 2]]=Transactions[[#This Row],[L2N]],Transactions[[#This Row],[L1N]],IF(Transactions[[#This Row],[Level 2]]=Transactions[[#This Row],[L3N]],Transactions[[#This Row],[L2N]],IF(Transactions[[#This Row],[Level 2]]=Transactions[[#This Row],[L4N]],Transactions[[#This Row],[L3N]],IF(Transactions[[#This Row],[Level 2]]=Transactions[[#This Row],[L5N]],Transactions[[#This Row],[L4N]],IF(Transactions[[#This Row],[Level 2]]=Transactions[[#This Row],[L6N]],Transactions[[#This Row],[L5N]],IF(Transactions[[#This Row],[Level 2]]=Transactions[[#This Row],[L7N]],Transactions[[#This Row],[L6N]],Transactions[[#This Row],[L7N]]))))))))</f>
        <v>CHP plants - solid coal products</v>
      </c>
      <c r="AV306" s="24" t="str">
        <f>IF(Transactions[[#This Row],[Level 3]]=Transactions[[#This Row],[Transaction name]],Transactions[[#This Row],[Transaction name]],IF(Transactions[[#This Row],[Level 3]]=Transactions[[#This Row],[L1N]],Transactions[[#This Row],[Transaction name]],IF(Transactions[[#This Row],[Level 3]]=Transactions[[#This Row],[L2N]],Transactions[[#This Row],[L1N]],IF(Transactions[[#This Row],[Level 3]]=Transactions[[#This Row],[L3N]],Transactions[[#This Row],[L2N]],IF(Transactions[[#This Row],[Level 3]]=Transactions[[#This Row],[L4N]],Transactions[[#This Row],[L3N]],IF(Transactions[[#This Row],[Level 3]]=Transactions[[#This Row],[L5N]],Transactions[[#This Row],[L4N]],IF(Transactions[[#This Row],[Level 3]]=Transactions[[#This Row],[L6N]],Transactions[[#This Row],[L5N]],IF(Transactions[[#This Row],[Level 3]]=Transactions[[#This Row],[L7N]],Transactions[[#This Row],[L6N]],Transactions[[#This Row],[L7N]]))))))))</f>
        <v>CHP plants - Autoproducer - solid coal products</v>
      </c>
      <c r="AW306" s="24" t="str">
        <f>IF(Transactions[[#This Row],[Level 4]]=Transactions[[#This Row],[Transaction name]],Transactions[[#This Row],[Transaction name]],IF(Transactions[[#This Row],[Level 4]]=Transactions[[#This Row],[L1N]],Transactions[[#This Row],[Transaction name]],IF(Transactions[[#This Row],[Level 4]]=Transactions[[#This Row],[L2N]],Transactions[[#This Row],[L1N]],IF(Transactions[[#This Row],[Level 4]]=Transactions[[#This Row],[L3N]],Transactions[[#This Row],[L2N]],IF(Transactions[[#This Row],[Level 4]]=Transactions[[#This Row],[L4N]],Transactions[[#This Row],[L3N]],IF(Transactions[[#This Row],[Level 4]]=Transactions[[#This Row],[L5N]],Transactions[[#This Row],[L4N]],IF(Transactions[[#This Row],[Level 4]]=Transactions[[#This Row],[L6N]],Transactions[[#This Row],[L5N]],IF(Transactions[[#This Row],[Level 4]]=Transactions[[#This Row],[L7N]],Transactions[[#This Row],[L6N]],Transactions[[#This Row],[L7N]]))))))))</f>
        <v>CHP plants - Autoproducer - solid coal products</v>
      </c>
      <c r="AX306" s="24" t="str">
        <f>IF(Transactions[[#This Row],[Level 5]]=Transactions[[#This Row],[Transaction name]],Transactions[[#This Row],[Transaction name]],IF(Transactions[[#This Row],[Level 5]]=Transactions[[#This Row],[L1N]],Transactions[[#This Row],[Transaction name]],IF(Transactions[[#This Row],[Level 5]]=Transactions[[#This Row],[L2N]],Transactions[[#This Row],[L1N]],IF(Transactions[[#This Row],[Level 5]]=Transactions[[#This Row],[L3N]],Transactions[[#This Row],[L2N]],IF(Transactions[[#This Row],[Level 5]]=Transactions[[#This Row],[L4N]],Transactions[[#This Row],[L3N]],IF(Transactions[[#This Row],[Level 5]]=Transactions[[#This Row],[L5N]],Transactions[[#This Row],[L4N]],IF(Transactions[[#This Row],[Level 5]]=Transactions[[#This Row],[L6N]],Transactions[[#This Row],[L5N]],IF(Transactions[[#This Row],[Level 5]]=Transactions[[#This Row],[L7N]],Transactions[[#This Row],[L6N]],Transactions[[#This Row],[L7N]]))))))))</f>
        <v>CHP plants - Autoproducer - solid coal products</v>
      </c>
      <c r="AY306" s="24" t="str">
        <f>IF(Transactions[[#This Row],[Level 6]]=Transactions[[#This Row],[Transaction name]],Transactions[[#This Row],[Transaction name]],IF(Transactions[[#This Row],[Level 6]]=Transactions[[#This Row],[L1N]],Transactions[[#This Row],[Transaction name]],IF(Transactions[[#This Row],[Level 6]]=Transactions[[#This Row],[L2N]],Transactions[[#This Row],[L1N]],IF(Transactions[[#This Row],[Level 6]]=Transactions[[#This Row],[L3N]],Transactions[[#This Row],[L2N]],IF(Transactions[[#This Row],[Level 6]]=Transactions[[#This Row],[L4N]],Transactions[[#This Row],[L3N]],IF(Transactions[[#This Row],[Level 6]]=Transactions[[#This Row],[L5N]],Transactions[[#This Row],[L4N]],IF(Transactions[[#This Row],[Level 6]]=Transactions[[#This Row],[L6N]],Transactions[[#This Row],[L5N]],IF(Transactions[[#This Row],[Level 6]]=Transactions[[#This Row],[L7N]],Transactions[[#This Row],[L6N]],Transactions[[#This Row],[L7N]]))))))))</f>
        <v>CHP plants - Autoproducer - solid coal products</v>
      </c>
      <c r="BE306" s="26" t="str">
        <f>_xlfn.XLOOKUP(Transformation[[#This Row],[cfrom]],Commodities[Commodity],Commodities[Commodity code])</f>
        <v>0330</v>
      </c>
      <c r="BF306" s="26" t="str">
        <f>_xlfn.XLOOKUP(Transformation[[#This Row],[tfrom]],Transactions[Transaction name],Transactions[Transaction code])</f>
        <v>022</v>
      </c>
      <c r="BG306" s="26" t="str">
        <f>_xlfn.XLOOKUP(Transformation[[#This Row],[cto]],Commodities[Commodity],Commodities[Commodity code])</f>
        <v>0330</v>
      </c>
      <c r="BH306" s="26" t="str">
        <f>_xlfn.XLOOKUP(Transformation[[#This Row],[tto]],Transactions[Transaction name],Transactions[Transaction code])</f>
        <v>083</v>
      </c>
      <c r="BI306" s="32">
        <v>1</v>
      </c>
      <c r="BJ306" s="22" t="s">
        <v>491</v>
      </c>
      <c r="BK306" s="26" t="str">
        <f>_xlfn.XLOOKUP(Transformation[[#This Row],[Commodity from]],Commodities[Commodity code],Commodities[EnergyCode])</f>
        <v>BB</v>
      </c>
      <c r="BL306" s="22" t="s">
        <v>205</v>
      </c>
      <c r="BM306" s="22" t="s">
        <v>491</v>
      </c>
      <c r="BN306" s="26" t="str">
        <f>_xlfn.XLOOKUP(Transformation[[#This Row],[Commodity to]],Commodities[Commodity code],Commodities[EnergyCode])</f>
        <v>BB</v>
      </c>
      <c r="BO306" s="22" t="s">
        <v>719</v>
      </c>
      <c r="BP306" s="22" t="s">
        <v>1690</v>
      </c>
      <c r="BQ306" s="33" t="str">
        <f>Transformation[[#This Row],[Commodity from]]&amp;Transformation[[#This Row],[Transaction from]]&amp;Transformation[[#This Row],[Commodity to]]&amp;Transformation[[#This Row],[Transaction to]]</f>
        <v>03300220330083</v>
      </c>
      <c r="BR306" s="26" t="str">
        <f>Transformation[[#This Row],[crfomid]]&amp;Transformation[[#This Row],[Transaction from]]&amp;"("&amp;Transformation[[#This Row],[Multiplier]]&amp;") -&gt; "&amp;Transformation[[#This Row],[ctoid]]&amp;Transformation[[#This Row],[Transaction to]]</f>
        <v>BB022(1) -&gt; BB083</v>
      </c>
    </row>
    <row r="307" spans="25:70" x14ac:dyDescent="0.45">
      <c r="Y307" s="5" t="s">
        <v>1270</v>
      </c>
      <c r="Z307" s="7" t="s">
        <v>1209</v>
      </c>
      <c r="AA307" s="4" t="s">
        <v>1395</v>
      </c>
      <c r="AB307" s="19" t="s">
        <v>1615</v>
      </c>
      <c r="AC307" s="24" t="str">
        <f>IFERROR(VLOOKUP(Transactions[[#This Row],[Parent code]],Transactions[[Transaction code]:[Transaction name]],2,0),"")</f>
        <v>CHP plants - solid coal products</v>
      </c>
      <c r="AD307" s="4" t="s">
        <v>189</v>
      </c>
      <c r="AE307" s="4" t="s">
        <v>922</v>
      </c>
      <c r="AF307" s="4" t="s">
        <v>642</v>
      </c>
      <c r="AG307" s="4" t="s">
        <v>1</v>
      </c>
      <c r="AH307" s="4" t="s">
        <v>696</v>
      </c>
      <c r="AI307" s="12" t="s">
        <v>1416</v>
      </c>
      <c r="AK307" s="24" t="str" cm="1">
        <f t="array" ref="AK307">IFERROR(INDEX(Transactions[[Transaction code]:[Transaction name]],_xlfn.XMATCH(Transactions[[#This Row],[Parent code]],Transactions[Transaction name],0),3),Transactions[[#This Row],[Transaction name]])</f>
        <v>CHP plants - Main activity - solid coal products</v>
      </c>
      <c r="AL307" s="24" t="str" cm="1">
        <f t="array" ref="AL307">IFERROR(INDEX(Transactions[[Transaction code]:[Transaction name]],_xlfn.XMATCH(INDEX(Transactions[[Transaction name]:[Parent code]],_xlfn.XMATCH(Transactions[[#This Row],[L1N]],Transactions[Transaction name],0),3),Transactions[Transaction code],0),2),Transactions[[#This Row],[L1N]])</f>
        <v>CHP plants - solid coal products</v>
      </c>
      <c r="AM307" s="24" t="str" cm="1">
        <f t="array" ref="AM307">IFERROR(INDEX(Transactions[[Transaction code]:[Transaction name]],_xlfn.XMATCH(INDEX(Transactions[[Transaction name]:[Parent code]],_xlfn.XMATCH(Transactions[[#This Row],[L2N]],Transactions[Transaction name],0),3),Transactions[Transaction code],0),2),Transactions[[#This Row],[L2N]])</f>
        <v>CHP plants</v>
      </c>
      <c r="AN307" s="24" t="str" cm="1">
        <f t="array" ref="AN307">IFERROR(INDEX(Transactions[[Transaction code]:[Transaction name]],_xlfn.XMATCH(INDEX(Transactions[[Transaction name]:[Parent code]],_xlfn.XMATCH(Transactions[[#This Row],[L3N]],Transactions[Transaction name],0),3),Transactions[Transaction code],0),2),Transactions[[#This Row],[L3N]])</f>
        <v>Electricity, CHP and heat plants (T)</v>
      </c>
      <c r="AO307" s="24" t="str" cm="1">
        <f t="array" ref="AO307">IFERROR(INDEX(Transactions[[Transaction code]:[Transaction name]],_xlfn.XMATCH(INDEX(Transactions[[Transaction name]:[Parent code]],_xlfn.XMATCH(Transactions[[#This Row],[L4N]],Transactions[Transaction name],0),3),Transactions[Transaction code],0),2),Transactions[[#This Row],[L4N]])</f>
        <v>Transformation</v>
      </c>
      <c r="AP307" s="24" t="str" cm="1">
        <f t="array" ref="AP307">IFERROR(INDEX(Transactions[[Transaction code]:[Transaction name]],_xlfn.XMATCH(INDEX(Transactions[[Transaction name]:[Parent code]],_xlfn.XMATCH(Transactions[[#This Row],[L5N]],Transactions[Transaction name],0),3),Transactions[Transaction code],0),2),Transactions[[#This Row],[L5N]])</f>
        <v>Transformation</v>
      </c>
      <c r="AQ307" s="24" t="str" cm="1">
        <f t="array" ref="AQ307">IFERROR(INDEX(Transactions[[Transaction code]:[Transaction name]],_xlfn.XMATCH(INDEX(Transactions[[Transaction name]:[Parent code]],_xlfn.XMATCH(Transactions[[#This Row],[L6N]],Transactions[Transaction name],0),3),Transactions[Transaction code],0),2),Transactions[[#This Row],[L6N]])</f>
        <v>Transformation</v>
      </c>
      <c r="AR307" s="27" t="str">
        <f>IF(Transactions[[#This Row],[L7N]]=Transactions[[#This Row],[L6N]],Transactions[[#This Row],[L7N]],IF(Transactions[[#This Row],[L6N]]=Transactions[[#This Row],[L5N]],Transactions[[#This Row],[L6N]],IF(Transactions[[#This Row],[L5N]]=Transactions[[#This Row],[L4N]],Transactions[[#This Row],[L5N]],IF(Transactions[[#This Row],[L4N]]=Transactions[[#This Row],[L3N]],Transactions[[#This Row],[L4N]],IF(Transactions[[#This Row],[L3N]]=Transactions[[#This Row],[L2N]],Transactions[[#This Row],[L3N]],IF(Transactions[[#This Row],[L2N]]=Transactions[[#This Row],[L1N]],Transactions[[#This Row],[L2N]],IF(Transactions[[#This Row],[L1N]]=Transactions[[#This Row],[Transaction name]],Transactions[[#This Row],[L1N]],Transactions[[#This Row],[Transaction name]])))))))</f>
        <v>Transformation</v>
      </c>
      <c r="AS307" s="24" t="str">
        <f>IF(Transactions[[#This Row],[Level 0]]=Transactions[[#This Row],[Transaction name]],Transactions[[#This Row],[Transaction name]],IF(Transactions[[#This Row],[Level 0]]=Transactions[[#This Row],[L1N]],Transactions[[#This Row],[Transaction name]],IF(Transactions[[#This Row],[Level 0]]=Transactions[[#This Row],[L2N]],Transactions[[#This Row],[L1N]],IF(Transactions[[#This Row],[Level 0]]=Transactions[[#This Row],[L3N]],Transactions[[#This Row],[L2N]],IF(Transactions[[#This Row],[Level 0]]=Transactions[[#This Row],[L4N]],Transactions[[#This Row],[L3N]],IF(Transactions[[#This Row],[Level 0]]=Transactions[[#This Row],[L5N]],Transactions[[#This Row],[L4N]],IF(Transactions[[#This Row],[Level 0]]=Transactions[[#This Row],[L6N]],Transactions[[#This Row],[L5N]],IF(Transactions[[#This Row],[Level 0]]=Transactions[[#This Row],[L7N]],Transactions[[#This Row],[L6N]],Transactions[[#This Row],[L7N]]))))))))</f>
        <v>Electricity, CHP and heat plants (T)</v>
      </c>
      <c r="AT307" s="24" t="str">
        <f>IF(Transactions[[#This Row],[Level 1]]=Transactions[[#This Row],[Transaction name]],Transactions[[#This Row],[Transaction name]],IF(Transactions[[#This Row],[Level 1]]=Transactions[[#This Row],[L1N]],Transactions[[#This Row],[Transaction name]],IF(Transactions[[#This Row],[Level 1]]=Transactions[[#This Row],[L2N]],Transactions[[#This Row],[L1N]],IF(Transactions[[#This Row],[Level 1]]=Transactions[[#This Row],[L3N]],Transactions[[#This Row],[L2N]],IF(Transactions[[#This Row],[Level 1]]=Transactions[[#This Row],[L4N]],Transactions[[#This Row],[L3N]],IF(Transactions[[#This Row],[Level 1]]=Transactions[[#This Row],[L5N]],Transactions[[#This Row],[L4N]],IF(Transactions[[#This Row],[Level 1]]=Transactions[[#This Row],[L6N]],Transactions[[#This Row],[L5N]],IF(Transactions[[#This Row],[Level 1]]=Transactions[[#This Row],[L7N]],Transactions[[#This Row],[L6N]],Transactions[[#This Row],[L7N]]))))))))</f>
        <v>CHP plants</v>
      </c>
      <c r="AU307" s="24" t="str">
        <f>IF(Transactions[[#This Row],[Level 2]]=Transactions[[#This Row],[Transaction name]],Transactions[[#This Row],[Transaction name]],IF(Transactions[[#This Row],[Level 2]]=Transactions[[#This Row],[L1N]],Transactions[[#This Row],[Transaction name]],IF(Transactions[[#This Row],[Level 2]]=Transactions[[#This Row],[L2N]],Transactions[[#This Row],[L1N]],IF(Transactions[[#This Row],[Level 2]]=Transactions[[#This Row],[L3N]],Transactions[[#This Row],[L2N]],IF(Transactions[[#This Row],[Level 2]]=Transactions[[#This Row],[L4N]],Transactions[[#This Row],[L3N]],IF(Transactions[[#This Row],[Level 2]]=Transactions[[#This Row],[L5N]],Transactions[[#This Row],[L4N]],IF(Transactions[[#This Row],[Level 2]]=Transactions[[#This Row],[L6N]],Transactions[[#This Row],[L5N]],IF(Transactions[[#This Row],[Level 2]]=Transactions[[#This Row],[L7N]],Transactions[[#This Row],[L6N]],Transactions[[#This Row],[L7N]]))))))))</f>
        <v>CHP plants - solid coal products</v>
      </c>
      <c r="AV307" s="24" t="str">
        <f>IF(Transactions[[#This Row],[Level 3]]=Transactions[[#This Row],[Transaction name]],Transactions[[#This Row],[Transaction name]],IF(Transactions[[#This Row],[Level 3]]=Transactions[[#This Row],[L1N]],Transactions[[#This Row],[Transaction name]],IF(Transactions[[#This Row],[Level 3]]=Transactions[[#This Row],[L2N]],Transactions[[#This Row],[L1N]],IF(Transactions[[#This Row],[Level 3]]=Transactions[[#This Row],[L3N]],Transactions[[#This Row],[L2N]],IF(Transactions[[#This Row],[Level 3]]=Transactions[[#This Row],[L4N]],Transactions[[#This Row],[L3N]],IF(Transactions[[#This Row],[Level 3]]=Transactions[[#This Row],[L5N]],Transactions[[#This Row],[L4N]],IF(Transactions[[#This Row],[Level 3]]=Transactions[[#This Row],[L6N]],Transactions[[#This Row],[L5N]],IF(Transactions[[#This Row],[Level 3]]=Transactions[[#This Row],[L7N]],Transactions[[#This Row],[L6N]],Transactions[[#This Row],[L7N]]))))))))</f>
        <v>CHP plants - Main activity - solid coal products</v>
      </c>
      <c r="AW307" s="24" t="str">
        <f>IF(Transactions[[#This Row],[Level 4]]=Transactions[[#This Row],[Transaction name]],Transactions[[#This Row],[Transaction name]],IF(Transactions[[#This Row],[Level 4]]=Transactions[[#This Row],[L1N]],Transactions[[#This Row],[Transaction name]],IF(Transactions[[#This Row],[Level 4]]=Transactions[[#This Row],[L2N]],Transactions[[#This Row],[L1N]],IF(Transactions[[#This Row],[Level 4]]=Transactions[[#This Row],[L3N]],Transactions[[#This Row],[L2N]],IF(Transactions[[#This Row],[Level 4]]=Transactions[[#This Row],[L4N]],Transactions[[#This Row],[L3N]],IF(Transactions[[#This Row],[Level 4]]=Transactions[[#This Row],[L5N]],Transactions[[#This Row],[L4N]],IF(Transactions[[#This Row],[Level 4]]=Transactions[[#This Row],[L6N]],Transactions[[#This Row],[L5N]],IF(Transactions[[#This Row],[Level 4]]=Transactions[[#This Row],[L7N]],Transactions[[#This Row],[L6N]],Transactions[[#This Row],[L7N]]))))))))</f>
        <v>CHP plants - Main activity - solid coal products</v>
      </c>
      <c r="AX307" s="24" t="str">
        <f>IF(Transactions[[#This Row],[Level 5]]=Transactions[[#This Row],[Transaction name]],Transactions[[#This Row],[Transaction name]],IF(Transactions[[#This Row],[Level 5]]=Transactions[[#This Row],[L1N]],Transactions[[#This Row],[Transaction name]],IF(Transactions[[#This Row],[Level 5]]=Transactions[[#This Row],[L2N]],Transactions[[#This Row],[L1N]],IF(Transactions[[#This Row],[Level 5]]=Transactions[[#This Row],[L3N]],Transactions[[#This Row],[L2N]],IF(Transactions[[#This Row],[Level 5]]=Transactions[[#This Row],[L4N]],Transactions[[#This Row],[L3N]],IF(Transactions[[#This Row],[Level 5]]=Transactions[[#This Row],[L5N]],Transactions[[#This Row],[L4N]],IF(Transactions[[#This Row],[Level 5]]=Transactions[[#This Row],[L6N]],Transactions[[#This Row],[L5N]],IF(Transactions[[#This Row],[Level 5]]=Transactions[[#This Row],[L7N]],Transactions[[#This Row],[L6N]],Transactions[[#This Row],[L7N]]))))))))</f>
        <v>CHP plants - Main activity - solid coal products</v>
      </c>
      <c r="AY307" s="24" t="str">
        <f>IF(Transactions[[#This Row],[Level 6]]=Transactions[[#This Row],[Transaction name]],Transactions[[#This Row],[Transaction name]],IF(Transactions[[#This Row],[Level 6]]=Transactions[[#This Row],[L1N]],Transactions[[#This Row],[Transaction name]],IF(Transactions[[#This Row],[Level 6]]=Transactions[[#This Row],[L2N]],Transactions[[#This Row],[L1N]],IF(Transactions[[#This Row],[Level 6]]=Transactions[[#This Row],[L3N]],Transactions[[#This Row],[L2N]],IF(Transactions[[#This Row],[Level 6]]=Transactions[[#This Row],[L4N]],Transactions[[#This Row],[L3N]],IF(Transactions[[#This Row],[Level 6]]=Transactions[[#This Row],[L5N]],Transactions[[#This Row],[L4N]],IF(Transactions[[#This Row],[Level 6]]=Transactions[[#This Row],[L6N]],Transactions[[#This Row],[L5N]],IF(Transactions[[#This Row],[Level 6]]=Transactions[[#This Row],[L7N]],Transactions[[#This Row],[L6N]],Transactions[[#This Row],[L7N]]))))))))</f>
        <v>CHP plants - Main activity - solid coal products</v>
      </c>
      <c r="BE307" s="26" t="str">
        <f>_xlfn.XLOOKUP(Transformation[[#This Row],[cfrom]],Commodities[Commodity],Commodities[Commodity code])</f>
        <v>0330</v>
      </c>
      <c r="BF307" s="26" t="str">
        <f>_xlfn.XLOOKUP(Transformation[[#This Row],[tfrom]],Transactions[Transaction name],Transactions[Transaction code])</f>
        <v>022</v>
      </c>
      <c r="BG307" s="26" t="str">
        <f>_xlfn.XLOOKUP(Transformation[[#This Row],[cto]],Commodities[Commodity],Commodities[Commodity code])</f>
        <v>0330</v>
      </c>
      <c r="BH307" s="26" t="str">
        <f>_xlfn.XLOOKUP(Transformation[[#This Row],[tto]],Transactions[Transaction name],Transactions[Transaction code])</f>
        <v>022</v>
      </c>
      <c r="BI307" s="32">
        <v>-1</v>
      </c>
      <c r="BJ307" s="22" t="s">
        <v>491</v>
      </c>
      <c r="BK307" s="26" t="str">
        <f>_xlfn.XLOOKUP(Transformation[[#This Row],[Commodity from]],Commodities[Commodity code],Commodities[EnergyCode])</f>
        <v>BB</v>
      </c>
      <c r="BL307" s="22" t="s">
        <v>205</v>
      </c>
      <c r="BM307" s="22" t="s">
        <v>491</v>
      </c>
      <c r="BN307" s="26" t="str">
        <f>_xlfn.XLOOKUP(Transformation[[#This Row],[Commodity to]],Commodities[Commodity code],Commodities[EnergyCode])</f>
        <v>BB</v>
      </c>
      <c r="BO307" s="22" t="s">
        <v>205</v>
      </c>
      <c r="BP307" s="22" t="s">
        <v>1639</v>
      </c>
      <c r="BQ307" s="33" t="str">
        <f>Transformation[[#This Row],[Commodity from]]&amp;Transformation[[#This Row],[Transaction from]]&amp;Transformation[[#This Row],[Commodity to]]&amp;Transformation[[#This Row],[Transaction to]]</f>
        <v>03300220330022</v>
      </c>
      <c r="BR307" s="26" t="str">
        <f>Transformation[[#This Row],[crfomid]]&amp;Transformation[[#This Row],[Transaction from]]&amp;"("&amp;Transformation[[#This Row],[Multiplier]]&amp;") -&gt; "&amp;Transformation[[#This Row],[ctoid]]&amp;Transformation[[#This Row],[Transaction to]]</f>
        <v>BB022(-1) -&gt; BB022</v>
      </c>
    </row>
    <row r="308" spans="25:70" x14ac:dyDescent="0.45">
      <c r="Y308" s="19" t="s">
        <v>1615</v>
      </c>
      <c r="Z308" s="18" t="s">
        <v>1395</v>
      </c>
      <c r="AA308" s="18" t="s">
        <v>1395</v>
      </c>
      <c r="AB308" s="19" t="s">
        <v>1627</v>
      </c>
      <c r="AC308" s="26" t="str">
        <f>IFERROR(VLOOKUP(Transactions[[#This Row],[Parent code]],Transactions[[Transaction code]:[Transaction name]],2,0),"")</f>
        <v>CHP plants</v>
      </c>
      <c r="AD308" s="18" t="s">
        <v>189</v>
      </c>
      <c r="AE308" s="18" t="s">
        <v>922</v>
      </c>
      <c r="AF308" s="18" t="s">
        <v>642</v>
      </c>
      <c r="AG308" s="18" t="s">
        <v>1</v>
      </c>
      <c r="AH308" s="18" t="s">
        <v>696</v>
      </c>
      <c r="AI308" s="18" t="s">
        <v>1416</v>
      </c>
      <c r="AJ308" s="18"/>
      <c r="AK308" s="26" t="str" cm="1">
        <f t="array" ref="AK308">IFERROR(INDEX(Transactions[[Transaction code]:[Transaction name]],_xlfn.XMATCH(Transactions[[#This Row],[Parent code]],Transactions[Transaction name],0),3),Transactions[[#This Row],[Transaction name]])</f>
        <v>CHP plants - solid coal products</v>
      </c>
      <c r="AL308" s="26" t="str" cm="1">
        <f t="array" ref="AL308">IFERROR(INDEX(Transactions[[Transaction code]:[Transaction name]],_xlfn.XMATCH(INDEX(Transactions[[Transaction name]:[Parent code]],_xlfn.XMATCH(Transactions[[#This Row],[L1N]],Transactions[Transaction name],0),3),Transactions[Transaction code],0),2),Transactions[[#This Row],[L1N]])</f>
        <v>CHP plants</v>
      </c>
      <c r="AM308" s="26" t="str" cm="1">
        <f t="array" ref="AM308">IFERROR(INDEX(Transactions[[Transaction code]:[Transaction name]],_xlfn.XMATCH(INDEX(Transactions[[Transaction name]:[Parent code]],_xlfn.XMATCH(Transactions[[#This Row],[L2N]],Transactions[Transaction name],0),3),Transactions[Transaction code],0),2),Transactions[[#This Row],[L2N]])</f>
        <v>Electricity, CHP and heat plants (T)</v>
      </c>
      <c r="AN308" s="26" t="str" cm="1">
        <f t="array" ref="AN308">IFERROR(INDEX(Transactions[[Transaction code]:[Transaction name]],_xlfn.XMATCH(INDEX(Transactions[[Transaction name]:[Parent code]],_xlfn.XMATCH(Transactions[[#This Row],[L3N]],Transactions[Transaction name],0),3),Transactions[Transaction code],0),2),Transactions[[#This Row],[L3N]])</f>
        <v>Transformation</v>
      </c>
      <c r="AO308" s="26" t="str" cm="1">
        <f t="array" ref="AO308">IFERROR(INDEX(Transactions[[Transaction code]:[Transaction name]],_xlfn.XMATCH(INDEX(Transactions[[Transaction name]:[Parent code]],_xlfn.XMATCH(Transactions[[#This Row],[L4N]],Transactions[Transaction name],0),3),Transactions[Transaction code],0),2),Transactions[[#This Row],[L4N]])</f>
        <v>Transformation</v>
      </c>
      <c r="AP308" s="26" t="str" cm="1">
        <f t="array" ref="AP308">IFERROR(INDEX(Transactions[[Transaction code]:[Transaction name]],_xlfn.XMATCH(INDEX(Transactions[[Transaction name]:[Parent code]],_xlfn.XMATCH(Transactions[[#This Row],[L5N]],Transactions[Transaction name],0),3),Transactions[Transaction code],0),2),Transactions[[#This Row],[L5N]])</f>
        <v>Transformation</v>
      </c>
      <c r="AQ308" s="26" t="str" cm="1">
        <f t="array" ref="AQ308">IFERROR(INDEX(Transactions[[Transaction code]:[Transaction name]],_xlfn.XMATCH(INDEX(Transactions[[Transaction name]:[Parent code]],_xlfn.XMATCH(Transactions[[#This Row],[L6N]],Transactions[Transaction name],0),3),Transactions[Transaction code],0),2),Transactions[[#This Row],[L6N]])</f>
        <v>Transformation</v>
      </c>
      <c r="AR308" s="30" t="str">
        <f>IF(Transactions[[#This Row],[L7N]]=Transactions[[#This Row],[L6N]],Transactions[[#This Row],[L7N]],IF(Transactions[[#This Row],[L6N]]=Transactions[[#This Row],[L5N]],Transactions[[#This Row],[L6N]],IF(Transactions[[#This Row],[L5N]]=Transactions[[#This Row],[L4N]],Transactions[[#This Row],[L5N]],IF(Transactions[[#This Row],[L4N]]=Transactions[[#This Row],[L3N]],Transactions[[#This Row],[L4N]],IF(Transactions[[#This Row],[L3N]]=Transactions[[#This Row],[L2N]],Transactions[[#This Row],[L3N]],IF(Transactions[[#This Row],[L2N]]=Transactions[[#This Row],[L1N]],Transactions[[#This Row],[L2N]],IF(Transactions[[#This Row],[L1N]]=Transactions[[#This Row],[Transaction name]],Transactions[[#This Row],[L1N]],Transactions[[#This Row],[Transaction name]])))))))</f>
        <v>Transformation</v>
      </c>
      <c r="AS308" s="26" t="str">
        <f>IF(Transactions[[#This Row],[Level 0]]=Transactions[[#This Row],[Transaction name]],Transactions[[#This Row],[Transaction name]],IF(Transactions[[#This Row],[Level 0]]=Transactions[[#This Row],[L1N]],Transactions[[#This Row],[Transaction name]],IF(Transactions[[#This Row],[Level 0]]=Transactions[[#This Row],[L2N]],Transactions[[#This Row],[L1N]],IF(Transactions[[#This Row],[Level 0]]=Transactions[[#This Row],[L3N]],Transactions[[#This Row],[L2N]],IF(Transactions[[#This Row],[Level 0]]=Transactions[[#This Row],[L4N]],Transactions[[#This Row],[L3N]],IF(Transactions[[#This Row],[Level 0]]=Transactions[[#This Row],[L5N]],Transactions[[#This Row],[L4N]],IF(Transactions[[#This Row],[Level 0]]=Transactions[[#This Row],[L6N]],Transactions[[#This Row],[L5N]],IF(Transactions[[#This Row],[Level 0]]=Transactions[[#This Row],[L7N]],Transactions[[#This Row],[L6N]],Transactions[[#This Row],[L7N]]))))))))</f>
        <v>Electricity, CHP and heat plants (T)</v>
      </c>
      <c r="AT308" s="26" t="str">
        <f>IF(Transactions[[#This Row],[Level 1]]=Transactions[[#This Row],[Transaction name]],Transactions[[#This Row],[Transaction name]],IF(Transactions[[#This Row],[Level 1]]=Transactions[[#This Row],[L1N]],Transactions[[#This Row],[Transaction name]],IF(Transactions[[#This Row],[Level 1]]=Transactions[[#This Row],[L2N]],Transactions[[#This Row],[L1N]],IF(Transactions[[#This Row],[Level 1]]=Transactions[[#This Row],[L3N]],Transactions[[#This Row],[L2N]],IF(Transactions[[#This Row],[Level 1]]=Transactions[[#This Row],[L4N]],Transactions[[#This Row],[L3N]],IF(Transactions[[#This Row],[Level 1]]=Transactions[[#This Row],[L5N]],Transactions[[#This Row],[L4N]],IF(Transactions[[#This Row],[Level 1]]=Transactions[[#This Row],[L6N]],Transactions[[#This Row],[L5N]],IF(Transactions[[#This Row],[Level 1]]=Transactions[[#This Row],[L7N]],Transactions[[#This Row],[L6N]],Transactions[[#This Row],[L7N]]))))))))</f>
        <v>CHP plants</v>
      </c>
      <c r="AU308" s="26" t="str">
        <f>IF(Transactions[[#This Row],[Level 2]]=Transactions[[#This Row],[Transaction name]],Transactions[[#This Row],[Transaction name]],IF(Transactions[[#This Row],[Level 2]]=Transactions[[#This Row],[L1N]],Transactions[[#This Row],[Transaction name]],IF(Transactions[[#This Row],[Level 2]]=Transactions[[#This Row],[L2N]],Transactions[[#This Row],[L1N]],IF(Transactions[[#This Row],[Level 2]]=Transactions[[#This Row],[L3N]],Transactions[[#This Row],[L2N]],IF(Transactions[[#This Row],[Level 2]]=Transactions[[#This Row],[L4N]],Transactions[[#This Row],[L3N]],IF(Transactions[[#This Row],[Level 2]]=Transactions[[#This Row],[L5N]],Transactions[[#This Row],[L4N]],IF(Transactions[[#This Row],[Level 2]]=Transactions[[#This Row],[L6N]],Transactions[[#This Row],[L5N]],IF(Transactions[[#This Row],[Level 2]]=Transactions[[#This Row],[L7N]],Transactions[[#This Row],[L6N]],Transactions[[#This Row],[L7N]]))))))))</f>
        <v>CHP plants - solid coal products</v>
      </c>
      <c r="AV308" s="26" t="str">
        <f>IF(Transactions[[#This Row],[Level 3]]=Transactions[[#This Row],[Transaction name]],Transactions[[#This Row],[Transaction name]],IF(Transactions[[#This Row],[Level 3]]=Transactions[[#This Row],[L1N]],Transactions[[#This Row],[Transaction name]],IF(Transactions[[#This Row],[Level 3]]=Transactions[[#This Row],[L2N]],Transactions[[#This Row],[L1N]],IF(Transactions[[#This Row],[Level 3]]=Transactions[[#This Row],[L3N]],Transactions[[#This Row],[L2N]],IF(Transactions[[#This Row],[Level 3]]=Transactions[[#This Row],[L4N]],Transactions[[#This Row],[L3N]],IF(Transactions[[#This Row],[Level 3]]=Transactions[[#This Row],[L5N]],Transactions[[#This Row],[L4N]],IF(Transactions[[#This Row],[Level 3]]=Transactions[[#This Row],[L6N]],Transactions[[#This Row],[L5N]],IF(Transactions[[#This Row],[Level 3]]=Transactions[[#This Row],[L7N]],Transactions[[#This Row],[L6N]],Transactions[[#This Row],[L7N]]))))))))</f>
        <v>CHP plants - solid coal products</v>
      </c>
      <c r="AW308" s="26" t="str">
        <f>IF(Transactions[[#This Row],[Level 4]]=Transactions[[#This Row],[Transaction name]],Transactions[[#This Row],[Transaction name]],IF(Transactions[[#This Row],[Level 4]]=Transactions[[#This Row],[L1N]],Transactions[[#This Row],[Transaction name]],IF(Transactions[[#This Row],[Level 4]]=Transactions[[#This Row],[L2N]],Transactions[[#This Row],[L1N]],IF(Transactions[[#This Row],[Level 4]]=Transactions[[#This Row],[L3N]],Transactions[[#This Row],[L2N]],IF(Transactions[[#This Row],[Level 4]]=Transactions[[#This Row],[L4N]],Transactions[[#This Row],[L3N]],IF(Transactions[[#This Row],[Level 4]]=Transactions[[#This Row],[L5N]],Transactions[[#This Row],[L4N]],IF(Transactions[[#This Row],[Level 4]]=Transactions[[#This Row],[L6N]],Transactions[[#This Row],[L5N]],IF(Transactions[[#This Row],[Level 4]]=Transactions[[#This Row],[L7N]],Transactions[[#This Row],[L6N]],Transactions[[#This Row],[L7N]]))))))))</f>
        <v>CHP plants - solid coal products</v>
      </c>
      <c r="AX308" s="26" t="str">
        <f>IF(Transactions[[#This Row],[Level 5]]=Transactions[[#This Row],[Transaction name]],Transactions[[#This Row],[Transaction name]],IF(Transactions[[#This Row],[Level 5]]=Transactions[[#This Row],[L1N]],Transactions[[#This Row],[Transaction name]],IF(Transactions[[#This Row],[Level 5]]=Transactions[[#This Row],[L2N]],Transactions[[#This Row],[L1N]],IF(Transactions[[#This Row],[Level 5]]=Transactions[[#This Row],[L3N]],Transactions[[#This Row],[L2N]],IF(Transactions[[#This Row],[Level 5]]=Transactions[[#This Row],[L4N]],Transactions[[#This Row],[L3N]],IF(Transactions[[#This Row],[Level 5]]=Transactions[[#This Row],[L5N]],Transactions[[#This Row],[L4N]],IF(Transactions[[#This Row],[Level 5]]=Transactions[[#This Row],[L6N]],Transactions[[#This Row],[L5N]],IF(Transactions[[#This Row],[Level 5]]=Transactions[[#This Row],[L7N]],Transactions[[#This Row],[L6N]],Transactions[[#This Row],[L7N]]))))))))</f>
        <v>CHP plants - solid coal products</v>
      </c>
      <c r="AY308" s="26" t="str">
        <f>IF(Transactions[[#This Row],[Level 6]]=Transactions[[#This Row],[Transaction name]],Transactions[[#This Row],[Transaction name]],IF(Transactions[[#This Row],[Level 6]]=Transactions[[#This Row],[L1N]],Transactions[[#This Row],[Transaction name]],IF(Transactions[[#This Row],[Level 6]]=Transactions[[#This Row],[L2N]],Transactions[[#This Row],[L1N]],IF(Transactions[[#This Row],[Level 6]]=Transactions[[#This Row],[L3N]],Transactions[[#This Row],[L2N]],IF(Transactions[[#This Row],[Level 6]]=Transactions[[#This Row],[L4N]],Transactions[[#This Row],[L3N]],IF(Transactions[[#This Row],[Level 6]]=Transactions[[#This Row],[L5N]],Transactions[[#This Row],[L4N]],IF(Transactions[[#This Row],[Level 6]]=Transactions[[#This Row],[L6N]],Transactions[[#This Row],[L5N]],IF(Transactions[[#This Row],[Level 6]]=Transactions[[#This Row],[L7N]],Transactions[[#This Row],[L6N]],Transactions[[#This Row],[L7N]]))))))))</f>
        <v>CHP plants - solid coal products</v>
      </c>
      <c r="BE308" s="26" t="str">
        <f>_xlfn.XLOOKUP(Transformation[[#This Row],[cfrom]],Commodities[Commodity],Commodities[Commodity code])</f>
        <v>0320</v>
      </c>
      <c r="BF308" s="26" t="str">
        <f>_xlfn.XLOOKUP(Transformation[[#This Row],[tfrom]],Transactions[Transaction name],Transactions[Transaction code])</f>
        <v>01</v>
      </c>
      <c r="BG308" s="26" t="str">
        <f>_xlfn.XLOOKUP(Transformation[[#This Row],[cto]],Commodities[Commodity],Commodities[Commodity code])</f>
        <v>0320</v>
      </c>
      <c r="BH308" s="26" t="str">
        <f>_xlfn.XLOOKUP(Transformation[[#This Row],[tto]],Transactions[Transaction name],Transactions[Transaction code])</f>
        <v>083</v>
      </c>
      <c r="BI308" s="32">
        <v>1</v>
      </c>
      <c r="BJ308" s="22" t="s">
        <v>493</v>
      </c>
      <c r="BK308" s="26" t="str">
        <f>_xlfn.XLOOKUP(Transformation[[#This Row],[Commodity from]],Commodities[Commodity code],Commodities[EnergyCode])</f>
        <v>BC</v>
      </c>
      <c r="BL308" s="22" t="s">
        <v>383</v>
      </c>
      <c r="BM308" s="22" t="s">
        <v>493</v>
      </c>
      <c r="BN308" s="26" t="str">
        <f>_xlfn.XLOOKUP(Transformation[[#This Row],[Commodity to]],Commodities[Commodity code],Commodities[EnergyCode])</f>
        <v>BC</v>
      </c>
      <c r="BO308" s="22" t="s">
        <v>719</v>
      </c>
      <c r="BP308" s="22" t="s">
        <v>1632</v>
      </c>
      <c r="BQ308" s="33" t="str">
        <f>Transformation[[#This Row],[Commodity from]]&amp;Transformation[[#This Row],[Transaction from]]&amp;Transformation[[#This Row],[Commodity to]]&amp;Transformation[[#This Row],[Transaction to]]</f>
        <v>0320010320083</v>
      </c>
      <c r="BR308" s="26" t="str">
        <f>Transformation[[#This Row],[crfomid]]&amp;Transformation[[#This Row],[Transaction from]]&amp;"("&amp;Transformation[[#This Row],[Multiplier]]&amp;") -&gt; "&amp;Transformation[[#This Row],[ctoid]]&amp;Transformation[[#This Row],[Transaction to]]</f>
        <v>BC01(1) -&gt; BC083</v>
      </c>
    </row>
    <row r="309" spans="25:70" x14ac:dyDescent="0.45">
      <c r="Y309" s="5" t="s">
        <v>1110</v>
      </c>
      <c r="Z309" s="7" t="s">
        <v>1118</v>
      </c>
      <c r="AA309" s="4" t="s">
        <v>1359</v>
      </c>
      <c r="AB309" s="19" t="s">
        <v>1631</v>
      </c>
      <c r="AC309" s="24" t="str">
        <f>IFERROR(VLOOKUP(Transactions[[#This Row],[Parent code]],Transactions[[Transaction code]:[Transaction name]],2,0),"")</f>
        <v>CHP plants - wood</v>
      </c>
      <c r="AD309" s="4" t="s">
        <v>189</v>
      </c>
      <c r="AE309" s="4" t="s">
        <v>922</v>
      </c>
      <c r="AF309" s="4" t="s">
        <v>642</v>
      </c>
      <c r="AG309" s="4" t="s">
        <v>1</v>
      </c>
      <c r="AH309" s="4" t="s">
        <v>696</v>
      </c>
      <c r="AI309" s="12" t="s">
        <v>1416</v>
      </c>
      <c r="AK309" s="24" t="str" cm="1">
        <f t="array" ref="AK309">IFERROR(INDEX(Transactions[[Transaction code]:[Transaction name]],_xlfn.XMATCH(Transactions[[#This Row],[Parent code]],Transactions[Transaction name],0),3),Transactions[[#This Row],[Transaction name]])</f>
        <v>CHP plants - Autoproducer - wood</v>
      </c>
      <c r="AL309" s="24" t="str" cm="1">
        <f t="array" ref="AL309">IFERROR(INDEX(Transactions[[Transaction code]:[Transaction name]],_xlfn.XMATCH(INDEX(Transactions[[Transaction name]:[Parent code]],_xlfn.XMATCH(Transactions[[#This Row],[L1N]],Transactions[Transaction name],0),3),Transactions[Transaction code],0),2),Transactions[[#This Row],[L1N]])</f>
        <v>CHP plants - wood</v>
      </c>
      <c r="AM309" s="24" t="str" cm="1">
        <f t="array" ref="AM309">IFERROR(INDEX(Transactions[[Transaction code]:[Transaction name]],_xlfn.XMATCH(INDEX(Transactions[[Transaction name]:[Parent code]],_xlfn.XMATCH(Transactions[[#This Row],[L2N]],Transactions[Transaction name],0),3),Transactions[Transaction code],0),2),Transactions[[#This Row],[L2N]])</f>
        <v>CHP plants</v>
      </c>
      <c r="AN309" s="24" t="str" cm="1">
        <f t="array" ref="AN309">IFERROR(INDEX(Transactions[[Transaction code]:[Transaction name]],_xlfn.XMATCH(INDEX(Transactions[[Transaction name]:[Parent code]],_xlfn.XMATCH(Transactions[[#This Row],[L3N]],Transactions[Transaction name],0),3),Transactions[Transaction code],0),2),Transactions[[#This Row],[L3N]])</f>
        <v>Electricity, CHP and heat plants (T)</v>
      </c>
      <c r="AO309" s="24" t="str" cm="1">
        <f t="array" ref="AO309">IFERROR(INDEX(Transactions[[Transaction code]:[Transaction name]],_xlfn.XMATCH(INDEX(Transactions[[Transaction name]:[Parent code]],_xlfn.XMATCH(Transactions[[#This Row],[L4N]],Transactions[Transaction name],0),3),Transactions[Transaction code],0),2),Transactions[[#This Row],[L4N]])</f>
        <v>Transformation</v>
      </c>
      <c r="AP309" s="24" t="str" cm="1">
        <f t="array" ref="AP309">IFERROR(INDEX(Transactions[[Transaction code]:[Transaction name]],_xlfn.XMATCH(INDEX(Transactions[[Transaction name]:[Parent code]],_xlfn.XMATCH(Transactions[[#This Row],[L5N]],Transactions[Transaction name],0),3),Transactions[Transaction code],0),2),Transactions[[#This Row],[L5N]])</f>
        <v>Transformation</v>
      </c>
      <c r="AQ309" s="24" t="str" cm="1">
        <f t="array" ref="AQ309">IFERROR(INDEX(Transactions[[Transaction code]:[Transaction name]],_xlfn.XMATCH(INDEX(Transactions[[Transaction name]:[Parent code]],_xlfn.XMATCH(Transactions[[#This Row],[L6N]],Transactions[Transaction name],0),3),Transactions[Transaction code],0),2),Transactions[[#This Row],[L6N]])</f>
        <v>Transformation</v>
      </c>
      <c r="AR309" s="27" t="str">
        <f>IF(Transactions[[#This Row],[L7N]]=Transactions[[#This Row],[L6N]],Transactions[[#This Row],[L7N]],IF(Transactions[[#This Row],[L6N]]=Transactions[[#This Row],[L5N]],Transactions[[#This Row],[L6N]],IF(Transactions[[#This Row],[L5N]]=Transactions[[#This Row],[L4N]],Transactions[[#This Row],[L5N]],IF(Transactions[[#This Row],[L4N]]=Transactions[[#This Row],[L3N]],Transactions[[#This Row],[L4N]],IF(Transactions[[#This Row],[L3N]]=Transactions[[#This Row],[L2N]],Transactions[[#This Row],[L3N]],IF(Transactions[[#This Row],[L2N]]=Transactions[[#This Row],[L1N]],Transactions[[#This Row],[L2N]],IF(Transactions[[#This Row],[L1N]]=Transactions[[#This Row],[Transaction name]],Transactions[[#This Row],[L1N]],Transactions[[#This Row],[Transaction name]])))))))</f>
        <v>Transformation</v>
      </c>
      <c r="AS309" s="24" t="str">
        <f>IF(Transactions[[#This Row],[Level 0]]=Transactions[[#This Row],[Transaction name]],Transactions[[#This Row],[Transaction name]],IF(Transactions[[#This Row],[Level 0]]=Transactions[[#This Row],[L1N]],Transactions[[#This Row],[Transaction name]],IF(Transactions[[#This Row],[Level 0]]=Transactions[[#This Row],[L2N]],Transactions[[#This Row],[L1N]],IF(Transactions[[#This Row],[Level 0]]=Transactions[[#This Row],[L3N]],Transactions[[#This Row],[L2N]],IF(Transactions[[#This Row],[Level 0]]=Transactions[[#This Row],[L4N]],Transactions[[#This Row],[L3N]],IF(Transactions[[#This Row],[Level 0]]=Transactions[[#This Row],[L5N]],Transactions[[#This Row],[L4N]],IF(Transactions[[#This Row],[Level 0]]=Transactions[[#This Row],[L6N]],Transactions[[#This Row],[L5N]],IF(Transactions[[#This Row],[Level 0]]=Transactions[[#This Row],[L7N]],Transactions[[#This Row],[L6N]],Transactions[[#This Row],[L7N]]))))))))</f>
        <v>Electricity, CHP and heat plants (T)</v>
      </c>
      <c r="AT309" s="24" t="str">
        <f>IF(Transactions[[#This Row],[Level 1]]=Transactions[[#This Row],[Transaction name]],Transactions[[#This Row],[Transaction name]],IF(Transactions[[#This Row],[Level 1]]=Transactions[[#This Row],[L1N]],Transactions[[#This Row],[Transaction name]],IF(Transactions[[#This Row],[Level 1]]=Transactions[[#This Row],[L2N]],Transactions[[#This Row],[L1N]],IF(Transactions[[#This Row],[Level 1]]=Transactions[[#This Row],[L3N]],Transactions[[#This Row],[L2N]],IF(Transactions[[#This Row],[Level 1]]=Transactions[[#This Row],[L4N]],Transactions[[#This Row],[L3N]],IF(Transactions[[#This Row],[Level 1]]=Transactions[[#This Row],[L5N]],Transactions[[#This Row],[L4N]],IF(Transactions[[#This Row],[Level 1]]=Transactions[[#This Row],[L6N]],Transactions[[#This Row],[L5N]],IF(Transactions[[#This Row],[Level 1]]=Transactions[[#This Row],[L7N]],Transactions[[#This Row],[L6N]],Transactions[[#This Row],[L7N]]))))))))</f>
        <v>CHP plants</v>
      </c>
      <c r="AU309" s="24" t="str">
        <f>IF(Transactions[[#This Row],[Level 2]]=Transactions[[#This Row],[Transaction name]],Transactions[[#This Row],[Transaction name]],IF(Transactions[[#This Row],[Level 2]]=Transactions[[#This Row],[L1N]],Transactions[[#This Row],[Transaction name]],IF(Transactions[[#This Row],[Level 2]]=Transactions[[#This Row],[L2N]],Transactions[[#This Row],[L1N]],IF(Transactions[[#This Row],[Level 2]]=Transactions[[#This Row],[L3N]],Transactions[[#This Row],[L2N]],IF(Transactions[[#This Row],[Level 2]]=Transactions[[#This Row],[L4N]],Transactions[[#This Row],[L3N]],IF(Transactions[[#This Row],[Level 2]]=Transactions[[#This Row],[L5N]],Transactions[[#This Row],[L4N]],IF(Transactions[[#This Row],[Level 2]]=Transactions[[#This Row],[L6N]],Transactions[[#This Row],[L5N]],IF(Transactions[[#This Row],[Level 2]]=Transactions[[#This Row],[L7N]],Transactions[[#This Row],[L6N]],Transactions[[#This Row],[L7N]]))))))))</f>
        <v>CHP plants - wood</v>
      </c>
      <c r="AV309" s="24" t="str">
        <f>IF(Transactions[[#This Row],[Level 3]]=Transactions[[#This Row],[Transaction name]],Transactions[[#This Row],[Transaction name]],IF(Transactions[[#This Row],[Level 3]]=Transactions[[#This Row],[L1N]],Transactions[[#This Row],[Transaction name]],IF(Transactions[[#This Row],[Level 3]]=Transactions[[#This Row],[L2N]],Transactions[[#This Row],[L1N]],IF(Transactions[[#This Row],[Level 3]]=Transactions[[#This Row],[L3N]],Transactions[[#This Row],[L2N]],IF(Transactions[[#This Row],[Level 3]]=Transactions[[#This Row],[L4N]],Transactions[[#This Row],[L3N]],IF(Transactions[[#This Row],[Level 3]]=Transactions[[#This Row],[L5N]],Transactions[[#This Row],[L4N]],IF(Transactions[[#This Row],[Level 3]]=Transactions[[#This Row],[L6N]],Transactions[[#This Row],[L5N]],IF(Transactions[[#This Row],[Level 3]]=Transactions[[#This Row],[L7N]],Transactions[[#This Row],[L6N]],Transactions[[#This Row],[L7N]]))))))))</f>
        <v>CHP plants - Autoproducer - wood</v>
      </c>
      <c r="AW309" s="24" t="str">
        <f>IF(Transactions[[#This Row],[Level 4]]=Transactions[[#This Row],[Transaction name]],Transactions[[#This Row],[Transaction name]],IF(Transactions[[#This Row],[Level 4]]=Transactions[[#This Row],[L1N]],Transactions[[#This Row],[Transaction name]],IF(Transactions[[#This Row],[Level 4]]=Transactions[[#This Row],[L2N]],Transactions[[#This Row],[L1N]],IF(Transactions[[#This Row],[Level 4]]=Transactions[[#This Row],[L3N]],Transactions[[#This Row],[L2N]],IF(Transactions[[#This Row],[Level 4]]=Transactions[[#This Row],[L4N]],Transactions[[#This Row],[L3N]],IF(Transactions[[#This Row],[Level 4]]=Transactions[[#This Row],[L5N]],Transactions[[#This Row],[L4N]],IF(Transactions[[#This Row],[Level 4]]=Transactions[[#This Row],[L6N]],Transactions[[#This Row],[L5N]],IF(Transactions[[#This Row],[Level 4]]=Transactions[[#This Row],[L7N]],Transactions[[#This Row],[L6N]],Transactions[[#This Row],[L7N]]))))))))</f>
        <v>CHP plants - Autoproducer - wood</v>
      </c>
      <c r="AX309" s="24" t="str">
        <f>IF(Transactions[[#This Row],[Level 5]]=Transactions[[#This Row],[Transaction name]],Transactions[[#This Row],[Transaction name]],IF(Transactions[[#This Row],[Level 5]]=Transactions[[#This Row],[L1N]],Transactions[[#This Row],[Transaction name]],IF(Transactions[[#This Row],[Level 5]]=Transactions[[#This Row],[L2N]],Transactions[[#This Row],[L1N]],IF(Transactions[[#This Row],[Level 5]]=Transactions[[#This Row],[L3N]],Transactions[[#This Row],[L2N]],IF(Transactions[[#This Row],[Level 5]]=Transactions[[#This Row],[L4N]],Transactions[[#This Row],[L3N]],IF(Transactions[[#This Row],[Level 5]]=Transactions[[#This Row],[L5N]],Transactions[[#This Row],[L4N]],IF(Transactions[[#This Row],[Level 5]]=Transactions[[#This Row],[L6N]],Transactions[[#This Row],[L5N]],IF(Transactions[[#This Row],[Level 5]]=Transactions[[#This Row],[L7N]],Transactions[[#This Row],[L6N]],Transactions[[#This Row],[L7N]]))))))))</f>
        <v>CHP plants - Autoproducer - wood</v>
      </c>
      <c r="AY309" s="24" t="str">
        <f>IF(Transactions[[#This Row],[Level 6]]=Transactions[[#This Row],[Transaction name]],Transactions[[#This Row],[Transaction name]],IF(Transactions[[#This Row],[Level 6]]=Transactions[[#This Row],[L1N]],Transactions[[#This Row],[Transaction name]],IF(Transactions[[#This Row],[Level 6]]=Transactions[[#This Row],[L2N]],Transactions[[#This Row],[L1N]],IF(Transactions[[#This Row],[Level 6]]=Transactions[[#This Row],[L3N]],Transactions[[#This Row],[L2N]],IF(Transactions[[#This Row],[Level 6]]=Transactions[[#This Row],[L4N]],Transactions[[#This Row],[L3N]],IF(Transactions[[#This Row],[Level 6]]=Transactions[[#This Row],[L5N]],Transactions[[#This Row],[L4N]],IF(Transactions[[#This Row],[Level 6]]=Transactions[[#This Row],[L6N]],Transactions[[#This Row],[L5N]],IF(Transactions[[#This Row],[Level 6]]=Transactions[[#This Row],[L7N]],Transactions[[#This Row],[L6N]],Transactions[[#This Row],[L7N]]))))))))</f>
        <v>CHP plants - Autoproducer - wood</v>
      </c>
      <c r="BE309" s="26" t="str">
        <f>_xlfn.XLOOKUP(Transformation[[#This Row],[cfrom]],Commodities[Commodity],Commodities[Commodity code])</f>
        <v>0320</v>
      </c>
      <c r="BF309" s="26" t="str">
        <f>_xlfn.XLOOKUP(Transformation[[#This Row],[tfrom]],Transactions[Transaction name],Transactions[Transaction code])</f>
        <v>01</v>
      </c>
      <c r="BG309" s="26" t="str">
        <f>_xlfn.XLOOKUP(Transformation[[#This Row],[cto]],Commodities[Commodity],Commodities[Commodity code])</f>
        <v>0320</v>
      </c>
      <c r="BH309" s="26" t="str">
        <f>_xlfn.XLOOKUP(Transformation[[#This Row],[tto]],Transactions[Transaction name],Transactions[Transaction code])</f>
        <v>01</v>
      </c>
      <c r="BI309" s="32">
        <v>-1</v>
      </c>
      <c r="BJ309" s="22" t="s">
        <v>493</v>
      </c>
      <c r="BK309" s="26" t="str">
        <f>_xlfn.XLOOKUP(Transformation[[#This Row],[Commodity from]],Commodities[Commodity code],Commodities[EnergyCode])</f>
        <v>BC</v>
      </c>
      <c r="BL309" s="22" t="s">
        <v>383</v>
      </c>
      <c r="BM309" s="22" t="s">
        <v>493</v>
      </c>
      <c r="BN309" s="26" t="str">
        <f>_xlfn.XLOOKUP(Transformation[[#This Row],[Commodity to]],Commodities[Commodity code],Commodities[EnergyCode])</f>
        <v>BC</v>
      </c>
      <c r="BO309" s="22" t="s">
        <v>383</v>
      </c>
      <c r="BP309" s="22" t="s">
        <v>1633</v>
      </c>
      <c r="BQ309" s="33" t="str">
        <f>Transformation[[#This Row],[Commodity from]]&amp;Transformation[[#This Row],[Transaction from]]&amp;Transformation[[#This Row],[Commodity to]]&amp;Transformation[[#This Row],[Transaction to]]</f>
        <v>032001032001</v>
      </c>
      <c r="BR309" s="26" t="str">
        <f>Transformation[[#This Row],[crfomid]]&amp;Transformation[[#This Row],[Transaction from]]&amp;"("&amp;Transformation[[#This Row],[Multiplier]]&amp;") -&gt; "&amp;Transformation[[#This Row],[ctoid]]&amp;Transformation[[#This Row],[Transaction to]]</f>
        <v>BC01(-1) -&gt; BC01</v>
      </c>
    </row>
    <row r="310" spans="25:70" x14ac:dyDescent="0.45">
      <c r="Y310" s="5" t="s">
        <v>1106</v>
      </c>
      <c r="Z310" s="7" t="s">
        <v>1114</v>
      </c>
      <c r="AA310" s="4" t="s">
        <v>1359</v>
      </c>
      <c r="AB310" s="19" t="s">
        <v>1631</v>
      </c>
      <c r="AC310" s="24" t="str">
        <f>IFERROR(VLOOKUP(Transactions[[#This Row],[Parent code]],Transactions[[Transaction code]:[Transaction name]],2,0),"")</f>
        <v>CHP plants - wood</v>
      </c>
      <c r="AD310" s="4" t="s">
        <v>189</v>
      </c>
      <c r="AE310" s="4" t="s">
        <v>922</v>
      </c>
      <c r="AF310" s="4" t="s">
        <v>642</v>
      </c>
      <c r="AG310" s="4" t="s">
        <v>1</v>
      </c>
      <c r="AH310" s="4" t="s">
        <v>696</v>
      </c>
      <c r="AI310" s="12" t="s">
        <v>1416</v>
      </c>
      <c r="AK310" s="24" t="str" cm="1">
        <f t="array" ref="AK310">IFERROR(INDEX(Transactions[[Transaction code]:[Transaction name]],_xlfn.XMATCH(Transactions[[#This Row],[Parent code]],Transactions[Transaction name],0),3),Transactions[[#This Row],[Transaction name]])</f>
        <v>CHP plants - Main activity - wood</v>
      </c>
      <c r="AL310" s="24" t="str" cm="1">
        <f t="array" ref="AL310">IFERROR(INDEX(Transactions[[Transaction code]:[Transaction name]],_xlfn.XMATCH(INDEX(Transactions[[Transaction name]:[Parent code]],_xlfn.XMATCH(Transactions[[#This Row],[L1N]],Transactions[Transaction name],0),3),Transactions[Transaction code],0),2),Transactions[[#This Row],[L1N]])</f>
        <v>CHP plants - wood</v>
      </c>
      <c r="AM310" s="24" t="str" cm="1">
        <f t="array" ref="AM310">IFERROR(INDEX(Transactions[[Transaction code]:[Transaction name]],_xlfn.XMATCH(INDEX(Transactions[[Transaction name]:[Parent code]],_xlfn.XMATCH(Transactions[[#This Row],[L2N]],Transactions[Transaction name],0),3),Transactions[Transaction code],0),2),Transactions[[#This Row],[L2N]])</f>
        <v>CHP plants</v>
      </c>
      <c r="AN310" s="24" t="str" cm="1">
        <f t="array" ref="AN310">IFERROR(INDEX(Transactions[[Transaction code]:[Transaction name]],_xlfn.XMATCH(INDEX(Transactions[[Transaction name]:[Parent code]],_xlfn.XMATCH(Transactions[[#This Row],[L3N]],Transactions[Transaction name],0),3),Transactions[Transaction code],0),2),Transactions[[#This Row],[L3N]])</f>
        <v>Electricity, CHP and heat plants (T)</v>
      </c>
      <c r="AO310" s="24" t="str" cm="1">
        <f t="array" ref="AO310">IFERROR(INDEX(Transactions[[Transaction code]:[Transaction name]],_xlfn.XMATCH(INDEX(Transactions[[Transaction name]:[Parent code]],_xlfn.XMATCH(Transactions[[#This Row],[L4N]],Transactions[Transaction name],0),3),Transactions[Transaction code],0),2),Transactions[[#This Row],[L4N]])</f>
        <v>Transformation</v>
      </c>
      <c r="AP310" s="24" t="str" cm="1">
        <f t="array" ref="AP310">IFERROR(INDEX(Transactions[[Transaction code]:[Transaction name]],_xlfn.XMATCH(INDEX(Transactions[[Transaction name]:[Parent code]],_xlfn.XMATCH(Transactions[[#This Row],[L5N]],Transactions[Transaction name],0),3),Transactions[Transaction code],0),2),Transactions[[#This Row],[L5N]])</f>
        <v>Transformation</v>
      </c>
      <c r="AQ310" s="24" t="str" cm="1">
        <f t="array" ref="AQ310">IFERROR(INDEX(Transactions[[Transaction code]:[Transaction name]],_xlfn.XMATCH(INDEX(Transactions[[Transaction name]:[Parent code]],_xlfn.XMATCH(Transactions[[#This Row],[L6N]],Transactions[Transaction name],0),3),Transactions[Transaction code],0),2),Transactions[[#This Row],[L6N]])</f>
        <v>Transformation</v>
      </c>
      <c r="AR310" s="27" t="str">
        <f>IF(Transactions[[#This Row],[L7N]]=Transactions[[#This Row],[L6N]],Transactions[[#This Row],[L7N]],IF(Transactions[[#This Row],[L6N]]=Transactions[[#This Row],[L5N]],Transactions[[#This Row],[L6N]],IF(Transactions[[#This Row],[L5N]]=Transactions[[#This Row],[L4N]],Transactions[[#This Row],[L5N]],IF(Transactions[[#This Row],[L4N]]=Transactions[[#This Row],[L3N]],Transactions[[#This Row],[L4N]],IF(Transactions[[#This Row],[L3N]]=Transactions[[#This Row],[L2N]],Transactions[[#This Row],[L3N]],IF(Transactions[[#This Row],[L2N]]=Transactions[[#This Row],[L1N]],Transactions[[#This Row],[L2N]],IF(Transactions[[#This Row],[L1N]]=Transactions[[#This Row],[Transaction name]],Transactions[[#This Row],[L1N]],Transactions[[#This Row],[Transaction name]])))))))</f>
        <v>Transformation</v>
      </c>
      <c r="AS310" s="24" t="str">
        <f>IF(Transactions[[#This Row],[Level 0]]=Transactions[[#This Row],[Transaction name]],Transactions[[#This Row],[Transaction name]],IF(Transactions[[#This Row],[Level 0]]=Transactions[[#This Row],[L1N]],Transactions[[#This Row],[Transaction name]],IF(Transactions[[#This Row],[Level 0]]=Transactions[[#This Row],[L2N]],Transactions[[#This Row],[L1N]],IF(Transactions[[#This Row],[Level 0]]=Transactions[[#This Row],[L3N]],Transactions[[#This Row],[L2N]],IF(Transactions[[#This Row],[Level 0]]=Transactions[[#This Row],[L4N]],Transactions[[#This Row],[L3N]],IF(Transactions[[#This Row],[Level 0]]=Transactions[[#This Row],[L5N]],Transactions[[#This Row],[L4N]],IF(Transactions[[#This Row],[Level 0]]=Transactions[[#This Row],[L6N]],Transactions[[#This Row],[L5N]],IF(Transactions[[#This Row],[Level 0]]=Transactions[[#This Row],[L7N]],Transactions[[#This Row],[L6N]],Transactions[[#This Row],[L7N]]))))))))</f>
        <v>Electricity, CHP and heat plants (T)</v>
      </c>
      <c r="AT310" s="24" t="str">
        <f>IF(Transactions[[#This Row],[Level 1]]=Transactions[[#This Row],[Transaction name]],Transactions[[#This Row],[Transaction name]],IF(Transactions[[#This Row],[Level 1]]=Transactions[[#This Row],[L1N]],Transactions[[#This Row],[Transaction name]],IF(Transactions[[#This Row],[Level 1]]=Transactions[[#This Row],[L2N]],Transactions[[#This Row],[L1N]],IF(Transactions[[#This Row],[Level 1]]=Transactions[[#This Row],[L3N]],Transactions[[#This Row],[L2N]],IF(Transactions[[#This Row],[Level 1]]=Transactions[[#This Row],[L4N]],Transactions[[#This Row],[L3N]],IF(Transactions[[#This Row],[Level 1]]=Transactions[[#This Row],[L5N]],Transactions[[#This Row],[L4N]],IF(Transactions[[#This Row],[Level 1]]=Transactions[[#This Row],[L6N]],Transactions[[#This Row],[L5N]],IF(Transactions[[#This Row],[Level 1]]=Transactions[[#This Row],[L7N]],Transactions[[#This Row],[L6N]],Transactions[[#This Row],[L7N]]))))))))</f>
        <v>CHP plants</v>
      </c>
      <c r="AU310" s="24" t="str">
        <f>IF(Transactions[[#This Row],[Level 2]]=Transactions[[#This Row],[Transaction name]],Transactions[[#This Row],[Transaction name]],IF(Transactions[[#This Row],[Level 2]]=Transactions[[#This Row],[L1N]],Transactions[[#This Row],[Transaction name]],IF(Transactions[[#This Row],[Level 2]]=Transactions[[#This Row],[L2N]],Transactions[[#This Row],[L1N]],IF(Transactions[[#This Row],[Level 2]]=Transactions[[#This Row],[L3N]],Transactions[[#This Row],[L2N]],IF(Transactions[[#This Row],[Level 2]]=Transactions[[#This Row],[L4N]],Transactions[[#This Row],[L3N]],IF(Transactions[[#This Row],[Level 2]]=Transactions[[#This Row],[L5N]],Transactions[[#This Row],[L4N]],IF(Transactions[[#This Row],[Level 2]]=Transactions[[#This Row],[L6N]],Transactions[[#This Row],[L5N]],IF(Transactions[[#This Row],[Level 2]]=Transactions[[#This Row],[L7N]],Transactions[[#This Row],[L6N]],Transactions[[#This Row],[L7N]]))))))))</f>
        <v>CHP plants - wood</v>
      </c>
      <c r="AV310" s="24" t="str">
        <f>IF(Transactions[[#This Row],[Level 3]]=Transactions[[#This Row],[Transaction name]],Transactions[[#This Row],[Transaction name]],IF(Transactions[[#This Row],[Level 3]]=Transactions[[#This Row],[L1N]],Transactions[[#This Row],[Transaction name]],IF(Transactions[[#This Row],[Level 3]]=Transactions[[#This Row],[L2N]],Transactions[[#This Row],[L1N]],IF(Transactions[[#This Row],[Level 3]]=Transactions[[#This Row],[L3N]],Transactions[[#This Row],[L2N]],IF(Transactions[[#This Row],[Level 3]]=Transactions[[#This Row],[L4N]],Transactions[[#This Row],[L3N]],IF(Transactions[[#This Row],[Level 3]]=Transactions[[#This Row],[L5N]],Transactions[[#This Row],[L4N]],IF(Transactions[[#This Row],[Level 3]]=Transactions[[#This Row],[L6N]],Transactions[[#This Row],[L5N]],IF(Transactions[[#This Row],[Level 3]]=Transactions[[#This Row],[L7N]],Transactions[[#This Row],[L6N]],Transactions[[#This Row],[L7N]]))))))))</f>
        <v>CHP plants - Main activity - wood</v>
      </c>
      <c r="AW310" s="24" t="str">
        <f>IF(Transactions[[#This Row],[Level 4]]=Transactions[[#This Row],[Transaction name]],Transactions[[#This Row],[Transaction name]],IF(Transactions[[#This Row],[Level 4]]=Transactions[[#This Row],[L1N]],Transactions[[#This Row],[Transaction name]],IF(Transactions[[#This Row],[Level 4]]=Transactions[[#This Row],[L2N]],Transactions[[#This Row],[L1N]],IF(Transactions[[#This Row],[Level 4]]=Transactions[[#This Row],[L3N]],Transactions[[#This Row],[L2N]],IF(Transactions[[#This Row],[Level 4]]=Transactions[[#This Row],[L4N]],Transactions[[#This Row],[L3N]],IF(Transactions[[#This Row],[Level 4]]=Transactions[[#This Row],[L5N]],Transactions[[#This Row],[L4N]],IF(Transactions[[#This Row],[Level 4]]=Transactions[[#This Row],[L6N]],Transactions[[#This Row],[L5N]],IF(Transactions[[#This Row],[Level 4]]=Transactions[[#This Row],[L7N]],Transactions[[#This Row],[L6N]],Transactions[[#This Row],[L7N]]))))))))</f>
        <v>CHP plants - Main activity - wood</v>
      </c>
      <c r="AX310" s="24" t="str">
        <f>IF(Transactions[[#This Row],[Level 5]]=Transactions[[#This Row],[Transaction name]],Transactions[[#This Row],[Transaction name]],IF(Transactions[[#This Row],[Level 5]]=Transactions[[#This Row],[L1N]],Transactions[[#This Row],[Transaction name]],IF(Transactions[[#This Row],[Level 5]]=Transactions[[#This Row],[L2N]],Transactions[[#This Row],[L1N]],IF(Transactions[[#This Row],[Level 5]]=Transactions[[#This Row],[L3N]],Transactions[[#This Row],[L2N]],IF(Transactions[[#This Row],[Level 5]]=Transactions[[#This Row],[L4N]],Transactions[[#This Row],[L3N]],IF(Transactions[[#This Row],[Level 5]]=Transactions[[#This Row],[L5N]],Transactions[[#This Row],[L4N]],IF(Transactions[[#This Row],[Level 5]]=Transactions[[#This Row],[L6N]],Transactions[[#This Row],[L5N]],IF(Transactions[[#This Row],[Level 5]]=Transactions[[#This Row],[L7N]],Transactions[[#This Row],[L6N]],Transactions[[#This Row],[L7N]]))))))))</f>
        <v>CHP plants - Main activity - wood</v>
      </c>
      <c r="AY310" s="24" t="str">
        <f>IF(Transactions[[#This Row],[Level 6]]=Transactions[[#This Row],[Transaction name]],Transactions[[#This Row],[Transaction name]],IF(Transactions[[#This Row],[Level 6]]=Transactions[[#This Row],[L1N]],Transactions[[#This Row],[Transaction name]],IF(Transactions[[#This Row],[Level 6]]=Transactions[[#This Row],[L2N]],Transactions[[#This Row],[L1N]],IF(Transactions[[#This Row],[Level 6]]=Transactions[[#This Row],[L3N]],Transactions[[#This Row],[L2N]],IF(Transactions[[#This Row],[Level 6]]=Transactions[[#This Row],[L4N]],Transactions[[#This Row],[L3N]],IF(Transactions[[#This Row],[Level 6]]=Transactions[[#This Row],[L5N]],Transactions[[#This Row],[L4N]],IF(Transactions[[#This Row],[Level 6]]=Transactions[[#This Row],[L6N]],Transactions[[#This Row],[L5N]],IF(Transactions[[#This Row],[Level 6]]=Transactions[[#This Row],[L7N]],Transactions[[#This Row],[L6N]],Transactions[[#This Row],[L7N]]))))))))</f>
        <v>CHP plants - Main activity - wood</v>
      </c>
      <c r="BE310" s="26" t="str">
        <f>_xlfn.XLOOKUP(Transformation[[#This Row],[cfrom]],Commodities[Commodity],Commodities[Commodity code])</f>
        <v>0320</v>
      </c>
      <c r="BF310" s="26" t="str">
        <f>_xlfn.XLOOKUP(Transformation[[#This Row],[tfrom]],Transactions[Transaction name],Transactions[Transaction code])</f>
        <v>022</v>
      </c>
      <c r="BG310" s="26" t="str">
        <f>_xlfn.XLOOKUP(Transformation[[#This Row],[cto]],Commodities[Commodity],Commodities[Commodity code])</f>
        <v>0320</v>
      </c>
      <c r="BH310" s="26" t="str">
        <f>_xlfn.XLOOKUP(Transformation[[#This Row],[tto]],Transactions[Transaction name],Transactions[Transaction code])</f>
        <v>022</v>
      </c>
      <c r="BI310" s="32">
        <v>-1</v>
      </c>
      <c r="BJ310" s="22" t="s">
        <v>493</v>
      </c>
      <c r="BK310" s="26" t="str">
        <f>_xlfn.XLOOKUP(Transformation[[#This Row],[Commodity from]],Commodities[Commodity code],Commodities[EnergyCode])</f>
        <v>BC</v>
      </c>
      <c r="BL310" s="22" t="s">
        <v>205</v>
      </c>
      <c r="BM310" s="22" t="s">
        <v>493</v>
      </c>
      <c r="BN310" s="26" t="str">
        <f>_xlfn.XLOOKUP(Transformation[[#This Row],[Commodity to]],Commodities[Commodity code],Commodities[EnergyCode])</f>
        <v>BC</v>
      </c>
      <c r="BO310" s="22" t="s">
        <v>205</v>
      </c>
      <c r="BP310" s="22" t="s">
        <v>1639</v>
      </c>
      <c r="BQ310" s="33" t="str">
        <f>Transformation[[#This Row],[Commodity from]]&amp;Transformation[[#This Row],[Transaction from]]&amp;Transformation[[#This Row],[Commodity to]]&amp;Transformation[[#This Row],[Transaction to]]</f>
        <v>03200220320022</v>
      </c>
      <c r="BR310" s="26" t="str">
        <f>Transformation[[#This Row],[crfomid]]&amp;Transformation[[#This Row],[Transaction from]]&amp;"("&amp;Transformation[[#This Row],[Multiplier]]&amp;") -&gt; "&amp;Transformation[[#This Row],[ctoid]]&amp;Transformation[[#This Row],[Transaction to]]</f>
        <v>BC022(-1) -&gt; BC022</v>
      </c>
    </row>
    <row r="311" spans="25:70" x14ac:dyDescent="0.45">
      <c r="Y311" s="19" t="s">
        <v>1631</v>
      </c>
      <c r="Z311" s="18" t="s">
        <v>1359</v>
      </c>
      <c r="AA311" s="18" t="s">
        <v>1359</v>
      </c>
      <c r="AB311" s="19" t="s">
        <v>1627</v>
      </c>
      <c r="AC311" s="26" t="str">
        <f>IFERROR(VLOOKUP(Transactions[[#This Row],[Parent code]],Transactions[[Transaction code]:[Transaction name]],2,0),"")</f>
        <v>CHP plants</v>
      </c>
      <c r="AD311" s="18" t="s">
        <v>189</v>
      </c>
      <c r="AE311" s="18" t="s">
        <v>922</v>
      </c>
      <c r="AF311" s="18" t="s">
        <v>642</v>
      </c>
      <c r="AG311" s="18" t="s">
        <v>1</v>
      </c>
      <c r="AH311" s="18" t="s">
        <v>696</v>
      </c>
      <c r="AI311" s="18" t="s">
        <v>1416</v>
      </c>
      <c r="AJ311" s="18"/>
      <c r="AK311" s="26" t="str" cm="1">
        <f t="array" ref="AK311">IFERROR(INDEX(Transactions[[Transaction code]:[Transaction name]],_xlfn.XMATCH(Transactions[[#This Row],[Parent code]],Transactions[Transaction name],0),3),Transactions[[#This Row],[Transaction name]])</f>
        <v>CHP plants - wood</v>
      </c>
      <c r="AL311" s="26" t="str" cm="1">
        <f t="array" ref="AL311">IFERROR(INDEX(Transactions[[Transaction code]:[Transaction name]],_xlfn.XMATCH(INDEX(Transactions[[Transaction name]:[Parent code]],_xlfn.XMATCH(Transactions[[#This Row],[L1N]],Transactions[Transaction name],0),3),Transactions[Transaction code],0),2),Transactions[[#This Row],[L1N]])</f>
        <v>CHP plants</v>
      </c>
      <c r="AM311" s="26" t="str" cm="1">
        <f t="array" ref="AM311">IFERROR(INDEX(Transactions[[Transaction code]:[Transaction name]],_xlfn.XMATCH(INDEX(Transactions[[Transaction name]:[Parent code]],_xlfn.XMATCH(Transactions[[#This Row],[L2N]],Transactions[Transaction name],0),3),Transactions[Transaction code],0),2),Transactions[[#This Row],[L2N]])</f>
        <v>Electricity, CHP and heat plants (T)</v>
      </c>
      <c r="AN311" s="26" t="str" cm="1">
        <f t="array" ref="AN311">IFERROR(INDEX(Transactions[[Transaction code]:[Transaction name]],_xlfn.XMATCH(INDEX(Transactions[[Transaction name]:[Parent code]],_xlfn.XMATCH(Transactions[[#This Row],[L3N]],Transactions[Transaction name],0),3),Transactions[Transaction code],0),2),Transactions[[#This Row],[L3N]])</f>
        <v>Transformation</v>
      </c>
      <c r="AO311" s="26" t="str" cm="1">
        <f t="array" ref="AO311">IFERROR(INDEX(Transactions[[Transaction code]:[Transaction name]],_xlfn.XMATCH(INDEX(Transactions[[Transaction name]:[Parent code]],_xlfn.XMATCH(Transactions[[#This Row],[L4N]],Transactions[Transaction name],0),3),Transactions[Transaction code],0),2),Transactions[[#This Row],[L4N]])</f>
        <v>Transformation</v>
      </c>
      <c r="AP311" s="26" t="str" cm="1">
        <f t="array" ref="AP311">IFERROR(INDEX(Transactions[[Transaction code]:[Transaction name]],_xlfn.XMATCH(INDEX(Transactions[[Transaction name]:[Parent code]],_xlfn.XMATCH(Transactions[[#This Row],[L5N]],Transactions[Transaction name],0),3),Transactions[Transaction code],0),2),Transactions[[#This Row],[L5N]])</f>
        <v>Transformation</v>
      </c>
      <c r="AQ311" s="26" t="str" cm="1">
        <f t="array" ref="AQ311">IFERROR(INDEX(Transactions[[Transaction code]:[Transaction name]],_xlfn.XMATCH(INDEX(Transactions[[Transaction name]:[Parent code]],_xlfn.XMATCH(Transactions[[#This Row],[L6N]],Transactions[Transaction name],0),3),Transactions[Transaction code],0),2),Transactions[[#This Row],[L6N]])</f>
        <v>Transformation</v>
      </c>
      <c r="AR311" s="29" t="str">
        <f>IF(Transactions[[#This Row],[L7N]]=Transactions[[#This Row],[L6N]],Transactions[[#This Row],[L7N]],IF(Transactions[[#This Row],[L6N]]=Transactions[[#This Row],[L5N]],Transactions[[#This Row],[L6N]],IF(Transactions[[#This Row],[L5N]]=Transactions[[#This Row],[L4N]],Transactions[[#This Row],[L5N]],IF(Transactions[[#This Row],[L4N]]=Transactions[[#This Row],[L3N]],Transactions[[#This Row],[L4N]],IF(Transactions[[#This Row],[L3N]]=Transactions[[#This Row],[L2N]],Transactions[[#This Row],[L3N]],IF(Transactions[[#This Row],[L2N]]=Transactions[[#This Row],[L1N]],Transactions[[#This Row],[L2N]],IF(Transactions[[#This Row],[L1N]]=Transactions[[#This Row],[Transaction name]],Transactions[[#This Row],[L1N]],Transactions[[#This Row],[Transaction name]])))))))</f>
        <v>Transformation</v>
      </c>
      <c r="AS311" s="26" t="str">
        <f>IF(Transactions[[#This Row],[Level 0]]=Transactions[[#This Row],[Transaction name]],Transactions[[#This Row],[Transaction name]],IF(Transactions[[#This Row],[Level 0]]=Transactions[[#This Row],[L1N]],Transactions[[#This Row],[Transaction name]],IF(Transactions[[#This Row],[Level 0]]=Transactions[[#This Row],[L2N]],Transactions[[#This Row],[L1N]],IF(Transactions[[#This Row],[Level 0]]=Transactions[[#This Row],[L3N]],Transactions[[#This Row],[L2N]],IF(Transactions[[#This Row],[Level 0]]=Transactions[[#This Row],[L4N]],Transactions[[#This Row],[L3N]],IF(Transactions[[#This Row],[Level 0]]=Transactions[[#This Row],[L5N]],Transactions[[#This Row],[L4N]],IF(Transactions[[#This Row],[Level 0]]=Transactions[[#This Row],[L6N]],Transactions[[#This Row],[L5N]],IF(Transactions[[#This Row],[Level 0]]=Transactions[[#This Row],[L7N]],Transactions[[#This Row],[L6N]],Transactions[[#This Row],[L7N]]))))))))</f>
        <v>Electricity, CHP and heat plants (T)</v>
      </c>
      <c r="AT311" s="26" t="str">
        <f>IF(Transactions[[#This Row],[Level 1]]=Transactions[[#This Row],[Transaction name]],Transactions[[#This Row],[Transaction name]],IF(Transactions[[#This Row],[Level 1]]=Transactions[[#This Row],[L1N]],Transactions[[#This Row],[Transaction name]],IF(Transactions[[#This Row],[Level 1]]=Transactions[[#This Row],[L2N]],Transactions[[#This Row],[L1N]],IF(Transactions[[#This Row],[Level 1]]=Transactions[[#This Row],[L3N]],Transactions[[#This Row],[L2N]],IF(Transactions[[#This Row],[Level 1]]=Transactions[[#This Row],[L4N]],Transactions[[#This Row],[L3N]],IF(Transactions[[#This Row],[Level 1]]=Transactions[[#This Row],[L5N]],Transactions[[#This Row],[L4N]],IF(Transactions[[#This Row],[Level 1]]=Transactions[[#This Row],[L6N]],Transactions[[#This Row],[L5N]],IF(Transactions[[#This Row],[Level 1]]=Transactions[[#This Row],[L7N]],Transactions[[#This Row],[L6N]],Transactions[[#This Row],[L7N]]))))))))</f>
        <v>CHP plants</v>
      </c>
      <c r="AU311" s="26" t="str">
        <f>IF(Transactions[[#This Row],[Level 2]]=Transactions[[#This Row],[Transaction name]],Transactions[[#This Row],[Transaction name]],IF(Transactions[[#This Row],[Level 2]]=Transactions[[#This Row],[L1N]],Transactions[[#This Row],[Transaction name]],IF(Transactions[[#This Row],[Level 2]]=Transactions[[#This Row],[L2N]],Transactions[[#This Row],[L1N]],IF(Transactions[[#This Row],[Level 2]]=Transactions[[#This Row],[L3N]],Transactions[[#This Row],[L2N]],IF(Transactions[[#This Row],[Level 2]]=Transactions[[#This Row],[L4N]],Transactions[[#This Row],[L3N]],IF(Transactions[[#This Row],[Level 2]]=Transactions[[#This Row],[L5N]],Transactions[[#This Row],[L4N]],IF(Transactions[[#This Row],[Level 2]]=Transactions[[#This Row],[L6N]],Transactions[[#This Row],[L5N]],IF(Transactions[[#This Row],[Level 2]]=Transactions[[#This Row],[L7N]],Transactions[[#This Row],[L6N]],Transactions[[#This Row],[L7N]]))))))))</f>
        <v>CHP plants - wood</v>
      </c>
      <c r="AV311" s="26" t="str">
        <f>IF(Transactions[[#This Row],[Level 3]]=Transactions[[#This Row],[Transaction name]],Transactions[[#This Row],[Transaction name]],IF(Transactions[[#This Row],[Level 3]]=Transactions[[#This Row],[L1N]],Transactions[[#This Row],[Transaction name]],IF(Transactions[[#This Row],[Level 3]]=Transactions[[#This Row],[L2N]],Transactions[[#This Row],[L1N]],IF(Transactions[[#This Row],[Level 3]]=Transactions[[#This Row],[L3N]],Transactions[[#This Row],[L2N]],IF(Transactions[[#This Row],[Level 3]]=Transactions[[#This Row],[L4N]],Transactions[[#This Row],[L3N]],IF(Transactions[[#This Row],[Level 3]]=Transactions[[#This Row],[L5N]],Transactions[[#This Row],[L4N]],IF(Transactions[[#This Row],[Level 3]]=Transactions[[#This Row],[L6N]],Transactions[[#This Row],[L5N]],IF(Transactions[[#This Row],[Level 3]]=Transactions[[#This Row],[L7N]],Transactions[[#This Row],[L6N]],Transactions[[#This Row],[L7N]]))))))))</f>
        <v>CHP plants - wood</v>
      </c>
      <c r="AW311" s="26" t="str">
        <f>IF(Transactions[[#This Row],[Level 4]]=Transactions[[#This Row],[Transaction name]],Transactions[[#This Row],[Transaction name]],IF(Transactions[[#This Row],[Level 4]]=Transactions[[#This Row],[L1N]],Transactions[[#This Row],[Transaction name]],IF(Transactions[[#This Row],[Level 4]]=Transactions[[#This Row],[L2N]],Transactions[[#This Row],[L1N]],IF(Transactions[[#This Row],[Level 4]]=Transactions[[#This Row],[L3N]],Transactions[[#This Row],[L2N]],IF(Transactions[[#This Row],[Level 4]]=Transactions[[#This Row],[L4N]],Transactions[[#This Row],[L3N]],IF(Transactions[[#This Row],[Level 4]]=Transactions[[#This Row],[L5N]],Transactions[[#This Row],[L4N]],IF(Transactions[[#This Row],[Level 4]]=Transactions[[#This Row],[L6N]],Transactions[[#This Row],[L5N]],IF(Transactions[[#This Row],[Level 4]]=Transactions[[#This Row],[L7N]],Transactions[[#This Row],[L6N]],Transactions[[#This Row],[L7N]]))))))))</f>
        <v>CHP plants - wood</v>
      </c>
      <c r="AX311" s="26" t="str">
        <f>IF(Transactions[[#This Row],[Level 5]]=Transactions[[#This Row],[Transaction name]],Transactions[[#This Row],[Transaction name]],IF(Transactions[[#This Row],[Level 5]]=Transactions[[#This Row],[L1N]],Transactions[[#This Row],[Transaction name]],IF(Transactions[[#This Row],[Level 5]]=Transactions[[#This Row],[L2N]],Transactions[[#This Row],[L1N]],IF(Transactions[[#This Row],[Level 5]]=Transactions[[#This Row],[L3N]],Transactions[[#This Row],[L2N]],IF(Transactions[[#This Row],[Level 5]]=Transactions[[#This Row],[L4N]],Transactions[[#This Row],[L3N]],IF(Transactions[[#This Row],[Level 5]]=Transactions[[#This Row],[L5N]],Transactions[[#This Row],[L4N]],IF(Transactions[[#This Row],[Level 5]]=Transactions[[#This Row],[L6N]],Transactions[[#This Row],[L5N]],IF(Transactions[[#This Row],[Level 5]]=Transactions[[#This Row],[L7N]],Transactions[[#This Row],[L6N]],Transactions[[#This Row],[L7N]]))))))))</f>
        <v>CHP plants - wood</v>
      </c>
      <c r="AY311" s="26" t="str">
        <f>IF(Transactions[[#This Row],[Level 6]]=Transactions[[#This Row],[Transaction name]],Transactions[[#This Row],[Transaction name]],IF(Transactions[[#This Row],[Level 6]]=Transactions[[#This Row],[L1N]],Transactions[[#This Row],[Transaction name]],IF(Transactions[[#This Row],[Level 6]]=Transactions[[#This Row],[L2N]],Transactions[[#This Row],[L1N]],IF(Transactions[[#This Row],[Level 6]]=Transactions[[#This Row],[L3N]],Transactions[[#This Row],[L2N]],IF(Transactions[[#This Row],[Level 6]]=Transactions[[#This Row],[L4N]],Transactions[[#This Row],[L3N]],IF(Transactions[[#This Row],[Level 6]]=Transactions[[#This Row],[L5N]],Transactions[[#This Row],[L4N]],IF(Transactions[[#This Row],[Level 6]]=Transactions[[#This Row],[L6N]],Transactions[[#This Row],[L5N]],IF(Transactions[[#This Row],[Level 6]]=Transactions[[#This Row],[L7N]],Transactions[[#This Row],[L6N]],Transactions[[#This Row],[L7N]]))))))))</f>
        <v>CHP plants - wood</v>
      </c>
      <c r="BE311" s="26" t="str">
        <f>_xlfn.XLOOKUP(Transformation[[#This Row],[cfrom]],Commodities[Commodity],Commodities[Commodity code])</f>
        <v>0320</v>
      </c>
      <c r="BF311" s="26" t="str">
        <f>_xlfn.XLOOKUP(Transformation[[#This Row],[tfrom]],Transactions[Transaction name],Transactions[Transaction code])</f>
        <v>022</v>
      </c>
      <c r="BG311" s="26" t="str">
        <f>_xlfn.XLOOKUP(Transformation[[#This Row],[cto]],Commodities[Commodity],Commodities[Commodity code])</f>
        <v>0320</v>
      </c>
      <c r="BH311" s="26" t="str">
        <f>_xlfn.XLOOKUP(Transformation[[#This Row],[tto]],Transactions[Transaction name],Transactions[Transaction code])</f>
        <v>083</v>
      </c>
      <c r="BI311" s="31">
        <v>1</v>
      </c>
      <c r="BJ311" s="22" t="s">
        <v>493</v>
      </c>
      <c r="BK311" s="26" t="str">
        <f>_xlfn.XLOOKUP(Transformation[[#This Row],[Commodity from]],Commodities[Commodity code],Commodities[EnergyCode])</f>
        <v>BC</v>
      </c>
      <c r="BL311" s="22" t="s">
        <v>205</v>
      </c>
      <c r="BM311" s="22" t="s">
        <v>493</v>
      </c>
      <c r="BN311" s="26" t="str">
        <f>_xlfn.XLOOKUP(Transformation[[#This Row],[Commodity to]],Commodities[Commodity code],Commodities[EnergyCode])</f>
        <v>BC</v>
      </c>
      <c r="BO311" s="22" t="s">
        <v>719</v>
      </c>
      <c r="BP311" s="22" t="s">
        <v>1690</v>
      </c>
      <c r="BQ311" s="33" t="str">
        <f>Transformation[[#This Row],[Commodity from]]&amp;Transformation[[#This Row],[Transaction from]]&amp;Transformation[[#This Row],[Commodity to]]&amp;Transformation[[#This Row],[Transaction to]]</f>
        <v>03200220320083</v>
      </c>
      <c r="BR311" s="26" t="str">
        <f>Transformation[[#This Row],[crfomid]]&amp;Transformation[[#This Row],[Transaction from]]&amp;"("&amp;Transformation[[#This Row],[Multiplier]]&amp;") -&gt; "&amp;Transformation[[#This Row],[ctoid]]&amp;Transformation[[#This Row],[Transaction to]]</f>
        <v>BC022(1) -&gt; BC083</v>
      </c>
    </row>
    <row r="312" spans="25:70" x14ac:dyDescent="0.45">
      <c r="Y312" s="5" t="s">
        <v>223</v>
      </c>
      <c r="Z312" s="4" t="s">
        <v>814</v>
      </c>
      <c r="AA312" s="4" t="s">
        <v>814</v>
      </c>
      <c r="AB312" s="6" t="s">
        <v>171</v>
      </c>
      <c r="AC312" s="24" t="str">
        <f>IFERROR(VLOOKUP(Transactions[[#This Row],[Parent code]],Transactions[[Transaction code]:[Transaction name]],2,0),"")</f>
        <v>Electricity, CHP and heat plants (T)</v>
      </c>
      <c r="AD312" s="4" t="s">
        <v>189</v>
      </c>
      <c r="AE312" s="18" t="s">
        <v>1497</v>
      </c>
      <c r="AF312" s="4" t="s">
        <v>642</v>
      </c>
      <c r="AG312" s="4" t="s">
        <v>1</v>
      </c>
      <c r="AH312" s="4" t="s">
        <v>696</v>
      </c>
      <c r="AI312" s="12" t="s">
        <v>1416</v>
      </c>
      <c r="AJ312" s="4" t="s">
        <v>0</v>
      </c>
      <c r="AK312" s="24" t="str" cm="1">
        <f t="array" ref="AK312">IFERROR(INDEX(Transactions[[Transaction code]:[Transaction name]],_xlfn.XMATCH(Transactions[[#This Row],[Parent code]],Transactions[Transaction name],0),3),Transactions[[#This Row],[Transaction name]])</f>
        <v>Electricity and heat from biogases</v>
      </c>
      <c r="AL312" s="24" t="str" cm="1">
        <f t="array" ref="AL312">IFERROR(INDEX(Transactions[[Transaction code]:[Transaction name]],_xlfn.XMATCH(INDEX(Transactions[[Transaction name]:[Parent code]],_xlfn.XMATCH(Transactions[[#This Row],[L1N]],Transactions[Transaction name],0),3),Transactions[Transaction code],0),2),Transactions[[#This Row],[L1N]])</f>
        <v>Electricity, CHP and heat plants (T)</v>
      </c>
      <c r="AM312" s="24" t="str" cm="1">
        <f t="array" ref="AM312">IFERROR(INDEX(Transactions[[Transaction code]:[Transaction name]],_xlfn.XMATCH(INDEX(Transactions[[Transaction name]:[Parent code]],_xlfn.XMATCH(Transactions[[#This Row],[L2N]],Transactions[Transaction name],0),3),Transactions[Transaction code],0),2),Transactions[[#This Row],[L2N]])</f>
        <v>Transformation</v>
      </c>
      <c r="AN312" s="24" t="str" cm="1">
        <f t="array" ref="AN312">IFERROR(INDEX(Transactions[[Transaction code]:[Transaction name]],_xlfn.XMATCH(INDEX(Transactions[[Transaction name]:[Parent code]],_xlfn.XMATCH(Transactions[[#This Row],[L3N]],Transactions[Transaction name],0),3),Transactions[Transaction code],0),2),Transactions[[#This Row],[L3N]])</f>
        <v>Transformation</v>
      </c>
      <c r="AO312" s="24" t="str" cm="1">
        <f t="array" ref="AO312">IFERROR(INDEX(Transactions[[Transaction code]:[Transaction name]],_xlfn.XMATCH(INDEX(Transactions[[Transaction name]:[Parent code]],_xlfn.XMATCH(Transactions[[#This Row],[L4N]],Transactions[Transaction name],0),3),Transactions[Transaction code],0),2),Transactions[[#This Row],[L4N]])</f>
        <v>Transformation</v>
      </c>
      <c r="AP312" s="24" t="str" cm="1">
        <f t="array" ref="AP312">IFERROR(INDEX(Transactions[[Transaction code]:[Transaction name]],_xlfn.XMATCH(INDEX(Transactions[[Transaction name]:[Parent code]],_xlfn.XMATCH(Transactions[[#This Row],[L5N]],Transactions[Transaction name],0),3),Transactions[Transaction code],0),2),Transactions[[#This Row],[L5N]])</f>
        <v>Transformation</v>
      </c>
      <c r="AQ312" s="24" t="str" cm="1">
        <f t="array" ref="AQ312">IFERROR(INDEX(Transactions[[Transaction code]:[Transaction name]],_xlfn.XMATCH(INDEX(Transactions[[Transaction name]:[Parent code]],_xlfn.XMATCH(Transactions[[#This Row],[L6N]],Transactions[Transaction name],0),3),Transactions[Transaction code],0),2),Transactions[[#This Row],[L6N]])</f>
        <v>Transformation</v>
      </c>
      <c r="AR312" s="28" t="str">
        <f>IF(Transactions[[#This Row],[L7N]]=Transactions[[#This Row],[L6N]],Transactions[[#This Row],[L7N]],IF(Transactions[[#This Row],[L6N]]=Transactions[[#This Row],[L5N]],Transactions[[#This Row],[L6N]],IF(Transactions[[#This Row],[L5N]]=Transactions[[#This Row],[L4N]],Transactions[[#This Row],[L5N]],IF(Transactions[[#This Row],[L4N]]=Transactions[[#This Row],[L3N]],Transactions[[#This Row],[L4N]],IF(Transactions[[#This Row],[L3N]]=Transactions[[#This Row],[L2N]],Transactions[[#This Row],[L3N]],IF(Transactions[[#This Row],[L2N]]=Transactions[[#This Row],[L1N]],Transactions[[#This Row],[L2N]],IF(Transactions[[#This Row],[L1N]]=Transactions[[#This Row],[Transaction name]],Transactions[[#This Row],[L1N]],Transactions[[#This Row],[Transaction name]])))))))</f>
        <v>Transformation</v>
      </c>
      <c r="AS312" s="24" t="str">
        <f>IF(Transactions[[#This Row],[Level 0]]=Transactions[[#This Row],[Transaction name]],Transactions[[#This Row],[Transaction name]],IF(Transactions[[#This Row],[Level 0]]=Transactions[[#This Row],[L1N]],Transactions[[#This Row],[Transaction name]],IF(Transactions[[#This Row],[Level 0]]=Transactions[[#This Row],[L2N]],Transactions[[#This Row],[L1N]],IF(Transactions[[#This Row],[Level 0]]=Transactions[[#This Row],[L3N]],Transactions[[#This Row],[L2N]],IF(Transactions[[#This Row],[Level 0]]=Transactions[[#This Row],[L4N]],Transactions[[#This Row],[L3N]],IF(Transactions[[#This Row],[Level 0]]=Transactions[[#This Row],[L5N]],Transactions[[#This Row],[L4N]],IF(Transactions[[#This Row],[Level 0]]=Transactions[[#This Row],[L6N]],Transactions[[#This Row],[L5N]],IF(Transactions[[#This Row],[Level 0]]=Transactions[[#This Row],[L7N]],Transactions[[#This Row],[L6N]],Transactions[[#This Row],[L7N]]))))))))</f>
        <v>Electricity, CHP and heat plants (T)</v>
      </c>
      <c r="AT312" s="24" t="str">
        <f>IF(Transactions[[#This Row],[Level 1]]=Transactions[[#This Row],[Transaction name]],Transactions[[#This Row],[Transaction name]],IF(Transactions[[#This Row],[Level 1]]=Transactions[[#This Row],[L1N]],Transactions[[#This Row],[Transaction name]],IF(Transactions[[#This Row],[Level 1]]=Transactions[[#This Row],[L2N]],Transactions[[#This Row],[L1N]],IF(Transactions[[#This Row],[Level 1]]=Transactions[[#This Row],[L3N]],Transactions[[#This Row],[L2N]],IF(Transactions[[#This Row],[Level 1]]=Transactions[[#This Row],[L4N]],Transactions[[#This Row],[L3N]],IF(Transactions[[#This Row],[Level 1]]=Transactions[[#This Row],[L5N]],Transactions[[#This Row],[L4N]],IF(Transactions[[#This Row],[Level 1]]=Transactions[[#This Row],[L6N]],Transactions[[#This Row],[L5N]],IF(Transactions[[#This Row],[Level 1]]=Transactions[[#This Row],[L7N]],Transactions[[#This Row],[L6N]],Transactions[[#This Row],[L7N]]))))))))</f>
        <v>Electricity and heat from biogases</v>
      </c>
      <c r="AU312" s="24" t="str">
        <f>IF(Transactions[[#This Row],[Level 2]]=Transactions[[#This Row],[Transaction name]],Transactions[[#This Row],[Transaction name]],IF(Transactions[[#This Row],[Level 2]]=Transactions[[#This Row],[L1N]],Transactions[[#This Row],[Transaction name]],IF(Transactions[[#This Row],[Level 2]]=Transactions[[#This Row],[L2N]],Transactions[[#This Row],[L1N]],IF(Transactions[[#This Row],[Level 2]]=Transactions[[#This Row],[L3N]],Transactions[[#This Row],[L2N]],IF(Transactions[[#This Row],[Level 2]]=Transactions[[#This Row],[L4N]],Transactions[[#This Row],[L3N]],IF(Transactions[[#This Row],[Level 2]]=Transactions[[#This Row],[L5N]],Transactions[[#This Row],[L4N]],IF(Transactions[[#This Row],[Level 2]]=Transactions[[#This Row],[L6N]],Transactions[[#This Row],[L5N]],IF(Transactions[[#This Row],[Level 2]]=Transactions[[#This Row],[L7N]],Transactions[[#This Row],[L6N]],Transactions[[#This Row],[L7N]]))))))))</f>
        <v>Electricity and heat from biogases</v>
      </c>
      <c r="AV312" s="24" t="str">
        <f>IF(Transactions[[#This Row],[Level 3]]=Transactions[[#This Row],[Transaction name]],Transactions[[#This Row],[Transaction name]],IF(Transactions[[#This Row],[Level 3]]=Transactions[[#This Row],[L1N]],Transactions[[#This Row],[Transaction name]],IF(Transactions[[#This Row],[Level 3]]=Transactions[[#This Row],[L2N]],Transactions[[#This Row],[L1N]],IF(Transactions[[#This Row],[Level 3]]=Transactions[[#This Row],[L3N]],Transactions[[#This Row],[L2N]],IF(Transactions[[#This Row],[Level 3]]=Transactions[[#This Row],[L4N]],Transactions[[#This Row],[L3N]],IF(Transactions[[#This Row],[Level 3]]=Transactions[[#This Row],[L5N]],Transactions[[#This Row],[L4N]],IF(Transactions[[#This Row],[Level 3]]=Transactions[[#This Row],[L6N]],Transactions[[#This Row],[L5N]],IF(Transactions[[#This Row],[Level 3]]=Transactions[[#This Row],[L7N]],Transactions[[#This Row],[L6N]],Transactions[[#This Row],[L7N]]))))))))</f>
        <v>Electricity and heat from biogases</v>
      </c>
      <c r="AW312" s="24" t="str">
        <f>IF(Transactions[[#This Row],[Level 4]]=Transactions[[#This Row],[Transaction name]],Transactions[[#This Row],[Transaction name]],IF(Transactions[[#This Row],[Level 4]]=Transactions[[#This Row],[L1N]],Transactions[[#This Row],[Transaction name]],IF(Transactions[[#This Row],[Level 4]]=Transactions[[#This Row],[L2N]],Transactions[[#This Row],[L1N]],IF(Transactions[[#This Row],[Level 4]]=Transactions[[#This Row],[L3N]],Transactions[[#This Row],[L2N]],IF(Transactions[[#This Row],[Level 4]]=Transactions[[#This Row],[L4N]],Transactions[[#This Row],[L3N]],IF(Transactions[[#This Row],[Level 4]]=Transactions[[#This Row],[L5N]],Transactions[[#This Row],[L4N]],IF(Transactions[[#This Row],[Level 4]]=Transactions[[#This Row],[L6N]],Transactions[[#This Row],[L5N]],IF(Transactions[[#This Row],[Level 4]]=Transactions[[#This Row],[L7N]],Transactions[[#This Row],[L6N]],Transactions[[#This Row],[L7N]]))))))))</f>
        <v>Electricity and heat from biogases</v>
      </c>
      <c r="AX312" s="24" t="str">
        <f>IF(Transactions[[#This Row],[Level 5]]=Transactions[[#This Row],[Transaction name]],Transactions[[#This Row],[Transaction name]],IF(Transactions[[#This Row],[Level 5]]=Transactions[[#This Row],[L1N]],Transactions[[#This Row],[Transaction name]],IF(Transactions[[#This Row],[Level 5]]=Transactions[[#This Row],[L2N]],Transactions[[#This Row],[L1N]],IF(Transactions[[#This Row],[Level 5]]=Transactions[[#This Row],[L3N]],Transactions[[#This Row],[L2N]],IF(Transactions[[#This Row],[Level 5]]=Transactions[[#This Row],[L4N]],Transactions[[#This Row],[L3N]],IF(Transactions[[#This Row],[Level 5]]=Transactions[[#This Row],[L5N]],Transactions[[#This Row],[L4N]],IF(Transactions[[#This Row],[Level 5]]=Transactions[[#This Row],[L6N]],Transactions[[#This Row],[L5N]],IF(Transactions[[#This Row],[Level 5]]=Transactions[[#This Row],[L7N]],Transactions[[#This Row],[L6N]],Transactions[[#This Row],[L7N]]))))))))</f>
        <v>Electricity and heat from biogases</v>
      </c>
      <c r="AY312" s="24" t="str">
        <f>IF(Transactions[[#This Row],[Level 6]]=Transactions[[#This Row],[Transaction name]],Transactions[[#This Row],[Transaction name]],IF(Transactions[[#This Row],[Level 6]]=Transactions[[#This Row],[L1N]],Transactions[[#This Row],[Transaction name]],IF(Transactions[[#This Row],[Level 6]]=Transactions[[#This Row],[L2N]],Transactions[[#This Row],[L1N]],IF(Transactions[[#This Row],[Level 6]]=Transactions[[#This Row],[L3N]],Transactions[[#This Row],[L2N]],IF(Transactions[[#This Row],[Level 6]]=Transactions[[#This Row],[L4N]],Transactions[[#This Row],[L3N]],IF(Transactions[[#This Row],[Level 6]]=Transactions[[#This Row],[L5N]],Transactions[[#This Row],[L4N]],IF(Transactions[[#This Row],[Level 6]]=Transactions[[#This Row],[L6N]],Transactions[[#This Row],[L5N]],IF(Transactions[[#This Row],[Level 6]]=Transactions[[#This Row],[L7N]],Transactions[[#This Row],[L6N]],Transactions[[#This Row],[L7N]]))))))))</f>
        <v>Electricity and heat from biogases</v>
      </c>
      <c r="BE312" s="26" t="str">
        <f>_xlfn.XLOOKUP(Transformation[[#This Row],[cfrom]],Commodities[Commodity],Commodities[Commodity code])</f>
        <v>0371</v>
      </c>
      <c r="BF312" s="26" t="str">
        <f>_xlfn.XLOOKUP(Transformation[[#This Row],[tfrom]],Transactions[Transaction name],Transactions[Transaction code])</f>
        <v>01</v>
      </c>
      <c r="BG312" s="26" t="str">
        <f>_xlfn.XLOOKUP(Transformation[[#This Row],[cto]],Commodities[Commodity],Commodities[Commodity code])</f>
        <v>0371</v>
      </c>
      <c r="BH312" s="26" t="str">
        <f>_xlfn.XLOOKUP(Transformation[[#This Row],[tto]],Transactions[Transaction name],Transactions[Transaction code])</f>
        <v>084</v>
      </c>
      <c r="BI312" s="32">
        <v>1</v>
      </c>
      <c r="BJ312" s="22" t="s">
        <v>476</v>
      </c>
      <c r="BK312" s="26" t="str">
        <f>_xlfn.XLOOKUP(Transformation[[#This Row],[Commodity from]],Commodities[Commodity code],Commodities[EnergyCode])</f>
        <v>BG</v>
      </c>
      <c r="BL312" s="22" t="s">
        <v>383</v>
      </c>
      <c r="BM312" s="22" t="s">
        <v>476</v>
      </c>
      <c r="BN312" s="26" t="str">
        <f>_xlfn.XLOOKUP(Transformation[[#This Row],[Commodity to]],Commodities[Commodity code],Commodities[EnergyCode])</f>
        <v>BG</v>
      </c>
      <c r="BO312" s="22" t="s">
        <v>722</v>
      </c>
      <c r="BP312" s="22" t="s">
        <v>1636</v>
      </c>
      <c r="BQ312" s="33" t="str">
        <f>Transformation[[#This Row],[Commodity from]]&amp;Transformation[[#This Row],[Transaction from]]&amp;Transformation[[#This Row],[Commodity to]]&amp;Transformation[[#This Row],[Transaction to]]</f>
        <v>0371010371084</v>
      </c>
      <c r="BR312" s="26" t="str">
        <f>Transformation[[#This Row],[crfomid]]&amp;Transformation[[#This Row],[Transaction from]]&amp;"("&amp;Transformation[[#This Row],[Multiplier]]&amp;") -&gt; "&amp;Transformation[[#This Row],[ctoid]]&amp;Transformation[[#This Row],[Transaction to]]</f>
        <v>BG01(1) -&gt; BG084</v>
      </c>
    </row>
    <row r="313" spans="25:70" x14ac:dyDescent="0.45">
      <c r="Y313" s="5" t="s">
        <v>217</v>
      </c>
      <c r="Z313" s="4" t="s">
        <v>820</v>
      </c>
      <c r="AA313" s="4" t="s">
        <v>820</v>
      </c>
      <c r="AB313" s="6" t="s">
        <v>171</v>
      </c>
      <c r="AC313" s="24" t="str">
        <f>IFERROR(VLOOKUP(Transactions[[#This Row],[Parent code]],Transactions[[Transaction code]:[Transaction name]],2,0),"")</f>
        <v>Electricity, CHP and heat plants (T)</v>
      </c>
      <c r="AD313" s="4" t="s">
        <v>189</v>
      </c>
      <c r="AE313" s="18" t="s">
        <v>1497</v>
      </c>
      <c r="AF313" s="4" t="s">
        <v>642</v>
      </c>
      <c r="AG313" s="4" t="s">
        <v>1</v>
      </c>
      <c r="AH313" s="4" t="s">
        <v>696</v>
      </c>
      <c r="AI313" s="12" t="s">
        <v>1416</v>
      </c>
      <c r="AJ313" s="4" t="s">
        <v>0</v>
      </c>
      <c r="AK313" s="24" t="str" cm="1">
        <f t="array" ref="AK313">IFERROR(INDEX(Transactions[[Transaction code]:[Transaction name]],_xlfn.XMATCH(Transactions[[#This Row],[Parent code]],Transactions[Transaction name],0),3),Transactions[[#This Row],[Transaction name]])</f>
        <v>Electricity and heat from brown coal</v>
      </c>
      <c r="AL313" s="24" t="str" cm="1">
        <f t="array" ref="AL313">IFERROR(INDEX(Transactions[[Transaction code]:[Transaction name]],_xlfn.XMATCH(INDEX(Transactions[[Transaction name]:[Parent code]],_xlfn.XMATCH(Transactions[[#This Row],[L1N]],Transactions[Transaction name],0),3),Transactions[Transaction code],0),2),Transactions[[#This Row],[L1N]])</f>
        <v>Electricity, CHP and heat plants (T)</v>
      </c>
      <c r="AM313" s="24" t="str" cm="1">
        <f t="array" ref="AM313">IFERROR(INDEX(Transactions[[Transaction code]:[Transaction name]],_xlfn.XMATCH(INDEX(Transactions[[Transaction name]:[Parent code]],_xlfn.XMATCH(Transactions[[#This Row],[L2N]],Transactions[Transaction name],0),3),Transactions[Transaction code],0),2),Transactions[[#This Row],[L2N]])</f>
        <v>Transformation</v>
      </c>
      <c r="AN313" s="24" t="str" cm="1">
        <f t="array" ref="AN313">IFERROR(INDEX(Transactions[[Transaction code]:[Transaction name]],_xlfn.XMATCH(INDEX(Transactions[[Transaction name]:[Parent code]],_xlfn.XMATCH(Transactions[[#This Row],[L3N]],Transactions[Transaction name],0),3),Transactions[Transaction code],0),2),Transactions[[#This Row],[L3N]])</f>
        <v>Transformation</v>
      </c>
      <c r="AO313" s="24" t="str" cm="1">
        <f t="array" ref="AO313">IFERROR(INDEX(Transactions[[Transaction code]:[Transaction name]],_xlfn.XMATCH(INDEX(Transactions[[Transaction name]:[Parent code]],_xlfn.XMATCH(Transactions[[#This Row],[L4N]],Transactions[Transaction name],0),3),Transactions[Transaction code],0),2),Transactions[[#This Row],[L4N]])</f>
        <v>Transformation</v>
      </c>
      <c r="AP313" s="24" t="str" cm="1">
        <f t="array" ref="AP313">IFERROR(INDEX(Transactions[[Transaction code]:[Transaction name]],_xlfn.XMATCH(INDEX(Transactions[[Transaction name]:[Parent code]],_xlfn.XMATCH(Transactions[[#This Row],[L5N]],Transactions[Transaction name],0),3),Transactions[Transaction code],0),2),Transactions[[#This Row],[L5N]])</f>
        <v>Transformation</v>
      </c>
      <c r="AQ313" s="24" t="str" cm="1">
        <f t="array" ref="AQ313">IFERROR(INDEX(Transactions[[Transaction code]:[Transaction name]],_xlfn.XMATCH(INDEX(Transactions[[Transaction name]:[Parent code]],_xlfn.XMATCH(Transactions[[#This Row],[L6N]],Transactions[Transaction name],0),3),Transactions[Transaction code],0),2),Transactions[[#This Row],[L6N]])</f>
        <v>Transformation</v>
      </c>
      <c r="AR313" s="28" t="str">
        <f>IF(Transactions[[#This Row],[L7N]]=Transactions[[#This Row],[L6N]],Transactions[[#This Row],[L7N]],IF(Transactions[[#This Row],[L6N]]=Transactions[[#This Row],[L5N]],Transactions[[#This Row],[L6N]],IF(Transactions[[#This Row],[L5N]]=Transactions[[#This Row],[L4N]],Transactions[[#This Row],[L5N]],IF(Transactions[[#This Row],[L4N]]=Transactions[[#This Row],[L3N]],Transactions[[#This Row],[L4N]],IF(Transactions[[#This Row],[L3N]]=Transactions[[#This Row],[L2N]],Transactions[[#This Row],[L3N]],IF(Transactions[[#This Row],[L2N]]=Transactions[[#This Row],[L1N]],Transactions[[#This Row],[L2N]],IF(Transactions[[#This Row],[L1N]]=Transactions[[#This Row],[Transaction name]],Transactions[[#This Row],[L1N]],Transactions[[#This Row],[Transaction name]])))))))</f>
        <v>Transformation</v>
      </c>
      <c r="AS313" s="24" t="str">
        <f>IF(Transactions[[#This Row],[Level 0]]=Transactions[[#This Row],[Transaction name]],Transactions[[#This Row],[Transaction name]],IF(Transactions[[#This Row],[Level 0]]=Transactions[[#This Row],[L1N]],Transactions[[#This Row],[Transaction name]],IF(Transactions[[#This Row],[Level 0]]=Transactions[[#This Row],[L2N]],Transactions[[#This Row],[L1N]],IF(Transactions[[#This Row],[Level 0]]=Transactions[[#This Row],[L3N]],Transactions[[#This Row],[L2N]],IF(Transactions[[#This Row],[Level 0]]=Transactions[[#This Row],[L4N]],Transactions[[#This Row],[L3N]],IF(Transactions[[#This Row],[Level 0]]=Transactions[[#This Row],[L5N]],Transactions[[#This Row],[L4N]],IF(Transactions[[#This Row],[Level 0]]=Transactions[[#This Row],[L6N]],Transactions[[#This Row],[L5N]],IF(Transactions[[#This Row],[Level 0]]=Transactions[[#This Row],[L7N]],Transactions[[#This Row],[L6N]],Transactions[[#This Row],[L7N]]))))))))</f>
        <v>Electricity, CHP and heat plants (T)</v>
      </c>
      <c r="AT313" s="24" t="str">
        <f>IF(Transactions[[#This Row],[Level 1]]=Transactions[[#This Row],[Transaction name]],Transactions[[#This Row],[Transaction name]],IF(Transactions[[#This Row],[Level 1]]=Transactions[[#This Row],[L1N]],Transactions[[#This Row],[Transaction name]],IF(Transactions[[#This Row],[Level 1]]=Transactions[[#This Row],[L2N]],Transactions[[#This Row],[L1N]],IF(Transactions[[#This Row],[Level 1]]=Transactions[[#This Row],[L3N]],Transactions[[#This Row],[L2N]],IF(Transactions[[#This Row],[Level 1]]=Transactions[[#This Row],[L4N]],Transactions[[#This Row],[L3N]],IF(Transactions[[#This Row],[Level 1]]=Transactions[[#This Row],[L5N]],Transactions[[#This Row],[L4N]],IF(Transactions[[#This Row],[Level 1]]=Transactions[[#This Row],[L6N]],Transactions[[#This Row],[L5N]],IF(Transactions[[#This Row],[Level 1]]=Transactions[[#This Row],[L7N]],Transactions[[#This Row],[L6N]],Transactions[[#This Row],[L7N]]))))))))</f>
        <v>Electricity and heat from brown coal</v>
      </c>
      <c r="AU313" s="24" t="str">
        <f>IF(Transactions[[#This Row],[Level 2]]=Transactions[[#This Row],[Transaction name]],Transactions[[#This Row],[Transaction name]],IF(Transactions[[#This Row],[Level 2]]=Transactions[[#This Row],[L1N]],Transactions[[#This Row],[Transaction name]],IF(Transactions[[#This Row],[Level 2]]=Transactions[[#This Row],[L2N]],Transactions[[#This Row],[L1N]],IF(Transactions[[#This Row],[Level 2]]=Transactions[[#This Row],[L3N]],Transactions[[#This Row],[L2N]],IF(Transactions[[#This Row],[Level 2]]=Transactions[[#This Row],[L4N]],Transactions[[#This Row],[L3N]],IF(Transactions[[#This Row],[Level 2]]=Transactions[[#This Row],[L5N]],Transactions[[#This Row],[L4N]],IF(Transactions[[#This Row],[Level 2]]=Transactions[[#This Row],[L6N]],Transactions[[#This Row],[L5N]],IF(Transactions[[#This Row],[Level 2]]=Transactions[[#This Row],[L7N]],Transactions[[#This Row],[L6N]],Transactions[[#This Row],[L7N]]))))))))</f>
        <v>Electricity and heat from brown coal</v>
      </c>
      <c r="AV313" s="24" t="str">
        <f>IF(Transactions[[#This Row],[Level 3]]=Transactions[[#This Row],[Transaction name]],Transactions[[#This Row],[Transaction name]],IF(Transactions[[#This Row],[Level 3]]=Transactions[[#This Row],[L1N]],Transactions[[#This Row],[Transaction name]],IF(Transactions[[#This Row],[Level 3]]=Transactions[[#This Row],[L2N]],Transactions[[#This Row],[L1N]],IF(Transactions[[#This Row],[Level 3]]=Transactions[[#This Row],[L3N]],Transactions[[#This Row],[L2N]],IF(Transactions[[#This Row],[Level 3]]=Transactions[[#This Row],[L4N]],Transactions[[#This Row],[L3N]],IF(Transactions[[#This Row],[Level 3]]=Transactions[[#This Row],[L5N]],Transactions[[#This Row],[L4N]],IF(Transactions[[#This Row],[Level 3]]=Transactions[[#This Row],[L6N]],Transactions[[#This Row],[L5N]],IF(Transactions[[#This Row],[Level 3]]=Transactions[[#This Row],[L7N]],Transactions[[#This Row],[L6N]],Transactions[[#This Row],[L7N]]))))))))</f>
        <v>Electricity and heat from brown coal</v>
      </c>
      <c r="AW313" s="24" t="str">
        <f>IF(Transactions[[#This Row],[Level 4]]=Transactions[[#This Row],[Transaction name]],Transactions[[#This Row],[Transaction name]],IF(Transactions[[#This Row],[Level 4]]=Transactions[[#This Row],[L1N]],Transactions[[#This Row],[Transaction name]],IF(Transactions[[#This Row],[Level 4]]=Transactions[[#This Row],[L2N]],Transactions[[#This Row],[L1N]],IF(Transactions[[#This Row],[Level 4]]=Transactions[[#This Row],[L3N]],Transactions[[#This Row],[L2N]],IF(Transactions[[#This Row],[Level 4]]=Transactions[[#This Row],[L4N]],Transactions[[#This Row],[L3N]],IF(Transactions[[#This Row],[Level 4]]=Transactions[[#This Row],[L5N]],Transactions[[#This Row],[L4N]],IF(Transactions[[#This Row],[Level 4]]=Transactions[[#This Row],[L6N]],Transactions[[#This Row],[L5N]],IF(Transactions[[#This Row],[Level 4]]=Transactions[[#This Row],[L7N]],Transactions[[#This Row],[L6N]],Transactions[[#This Row],[L7N]]))))))))</f>
        <v>Electricity and heat from brown coal</v>
      </c>
      <c r="AX313" s="24" t="str">
        <f>IF(Transactions[[#This Row],[Level 5]]=Transactions[[#This Row],[Transaction name]],Transactions[[#This Row],[Transaction name]],IF(Transactions[[#This Row],[Level 5]]=Transactions[[#This Row],[L1N]],Transactions[[#This Row],[Transaction name]],IF(Transactions[[#This Row],[Level 5]]=Transactions[[#This Row],[L2N]],Transactions[[#This Row],[L1N]],IF(Transactions[[#This Row],[Level 5]]=Transactions[[#This Row],[L3N]],Transactions[[#This Row],[L2N]],IF(Transactions[[#This Row],[Level 5]]=Transactions[[#This Row],[L4N]],Transactions[[#This Row],[L3N]],IF(Transactions[[#This Row],[Level 5]]=Transactions[[#This Row],[L5N]],Transactions[[#This Row],[L4N]],IF(Transactions[[#This Row],[Level 5]]=Transactions[[#This Row],[L6N]],Transactions[[#This Row],[L5N]],IF(Transactions[[#This Row],[Level 5]]=Transactions[[#This Row],[L7N]],Transactions[[#This Row],[L6N]],Transactions[[#This Row],[L7N]]))))))))</f>
        <v>Electricity and heat from brown coal</v>
      </c>
      <c r="AY313" s="24" t="str">
        <f>IF(Transactions[[#This Row],[Level 6]]=Transactions[[#This Row],[Transaction name]],Transactions[[#This Row],[Transaction name]],IF(Transactions[[#This Row],[Level 6]]=Transactions[[#This Row],[L1N]],Transactions[[#This Row],[Transaction name]],IF(Transactions[[#This Row],[Level 6]]=Transactions[[#This Row],[L2N]],Transactions[[#This Row],[L1N]],IF(Transactions[[#This Row],[Level 6]]=Transactions[[#This Row],[L3N]],Transactions[[#This Row],[L2N]],IF(Transactions[[#This Row],[Level 6]]=Transactions[[#This Row],[L4N]],Transactions[[#This Row],[L3N]],IF(Transactions[[#This Row],[Level 6]]=Transactions[[#This Row],[L5N]],Transactions[[#This Row],[L4N]],IF(Transactions[[#This Row],[Level 6]]=Transactions[[#This Row],[L6N]],Transactions[[#This Row],[L5N]],IF(Transactions[[#This Row],[Level 6]]=Transactions[[#This Row],[L7N]],Transactions[[#This Row],[L6N]],Transactions[[#This Row],[L7N]]))))))))</f>
        <v>Electricity and heat from brown coal</v>
      </c>
      <c r="BE313" s="26" t="str">
        <f>_xlfn.XLOOKUP(Transformation[[#This Row],[cfrom]],Commodities[Commodity],Commodities[Commodity code])</f>
        <v>0371</v>
      </c>
      <c r="BF313" s="26" t="str">
        <f>_xlfn.XLOOKUP(Transformation[[#This Row],[tfrom]],Transactions[Transaction name],Transactions[Transaction code])</f>
        <v>01</v>
      </c>
      <c r="BG313" s="26" t="str">
        <f>_xlfn.XLOOKUP(Transformation[[#This Row],[cto]],Commodities[Commodity],Commodities[Commodity code])</f>
        <v>0371</v>
      </c>
      <c r="BH313" s="26" t="str">
        <f>_xlfn.XLOOKUP(Transformation[[#This Row],[tto]],Transactions[Transaction name],Transactions[Transaction code])</f>
        <v>01</v>
      </c>
      <c r="BI313" s="32">
        <v>-1</v>
      </c>
      <c r="BJ313" s="22" t="s">
        <v>476</v>
      </c>
      <c r="BK313" s="26" t="str">
        <f>_xlfn.XLOOKUP(Transformation[[#This Row],[Commodity from]],Commodities[Commodity code],Commodities[EnergyCode])</f>
        <v>BG</v>
      </c>
      <c r="BL313" s="22" t="s">
        <v>383</v>
      </c>
      <c r="BM313" s="22" t="s">
        <v>476</v>
      </c>
      <c r="BN313" s="26" t="str">
        <f>_xlfn.XLOOKUP(Transformation[[#This Row],[Commodity to]],Commodities[Commodity code],Commodities[EnergyCode])</f>
        <v>BG</v>
      </c>
      <c r="BO313" s="22" t="s">
        <v>383</v>
      </c>
      <c r="BP313" s="22" t="s">
        <v>1633</v>
      </c>
      <c r="BQ313" s="33" t="str">
        <f>Transformation[[#This Row],[Commodity from]]&amp;Transformation[[#This Row],[Transaction from]]&amp;Transformation[[#This Row],[Commodity to]]&amp;Transformation[[#This Row],[Transaction to]]</f>
        <v>037101037101</v>
      </c>
      <c r="BR313" s="26" t="str">
        <f>Transformation[[#This Row],[crfomid]]&amp;Transformation[[#This Row],[Transaction from]]&amp;"("&amp;Transformation[[#This Row],[Multiplier]]&amp;") -&gt; "&amp;Transformation[[#This Row],[ctoid]]&amp;Transformation[[#This Row],[Transaction to]]</f>
        <v>BG01(-1) -&gt; BG01</v>
      </c>
    </row>
    <row r="314" spans="25:70" x14ac:dyDescent="0.45">
      <c r="Y314" s="5" t="s">
        <v>219</v>
      </c>
      <c r="Z314" s="4" t="s">
        <v>818</v>
      </c>
      <c r="AA314" s="4" t="s">
        <v>818</v>
      </c>
      <c r="AB314" s="6" t="s">
        <v>171</v>
      </c>
      <c r="AC314" s="24" t="str">
        <f>IFERROR(VLOOKUP(Transactions[[#This Row],[Parent code]],Transactions[[Transaction code]:[Transaction name]],2,0),"")</f>
        <v>Electricity, CHP and heat plants (T)</v>
      </c>
      <c r="AD314" s="4" t="s">
        <v>189</v>
      </c>
      <c r="AE314" s="18" t="s">
        <v>1497</v>
      </c>
      <c r="AF314" s="4" t="s">
        <v>642</v>
      </c>
      <c r="AG314" s="4" t="s">
        <v>1</v>
      </c>
      <c r="AH314" s="4" t="s">
        <v>696</v>
      </c>
      <c r="AI314" s="12" t="s">
        <v>1416</v>
      </c>
      <c r="AJ314" s="4" t="s">
        <v>0</v>
      </c>
      <c r="AK314" s="24" t="str" cm="1">
        <f t="array" ref="AK314">IFERROR(INDEX(Transactions[[Transaction code]:[Transaction name]],_xlfn.XMATCH(Transactions[[#This Row],[Parent code]],Transactions[Transaction name],0),3),Transactions[[#This Row],[Transaction name]])</f>
        <v>Electricity and heat from crude oil</v>
      </c>
      <c r="AL314" s="24" t="str" cm="1">
        <f t="array" ref="AL314">IFERROR(INDEX(Transactions[[Transaction code]:[Transaction name]],_xlfn.XMATCH(INDEX(Transactions[[Transaction name]:[Parent code]],_xlfn.XMATCH(Transactions[[#This Row],[L1N]],Transactions[Transaction name],0),3),Transactions[Transaction code],0),2),Transactions[[#This Row],[L1N]])</f>
        <v>Electricity, CHP and heat plants (T)</v>
      </c>
      <c r="AM314" s="24" t="str" cm="1">
        <f t="array" ref="AM314">IFERROR(INDEX(Transactions[[Transaction code]:[Transaction name]],_xlfn.XMATCH(INDEX(Transactions[[Transaction name]:[Parent code]],_xlfn.XMATCH(Transactions[[#This Row],[L2N]],Transactions[Transaction name],0),3),Transactions[Transaction code],0),2),Transactions[[#This Row],[L2N]])</f>
        <v>Transformation</v>
      </c>
      <c r="AN314" s="24" t="str" cm="1">
        <f t="array" ref="AN314">IFERROR(INDEX(Transactions[[Transaction code]:[Transaction name]],_xlfn.XMATCH(INDEX(Transactions[[Transaction name]:[Parent code]],_xlfn.XMATCH(Transactions[[#This Row],[L3N]],Transactions[Transaction name],0),3),Transactions[Transaction code],0),2),Transactions[[#This Row],[L3N]])</f>
        <v>Transformation</v>
      </c>
      <c r="AO314" s="24" t="str" cm="1">
        <f t="array" ref="AO314">IFERROR(INDEX(Transactions[[Transaction code]:[Transaction name]],_xlfn.XMATCH(INDEX(Transactions[[Transaction name]:[Parent code]],_xlfn.XMATCH(Transactions[[#This Row],[L4N]],Transactions[Transaction name],0),3),Transactions[Transaction code],0),2),Transactions[[#This Row],[L4N]])</f>
        <v>Transformation</v>
      </c>
      <c r="AP314" s="24" t="str" cm="1">
        <f t="array" ref="AP314">IFERROR(INDEX(Transactions[[Transaction code]:[Transaction name]],_xlfn.XMATCH(INDEX(Transactions[[Transaction name]:[Parent code]],_xlfn.XMATCH(Transactions[[#This Row],[L5N]],Transactions[Transaction name],0),3),Transactions[Transaction code],0),2),Transactions[[#This Row],[L5N]])</f>
        <v>Transformation</v>
      </c>
      <c r="AQ314" s="24" t="str" cm="1">
        <f t="array" ref="AQ314">IFERROR(INDEX(Transactions[[Transaction code]:[Transaction name]],_xlfn.XMATCH(INDEX(Transactions[[Transaction name]:[Parent code]],_xlfn.XMATCH(Transactions[[#This Row],[L6N]],Transactions[Transaction name],0),3),Transactions[Transaction code],0),2),Transactions[[#This Row],[L6N]])</f>
        <v>Transformation</v>
      </c>
      <c r="AR314" s="27" t="str">
        <f>IF(Transactions[[#This Row],[L7N]]=Transactions[[#This Row],[L6N]],Transactions[[#This Row],[L7N]],IF(Transactions[[#This Row],[L6N]]=Transactions[[#This Row],[L5N]],Transactions[[#This Row],[L6N]],IF(Transactions[[#This Row],[L5N]]=Transactions[[#This Row],[L4N]],Transactions[[#This Row],[L5N]],IF(Transactions[[#This Row],[L4N]]=Transactions[[#This Row],[L3N]],Transactions[[#This Row],[L4N]],IF(Transactions[[#This Row],[L3N]]=Transactions[[#This Row],[L2N]],Transactions[[#This Row],[L3N]],IF(Transactions[[#This Row],[L2N]]=Transactions[[#This Row],[L1N]],Transactions[[#This Row],[L2N]],IF(Transactions[[#This Row],[L1N]]=Transactions[[#This Row],[Transaction name]],Transactions[[#This Row],[L1N]],Transactions[[#This Row],[Transaction name]])))))))</f>
        <v>Transformation</v>
      </c>
      <c r="AS314" s="24" t="str">
        <f>IF(Transactions[[#This Row],[Level 0]]=Transactions[[#This Row],[Transaction name]],Transactions[[#This Row],[Transaction name]],IF(Transactions[[#This Row],[Level 0]]=Transactions[[#This Row],[L1N]],Transactions[[#This Row],[Transaction name]],IF(Transactions[[#This Row],[Level 0]]=Transactions[[#This Row],[L2N]],Transactions[[#This Row],[L1N]],IF(Transactions[[#This Row],[Level 0]]=Transactions[[#This Row],[L3N]],Transactions[[#This Row],[L2N]],IF(Transactions[[#This Row],[Level 0]]=Transactions[[#This Row],[L4N]],Transactions[[#This Row],[L3N]],IF(Transactions[[#This Row],[Level 0]]=Transactions[[#This Row],[L5N]],Transactions[[#This Row],[L4N]],IF(Transactions[[#This Row],[Level 0]]=Transactions[[#This Row],[L6N]],Transactions[[#This Row],[L5N]],IF(Transactions[[#This Row],[Level 0]]=Transactions[[#This Row],[L7N]],Transactions[[#This Row],[L6N]],Transactions[[#This Row],[L7N]]))))))))</f>
        <v>Electricity, CHP and heat plants (T)</v>
      </c>
      <c r="AT314" s="24" t="str">
        <f>IF(Transactions[[#This Row],[Level 1]]=Transactions[[#This Row],[Transaction name]],Transactions[[#This Row],[Transaction name]],IF(Transactions[[#This Row],[Level 1]]=Transactions[[#This Row],[L1N]],Transactions[[#This Row],[Transaction name]],IF(Transactions[[#This Row],[Level 1]]=Transactions[[#This Row],[L2N]],Transactions[[#This Row],[L1N]],IF(Transactions[[#This Row],[Level 1]]=Transactions[[#This Row],[L3N]],Transactions[[#This Row],[L2N]],IF(Transactions[[#This Row],[Level 1]]=Transactions[[#This Row],[L4N]],Transactions[[#This Row],[L3N]],IF(Transactions[[#This Row],[Level 1]]=Transactions[[#This Row],[L5N]],Transactions[[#This Row],[L4N]],IF(Transactions[[#This Row],[Level 1]]=Transactions[[#This Row],[L6N]],Transactions[[#This Row],[L5N]],IF(Transactions[[#This Row],[Level 1]]=Transactions[[#This Row],[L7N]],Transactions[[#This Row],[L6N]],Transactions[[#This Row],[L7N]]))))))))</f>
        <v>Electricity and heat from crude oil</v>
      </c>
      <c r="AU314" s="24" t="str">
        <f>IF(Transactions[[#This Row],[Level 2]]=Transactions[[#This Row],[Transaction name]],Transactions[[#This Row],[Transaction name]],IF(Transactions[[#This Row],[Level 2]]=Transactions[[#This Row],[L1N]],Transactions[[#This Row],[Transaction name]],IF(Transactions[[#This Row],[Level 2]]=Transactions[[#This Row],[L2N]],Transactions[[#This Row],[L1N]],IF(Transactions[[#This Row],[Level 2]]=Transactions[[#This Row],[L3N]],Transactions[[#This Row],[L2N]],IF(Transactions[[#This Row],[Level 2]]=Transactions[[#This Row],[L4N]],Transactions[[#This Row],[L3N]],IF(Transactions[[#This Row],[Level 2]]=Transactions[[#This Row],[L5N]],Transactions[[#This Row],[L4N]],IF(Transactions[[#This Row],[Level 2]]=Transactions[[#This Row],[L6N]],Transactions[[#This Row],[L5N]],IF(Transactions[[#This Row],[Level 2]]=Transactions[[#This Row],[L7N]],Transactions[[#This Row],[L6N]],Transactions[[#This Row],[L7N]]))))))))</f>
        <v>Electricity and heat from crude oil</v>
      </c>
      <c r="AV314" s="24" t="str">
        <f>IF(Transactions[[#This Row],[Level 3]]=Transactions[[#This Row],[Transaction name]],Transactions[[#This Row],[Transaction name]],IF(Transactions[[#This Row],[Level 3]]=Transactions[[#This Row],[L1N]],Transactions[[#This Row],[Transaction name]],IF(Transactions[[#This Row],[Level 3]]=Transactions[[#This Row],[L2N]],Transactions[[#This Row],[L1N]],IF(Transactions[[#This Row],[Level 3]]=Transactions[[#This Row],[L3N]],Transactions[[#This Row],[L2N]],IF(Transactions[[#This Row],[Level 3]]=Transactions[[#This Row],[L4N]],Transactions[[#This Row],[L3N]],IF(Transactions[[#This Row],[Level 3]]=Transactions[[#This Row],[L5N]],Transactions[[#This Row],[L4N]],IF(Transactions[[#This Row],[Level 3]]=Transactions[[#This Row],[L6N]],Transactions[[#This Row],[L5N]],IF(Transactions[[#This Row],[Level 3]]=Transactions[[#This Row],[L7N]],Transactions[[#This Row],[L6N]],Transactions[[#This Row],[L7N]]))))))))</f>
        <v>Electricity and heat from crude oil</v>
      </c>
      <c r="AW314" s="24" t="str">
        <f>IF(Transactions[[#This Row],[Level 4]]=Transactions[[#This Row],[Transaction name]],Transactions[[#This Row],[Transaction name]],IF(Transactions[[#This Row],[Level 4]]=Transactions[[#This Row],[L1N]],Transactions[[#This Row],[Transaction name]],IF(Transactions[[#This Row],[Level 4]]=Transactions[[#This Row],[L2N]],Transactions[[#This Row],[L1N]],IF(Transactions[[#This Row],[Level 4]]=Transactions[[#This Row],[L3N]],Transactions[[#This Row],[L2N]],IF(Transactions[[#This Row],[Level 4]]=Transactions[[#This Row],[L4N]],Transactions[[#This Row],[L3N]],IF(Transactions[[#This Row],[Level 4]]=Transactions[[#This Row],[L5N]],Transactions[[#This Row],[L4N]],IF(Transactions[[#This Row],[Level 4]]=Transactions[[#This Row],[L6N]],Transactions[[#This Row],[L5N]],IF(Transactions[[#This Row],[Level 4]]=Transactions[[#This Row],[L7N]],Transactions[[#This Row],[L6N]],Transactions[[#This Row],[L7N]]))))))))</f>
        <v>Electricity and heat from crude oil</v>
      </c>
      <c r="AX314" s="24" t="str">
        <f>IF(Transactions[[#This Row],[Level 5]]=Transactions[[#This Row],[Transaction name]],Transactions[[#This Row],[Transaction name]],IF(Transactions[[#This Row],[Level 5]]=Transactions[[#This Row],[L1N]],Transactions[[#This Row],[Transaction name]],IF(Transactions[[#This Row],[Level 5]]=Transactions[[#This Row],[L2N]],Transactions[[#This Row],[L1N]],IF(Transactions[[#This Row],[Level 5]]=Transactions[[#This Row],[L3N]],Transactions[[#This Row],[L2N]],IF(Transactions[[#This Row],[Level 5]]=Transactions[[#This Row],[L4N]],Transactions[[#This Row],[L3N]],IF(Transactions[[#This Row],[Level 5]]=Transactions[[#This Row],[L5N]],Transactions[[#This Row],[L4N]],IF(Transactions[[#This Row],[Level 5]]=Transactions[[#This Row],[L6N]],Transactions[[#This Row],[L5N]],IF(Transactions[[#This Row],[Level 5]]=Transactions[[#This Row],[L7N]],Transactions[[#This Row],[L6N]],Transactions[[#This Row],[L7N]]))))))))</f>
        <v>Electricity and heat from crude oil</v>
      </c>
      <c r="AY314" s="24" t="str">
        <f>IF(Transactions[[#This Row],[Level 6]]=Transactions[[#This Row],[Transaction name]],Transactions[[#This Row],[Transaction name]],IF(Transactions[[#This Row],[Level 6]]=Transactions[[#This Row],[L1N]],Transactions[[#This Row],[Transaction name]],IF(Transactions[[#This Row],[Level 6]]=Transactions[[#This Row],[L2N]],Transactions[[#This Row],[L1N]],IF(Transactions[[#This Row],[Level 6]]=Transactions[[#This Row],[L3N]],Transactions[[#This Row],[L2N]],IF(Transactions[[#This Row],[Level 6]]=Transactions[[#This Row],[L4N]],Transactions[[#This Row],[L3N]],IF(Transactions[[#This Row],[Level 6]]=Transactions[[#This Row],[L5N]],Transactions[[#This Row],[L4N]],IF(Transactions[[#This Row],[Level 6]]=Transactions[[#This Row],[L6N]],Transactions[[#This Row],[L5N]],IF(Transactions[[#This Row],[Level 6]]=Transactions[[#This Row],[L7N]],Transactions[[#This Row],[L6N]],Transactions[[#This Row],[L7N]]))))))))</f>
        <v>Electricity and heat from crude oil</v>
      </c>
      <c r="BE314" s="26" t="str">
        <f>_xlfn.XLOOKUP(Transformation[[#This Row],[cfrom]],Commodities[Commodity],Commodities[Commodity code])</f>
        <v>0371</v>
      </c>
      <c r="BF314" s="26" t="str">
        <f>_xlfn.XLOOKUP(Transformation[[#This Row],[tfrom]],Transactions[Transaction name],Transactions[Transaction code])</f>
        <v>022</v>
      </c>
      <c r="BG314" s="26" t="str">
        <f>_xlfn.XLOOKUP(Transformation[[#This Row],[cto]],Commodities[Commodity],Commodities[Commodity code])</f>
        <v>0371</v>
      </c>
      <c r="BH314" s="26" t="str">
        <f>_xlfn.XLOOKUP(Transformation[[#This Row],[tto]],Transactions[Transaction name],Transactions[Transaction code])</f>
        <v>084</v>
      </c>
      <c r="BI314" s="31">
        <v>1</v>
      </c>
      <c r="BJ314" s="22" t="s">
        <v>476</v>
      </c>
      <c r="BK314" s="26" t="str">
        <f>_xlfn.XLOOKUP(Transformation[[#This Row],[Commodity from]],Commodities[Commodity code],Commodities[EnergyCode])</f>
        <v>BG</v>
      </c>
      <c r="BL314" s="22" t="s">
        <v>205</v>
      </c>
      <c r="BM314" s="22" t="s">
        <v>476</v>
      </c>
      <c r="BN314" s="26" t="str">
        <f>_xlfn.XLOOKUP(Transformation[[#This Row],[Commodity to]],Commodities[Commodity code],Commodities[EnergyCode])</f>
        <v>BG</v>
      </c>
      <c r="BO314" s="22" t="s">
        <v>722</v>
      </c>
      <c r="BP314" s="22" t="s">
        <v>1691</v>
      </c>
      <c r="BQ314" s="33" t="str">
        <f>Transformation[[#This Row],[Commodity from]]&amp;Transformation[[#This Row],[Transaction from]]&amp;Transformation[[#This Row],[Commodity to]]&amp;Transformation[[#This Row],[Transaction to]]</f>
        <v>03710220371084</v>
      </c>
      <c r="BR314" s="26" t="str">
        <f>Transformation[[#This Row],[crfomid]]&amp;Transformation[[#This Row],[Transaction from]]&amp;"("&amp;Transformation[[#This Row],[Multiplier]]&amp;") -&gt; "&amp;Transformation[[#This Row],[ctoid]]&amp;Transformation[[#This Row],[Transaction to]]</f>
        <v>BG022(1) -&gt; BG084</v>
      </c>
    </row>
    <row r="315" spans="25:70" x14ac:dyDescent="0.45">
      <c r="Y315" s="5" t="s">
        <v>209</v>
      </c>
      <c r="Z315" s="4" t="s">
        <v>828</v>
      </c>
      <c r="AA315" s="4" t="s">
        <v>828</v>
      </c>
      <c r="AB315" s="6" t="s">
        <v>171</v>
      </c>
      <c r="AC315" s="24" t="str">
        <f>IFERROR(VLOOKUP(Transactions[[#This Row],[Parent code]],Transactions[[Transaction code]:[Transaction name]],2,0),"")</f>
        <v>Electricity, CHP and heat plants (T)</v>
      </c>
      <c r="AD315" s="4" t="s">
        <v>189</v>
      </c>
      <c r="AE315" s="18" t="s">
        <v>1497</v>
      </c>
      <c r="AF315" s="4" t="s">
        <v>642</v>
      </c>
      <c r="AG315" s="4" t="s">
        <v>1</v>
      </c>
      <c r="AH315" s="4" t="s">
        <v>696</v>
      </c>
      <c r="AI315" s="12" t="s">
        <v>1416</v>
      </c>
      <c r="AJ315" s="4" t="s">
        <v>0</v>
      </c>
      <c r="AK315" s="24" t="str" cm="1">
        <f t="array" ref="AK315">IFERROR(INDEX(Transactions[[Transaction code]:[Transaction name]],_xlfn.XMATCH(Transactions[[#This Row],[Parent code]],Transactions[Transaction name],0),3),Transactions[[#This Row],[Transaction name]])</f>
        <v>Electricity and heat from fuel oil</v>
      </c>
      <c r="AL315" s="24" t="str" cm="1">
        <f t="array" ref="AL315">IFERROR(INDEX(Transactions[[Transaction code]:[Transaction name]],_xlfn.XMATCH(INDEX(Transactions[[Transaction name]:[Parent code]],_xlfn.XMATCH(Transactions[[#This Row],[L1N]],Transactions[Transaction name],0),3),Transactions[Transaction code],0),2),Transactions[[#This Row],[L1N]])</f>
        <v>Electricity, CHP and heat plants (T)</v>
      </c>
      <c r="AM315" s="24" t="str" cm="1">
        <f t="array" ref="AM315">IFERROR(INDEX(Transactions[[Transaction code]:[Transaction name]],_xlfn.XMATCH(INDEX(Transactions[[Transaction name]:[Parent code]],_xlfn.XMATCH(Transactions[[#This Row],[L2N]],Transactions[Transaction name],0),3),Transactions[Transaction code],0),2),Transactions[[#This Row],[L2N]])</f>
        <v>Transformation</v>
      </c>
      <c r="AN315" s="24" t="str" cm="1">
        <f t="array" ref="AN315">IFERROR(INDEX(Transactions[[Transaction code]:[Transaction name]],_xlfn.XMATCH(INDEX(Transactions[[Transaction name]:[Parent code]],_xlfn.XMATCH(Transactions[[#This Row],[L3N]],Transactions[Transaction name],0),3),Transactions[Transaction code],0),2),Transactions[[#This Row],[L3N]])</f>
        <v>Transformation</v>
      </c>
      <c r="AO315" s="24" t="str" cm="1">
        <f t="array" ref="AO315">IFERROR(INDEX(Transactions[[Transaction code]:[Transaction name]],_xlfn.XMATCH(INDEX(Transactions[[Transaction name]:[Parent code]],_xlfn.XMATCH(Transactions[[#This Row],[L4N]],Transactions[Transaction name],0),3),Transactions[Transaction code],0),2),Transactions[[#This Row],[L4N]])</f>
        <v>Transformation</v>
      </c>
      <c r="AP315" s="24" t="str" cm="1">
        <f t="array" ref="AP315">IFERROR(INDEX(Transactions[[Transaction code]:[Transaction name]],_xlfn.XMATCH(INDEX(Transactions[[Transaction name]:[Parent code]],_xlfn.XMATCH(Transactions[[#This Row],[L5N]],Transactions[Transaction name],0),3),Transactions[Transaction code],0),2),Transactions[[#This Row],[L5N]])</f>
        <v>Transformation</v>
      </c>
      <c r="AQ315" s="24" t="str" cm="1">
        <f t="array" ref="AQ315">IFERROR(INDEX(Transactions[[Transaction code]:[Transaction name]],_xlfn.XMATCH(INDEX(Transactions[[Transaction name]:[Parent code]],_xlfn.XMATCH(Transactions[[#This Row],[L6N]],Transactions[Transaction name],0),3),Transactions[Transaction code],0),2),Transactions[[#This Row],[L6N]])</f>
        <v>Transformation</v>
      </c>
      <c r="AR315" s="27" t="str">
        <f>IF(Transactions[[#This Row],[L7N]]=Transactions[[#This Row],[L6N]],Transactions[[#This Row],[L7N]],IF(Transactions[[#This Row],[L6N]]=Transactions[[#This Row],[L5N]],Transactions[[#This Row],[L6N]],IF(Transactions[[#This Row],[L5N]]=Transactions[[#This Row],[L4N]],Transactions[[#This Row],[L5N]],IF(Transactions[[#This Row],[L4N]]=Transactions[[#This Row],[L3N]],Transactions[[#This Row],[L4N]],IF(Transactions[[#This Row],[L3N]]=Transactions[[#This Row],[L2N]],Transactions[[#This Row],[L3N]],IF(Transactions[[#This Row],[L2N]]=Transactions[[#This Row],[L1N]],Transactions[[#This Row],[L2N]],IF(Transactions[[#This Row],[L1N]]=Transactions[[#This Row],[Transaction name]],Transactions[[#This Row],[L1N]],Transactions[[#This Row],[Transaction name]])))))))</f>
        <v>Transformation</v>
      </c>
      <c r="AS315" s="24" t="str">
        <f>IF(Transactions[[#This Row],[Level 0]]=Transactions[[#This Row],[Transaction name]],Transactions[[#This Row],[Transaction name]],IF(Transactions[[#This Row],[Level 0]]=Transactions[[#This Row],[L1N]],Transactions[[#This Row],[Transaction name]],IF(Transactions[[#This Row],[Level 0]]=Transactions[[#This Row],[L2N]],Transactions[[#This Row],[L1N]],IF(Transactions[[#This Row],[Level 0]]=Transactions[[#This Row],[L3N]],Transactions[[#This Row],[L2N]],IF(Transactions[[#This Row],[Level 0]]=Transactions[[#This Row],[L4N]],Transactions[[#This Row],[L3N]],IF(Transactions[[#This Row],[Level 0]]=Transactions[[#This Row],[L5N]],Transactions[[#This Row],[L4N]],IF(Transactions[[#This Row],[Level 0]]=Transactions[[#This Row],[L6N]],Transactions[[#This Row],[L5N]],IF(Transactions[[#This Row],[Level 0]]=Transactions[[#This Row],[L7N]],Transactions[[#This Row],[L6N]],Transactions[[#This Row],[L7N]]))))))))</f>
        <v>Electricity, CHP and heat plants (T)</v>
      </c>
      <c r="AT315" s="24" t="str">
        <f>IF(Transactions[[#This Row],[Level 1]]=Transactions[[#This Row],[Transaction name]],Transactions[[#This Row],[Transaction name]],IF(Transactions[[#This Row],[Level 1]]=Transactions[[#This Row],[L1N]],Transactions[[#This Row],[Transaction name]],IF(Transactions[[#This Row],[Level 1]]=Transactions[[#This Row],[L2N]],Transactions[[#This Row],[L1N]],IF(Transactions[[#This Row],[Level 1]]=Transactions[[#This Row],[L3N]],Transactions[[#This Row],[L2N]],IF(Transactions[[#This Row],[Level 1]]=Transactions[[#This Row],[L4N]],Transactions[[#This Row],[L3N]],IF(Transactions[[#This Row],[Level 1]]=Transactions[[#This Row],[L5N]],Transactions[[#This Row],[L4N]],IF(Transactions[[#This Row],[Level 1]]=Transactions[[#This Row],[L6N]],Transactions[[#This Row],[L5N]],IF(Transactions[[#This Row],[Level 1]]=Transactions[[#This Row],[L7N]],Transactions[[#This Row],[L6N]],Transactions[[#This Row],[L7N]]))))))))</f>
        <v>Electricity and heat from fuel oil</v>
      </c>
      <c r="AU315" s="24" t="str">
        <f>IF(Transactions[[#This Row],[Level 2]]=Transactions[[#This Row],[Transaction name]],Transactions[[#This Row],[Transaction name]],IF(Transactions[[#This Row],[Level 2]]=Transactions[[#This Row],[L1N]],Transactions[[#This Row],[Transaction name]],IF(Transactions[[#This Row],[Level 2]]=Transactions[[#This Row],[L2N]],Transactions[[#This Row],[L1N]],IF(Transactions[[#This Row],[Level 2]]=Transactions[[#This Row],[L3N]],Transactions[[#This Row],[L2N]],IF(Transactions[[#This Row],[Level 2]]=Transactions[[#This Row],[L4N]],Transactions[[#This Row],[L3N]],IF(Transactions[[#This Row],[Level 2]]=Transactions[[#This Row],[L5N]],Transactions[[#This Row],[L4N]],IF(Transactions[[#This Row],[Level 2]]=Transactions[[#This Row],[L6N]],Transactions[[#This Row],[L5N]],IF(Transactions[[#This Row],[Level 2]]=Transactions[[#This Row],[L7N]],Transactions[[#This Row],[L6N]],Transactions[[#This Row],[L7N]]))))))))</f>
        <v>Electricity and heat from fuel oil</v>
      </c>
      <c r="AV315" s="24" t="str">
        <f>IF(Transactions[[#This Row],[Level 3]]=Transactions[[#This Row],[Transaction name]],Transactions[[#This Row],[Transaction name]],IF(Transactions[[#This Row],[Level 3]]=Transactions[[#This Row],[L1N]],Transactions[[#This Row],[Transaction name]],IF(Transactions[[#This Row],[Level 3]]=Transactions[[#This Row],[L2N]],Transactions[[#This Row],[L1N]],IF(Transactions[[#This Row],[Level 3]]=Transactions[[#This Row],[L3N]],Transactions[[#This Row],[L2N]],IF(Transactions[[#This Row],[Level 3]]=Transactions[[#This Row],[L4N]],Transactions[[#This Row],[L3N]],IF(Transactions[[#This Row],[Level 3]]=Transactions[[#This Row],[L5N]],Transactions[[#This Row],[L4N]],IF(Transactions[[#This Row],[Level 3]]=Transactions[[#This Row],[L6N]],Transactions[[#This Row],[L5N]],IF(Transactions[[#This Row],[Level 3]]=Transactions[[#This Row],[L7N]],Transactions[[#This Row],[L6N]],Transactions[[#This Row],[L7N]]))))))))</f>
        <v>Electricity and heat from fuel oil</v>
      </c>
      <c r="AW315" s="24" t="str">
        <f>IF(Transactions[[#This Row],[Level 4]]=Transactions[[#This Row],[Transaction name]],Transactions[[#This Row],[Transaction name]],IF(Transactions[[#This Row],[Level 4]]=Transactions[[#This Row],[L1N]],Transactions[[#This Row],[Transaction name]],IF(Transactions[[#This Row],[Level 4]]=Transactions[[#This Row],[L2N]],Transactions[[#This Row],[L1N]],IF(Transactions[[#This Row],[Level 4]]=Transactions[[#This Row],[L3N]],Transactions[[#This Row],[L2N]],IF(Transactions[[#This Row],[Level 4]]=Transactions[[#This Row],[L4N]],Transactions[[#This Row],[L3N]],IF(Transactions[[#This Row],[Level 4]]=Transactions[[#This Row],[L5N]],Transactions[[#This Row],[L4N]],IF(Transactions[[#This Row],[Level 4]]=Transactions[[#This Row],[L6N]],Transactions[[#This Row],[L5N]],IF(Transactions[[#This Row],[Level 4]]=Transactions[[#This Row],[L7N]],Transactions[[#This Row],[L6N]],Transactions[[#This Row],[L7N]]))))))))</f>
        <v>Electricity and heat from fuel oil</v>
      </c>
      <c r="AX315" s="24" t="str">
        <f>IF(Transactions[[#This Row],[Level 5]]=Transactions[[#This Row],[Transaction name]],Transactions[[#This Row],[Transaction name]],IF(Transactions[[#This Row],[Level 5]]=Transactions[[#This Row],[L1N]],Transactions[[#This Row],[Transaction name]],IF(Transactions[[#This Row],[Level 5]]=Transactions[[#This Row],[L2N]],Transactions[[#This Row],[L1N]],IF(Transactions[[#This Row],[Level 5]]=Transactions[[#This Row],[L3N]],Transactions[[#This Row],[L2N]],IF(Transactions[[#This Row],[Level 5]]=Transactions[[#This Row],[L4N]],Transactions[[#This Row],[L3N]],IF(Transactions[[#This Row],[Level 5]]=Transactions[[#This Row],[L5N]],Transactions[[#This Row],[L4N]],IF(Transactions[[#This Row],[Level 5]]=Transactions[[#This Row],[L6N]],Transactions[[#This Row],[L5N]],IF(Transactions[[#This Row],[Level 5]]=Transactions[[#This Row],[L7N]],Transactions[[#This Row],[L6N]],Transactions[[#This Row],[L7N]]))))))))</f>
        <v>Electricity and heat from fuel oil</v>
      </c>
      <c r="AY315" s="24" t="str">
        <f>IF(Transactions[[#This Row],[Level 6]]=Transactions[[#This Row],[Transaction name]],Transactions[[#This Row],[Transaction name]],IF(Transactions[[#This Row],[Level 6]]=Transactions[[#This Row],[L1N]],Transactions[[#This Row],[Transaction name]],IF(Transactions[[#This Row],[Level 6]]=Transactions[[#This Row],[L2N]],Transactions[[#This Row],[L1N]],IF(Transactions[[#This Row],[Level 6]]=Transactions[[#This Row],[L3N]],Transactions[[#This Row],[L2N]],IF(Transactions[[#This Row],[Level 6]]=Transactions[[#This Row],[L4N]],Transactions[[#This Row],[L3N]],IF(Transactions[[#This Row],[Level 6]]=Transactions[[#This Row],[L5N]],Transactions[[#This Row],[L4N]],IF(Transactions[[#This Row],[Level 6]]=Transactions[[#This Row],[L6N]],Transactions[[#This Row],[L5N]],IF(Transactions[[#This Row],[Level 6]]=Transactions[[#This Row],[L7N]],Transactions[[#This Row],[L6N]],Transactions[[#This Row],[L7N]]))))))))</f>
        <v>Electricity and heat from fuel oil</v>
      </c>
      <c r="BE315" s="26" t="str">
        <f>_xlfn.XLOOKUP(Transformation[[#This Row],[cfrom]],Commodities[Commodity],Commodities[Commodity code])</f>
        <v>0371</v>
      </c>
      <c r="BF315" s="26" t="str">
        <f>_xlfn.XLOOKUP(Transformation[[#This Row],[tfrom]],Transactions[Transaction name],Transactions[Transaction code])</f>
        <v>022</v>
      </c>
      <c r="BG315" s="26" t="str">
        <f>_xlfn.XLOOKUP(Transformation[[#This Row],[cto]],Commodities[Commodity],Commodities[Commodity code])</f>
        <v>0371</v>
      </c>
      <c r="BH315" s="26" t="str">
        <f>_xlfn.XLOOKUP(Transformation[[#This Row],[tto]],Transactions[Transaction name],Transactions[Transaction code])</f>
        <v>022</v>
      </c>
      <c r="BI315" s="32">
        <v>-1</v>
      </c>
      <c r="BJ315" s="22" t="s">
        <v>476</v>
      </c>
      <c r="BK315" s="26" t="str">
        <f>_xlfn.XLOOKUP(Transformation[[#This Row],[Commodity from]],Commodities[Commodity code],Commodities[EnergyCode])</f>
        <v>BG</v>
      </c>
      <c r="BL315" s="22" t="s">
        <v>205</v>
      </c>
      <c r="BM315" s="22" t="s">
        <v>476</v>
      </c>
      <c r="BN315" s="26" t="str">
        <f>_xlfn.XLOOKUP(Transformation[[#This Row],[Commodity to]],Commodities[Commodity code],Commodities[EnergyCode])</f>
        <v>BG</v>
      </c>
      <c r="BO315" s="22" t="s">
        <v>205</v>
      </c>
      <c r="BP315" s="22" t="s">
        <v>1639</v>
      </c>
      <c r="BQ315" s="33" t="str">
        <f>Transformation[[#This Row],[Commodity from]]&amp;Transformation[[#This Row],[Transaction from]]&amp;Transformation[[#This Row],[Commodity to]]&amp;Transformation[[#This Row],[Transaction to]]</f>
        <v>03710220371022</v>
      </c>
      <c r="BR315" s="26" t="str">
        <f>Transformation[[#This Row],[crfomid]]&amp;Transformation[[#This Row],[Transaction from]]&amp;"("&amp;Transformation[[#This Row],[Multiplier]]&amp;") -&gt; "&amp;Transformation[[#This Row],[ctoid]]&amp;Transformation[[#This Row],[Transaction to]]</f>
        <v>BG022(-1) -&gt; BG022</v>
      </c>
    </row>
    <row r="316" spans="25:70" x14ac:dyDescent="0.45">
      <c r="Y316" s="5" t="s">
        <v>215</v>
      </c>
      <c r="Z316" s="12" t="s">
        <v>1417</v>
      </c>
      <c r="AA316" s="12" t="s">
        <v>1417</v>
      </c>
      <c r="AB316" s="6" t="s">
        <v>171</v>
      </c>
      <c r="AC316" s="24" t="str">
        <f>IFERROR(VLOOKUP(Transactions[[#This Row],[Parent code]],Transactions[[Transaction code]:[Transaction name]],2,0),"")</f>
        <v>Electricity, CHP and heat plants (T)</v>
      </c>
      <c r="AD316" s="4" t="s">
        <v>189</v>
      </c>
      <c r="AE316" s="18" t="s">
        <v>1497</v>
      </c>
      <c r="AF316" s="4" t="s">
        <v>642</v>
      </c>
      <c r="AG316" s="4" t="s">
        <v>1</v>
      </c>
      <c r="AH316" s="4" t="s">
        <v>696</v>
      </c>
      <c r="AI316" s="12" t="s">
        <v>1416</v>
      </c>
      <c r="AJ316" s="4" t="s">
        <v>0</v>
      </c>
      <c r="AK316" s="24" t="str" cm="1">
        <f t="array" ref="AK316">IFERROR(INDEX(Transactions[[Transaction code]:[Transaction name]],_xlfn.XMATCH(Transactions[[#This Row],[Parent code]],Transactions[Transaction name],0),3),Transactions[[#This Row],[Transaction name]])</f>
        <v>Electricity and heat from gas coal products</v>
      </c>
      <c r="AL316" s="24" t="str" cm="1">
        <f t="array" ref="AL316">IFERROR(INDEX(Transactions[[Transaction code]:[Transaction name]],_xlfn.XMATCH(INDEX(Transactions[[Transaction name]:[Parent code]],_xlfn.XMATCH(Transactions[[#This Row],[L1N]],Transactions[Transaction name],0),3),Transactions[Transaction code],0),2),Transactions[[#This Row],[L1N]])</f>
        <v>Electricity, CHP and heat plants (T)</v>
      </c>
      <c r="AM316" s="24" t="str" cm="1">
        <f t="array" ref="AM316">IFERROR(INDEX(Transactions[[Transaction code]:[Transaction name]],_xlfn.XMATCH(INDEX(Transactions[[Transaction name]:[Parent code]],_xlfn.XMATCH(Transactions[[#This Row],[L2N]],Transactions[Transaction name],0),3),Transactions[Transaction code],0),2),Transactions[[#This Row],[L2N]])</f>
        <v>Transformation</v>
      </c>
      <c r="AN316" s="24" t="str" cm="1">
        <f t="array" ref="AN316">IFERROR(INDEX(Transactions[[Transaction code]:[Transaction name]],_xlfn.XMATCH(INDEX(Transactions[[Transaction name]:[Parent code]],_xlfn.XMATCH(Transactions[[#This Row],[L3N]],Transactions[Transaction name],0),3),Transactions[Transaction code],0),2),Transactions[[#This Row],[L3N]])</f>
        <v>Transformation</v>
      </c>
      <c r="AO316" s="24" t="str" cm="1">
        <f t="array" ref="AO316">IFERROR(INDEX(Transactions[[Transaction code]:[Transaction name]],_xlfn.XMATCH(INDEX(Transactions[[Transaction name]:[Parent code]],_xlfn.XMATCH(Transactions[[#This Row],[L4N]],Transactions[Transaction name],0),3),Transactions[Transaction code],0),2),Transactions[[#This Row],[L4N]])</f>
        <v>Transformation</v>
      </c>
      <c r="AP316" s="24" t="str" cm="1">
        <f t="array" ref="AP316">IFERROR(INDEX(Transactions[[Transaction code]:[Transaction name]],_xlfn.XMATCH(INDEX(Transactions[[Transaction name]:[Parent code]],_xlfn.XMATCH(Transactions[[#This Row],[L5N]],Transactions[Transaction name],0),3),Transactions[Transaction code],0),2),Transactions[[#This Row],[L5N]])</f>
        <v>Transformation</v>
      </c>
      <c r="AQ316" s="24" t="str" cm="1">
        <f t="array" ref="AQ316">IFERROR(INDEX(Transactions[[Transaction code]:[Transaction name]],_xlfn.XMATCH(INDEX(Transactions[[Transaction name]:[Parent code]],_xlfn.XMATCH(Transactions[[#This Row],[L6N]],Transactions[Transaction name],0),3),Transactions[Transaction code],0),2),Transactions[[#This Row],[L6N]])</f>
        <v>Transformation</v>
      </c>
      <c r="AR316" s="27" t="str">
        <f>IF(Transactions[[#This Row],[L7N]]=Transactions[[#This Row],[L6N]],Transactions[[#This Row],[L7N]],IF(Transactions[[#This Row],[L6N]]=Transactions[[#This Row],[L5N]],Transactions[[#This Row],[L6N]],IF(Transactions[[#This Row],[L5N]]=Transactions[[#This Row],[L4N]],Transactions[[#This Row],[L5N]],IF(Transactions[[#This Row],[L4N]]=Transactions[[#This Row],[L3N]],Transactions[[#This Row],[L4N]],IF(Transactions[[#This Row],[L3N]]=Transactions[[#This Row],[L2N]],Transactions[[#This Row],[L3N]],IF(Transactions[[#This Row],[L2N]]=Transactions[[#This Row],[L1N]],Transactions[[#This Row],[L2N]],IF(Transactions[[#This Row],[L1N]]=Transactions[[#This Row],[Transaction name]],Transactions[[#This Row],[L1N]],Transactions[[#This Row],[Transaction name]])))))))</f>
        <v>Transformation</v>
      </c>
      <c r="AS316" s="24" t="str">
        <f>IF(Transactions[[#This Row],[Level 0]]=Transactions[[#This Row],[Transaction name]],Transactions[[#This Row],[Transaction name]],IF(Transactions[[#This Row],[Level 0]]=Transactions[[#This Row],[L1N]],Transactions[[#This Row],[Transaction name]],IF(Transactions[[#This Row],[Level 0]]=Transactions[[#This Row],[L2N]],Transactions[[#This Row],[L1N]],IF(Transactions[[#This Row],[Level 0]]=Transactions[[#This Row],[L3N]],Transactions[[#This Row],[L2N]],IF(Transactions[[#This Row],[Level 0]]=Transactions[[#This Row],[L4N]],Transactions[[#This Row],[L3N]],IF(Transactions[[#This Row],[Level 0]]=Transactions[[#This Row],[L5N]],Transactions[[#This Row],[L4N]],IF(Transactions[[#This Row],[Level 0]]=Transactions[[#This Row],[L6N]],Transactions[[#This Row],[L5N]],IF(Transactions[[#This Row],[Level 0]]=Transactions[[#This Row],[L7N]],Transactions[[#This Row],[L6N]],Transactions[[#This Row],[L7N]]))))))))</f>
        <v>Electricity, CHP and heat plants (T)</v>
      </c>
      <c r="AT316" s="24" t="str">
        <f>IF(Transactions[[#This Row],[Level 1]]=Transactions[[#This Row],[Transaction name]],Transactions[[#This Row],[Transaction name]],IF(Transactions[[#This Row],[Level 1]]=Transactions[[#This Row],[L1N]],Transactions[[#This Row],[Transaction name]],IF(Transactions[[#This Row],[Level 1]]=Transactions[[#This Row],[L2N]],Transactions[[#This Row],[L1N]],IF(Transactions[[#This Row],[Level 1]]=Transactions[[#This Row],[L3N]],Transactions[[#This Row],[L2N]],IF(Transactions[[#This Row],[Level 1]]=Transactions[[#This Row],[L4N]],Transactions[[#This Row],[L3N]],IF(Transactions[[#This Row],[Level 1]]=Transactions[[#This Row],[L5N]],Transactions[[#This Row],[L4N]],IF(Transactions[[#This Row],[Level 1]]=Transactions[[#This Row],[L6N]],Transactions[[#This Row],[L5N]],IF(Transactions[[#This Row],[Level 1]]=Transactions[[#This Row],[L7N]],Transactions[[#This Row],[L6N]],Transactions[[#This Row],[L7N]]))))))))</f>
        <v>Electricity and heat from gas coal products</v>
      </c>
      <c r="AU316" s="24" t="str">
        <f>IF(Transactions[[#This Row],[Level 2]]=Transactions[[#This Row],[Transaction name]],Transactions[[#This Row],[Transaction name]],IF(Transactions[[#This Row],[Level 2]]=Transactions[[#This Row],[L1N]],Transactions[[#This Row],[Transaction name]],IF(Transactions[[#This Row],[Level 2]]=Transactions[[#This Row],[L2N]],Transactions[[#This Row],[L1N]],IF(Transactions[[#This Row],[Level 2]]=Transactions[[#This Row],[L3N]],Transactions[[#This Row],[L2N]],IF(Transactions[[#This Row],[Level 2]]=Transactions[[#This Row],[L4N]],Transactions[[#This Row],[L3N]],IF(Transactions[[#This Row],[Level 2]]=Transactions[[#This Row],[L5N]],Transactions[[#This Row],[L4N]],IF(Transactions[[#This Row],[Level 2]]=Transactions[[#This Row],[L6N]],Transactions[[#This Row],[L5N]],IF(Transactions[[#This Row],[Level 2]]=Transactions[[#This Row],[L7N]],Transactions[[#This Row],[L6N]],Transactions[[#This Row],[L7N]]))))))))</f>
        <v>Electricity and heat from gas coal products</v>
      </c>
      <c r="AV316" s="24" t="str">
        <f>IF(Transactions[[#This Row],[Level 3]]=Transactions[[#This Row],[Transaction name]],Transactions[[#This Row],[Transaction name]],IF(Transactions[[#This Row],[Level 3]]=Transactions[[#This Row],[L1N]],Transactions[[#This Row],[Transaction name]],IF(Transactions[[#This Row],[Level 3]]=Transactions[[#This Row],[L2N]],Transactions[[#This Row],[L1N]],IF(Transactions[[#This Row],[Level 3]]=Transactions[[#This Row],[L3N]],Transactions[[#This Row],[L2N]],IF(Transactions[[#This Row],[Level 3]]=Transactions[[#This Row],[L4N]],Transactions[[#This Row],[L3N]],IF(Transactions[[#This Row],[Level 3]]=Transactions[[#This Row],[L5N]],Transactions[[#This Row],[L4N]],IF(Transactions[[#This Row],[Level 3]]=Transactions[[#This Row],[L6N]],Transactions[[#This Row],[L5N]],IF(Transactions[[#This Row],[Level 3]]=Transactions[[#This Row],[L7N]],Transactions[[#This Row],[L6N]],Transactions[[#This Row],[L7N]]))))))))</f>
        <v>Electricity and heat from gas coal products</v>
      </c>
      <c r="AW316" s="24" t="str">
        <f>IF(Transactions[[#This Row],[Level 4]]=Transactions[[#This Row],[Transaction name]],Transactions[[#This Row],[Transaction name]],IF(Transactions[[#This Row],[Level 4]]=Transactions[[#This Row],[L1N]],Transactions[[#This Row],[Transaction name]],IF(Transactions[[#This Row],[Level 4]]=Transactions[[#This Row],[L2N]],Transactions[[#This Row],[L1N]],IF(Transactions[[#This Row],[Level 4]]=Transactions[[#This Row],[L3N]],Transactions[[#This Row],[L2N]],IF(Transactions[[#This Row],[Level 4]]=Transactions[[#This Row],[L4N]],Transactions[[#This Row],[L3N]],IF(Transactions[[#This Row],[Level 4]]=Transactions[[#This Row],[L5N]],Transactions[[#This Row],[L4N]],IF(Transactions[[#This Row],[Level 4]]=Transactions[[#This Row],[L6N]],Transactions[[#This Row],[L5N]],IF(Transactions[[#This Row],[Level 4]]=Transactions[[#This Row],[L7N]],Transactions[[#This Row],[L6N]],Transactions[[#This Row],[L7N]]))))))))</f>
        <v>Electricity and heat from gas coal products</v>
      </c>
      <c r="AX316" s="24" t="str">
        <f>IF(Transactions[[#This Row],[Level 5]]=Transactions[[#This Row],[Transaction name]],Transactions[[#This Row],[Transaction name]],IF(Transactions[[#This Row],[Level 5]]=Transactions[[#This Row],[L1N]],Transactions[[#This Row],[Transaction name]],IF(Transactions[[#This Row],[Level 5]]=Transactions[[#This Row],[L2N]],Transactions[[#This Row],[L1N]],IF(Transactions[[#This Row],[Level 5]]=Transactions[[#This Row],[L3N]],Transactions[[#This Row],[L2N]],IF(Transactions[[#This Row],[Level 5]]=Transactions[[#This Row],[L4N]],Transactions[[#This Row],[L3N]],IF(Transactions[[#This Row],[Level 5]]=Transactions[[#This Row],[L5N]],Transactions[[#This Row],[L4N]],IF(Transactions[[#This Row],[Level 5]]=Transactions[[#This Row],[L6N]],Transactions[[#This Row],[L5N]],IF(Transactions[[#This Row],[Level 5]]=Transactions[[#This Row],[L7N]],Transactions[[#This Row],[L6N]],Transactions[[#This Row],[L7N]]))))))))</f>
        <v>Electricity and heat from gas coal products</v>
      </c>
      <c r="AY316" s="24" t="str">
        <f>IF(Transactions[[#This Row],[Level 6]]=Transactions[[#This Row],[Transaction name]],Transactions[[#This Row],[Transaction name]],IF(Transactions[[#This Row],[Level 6]]=Transactions[[#This Row],[L1N]],Transactions[[#This Row],[Transaction name]],IF(Transactions[[#This Row],[Level 6]]=Transactions[[#This Row],[L2N]],Transactions[[#This Row],[L1N]],IF(Transactions[[#This Row],[Level 6]]=Transactions[[#This Row],[L3N]],Transactions[[#This Row],[L2N]],IF(Transactions[[#This Row],[Level 6]]=Transactions[[#This Row],[L4N]],Transactions[[#This Row],[L3N]],IF(Transactions[[#This Row],[Level 6]]=Transactions[[#This Row],[L5N]],Transactions[[#This Row],[L4N]],IF(Transactions[[#This Row],[Level 6]]=Transactions[[#This Row],[L6N]],Transactions[[#This Row],[L5N]],IF(Transactions[[#This Row],[Level 6]]=Transactions[[#This Row],[L7N]],Transactions[[#This Row],[L6N]],Transactions[[#This Row],[L7N]]))))))))</f>
        <v>Electricity and heat from gas coal products</v>
      </c>
      <c r="BE316" s="26" t="str">
        <f>_xlfn.XLOOKUP(Transformation[[#This Row],[cfrom]],Commodities[Commodity],Commodities[Commodity code])</f>
        <v>0379</v>
      </c>
      <c r="BF316" s="26" t="str">
        <f>_xlfn.XLOOKUP(Transformation[[#This Row],[tfrom]],Transactions[Transaction name],Transactions[Transaction code])</f>
        <v>01</v>
      </c>
      <c r="BG316" s="26" t="str">
        <f>_xlfn.XLOOKUP(Transformation[[#This Row],[cto]],Commodities[Commodity],Commodities[Commodity code])</f>
        <v>0379</v>
      </c>
      <c r="BH316" s="26" t="str">
        <f>_xlfn.XLOOKUP(Transformation[[#This Row],[tto]],Transactions[Transaction name],Transactions[Transaction code])</f>
        <v>01</v>
      </c>
      <c r="BI316" s="32">
        <v>-1</v>
      </c>
      <c r="BJ316" s="22" t="s">
        <v>472</v>
      </c>
      <c r="BK316" s="26" t="str">
        <f>_xlfn.XLOOKUP(Transformation[[#This Row],[Commodity from]],Commodities[Commodity code],Commodities[EnergyCode])</f>
        <v>BO</v>
      </c>
      <c r="BL316" s="22" t="s">
        <v>383</v>
      </c>
      <c r="BM316" s="22" t="s">
        <v>472</v>
      </c>
      <c r="BN316" s="26" t="str">
        <f>_xlfn.XLOOKUP(Transformation[[#This Row],[Commodity to]],Commodities[Commodity code],Commodities[EnergyCode])</f>
        <v>BO</v>
      </c>
      <c r="BO316" s="22" t="s">
        <v>383</v>
      </c>
      <c r="BP316" s="22" t="s">
        <v>1633</v>
      </c>
      <c r="BQ316" s="33" t="str">
        <f>Transformation[[#This Row],[Commodity from]]&amp;Transformation[[#This Row],[Transaction from]]&amp;Transformation[[#This Row],[Commodity to]]&amp;Transformation[[#This Row],[Transaction to]]</f>
        <v>037901037901</v>
      </c>
      <c r="BR316" s="26" t="str">
        <f>Transformation[[#This Row],[crfomid]]&amp;Transformation[[#This Row],[Transaction from]]&amp;"("&amp;Transformation[[#This Row],[Multiplier]]&amp;") -&gt; "&amp;Transformation[[#This Row],[ctoid]]&amp;Transformation[[#This Row],[Transaction to]]</f>
        <v>BO01(-1) -&gt; BO01</v>
      </c>
    </row>
    <row r="317" spans="25:70" x14ac:dyDescent="0.45">
      <c r="Y317" s="5" t="s">
        <v>218</v>
      </c>
      <c r="Z317" s="4" t="s">
        <v>819</v>
      </c>
      <c r="AA317" s="4" t="s">
        <v>819</v>
      </c>
      <c r="AB317" s="6" t="s">
        <v>171</v>
      </c>
      <c r="AC317" s="24" t="str">
        <f>IFERROR(VLOOKUP(Transactions[[#This Row],[Parent code]],Transactions[[Transaction code]:[Transaction name]],2,0),"")</f>
        <v>Electricity, CHP and heat plants (T)</v>
      </c>
      <c r="AD317" s="4" t="s">
        <v>189</v>
      </c>
      <c r="AE317" s="18" t="s">
        <v>1497</v>
      </c>
      <c r="AF317" s="4" t="s">
        <v>642</v>
      </c>
      <c r="AG317" s="4" t="s">
        <v>1</v>
      </c>
      <c r="AH317" s="4" t="s">
        <v>696</v>
      </c>
      <c r="AI317" s="12" t="s">
        <v>1416</v>
      </c>
      <c r="AJ317" s="4" t="s">
        <v>0</v>
      </c>
      <c r="AK317" s="24" t="str" cm="1">
        <f t="array" ref="AK317">IFERROR(INDEX(Transactions[[Transaction code]:[Transaction name]],_xlfn.XMATCH(Transactions[[#This Row],[Parent code]],Transactions[Transaction name],0),3),Transactions[[#This Row],[Transaction name]])</f>
        <v>Electricity and heat from gas oil/diesel oil</v>
      </c>
      <c r="AL317" s="24" t="str" cm="1">
        <f t="array" ref="AL317">IFERROR(INDEX(Transactions[[Transaction code]:[Transaction name]],_xlfn.XMATCH(INDEX(Transactions[[Transaction name]:[Parent code]],_xlfn.XMATCH(Transactions[[#This Row],[L1N]],Transactions[Transaction name],0),3),Transactions[Transaction code],0),2),Transactions[[#This Row],[L1N]])</f>
        <v>Electricity, CHP and heat plants (T)</v>
      </c>
      <c r="AM317" s="24" t="str" cm="1">
        <f t="array" ref="AM317">IFERROR(INDEX(Transactions[[Transaction code]:[Transaction name]],_xlfn.XMATCH(INDEX(Transactions[[Transaction name]:[Parent code]],_xlfn.XMATCH(Transactions[[#This Row],[L2N]],Transactions[Transaction name],0),3),Transactions[Transaction code],0),2),Transactions[[#This Row],[L2N]])</f>
        <v>Transformation</v>
      </c>
      <c r="AN317" s="24" t="str" cm="1">
        <f t="array" ref="AN317">IFERROR(INDEX(Transactions[[Transaction code]:[Transaction name]],_xlfn.XMATCH(INDEX(Transactions[[Transaction name]:[Parent code]],_xlfn.XMATCH(Transactions[[#This Row],[L3N]],Transactions[Transaction name],0),3),Transactions[Transaction code],0),2),Transactions[[#This Row],[L3N]])</f>
        <v>Transformation</v>
      </c>
      <c r="AO317" s="24" t="str" cm="1">
        <f t="array" ref="AO317">IFERROR(INDEX(Transactions[[Transaction code]:[Transaction name]],_xlfn.XMATCH(INDEX(Transactions[[Transaction name]:[Parent code]],_xlfn.XMATCH(Transactions[[#This Row],[L4N]],Transactions[Transaction name],0),3),Transactions[Transaction code],0),2),Transactions[[#This Row],[L4N]])</f>
        <v>Transformation</v>
      </c>
      <c r="AP317" s="24" t="str" cm="1">
        <f t="array" ref="AP317">IFERROR(INDEX(Transactions[[Transaction code]:[Transaction name]],_xlfn.XMATCH(INDEX(Transactions[[Transaction name]:[Parent code]],_xlfn.XMATCH(Transactions[[#This Row],[L5N]],Transactions[Transaction name],0),3),Transactions[Transaction code],0),2),Transactions[[#This Row],[L5N]])</f>
        <v>Transformation</v>
      </c>
      <c r="AQ317" s="24" t="str" cm="1">
        <f t="array" ref="AQ317">IFERROR(INDEX(Transactions[[Transaction code]:[Transaction name]],_xlfn.XMATCH(INDEX(Transactions[[Transaction name]:[Parent code]],_xlfn.XMATCH(Transactions[[#This Row],[L6N]],Transactions[Transaction name],0),3),Transactions[Transaction code],0),2),Transactions[[#This Row],[L6N]])</f>
        <v>Transformation</v>
      </c>
      <c r="AR317" s="27" t="str">
        <f>IF(Transactions[[#This Row],[L7N]]=Transactions[[#This Row],[L6N]],Transactions[[#This Row],[L7N]],IF(Transactions[[#This Row],[L6N]]=Transactions[[#This Row],[L5N]],Transactions[[#This Row],[L6N]],IF(Transactions[[#This Row],[L5N]]=Transactions[[#This Row],[L4N]],Transactions[[#This Row],[L5N]],IF(Transactions[[#This Row],[L4N]]=Transactions[[#This Row],[L3N]],Transactions[[#This Row],[L4N]],IF(Transactions[[#This Row],[L3N]]=Transactions[[#This Row],[L2N]],Transactions[[#This Row],[L3N]],IF(Transactions[[#This Row],[L2N]]=Transactions[[#This Row],[L1N]],Transactions[[#This Row],[L2N]],IF(Transactions[[#This Row],[L1N]]=Transactions[[#This Row],[Transaction name]],Transactions[[#This Row],[L1N]],Transactions[[#This Row],[Transaction name]])))))))</f>
        <v>Transformation</v>
      </c>
      <c r="AS317" s="24" t="str">
        <f>IF(Transactions[[#This Row],[Level 0]]=Transactions[[#This Row],[Transaction name]],Transactions[[#This Row],[Transaction name]],IF(Transactions[[#This Row],[Level 0]]=Transactions[[#This Row],[L1N]],Transactions[[#This Row],[Transaction name]],IF(Transactions[[#This Row],[Level 0]]=Transactions[[#This Row],[L2N]],Transactions[[#This Row],[L1N]],IF(Transactions[[#This Row],[Level 0]]=Transactions[[#This Row],[L3N]],Transactions[[#This Row],[L2N]],IF(Transactions[[#This Row],[Level 0]]=Transactions[[#This Row],[L4N]],Transactions[[#This Row],[L3N]],IF(Transactions[[#This Row],[Level 0]]=Transactions[[#This Row],[L5N]],Transactions[[#This Row],[L4N]],IF(Transactions[[#This Row],[Level 0]]=Transactions[[#This Row],[L6N]],Transactions[[#This Row],[L5N]],IF(Transactions[[#This Row],[Level 0]]=Transactions[[#This Row],[L7N]],Transactions[[#This Row],[L6N]],Transactions[[#This Row],[L7N]]))))))))</f>
        <v>Electricity, CHP and heat plants (T)</v>
      </c>
      <c r="AT317" s="24" t="str">
        <f>IF(Transactions[[#This Row],[Level 1]]=Transactions[[#This Row],[Transaction name]],Transactions[[#This Row],[Transaction name]],IF(Transactions[[#This Row],[Level 1]]=Transactions[[#This Row],[L1N]],Transactions[[#This Row],[Transaction name]],IF(Transactions[[#This Row],[Level 1]]=Transactions[[#This Row],[L2N]],Transactions[[#This Row],[L1N]],IF(Transactions[[#This Row],[Level 1]]=Transactions[[#This Row],[L3N]],Transactions[[#This Row],[L2N]],IF(Transactions[[#This Row],[Level 1]]=Transactions[[#This Row],[L4N]],Transactions[[#This Row],[L3N]],IF(Transactions[[#This Row],[Level 1]]=Transactions[[#This Row],[L5N]],Transactions[[#This Row],[L4N]],IF(Transactions[[#This Row],[Level 1]]=Transactions[[#This Row],[L6N]],Transactions[[#This Row],[L5N]],IF(Transactions[[#This Row],[Level 1]]=Transactions[[#This Row],[L7N]],Transactions[[#This Row],[L6N]],Transactions[[#This Row],[L7N]]))))))))</f>
        <v>Electricity and heat from gas oil/diesel oil</v>
      </c>
      <c r="AU317" s="24" t="str">
        <f>IF(Transactions[[#This Row],[Level 2]]=Transactions[[#This Row],[Transaction name]],Transactions[[#This Row],[Transaction name]],IF(Transactions[[#This Row],[Level 2]]=Transactions[[#This Row],[L1N]],Transactions[[#This Row],[Transaction name]],IF(Transactions[[#This Row],[Level 2]]=Transactions[[#This Row],[L2N]],Transactions[[#This Row],[L1N]],IF(Transactions[[#This Row],[Level 2]]=Transactions[[#This Row],[L3N]],Transactions[[#This Row],[L2N]],IF(Transactions[[#This Row],[Level 2]]=Transactions[[#This Row],[L4N]],Transactions[[#This Row],[L3N]],IF(Transactions[[#This Row],[Level 2]]=Transactions[[#This Row],[L5N]],Transactions[[#This Row],[L4N]],IF(Transactions[[#This Row],[Level 2]]=Transactions[[#This Row],[L6N]],Transactions[[#This Row],[L5N]],IF(Transactions[[#This Row],[Level 2]]=Transactions[[#This Row],[L7N]],Transactions[[#This Row],[L6N]],Transactions[[#This Row],[L7N]]))))))))</f>
        <v>Electricity and heat from gas oil/diesel oil</v>
      </c>
      <c r="AV317" s="24" t="str">
        <f>IF(Transactions[[#This Row],[Level 3]]=Transactions[[#This Row],[Transaction name]],Transactions[[#This Row],[Transaction name]],IF(Transactions[[#This Row],[Level 3]]=Transactions[[#This Row],[L1N]],Transactions[[#This Row],[Transaction name]],IF(Transactions[[#This Row],[Level 3]]=Transactions[[#This Row],[L2N]],Transactions[[#This Row],[L1N]],IF(Transactions[[#This Row],[Level 3]]=Transactions[[#This Row],[L3N]],Transactions[[#This Row],[L2N]],IF(Transactions[[#This Row],[Level 3]]=Transactions[[#This Row],[L4N]],Transactions[[#This Row],[L3N]],IF(Transactions[[#This Row],[Level 3]]=Transactions[[#This Row],[L5N]],Transactions[[#This Row],[L4N]],IF(Transactions[[#This Row],[Level 3]]=Transactions[[#This Row],[L6N]],Transactions[[#This Row],[L5N]],IF(Transactions[[#This Row],[Level 3]]=Transactions[[#This Row],[L7N]],Transactions[[#This Row],[L6N]],Transactions[[#This Row],[L7N]]))))))))</f>
        <v>Electricity and heat from gas oil/diesel oil</v>
      </c>
      <c r="AW317" s="24" t="str">
        <f>IF(Transactions[[#This Row],[Level 4]]=Transactions[[#This Row],[Transaction name]],Transactions[[#This Row],[Transaction name]],IF(Transactions[[#This Row],[Level 4]]=Transactions[[#This Row],[L1N]],Transactions[[#This Row],[Transaction name]],IF(Transactions[[#This Row],[Level 4]]=Transactions[[#This Row],[L2N]],Transactions[[#This Row],[L1N]],IF(Transactions[[#This Row],[Level 4]]=Transactions[[#This Row],[L3N]],Transactions[[#This Row],[L2N]],IF(Transactions[[#This Row],[Level 4]]=Transactions[[#This Row],[L4N]],Transactions[[#This Row],[L3N]],IF(Transactions[[#This Row],[Level 4]]=Transactions[[#This Row],[L5N]],Transactions[[#This Row],[L4N]],IF(Transactions[[#This Row],[Level 4]]=Transactions[[#This Row],[L6N]],Transactions[[#This Row],[L5N]],IF(Transactions[[#This Row],[Level 4]]=Transactions[[#This Row],[L7N]],Transactions[[#This Row],[L6N]],Transactions[[#This Row],[L7N]]))))))))</f>
        <v>Electricity and heat from gas oil/diesel oil</v>
      </c>
      <c r="AX317" s="24" t="str">
        <f>IF(Transactions[[#This Row],[Level 5]]=Transactions[[#This Row],[Transaction name]],Transactions[[#This Row],[Transaction name]],IF(Transactions[[#This Row],[Level 5]]=Transactions[[#This Row],[L1N]],Transactions[[#This Row],[Transaction name]],IF(Transactions[[#This Row],[Level 5]]=Transactions[[#This Row],[L2N]],Transactions[[#This Row],[L1N]],IF(Transactions[[#This Row],[Level 5]]=Transactions[[#This Row],[L3N]],Transactions[[#This Row],[L2N]],IF(Transactions[[#This Row],[Level 5]]=Transactions[[#This Row],[L4N]],Transactions[[#This Row],[L3N]],IF(Transactions[[#This Row],[Level 5]]=Transactions[[#This Row],[L5N]],Transactions[[#This Row],[L4N]],IF(Transactions[[#This Row],[Level 5]]=Transactions[[#This Row],[L6N]],Transactions[[#This Row],[L5N]],IF(Transactions[[#This Row],[Level 5]]=Transactions[[#This Row],[L7N]],Transactions[[#This Row],[L6N]],Transactions[[#This Row],[L7N]]))))))))</f>
        <v>Electricity and heat from gas oil/diesel oil</v>
      </c>
      <c r="AY317" s="24" t="str">
        <f>IF(Transactions[[#This Row],[Level 6]]=Transactions[[#This Row],[Transaction name]],Transactions[[#This Row],[Transaction name]],IF(Transactions[[#This Row],[Level 6]]=Transactions[[#This Row],[L1N]],Transactions[[#This Row],[Transaction name]],IF(Transactions[[#This Row],[Level 6]]=Transactions[[#This Row],[L2N]],Transactions[[#This Row],[L1N]],IF(Transactions[[#This Row],[Level 6]]=Transactions[[#This Row],[L3N]],Transactions[[#This Row],[L2N]],IF(Transactions[[#This Row],[Level 6]]=Transactions[[#This Row],[L4N]],Transactions[[#This Row],[L3N]],IF(Transactions[[#This Row],[Level 6]]=Transactions[[#This Row],[L5N]],Transactions[[#This Row],[L4N]],IF(Transactions[[#This Row],[Level 6]]=Transactions[[#This Row],[L6N]],Transactions[[#This Row],[L5N]],IF(Transactions[[#This Row],[Level 6]]=Transactions[[#This Row],[L7N]],Transactions[[#This Row],[L6N]],Transactions[[#This Row],[L7N]]))))))))</f>
        <v>Electricity and heat from gas oil/diesel oil</v>
      </c>
      <c r="BE317" s="26" t="str">
        <f>_xlfn.XLOOKUP(Transformation[[#This Row],[cfrom]],Commodities[Commodity],Commodities[Commodity code])</f>
        <v>0379</v>
      </c>
      <c r="BF317" s="26" t="str">
        <f>_xlfn.XLOOKUP(Transformation[[#This Row],[tfrom]],Transactions[Transaction name],Transactions[Transaction code])</f>
        <v>01</v>
      </c>
      <c r="BG317" s="26" t="str">
        <f>_xlfn.XLOOKUP(Transformation[[#This Row],[cto]],Commodities[Commodity],Commodities[Commodity code])</f>
        <v>0379</v>
      </c>
      <c r="BH317" s="26" t="str">
        <f>_xlfn.XLOOKUP(Transformation[[#This Row],[tto]],Transactions[Transaction name],Transactions[Transaction code])</f>
        <v>084</v>
      </c>
      <c r="BI317" s="32">
        <v>1</v>
      </c>
      <c r="BJ317" s="22" t="s">
        <v>472</v>
      </c>
      <c r="BK317" s="26" t="str">
        <f>_xlfn.XLOOKUP(Transformation[[#This Row],[Commodity from]],Commodities[Commodity code],Commodities[EnergyCode])</f>
        <v>BO</v>
      </c>
      <c r="BL317" s="22" t="s">
        <v>383</v>
      </c>
      <c r="BM317" s="22" t="s">
        <v>472</v>
      </c>
      <c r="BN317" s="26" t="str">
        <f>_xlfn.XLOOKUP(Transformation[[#This Row],[Commodity to]],Commodities[Commodity code],Commodities[EnergyCode])</f>
        <v>BO</v>
      </c>
      <c r="BO317" s="22" t="s">
        <v>722</v>
      </c>
      <c r="BP317" s="22" t="s">
        <v>1636</v>
      </c>
      <c r="BQ317" s="33" t="str">
        <f>Transformation[[#This Row],[Commodity from]]&amp;Transformation[[#This Row],[Transaction from]]&amp;Transformation[[#This Row],[Commodity to]]&amp;Transformation[[#This Row],[Transaction to]]</f>
        <v>0379010379084</v>
      </c>
      <c r="BR317" s="26" t="str">
        <f>Transformation[[#This Row],[crfomid]]&amp;Transformation[[#This Row],[Transaction from]]&amp;"("&amp;Transformation[[#This Row],[Multiplier]]&amp;") -&gt; "&amp;Transformation[[#This Row],[ctoid]]&amp;Transformation[[#This Row],[Transaction to]]</f>
        <v>BO01(1) -&gt; BO084</v>
      </c>
    </row>
    <row r="318" spans="25:70" x14ac:dyDescent="0.45">
      <c r="Y318" s="5" t="s">
        <v>221</v>
      </c>
      <c r="Z318" s="4" t="s">
        <v>816</v>
      </c>
      <c r="AA318" s="4" t="s">
        <v>816</v>
      </c>
      <c r="AB318" s="6" t="s">
        <v>171</v>
      </c>
      <c r="AC318" s="24" t="str">
        <f>IFERROR(VLOOKUP(Transactions[[#This Row],[Parent code]],Transactions[[Transaction code]:[Transaction name]],2,0),"")</f>
        <v>Electricity, CHP and heat plants (T)</v>
      </c>
      <c r="AD318" s="4" t="s">
        <v>189</v>
      </c>
      <c r="AE318" s="18" t="s">
        <v>1497</v>
      </c>
      <c r="AF318" s="4" t="s">
        <v>642</v>
      </c>
      <c r="AG318" s="4" t="s">
        <v>1</v>
      </c>
      <c r="AH318" s="4" t="s">
        <v>696</v>
      </c>
      <c r="AI318" s="12" t="s">
        <v>1416</v>
      </c>
      <c r="AJ318" s="4" t="s">
        <v>0</v>
      </c>
      <c r="AK318" s="24" t="str" cm="1">
        <f t="array" ref="AK318">IFERROR(INDEX(Transactions[[Transaction code]:[Transaction name]],_xlfn.XMATCH(Transactions[[#This Row],[Parent code]],Transactions[Transaction name],0),3),Transactions[[#This Row],[Transaction name]])</f>
        <v>Electricity and heat from hard coal</v>
      </c>
      <c r="AL318" s="24" t="str" cm="1">
        <f t="array" ref="AL318">IFERROR(INDEX(Transactions[[Transaction code]:[Transaction name]],_xlfn.XMATCH(INDEX(Transactions[[Transaction name]:[Parent code]],_xlfn.XMATCH(Transactions[[#This Row],[L1N]],Transactions[Transaction name],0),3),Transactions[Transaction code],0),2),Transactions[[#This Row],[L1N]])</f>
        <v>Electricity, CHP and heat plants (T)</v>
      </c>
      <c r="AM318" s="24" t="str" cm="1">
        <f t="array" ref="AM318">IFERROR(INDEX(Transactions[[Transaction code]:[Transaction name]],_xlfn.XMATCH(INDEX(Transactions[[Transaction name]:[Parent code]],_xlfn.XMATCH(Transactions[[#This Row],[L2N]],Transactions[Transaction name],0),3),Transactions[Transaction code],0),2),Transactions[[#This Row],[L2N]])</f>
        <v>Transformation</v>
      </c>
      <c r="AN318" s="24" t="str" cm="1">
        <f t="array" ref="AN318">IFERROR(INDEX(Transactions[[Transaction code]:[Transaction name]],_xlfn.XMATCH(INDEX(Transactions[[Transaction name]:[Parent code]],_xlfn.XMATCH(Transactions[[#This Row],[L3N]],Transactions[Transaction name],0),3),Transactions[Transaction code],0),2),Transactions[[#This Row],[L3N]])</f>
        <v>Transformation</v>
      </c>
      <c r="AO318" s="24" t="str" cm="1">
        <f t="array" ref="AO318">IFERROR(INDEX(Transactions[[Transaction code]:[Transaction name]],_xlfn.XMATCH(INDEX(Transactions[[Transaction name]:[Parent code]],_xlfn.XMATCH(Transactions[[#This Row],[L4N]],Transactions[Transaction name],0),3),Transactions[Transaction code],0),2),Transactions[[#This Row],[L4N]])</f>
        <v>Transformation</v>
      </c>
      <c r="AP318" s="24" t="str" cm="1">
        <f t="array" ref="AP318">IFERROR(INDEX(Transactions[[Transaction code]:[Transaction name]],_xlfn.XMATCH(INDEX(Transactions[[Transaction name]:[Parent code]],_xlfn.XMATCH(Transactions[[#This Row],[L5N]],Transactions[Transaction name],0),3),Transactions[Transaction code],0),2),Transactions[[#This Row],[L5N]])</f>
        <v>Transformation</v>
      </c>
      <c r="AQ318" s="24" t="str" cm="1">
        <f t="array" ref="AQ318">IFERROR(INDEX(Transactions[[Transaction code]:[Transaction name]],_xlfn.XMATCH(INDEX(Transactions[[Transaction name]:[Parent code]],_xlfn.XMATCH(Transactions[[#This Row],[L6N]],Transactions[Transaction name],0),3),Transactions[Transaction code],0),2),Transactions[[#This Row],[L6N]])</f>
        <v>Transformation</v>
      </c>
      <c r="AR318" s="27" t="str">
        <f>IF(Transactions[[#This Row],[L7N]]=Transactions[[#This Row],[L6N]],Transactions[[#This Row],[L7N]],IF(Transactions[[#This Row],[L6N]]=Transactions[[#This Row],[L5N]],Transactions[[#This Row],[L6N]],IF(Transactions[[#This Row],[L5N]]=Transactions[[#This Row],[L4N]],Transactions[[#This Row],[L5N]],IF(Transactions[[#This Row],[L4N]]=Transactions[[#This Row],[L3N]],Transactions[[#This Row],[L4N]],IF(Transactions[[#This Row],[L3N]]=Transactions[[#This Row],[L2N]],Transactions[[#This Row],[L3N]],IF(Transactions[[#This Row],[L2N]]=Transactions[[#This Row],[L1N]],Transactions[[#This Row],[L2N]],IF(Transactions[[#This Row],[L1N]]=Transactions[[#This Row],[Transaction name]],Transactions[[#This Row],[L1N]],Transactions[[#This Row],[Transaction name]])))))))</f>
        <v>Transformation</v>
      </c>
      <c r="AS318" s="24" t="str">
        <f>IF(Transactions[[#This Row],[Level 0]]=Transactions[[#This Row],[Transaction name]],Transactions[[#This Row],[Transaction name]],IF(Transactions[[#This Row],[Level 0]]=Transactions[[#This Row],[L1N]],Transactions[[#This Row],[Transaction name]],IF(Transactions[[#This Row],[Level 0]]=Transactions[[#This Row],[L2N]],Transactions[[#This Row],[L1N]],IF(Transactions[[#This Row],[Level 0]]=Transactions[[#This Row],[L3N]],Transactions[[#This Row],[L2N]],IF(Transactions[[#This Row],[Level 0]]=Transactions[[#This Row],[L4N]],Transactions[[#This Row],[L3N]],IF(Transactions[[#This Row],[Level 0]]=Transactions[[#This Row],[L5N]],Transactions[[#This Row],[L4N]],IF(Transactions[[#This Row],[Level 0]]=Transactions[[#This Row],[L6N]],Transactions[[#This Row],[L5N]],IF(Transactions[[#This Row],[Level 0]]=Transactions[[#This Row],[L7N]],Transactions[[#This Row],[L6N]],Transactions[[#This Row],[L7N]]))))))))</f>
        <v>Electricity, CHP and heat plants (T)</v>
      </c>
      <c r="AT318" s="24" t="str">
        <f>IF(Transactions[[#This Row],[Level 1]]=Transactions[[#This Row],[Transaction name]],Transactions[[#This Row],[Transaction name]],IF(Transactions[[#This Row],[Level 1]]=Transactions[[#This Row],[L1N]],Transactions[[#This Row],[Transaction name]],IF(Transactions[[#This Row],[Level 1]]=Transactions[[#This Row],[L2N]],Transactions[[#This Row],[L1N]],IF(Transactions[[#This Row],[Level 1]]=Transactions[[#This Row],[L3N]],Transactions[[#This Row],[L2N]],IF(Transactions[[#This Row],[Level 1]]=Transactions[[#This Row],[L4N]],Transactions[[#This Row],[L3N]],IF(Transactions[[#This Row],[Level 1]]=Transactions[[#This Row],[L5N]],Transactions[[#This Row],[L4N]],IF(Transactions[[#This Row],[Level 1]]=Transactions[[#This Row],[L6N]],Transactions[[#This Row],[L5N]],IF(Transactions[[#This Row],[Level 1]]=Transactions[[#This Row],[L7N]],Transactions[[#This Row],[L6N]],Transactions[[#This Row],[L7N]]))))))))</f>
        <v>Electricity and heat from hard coal</v>
      </c>
      <c r="AU318" s="24" t="str">
        <f>IF(Transactions[[#This Row],[Level 2]]=Transactions[[#This Row],[Transaction name]],Transactions[[#This Row],[Transaction name]],IF(Transactions[[#This Row],[Level 2]]=Transactions[[#This Row],[L1N]],Transactions[[#This Row],[Transaction name]],IF(Transactions[[#This Row],[Level 2]]=Transactions[[#This Row],[L2N]],Transactions[[#This Row],[L1N]],IF(Transactions[[#This Row],[Level 2]]=Transactions[[#This Row],[L3N]],Transactions[[#This Row],[L2N]],IF(Transactions[[#This Row],[Level 2]]=Transactions[[#This Row],[L4N]],Transactions[[#This Row],[L3N]],IF(Transactions[[#This Row],[Level 2]]=Transactions[[#This Row],[L5N]],Transactions[[#This Row],[L4N]],IF(Transactions[[#This Row],[Level 2]]=Transactions[[#This Row],[L6N]],Transactions[[#This Row],[L5N]],IF(Transactions[[#This Row],[Level 2]]=Transactions[[#This Row],[L7N]],Transactions[[#This Row],[L6N]],Transactions[[#This Row],[L7N]]))))))))</f>
        <v>Electricity and heat from hard coal</v>
      </c>
      <c r="AV318" s="24" t="str">
        <f>IF(Transactions[[#This Row],[Level 3]]=Transactions[[#This Row],[Transaction name]],Transactions[[#This Row],[Transaction name]],IF(Transactions[[#This Row],[Level 3]]=Transactions[[#This Row],[L1N]],Transactions[[#This Row],[Transaction name]],IF(Transactions[[#This Row],[Level 3]]=Transactions[[#This Row],[L2N]],Transactions[[#This Row],[L1N]],IF(Transactions[[#This Row],[Level 3]]=Transactions[[#This Row],[L3N]],Transactions[[#This Row],[L2N]],IF(Transactions[[#This Row],[Level 3]]=Transactions[[#This Row],[L4N]],Transactions[[#This Row],[L3N]],IF(Transactions[[#This Row],[Level 3]]=Transactions[[#This Row],[L5N]],Transactions[[#This Row],[L4N]],IF(Transactions[[#This Row],[Level 3]]=Transactions[[#This Row],[L6N]],Transactions[[#This Row],[L5N]],IF(Transactions[[#This Row],[Level 3]]=Transactions[[#This Row],[L7N]],Transactions[[#This Row],[L6N]],Transactions[[#This Row],[L7N]]))))))))</f>
        <v>Electricity and heat from hard coal</v>
      </c>
      <c r="AW318" s="24" t="str">
        <f>IF(Transactions[[#This Row],[Level 4]]=Transactions[[#This Row],[Transaction name]],Transactions[[#This Row],[Transaction name]],IF(Transactions[[#This Row],[Level 4]]=Transactions[[#This Row],[L1N]],Transactions[[#This Row],[Transaction name]],IF(Transactions[[#This Row],[Level 4]]=Transactions[[#This Row],[L2N]],Transactions[[#This Row],[L1N]],IF(Transactions[[#This Row],[Level 4]]=Transactions[[#This Row],[L3N]],Transactions[[#This Row],[L2N]],IF(Transactions[[#This Row],[Level 4]]=Transactions[[#This Row],[L4N]],Transactions[[#This Row],[L3N]],IF(Transactions[[#This Row],[Level 4]]=Transactions[[#This Row],[L5N]],Transactions[[#This Row],[L4N]],IF(Transactions[[#This Row],[Level 4]]=Transactions[[#This Row],[L6N]],Transactions[[#This Row],[L5N]],IF(Transactions[[#This Row],[Level 4]]=Transactions[[#This Row],[L7N]],Transactions[[#This Row],[L6N]],Transactions[[#This Row],[L7N]]))))))))</f>
        <v>Electricity and heat from hard coal</v>
      </c>
      <c r="AX318" s="24" t="str">
        <f>IF(Transactions[[#This Row],[Level 5]]=Transactions[[#This Row],[Transaction name]],Transactions[[#This Row],[Transaction name]],IF(Transactions[[#This Row],[Level 5]]=Transactions[[#This Row],[L1N]],Transactions[[#This Row],[Transaction name]],IF(Transactions[[#This Row],[Level 5]]=Transactions[[#This Row],[L2N]],Transactions[[#This Row],[L1N]],IF(Transactions[[#This Row],[Level 5]]=Transactions[[#This Row],[L3N]],Transactions[[#This Row],[L2N]],IF(Transactions[[#This Row],[Level 5]]=Transactions[[#This Row],[L4N]],Transactions[[#This Row],[L3N]],IF(Transactions[[#This Row],[Level 5]]=Transactions[[#This Row],[L5N]],Transactions[[#This Row],[L4N]],IF(Transactions[[#This Row],[Level 5]]=Transactions[[#This Row],[L6N]],Transactions[[#This Row],[L5N]],IF(Transactions[[#This Row],[Level 5]]=Transactions[[#This Row],[L7N]],Transactions[[#This Row],[L6N]],Transactions[[#This Row],[L7N]]))))))))</f>
        <v>Electricity and heat from hard coal</v>
      </c>
      <c r="AY318" s="24" t="str">
        <f>IF(Transactions[[#This Row],[Level 6]]=Transactions[[#This Row],[Transaction name]],Transactions[[#This Row],[Transaction name]],IF(Transactions[[#This Row],[Level 6]]=Transactions[[#This Row],[L1N]],Transactions[[#This Row],[Transaction name]],IF(Transactions[[#This Row],[Level 6]]=Transactions[[#This Row],[L2N]],Transactions[[#This Row],[L1N]],IF(Transactions[[#This Row],[Level 6]]=Transactions[[#This Row],[L3N]],Transactions[[#This Row],[L2N]],IF(Transactions[[#This Row],[Level 6]]=Transactions[[#This Row],[L4N]],Transactions[[#This Row],[L3N]],IF(Transactions[[#This Row],[Level 6]]=Transactions[[#This Row],[L5N]],Transactions[[#This Row],[L4N]],IF(Transactions[[#This Row],[Level 6]]=Transactions[[#This Row],[L6N]],Transactions[[#This Row],[L5N]],IF(Transactions[[#This Row],[Level 6]]=Transactions[[#This Row],[L7N]],Transactions[[#This Row],[L6N]],Transactions[[#This Row],[L7N]]))))))))</f>
        <v>Electricity and heat from hard coal</v>
      </c>
      <c r="BE318" s="26" t="str">
        <f>_xlfn.XLOOKUP(Transformation[[#This Row],[cfrom]],Commodities[Commodity],Commodities[Commodity code])</f>
        <v>0379</v>
      </c>
      <c r="BF318" s="26" t="str">
        <f>_xlfn.XLOOKUP(Transformation[[#This Row],[tfrom]],Transactions[Transaction name],Transactions[Transaction code])</f>
        <v>022</v>
      </c>
      <c r="BG318" s="26" t="str">
        <f>_xlfn.XLOOKUP(Transformation[[#This Row],[cto]],Commodities[Commodity],Commodities[Commodity code])</f>
        <v>0379</v>
      </c>
      <c r="BH318" s="26" t="str">
        <f>_xlfn.XLOOKUP(Transformation[[#This Row],[tto]],Transactions[Transaction name],Transactions[Transaction code])</f>
        <v>084</v>
      </c>
      <c r="BI318" s="32">
        <v>1</v>
      </c>
      <c r="BJ318" s="22" t="s">
        <v>472</v>
      </c>
      <c r="BK318" s="26" t="str">
        <f>_xlfn.XLOOKUP(Transformation[[#This Row],[Commodity from]],Commodities[Commodity code],Commodities[EnergyCode])</f>
        <v>BO</v>
      </c>
      <c r="BL318" s="22" t="s">
        <v>205</v>
      </c>
      <c r="BM318" s="22" t="s">
        <v>472</v>
      </c>
      <c r="BN318" s="26" t="str">
        <f>_xlfn.XLOOKUP(Transformation[[#This Row],[Commodity to]],Commodities[Commodity code],Commodities[EnergyCode])</f>
        <v>BO</v>
      </c>
      <c r="BO318" s="22" t="s">
        <v>722</v>
      </c>
      <c r="BP318" s="22" t="s">
        <v>1692</v>
      </c>
      <c r="BQ318" s="33" t="str">
        <f>Transformation[[#This Row],[Commodity from]]&amp;Transformation[[#This Row],[Transaction from]]&amp;Transformation[[#This Row],[Commodity to]]&amp;Transformation[[#This Row],[Transaction to]]</f>
        <v>03790220379084</v>
      </c>
      <c r="BR318" s="26" t="str">
        <f>Transformation[[#This Row],[crfomid]]&amp;Transformation[[#This Row],[Transaction from]]&amp;"("&amp;Transformation[[#This Row],[Multiplier]]&amp;") -&gt; "&amp;Transformation[[#This Row],[ctoid]]&amp;Transformation[[#This Row],[Transaction to]]</f>
        <v>BO022(1) -&gt; BO084</v>
      </c>
    </row>
    <row r="319" spans="25:70" x14ac:dyDescent="0.45">
      <c r="Y319" s="5" t="s">
        <v>216</v>
      </c>
      <c r="Z319" s="4" t="s">
        <v>821</v>
      </c>
      <c r="AA319" s="4" t="s">
        <v>821</v>
      </c>
      <c r="AB319" s="6" t="s">
        <v>171</v>
      </c>
      <c r="AC319" s="24" t="str">
        <f>IFERROR(VLOOKUP(Transactions[[#This Row],[Parent code]],Transactions[[Transaction code]:[Transaction name]],2,0),"")</f>
        <v>Electricity, CHP and heat plants (T)</v>
      </c>
      <c r="AD319" s="4" t="s">
        <v>189</v>
      </c>
      <c r="AE319" s="18" t="s">
        <v>1497</v>
      </c>
      <c r="AF319" s="4" t="s">
        <v>642</v>
      </c>
      <c r="AG319" s="4" t="s">
        <v>1</v>
      </c>
      <c r="AH319" s="4" t="s">
        <v>696</v>
      </c>
      <c r="AI319" s="12" t="s">
        <v>1416</v>
      </c>
      <c r="AJ319" s="4" t="s">
        <v>0</v>
      </c>
      <c r="AK319" s="24" t="str" cm="1">
        <f t="array" ref="AK319">IFERROR(INDEX(Transactions[[Transaction code]:[Transaction name]],_xlfn.XMATCH(Transactions[[#This Row],[Parent code]],Transactions[Transaction name],0),3),Transactions[[#This Row],[Transaction name]])</f>
        <v>Electricity and heat from liquid biofuels</v>
      </c>
      <c r="AL319" s="24" t="str" cm="1">
        <f t="array" ref="AL319">IFERROR(INDEX(Transactions[[Transaction code]:[Transaction name]],_xlfn.XMATCH(INDEX(Transactions[[Transaction name]:[Parent code]],_xlfn.XMATCH(Transactions[[#This Row],[L1N]],Transactions[Transaction name],0),3),Transactions[Transaction code],0),2),Transactions[[#This Row],[L1N]])</f>
        <v>Electricity, CHP and heat plants (T)</v>
      </c>
      <c r="AM319" s="24" t="str" cm="1">
        <f t="array" ref="AM319">IFERROR(INDEX(Transactions[[Transaction code]:[Transaction name]],_xlfn.XMATCH(INDEX(Transactions[[Transaction name]:[Parent code]],_xlfn.XMATCH(Transactions[[#This Row],[L2N]],Transactions[Transaction name],0),3),Transactions[Transaction code],0),2),Transactions[[#This Row],[L2N]])</f>
        <v>Transformation</v>
      </c>
      <c r="AN319" s="24" t="str" cm="1">
        <f t="array" ref="AN319">IFERROR(INDEX(Transactions[[Transaction code]:[Transaction name]],_xlfn.XMATCH(INDEX(Transactions[[Transaction name]:[Parent code]],_xlfn.XMATCH(Transactions[[#This Row],[L3N]],Transactions[Transaction name],0),3),Transactions[Transaction code],0),2),Transactions[[#This Row],[L3N]])</f>
        <v>Transformation</v>
      </c>
      <c r="AO319" s="24" t="str" cm="1">
        <f t="array" ref="AO319">IFERROR(INDEX(Transactions[[Transaction code]:[Transaction name]],_xlfn.XMATCH(INDEX(Transactions[[Transaction name]:[Parent code]],_xlfn.XMATCH(Transactions[[#This Row],[L4N]],Transactions[Transaction name],0),3),Transactions[Transaction code],0),2),Transactions[[#This Row],[L4N]])</f>
        <v>Transformation</v>
      </c>
      <c r="AP319" s="24" t="str" cm="1">
        <f t="array" ref="AP319">IFERROR(INDEX(Transactions[[Transaction code]:[Transaction name]],_xlfn.XMATCH(INDEX(Transactions[[Transaction name]:[Parent code]],_xlfn.XMATCH(Transactions[[#This Row],[L5N]],Transactions[Transaction name],0),3),Transactions[Transaction code],0),2),Transactions[[#This Row],[L5N]])</f>
        <v>Transformation</v>
      </c>
      <c r="AQ319" s="24" t="str" cm="1">
        <f t="array" ref="AQ319">IFERROR(INDEX(Transactions[[Transaction code]:[Transaction name]],_xlfn.XMATCH(INDEX(Transactions[[Transaction name]:[Parent code]],_xlfn.XMATCH(Transactions[[#This Row],[L6N]],Transactions[Transaction name],0),3),Transactions[Transaction code],0),2),Transactions[[#This Row],[L6N]])</f>
        <v>Transformation</v>
      </c>
      <c r="AR319" s="28" t="str">
        <f>IF(Transactions[[#This Row],[L7N]]=Transactions[[#This Row],[L6N]],Transactions[[#This Row],[L7N]],IF(Transactions[[#This Row],[L6N]]=Transactions[[#This Row],[L5N]],Transactions[[#This Row],[L6N]],IF(Transactions[[#This Row],[L5N]]=Transactions[[#This Row],[L4N]],Transactions[[#This Row],[L5N]],IF(Transactions[[#This Row],[L4N]]=Transactions[[#This Row],[L3N]],Transactions[[#This Row],[L4N]],IF(Transactions[[#This Row],[L3N]]=Transactions[[#This Row],[L2N]],Transactions[[#This Row],[L3N]],IF(Transactions[[#This Row],[L2N]]=Transactions[[#This Row],[L1N]],Transactions[[#This Row],[L2N]],IF(Transactions[[#This Row],[L1N]]=Transactions[[#This Row],[Transaction name]],Transactions[[#This Row],[L1N]],Transactions[[#This Row],[Transaction name]])))))))</f>
        <v>Transformation</v>
      </c>
      <c r="AS319" s="24" t="str">
        <f>IF(Transactions[[#This Row],[Level 0]]=Transactions[[#This Row],[Transaction name]],Transactions[[#This Row],[Transaction name]],IF(Transactions[[#This Row],[Level 0]]=Transactions[[#This Row],[L1N]],Transactions[[#This Row],[Transaction name]],IF(Transactions[[#This Row],[Level 0]]=Transactions[[#This Row],[L2N]],Transactions[[#This Row],[L1N]],IF(Transactions[[#This Row],[Level 0]]=Transactions[[#This Row],[L3N]],Transactions[[#This Row],[L2N]],IF(Transactions[[#This Row],[Level 0]]=Transactions[[#This Row],[L4N]],Transactions[[#This Row],[L3N]],IF(Transactions[[#This Row],[Level 0]]=Transactions[[#This Row],[L5N]],Transactions[[#This Row],[L4N]],IF(Transactions[[#This Row],[Level 0]]=Transactions[[#This Row],[L6N]],Transactions[[#This Row],[L5N]],IF(Transactions[[#This Row],[Level 0]]=Transactions[[#This Row],[L7N]],Transactions[[#This Row],[L6N]],Transactions[[#This Row],[L7N]]))))))))</f>
        <v>Electricity, CHP and heat plants (T)</v>
      </c>
      <c r="AT319" s="24" t="str">
        <f>IF(Transactions[[#This Row],[Level 1]]=Transactions[[#This Row],[Transaction name]],Transactions[[#This Row],[Transaction name]],IF(Transactions[[#This Row],[Level 1]]=Transactions[[#This Row],[L1N]],Transactions[[#This Row],[Transaction name]],IF(Transactions[[#This Row],[Level 1]]=Transactions[[#This Row],[L2N]],Transactions[[#This Row],[L1N]],IF(Transactions[[#This Row],[Level 1]]=Transactions[[#This Row],[L3N]],Transactions[[#This Row],[L2N]],IF(Transactions[[#This Row],[Level 1]]=Transactions[[#This Row],[L4N]],Transactions[[#This Row],[L3N]],IF(Transactions[[#This Row],[Level 1]]=Transactions[[#This Row],[L5N]],Transactions[[#This Row],[L4N]],IF(Transactions[[#This Row],[Level 1]]=Transactions[[#This Row],[L6N]],Transactions[[#This Row],[L5N]],IF(Transactions[[#This Row],[Level 1]]=Transactions[[#This Row],[L7N]],Transactions[[#This Row],[L6N]],Transactions[[#This Row],[L7N]]))))))))</f>
        <v>Electricity and heat from liquid biofuels</v>
      </c>
      <c r="AU319" s="24" t="str">
        <f>IF(Transactions[[#This Row],[Level 2]]=Transactions[[#This Row],[Transaction name]],Transactions[[#This Row],[Transaction name]],IF(Transactions[[#This Row],[Level 2]]=Transactions[[#This Row],[L1N]],Transactions[[#This Row],[Transaction name]],IF(Transactions[[#This Row],[Level 2]]=Transactions[[#This Row],[L2N]],Transactions[[#This Row],[L1N]],IF(Transactions[[#This Row],[Level 2]]=Transactions[[#This Row],[L3N]],Transactions[[#This Row],[L2N]],IF(Transactions[[#This Row],[Level 2]]=Transactions[[#This Row],[L4N]],Transactions[[#This Row],[L3N]],IF(Transactions[[#This Row],[Level 2]]=Transactions[[#This Row],[L5N]],Transactions[[#This Row],[L4N]],IF(Transactions[[#This Row],[Level 2]]=Transactions[[#This Row],[L6N]],Transactions[[#This Row],[L5N]],IF(Transactions[[#This Row],[Level 2]]=Transactions[[#This Row],[L7N]],Transactions[[#This Row],[L6N]],Transactions[[#This Row],[L7N]]))))))))</f>
        <v>Electricity and heat from liquid biofuels</v>
      </c>
      <c r="AV319" s="24" t="str">
        <f>IF(Transactions[[#This Row],[Level 3]]=Transactions[[#This Row],[Transaction name]],Transactions[[#This Row],[Transaction name]],IF(Transactions[[#This Row],[Level 3]]=Transactions[[#This Row],[L1N]],Transactions[[#This Row],[Transaction name]],IF(Transactions[[#This Row],[Level 3]]=Transactions[[#This Row],[L2N]],Transactions[[#This Row],[L1N]],IF(Transactions[[#This Row],[Level 3]]=Transactions[[#This Row],[L3N]],Transactions[[#This Row],[L2N]],IF(Transactions[[#This Row],[Level 3]]=Transactions[[#This Row],[L4N]],Transactions[[#This Row],[L3N]],IF(Transactions[[#This Row],[Level 3]]=Transactions[[#This Row],[L5N]],Transactions[[#This Row],[L4N]],IF(Transactions[[#This Row],[Level 3]]=Transactions[[#This Row],[L6N]],Transactions[[#This Row],[L5N]],IF(Transactions[[#This Row],[Level 3]]=Transactions[[#This Row],[L7N]],Transactions[[#This Row],[L6N]],Transactions[[#This Row],[L7N]]))))))))</f>
        <v>Electricity and heat from liquid biofuels</v>
      </c>
      <c r="AW319" s="24" t="str">
        <f>IF(Transactions[[#This Row],[Level 4]]=Transactions[[#This Row],[Transaction name]],Transactions[[#This Row],[Transaction name]],IF(Transactions[[#This Row],[Level 4]]=Transactions[[#This Row],[L1N]],Transactions[[#This Row],[Transaction name]],IF(Transactions[[#This Row],[Level 4]]=Transactions[[#This Row],[L2N]],Transactions[[#This Row],[L1N]],IF(Transactions[[#This Row],[Level 4]]=Transactions[[#This Row],[L3N]],Transactions[[#This Row],[L2N]],IF(Transactions[[#This Row],[Level 4]]=Transactions[[#This Row],[L4N]],Transactions[[#This Row],[L3N]],IF(Transactions[[#This Row],[Level 4]]=Transactions[[#This Row],[L5N]],Transactions[[#This Row],[L4N]],IF(Transactions[[#This Row],[Level 4]]=Transactions[[#This Row],[L6N]],Transactions[[#This Row],[L5N]],IF(Transactions[[#This Row],[Level 4]]=Transactions[[#This Row],[L7N]],Transactions[[#This Row],[L6N]],Transactions[[#This Row],[L7N]]))))))))</f>
        <v>Electricity and heat from liquid biofuels</v>
      </c>
      <c r="AX319" s="24" t="str">
        <f>IF(Transactions[[#This Row],[Level 5]]=Transactions[[#This Row],[Transaction name]],Transactions[[#This Row],[Transaction name]],IF(Transactions[[#This Row],[Level 5]]=Transactions[[#This Row],[L1N]],Transactions[[#This Row],[Transaction name]],IF(Transactions[[#This Row],[Level 5]]=Transactions[[#This Row],[L2N]],Transactions[[#This Row],[L1N]],IF(Transactions[[#This Row],[Level 5]]=Transactions[[#This Row],[L3N]],Transactions[[#This Row],[L2N]],IF(Transactions[[#This Row],[Level 5]]=Transactions[[#This Row],[L4N]],Transactions[[#This Row],[L3N]],IF(Transactions[[#This Row],[Level 5]]=Transactions[[#This Row],[L5N]],Transactions[[#This Row],[L4N]],IF(Transactions[[#This Row],[Level 5]]=Transactions[[#This Row],[L6N]],Transactions[[#This Row],[L5N]],IF(Transactions[[#This Row],[Level 5]]=Transactions[[#This Row],[L7N]],Transactions[[#This Row],[L6N]],Transactions[[#This Row],[L7N]]))))))))</f>
        <v>Electricity and heat from liquid biofuels</v>
      </c>
      <c r="AY319" s="24" t="str">
        <f>IF(Transactions[[#This Row],[Level 6]]=Transactions[[#This Row],[Transaction name]],Transactions[[#This Row],[Transaction name]],IF(Transactions[[#This Row],[Level 6]]=Transactions[[#This Row],[L1N]],Transactions[[#This Row],[Transaction name]],IF(Transactions[[#This Row],[Level 6]]=Transactions[[#This Row],[L2N]],Transactions[[#This Row],[L1N]],IF(Transactions[[#This Row],[Level 6]]=Transactions[[#This Row],[L3N]],Transactions[[#This Row],[L2N]],IF(Transactions[[#This Row],[Level 6]]=Transactions[[#This Row],[L4N]],Transactions[[#This Row],[L3N]],IF(Transactions[[#This Row],[Level 6]]=Transactions[[#This Row],[L5N]],Transactions[[#This Row],[L4N]],IF(Transactions[[#This Row],[Level 6]]=Transactions[[#This Row],[L6N]],Transactions[[#This Row],[L5N]],IF(Transactions[[#This Row],[Level 6]]=Transactions[[#This Row],[L7N]],Transactions[[#This Row],[L6N]],Transactions[[#This Row],[L7N]]))))))))</f>
        <v>Electricity and heat from liquid biofuels</v>
      </c>
      <c r="BE319" s="26" t="str">
        <f>_xlfn.XLOOKUP(Transformation[[#This Row],[cfrom]],Commodities[Commodity],Commodities[Commodity code])</f>
        <v>0379</v>
      </c>
      <c r="BF319" s="26" t="str">
        <f>_xlfn.XLOOKUP(Transformation[[#This Row],[tfrom]],Transactions[Transaction name],Transactions[Transaction code])</f>
        <v>022</v>
      </c>
      <c r="BG319" s="26" t="str">
        <f>_xlfn.XLOOKUP(Transformation[[#This Row],[cto]],Commodities[Commodity],Commodities[Commodity code])</f>
        <v>0379</v>
      </c>
      <c r="BH319" s="26" t="str">
        <f>_xlfn.XLOOKUP(Transformation[[#This Row],[tto]],Transactions[Transaction name],Transactions[Transaction code])</f>
        <v>022</v>
      </c>
      <c r="BI319" s="32">
        <v>-1</v>
      </c>
      <c r="BJ319" s="22" t="s">
        <v>472</v>
      </c>
      <c r="BK319" s="26" t="str">
        <f>_xlfn.XLOOKUP(Transformation[[#This Row],[Commodity from]],Commodities[Commodity code],Commodities[EnergyCode])</f>
        <v>BO</v>
      </c>
      <c r="BL319" s="22" t="s">
        <v>205</v>
      </c>
      <c r="BM319" s="22" t="s">
        <v>472</v>
      </c>
      <c r="BN319" s="26" t="str">
        <f>_xlfn.XLOOKUP(Transformation[[#This Row],[Commodity to]],Commodities[Commodity code],Commodities[EnergyCode])</f>
        <v>BO</v>
      </c>
      <c r="BO319" s="22" t="s">
        <v>205</v>
      </c>
      <c r="BP319" s="22" t="s">
        <v>1639</v>
      </c>
      <c r="BQ319" s="33" t="str">
        <f>Transformation[[#This Row],[Commodity from]]&amp;Transformation[[#This Row],[Transaction from]]&amp;Transformation[[#This Row],[Commodity to]]&amp;Transformation[[#This Row],[Transaction to]]</f>
        <v>03790220379022</v>
      </c>
      <c r="BR319" s="26" t="str">
        <f>Transformation[[#This Row],[crfomid]]&amp;Transformation[[#This Row],[Transaction from]]&amp;"("&amp;Transformation[[#This Row],[Multiplier]]&amp;") -&gt; "&amp;Transformation[[#This Row],[ctoid]]&amp;Transformation[[#This Row],[Transaction to]]</f>
        <v>BO022(-1) -&gt; BO022</v>
      </c>
    </row>
    <row r="320" spans="25:70" x14ac:dyDescent="0.45">
      <c r="Y320" s="5" t="s">
        <v>214</v>
      </c>
      <c r="Z320" s="4" t="s">
        <v>823</v>
      </c>
      <c r="AA320" s="4" t="s">
        <v>823</v>
      </c>
      <c r="AB320" s="6" t="s">
        <v>171</v>
      </c>
      <c r="AC320" s="24" t="str">
        <f>IFERROR(VLOOKUP(Transactions[[#This Row],[Parent code]],Transactions[[Transaction code]:[Transaction name]],2,0),"")</f>
        <v>Electricity, CHP and heat plants (T)</v>
      </c>
      <c r="AD320" s="4" t="s">
        <v>189</v>
      </c>
      <c r="AE320" s="18" t="s">
        <v>1497</v>
      </c>
      <c r="AF320" s="4" t="s">
        <v>642</v>
      </c>
      <c r="AG320" s="4" t="s">
        <v>1</v>
      </c>
      <c r="AH320" s="4" t="s">
        <v>696</v>
      </c>
      <c r="AI320" s="12" t="s">
        <v>1416</v>
      </c>
      <c r="AJ320" s="4" t="s">
        <v>0</v>
      </c>
      <c r="AK320" s="24" t="str" cm="1">
        <f t="array" ref="AK320">IFERROR(INDEX(Transactions[[Transaction code]:[Transaction name]],_xlfn.XMATCH(Transactions[[#This Row],[Parent code]],Transactions[Transaction name],0),3),Transactions[[#This Row],[Transaction name]])</f>
        <v>Electricity and heat from natural gas</v>
      </c>
      <c r="AL320" s="24" t="str" cm="1">
        <f t="array" ref="AL320">IFERROR(INDEX(Transactions[[Transaction code]:[Transaction name]],_xlfn.XMATCH(INDEX(Transactions[[Transaction name]:[Parent code]],_xlfn.XMATCH(Transactions[[#This Row],[L1N]],Transactions[Transaction name],0),3),Transactions[Transaction code],0),2),Transactions[[#This Row],[L1N]])</f>
        <v>Electricity, CHP and heat plants (T)</v>
      </c>
      <c r="AM320" s="24" t="str" cm="1">
        <f t="array" ref="AM320">IFERROR(INDEX(Transactions[[Transaction code]:[Transaction name]],_xlfn.XMATCH(INDEX(Transactions[[Transaction name]:[Parent code]],_xlfn.XMATCH(Transactions[[#This Row],[L2N]],Transactions[Transaction name],0),3),Transactions[Transaction code],0),2),Transactions[[#This Row],[L2N]])</f>
        <v>Transformation</v>
      </c>
      <c r="AN320" s="24" t="str" cm="1">
        <f t="array" ref="AN320">IFERROR(INDEX(Transactions[[Transaction code]:[Transaction name]],_xlfn.XMATCH(INDEX(Transactions[[Transaction name]:[Parent code]],_xlfn.XMATCH(Transactions[[#This Row],[L3N]],Transactions[Transaction name],0),3),Transactions[Transaction code],0),2),Transactions[[#This Row],[L3N]])</f>
        <v>Transformation</v>
      </c>
      <c r="AO320" s="24" t="str" cm="1">
        <f t="array" ref="AO320">IFERROR(INDEX(Transactions[[Transaction code]:[Transaction name]],_xlfn.XMATCH(INDEX(Transactions[[Transaction name]:[Parent code]],_xlfn.XMATCH(Transactions[[#This Row],[L4N]],Transactions[Transaction name],0),3),Transactions[Transaction code],0),2),Transactions[[#This Row],[L4N]])</f>
        <v>Transformation</v>
      </c>
      <c r="AP320" s="24" t="str" cm="1">
        <f t="array" ref="AP320">IFERROR(INDEX(Transactions[[Transaction code]:[Transaction name]],_xlfn.XMATCH(INDEX(Transactions[[Transaction name]:[Parent code]],_xlfn.XMATCH(Transactions[[#This Row],[L5N]],Transactions[Transaction name],0),3),Transactions[Transaction code],0),2),Transactions[[#This Row],[L5N]])</f>
        <v>Transformation</v>
      </c>
      <c r="AQ320" s="24" t="str" cm="1">
        <f t="array" ref="AQ320">IFERROR(INDEX(Transactions[[Transaction code]:[Transaction name]],_xlfn.XMATCH(INDEX(Transactions[[Transaction name]:[Parent code]],_xlfn.XMATCH(Transactions[[#This Row],[L6N]],Transactions[Transaction name],0),3),Transactions[Transaction code],0),2),Transactions[[#This Row],[L6N]])</f>
        <v>Transformation</v>
      </c>
      <c r="AR320" s="28" t="str">
        <f>IF(Transactions[[#This Row],[L7N]]=Transactions[[#This Row],[L6N]],Transactions[[#This Row],[L7N]],IF(Transactions[[#This Row],[L6N]]=Transactions[[#This Row],[L5N]],Transactions[[#This Row],[L6N]],IF(Transactions[[#This Row],[L5N]]=Transactions[[#This Row],[L4N]],Transactions[[#This Row],[L5N]],IF(Transactions[[#This Row],[L4N]]=Transactions[[#This Row],[L3N]],Transactions[[#This Row],[L4N]],IF(Transactions[[#This Row],[L3N]]=Transactions[[#This Row],[L2N]],Transactions[[#This Row],[L3N]],IF(Transactions[[#This Row],[L2N]]=Transactions[[#This Row],[L1N]],Transactions[[#This Row],[L2N]],IF(Transactions[[#This Row],[L1N]]=Transactions[[#This Row],[Transaction name]],Transactions[[#This Row],[L1N]],Transactions[[#This Row],[Transaction name]])))))))</f>
        <v>Transformation</v>
      </c>
      <c r="AS320" s="24" t="str">
        <f>IF(Transactions[[#This Row],[Level 0]]=Transactions[[#This Row],[Transaction name]],Transactions[[#This Row],[Transaction name]],IF(Transactions[[#This Row],[Level 0]]=Transactions[[#This Row],[L1N]],Transactions[[#This Row],[Transaction name]],IF(Transactions[[#This Row],[Level 0]]=Transactions[[#This Row],[L2N]],Transactions[[#This Row],[L1N]],IF(Transactions[[#This Row],[Level 0]]=Transactions[[#This Row],[L3N]],Transactions[[#This Row],[L2N]],IF(Transactions[[#This Row],[Level 0]]=Transactions[[#This Row],[L4N]],Transactions[[#This Row],[L3N]],IF(Transactions[[#This Row],[Level 0]]=Transactions[[#This Row],[L5N]],Transactions[[#This Row],[L4N]],IF(Transactions[[#This Row],[Level 0]]=Transactions[[#This Row],[L6N]],Transactions[[#This Row],[L5N]],IF(Transactions[[#This Row],[Level 0]]=Transactions[[#This Row],[L7N]],Transactions[[#This Row],[L6N]],Transactions[[#This Row],[L7N]]))))))))</f>
        <v>Electricity, CHP and heat plants (T)</v>
      </c>
      <c r="AT320" s="24" t="str">
        <f>IF(Transactions[[#This Row],[Level 1]]=Transactions[[#This Row],[Transaction name]],Transactions[[#This Row],[Transaction name]],IF(Transactions[[#This Row],[Level 1]]=Transactions[[#This Row],[L1N]],Transactions[[#This Row],[Transaction name]],IF(Transactions[[#This Row],[Level 1]]=Transactions[[#This Row],[L2N]],Transactions[[#This Row],[L1N]],IF(Transactions[[#This Row],[Level 1]]=Transactions[[#This Row],[L3N]],Transactions[[#This Row],[L2N]],IF(Transactions[[#This Row],[Level 1]]=Transactions[[#This Row],[L4N]],Transactions[[#This Row],[L3N]],IF(Transactions[[#This Row],[Level 1]]=Transactions[[#This Row],[L5N]],Transactions[[#This Row],[L4N]],IF(Transactions[[#This Row],[Level 1]]=Transactions[[#This Row],[L6N]],Transactions[[#This Row],[L5N]],IF(Transactions[[#This Row],[Level 1]]=Transactions[[#This Row],[L7N]],Transactions[[#This Row],[L6N]],Transactions[[#This Row],[L7N]]))))))))</f>
        <v>Electricity and heat from natural gas</v>
      </c>
      <c r="AU320" s="24" t="str">
        <f>IF(Transactions[[#This Row],[Level 2]]=Transactions[[#This Row],[Transaction name]],Transactions[[#This Row],[Transaction name]],IF(Transactions[[#This Row],[Level 2]]=Transactions[[#This Row],[L1N]],Transactions[[#This Row],[Transaction name]],IF(Transactions[[#This Row],[Level 2]]=Transactions[[#This Row],[L2N]],Transactions[[#This Row],[L1N]],IF(Transactions[[#This Row],[Level 2]]=Transactions[[#This Row],[L3N]],Transactions[[#This Row],[L2N]],IF(Transactions[[#This Row],[Level 2]]=Transactions[[#This Row],[L4N]],Transactions[[#This Row],[L3N]],IF(Transactions[[#This Row],[Level 2]]=Transactions[[#This Row],[L5N]],Transactions[[#This Row],[L4N]],IF(Transactions[[#This Row],[Level 2]]=Transactions[[#This Row],[L6N]],Transactions[[#This Row],[L5N]],IF(Transactions[[#This Row],[Level 2]]=Transactions[[#This Row],[L7N]],Transactions[[#This Row],[L6N]],Transactions[[#This Row],[L7N]]))))))))</f>
        <v>Electricity and heat from natural gas</v>
      </c>
      <c r="AV320" s="24" t="str">
        <f>IF(Transactions[[#This Row],[Level 3]]=Transactions[[#This Row],[Transaction name]],Transactions[[#This Row],[Transaction name]],IF(Transactions[[#This Row],[Level 3]]=Transactions[[#This Row],[L1N]],Transactions[[#This Row],[Transaction name]],IF(Transactions[[#This Row],[Level 3]]=Transactions[[#This Row],[L2N]],Transactions[[#This Row],[L1N]],IF(Transactions[[#This Row],[Level 3]]=Transactions[[#This Row],[L3N]],Transactions[[#This Row],[L2N]],IF(Transactions[[#This Row],[Level 3]]=Transactions[[#This Row],[L4N]],Transactions[[#This Row],[L3N]],IF(Transactions[[#This Row],[Level 3]]=Transactions[[#This Row],[L5N]],Transactions[[#This Row],[L4N]],IF(Transactions[[#This Row],[Level 3]]=Transactions[[#This Row],[L6N]],Transactions[[#This Row],[L5N]],IF(Transactions[[#This Row],[Level 3]]=Transactions[[#This Row],[L7N]],Transactions[[#This Row],[L6N]],Transactions[[#This Row],[L7N]]))))))))</f>
        <v>Electricity and heat from natural gas</v>
      </c>
      <c r="AW320" s="24" t="str">
        <f>IF(Transactions[[#This Row],[Level 4]]=Transactions[[#This Row],[Transaction name]],Transactions[[#This Row],[Transaction name]],IF(Transactions[[#This Row],[Level 4]]=Transactions[[#This Row],[L1N]],Transactions[[#This Row],[Transaction name]],IF(Transactions[[#This Row],[Level 4]]=Transactions[[#This Row],[L2N]],Transactions[[#This Row],[L1N]],IF(Transactions[[#This Row],[Level 4]]=Transactions[[#This Row],[L3N]],Transactions[[#This Row],[L2N]],IF(Transactions[[#This Row],[Level 4]]=Transactions[[#This Row],[L4N]],Transactions[[#This Row],[L3N]],IF(Transactions[[#This Row],[Level 4]]=Transactions[[#This Row],[L5N]],Transactions[[#This Row],[L4N]],IF(Transactions[[#This Row],[Level 4]]=Transactions[[#This Row],[L6N]],Transactions[[#This Row],[L5N]],IF(Transactions[[#This Row],[Level 4]]=Transactions[[#This Row],[L7N]],Transactions[[#This Row],[L6N]],Transactions[[#This Row],[L7N]]))))))))</f>
        <v>Electricity and heat from natural gas</v>
      </c>
      <c r="AX320" s="24" t="str">
        <f>IF(Transactions[[#This Row],[Level 5]]=Transactions[[#This Row],[Transaction name]],Transactions[[#This Row],[Transaction name]],IF(Transactions[[#This Row],[Level 5]]=Transactions[[#This Row],[L1N]],Transactions[[#This Row],[Transaction name]],IF(Transactions[[#This Row],[Level 5]]=Transactions[[#This Row],[L2N]],Transactions[[#This Row],[L1N]],IF(Transactions[[#This Row],[Level 5]]=Transactions[[#This Row],[L3N]],Transactions[[#This Row],[L2N]],IF(Transactions[[#This Row],[Level 5]]=Transactions[[#This Row],[L4N]],Transactions[[#This Row],[L3N]],IF(Transactions[[#This Row],[Level 5]]=Transactions[[#This Row],[L5N]],Transactions[[#This Row],[L4N]],IF(Transactions[[#This Row],[Level 5]]=Transactions[[#This Row],[L6N]],Transactions[[#This Row],[L5N]],IF(Transactions[[#This Row],[Level 5]]=Transactions[[#This Row],[L7N]],Transactions[[#This Row],[L6N]],Transactions[[#This Row],[L7N]]))))))))</f>
        <v>Electricity and heat from natural gas</v>
      </c>
      <c r="AY320" s="24" t="str">
        <f>IF(Transactions[[#This Row],[Level 6]]=Transactions[[#This Row],[Transaction name]],Transactions[[#This Row],[Transaction name]],IF(Transactions[[#This Row],[Level 6]]=Transactions[[#This Row],[L1N]],Transactions[[#This Row],[Transaction name]],IF(Transactions[[#This Row],[Level 6]]=Transactions[[#This Row],[L2N]],Transactions[[#This Row],[L1N]],IF(Transactions[[#This Row],[Level 6]]=Transactions[[#This Row],[L3N]],Transactions[[#This Row],[L2N]],IF(Transactions[[#This Row],[Level 6]]=Transactions[[#This Row],[L4N]],Transactions[[#This Row],[L3N]],IF(Transactions[[#This Row],[Level 6]]=Transactions[[#This Row],[L5N]],Transactions[[#This Row],[L4N]],IF(Transactions[[#This Row],[Level 6]]=Transactions[[#This Row],[L6N]],Transactions[[#This Row],[L5N]],IF(Transactions[[#This Row],[Level 6]]=Transactions[[#This Row],[L7N]],Transactions[[#This Row],[L6N]],Transactions[[#This Row],[L7N]]))))))))</f>
        <v>Electricity and heat from natural gas</v>
      </c>
      <c r="BE320" s="26" t="str">
        <f>_xlfn.XLOOKUP(Transformation[[#This Row],[cfrom]],Commodities[Commodity],Commodities[Commodity code])</f>
        <v>1200</v>
      </c>
      <c r="BF320" s="26" t="str">
        <f>_xlfn.XLOOKUP(Transformation[[#This Row],[tfrom]],Transactions[Transaction name],Transactions[Transaction code])</f>
        <v>01</v>
      </c>
      <c r="BG320" s="26" t="str">
        <f>_xlfn.XLOOKUP(Transformation[[#This Row],[cto]],Commodities[Commodity],Commodities[Commodity code])</f>
        <v>1200</v>
      </c>
      <c r="BH320" s="26" t="str">
        <f>_xlfn.XLOOKUP(Transformation[[#This Row],[tto]],Transactions[Transaction name],Transactions[Transaction code])</f>
        <v>083</v>
      </c>
      <c r="BI320" s="32">
        <v>1</v>
      </c>
      <c r="BJ320" s="22" t="s">
        <v>455</v>
      </c>
      <c r="BK320" s="26" t="str">
        <f>_xlfn.XLOOKUP(Transformation[[#This Row],[Commodity from]],Commodities[Commodity code],Commodities[EnergyCode])</f>
        <v>BP</v>
      </c>
      <c r="BL320" s="22" t="s">
        <v>383</v>
      </c>
      <c r="BM320" s="22" t="s">
        <v>455</v>
      </c>
      <c r="BN320" s="26" t="str">
        <f>_xlfn.XLOOKUP(Transformation[[#This Row],[Commodity to]],Commodities[Commodity code],Commodities[EnergyCode])</f>
        <v>BP</v>
      </c>
      <c r="BO320" s="22" t="s">
        <v>719</v>
      </c>
      <c r="BP320" s="22" t="s">
        <v>1632</v>
      </c>
      <c r="BQ320" s="33" t="str">
        <f>Transformation[[#This Row],[Commodity from]]&amp;Transformation[[#This Row],[Transaction from]]&amp;Transformation[[#This Row],[Commodity to]]&amp;Transformation[[#This Row],[Transaction to]]</f>
        <v>1200011200083</v>
      </c>
      <c r="BR320" s="26" t="str">
        <f>Transformation[[#This Row],[crfomid]]&amp;Transformation[[#This Row],[Transaction from]]&amp;"("&amp;Transformation[[#This Row],[Multiplier]]&amp;") -&gt; "&amp;Transformation[[#This Row],[ctoid]]&amp;Transformation[[#This Row],[Transaction to]]</f>
        <v>BP01(1) -&gt; BP083</v>
      </c>
    </row>
    <row r="321" spans="25:70" x14ac:dyDescent="0.45">
      <c r="Y321" s="5" t="s">
        <v>213</v>
      </c>
      <c r="Z321" s="4" t="s">
        <v>824</v>
      </c>
      <c r="AA321" s="4" t="s">
        <v>824</v>
      </c>
      <c r="AB321" s="6" t="s">
        <v>171</v>
      </c>
      <c r="AC321" s="24" t="str">
        <f>IFERROR(VLOOKUP(Transactions[[#This Row],[Parent code]],Transactions[[Transaction code]:[Transaction name]],2,0),"")</f>
        <v>Electricity, CHP and heat plants (T)</v>
      </c>
      <c r="AD321" s="4" t="s">
        <v>189</v>
      </c>
      <c r="AE321" s="18" t="s">
        <v>1497</v>
      </c>
      <c r="AF321" s="4" t="s">
        <v>642</v>
      </c>
      <c r="AG321" s="4" t="s">
        <v>1</v>
      </c>
      <c r="AH321" s="4" t="s">
        <v>696</v>
      </c>
      <c r="AI321" s="12" t="s">
        <v>1416</v>
      </c>
      <c r="AJ321" s="4" t="s">
        <v>0</v>
      </c>
      <c r="AK321" s="24" t="str" cm="1">
        <f t="array" ref="AK321">IFERROR(INDEX(Transactions[[Transaction code]:[Transaction name]],_xlfn.XMATCH(Transactions[[#This Row],[Parent code]],Transactions[Transaction name],0),3),Transactions[[#This Row],[Transaction name]])</f>
        <v>Electricity and heat from non-renewable waste</v>
      </c>
      <c r="AL321" s="24" t="str" cm="1">
        <f t="array" ref="AL321">IFERROR(INDEX(Transactions[[Transaction code]:[Transaction name]],_xlfn.XMATCH(INDEX(Transactions[[Transaction name]:[Parent code]],_xlfn.XMATCH(Transactions[[#This Row],[L1N]],Transactions[Transaction name],0),3),Transactions[Transaction code],0),2),Transactions[[#This Row],[L1N]])</f>
        <v>Electricity, CHP and heat plants (T)</v>
      </c>
      <c r="AM321" s="24" t="str" cm="1">
        <f t="array" ref="AM321">IFERROR(INDEX(Transactions[[Transaction code]:[Transaction name]],_xlfn.XMATCH(INDEX(Transactions[[Transaction name]:[Parent code]],_xlfn.XMATCH(Transactions[[#This Row],[L2N]],Transactions[Transaction name],0),3),Transactions[Transaction code],0),2),Transactions[[#This Row],[L2N]])</f>
        <v>Transformation</v>
      </c>
      <c r="AN321" s="24" t="str" cm="1">
        <f t="array" ref="AN321">IFERROR(INDEX(Transactions[[Transaction code]:[Transaction name]],_xlfn.XMATCH(INDEX(Transactions[[Transaction name]:[Parent code]],_xlfn.XMATCH(Transactions[[#This Row],[L3N]],Transactions[Transaction name],0),3),Transactions[Transaction code],0),2),Transactions[[#This Row],[L3N]])</f>
        <v>Transformation</v>
      </c>
      <c r="AO321" s="24" t="str" cm="1">
        <f t="array" ref="AO321">IFERROR(INDEX(Transactions[[Transaction code]:[Transaction name]],_xlfn.XMATCH(INDEX(Transactions[[Transaction name]:[Parent code]],_xlfn.XMATCH(Transactions[[#This Row],[L4N]],Transactions[Transaction name],0),3),Transactions[Transaction code],0),2),Transactions[[#This Row],[L4N]])</f>
        <v>Transformation</v>
      </c>
      <c r="AP321" s="24" t="str" cm="1">
        <f t="array" ref="AP321">IFERROR(INDEX(Transactions[[Transaction code]:[Transaction name]],_xlfn.XMATCH(INDEX(Transactions[[Transaction name]:[Parent code]],_xlfn.XMATCH(Transactions[[#This Row],[L5N]],Transactions[Transaction name],0),3),Transactions[Transaction code],0),2),Transactions[[#This Row],[L5N]])</f>
        <v>Transformation</v>
      </c>
      <c r="AQ321" s="24" t="str" cm="1">
        <f t="array" ref="AQ321">IFERROR(INDEX(Transactions[[Transaction code]:[Transaction name]],_xlfn.XMATCH(INDEX(Transactions[[Transaction name]:[Parent code]],_xlfn.XMATCH(Transactions[[#This Row],[L6N]],Transactions[Transaction name],0),3),Transactions[Transaction code],0),2),Transactions[[#This Row],[L6N]])</f>
        <v>Transformation</v>
      </c>
      <c r="AR321" s="28" t="str">
        <f>IF(Transactions[[#This Row],[L7N]]=Transactions[[#This Row],[L6N]],Transactions[[#This Row],[L7N]],IF(Transactions[[#This Row],[L6N]]=Transactions[[#This Row],[L5N]],Transactions[[#This Row],[L6N]],IF(Transactions[[#This Row],[L5N]]=Transactions[[#This Row],[L4N]],Transactions[[#This Row],[L5N]],IF(Transactions[[#This Row],[L4N]]=Transactions[[#This Row],[L3N]],Transactions[[#This Row],[L4N]],IF(Transactions[[#This Row],[L3N]]=Transactions[[#This Row],[L2N]],Transactions[[#This Row],[L3N]],IF(Transactions[[#This Row],[L2N]]=Transactions[[#This Row],[L1N]],Transactions[[#This Row],[L2N]],IF(Transactions[[#This Row],[L1N]]=Transactions[[#This Row],[Transaction name]],Transactions[[#This Row],[L1N]],Transactions[[#This Row],[Transaction name]])))))))</f>
        <v>Transformation</v>
      </c>
      <c r="AS321" s="24" t="str">
        <f>IF(Transactions[[#This Row],[Level 0]]=Transactions[[#This Row],[Transaction name]],Transactions[[#This Row],[Transaction name]],IF(Transactions[[#This Row],[Level 0]]=Transactions[[#This Row],[L1N]],Transactions[[#This Row],[Transaction name]],IF(Transactions[[#This Row],[Level 0]]=Transactions[[#This Row],[L2N]],Transactions[[#This Row],[L1N]],IF(Transactions[[#This Row],[Level 0]]=Transactions[[#This Row],[L3N]],Transactions[[#This Row],[L2N]],IF(Transactions[[#This Row],[Level 0]]=Transactions[[#This Row],[L4N]],Transactions[[#This Row],[L3N]],IF(Transactions[[#This Row],[Level 0]]=Transactions[[#This Row],[L5N]],Transactions[[#This Row],[L4N]],IF(Transactions[[#This Row],[Level 0]]=Transactions[[#This Row],[L6N]],Transactions[[#This Row],[L5N]],IF(Transactions[[#This Row],[Level 0]]=Transactions[[#This Row],[L7N]],Transactions[[#This Row],[L6N]],Transactions[[#This Row],[L7N]]))))))))</f>
        <v>Electricity, CHP and heat plants (T)</v>
      </c>
      <c r="AT321" s="24" t="str">
        <f>IF(Transactions[[#This Row],[Level 1]]=Transactions[[#This Row],[Transaction name]],Transactions[[#This Row],[Transaction name]],IF(Transactions[[#This Row],[Level 1]]=Transactions[[#This Row],[L1N]],Transactions[[#This Row],[Transaction name]],IF(Transactions[[#This Row],[Level 1]]=Transactions[[#This Row],[L2N]],Transactions[[#This Row],[L1N]],IF(Transactions[[#This Row],[Level 1]]=Transactions[[#This Row],[L3N]],Transactions[[#This Row],[L2N]],IF(Transactions[[#This Row],[Level 1]]=Transactions[[#This Row],[L4N]],Transactions[[#This Row],[L3N]],IF(Transactions[[#This Row],[Level 1]]=Transactions[[#This Row],[L5N]],Transactions[[#This Row],[L4N]],IF(Transactions[[#This Row],[Level 1]]=Transactions[[#This Row],[L6N]],Transactions[[#This Row],[L5N]],IF(Transactions[[#This Row],[Level 1]]=Transactions[[#This Row],[L7N]],Transactions[[#This Row],[L6N]],Transactions[[#This Row],[L7N]]))))))))</f>
        <v>Electricity and heat from non-renewable waste</v>
      </c>
      <c r="AU321" s="24" t="str">
        <f>IF(Transactions[[#This Row],[Level 2]]=Transactions[[#This Row],[Transaction name]],Transactions[[#This Row],[Transaction name]],IF(Transactions[[#This Row],[Level 2]]=Transactions[[#This Row],[L1N]],Transactions[[#This Row],[Transaction name]],IF(Transactions[[#This Row],[Level 2]]=Transactions[[#This Row],[L2N]],Transactions[[#This Row],[L1N]],IF(Transactions[[#This Row],[Level 2]]=Transactions[[#This Row],[L3N]],Transactions[[#This Row],[L2N]],IF(Transactions[[#This Row],[Level 2]]=Transactions[[#This Row],[L4N]],Transactions[[#This Row],[L3N]],IF(Transactions[[#This Row],[Level 2]]=Transactions[[#This Row],[L5N]],Transactions[[#This Row],[L4N]],IF(Transactions[[#This Row],[Level 2]]=Transactions[[#This Row],[L6N]],Transactions[[#This Row],[L5N]],IF(Transactions[[#This Row],[Level 2]]=Transactions[[#This Row],[L7N]],Transactions[[#This Row],[L6N]],Transactions[[#This Row],[L7N]]))))))))</f>
        <v>Electricity and heat from non-renewable waste</v>
      </c>
      <c r="AV321" s="24" t="str">
        <f>IF(Transactions[[#This Row],[Level 3]]=Transactions[[#This Row],[Transaction name]],Transactions[[#This Row],[Transaction name]],IF(Transactions[[#This Row],[Level 3]]=Transactions[[#This Row],[L1N]],Transactions[[#This Row],[Transaction name]],IF(Transactions[[#This Row],[Level 3]]=Transactions[[#This Row],[L2N]],Transactions[[#This Row],[L1N]],IF(Transactions[[#This Row],[Level 3]]=Transactions[[#This Row],[L3N]],Transactions[[#This Row],[L2N]],IF(Transactions[[#This Row],[Level 3]]=Transactions[[#This Row],[L4N]],Transactions[[#This Row],[L3N]],IF(Transactions[[#This Row],[Level 3]]=Transactions[[#This Row],[L5N]],Transactions[[#This Row],[L4N]],IF(Transactions[[#This Row],[Level 3]]=Transactions[[#This Row],[L6N]],Transactions[[#This Row],[L5N]],IF(Transactions[[#This Row],[Level 3]]=Transactions[[#This Row],[L7N]],Transactions[[#This Row],[L6N]],Transactions[[#This Row],[L7N]]))))))))</f>
        <v>Electricity and heat from non-renewable waste</v>
      </c>
      <c r="AW321" s="24" t="str">
        <f>IF(Transactions[[#This Row],[Level 4]]=Transactions[[#This Row],[Transaction name]],Transactions[[#This Row],[Transaction name]],IF(Transactions[[#This Row],[Level 4]]=Transactions[[#This Row],[L1N]],Transactions[[#This Row],[Transaction name]],IF(Transactions[[#This Row],[Level 4]]=Transactions[[#This Row],[L2N]],Transactions[[#This Row],[L1N]],IF(Transactions[[#This Row],[Level 4]]=Transactions[[#This Row],[L3N]],Transactions[[#This Row],[L2N]],IF(Transactions[[#This Row],[Level 4]]=Transactions[[#This Row],[L4N]],Transactions[[#This Row],[L3N]],IF(Transactions[[#This Row],[Level 4]]=Transactions[[#This Row],[L5N]],Transactions[[#This Row],[L4N]],IF(Transactions[[#This Row],[Level 4]]=Transactions[[#This Row],[L6N]],Transactions[[#This Row],[L5N]],IF(Transactions[[#This Row],[Level 4]]=Transactions[[#This Row],[L7N]],Transactions[[#This Row],[L6N]],Transactions[[#This Row],[L7N]]))))))))</f>
        <v>Electricity and heat from non-renewable waste</v>
      </c>
      <c r="AX321" s="24" t="str">
        <f>IF(Transactions[[#This Row],[Level 5]]=Transactions[[#This Row],[Transaction name]],Transactions[[#This Row],[Transaction name]],IF(Transactions[[#This Row],[Level 5]]=Transactions[[#This Row],[L1N]],Transactions[[#This Row],[Transaction name]],IF(Transactions[[#This Row],[Level 5]]=Transactions[[#This Row],[L2N]],Transactions[[#This Row],[L1N]],IF(Transactions[[#This Row],[Level 5]]=Transactions[[#This Row],[L3N]],Transactions[[#This Row],[L2N]],IF(Transactions[[#This Row],[Level 5]]=Transactions[[#This Row],[L4N]],Transactions[[#This Row],[L3N]],IF(Transactions[[#This Row],[Level 5]]=Transactions[[#This Row],[L5N]],Transactions[[#This Row],[L4N]],IF(Transactions[[#This Row],[Level 5]]=Transactions[[#This Row],[L6N]],Transactions[[#This Row],[L5N]],IF(Transactions[[#This Row],[Level 5]]=Transactions[[#This Row],[L7N]],Transactions[[#This Row],[L6N]],Transactions[[#This Row],[L7N]]))))))))</f>
        <v>Electricity and heat from non-renewable waste</v>
      </c>
      <c r="AY321" s="24" t="str">
        <f>IF(Transactions[[#This Row],[Level 6]]=Transactions[[#This Row],[Transaction name]],Transactions[[#This Row],[Transaction name]],IF(Transactions[[#This Row],[Level 6]]=Transactions[[#This Row],[L1N]],Transactions[[#This Row],[Transaction name]],IF(Transactions[[#This Row],[Level 6]]=Transactions[[#This Row],[L2N]],Transactions[[#This Row],[L1N]],IF(Transactions[[#This Row],[Level 6]]=Transactions[[#This Row],[L3N]],Transactions[[#This Row],[L2N]],IF(Transactions[[#This Row],[Level 6]]=Transactions[[#This Row],[L4N]],Transactions[[#This Row],[L3N]],IF(Transactions[[#This Row],[Level 6]]=Transactions[[#This Row],[L5N]],Transactions[[#This Row],[L4N]],IF(Transactions[[#This Row],[Level 6]]=Transactions[[#This Row],[L6N]],Transactions[[#This Row],[L5N]],IF(Transactions[[#This Row],[Level 6]]=Transactions[[#This Row],[L7N]],Transactions[[#This Row],[L6N]],Transactions[[#This Row],[L7N]]))))))))</f>
        <v>Electricity and heat from non-renewable waste</v>
      </c>
      <c r="BE321" s="26" t="str">
        <f>_xlfn.XLOOKUP(Transformation[[#This Row],[cfrom]],Commodities[Commodity],Commodities[Commodity code])</f>
        <v>1200</v>
      </c>
      <c r="BF321" s="26" t="str">
        <f>_xlfn.XLOOKUP(Transformation[[#This Row],[tfrom]],Transactions[Transaction name],Transactions[Transaction code])</f>
        <v>01</v>
      </c>
      <c r="BG321" s="26" t="str">
        <f>_xlfn.XLOOKUP(Transformation[[#This Row],[cto]],Commodities[Commodity],Commodities[Commodity code])</f>
        <v>1200</v>
      </c>
      <c r="BH321" s="26" t="str">
        <f>_xlfn.XLOOKUP(Transformation[[#This Row],[tto]],Transactions[Transaction name],Transactions[Transaction code])</f>
        <v>01</v>
      </c>
      <c r="BI321" s="32">
        <v>-1</v>
      </c>
      <c r="BJ321" s="22" t="s">
        <v>455</v>
      </c>
      <c r="BK321" s="26" t="str">
        <f>_xlfn.XLOOKUP(Transformation[[#This Row],[Commodity from]],Commodities[Commodity code],Commodities[EnergyCode])</f>
        <v>BP</v>
      </c>
      <c r="BL321" s="22" t="s">
        <v>383</v>
      </c>
      <c r="BM321" s="22" t="s">
        <v>455</v>
      </c>
      <c r="BN321" s="26" t="str">
        <f>_xlfn.XLOOKUP(Transformation[[#This Row],[Commodity to]],Commodities[Commodity code],Commodities[EnergyCode])</f>
        <v>BP</v>
      </c>
      <c r="BO321" s="22" t="s">
        <v>383</v>
      </c>
      <c r="BP321" s="22" t="s">
        <v>1633</v>
      </c>
      <c r="BQ321" s="33" t="str">
        <f>Transformation[[#This Row],[Commodity from]]&amp;Transformation[[#This Row],[Transaction from]]&amp;Transformation[[#This Row],[Commodity to]]&amp;Transformation[[#This Row],[Transaction to]]</f>
        <v>120001120001</v>
      </c>
      <c r="BR321" s="26" t="str">
        <f>Transformation[[#This Row],[crfomid]]&amp;Transformation[[#This Row],[Transaction from]]&amp;"("&amp;Transformation[[#This Row],[Multiplier]]&amp;") -&gt; "&amp;Transformation[[#This Row],[ctoid]]&amp;Transformation[[#This Row],[Transaction to]]</f>
        <v>BP01(-1) -&gt; BP01</v>
      </c>
    </row>
    <row r="322" spans="25:70" x14ac:dyDescent="0.45">
      <c r="Y322" s="5" t="s">
        <v>212</v>
      </c>
      <c r="Z322" s="4" t="s">
        <v>825</v>
      </c>
      <c r="AA322" s="4" t="s">
        <v>825</v>
      </c>
      <c r="AB322" s="6" t="s">
        <v>171</v>
      </c>
      <c r="AC322" s="24" t="str">
        <f>IFERROR(VLOOKUP(Transactions[[#This Row],[Parent code]],Transactions[[Transaction code]:[Transaction name]],2,0),"")</f>
        <v>Electricity, CHP and heat plants (T)</v>
      </c>
      <c r="AD322" s="4" t="s">
        <v>189</v>
      </c>
      <c r="AE322" s="18" t="s">
        <v>1497</v>
      </c>
      <c r="AF322" s="4" t="s">
        <v>642</v>
      </c>
      <c r="AG322" s="4" t="s">
        <v>1</v>
      </c>
      <c r="AH322" s="4" t="s">
        <v>696</v>
      </c>
      <c r="AI322" s="12" t="s">
        <v>1416</v>
      </c>
      <c r="AJ322" s="4" t="s">
        <v>0</v>
      </c>
      <c r="AK322" s="24" t="str" cm="1">
        <f t="array" ref="AK322">IFERROR(INDEX(Transactions[[Transaction code]:[Transaction name]],_xlfn.XMATCH(Transactions[[#This Row],[Parent code]],Transactions[Transaction name],0),3),Transactions[[#This Row],[Transaction name]])</f>
        <v>Electricity and heat from oil shale</v>
      </c>
      <c r="AL322" s="24" t="str" cm="1">
        <f t="array" ref="AL322">IFERROR(INDEX(Transactions[[Transaction code]:[Transaction name]],_xlfn.XMATCH(INDEX(Transactions[[Transaction name]:[Parent code]],_xlfn.XMATCH(Transactions[[#This Row],[L1N]],Transactions[Transaction name],0),3),Transactions[Transaction code],0),2),Transactions[[#This Row],[L1N]])</f>
        <v>Electricity, CHP and heat plants (T)</v>
      </c>
      <c r="AM322" s="24" t="str" cm="1">
        <f t="array" ref="AM322">IFERROR(INDEX(Transactions[[Transaction code]:[Transaction name]],_xlfn.XMATCH(INDEX(Transactions[[Transaction name]:[Parent code]],_xlfn.XMATCH(Transactions[[#This Row],[L2N]],Transactions[Transaction name],0),3),Transactions[Transaction code],0),2),Transactions[[#This Row],[L2N]])</f>
        <v>Transformation</v>
      </c>
      <c r="AN322" s="24" t="str" cm="1">
        <f t="array" ref="AN322">IFERROR(INDEX(Transactions[[Transaction code]:[Transaction name]],_xlfn.XMATCH(INDEX(Transactions[[Transaction name]:[Parent code]],_xlfn.XMATCH(Transactions[[#This Row],[L3N]],Transactions[Transaction name],0),3),Transactions[Transaction code],0),2),Transactions[[#This Row],[L3N]])</f>
        <v>Transformation</v>
      </c>
      <c r="AO322" s="24" t="str" cm="1">
        <f t="array" ref="AO322">IFERROR(INDEX(Transactions[[Transaction code]:[Transaction name]],_xlfn.XMATCH(INDEX(Transactions[[Transaction name]:[Parent code]],_xlfn.XMATCH(Transactions[[#This Row],[L4N]],Transactions[Transaction name],0),3),Transactions[Transaction code],0),2),Transactions[[#This Row],[L4N]])</f>
        <v>Transformation</v>
      </c>
      <c r="AP322" s="24" t="str" cm="1">
        <f t="array" ref="AP322">IFERROR(INDEX(Transactions[[Transaction code]:[Transaction name]],_xlfn.XMATCH(INDEX(Transactions[[Transaction name]:[Parent code]],_xlfn.XMATCH(Transactions[[#This Row],[L5N]],Transactions[Transaction name],0),3),Transactions[Transaction code],0),2),Transactions[[#This Row],[L5N]])</f>
        <v>Transformation</v>
      </c>
      <c r="AQ322" s="24" t="str" cm="1">
        <f t="array" ref="AQ322">IFERROR(INDEX(Transactions[[Transaction code]:[Transaction name]],_xlfn.XMATCH(INDEX(Transactions[[Transaction name]:[Parent code]],_xlfn.XMATCH(Transactions[[#This Row],[L6N]],Transactions[Transaction name],0),3),Transactions[Transaction code],0),2),Transactions[[#This Row],[L6N]])</f>
        <v>Transformation</v>
      </c>
      <c r="AR322" s="27" t="str">
        <f>IF(Transactions[[#This Row],[L7N]]=Transactions[[#This Row],[L6N]],Transactions[[#This Row],[L7N]],IF(Transactions[[#This Row],[L6N]]=Transactions[[#This Row],[L5N]],Transactions[[#This Row],[L6N]],IF(Transactions[[#This Row],[L5N]]=Transactions[[#This Row],[L4N]],Transactions[[#This Row],[L5N]],IF(Transactions[[#This Row],[L4N]]=Transactions[[#This Row],[L3N]],Transactions[[#This Row],[L4N]],IF(Transactions[[#This Row],[L3N]]=Transactions[[#This Row],[L2N]],Transactions[[#This Row],[L3N]],IF(Transactions[[#This Row],[L2N]]=Transactions[[#This Row],[L1N]],Transactions[[#This Row],[L2N]],IF(Transactions[[#This Row],[L1N]]=Transactions[[#This Row],[Transaction name]],Transactions[[#This Row],[L1N]],Transactions[[#This Row],[Transaction name]])))))))</f>
        <v>Transformation</v>
      </c>
      <c r="AS322" s="24" t="str">
        <f>IF(Transactions[[#This Row],[Level 0]]=Transactions[[#This Row],[Transaction name]],Transactions[[#This Row],[Transaction name]],IF(Transactions[[#This Row],[Level 0]]=Transactions[[#This Row],[L1N]],Transactions[[#This Row],[Transaction name]],IF(Transactions[[#This Row],[Level 0]]=Transactions[[#This Row],[L2N]],Transactions[[#This Row],[L1N]],IF(Transactions[[#This Row],[Level 0]]=Transactions[[#This Row],[L3N]],Transactions[[#This Row],[L2N]],IF(Transactions[[#This Row],[Level 0]]=Transactions[[#This Row],[L4N]],Transactions[[#This Row],[L3N]],IF(Transactions[[#This Row],[Level 0]]=Transactions[[#This Row],[L5N]],Transactions[[#This Row],[L4N]],IF(Transactions[[#This Row],[Level 0]]=Transactions[[#This Row],[L6N]],Transactions[[#This Row],[L5N]],IF(Transactions[[#This Row],[Level 0]]=Transactions[[#This Row],[L7N]],Transactions[[#This Row],[L6N]],Transactions[[#This Row],[L7N]]))))))))</f>
        <v>Electricity, CHP and heat plants (T)</v>
      </c>
      <c r="AT322" s="24" t="str">
        <f>IF(Transactions[[#This Row],[Level 1]]=Transactions[[#This Row],[Transaction name]],Transactions[[#This Row],[Transaction name]],IF(Transactions[[#This Row],[Level 1]]=Transactions[[#This Row],[L1N]],Transactions[[#This Row],[Transaction name]],IF(Transactions[[#This Row],[Level 1]]=Transactions[[#This Row],[L2N]],Transactions[[#This Row],[L1N]],IF(Transactions[[#This Row],[Level 1]]=Transactions[[#This Row],[L3N]],Transactions[[#This Row],[L2N]],IF(Transactions[[#This Row],[Level 1]]=Transactions[[#This Row],[L4N]],Transactions[[#This Row],[L3N]],IF(Transactions[[#This Row],[Level 1]]=Transactions[[#This Row],[L5N]],Transactions[[#This Row],[L4N]],IF(Transactions[[#This Row],[Level 1]]=Transactions[[#This Row],[L6N]],Transactions[[#This Row],[L5N]],IF(Transactions[[#This Row],[Level 1]]=Transactions[[#This Row],[L7N]],Transactions[[#This Row],[L6N]],Transactions[[#This Row],[L7N]]))))))))</f>
        <v>Electricity and heat from oil shale</v>
      </c>
      <c r="AU322" s="24" t="str">
        <f>IF(Transactions[[#This Row],[Level 2]]=Transactions[[#This Row],[Transaction name]],Transactions[[#This Row],[Transaction name]],IF(Transactions[[#This Row],[Level 2]]=Transactions[[#This Row],[L1N]],Transactions[[#This Row],[Transaction name]],IF(Transactions[[#This Row],[Level 2]]=Transactions[[#This Row],[L2N]],Transactions[[#This Row],[L1N]],IF(Transactions[[#This Row],[Level 2]]=Transactions[[#This Row],[L3N]],Transactions[[#This Row],[L2N]],IF(Transactions[[#This Row],[Level 2]]=Transactions[[#This Row],[L4N]],Transactions[[#This Row],[L3N]],IF(Transactions[[#This Row],[Level 2]]=Transactions[[#This Row],[L5N]],Transactions[[#This Row],[L4N]],IF(Transactions[[#This Row],[Level 2]]=Transactions[[#This Row],[L6N]],Transactions[[#This Row],[L5N]],IF(Transactions[[#This Row],[Level 2]]=Transactions[[#This Row],[L7N]],Transactions[[#This Row],[L6N]],Transactions[[#This Row],[L7N]]))))))))</f>
        <v>Electricity and heat from oil shale</v>
      </c>
      <c r="AV322" s="24" t="str">
        <f>IF(Transactions[[#This Row],[Level 3]]=Transactions[[#This Row],[Transaction name]],Transactions[[#This Row],[Transaction name]],IF(Transactions[[#This Row],[Level 3]]=Transactions[[#This Row],[L1N]],Transactions[[#This Row],[Transaction name]],IF(Transactions[[#This Row],[Level 3]]=Transactions[[#This Row],[L2N]],Transactions[[#This Row],[L1N]],IF(Transactions[[#This Row],[Level 3]]=Transactions[[#This Row],[L3N]],Transactions[[#This Row],[L2N]],IF(Transactions[[#This Row],[Level 3]]=Transactions[[#This Row],[L4N]],Transactions[[#This Row],[L3N]],IF(Transactions[[#This Row],[Level 3]]=Transactions[[#This Row],[L5N]],Transactions[[#This Row],[L4N]],IF(Transactions[[#This Row],[Level 3]]=Transactions[[#This Row],[L6N]],Transactions[[#This Row],[L5N]],IF(Transactions[[#This Row],[Level 3]]=Transactions[[#This Row],[L7N]],Transactions[[#This Row],[L6N]],Transactions[[#This Row],[L7N]]))))))))</f>
        <v>Electricity and heat from oil shale</v>
      </c>
      <c r="AW322" s="24" t="str">
        <f>IF(Transactions[[#This Row],[Level 4]]=Transactions[[#This Row],[Transaction name]],Transactions[[#This Row],[Transaction name]],IF(Transactions[[#This Row],[Level 4]]=Transactions[[#This Row],[L1N]],Transactions[[#This Row],[Transaction name]],IF(Transactions[[#This Row],[Level 4]]=Transactions[[#This Row],[L2N]],Transactions[[#This Row],[L1N]],IF(Transactions[[#This Row],[Level 4]]=Transactions[[#This Row],[L3N]],Transactions[[#This Row],[L2N]],IF(Transactions[[#This Row],[Level 4]]=Transactions[[#This Row],[L4N]],Transactions[[#This Row],[L3N]],IF(Transactions[[#This Row],[Level 4]]=Transactions[[#This Row],[L5N]],Transactions[[#This Row],[L4N]],IF(Transactions[[#This Row],[Level 4]]=Transactions[[#This Row],[L6N]],Transactions[[#This Row],[L5N]],IF(Transactions[[#This Row],[Level 4]]=Transactions[[#This Row],[L7N]],Transactions[[#This Row],[L6N]],Transactions[[#This Row],[L7N]]))))))))</f>
        <v>Electricity and heat from oil shale</v>
      </c>
      <c r="AX322" s="24" t="str">
        <f>IF(Transactions[[#This Row],[Level 5]]=Transactions[[#This Row],[Transaction name]],Transactions[[#This Row],[Transaction name]],IF(Transactions[[#This Row],[Level 5]]=Transactions[[#This Row],[L1N]],Transactions[[#This Row],[Transaction name]],IF(Transactions[[#This Row],[Level 5]]=Transactions[[#This Row],[L2N]],Transactions[[#This Row],[L1N]],IF(Transactions[[#This Row],[Level 5]]=Transactions[[#This Row],[L3N]],Transactions[[#This Row],[L2N]],IF(Transactions[[#This Row],[Level 5]]=Transactions[[#This Row],[L4N]],Transactions[[#This Row],[L3N]],IF(Transactions[[#This Row],[Level 5]]=Transactions[[#This Row],[L5N]],Transactions[[#This Row],[L4N]],IF(Transactions[[#This Row],[Level 5]]=Transactions[[#This Row],[L6N]],Transactions[[#This Row],[L5N]],IF(Transactions[[#This Row],[Level 5]]=Transactions[[#This Row],[L7N]],Transactions[[#This Row],[L6N]],Transactions[[#This Row],[L7N]]))))))))</f>
        <v>Electricity and heat from oil shale</v>
      </c>
      <c r="AY322" s="24" t="str">
        <f>IF(Transactions[[#This Row],[Level 6]]=Transactions[[#This Row],[Transaction name]],Transactions[[#This Row],[Transaction name]],IF(Transactions[[#This Row],[Level 6]]=Transactions[[#This Row],[L1N]],Transactions[[#This Row],[Transaction name]],IF(Transactions[[#This Row],[Level 6]]=Transactions[[#This Row],[L2N]],Transactions[[#This Row],[L1N]],IF(Transactions[[#This Row],[Level 6]]=Transactions[[#This Row],[L3N]],Transactions[[#This Row],[L2N]],IF(Transactions[[#This Row],[Level 6]]=Transactions[[#This Row],[L4N]],Transactions[[#This Row],[L3N]],IF(Transactions[[#This Row],[Level 6]]=Transactions[[#This Row],[L5N]],Transactions[[#This Row],[L4N]],IF(Transactions[[#This Row],[Level 6]]=Transactions[[#This Row],[L6N]],Transactions[[#This Row],[L5N]],IF(Transactions[[#This Row],[Level 6]]=Transactions[[#This Row],[L7N]],Transactions[[#This Row],[L6N]],Transactions[[#This Row],[L7N]]))))))))</f>
        <v>Electricity and heat from oil shale</v>
      </c>
      <c r="BE322" s="26" t="str">
        <f>_xlfn.XLOOKUP(Transformation[[#This Row],[cfrom]],Commodities[Commodity],Commodities[Commodity code])</f>
        <v>1200</v>
      </c>
      <c r="BF322" s="26" t="str">
        <f>_xlfn.XLOOKUP(Transformation[[#This Row],[tfrom]],Transactions[Transaction name],Transactions[Transaction code])</f>
        <v>022</v>
      </c>
      <c r="BG322" s="26" t="str">
        <f>_xlfn.XLOOKUP(Transformation[[#This Row],[cto]],Commodities[Commodity],Commodities[Commodity code])</f>
        <v>1200</v>
      </c>
      <c r="BH322" s="26" t="str">
        <f>_xlfn.XLOOKUP(Transformation[[#This Row],[tto]],Transactions[Transaction name],Transactions[Transaction code])</f>
        <v>083</v>
      </c>
      <c r="BI322" s="32">
        <v>1</v>
      </c>
      <c r="BJ322" s="22" t="s">
        <v>455</v>
      </c>
      <c r="BK322" s="26" t="str">
        <f>_xlfn.XLOOKUP(Transformation[[#This Row],[Commodity from]],Commodities[Commodity code],Commodities[EnergyCode])</f>
        <v>BP</v>
      </c>
      <c r="BL322" s="22" t="s">
        <v>205</v>
      </c>
      <c r="BM322" s="22" t="s">
        <v>455</v>
      </c>
      <c r="BN322" s="26" t="str">
        <f>_xlfn.XLOOKUP(Transformation[[#This Row],[Commodity to]],Commodities[Commodity code],Commodities[EnergyCode])</f>
        <v>BP</v>
      </c>
      <c r="BO322" s="22" t="s">
        <v>719</v>
      </c>
      <c r="BP322" s="22" t="s">
        <v>1690</v>
      </c>
      <c r="BQ322" s="33" t="str">
        <f>Transformation[[#This Row],[Commodity from]]&amp;Transformation[[#This Row],[Transaction from]]&amp;Transformation[[#This Row],[Commodity to]]&amp;Transformation[[#This Row],[Transaction to]]</f>
        <v>12000221200083</v>
      </c>
      <c r="BR322" s="26" t="str">
        <f>Transformation[[#This Row],[crfomid]]&amp;Transformation[[#This Row],[Transaction from]]&amp;"("&amp;Transformation[[#This Row],[Multiplier]]&amp;") -&gt; "&amp;Transformation[[#This Row],[ctoid]]&amp;Transformation[[#This Row],[Transaction to]]</f>
        <v>BP022(1) -&gt; BP083</v>
      </c>
    </row>
    <row r="323" spans="25:70" x14ac:dyDescent="0.45">
      <c r="Y323" s="5" t="s">
        <v>211</v>
      </c>
      <c r="Z323" s="4" t="s">
        <v>826</v>
      </c>
      <c r="AA323" s="4" t="s">
        <v>826</v>
      </c>
      <c r="AB323" s="6" t="s">
        <v>171</v>
      </c>
      <c r="AC323" s="24" t="str">
        <f>IFERROR(VLOOKUP(Transactions[[#This Row],[Parent code]],Transactions[[Transaction code]:[Transaction name]],2,0),"")</f>
        <v>Electricity, CHP and heat plants (T)</v>
      </c>
      <c r="AD323" s="4" t="s">
        <v>189</v>
      </c>
      <c r="AE323" s="18" t="s">
        <v>1497</v>
      </c>
      <c r="AF323" s="4" t="s">
        <v>642</v>
      </c>
      <c r="AG323" s="4" t="s">
        <v>1</v>
      </c>
      <c r="AH323" s="4" t="s">
        <v>696</v>
      </c>
      <c r="AI323" s="12" t="s">
        <v>1416</v>
      </c>
      <c r="AJ323" s="4" t="s">
        <v>0</v>
      </c>
      <c r="AK323" s="24" t="str" cm="1">
        <f t="array" ref="AK323">IFERROR(INDEX(Transactions[[Transaction code]:[Transaction name]],_xlfn.XMATCH(Transactions[[#This Row],[Parent code]],Transactions[Transaction name],0),3),Transactions[[#This Row],[Transaction name]])</f>
        <v>Electricity and heat from other oil products</v>
      </c>
      <c r="AL323" s="24" t="str" cm="1">
        <f t="array" ref="AL323">IFERROR(INDEX(Transactions[[Transaction code]:[Transaction name]],_xlfn.XMATCH(INDEX(Transactions[[Transaction name]:[Parent code]],_xlfn.XMATCH(Transactions[[#This Row],[L1N]],Transactions[Transaction name],0),3),Transactions[Transaction code],0),2),Transactions[[#This Row],[L1N]])</f>
        <v>Electricity, CHP and heat plants (T)</v>
      </c>
      <c r="AM323" s="24" t="str" cm="1">
        <f t="array" ref="AM323">IFERROR(INDEX(Transactions[[Transaction code]:[Transaction name]],_xlfn.XMATCH(INDEX(Transactions[[Transaction name]:[Parent code]],_xlfn.XMATCH(Transactions[[#This Row],[L2N]],Transactions[Transaction name],0),3),Transactions[Transaction code],0),2),Transactions[[#This Row],[L2N]])</f>
        <v>Transformation</v>
      </c>
      <c r="AN323" s="24" t="str" cm="1">
        <f t="array" ref="AN323">IFERROR(INDEX(Transactions[[Transaction code]:[Transaction name]],_xlfn.XMATCH(INDEX(Transactions[[Transaction name]:[Parent code]],_xlfn.XMATCH(Transactions[[#This Row],[L3N]],Transactions[Transaction name],0),3),Transactions[Transaction code],0),2),Transactions[[#This Row],[L3N]])</f>
        <v>Transformation</v>
      </c>
      <c r="AO323" s="24" t="str" cm="1">
        <f t="array" ref="AO323">IFERROR(INDEX(Transactions[[Transaction code]:[Transaction name]],_xlfn.XMATCH(INDEX(Transactions[[Transaction name]:[Parent code]],_xlfn.XMATCH(Transactions[[#This Row],[L4N]],Transactions[Transaction name],0),3),Transactions[Transaction code],0),2),Transactions[[#This Row],[L4N]])</f>
        <v>Transformation</v>
      </c>
      <c r="AP323" s="24" t="str" cm="1">
        <f t="array" ref="AP323">IFERROR(INDEX(Transactions[[Transaction code]:[Transaction name]],_xlfn.XMATCH(INDEX(Transactions[[Transaction name]:[Parent code]],_xlfn.XMATCH(Transactions[[#This Row],[L5N]],Transactions[Transaction name],0),3),Transactions[Transaction code],0),2),Transactions[[#This Row],[L5N]])</f>
        <v>Transformation</v>
      </c>
      <c r="AQ323" s="24" t="str" cm="1">
        <f t="array" ref="AQ323">IFERROR(INDEX(Transactions[[Transaction code]:[Transaction name]],_xlfn.XMATCH(INDEX(Transactions[[Transaction name]:[Parent code]],_xlfn.XMATCH(Transactions[[#This Row],[L6N]],Transactions[Transaction name],0),3),Transactions[Transaction code],0),2),Transactions[[#This Row],[L6N]])</f>
        <v>Transformation</v>
      </c>
      <c r="AR323" s="27" t="str">
        <f>IF(Transactions[[#This Row],[L7N]]=Transactions[[#This Row],[L6N]],Transactions[[#This Row],[L7N]],IF(Transactions[[#This Row],[L6N]]=Transactions[[#This Row],[L5N]],Transactions[[#This Row],[L6N]],IF(Transactions[[#This Row],[L5N]]=Transactions[[#This Row],[L4N]],Transactions[[#This Row],[L5N]],IF(Transactions[[#This Row],[L4N]]=Transactions[[#This Row],[L3N]],Transactions[[#This Row],[L4N]],IF(Transactions[[#This Row],[L3N]]=Transactions[[#This Row],[L2N]],Transactions[[#This Row],[L3N]],IF(Transactions[[#This Row],[L2N]]=Transactions[[#This Row],[L1N]],Transactions[[#This Row],[L2N]],IF(Transactions[[#This Row],[L1N]]=Transactions[[#This Row],[Transaction name]],Transactions[[#This Row],[L1N]],Transactions[[#This Row],[Transaction name]])))))))</f>
        <v>Transformation</v>
      </c>
      <c r="AS323" s="24" t="str">
        <f>IF(Transactions[[#This Row],[Level 0]]=Transactions[[#This Row],[Transaction name]],Transactions[[#This Row],[Transaction name]],IF(Transactions[[#This Row],[Level 0]]=Transactions[[#This Row],[L1N]],Transactions[[#This Row],[Transaction name]],IF(Transactions[[#This Row],[Level 0]]=Transactions[[#This Row],[L2N]],Transactions[[#This Row],[L1N]],IF(Transactions[[#This Row],[Level 0]]=Transactions[[#This Row],[L3N]],Transactions[[#This Row],[L2N]],IF(Transactions[[#This Row],[Level 0]]=Transactions[[#This Row],[L4N]],Transactions[[#This Row],[L3N]],IF(Transactions[[#This Row],[Level 0]]=Transactions[[#This Row],[L5N]],Transactions[[#This Row],[L4N]],IF(Transactions[[#This Row],[Level 0]]=Transactions[[#This Row],[L6N]],Transactions[[#This Row],[L5N]],IF(Transactions[[#This Row],[Level 0]]=Transactions[[#This Row],[L7N]],Transactions[[#This Row],[L6N]],Transactions[[#This Row],[L7N]]))))))))</f>
        <v>Electricity, CHP and heat plants (T)</v>
      </c>
      <c r="AT323" s="24" t="str">
        <f>IF(Transactions[[#This Row],[Level 1]]=Transactions[[#This Row],[Transaction name]],Transactions[[#This Row],[Transaction name]],IF(Transactions[[#This Row],[Level 1]]=Transactions[[#This Row],[L1N]],Transactions[[#This Row],[Transaction name]],IF(Transactions[[#This Row],[Level 1]]=Transactions[[#This Row],[L2N]],Transactions[[#This Row],[L1N]],IF(Transactions[[#This Row],[Level 1]]=Transactions[[#This Row],[L3N]],Transactions[[#This Row],[L2N]],IF(Transactions[[#This Row],[Level 1]]=Transactions[[#This Row],[L4N]],Transactions[[#This Row],[L3N]],IF(Transactions[[#This Row],[Level 1]]=Transactions[[#This Row],[L5N]],Transactions[[#This Row],[L4N]],IF(Transactions[[#This Row],[Level 1]]=Transactions[[#This Row],[L6N]],Transactions[[#This Row],[L5N]],IF(Transactions[[#This Row],[Level 1]]=Transactions[[#This Row],[L7N]],Transactions[[#This Row],[L6N]],Transactions[[#This Row],[L7N]]))))))))</f>
        <v>Electricity and heat from other oil products</v>
      </c>
      <c r="AU323" s="24" t="str">
        <f>IF(Transactions[[#This Row],[Level 2]]=Transactions[[#This Row],[Transaction name]],Transactions[[#This Row],[Transaction name]],IF(Transactions[[#This Row],[Level 2]]=Transactions[[#This Row],[L1N]],Transactions[[#This Row],[Transaction name]],IF(Transactions[[#This Row],[Level 2]]=Transactions[[#This Row],[L2N]],Transactions[[#This Row],[L1N]],IF(Transactions[[#This Row],[Level 2]]=Transactions[[#This Row],[L3N]],Transactions[[#This Row],[L2N]],IF(Transactions[[#This Row],[Level 2]]=Transactions[[#This Row],[L4N]],Transactions[[#This Row],[L3N]],IF(Transactions[[#This Row],[Level 2]]=Transactions[[#This Row],[L5N]],Transactions[[#This Row],[L4N]],IF(Transactions[[#This Row],[Level 2]]=Transactions[[#This Row],[L6N]],Transactions[[#This Row],[L5N]],IF(Transactions[[#This Row],[Level 2]]=Transactions[[#This Row],[L7N]],Transactions[[#This Row],[L6N]],Transactions[[#This Row],[L7N]]))))))))</f>
        <v>Electricity and heat from other oil products</v>
      </c>
      <c r="AV323" s="24" t="str">
        <f>IF(Transactions[[#This Row],[Level 3]]=Transactions[[#This Row],[Transaction name]],Transactions[[#This Row],[Transaction name]],IF(Transactions[[#This Row],[Level 3]]=Transactions[[#This Row],[L1N]],Transactions[[#This Row],[Transaction name]],IF(Transactions[[#This Row],[Level 3]]=Transactions[[#This Row],[L2N]],Transactions[[#This Row],[L1N]],IF(Transactions[[#This Row],[Level 3]]=Transactions[[#This Row],[L3N]],Transactions[[#This Row],[L2N]],IF(Transactions[[#This Row],[Level 3]]=Transactions[[#This Row],[L4N]],Transactions[[#This Row],[L3N]],IF(Transactions[[#This Row],[Level 3]]=Transactions[[#This Row],[L5N]],Transactions[[#This Row],[L4N]],IF(Transactions[[#This Row],[Level 3]]=Transactions[[#This Row],[L6N]],Transactions[[#This Row],[L5N]],IF(Transactions[[#This Row],[Level 3]]=Transactions[[#This Row],[L7N]],Transactions[[#This Row],[L6N]],Transactions[[#This Row],[L7N]]))))))))</f>
        <v>Electricity and heat from other oil products</v>
      </c>
      <c r="AW323" s="24" t="str">
        <f>IF(Transactions[[#This Row],[Level 4]]=Transactions[[#This Row],[Transaction name]],Transactions[[#This Row],[Transaction name]],IF(Transactions[[#This Row],[Level 4]]=Transactions[[#This Row],[L1N]],Transactions[[#This Row],[Transaction name]],IF(Transactions[[#This Row],[Level 4]]=Transactions[[#This Row],[L2N]],Transactions[[#This Row],[L1N]],IF(Transactions[[#This Row],[Level 4]]=Transactions[[#This Row],[L3N]],Transactions[[#This Row],[L2N]],IF(Transactions[[#This Row],[Level 4]]=Transactions[[#This Row],[L4N]],Transactions[[#This Row],[L3N]],IF(Transactions[[#This Row],[Level 4]]=Transactions[[#This Row],[L5N]],Transactions[[#This Row],[L4N]],IF(Transactions[[#This Row],[Level 4]]=Transactions[[#This Row],[L6N]],Transactions[[#This Row],[L5N]],IF(Transactions[[#This Row],[Level 4]]=Transactions[[#This Row],[L7N]],Transactions[[#This Row],[L6N]],Transactions[[#This Row],[L7N]]))))))))</f>
        <v>Electricity and heat from other oil products</v>
      </c>
      <c r="AX323" s="24" t="str">
        <f>IF(Transactions[[#This Row],[Level 5]]=Transactions[[#This Row],[Transaction name]],Transactions[[#This Row],[Transaction name]],IF(Transactions[[#This Row],[Level 5]]=Transactions[[#This Row],[L1N]],Transactions[[#This Row],[Transaction name]],IF(Transactions[[#This Row],[Level 5]]=Transactions[[#This Row],[L2N]],Transactions[[#This Row],[L1N]],IF(Transactions[[#This Row],[Level 5]]=Transactions[[#This Row],[L3N]],Transactions[[#This Row],[L2N]],IF(Transactions[[#This Row],[Level 5]]=Transactions[[#This Row],[L4N]],Transactions[[#This Row],[L3N]],IF(Transactions[[#This Row],[Level 5]]=Transactions[[#This Row],[L5N]],Transactions[[#This Row],[L4N]],IF(Transactions[[#This Row],[Level 5]]=Transactions[[#This Row],[L6N]],Transactions[[#This Row],[L5N]],IF(Transactions[[#This Row],[Level 5]]=Transactions[[#This Row],[L7N]],Transactions[[#This Row],[L6N]],Transactions[[#This Row],[L7N]]))))))))</f>
        <v>Electricity and heat from other oil products</v>
      </c>
      <c r="AY323" s="24" t="str">
        <f>IF(Transactions[[#This Row],[Level 6]]=Transactions[[#This Row],[Transaction name]],Transactions[[#This Row],[Transaction name]],IF(Transactions[[#This Row],[Level 6]]=Transactions[[#This Row],[L1N]],Transactions[[#This Row],[Transaction name]],IF(Transactions[[#This Row],[Level 6]]=Transactions[[#This Row],[L2N]],Transactions[[#This Row],[L1N]],IF(Transactions[[#This Row],[Level 6]]=Transactions[[#This Row],[L3N]],Transactions[[#This Row],[L2N]],IF(Transactions[[#This Row],[Level 6]]=Transactions[[#This Row],[L4N]],Transactions[[#This Row],[L3N]],IF(Transactions[[#This Row],[Level 6]]=Transactions[[#This Row],[L5N]],Transactions[[#This Row],[L4N]],IF(Transactions[[#This Row],[Level 6]]=Transactions[[#This Row],[L6N]],Transactions[[#This Row],[L5N]],IF(Transactions[[#This Row],[Level 6]]=Transactions[[#This Row],[L7N]],Transactions[[#This Row],[L6N]],Transactions[[#This Row],[L7N]]))))))))</f>
        <v>Electricity and heat from other oil products</v>
      </c>
      <c r="BE323" s="26" t="str">
        <f>_xlfn.XLOOKUP(Transformation[[#This Row],[cfrom]],Commodities[Commodity],Commodities[Commodity code])</f>
        <v>1200</v>
      </c>
      <c r="BF323" s="26" t="str">
        <f>_xlfn.XLOOKUP(Transformation[[#This Row],[tfrom]],Transactions[Transaction name],Transactions[Transaction code])</f>
        <v>022</v>
      </c>
      <c r="BG323" s="26" t="str">
        <f>_xlfn.XLOOKUP(Transformation[[#This Row],[cto]],Commodities[Commodity],Commodities[Commodity code])</f>
        <v>1200</v>
      </c>
      <c r="BH323" s="26" t="str">
        <f>_xlfn.XLOOKUP(Transformation[[#This Row],[tto]],Transactions[Transaction name],Transactions[Transaction code])</f>
        <v>022</v>
      </c>
      <c r="BI323" s="32">
        <v>-1</v>
      </c>
      <c r="BJ323" s="22" t="s">
        <v>455</v>
      </c>
      <c r="BK323" s="26" t="str">
        <f>_xlfn.XLOOKUP(Transformation[[#This Row],[Commodity from]],Commodities[Commodity code],Commodities[EnergyCode])</f>
        <v>BP</v>
      </c>
      <c r="BL323" s="22" t="s">
        <v>205</v>
      </c>
      <c r="BM323" s="22" t="s">
        <v>455</v>
      </c>
      <c r="BN323" s="26" t="str">
        <f>_xlfn.XLOOKUP(Transformation[[#This Row],[Commodity to]],Commodities[Commodity code],Commodities[EnergyCode])</f>
        <v>BP</v>
      </c>
      <c r="BO323" s="22" t="s">
        <v>205</v>
      </c>
      <c r="BP323" s="22" t="s">
        <v>1639</v>
      </c>
      <c r="BQ323" s="33" t="str">
        <f>Transformation[[#This Row],[Commodity from]]&amp;Transformation[[#This Row],[Transaction from]]&amp;Transformation[[#This Row],[Commodity to]]&amp;Transformation[[#This Row],[Transaction to]]</f>
        <v>12000221200022</v>
      </c>
      <c r="BR323" s="26" t="str">
        <f>Transformation[[#This Row],[crfomid]]&amp;Transformation[[#This Row],[Transaction from]]&amp;"("&amp;Transformation[[#This Row],[Multiplier]]&amp;") -&gt; "&amp;Transformation[[#This Row],[ctoid]]&amp;Transformation[[#This Row],[Transaction to]]</f>
        <v>BP022(-1) -&gt; BP022</v>
      </c>
    </row>
    <row r="324" spans="25:70" x14ac:dyDescent="0.45">
      <c r="Y324" s="15" t="s">
        <v>1489</v>
      </c>
      <c r="Z324" s="16" t="s">
        <v>1490</v>
      </c>
      <c r="AA324" s="16" t="s">
        <v>1490</v>
      </c>
      <c r="AB324" s="6" t="s">
        <v>171</v>
      </c>
      <c r="AC324" s="24" t="str">
        <f>IFERROR(VLOOKUP(Transactions[[#This Row],[Parent code]],Transactions[[Transaction code]:[Transaction name]],2,0),"")</f>
        <v>Electricity, CHP and heat plants (T)</v>
      </c>
      <c r="AD324" s="4" t="s">
        <v>189</v>
      </c>
      <c r="AE324" s="18" t="s">
        <v>1497</v>
      </c>
      <c r="AF324" s="4" t="s">
        <v>642</v>
      </c>
      <c r="AG324" s="4" t="s">
        <v>1</v>
      </c>
      <c r="AH324" s="4" t="s">
        <v>696</v>
      </c>
      <c r="AI324" s="12" t="s">
        <v>1416</v>
      </c>
      <c r="AJ324" s="4" t="s">
        <v>0</v>
      </c>
      <c r="AK324" s="24" t="str" cm="1">
        <f t="array" ref="AK324">IFERROR(INDEX(Transactions[[Transaction code]:[Transaction name]],_xlfn.XMATCH(Transactions[[#This Row],[Parent code]],Transactions[Transaction name],0),3),Transactions[[#This Row],[Transaction name]])</f>
        <v>Electricity and heat from other solid biofuels</v>
      </c>
      <c r="AL324" s="24" t="str" cm="1">
        <f t="array" ref="AL324">IFERROR(INDEX(Transactions[[Transaction code]:[Transaction name]],_xlfn.XMATCH(INDEX(Transactions[[Transaction name]:[Parent code]],_xlfn.XMATCH(Transactions[[#This Row],[L1N]],Transactions[Transaction name],0),3),Transactions[Transaction code],0),2),Transactions[[#This Row],[L1N]])</f>
        <v>Electricity, CHP and heat plants (T)</v>
      </c>
      <c r="AM324" s="24" t="str" cm="1">
        <f t="array" ref="AM324">IFERROR(INDEX(Transactions[[Transaction code]:[Transaction name]],_xlfn.XMATCH(INDEX(Transactions[[Transaction name]:[Parent code]],_xlfn.XMATCH(Transactions[[#This Row],[L2N]],Transactions[Transaction name],0),3),Transactions[Transaction code],0),2),Transactions[[#This Row],[L2N]])</f>
        <v>Transformation</v>
      </c>
      <c r="AN324" s="24" t="str" cm="1">
        <f t="array" ref="AN324">IFERROR(INDEX(Transactions[[Transaction code]:[Transaction name]],_xlfn.XMATCH(INDEX(Transactions[[Transaction name]:[Parent code]],_xlfn.XMATCH(Transactions[[#This Row],[L3N]],Transactions[Transaction name],0),3),Transactions[Transaction code],0),2),Transactions[[#This Row],[L3N]])</f>
        <v>Transformation</v>
      </c>
      <c r="AO324" s="24" t="str" cm="1">
        <f t="array" ref="AO324">IFERROR(INDEX(Transactions[[Transaction code]:[Transaction name]],_xlfn.XMATCH(INDEX(Transactions[[Transaction name]:[Parent code]],_xlfn.XMATCH(Transactions[[#This Row],[L4N]],Transactions[Transaction name],0),3),Transactions[Transaction code],0),2),Transactions[[#This Row],[L4N]])</f>
        <v>Transformation</v>
      </c>
      <c r="AP324" s="24" t="str" cm="1">
        <f t="array" ref="AP324">IFERROR(INDEX(Transactions[[Transaction code]:[Transaction name]],_xlfn.XMATCH(INDEX(Transactions[[Transaction name]:[Parent code]],_xlfn.XMATCH(Transactions[[#This Row],[L5N]],Transactions[Transaction name],0),3),Transactions[Transaction code],0),2),Transactions[[#This Row],[L5N]])</f>
        <v>Transformation</v>
      </c>
      <c r="AQ324" s="24" t="str" cm="1">
        <f t="array" ref="AQ324">IFERROR(INDEX(Transactions[[Transaction code]:[Transaction name]],_xlfn.XMATCH(INDEX(Transactions[[Transaction name]:[Parent code]],_xlfn.XMATCH(Transactions[[#This Row],[L6N]],Transactions[Transaction name],0),3),Transactions[Transaction code],0),2),Transactions[[#This Row],[L6N]])</f>
        <v>Transformation</v>
      </c>
      <c r="AR324" s="27" t="str">
        <f>IF(Transactions[[#This Row],[L7N]]=Transactions[[#This Row],[L6N]],Transactions[[#This Row],[L7N]],IF(Transactions[[#This Row],[L6N]]=Transactions[[#This Row],[L5N]],Transactions[[#This Row],[L6N]],IF(Transactions[[#This Row],[L5N]]=Transactions[[#This Row],[L4N]],Transactions[[#This Row],[L5N]],IF(Transactions[[#This Row],[L4N]]=Transactions[[#This Row],[L3N]],Transactions[[#This Row],[L4N]],IF(Transactions[[#This Row],[L3N]]=Transactions[[#This Row],[L2N]],Transactions[[#This Row],[L3N]],IF(Transactions[[#This Row],[L2N]]=Transactions[[#This Row],[L1N]],Transactions[[#This Row],[L2N]],IF(Transactions[[#This Row],[L1N]]=Transactions[[#This Row],[Transaction name]],Transactions[[#This Row],[L1N]],Transactions[[#This Row],[Transaction name]])))))))</f>
        <v>Transformation</v>
      </c>
      <c r="AS324" s="24" t="str">
        <f>IF(Transactions[[#This Row],[Level 0]]=Transactions[[#This Row],[Transaction name]],Transactions[[#This Row],[Transaction name]],IF(Transactions[[#This Row],[Level 0]]=Transactions[[#This Row],[L1N]],Transactions[[#This Row],[Transaction name]],IF(Transactions[[#This Row],[Level 0]]=Transactions[[#This Row],[L2N]],Transactions[[#This Row],[L1N]],IF(Transactions[[#This Row],[Level 0]]=Transactions[[#This Row],[L3N]],Transactions[[#This Row],[L2N]],IF(Transactions[[#This Row],[Level 0]]=Transactions[[#This Row],[L4N]],Transactions[[#This Row],[L3N]],IF(Transactions[[#This Row],[Level 0]]=Transactions[[#This Row],[L5N]],Transactions[[#This Row],[L4N]],IF(Transactions[[#This Row],[Level 0]]=Transactions[[#This Row],[L6N]],Transactions[[#This Row],[L5N]],IF(Transactions[[#This Row],[Level 0]]=Transactions[[#This Row],[L7N]],Transactions[[#This Row],[L6N]],Transactions[[#This Row],[L7N]]))))))))</f>
        <v>Electricity, CHP and heat plants (T)</v>
      </c>
      <c r="AT324" s="24" t="str">
        <f>IF(Transactions[[#This Row],[Level 1]]=Transactions[[#This Row],[Transaction name]],Transactions[[#This Row],[Transaction name]],IF(Transactions[[#This Row],[Level 1]]=Transactions[[#This Row],[L1N]],Transactions[[#This Row],[Transaction name]],IF(Transactions[[#This Row],[Level 1]]=Transactions[[#This Row],[L2N]],Transactions[[#This Row],[L1N]],IF(Transactions[[#This Row],[Level 1]]=Transactions[[#This Row],[L3N]],Transactions[[#This Row],[L2N]],IF(Transactions[[#This Row],[Level 1]]=Transactions[[#This Row],[L4N]],Transactions[[#This Row],[L3N]],IF(Transactions[[#This Row],[Level 1]]=Transactions[[#This Row],[L5N]],Transactions[[#This Row],[L4N]],IF(Transactions[[#This Row],[Level 1]]=Transactions[[#This Row],[L6N]],Transactions[[#This Row],[L5N]],IF(Transactions[[#This Row],[Level 1]]=Transactions[[#This Row],[L7N]],Transactions[[#This Row],[L6N]],Transactions[[#This Row],[L7N]]))))))))</f>
        <v>Electricity and heat from other solid biofuels</v>
      </c>
      <c r="AU324" s="24" t="str">
        <f>IF(Transactions[[#This Row],[Level 2]]=Transactions[[#This Row],[Transaction name]],Transactions[[#This Row],[Transaction name]],IF(Transactions[[#This Row],[Level 2]]=Transactions[[#This Row],[L1N]],Transactions[[#This Row],[Transaction name]],IF(Transactions[[#This Row],[Level 2]]=Transactions[[#This Row],[L2N]],Transactions[[#This Row],[L1N]],IF(Transactions[[#This Row],[Level 2]]=Transactions[[#This Row],[L3N]],Transactions[[#This Row],[L2N]],IF(Transactions[[#This Row],[Level 2]]=Transactions[[#This Row],[L4N]],Transactions[[#This Row],[L3N]],IF(Transactions[[#This Row],[Level 2]]=Transactions[[#This Row],[L5N]],Transactions[[#This Row],[L4N]],IF(Transactions[[#This Row],[Level 2]]=Transactions[[#This Row],[L6N]],Transactions[[#This Row],[L5N]],IF(Transactions[[#This Row],[Level 2]]=Transactions[[#This Row],[L7N]],Transactions[[#This Row],[L6N]],Transactions[[#This Row],[L7N]]))))))))</f>
        <v>Electricity and heat from other solid biofuels</v>
      </c>
      <c r="AV324" s="24" t="str">
        <f>IF(Transactions[[#This Row],[Level 3]]=Transactions[[#This Row],[Transaction name]],Transactions[[#This Row],[Transaction name]],IF(Transactions[[#This Row],[Level 3]]=Transactions[[#This Row],[L1N]],Transactions[[#This Row],[Transaction name]],IF(Transactions[[#This Row],[Level 3]]=Transactions[[#This Row],[L2N]],Transactions[[#This Row],[L1N]],IF(Transactions[[#This Row],[Level 3]]=Transactions[[#This Row],[L3N]],Transactions[[#This Row],[L2N]],IF(Transactions[[#This Row],[Level 3]]=Transactions[[#This Row],[L4N]],Transactions[[#This Row],[L3N]],IF(Transactions[[#This Row],[Level 3]]=Transactions[[#This Row],[L5N]],Transactions[[#This Row],[L4N]],IF(Transactions[[#This Row],[Level 3]]=Transactions[[#This Row],[L6N]],Transactions[[#This Row],[L5N]],IF(Transactions[[#This Row],[Level 3]]=Transactions[[#This Row],[L7N]],Transactions[[#This Row],[L6N]],Transactions[[#This Row],[L7N]]))))))))</f>
        <v>Electricity and heat from other solid biofuels</v>
      </c>
      <c r="AW324" s="24" t="str">
        <f>IF(Transactions[[#This Row],[Level 4]]=Transactions[[#This Row],[Transaction name]],Transactions[[#This Row],[Transaction name]],IF(Transactions[[#This Row],[Level 4]]=Transactions[[#This Row],[L1N]],Transactions[[#This Row],[Transaction name]],IF(Transactions[[#This Row],[Level 4]]=Transactions[[#This Row],[L2N]],Transactions[[#This Row],[L1N]],IF(Transactions[[#This Row],[Level 4]]=Transactions[[#This Row],[L3N]],Transactions[[#This Row],[L2N]],IF(Transactions[[#This Row],[Level 4]]=Transactions[[#This Row],[L4N]],Transactions[[#This Row],[L3N]],IF(Transactions[[#This Row],[Level 4]]=Transactions[[#This Row],[L5N]],Transactions[[#This Row],[L4N]],IF(Transactions[[#This Row],[Level 4]]=Transactions[[#This Row],[L6N]],Transactions[[#This Row],[L5N]],IF(Transactions[[#This Row],[Level 4]]=Transactions[[#This Row],[L7N]],Transactions[[#This Row],[L6N]],Transactions[[#This Row],[L7N]]))))))))</f>
        <v>Electricity and heat from other solid biofuels</v>
      </c>
      <c r="AX324" s="24" t="str">
        <f>IF(Transactions[[#This Row],[Level 5]]=Transactions[[#This Row],[Transaction name]],Transactions[[#This Row],[Transaction name]],IF(Transactions[[#This Row],[Level 5]]=Transactions[[#This Row],[L1N]],Transactions[[#This Row],[Transaction name]],IF(Transactions[[#This Row],[Level 5]]=Transactions[[#This Row],[L2N]],Transactions[[#This Row],[L1N]],IF(Transactions[[#This Row],[Level 5]]=Transactions[[#This Row],[L3N]],Transactions[[#This Row],[L2N]],IF(Transactions[[#This Row],[Level 5]]=Transactions[[#This Row],[L4N]],Transactions[[#This Row],[L3N]],IF(Transactions[[#This Row],[Level 5]]=Transactions[[#This Row],[L5N]],Transactions[[#This Row],[L4N]],IF(Transactions[[#This Row],[Level 5]]=Transactions[[#This Row],[L6N]],Transactions[[#This Row],[L5N]],IF(Transactions[[#This Row],[Level 5]]=Transactions[[#This Row],[L7N]],Transactions[[#This Row],[L6N]],Transactions[[#This Row],[L7N]]))))))))</f>
        <v>Electricity and heat from other solid biofuels</v>
      </c>
      <c r="AY324" s="24" t="str">
        <f>IF(Transactions[[#This Row],[Level 6]]=Transactions[[#This Row],[Transaction name]],Transactions[[#This Row],[Transaction name]],IF(Transactions[[#This Row],[Level 6]]=Transactions[[#This Row],[L1N]],Transactions[[#This Row],[Transaction name]],IF(Transactions[[#This Row],[Level 6]]=Transactions[[#This Row],[L2N]],Transactions[[#This Row],[L1N]],IF(Transactions[[#This Row],[Level 6]]=Transactions[[#This Row],[L3N]],Transactions[[#This Row],[L2N]],IF(Transactions[[#This Row],[Level 6]]=Transactions[[#This Row],[L4N]],Transactions[[#This Row],[L3N]],IF(Transactions[[#This Row],[Level 6]]=Transactions[[#This Row],[L5N]],Transactions[[#This Row],[L4N]],IF(Transactions[[#This Row],[Level 6]]=Transactions[[#This Row],[L6N]],Transactions[[#This Row],[L5N]],IF(Transactions[[#This Row],[Level 6]]=Transactions[[#This Row],[L7N]],Transactions[[#This Row],[L6N]],Transactions[[#This Row],[L7N]]))))))))</f>
        <v>Electricity and heat from other solid biofuels</v>
      </c>
      <c r="BE324" s="26" t="str">
        <f>_xlfn.XLOOKUP(Transformation[[#This Row],[cfrom]],Commodities[Commodity],Commodities[Commodity code])</f>
        <v>4695</v>
      </c>
      <c r="BF324" s="26" t="str">
        <f>_xlfn.XLOOKUP(Transformation[[#This Row],[tfrom]],Transactions[Transaction name],Transactions[Transaction code])</f>
        <v>01</v>
      </c>
      <c r="BG324" s="26" t="str">
        <f>_xlfn.XLOOKUP(Transformation[[#This Row],[cto]],Commodities[Commodity],Commodities[Commodity code])</f>
        <v>4695</v>
      </c>
      <c r="BH324" s="26" t="str">
        <f>_xlfn.XLOOKUP(Transformation[[#This Row],[tto]],Transactions[Transaction name],Transactions[Transaction code])</f>
        <v>01</v>
      </c>
      <c r="BI324" s="32">
        <v>-1</v>
      </c>
      <c r="BJ324" s="22" t="s">
        <v>351</v>
      </c>
      <c r="BK324" s="26" t="str">
        <f>_xlfn.XLOOKUP(Transformation[[#This Row],[Commodity from]],Commodities[Commodity code],Commodities[EnergyCode])</f>
        <v>BT</v>
      </c>
      <c r="BL324" s="22" t="s">
        <v>383</v>
      </c>
      <c r="BM324" s="22" t="s">
        <v>351</v>
      </c>
      <c r="BN324" s="26" t="str">
        <f>_xlfn.XLOOKUP(Transformation[[#This Row],[Commodity to]],Commodities[Commodity code],Commodities[EnergyCode])</f>
        <v>BT</v>
      </c>
      <c r="BO324" s="22" t="s">
        <v>383</v>
      </c>
      <c r="BP324" s="22" t="s">
        <v>1633</v>
      </c>
      <c r="BQ324" s="33" t="str">
        <f>Transformation[[#This Row],[Commodity from]]&amp;Transformation[[#This Row],[Transaction from]]&amp;Transformation[[#This Row],[Commodity to]]&amp;Transformation[[#This Row],[Transaction to]]</f>
        <v>469501469501</v>
      </c>
      <c r="BR324" s="26" t="str">
        <f>Transformation[[#This Row],[crfomid]]&amp;Transformation[[#This Row],[Transaction from]]&amp;"("&amp;Transformation[[#This Row],[Multiplier]]&amp;") -&gt; "&amp;Transformation[[#This Row],[ctoid]]&amp;Transformation[[#This Row],[Transaction to]]</f>
        <v>BT01(-1) -&gt; BT01</v>
      </c>
    </row>
    <row r="325" spans="25:70" x14ac:dyDescent="0.45">
      <c r="Y325" s="5" t="s">
        <v>210</v>
      </c>
      <c r="Z325" s="4" t="s">
        <v>827</v>
      </c>
      <c r="AA325" s="4" t="s">
        <v>827</v>
      </c>
      <c r="AB325" s="6" t="s">
        <v>171</v>
      </c>
      <c r="AC325" s="24" t="str">
        <f>IFERROR(VLOOKUP(Transactions[[#This Row],[Parent code]],Transactions[[Transaction code]:[Transaction name]],2,0),"")</f>
        <v>Electricity, CHP and heat plants (T)</v>
      </c>
      <c r="AD325" s="4" t="s">
        <v>189</v>
      </c>
      <c r="AE325" s="18" t="s">
        <v>1497</v>
      </c>
      <c r="AF325" s="4" t="s">
        <v>642</v>
      </c>
      <c r="AG325" s="4" t="s">
        <v>1</v>
      </c>
      <c r="AH325" s="4" t="s">
        <v>696</v>
      </c>
      <c r="AI325" s="12" t="s">
        <v>1416</v>
      </c>
      <c r="AJ325" s="4" t="s">
        <v>0</v>
      </c>
      <c r="AK325" s="24" t="str" cm="1">
        <f t="array" ref="AK325">IFERROR(INDEX(Transactions[[Transaction code]:[Transaction name]],_xlfn.XMATCH(Transactions[[#This Row],[Parent code]],Transactions[Transaction name],0),3),Transactions[[#This Row],[Transaction name]])</f>
        <v>Electricity and heat from peat</v>
      </c>
      <c r="AL325" s="24" t="str" cm="1">
        <f t="array" ref="AL325">IFERROR(INDEX(Transactions[[Transaction code]:[Transaction name]],_xlfn.XMATCH(INDEX(Transactions[[Transaction name]:[Parent code]],_xlfn.XMATCH(Transactions[[#This Row],[L1N]],Transactions[Transaction name],0),3),Transactions[Transaction code],0),2),Transactions[[#This Row],[L1N]])</f>
        <v>Electricity, CHP and heat plants (T)</v>
      </c>
      <c r="AM325" s="24" t="str" cm="1">
        <f t="array" ref="AM325">IFERROR(INDEX(Transactions[[Transaction code]:[Transaction name]],_xlfn.XMATCH(INDEX(Transactions[[Transaction name]:[Parent code]],_xlfn.XMATCH(Transactions[[#This Row],[L2N]],Transactions[Transaction name],0),3),Transactions[Transaction code],0),2),Transactions[[#This Row],[L2N]])</f>
        <v>Transformation</v>
      </c>
      <c r="AN325" s="24" t="str" cm="1">
        <f t="array" ref="AN325">IFERROR(INDEX(Transactions[[Transaction code]:[Transaction name]],_xlfn.XMATCH(INDEX(Transactions[[Transaction name]:[Parent code]],_xlfn.XMATCH(Transactions[[#This Row],[L3N]],Transactions[Transaction name],0),3),Transactions[Transaction code],0),2),Transactions[[#This Row],[L3N]])</f>
        <v>Transformation</v>
      </c>
      <c r="AO325" s="24" t="str" cm="1">
        <f t="array" ref="AO325">IFERROR(INDEX(Transactions[[Transaction code]:[Transaction name]],_xlfn.XMATCH(INDEX(Transactions[[Transaction name]:[Parent code]],_xlfn.XMATCH(Transactions[[#This Row],[L4N]],Transactions[Transaction name],0),3),Transactions[Transaction code],0),2),Transactions[[#This Row],[L4N]])</f>
        <v>Transformation</v>
      </c>
      <c r="AP325" s="24" t="str" cm="1">
        <f t="array" ref="AP325">IFERROR(INDEX(Transactions[[Transaction code]:[Transaction name]],_xlfn.XMATCH(INDEX(Transactions[[Transaction name]:[Parent code]],_xlfn.XMATCH(Transactions[[#This Row],[L5N]],Transactions[Transaction name],0),3),Transactions[Transaction code],0),2),Transactions[[#This Row],[L5N]])</f>
        <v>Transformation</v>
      </c>
      <c r="AQ325" s="24" t="str" cm="1">
        <f t="array" ref="AQ325">IFERROR(INDEX(Transactions[[Transaction code]:[Transaction name]],_xlfn.XMATCH(INDEX(Transactions[[Transaction name]:[Parent code]],_xlfn.XMATCH(Transactions[[#This Row],[L6N]],Transactions[Transaction name],0),3),Transactions[Transaction code],0),2),Transactions[[#This Row],[L6N]])</f>
        <v>Transformation</v>
      </c>
      <c r="AR325" s="27" t="str">
        <f>IF(Transactions[[#This Row],[L7N]]=Transactions[[#This Row],[L6N]],Transactions[[#This Row],[L7N]],IF(Transactions[[#This Row],[L6N]]=Transactions[[#This Row],[L5N]],Transactions[[#This Row],[L6N]],IF(Transactions[[#This Row],[L5N]]=Transactions[[#This Row],[L4N]],Transactions[[#This Row],[L5N]],IF(Transactions[[#This Row],[L4N]]=Transactions[[#This Row],[L3N]],Transactions[[#This Row],[L4N]],IF(Transactions[[#This Row],[L3N]]=Transactions[[#This Row],[L2N]],Transactions[[#This Row],[L3N]],IF(Transactions[[#This Row],[L2N]]=Transactions[[#This Row],[L1N]],Transactions[[#This Row],[L2N]],IF(Transactions[[#This Row],[L1N]]=Transactions[[#This Row],[Transaction name]],Transactions[[#This Row],[L1N]],Transactions[[#This Row],[Transaction name]])))))))</f>
        <v>Transformation</v>
      </c>
      <c r="AS325" s="24" t="str">
        <f>IF(Transactions[[#This Row],[Level 0]]=Transactions[[#This Row],[Transaction name]],Transactions[[#This Row],[Transaction name]],IF(Transactions[[#This Row],[Level 0]]=Transactions[[#This Row],[L1N]],Transactions[[#This Row],[Transaction name]],IF(Transactions[[#This Row],[Level 0]]=Transactions[[#This Row],[L2N]],Transactions[[#This Row],[L1N]],IF(Transactions[[#This Row],[Level 0]]=Transactions[[#This Row],[L3N]],Transactions[[#This Row],[L2N]],IF(Transactions[[#This Row],[Level 0]]=Transactions[[#This Row],[L4N]],Transactions[[#This Row],[L3N]],IF(Transactions[[#This Row],[Level 0]]=Transactions[[#This Row],[L5N]],Transactions[[#This Row],[L4N]],IF(Transactions[[#This Row],[Level 0]]=Transactions[[#This Row],[L6N]],Transactions[[#This Row],[L5N]],IF(Transactions[[#This Row],[Level 0]]=Transactions[[#This Row],[L7N]],Transactions[[#This Row],[L6N]],Transactions[[#This Row],[L7N]]))))))))</f>
        <v>Electricity, CHP and heat plants (T)</v>
      </c>
      <c r="AT325" s="24" t="str">
        <f>IF(Transactions[[#This Row],[Level 1]]=Transactions[[#This Row],[Transaction name]],Transactions[[#This Row],[Transaction name]],IF(Transactions[[#This Row],[Level 1]]=Transactions[[#This Row],[L1N]],Transactions[[#This Row],[Transaction name]],IF(Transactions[[#This Row],[Level 1]]=Transactions[[#This Row],[L2N]],Transactions[[#This Row],[L1N]],IF(Transactions[[#This Row],[Level 1]]=Transactions[[#This Row],[L3N]],Transactions[[#This Row],[L2N]],IF(Transactions[[#This Row],[Level 1]]=Transactions[[#This Row],[L4N]],Transactions[[#This Row],[L3N]],IF(Transactions[[#This Row],[Level 1]]=Transactions[[#This Row],[L5N]],Transactions[[#This Row],[L4N]],IF(Transactions[[#This Row],[Level 1]]=Transactions[[#This Row],[L6N]],Transactions[[#This Row],[L5N]],IF(Transactions[[#This Row],[Level 1]]=Transactions[[#This Row],[L7N]],Transactions[[#This Row],[L6N]],Transactions[[#This Row],[L7N]]))))))))</f>
        <v>Electricity and heat from peat</v>
      </c>
      <c r="AU325" s="24" t="str">
        <f>IF(Transactions[[#This Row],[Level 2]]=Transactions[[#This Row],[Transaction name]],Transactions[[#This Row],[Transaction name]],IF(Transactions[[#This Row],[Level 2]]=Transactions[[#This Row],[L1N]],Transactions[[#This Row],[Transaction name]],IF(Transactions[[#This Row],[Level 2]]=Transactions[[#This Row],[L2N]],Transactions[[#This Row],[L1N]],IF(Transactions[[#This Row],[Level 2]]=Transactions[[#This Row],[L3N]],Transactions[[#This Row],[L2N]],IF(Transactions[[#This Row],[Level 2]]=Transactions[[#This Row],[L4N]],Transactions[[#This Row],[L3N]],IF(Transactions[[#This Row],[Level 2]]=Transactions[[#This Row],[L5N]],Transactions[[#This Row],[L4N]],IF(Transactions[[#This Row],[Level 2]]=Transactions[[#This Row],[L6N]],Transactions[[#This Row],[L5N]],IF(Transactions[[#This Row],[Level 2]]=Transactions[[#This Row],[L7N]],Transactions[[#This Row],[L6N]],Transactions[[#This Row],[L7N]]))))))))</f>
        <v>Electricity and heat from peat</v>
      </c>
      <c r="AV325" s="24" t="str">
        <f>IF(Transactions[[#This Row],[Level 3]]=Transactions[[#This Row],[Transaction name]],Transactions[[#This Row],[Transaction name]],IF(Transactions[[#This Row],[Level 3]]=Transactions[[#This Row],[L1N]],Transactions[[#This Row],[Transaction name]],IF(Transactions[[#This Row],[Level 3]]=Transactions[[#This Row],[L2N]],Transactions[[#This Row],[L1N]],IF(Transactions[[#This Row],[Level 3]]=Transactions[[#This Row],[L3N]],Transactions[[#This Row],[L2N]],IF(Transactions[[#This Row],[Level 3]]=Transactions[[#This Row],[L4N]],Transactions[[#This Row],[L3N]],IF(Transactions[[#This Row],[Level 3]]=Transactions[[#This Row],[L5N]],Transactions[[#This Row],[L4N]],IF(Transactions[[#This Row],[Level 3]]=Transactions[[#This Row],[L6N]],Transactions[[#This Row],[L5N]],IF(Transactions[[#This Row],[Level 3]]=Transactions[[#This Row],[L7N]],Transactions[[#This Row],[L6N]],Transactions[[#This Row],[L7N]]))))))))</f>
        <v>Electricity and heat from peat</v>
      </c>
      <c r="AW325" s="24" t="str">
        <f>IF(Transactions[[#This Row],[Level 4]]=Transactions[[#This Row],[Transaction name]],Transactions[[#This Row],[Transaction name]],IF(Transactions[[#This Row],[Level 4]]=Transactions[[#This Row],[L1N]],Transactions[[#This Row],[Transaction name]],IF(Transactions[[#This Row],[Level 4]]=Transactions[[#This Row],[L2N]],Transactions[[#This Row],[L1N]],IF(Transactions[[#This Row],[Level 4]]=Transactions[[#This Row],[L3N]],Transactions[[#This Row],[L2N]],IF(Transactions[[#This Row],[Level 4]]=Transactions[[#This Row],[L4N]],Transactions[[#This Row],[L3N]],IF(Transactions[[#This Row],[Level 4]]=Transactions[[#This Row],[L5N]],Transactions[[#This Row],[L4N]],IF(Transactions[[#This Row],[Level 4]]=Transactions[[#This Row],[L6N]],Transactions[[#This Row],[L5N]],IF(Transactions[[#This Row],[Level 4]]=Transactions[[#This Row],[L7N]],Transactions[[#This Row],[L6N]],Transactions[[#This Row],[L7N]]))))))))</f>
        <v>Electricity and heat from peat</v>
      </c>
      <c r="AX325" s="24" t="str">
        <f>IF(Transactions[[#This Row],[Level 5]]=Transactions[[#This Row],[Transaction name]],Transactions[[#This Row],[Transaction name]],IF(Transactions[[#This Row],[Level 5]]=Transactions[[#This Row],[L1N]],Transactions[[#This Row],[Transaction name]],IF(Transactions[[#This Row],[Level 5]]=Transactions[[#This Row],[L2N]],Transactions[[#This Row],[L1N]],IF(Transactions[[#This Row],[Level 5]]=Transactions[[#This Row],[L3N]],Transactions[[#This Row],[L2N]],IF(Transactions[[#This Row],[Level 5]]=Transactions[[#This Row],[L4N]],Transactions[[#This Row],[L3N]],IF(Transactions[[#This Row],[Level 5]]=Transactions[[#This Row],[L5N]],Transactions[[#This Row],[L4N]],IF(Transactions[[#This Row],[Level 5]]=Transactions[[#This Row],[L6N]],Transactions[[#This Row],[L5N]],IF(Transactions[[#This Row],[Level 5]]=Transactions[[#This Row],[L7N]],Transactions[[#This Row],[L6N]],Transactions[[#This Row],[L7N]]))))))))</f>
        <v>Electricity and heat from peat</v>
      </c>
      <c r="AY325" s="24" t="str">
        <f>IF(Transactions[[#This Row],[Level 6]]=Transactions[[#This Row],[Transaction name]],Transactions[[#This Row],[Transaction name]],IF(Transactions[[#This Row],[Level 6]]=Transactions[[#This Row],[L1N]],Transactions[[#This Row],[Transaction name]],IF(Transactions[[#This Row],[Level 6]]=Transactions[[#This Row],[L2N]],Transactions[[#This Row],[L1N]],IF(Transactions[[#This Row],[Level 6]]=Transactions[[#This Row],[L3N]],Transactions[[#This Row],[L2N]],IF(Transactions[[#This Row],[Level 6]]=Transactions[[#This Row],[L4N]],Transactions[[#This Row],[L3N]],IF(Transactions[[#This Row],[Level 6]]=Transactions[[#This Row],[L5N]],Transactions[[#This Row],[L4N]],IF(Transactions[[#This Row],[Level 6]]=Transactions[[#This Row],[L6N]],Transactions[[#This Row],[L5N]],IF(Transactions[[#This Row],[Level 6]]=Transactions[[#This Row],[L7N]],Transactions[[#This Row],[L6N]],Transactions[[#This Row],[L7N]]))))))))</f>
        <v>Electricity and heat from peat</v>
      </c>
      <c r="BE325" s="26" t="str">
        <f>_xlfn.XLOOKUP(Transformation[[#This Row],[cfrom]],Commodities[Commodity],Commodities[Commodity code])</f>
        <v>4695</v>
      </c>
      <c r="BF325" s="26" t="str">
        <f>_xlfn.XLOOKUP(Transformation[[#This Row],[tfrom]],Transactions[Transaction name],Transactions[Transaction code])</f>
        <v>022</v>
      </c>
      <c r="BG325" s="26" t="str">
        <f>_xlfn.XLOOKUP(Transformation[[#This Row],[cto]],Commodities[Commodity],Commodities[Commodity code])</f>
        <v>4695</v>
      </c>
      <c r="BH325" s="26" t="str">
        <f>_xlfn.XLOOKUP(Transformation[[#This Row],[tto]],Transactions[Transaction name],Transactions[Transaction code])</f>
        <v>022</v>
      </c>
      <c r="BI325" s="32">
        <v>-1</v>
      </c>
      <c r="BJ325" s="22" t="s">
        <v>351</v>
      </c>
      <c r="BK325" s="26" t="str">
        <f>_xlfn.XLOOKUP(Transformation[[#This Row],[Commodity from]],Commodities[Commodity code],Commodities[EnergyCode])</f>
        <v>BT</v>
      </c>
      <c r="BL325" s="22" t="s">
        <v>205</v>
      </c>
      <c r="BM325" s="22" t="s">
        <v>351</v>
      </c>
      <c r="BN325" s="26" t="str">
        <f>_xlfn.XLOOKUP(Transformation[[#This Row],[Commodity to]],Commodities[Commodity code],Commodities[EnergyCode])</f>
        <v>BT</v>
      </c>
      <c r="BO325" s="22" t="s">
        <v>205</v>
      </c>
      <c r="BP325" s="22" t="s">
        <v>1639</v>
      </c>
      <c r="BQ325" s="33" t="str">
        <f>Transformation[[#This Row],[Commodity from]]&amp;Transformation[[#This Row],[Transaction from]]&amp;Transformation[[#This Row],[Commodity to]]&amp;Transformation[[#This Row],[Transaction to]]</f>
        <v>46950224695022</v>
      </c>
      <c r="BR325" s="26" t="str">
        <f>Transformation[[#This Row],[crfomid]]&amp;Transformation[[#This Row],[Transaction from]]&amp;"("&amp;Transformation[[#This Row],[Multiplier]]&amp;") -&gt; "&amp;Transformation[[#This Row],[ctoid]]&amp;Transformation[[#This Row],[Transaction to]]</f>
        <v>BT022(-1) -&gt; BT022</v>
      </c>
    </row>
    <row r="326" spans="25:70" x14ac:dyDescent="0.45">
      <c r="Y326" s="5" t="s">
        <v>208</v>
      </c>
      <c r="Z326" s="4" t="s">
        <v>829</v>
      </c>
      <c r="AA326" s="4" t="s">
        <v>829</v>
      </c>
      <c r="AB326" s="6" t="s">
        <v>171</v>
      </c>
      <c r="AC326" s="24" t="str">
        <f>IFERROR(VLOOKUP(Transactions[[#This Row],[Parent code]],Transactions[[Transaction code]:[Transaction name]],2,0),"")</f>
        <v>Electricity, CHP and heat plants (T)</v>
      </c>
      <c r="AD326" s="4" t="s">
        <v>189</v>
      </c>
      <c r="AE326" s="18" t="s">
        <v>1497</v>
      </c>
      <c r="AF326" s="4" t="s">
        <v>642</v>
      </c>
      <c r="AG326" s="4" t="s">
        <v>1</v>
      </c>
      <c r="AH326" s="4" t="s">
        <v>696</v>
      </c>
      <c r="AI326" s="12" t="s">
        <v>1416</v>
      </c>
      <c r="AJ326" s="4" t="s">
        <v>0</v>
      </c>
      <c r="AK326" s="24" t="str" cm="1">
        <f t="array" ref="AK326">IFERROR(INDEX(Transactions[[Transaction code]:[Transaction name]],_xlfn.XMATCH(Transactions[[#This Row],[Parent code]],Transactions[Transaction name],0),3),Transactions[[#This Row],[Transaction name]])</f>
        <v>Electricity and heat from renewable municipal waste</v>
      </c>
      <c r="AL326" s="24" t="str" cm="1">
        <f t="array" ref="AL326">IFERROR(INDEX(Transactions[[Transaction code]:[Transaction name]],_xlfn.XMATCH(INDEX(Transactions[[Transaction name]:[Parent code]],_xlfn.XMATCH(Transactions[[#This Row],[L1N]],Transactions[Transaction name],0),3),Transactions[Transaction code],0),2),Transactions[[#This Row],[L1N]])</f>
        <v>Electricity, CHP and heat plants (T)</v>
      </c>
      <c r="AM326" s="24" t="str" cm="1">
        <f t="array" ref="AM326">IFERROR(INDEX(Transactions[[Transaction code]:[Transaction name]],_xlfn.XMATCH(INDEX(Transactions[[Transaction name]:[Parent code]],_xlfn.XMATCH(Transactions[[#This Row],[L2N]],Transactions[Transaction name],0),3),Transactions[Transaction code],0),2),Transactions[[#This Row],[L2N]])</f>
        <v>Transformation</v>
      </c>
      <c r="AN326" s="24" t="str" cm="1">
        <f t="array" ref="AN326">IFERROR(INDEX(Transactions[[Transaction code]:[Transaction name]],_xlfn.XMATCH(INDEX(Transactions[[Transaction name]:[Parent code]],_xlfn.XMATCH(Transactions[[#This Row],[L3N]],Transactions[Transaction name],0),3),Transactions[Transaction code],0),2),Transactions[[#This Row],[L3N]])</f>
        <v>Transformation</v>
      </c>
      <c r="AO326" s="24" t="str" cm="1">
        <f t="array" ref="AO326">IFERROR(INDEX(Transactions[[Transaction code]:[Transaction name]],_xlfn.XMATCH(INDEX(Transactions[[Transaction name]:[Parent code]],_xlfn.XMATCH(Transactions[[#This Row],[L4N]],Transactions[Transaction name],0),3),Transactions[Transaction code],0),2),Transactions[[#This Row],[L4N]])</f>
        <v>Transformation</v>
      </c>
      <c r="AP326" s="24" t="str" cm="1">
        <f t="array" ref="AP326">IFERROR(INDEX(Transactions[[Transaction code]:[Transaction name]],_xlfn.XMATCH(INDEX(Transactions[[Transaction name]:[Parent code]],_xlfn.XMATCH(Transactions[[#This Row],[L5N]],Transactions[Transaction name],0),3),Transactions[Transaction code],0),2),Transactions[[#This Row],[L5N]])</f>
        <v>Transformation</v>
      </c>
      <c r="AQ326" s="24" t="str" cm="1">
        <f t="array" ref="AQ326">IFERROR(INDEX(Transactions[[Transaction code]:[Transaction name]],_xlfn.XMATCH(INDEX(Transactions[[Transaction name]:[Parent code]],_xlfn.XMATCH(Transactions[[#This Row],[L6N]],Transactions[Transaction name],0),3),Transactions[Transaction code],0),2),Transactions[[#This Row],[L6N]])</f>
        <v>Transformation</v>
      </c>
      <c r="AR326" s="27" t="str">
        <f>IF(Transactions[[#This Row],[L7N]]=Transactions[[#This Row],[L6N]],Transactions[[#This Row],[L7N]],IF(Transactions[[#This Row],[L6N]]=Transactions[[#This Row],[L5N]],Transactions[[#This Row],[L6N]],IF(Transactions[[#This Row],[L5N]]=Transactions[[#This Row],[L4N]],Transactions[[#This Row],[L5N]],IF(Transactions[[#This Row],[L4N]]=Transactions[[#This Row],[L3N]],Transactions[[#This Row],[L4N]],IF(Transactions[[#This Row],[L3N]]=Transactions[[#This Row],[L2N]],Transactions[[#This Row],[L3N]],IF(Transactions[[#This Row],[L2N]]=Transactions[[#This Row],[L1N]],Transactions[[#This Row],[L2N]],IF(Transactions[[#This Row],[L1N]]=Transactions[[#This Row],[Transaction name]],Transactions[[#This Row],[L1N]],Transactions[[#This Row],[Transaction name]])))))))</f>
        <v>Transformation</v>
      </c>
      <c r="AS326" s="24" t="str">
        <f>IF(Transactions[[#This Row],[Level 0]]=Transactions[[#This Row],[Transaction name]],Transactions[[#This Row],[Transaction name]],IF(Transactions[[#This Row],[Level 0]]=Transactions[[#This Row],[L1N]],Transactions[[#This Row],[Transaction name]],IF(Transactions[[#This Row],[Level 0]]=Transactions[[#This Row],[L2N]],Transactions[[#This Row],[L1N]],IF(Transactions[[#This Row],[Level 0]]=Transactions[[#This Row],[L3N]],Transactions[[#This Row],[L2N]],IF(Transactions[[#This Row],[Level 0]]=Transactions[[#This Row],[L4N]],Transactions[[#This Row],[L3N]],IF(Transactions[[#This Row],[Level 0]]=Transactions[[#This Row],[L5N]],Transactions[[#This Row],[L4N]],IF(Transactions[[#This Row],[Level 0]]=Transactions[[#This Row],[L6N]],Transactions[[#This Row],[L5N]],IF(Transactions[[#This Row],[Level 0]]=Transactions[[#This Row],[L7N]],Transactions[[#This Row],[L6N]],Transactions[[#This Row],[L7N]]))))))))</f>
        <v>Electricity, CHP and heat plants (T)</v>
      </c>
      <c r="AT326" s="24" t="str">
        <f>IF(Transactions[[#This Row],[Level 1]]=Transactions[[#This Row],[Transaction name]],Transactions[[#This Row],[Transaction name]],IF(Transactions[[#This Row],[Level 1]]=Transactions[[#This Row],[L1N]],Transactions[[#This Row],[Transaction name]],IF(Transactions[[#This Row],[Level 1]]=Transactions[[#This Row],[L2N]],Transactions[[#This Row],[L1N]],IF(Transactions[[#This Row],[Level 1]]=Transactions[[#This Row],[L3N]],Transactions[[#This Row],[L2N]],IF(Transactions[[#This Row],[Level 1]]=Transactions[[#This Row],[L4N]],Transactions[[#This Row],[L3N]],IF(Transactions[[#This Row],[Level 1]]=Transactions[[#This Row],[L5N]],Transactions[[#This Row],[L4N]],IF(Transactions[[#This Row],[Level 1]]=Transactions[[#This Row],[L6N]],Transactions[[#This Row],[L5N]],IF(Transactions[[#This Row],[Level 1]]=Transactions[[#This Row],[L7N]],Transactions[[#This Row],[L6N]],Transactions[[#This Row],[L7N]]))))))))</f>
        <v>Electricity and heat from renewable municipal waste</v>
      </c>
      <c r="AU326" s="24" t="str">
        <f>IF(Transactions[[#This Row],[Level 2]]=Transactions[[#This Row],[Transaction name]],Transactions[[#This Row],[Transaction name]],IF(Transactions[[#This Row],[Level 2]]=Transactions[[#This Row],[L1N]],Transactions[[#This Row],[Transaction name]],IF(Transactions[[#This Row],[Level 2]]=Transactions[[#This Row],[L2N]],Transactions[[#This Row],[L1N]],IF(Transactions[[#This Row],[Level 2]]=Transactions[[#This Row],[L3N]],Transactions[[#This Row],[L2N]],IF(Transactions[[#This Row],[Level 2]]=Transactions[[#This Row],[L4N]],Transactions[[#This Row],[L3N]],IF(Transactions[[#This Row],[Level 2]]=Transactions[[#This Row],[L5N]],Transactions[[#This Row],[L4N]],IF(Transactions[[#This Row],[Level 2]]=Transactions[[#This Row],[L6N]],Transactions[[#This Row],[L5N]],IF(Transactions[[#This Row],[Level 2]]=Transactions[[#This Row],[L7N]],Transactions[[#This Row],[L6N]],Transactions[[#This Row],[L7N]]))))))))</f>
        <v>Electricity and heat from renewable municipal waste</v>
      </c>
      <c r="AV326" s="24" t="str">
        <f>IF(Transactions[[#This Row],[Level 3]]=Transactions[[#This Row],[Transaction name]],Transactions[[#This Row],[Transaction name]],IF(Transactions[[#This Row],[Level 3]]=Transactions[[#This Row],[L1N]],Transactions[[#This Row],[Transaction name]],IF(Transactions[[#This Row],[Level 3]]=Transactions[[#This Row],[L2N]],Transactions[[#This Row],[L1N]],IF(Transactions[[#This Row],[Level 3]]=Transactions[[#This Row],[L3N]],Transactions[[#This Row],[L2N]],IF(Transactions[[#This Row],[Level 3]]=Transactions[[#This Row],[L4N]],Transactions[[#This Row],[L3N]],IF(Transactions[[#This Row],[Level 3]]=Transactions[[#This Row],[L5N]],Transactions[[#This Row],[L4N]],IF(Transactions[[#This Row],[Level 3]]=Transactions[[#This Row],[L6N]],Transactions[[#This Row],[L5N]],IF(Transactions[[#This Row],[Level 3]]=Transactions[[#This Row],[L7N]],Transactions[[#This Row],[L6N]],Transactions[[#This Row],[L7N]]))))))))</f>
        <v>Electricity and heat from renewable municipal waste</v>
      </c>
      <c r="AW326" s="24" t="str">
        <f>IF(Transactions[[#This Row],[Level 4]]=Transactions[[#This Row],[Transaction name]],Transactions[[#This Row],[Transaction name]],IF(Transactions[[#This Row],[Level 4]]=Transactions[[#This Row],[L1N]],Transactions[[#This Row],[Transaction name]],IF(Transactions[[#This Row],[Level 4]]=Transactions[[#This Row],[L2N]],Transactions[[#This Row],[L1N]],IF(Transactions[[#This Row],[Level 4]]=Transactions[[#This Row],[L3N]],Transactions[[#This Row],[L2N]],IF(Transactions[[#This Row],[Level 4]]=Transactions[[#This Row],[L4N]],Transactions[[#This Row],[L3N]],IF(Transactions[[#This Row],[Level 4]]=Transactions[[#This Row],[L5N]],Transactions[[#This Row],[L4N]],IF(Transactions[[#This Row],[Level 4]]=Transactions[[#This Row],[L6N]],Transactions[[#This Row],[L5N]],IF(Transactions[[#This Row],[Level 4]]=Transactions[[#This Row],[L7N]],Transactions[[#This Row],[L6N]],Transactions[[#This Row],[L7N]]))))))))</f>
        <v>Electricity and heat from renewable municipal waste</v>
      </c>
      <c r="AX326" s="24" t="str">
        <f>IF(Transactions[[#This Row],[Level 5]]=Transactions[[#This Row],[Transaction name]],Transactions[[#This Row],[Transaction name]],IF(Transactions[[#This Row],[Level 5]]=Transactions[[#This Row],[L1N]],Transactions[[#This Row],[Transaction name]],IF(Transactions[[#This Row],[Level 5]]=Transactions[[#This Row],[L2N]],Transactions[[#This Row],[L1N]],IF(Transactions[[#This Row],[Level 5]]=Transactions[[#This Row],[L3N]],Transactions[[#This Row],[L2N]],IF(Transactions[[#This Row],[Level 5]]=Transactions[[#This Row],[L4N]],Transactions[[#This Row],[L3N]],IF(Transactions[[#This Row],[Level 5]]=Transactions[[#This Row],[L5N]],Transactions[[#This Row],[L4N]],IF(Transactions[[#This Row],[Level 5]]=Transactions[[#This Row],[L6N]],Transactions[[#This Row],[L5N]],IF(Transactions[[#This Row],[Level 5]]=Transactions[[#This Row],[L7N]],Transactions[[#This Row],[L6N]],Transactions[[#This Row],[L7N]]))))))))</f>
        <v>Electricity and heat from renewable municipal waste</v>
      </c>
      <c r="AY326" s="24" t="str">
        <f>IF(Transactions[[#This Row],[Level 6]]=Transactions[[#This Row],[Transaction name]],Transactions[[#This Row],[Transaction name]],IF(Transactions[[#This Row],[Level 6]]=Transactions[[#This Row],[L1N]],Transactions[[#This Row],[Transaction name]],IF(Transactions[[#This Row],[Level 6]]=Transactions[[#This Row],[L2N]],Transactions[[#This Row],[L1N]],IF(Transactions[[#This Row],[Level 6]]=Transactions[[#This Row],[L3N]],Transactions[[#This Row],[L2N]],IF(Transactions[[#This Row],[Level 6]]=Transactions[[#This Row],[L4N]],Transactions[[#This Row],[L3N]],IF(Transactions[[#This Row],[Level 6]]=Transactions[[#This Row],[L5N]],Transactions[[#This Row],[L4N]],IF(Transactions[[#This Row],[Level 6]]=Transactions[[#This Row],[L6N]],Transactions[[#This Row],[L5N]],IF(Transactions[[#This Row],[Level 6]]=Transactions[[#This Row],[L7N]],Transactions[[#This Row],[L6N]],Transactions[[#This Row],[L7N]]))))))))</f>
        <v>Electricity and heat from renewable municipal waste</v>
      </c>
      <c r="BE326" s="26" t="str">
        <f>_xlfn.XLOOKUP(Transformation[[#This Row],[cfrom]],Commodities[Commodity],Commodities[Commodity code])</f>
        <v>4695</v>
      </c>
      <c r="BF326" s="26" t="str">
        <f>_xlfn.XLOOKUP(Transformation[[#This Row],[tfrom]],Transactions[Transaction name],Transactions[Transaction code])</f>
        <v>022</v>
      </c>
      <c r="BG326" s="26" t="str">
        <f>_xlfn.XLOOKUP(Transformation[[#This Row],[cto]],Commodities[Commodity],Commodities[Commodity code])</f>
        <v>4695</v>
      </c>
      <c r="BH326" s="26" t="str">
        <f>_xlfn.XLOOKUP(Transformation[[#This Row],[tto]],Transactions[Transaction name],Transactions[Transaction code])</f>
        <v>013</v>
      </c>
      <c r="BI326" s="31">
        <v>1</v>
      </c>
      <c r="BJ326" s="22" t="s">
        <v>351</v>
      </c>
      <c r="BK326" s="26" t="str">
        <f>_xlfn.XLOOKUP(Transformation[[#This Row],[Commodity from]],Commodities[Commodity code],Commodities[EnergyCode])</f>
        <v>BT</v>
      </c>
      <c r="BL326" s="22" t="s">
        <v>205</v>
      </c>
      <c r="BM326" s="22" t="s">
        <v>351</v>
      </c>
      <c r="BN326" s="26" t="str">
        <f>_xlfn.XLOOKUP(Transformation[[#This Row],[Commodity to]],Commodities[Commodity code],Commodities[EnergyCode])</f>
        <v>BT</v>
      </c>
      <c r="BO326" s="22" t="s">
        <v>374</v>
      </c>
      <c r="BP326" s="22" t="s">
        <v>1694</v>
      </c>
      <c r="BQ326" s="33" t="str">
        <f>Transformation[[#This Row],[Commodity from]]&amp;Transformation[[#This Row],[Transaction from]]&amp;Transformation[[#This Row],[Commodity to]]&amp;Transformation[[#This Row],[Transaction to]]</f>
        <v>46950224695013</v>
      </c>
      <c r="BR326" s="26" t="str">
        <f>Transformation[[#This Row],[crfomid]]&amp;Transformation[[#This Row],[Transaction from]]&amp;"("&amp;Transformation[[#This Row],[Multiplier]]&amp;") -&gt; "&amp;Transformation[[#This Row],[ctoid]]&amp;Transformation[[#This Row],[Transaction to]]</f>
        <v>BT022(1) -&gt; BT013</v>
      </c>
    </row>
    <row r="327" spans="25:70" x14ac:dyDescent="0.45">
      <c r="Y327" s="5" t="s">
        <v>222</v>
      </c>
      <c r="Z327" s="4" t="s">
        <v>815</v>
      </c>
      <c r="AA327" s="4" t="s">
        <v>815</v>
      </c>
      <c r="AB327" s="4" t="s">
        <v>207</v>
      </c>
      <c r="AC327" s="24" t="str">
        <f>IFERROR(VLOOKUP(Transactions[[#This Row],[Parent code]],Transactions[[Transaction code]:[Transaction name]],2,0),"")</f>
        <v>Electricity and heat from solid biofuels</v>
      </c>
      <c r="AD327" s="4" t="s">
        <v>189</v>
      </c>
      <c r="AE327" s="18" t="s">
        <v>1497</v>
      </c>
      <c r="AF327" s="4" t="s">
        <v>642</v>
      </c>
      <c r="AG327" s="4" t="s">
        <v>1</v>
      </c>
      <c r="AH327" s="4" t="s">
        <v>696</v>
      </c>
      <c r="AI327" s="12" t="s">
        <v>1416</v>
      </c>
      <c r="AJ327" s="4" t="s">
        <v>0</v>
      </c>
      <c r="AK327" s="24" t="str" cm="1">
        <f t="array" ref="AK327">IFERROR(INDEX(Transactions[[Transaction code]:[Transaction name]],_xlfn.XMATCH(Transactions[[#This Row],[Parent code]],Transactions[Transaction name],0),3),Transactions[[#This Row],[Transaction name]])</f>
        <v>Electricity and heat from bagasse</v>
      </c>
      <c r="AL327" s="24" t="str" cm="1">
        <f t="array" ref="AL327">IFERROR(INDEX(Transactions[[Transaction code]:[Transaction name]],_xlfn.XMATCH(INDEX(Transactions[[Transaction name]:[Parent code]],_xlfn.XMATCH(Transactions[[#This Row],[L1N]],Transactions[Transaction name],0),3),Transactions[Transaction code],0),2),Transactions[[#This Row],[L1N]])</f>
        <v>Electricity and heat from solid biofuels</v>
      </c>
      <c r="AM327" s="24" t="str" cm="1">
        <f t="array" ref="AM327">IFERROR(INDEX(Transactions[[Transaction code]:[Transaction name]],_xlfn.XMATCH(INDEX(Transactions[[Transaction name]:[Parent code]],_xlfn.XMATCH(Transactions[[#This Row],[L2N]],Transactions[Transaction name],0),3),Transactions[Transaction code],0),2),Transactions[[#This Row],[L2N]])</f>
        <v>Electricity, CHP and heat plants (T)</v>
      </c>
      <c r="AN327" s="24" t="str" cm="1">
        <f t="array" ref="AN327">IFERROR(INDEX(Transactions[[Transaction code]:[Transaction name]],_xlfn.XMATCH(INDEX(Transactions[[Transaction name]:[Parent code]],_xlfn.XMATCH(Transactions[[#This Row],[L3N]],Transactions[Transaction name],0),3),Transactions[Transaction code],0),2),Transactions[[#This Row],[L3N]])</f>
        <v>Transformation</v>
      </c>
      <c r="AO327" s="24" t="str" cm="1">
        <f t="array" ref="AO327">IFERROR(INDEX(Transactions[[Transaction code]:[Transaction name]],_xlfn.XMATCH(INDEX(Transactions[[Transaction name]:[Parent code]],_xlfn.XMATCH(Transactions[[#This Row],[L4N]],Transactions[Transaction name],0),3),Transactions[Transaction code],0),2),Transactions[[#This Row],[L4N]])</f>
        <v>Transformation</v>
      </c>
      <c r="AP327" s="24" t="str" cm="1">
        <f t="array" ref="AP327">IFERROR(INDEX(Transactions[[Transaction code]:[Transaction name]],_xlfn.XMATCH(INDEX(Transactions[[Transaction name]:[Parent code]],_xlfn.XMATCH(Transactions[[#This Row],[L5N]],Transactions[Transaction name],0),3),Transactions[Transaction code],0),2),Transactions[[#This Row],[L5N]])</f>
        <v>Transformation</v>
      </c>
      <c r="AQ327" s="24" t="str" cm="1">
        <f t="array" ref="AQ327">IFERROR(INDEX(Transactions[[Transaction code]:[Transaction name]],_xlfn.XMATCH(INDEX(Transactions[[Transaction name]:[Parent code]],_xlfn.XMATCH(Transactions[[#This Row],[L6N]],Transactions[Transaction name],0),3),Transactions[Transaction code],0),2),Transactions[[#This Row],[L6N]])</f>
        <v>Transformation</v>
      </c>
      <c r="AR327" s="28" t="str">
        <f>IF(Transactions[[#This Row],[L7N]]=Transactions[[#This Row],[L6N]],Transactions[[#This Row],[L7N]],IF(Transactions[[#This Row],[L6N]]=Transactions[[#This Row],[L5N]],Transactions[[#This Row],[L6N]],IF(Transactions[[#This Row],[L5N]]=Transactions[[#This Row],[L4N]],Transactions[[#This Row],[L5N]],IF(Transactions[[#This Row],[L4N]]=Transactions[[#This Row],[L3N]],Transactions[[#This Row],[L4N]],IF(Transactions[[#This Row],[L3N]]=Transactions[[#This Row],[L2N]],Transactions[[#This Row],[L3N]],IF(Transactions[[#This Row],[L2N]]=Transactions[[#This Row],[L1N]],Transactions[[#This Row],[L2N]],IF(Transactions[[#This Row],[L1N]]=Transactions[[#This Row],[Transaction name]],Transactions[[#This Row],[L1N]],Transactions[[#This Row],[Transaction name]])))))))</f>
        <v>Transformation</v>
      </c>
      <c r="AS327" s="24" t="str">
        <f>IF(Transactions[[#This Row],[Level 0]]=Transactions[[#This Row],[Transaction name]],Transactions[[#This Row],[Transaction name]],IF(Transactions[[#This Row],[Level 0]]=Transactions[[#This Row],[L1N]],Transactions[[#This Row],[Transaction name]],IF(Transactions[[#This Row],[Level 0]]=Transactions[[#This Row],[L2N]],Transactions[[#This Row],[L1N]],IF(Transactions[[#This Row],[Level 0]]=Transactions[[#This Row],[L3N]],Transactions[[#This Row],[L2N]],IF(Transactions[[#This Row],[Level 0]]=Transactions[[#This Row],[L4N]],Transactions[[#This Row],[L3N]],IF(Transactions[[#This Row],[Level 0]]=Transactions[[#This Row],[L5N]],Transactions[[#This Row],[L4N]],IF(Transactions[[#This Row],[Level 0]]=Transactions[[#This Row],[L6N]],Transactions[[#This Row],[L5N]],IF(Transactions[[#This Row],[Level 0]]=Transactions[[#This Row],[L7N]],Transactions[[#This Row],[L6N]],Transactions[[#This Row],[L7N]]))))))))</f>
        <v>Electricity, CHP and heat plants (T)</v>
      </c>
      <c r="AT327" s="24" t="str">
        <f>IF(Transactions[[#This Row],[Level 1]]=Transactions[[#This Row],[Transaction name]],Transactions[[#This Row],[Transaction name]],IF(Transactions[[#This Row],[Level 1]]=Transactions[[#This Row],[L1N]],Transactions[[#This Row],[Transaction name]],IF(Transactions[[#This Row],[Level 1]]=Transactions[[#This Row],[L2N]],Transactions[[#This Row],[L1N]],IF(Transactions[[#This Row],[Level 1]]=Transactions[[#This Row],[L3N]],Transactions[[#This Row],[L2N]],IF(Transactions[[#This Row],[Level 1]]=Transactions[[#This Row],[L4N]],Transactions[[#This Row],[L3N]],IF(Transactions[[#This Row],[Level 1]]=Transactions[[#This Row],[L5N]],Transactions[[#This Row],[L4N]],IF(Transactions[[#This Row],[Level 1]]=Transactions[[#This Row],[L6N]],Transactions[[#This Row],[L5N]],IF(Transactions[[#This Row],[Level 1]]=Transactions[[#This Row],[L7N]],Transactions[[#This Row],[L6N]],Transactions[[#This Row],[L7N]]))))))))</f>
        <v>Electricity and heat from solid biofuels</v>
      </c>
      <c r="AU327" s="24" t="str">
        <f>IF(Transactions[[#This Row],[Level 2]]=Transactions[[#This Row],[Transaction name]],Transactions[[#This Row],[Transaction name]],IF(Transactions[[#This Row],[Level 2]]=Transactions[[#This Row],[L1N]],Transactions[[#This Row],[Transaction name]],IF(Transactions[[#This Row],[Level 2]]=Transactions[[#This Row],[L2N]],Transactions[[#This Row],[L1N]],IF(Transactions[[#This Row],[Level 2]]=Transactions[[#This Row],[L3N]],Transactions[[#This Row],[L2N]],IF(Transactions[[#This Row],[Level 2]]=Transactions[[#This Row],[L4N]],Transactions[[#This Row],[L3N]],IF(Transactions[[#This Row],[Level 2]]=Transactions[[#This Row],[L5N]],Transactions[[#This Row],[L4N]],IF(Transactions[[#This Row],[Level 2]]=Transactions[[#This Row],[L6N]],Transactions[[#This Row],[L5N]],IF(Transactions[[#This Row],[Level 2]]=Transactions[[#This Row],[L7N]],Transactions[[#This Row],[L6N]],Transactions[[#This Row],[L7N]]))))))))</f>
        <v>Electricity and heat from bagasse</v>
      </c>
      <c r="AV327" s="24" t="str">
        <f>IF(Transactions[[#This Row],[Level 3]]=Transactions[[#This Row],[Transaction name]],Transactions[[#This Row],[Transaction name]],IF(Transactions[[#This Row],[Level 3]]=Transactions[[#This Row],[L1N]],Transactions[[#This Row],[Transaction name]],IF(Transactions[[#This Row],[Level 3]]=Transactions[[#This Row],[L2N]],Transactions[[#This Row],[L1N]],IF(Transactions[[#This Row],[Level 3]]=Transactions[[#This Row],[L3N]],Transactions[[#This Row],[L2N]],IF(Transactions[[#This Row],[Level 3]]=Transactions[[#This Row],[L4N]],Transactions[[#This Row],[L3N]],IF(Transactions[[#This Row],[Level 3]]=Transactions[[#This Row],[L5N]],Transactions[[#This Row],[L4N]],IF(Transactions[[#This Row],[Level 3]]=Transactions[[#This Row],[L6N]],Transactions[[#This Row],[L5N]],IF(Transactions[[#This Row],[Level 3]]=Transactions[[#This Row],[L7N]],Transactions[[#This Row],[L6N]],Transactions[[#This Row],[L7N]]))))))))</f>
        <v>Electricity and heat from bagasse</v>
      </c>
      <c r="AW327" s="24" t="str">
        <f>IF(Transactions[[#This Row],[Level 4]]=Transactions[[#This Row],[Transaction name]],Transactions[[#This Row],[Transaction name]],IF(Transactions[[#This Row],[Level 4]]=Transactions[[#This Row],[L1N]],Transactions[[#This Row],[Transaction name]],IF(Transactions[[#This Row],[Level 4]]=Transactions[[#This Row],[L2N]],Transactions[[#This Row],[L1N]],IF(Transactions[[#This Row],[Level 4]]=Transactions[[#This Row],[L3N]],Transactions[[#This Row],[L2N]],IF(Transactions[[#This Row],[Level 4]]=Transactions[[#This Row],[L4N]],Transactions[[#This Row],[L3N]],IF(Transactions[[#This Row],[Level 4]]=Transactions[[#This Row],[L5N]],Transactions[[#This Row],[L4N]],IF(Transactions[[#This Row],[Level 4]]=Transactions[[#This Row],[L6N]],Transactions[[#This Row],[L5N]],IF(Transactions[[#This Row],[Level 4]]=Transactions[[#This Row],[L7N]],Transactions[[#This Row],[L6N]],Transactions[[#This Row],[L7N]]))))))))</f>
        <v>Electricity and heat from bagasse</v>
      </c>
      <c r="AX327" s="24" t="str">
        <f>IF(Transactions[[#This Row],[Level 5]]=Transactions[[#This Row],[Transaction name]],Transactions[[#This Row],[Transaction name]],IF(Transactions[[#This Row],[Level 5]]=Transactions[[#This Row],[L1N]],Transactions[[#This Row],[Transaction name]],IF(Transactions[[#This Row],[Level 5]]=Transactions[[#This Row],[L2N]],Transactions[[#This Row],[L1N]],IF(Transactions[[#This Row],[Level 5]]=Transactions[[#This Row],[L3N]],Transactions[[#This Row],[L2N]],IF(Transactions[[#This Row],[Level 5]]=Transactions[[#This Row],[L4N]],Transactions[[#This Row],[L3N]],IF(Transactions[[#This Row],[Level 5]]=Transactions[[#This Row],[L5N]],Transactions[[#This Row],[L4N]],IF(Transactions[[#This Row],[Level 5]]=Transactions[[#This Row],[L6N]],Transactions[[#This Row],[L5N]],IF(Transactions[[#This Row],[Level 5]]=Transactions[[#This Row],[L7N]],Transactions[[#This Row],[L6N]],Transactions[[#This Row],[L7N]]))))))))</f>
        <v>Electricity and heat from bagasse</v>
      </c>
      <c r="AY327" s="24" t="str">
        <f>IF(Transactions[[#This Row],[Level 6]]=Transactions[[#This Row],[Transaction name]],Transactions[[#This Row],[Transaction name]],IF(Transactions[[#This Row],[Level 6]]=Transactions[[#This Row],[L1N]],Transactions[[#This Row],[Transaction name]],IF(Transactions[[#This Row],[Level 6]]=Transactions[[#This Row],[L2N]],Transactions[[#This Row],[L1N]],IF(Transactions[[#This Row],[Level 6]]=Transactions[[#This Row],[L3N]],Transactions[[#This Row],[L2N]],IF(Transactions[[#This Row],[Level 6]]=Transactions[[#This Row],[L4N]],Transactions[[#This Row],[L3N]],IF(Transactions[[#This Row],[Level 6]]=Transactions[[#This Row],[L5N]],Transactions[[#This Row],[L4N]],IF(Transactions[[#This Row],[Level 6]]=Transactions[[#This Row],[L6N]],Transactions[[#This Row],[L5N]],IF(Transactions[[#This Row],[Level 6]]=Transactions[[#This Row],[L7N]],Transactions[[#This Row],[L6N]],Transactions[[#This Row],[L7N]]))))))))</f>
        <v>Electricity and heat from bagasse</v>
      </c>
      <c r="BE327" s="26" t="str">
        <f>_xlfn.XLOOKUP(Transformation[[#This Row],[cfrom]],Commodities[Commodity],Commodities[Commodity code])</f>
        <v>5160</v>
      </c>
      <c r="BF327" s="26" t="str">
        <f>_xlfn.XLOOKUP(Transformation[[#This Row],[tfrom]],Transactions[Transaction name],Transactions[Transaction code])</f>
        <v>01</v>
      </c>
      <c r="BG327" s="26" t="str">
        <f>_xlfn.XLOOKUP(Transformation[[#This Row],[cto]],Commodities[Commodity],Commodities[Commodity code])</f>
        <v>5160</v>
      </c>
      <c r="BH327" s="26" t="str">
        <f>_xlfn.XLOOKUP(Transformation[[#This Row],[tto]],Transactions[Transaction name],Transactions[Transaction code])</f>
        <v>085CH</v>
      </c>
      <c r="BI327" s="31">
        <v>1</v>
      </c>
      <c r="BJ327" s="22" t="s">
        <v>326</v>
      </c>
      <c r="BK327" s="26" t="str">
        <f>_xlfn.XLOOKUP(Transformation[[#This Row],[Commodity from]],Commodities[Commodity code],Commodities[EnergyCode])</f>
        <v>CH</v>
      </c>
      <c r="BL327" s="22" t="s">
        <v>383</v>
      </c>
      <c r="BM327" s="22" t="s">
        <v>326</v>
      </c>
      <c r="BN327" s="26" t="str">
        <f>_xlfn.XLOOKUP(Transformation[[#This Row],[Commodity to]],Commodities[Commodity code],Commodities[EnergyCode])</f>
        <v>CH</v>
      </c>
      <c r="BO327" s="22" t="s">
        <v>723</v>
      </c>
      <c r="BP327" s="22" t="s">
        <v>1654</v>
      </c>
      <c r="BQ327" s="33" t="str">
        <f>Transformation[[#This Row],[Commodity from]]&amp;Transformation[[#This Row],[Transaction from]]&amp;Transformation[[#This Row],[Commodity to]]&amp;Transformation[[#This Row],[Transaction to]]</f>
        <v>5160015160085CH</v>
      </c>
      <c r="BR327" s="26" t="str">
        <f>Transformation[[#This Row],[crfomid]]&amp;Transformation[[#This Row],[Transaction from]]&amp;"("&amp;Transformation[[#This Row],[Multiplier]]&amp;") -&gt; "&amp;Transformation[[#This Row],[ctoid]]&amp;Transformation[[#This Row],[Transaction to]]</f>
        <v>CH01(1) -&gt; CH085CH</v>
      </c>
    </row>
    <row r="328" spans="25:70" x14ac:dyDescent="0.45">
      <c r="Y328" s="5" t="s">
        <v>207</v>
      </c>
      <c r="Z328" s="4" t="s">
        <v>813</v>
      </c>
      <c r="AA328" s="4" t="s">
        <v>813</v>
      </c>
      <c r="AB328" s="6" t="s">
        <v>171</v>
      </c>
      <c r="AC328" s="24" t="str">
        <f>IFERROR(VLOOKUP(Transactions[[#This Row],[Parent code]],Transactions[[Transaction code]:[Transaction name]],2,0),"")</f>
        <v>Electricity, CHP and heat plants (T)</v>
      </c>
      <c r="AD328" s="4" t="s">
        <v>189</v>
      </c>
      <c r="AE328" s="18" t="s">
        <v>1497</v>
      </c>
      <c r="AF328" s="4" t="s">
        <v>642</v>
      </c>
      <c r="AG328" s="4" t="s">
        <v>1</v>
      </c>
      <c r="AH328" s="4" t="s">
        <v>696</v>
      </c>
      <c r="AI328" s="12" t="s">
        <v>1416</v>
      </c>
      <c r="AJ328" s="4" t="s">
        <v>0</v>
      </c>
      <c r="AK328" s="24" t="str" cm="1">
        <f t="array" ref="AK328">IFERROR(INDEX(Transactions[[Transaction code]:[Transaction name]],_xlfn.XMATCH(Transactions[[#This Row],[Parent code]],Transactions[Transaction name],0),3),Transactions[[#This Row],[Transaction name]])</f>
        <v>Electricity and heat from solid biofuels</v>
      </c>
      <c r="AL328" s="24" t="str" cm="1">
        <f t="array" ref="AL328">IFERROR(INDEX(Transactions[[Transaction code]:[Transaction name]],_xlfn.XMATCH(INDEX(Transactions[[Transaction name]:[Parent code]],_xlfn.XMATCH(Transactions[[#This Row],[L1N]],Transactions[Transaction name],0),3),Transactions[Transaction code],0),2),Transactions[[#This Row],[L1N]])</f>
        <v>Electricity, CHP and heat plants (T)</v>
      </c>
      <c r="AM328" s="24" t="str" cm="1">
        <f t="array" ref="AM328">IFERROR(INDEX(Transactions[[Transaction code]:[Transaction name]],_xlfn.XMATCH(INDEX(Transactions[[Transaction name]:[Parent code]],_xlfn.XMATCH(Transactions[[#This Row],[L2N]],Transactions[Transaction name],0),3),Transactions[Transaction code],0),2),Transactions[[#This Row],[L2N]])</f>
        <v>Transformation</v>
      </c>
      <c r="AN328" s="24" t="str" cm="1">
        <f t="array" ref="AN328">IFERROR(INDEX(Transactions[[Transaction code]:[Transaction name]],_xlfn.XMATCH(INDEX(Transactions[[Transaction name]:[Parent code]],_xlfn.XMATCH(Transactions[[#This Row],[L3N]],Transactions[Transaction name],0),3),Transactions[Transaction code],0),2),Transactions[[#This Row],[L3N]])</f>
        <v>Transformation</v>
      </c>
      <c r="AO328" s="24" t="str" cm="1">
        <f t="array" ref="AO328">IFERROR(INDEX(Transactions[[Transaction code]:[Transaction name]],_xlfn.XMATCH(INDEX(Transactions[[Transaction name]:[Parent code]],_xlfn.XMATCH(Transactions[[#This Row],[L4N]],Transactions[Transaction name],0),3),Transactions[Transaction code],0),2),Transactions[[#This Row],[L4N]])</f>
        <v>Transformation</v>
      </c>
      <c r="AP328" s="24" t="str" cm="1">
        <f t="array" ref="AP328">IFERROR(INDEX(Transactions[[Transaction code]:[Transaction name]],_xlfn.XMATCH(INDEX(Transactions[[Transaction name]:[Parent code]],_xlfn.XMATCH(Transactions[[#This Row],[L5N]],Transactions[Transaction name],0),3),Transactions[Transaction code],0),2),Transactions[[#This Row],[L5N]])</f>
        <v>Transformation</v>
      </c>
      <c r="AQ328" s="24" t="str" cm="1">
        <f t="array" ref="AQ328">IFERROR(INDEX(Transactions[[Transaction code]:[Transaction name]],_xlfn.XMATCH(INDEX(Transactions[[Transaction name]:[Parent code]],_xlfn.XMATCH(Transactions[[#This Row],[L6N]],Transactions[Transaction name],0),3),Transactions[Transaction code],0),2),Transactions[[#This Row],[L6N]])</f>
        <v>Transformation</v>
      </c>
      <c r="AR328" s="28" t="str">
        <f>IF(Transactions[[#This Row],[L7N]]=Transactions[[#This Row],[L6N]],Transactions[[#This Row],[L7N]],IF(Transactions[[#This Row],[L6N]]=Transactions[[#This Row],[L5N]],Transactions[[#This Row],[L6N]],IF(Transactions[[#This Row],[L5N]]=Transactions[[#This Row],[L4N]],Transactions[[#This Row],[L5N]],IF(Transactions[[#This Row],[L4N]]=Transactions[[#This Row],[L3N]],Transactions[[#This Row],[L4N]],IF(Transactions[[#This Row],[L3N]]=Transactions[[#This Row],[L2N]],Transactions[[#This Row],[L3N]],IF(Transactions[[#This Row],[L2N]]=Transactions[[#This Row],[L1N]],Transactions[[#This Row],[L2N]],IF(Transactions[[#This Row],[L1N]]=Transactions[[#This Row],[Transaction name]],Transactions[[#This Row],[L1N]],Transactions[[#This Row],[Transaction name]])))))))</f>
        <v>Transformation</v>
      </c>
      <c r="AS328" s="24" t="str">
        <f>IF(Transactions[[#This Row],[Level 0]]=Transactions[[#This Row],[Transaction name]],Transactions[[#This Row],[Transaction name]],IF(Transactions[[#This Row],[Level 0]]=Transactions[[#This Row],[L1N]],Transactions[[#This Row],[Transaction name]],IF(Transactions[[#This Row],[Level 0]]=Transactions[[#This Row],[L2N]],Transactions[[#This Row],[L1N]],IF(Transactions[[#This Row],[Level 0]]=Transactions[[#This Row],[L3N]],Transactions[[#This Row],[L2N]],IF(Transactions[[#This Row],[Level 0]]=Transactions[[#This Row],[L4N]],Transactions[[#This Row],[L3N]],IF(Transactions[[#This Row],[Level 0]]=Transactions[[#This Row],[L5N]],Transactions[[#This Row],[L4N]],IF(Transactions[[#This Row],[Level 0]]=Transactions[[#This Row],[L6N]],Transactions[[#This Row],[L5N]],IF(Transactions[[#This Row],[Level 0]]=Transactions[[#This Row],[L7N]],Transactions[[#This Row],[L6N]],Transactions[[#This Row],[L7N]]))))))))</f>
        <v>Electricity, CHP and heat plants (T)</v>
      </c>
      <c r="AT328" s="24" t="str">
        <f>IF(Transactions[[#This Row],[Level 1]]=Transactions[[#This Row],[Transaction name]],Transactions[[#This Row],[Transaction name]],IF(Transactions[[#This Row],[Level 1]]=Transactions[[#This Row],[L1N]],Transactions[[#This Row],[Transaction name]],IF(Transactions[[#This Row],[Level 1]]=Transactions[[#This Row],[L2N]],Transactions[[#This Row],[L1N]],IF(Transactions[[#This Row],[Level 1]]=Transactions[[#This Row],[L3N]],Transactions[[#This Row],[L2N]],IF(Transactions[[#This Row],[Level 1]]=Transactions[[#This Row],[L4N]],Transactions[[#This Row],[L3N]],IF(Transactions[[#This Row],[Level 1]]=Transactions[[#This Row],[L5N]],Transactions[[#This Row],[L4N]],IF(Transactions[[#This Row],[Level 1]]=Transactions[[#This Row],[L6N]],Transactions[[#This Row],[L5N]],IF(Transactions[[#This Row],[Level 1]]=Transactions[[#This Row],[L7N]],Transactions[[#This Row],[L6N]],Transactions[[#This Row],[L7N]]))))))))</f>
        <v>Electricity and heat from solid biofuels</v>
      </c>
      <c r="AU328" s="24" t="str">
        <f>IF(Transactions[[#This Row],[Level 2]]=Transactions[[#This Row],[Transaction name]],Transactions[[#This Row],[Transaction name]],IF(Transactions[[#This Row],[Level 2]]=Transactions[[#This Row],[L1N]],Transactions[[#This Row],[Transaction name]],IF(Transactions[[#This Row],[Level 2]]=Transactions[[#This Row],[L2N]],Transactions[[#This Row],[L1N]],IF(Transactions[[#This Row],[Level 2]]=Transactions[[#This Row],[L3N]],Transactions[[#This Row],[L2N]],IF(Transactions[[#This Row],[Level 2]]=Transactions[[#This Row],[L4N]],Transactions[[#This Row],[L3N]],IF(Transactions[[#This Row],[Level 2]]=Transactions[[#This Row],[L5N]],Transactions[[#This Row],[L4N]],IF(Transactions[[#This Row],[Level 2]]=Transactions[[#This Row],[L6N]],Transactions[[#This Row],[L5N]],IF(Transactions[[#This Row],[Level 2]]=Transactions[[#This Row],[L7N]],Transactions[[#This Row],[L6N]],Transactions[[#This Row],[L7N]]))))))))</f>
        <v>Electricity and heat from solid biofuels</v>
      </c>
      <c r="AV328" s="24" t="str">
        <f>IF(Transactions[[#This Row],[Level 3]]=Transactions[[#This Row],[Transaction name]],Transactions[[#This Row],[Transaction name]],IF(Transactions[[#This Row],[Level 3]]=Transactions[[#This Row],[L1N]],Transactions[[#This Row],[Transaction name]],IF(Transactions[[#This Row],[Level 3]]=Transactions[[#This Row],[L2N]],Transactions[[#This Row],[L1N]],IF(Transactions[[#This Row],[Level 3]]=Transactions[[#This Row],[L3N]],Transactions[[#This Row],[L2N]],IF(Transactions[[#This Row],[Level 3]]=Transactions[[#This Row],[L4N]],Transactions[[#This Row],[L3N]],IF(Transactions[[#This Row],[Level 3]]=Transactions[[#This Row],[L5N]],Transactions[[#This Row],[L4N]],IF(Transactions[[#This Row],[Level 3]]=Transactions[[#This Row],[L6N]],Transactions[[#This Row],[L5N]],IF(Transactions[[#This Row],[Level 3]]=Transactions[[#This Row],[L7N]],Transactions[[#This Row],[L6N]],Transactions[[#This Row],[L7N]]))))))))</f>
        <v>Electricity and heat from solid biofuels</v>
      </c>
      <c r="AW328" s="24" t="str">
        <f>IF(Transactions[[#This Row],[Level 4]]=Transactions[[#This Row],[Transaction name]],Transactions[[#This Row],[Transaction name]],IF(Transactions[[#This Row],[Level 4]]=Transactions[[#This Row],[L1N]],Transactions[[#This Row],[Transaction name]],IF(Transactions[[#This Row],[Level 4]]=Transactions[[#This Row],[L2N]],Transactions[[#This Row],[L1N]],IF(Transactions[[#This Row],[Level 4]]=Transactions[[#This Row],[L3N]],Transactions[[#This Row],[L2N]],IF(Transactions[[#This Row],[Level 4]]=Transactions[[#This Row],[L4N]],Transactions[[#This Row],[L3N]],IF(Transactions[[#This Row],[Level 4]]=Transactions[[#This Row],[L5N]],Transactions[[#This Row],[L4N]],IF(Transactions[[#This Row],[Level 4]]=Transactions[[#This Row],[L6N]],Transactions[[#This Row],[L5N]],IF(Transactions[[#This Row],[Level 4]]=Transactions[[#This Row],[L7N]],Transactions[[#This Row],[L6N]],Transactions[[#This Row],[L7N]]))))))))</f>
        <v>Electricity and heat from solid biofuels</v>
      </c>
      <c r="AX328" s="24" t="str">
        <f>IF(Transactions[[#This Row],[Level 5]]=Transactions[[#This Row],[Transaction name]],Transactions[[#This Row],[Transaction name]],IF(Transactions[[#This Row],[Level 5]]=Transactions[[#This Row],[L1N]],Transactions[[#This Row],[Transaction name]],IF(Transactions[[#This Row],[Level 5]]=Transactions[[#This Row],[L2N]],Transactions[[#This Row],[L1N]],IF(Transactions[[#This Row],[Level 5]]=Transactions[[#This Row],[L3N]],Transactions[[#This Row],[L2N]],IF(Transactions[[#This Row],[Level 5]]=Transactions[[#This Row],[L4N]],Transactions[[#This Row],[L3N]],IF(Transactions[[#This Row],[Level 5]]=Transactions[[#This Row],[L5N]],Transactions[[#This Row],[L4N]],IF(Transactions[[#This Row],[Level 5]]=Transactions[[#This Row],[L6N]],Transactions[[#This Row],[L5N]],IF(Transactions[[#This Row],[Level 5]]=Transactions[[#This Row],[L7N]],Transactions[[#This Row],[L6N]],Transactions[[#This Row],[L7N]]))))))))</f>
        <v>Electricity and heat from solid biofuels</v>
      </c>
      <c r="AY328" s="24" t="str">
        <f>IF(Transactions[[#This Row],[Level 6]]=Transactions[[#This Row],[Transaction name]],Transactions[[#This Row],[Transaction name]],IF(Transactions[[#This Row],[Level 6]]=Transactions[[#This Row],[L1N]],Transactions[[#This Row],[Transaction name]],IF(Transactions[[#This Row],[Level 6]]=Transactions[[#This Row],[L2N]],Transactions[[#This Row],[L1N]],IF(Transactions[[#This Row],[Level 6]]=Transactions[[#This Row],[L3N]],Transactions[[#This Row],[L2N]],IF(Transactions[[#This Row],[Level 6]]=Transactions[[#This Row],[L4N]],Transactions[[#This Row],[L3N]],IF(Transactions[[#This Row],[Level 6]]=Transactions[[#This Row],[L5N]],Transactions[[#This Row],[L4N]],IF(Transactions[[#This Row],[Level 6]]=Transactions[[#This Row],[L6N]],Transactions[[#This Row],[L5N]],IF(Transactions[[#This Row],[Level 6]]=Transactions[[#This Row],[L7N]],Transactions[[#This Row],[L6N]],Transactions[[#This Row],[L7N]]))))))))</f>
        <v>Electricity and heat from solid biofuels</v>
      </c>
      <c r="BE328" s="26" t="str">
        <f>_xlfn.XLOOKUP(Transformation[[#This Row],[cfrom]],Commodities[Commodity],Commodities[Commodity code])</f>
        <v>5160</v>
      </c>
      <c r="BF328" s="26" t="str">
        <f>_xlfn.XLOOKUP(Transformation[[#This Row],[tfrom]],Transactions[Transaction name],Transactions[Transaction code])</f>
        <v>01</v>
      </c>
      <c r="BG328" s="26" t="str">
        <f>_xlfn.XLOOKUP(Transformation[[#This Row],[cto]],Commodities[Commodity],Commodities[Commodity code])</f>
        <v>5160</v>
      </c>
      <c r="BH328" s="26" t="str">
        <f>_xlfn.XLOOKUP(Transformation[[#This Row],[tto]],Transactions[Transaction name],Transactions[Transaction code])</f>
        <v>01</v>
      </c>
      <c r="BI328" s="31">
        <v>-1</v>
      </c>
      <c r="BJ328" s="22" t="s">
        <v>326</v>
      </c>
      <c r="BK328" s="26" t="str">
        <f>_xlfn.XLOOKUP(Transformation[[#This Row],[Commodity from]],Commodities[Commodity code],Commodities[EnergyCode])</f>
        <v>CH</v>
      </c>
      <c r="BL328" s="22" t="s">
        <v>383</v>
      </c>
      <c r="BM328" s="22" t="s">
        <v>326</v>
      </c>
      <c r="BN328" s="26" t="str">
        <f>_xlfn.XLOOKUP(Transformation[[#This Row],[Commodity to]],Commodities[Commodity code],Commodities[EnergyCode])</f>
        <v>CH</v>
      </c>
      <c r="BO328" s="22" t="s">
        <v>383</v>
      </c>
      <c r="BP328" s="22" t="s">
        <v>1633</v>
      </c>
      <c r="BQ328" s="33" t="str">
        <f>Transformation[[#This Row],[Commodity from]]&amp;Transformation[[#This Row],[Transaction from]]&amp;Transformation[[#This Row],[Commodity to]]&amp;Transformation[[#This Row],[Transaction to]]</f>
        <v>516001516001</v>
      </c>
      <c r="BR328" s="26" t="str">
        <f>Transformation[[#This Row],[crfomid]]&amp;Transformation[[#This Row],[Transaction from]]&amp;"("&amp;Transformation[[#This Row],[Multiplier]]&amp;") -&gt; "&amp;Transformation[[#This Row],[ctoid]]&amp;Transformation[[#This Row],[Transaction to]]</f>
        <v>CH01(-1) -&gt; CH01</v>
      </c>
    </row>
    <row r="329" spans="25:70" x14ac:dyDescent="0.45">
      <c r="Y329" s="5" t="s">
        <v>220</v>
      </c>
      <c r="Z329" s="4" t="s">
        <v>817</v>
      </c>
      <c r="AA329" s="4" t="s">
        <v>817</v>
      </c>
      <c r="AB329" s="6" t="s">
        <v>171</v>
      </c>
      <c r="AC329" s="24" t="str">
        <f>IFERROR(VLOOKUP(Transactions[[#This Row],[Parent code]],Transactions[[Transaction code]:[Transaction name]],2,0),"")</f>
        <v>Electricity, CHP and heat plants (T)</v>
      </c>
      <c r="AD329" s="4" t="s">
        <v>189</v>
      </c>
      <c r="AE329" s="18" t="s">
        <v>1497</v>
      </c>
      <c r="AF329" s="4" t="s">
        <v>642</v>
      </c>
      <c r="AG329" s="4" t="s">
        <v>1</v>
      </c>
      <c r="AH329" s="4" t="s">
        <v>696</v>
      </c>
      <c r="AI329" s="12" t="s">
        <v>1416</v>
      </c>
      <c r="AJ329" s="4" t="s">
        <v>0</v>
      </c>
      <c r="AK329" s="24" t="str" cm="1">
        <f t="array" ref="AK329">IFERROR(INDEX(Transactions[[Transaction code]:[Transaction name]],_xlfn.XMATCH(Transactions[[#This Row],[Parent code]],Transactions[Transaction name],0),3),Transactions[[#This Row],[Transaction name]])</f>
        <v>Electricity and heat from solid coal products</v>
      </c>
      <c r="AL329" s="24" t="str" cm="1">
        <f t="array" ref="AL329">IFERROR(INDEX(Transactions[[Transaction code]:[Transaction name]],_xlfn.XMATCH(INDEX(Transactions[[Transaction name]:[Parent code]],_xlfn.XMATCH(Transactions[[#This Row],[L1N]],Transactions[Transaction name],0),3),Transactions[Transaction code],0),2),Transactions[[#This Row],[L1N]])</f>
        <v>Electricity, CHP and heat plants (T)</v>
      </c>
      <c r="AM329" s="24" t="str" cm="1">
        <f t="array" ref="AM329">IFERROR(INDEX(Transactions[[Transaction code]:[Transaction name]],_xlfn.XMATCH(INDEX(Transactions[[Transaction name]:[Parent code]],_xlfn.XMATCH(Transactions[[#This Row],[L2N]],Transactions[Transaction name],0),3),Transactions[Transaction code],0),2),Transactions[[#This Row],[L2N]])</f>
        <v>Transformation</v>
      </c>
      <c r="AN329" s="24" t="str" cm="1">
        <f t="array" ref="AN329">IFERROR(INDEX(Transactions[[Transaction code]:[Transaction name]],_xlfn.XMATCH(INDEX(Transactions[[Transaction name]:[Parent code]],_xlfn.XMATCH(Transactions[[#This Row],[L3N]],Transactions[Transaction name],0),3),Transactions[Transaction code],0),2),Transactions[[#This Row],[L3N]])</f>
        <v>Transformation</v>
      </c>
      <c r="AO329" s="24" t="str" cm="1">
        <f t="array" ref="AO329">IFERROR(INDEX(Transactions[[Transaction code]:[Transaction name]],_xlfn.XMATCH(INDEX(Transactions[[Transaction name]:[Parent code]],_xlfn.XMATCH(Transactions[[#This Row],[L4N]],Transactions[Transaction name],0),3),Transactions[Transaction code],0),2),Transactions[[#This Row],[L4N]])</f>
        <v>Transformation</v>
      </c>
      <c r="AP329" s="24" t="str" cm="1">
        <f t="array" ref="AP329">IFERROR(INDEX(Transactions[[Transaction code]:[Transaction name]],_xlfn.XMATCH(INDEX(Transactions[[Transaction name]:[Parent code]],_xlfn.XMATCH(Transactions[[#This Row],[L5N]],Transactions[Transaction name],0),3),Transactions[Transaction code],0),2),Transactions[[#This Row],[L5N]])</f>
        <v>Transformation</v>
      </c>
      <c r="AQ329" s="24" t="str" cm="1">
        <f t="array" ref="AQ329">IFERROR(INDEX(Transactions[[Transaction code]:[Transaction name]],_xlfn.XMATCH(INDEX(Transactions[[Transaction name]:[Parent code]],_xlfn.XMATCH(Transactions[[#This Row],[L6N]],Transactions[Transaction name],0),3),Transactions[Transaction code],0),2),Transactions[[#This Row],[L6N]])</f>
        <v>Transformation</v>
      </c>
      <c r="AR329" s="28" t="str">
        <f>IF(Transactions[[#This Row],[L7N]]=Transactions[[#This Row],[L6N]],Transactions[[#This Row],[L7N]],IF(Transactions[[#This Row],[L6N]]=Transactions[[#This Row],[L5N]],Transactions[[#This Row],[L6N]],IF(Transactions[[#This Row],[L5N]]=Transactions[[#This Row],[L4N]],Transactions[[#This Row],[L5N]],IF(Transactions[[#This Row],[L4N]]=Transactions[[#This Row],[L3N]],Transactions[[#This Row],[L4N]],IF(Transactions[[#This Row],[L3N]]=Transactions[[#This Row],[L2N]],Transactions[[#This Row],[L3N]],IF(Transactions[[#This Row],[L2N]]=Transactions[[#This Row],[L1N]],Transactions[[#This Row],[L2N]],IF(Transactions[[#This Row],[L1N]]=Transactions[[#This Row],[Transaction name]],Transactions[[#This Row],[L1N]],Transactions[[#This Row],[Transaction name]])))))))</f>
        <v>Transformation</v>
      </c>
      <c r="AS329" s="24" t="str">
        <f>IF(Transactions[[#This Row],[Level 0]]=Transactions[[#This Row],[Transaction name]],Transactions[[#This Row],[Transaction name]],IF(Transactions[[#This Row],[Level 0]]=Transactions[[#This Row],[L1N]],Transactions[[#This Row],[Transaction name]],IF(Transactions[[#This Row],[Level 0]]=Transactions[[#This Row],[L2N]],Transactions[[#This Row],[L1N]],IF(Transactions[[#This Row],[Level 0]]=Transactions[[#This Row],[L3N]],Transactions[[#This Row],[L2N]],IF(Transactions[[#This Row],[Level 0]]=Transactions[[#This Row],[L4N]],Transactions[[#This Row],[L3N]],IF(Transactions[[#This Row],[Level 0]]=Transactions[[#This Row],[L5N]],Transactions[[#This Row],[L4N]],IF(Transactions[[#This Row],[Level 0]]=Transactions[[#This Row],[L6N]],Transactions[[#This Row],[L5N]],IF(Transactions[[#This Row],[Level 0]]=Transactions[[#This Row],[L7N]],Transactions[[#This Row],[L6N]],Transactions[[#This Row],[L7N]]))))))))</f>
        <v>Electricity, CHP and heat plants (T)</v>
      </c>
      <c r="AT329" s="24" t="str">
        <f>IF(Transactions[[#This Row],[Level 1]]=Transactions[[#This Row],[Transaction name]],Transactions[[#This Row],[Transaction name]],IF(Transactions[[#This Row],[Level 1]]=Transactions[[#This Row],[L1N]],Transactions[[#This Row],[Transaction name]],IF(Transactions[[#This Row],[Level 1]]=Transactions[[#This Row],[L2N]],Transactions[[#This Row],[L1N]],IF(Transactions[[#This Row],[Level 1]]=Transactions[[#This Row],[L3N]],Transactions[[#This Row],[L2N]],IF(Transactions[[#This Row],[Level 1]]=Transactions[[#This Row],[L4N]],Transactions[[#This Row],[L3N]],IF(Transactions[[#This Row],[Level 1]]=Transactions[[#This Row],[L5N]],Transactions[[#This Row],[L4N]],IF(Transactions[[#This Row],[Level 1]]=Transactions[[#This Row],[L6N]],Transactions[[#This Row],[L5N]],IF(Transactions[[#This Row],[Level 1]]=Transactions[[#This Row],[L7N]],Transactions[[#This Row],[L6N]],Transactions[[#This Row],[L7N]]))))))))</f>
        <v>Electricity and heat from solid coal products</v>
      </c>
      <c r="AU329" s="24" t="str">
        <f>IF(Transactions[[#This Row],[Level 2]]=Transactions[[#This Row],[Transaction name]],Transactions[[#This Row],[Transaction name]],IF(Transactions[[#This Row],[Level 2]]=Transactions[[#This Row],[L1N]],Transactions[[#This Row],[Transaction name]],IF(Transactions[[#This Row],[Level 2]]=Transactions[[#This Row],[L2N]],Transactions[[#This Row],[L1N]],IF(Transactions[[#This Row],[Level 2]]=Transactions[[#This Row],[L3N]],Transactions[[#This Row],[L2N]],IF(Transactions[[#This Row],[Level 2]]=Transactions[[#This Row],[L4N]],Transactions[[#This Row],[L3N]],IF(Transactions[[#This Row],[Level 2]]=Transactions[[#This Row],[L5N]],Transactions[[#This Row],[L4N]],IF(Transactions[[#This Row],[Level 2]]=Transactions[[#This Row],[L6N]],Transactions[[#This Row],[L5N]],IF(Transactions[[#This Row],[Level 2]]=Transactions[[#This Row],[L7N]],Transactions[[#This Row],[L6N]],Transactions[[#This Row],[L7N]]))))))))</f>
        <v>Electricity and heat from solid coal products</v>
      </c>
      <c r="AV329" s="24" t="str">
        <f>IF(Transactions[[#This Row],[Level 3]]=Transactions[[#This Row],[Transaction name]],Transactions[[#This Row],[Transaction name]],IF(Transactions[[#This Row],[Level 3]]=Transactions[[#This Row],[L1N]],Transactions[[#This Row],[Transaction name]],IF(Transactions[[#This Row],[Level 3]]=Transactions[[#This Row],[L2N]],Transactions[[#This Row],[L1N]],IF(Transactions[[#This Row],[Level 3]]=Transactions[[#This Row],[L3N]],Transactions[[#This Row],[L2N]],IF(Transactions[[#This Row],[Level 3]]=Transactions[[#This Row],[L4N]],Transactions[[#This Row],[L3N]],IF(Transactions[[#This Row],[Level 3]]=Transactions[[#This Row],[L5N]],Transactions[[#This Row],[L4N]],IF(Transactions[[#This Row],[Level 3]]=Transactions[[#This Row],[L6N]],Transactions[[#This Row],[L5N]],IF(Transactions[[#This Row],[Level 3]]=Transactions[[#This Row],[L7N]],Transactions[[#This Row],[L6N]],Transactions[[#This Row],[L7N]]))))))))</f>
        <v>Electricity and heat from solid coal products</v>
      </c>
      <c r="AW329" s="24" t="str">
        <f>IF(Transactions[[#This Row],[Level 4]]=Transactions[[#This Row],[Transaction name]],Transactions[[#This Row],[Transaction name]],IF(Transactions[[#This Row],[Level 4]]=Transactions[[#This Row],[L1N]],Transactions[[#This Row],[Transaction name]],IF(Transactions[[#This Row],[Level 4]]=Transactions[[#This Row],[L2N]],Transactions[[#This Row],[L1N]],IF(Transactions[[#This Row],[Level 4]]=Transactions[[#This Row],[L3N]],Transactions[[#This Row],[L2N]],IF(Transactions[[#This Row],[Level 4]]=Transactions[[#This Row],[L4N]],Transactions[[#This Row],[L3N]],IF(Transactions[[#This Row],[Level 4]]=Transactions[[#This Row],[L5N]],Transactions[[#This Row],[L4N]],IF(Transactions[[#This Row],[Level 4]]=Transactions[[#This Row],[L6N]],Transactions[[#This Row],[L5N]],IF(Transactions[[#This Row],[Level 4]]=Transactions[[#This Row],[L7N]],Transactions[[#This Row],[L6N]],Transactions[[#This Row],[L7N]]))))))))</f>
        <v>Electricity and heat from solid coal products</v>
      </c>
      <c r="AX329" s="24" t="str">
        <f>IF(Transactions[[#This Row],[Level 5]]=Transactions[[#This Row],[Transaction name]],Transactions[[#This Row],[Transaction name]],IF(Transactions[[#This Row],[Level 5]]=Transactions[[#This Row],[L1N]],Transactions[[#This Row],[Transaction name]],IF(Transactions[[#This Row],[Level 5]]=Transactions[[#This Row],[L2N]],Transactions[[#This Row],[L1N]],IF(Transactions[[#This Row],[Level 5]]=Transactions[[#This Row],[L3N]],Transactions[[#This Row],[L2N]],IF(Transactions[[#This Row],[Level 5]]=Transactions[[#This Row],[L4N]],Transactions[[#This Row],[L3N]],IF(Transactions[[#This Row],[Level 5]]=Transactions[[#This Row],[L5N]],Transactions[[#This Row],[L4N]],IF(Transactions[[#This Row],[Level 5]]=Transactions[[#This Row],[L6N]],Transactions[[#This Row],[L5N]],IF(Transactions[[#This Row],[Level 5]]=Transactions[[#This Row],[L7N]],Transactions[[#This Row],[L6N]],Transactions[[#This Row],[L7N]]))))))))</f>
        <v>Electricity and heat from solid coal products</v>
      </c>
      <c r="AY329" s="24" t="str">
        <f>IF(Transactions[[#This Row],[Level 6]]=Transactions[[#This Row],[Transaction name]],Transactions[[#This Row],[Transaction name]],IF(Transactions[[#This Row],[Level 6]]=Transactions[[#This Row],[L1N]],Transactions[[#This Row],[Transaction name]],IF(Transactions[[#This Row],[Level 6]]=Transactions[[#This Row],[L2N]],Transactions[[#This Row],[L1N]],IF(Transactions[[#This Row],[Level 6]]=Transactions[[#This Row],[L3N]],Transactions[[#This Row],[L2N]],IF(Transactions[[#This Row],[Level 6]]=Transactions[[#This Row],[L4N]],Transactions[[#This Row],[L3N]],IF(Transactions[[#This Row],[Level 6]]=Transactions[[#This Row],[L5N]],Transactions[[#This Row],[L4N]],IF(Transactions[[#This Row],[Level 6]]=Transactions[[#This Row],[L6N]],Transactions[[#This Row],[L5N]],IF(Transactions[[#This Row],[Level 6]]=Transactions[[#This Row],[L7N]],Transactions[[#This Row],[L6N]],Transactions[[#This Row],[L7N]]))))))))</f>
        <v>Electricity and heat from solid coal products</v>
      </c>
      <c r="BE329" s="26" t="str">
        <f>_xlfn.XLOOKUP(Transformation[[#This Row],[cfrom]],Commodities[Commodity],Commodities[Commodity code])</f>
        <v>5160</v>
      </c>
      <c r="BF329" s="26" t="str">
        <f>_xlfn.XLOOKUP(Transformation[[#This Row],[tfrom]],Transactions[Transaction name],Transactions[Transaction code])</f>
        <v>022</v>
      </c>
      <c r="BG329" s="26" t="str">
        <f>_xlfn.XLOOKUP(Transformation[[#This Row],[cto]],Commodities[Commodity],Commodities[Commodity code])</f>
        <v>5160</v>
      </c>
      <c r="BH329" s="26" t="str">
        <f>_xlfn.XLOOKUP(Transformation[[#This Row],[tto]],Transactions[Transaction name],Transactions[Transaction code])</f>
        <v>085CH</v>
      </c>
      <c r="BI329" s="31">
        <v>1</v>
      </c>
      <c r="BJ329" s="22" t="s">
        <v>326</v>
      </c>
      <c r="BK329" s="26" t="str">
        <f>_xlfn.XLOOKUP(Transformation[[#This Row],[Commodity from]],Commodities[Commodity code],Commodities[EnergyCode])</f>
        <v>CH</v>
      </c>
      <c r="BL329" s="22" t="s">
        <v>205</v>
      </c>
      <c r="BM329" s="22" t="s">
        <v>326</v>
      </c>
      <c r="BN329" s="26" t="str">
        <f>_xlfn.XLOOKUP(Transformation[[#This Row],[Commodity to]],Commodities[Commodity code],Commodities[EnergyCode])</f>
        <v>CH</v>
      </c>
      <c r="BO329" s="22" t="s">
        <v>723</v>
      </c>
      <c r="BP329" s="22" t="s">
        <v>1655</v>
      </c>
      <c r="BQ329" s="33" t="str">
        <f>Transformation[[#This Row],[Commodity from]]&amp;Transformation[[#This Row],[Transaction from]]&amp;Transformation[[#This Row],[Commodity to]]&amp;Transformation[[#This Row],[Transaction to]]</f>
        <v>51600225160085CH</v>
      </c>
      <c r="BR329" s="26" t="str">
        <f>Transformation[[#This Row],[crfomid]]&amp;Transformation[[#This Row],[Transaction from]]&amp;"("&amp;Transformation[[#This Row],[Multiplier]]&amp;") -&gt; "&amp;Transformation[[#This Row],[ctoid]]&amp;Transformation[[#This Row],[Transaction to]]</f>
        <v>CH022(1) -&gt; CH085CH</v>
      </c>
    </row>
    <row r="330" spans="25:70" x14ac:dyDescent="0.45">
      <c r="Y330" s="19" t="s">
        <v>1600</v>
      </c>
      <c r="Z330" s="18" t="s">
        <v>923</v>
      </c>
      <c r="AA330" s="18" t="s">
        <v>923</v>
      </c>
      <c r="AB330" s="21" t="s">
        <v>171</v>
      </c>
      <c r="AC330" s="26" t="str">
        <f>IFERROR(VLOOKUP(Transactions[[#This Row],[Parent code]],Transactions[[Transaction code]:[Transaction name]],2,0),"")</f>
        <v>Electricity, CHP and heat plants (T)</v>
      </c>
      <c r="AD330" s="18" t="s">
        <v>189</v>
      </c>
      <c r="AE330" s="18" t="s">
        <v>923</v>
      </c>
      <c r="AF330" s="18" t="s">
        <v>642</v>
      </c>
      <c r="AG330" s="18" t="s">
        <v>1</v>
      </c>
      <c r="AH330" s="18" t="s">
        <v>696</v>
      </c>
      <c r="AI330" s="18" t="s">
        <v>1416</v>
      </c>
      <c r="AJ330" s="18"/>
      <c r="AK330" s="26" t="str" cm="1">
        <f t="array" ref="AK330">IFERROR(INDEX(Transactions[[Transaction code]:[Transaction name]],_xlfn.XMATCH(Transactions[[#This Row],[Parent code]],Transactions[Transaction name],0),3),Transactions[[#This Row],[Transaction name]])</f>
        <v>Electricity plants</v>
      </c>
      <c r="AL330" s="26" t="str" cm="1">
        <f t="array" ref="AL330">IFERROR(INDEX(Transactions[[Transaction code]:[Transaction name]],_xlfn.XMATCH(INDEX(Transactions[[Transaction name]:[Parent code]],_xlfn.XMATCH(Transactions[[#This Row],[L1N]],Transactions[Transaction name],0),3),Transactions[Transaction code],0),2),Transactions[[#This Row],[L1N]])</f>
        <v>Electricity, CHP and heat plants (T)</v>
      </c>
      <c r="AM330" s="26" t="str" cm="1">
        <f t="array" ref="AM330">IFERROR(INDEX(Transactions[[Transaction code]:[Transaction name]],_xlfn.XMATCH(INDEX(Transactions[[Transaction name]:[Parent code]],_xlfn.XMATCH(Transactions[[#This Row],[L2N]],Transactions[Transaction name],0),3),Transactions[Transaction code],0),2),Transactions[[#This Row],[L2N]])</f>
        <v>Transformation</v>
      </c>
      <c r="AN330" s="26" t="str" cm="1">
        <f t="array" ref="AN330">IFERROR(INDEX(Transactions[[Transaction code]:[Transaction name]],_xlfn.XMATCH(INDEX(Transactions[[Transaction name]:[Parent code]],_xlfn.XMATCH(Transactions[[#This Row],[L3N]],Transactions[Transaction name],0),3),Transactions[Transaction code],0),2),Transactions[[#This Row],[L3N]])</f>
        <v>Transformation</v>
      </c>
      <c r="AO330" s="26" t="str" cm="1">
        <f t="array" ref="AO330">IFERROR(INDEX(Transactions[[Transaction code]:[Transaction name]],_xlfn.XMATCH(INDEX(Transactions[[Transaction name]:[Parent code]],_xlfn.XMATCH(Transactions[[#This Row],[L4N]],Transactions[Transaction name],0),3),Transactions[Transaction code],0),2),Transactions[[#This Row],[L4N]])</f>
        <v>Transformation</v>
      </c>
      <c r="AP330" s="26" t="str" cm="1">
        <f t="array" ref="AP330">IFERROR(INDEX(Transactions[[Transaction code]:[Transaction name]],_xlfn.XMATCH(INDEX(Transactions[[Transaction name]:[Parent code]],_xlfn.XMATCH(Transactions[[#This Row],[L5N]],Transactions[Transaction name],0),3),Transactions[Transaction code],0),2),Transactions[[#This Row],[L5N]])</f>
        <v>Transformation</v>
      </c>
      <c r="AQ330" s="26" t="str" cm="1">
        <f t="array" ref="AQ330">IFERROR(INDEX(Transactions[[Transaction code]:[Transaction name]],_xlfn.XMATCH(INDEX(Transactions[[Transaction name]:[Parent code]],_xlfn.XMATCH(Transactions[[#This Row],[L6N]],Transactions[Transaction name],0),3),Transactions[Transaction code],0),2),Transactions[[#This Row],[L6N]])</f>
        <v>Transformation</v>
      </c>
      <c r="AR330" s="30" t="str">
        <f>IF(Transactions[[#This Row],[L7N]]=Transactions[[#This Row],[L6N]],Transactions[[#This Row],[L7N]],IF(Transactions[[#This Row],[L6N]]=Transactions[[#This Row],[L5N]],Transactions[[#This Row],[L6N]],IF(Transactions[[#This Row],[L5N]]=Transactions[[#This Row],[L4N]],Transactions[[#This Row],[L5N]],IF(Transactions[[#This Row],[L4N]]=Transactions[[#This Row],[L3N]],Transactions[[#This Row],[L4N]],IF(Transactions[[#This Row],[L3N]]=Transactions[[#This Row],[L2N]],Transactions[[#This Row],[L3N]],IF(Transactions[[#This Row],[L2N]]=Transactions[[#This Row],[L1N]],Transactions[[#This Row],[L2N]],IF(Transactions[[#This Row],[L1N]]=Transactions[[#This Row],[Transaction name]],Transactions[[#This Row],[L1N]],Transactions[[#This Row],[Transaction name]])))))))</f>
        <v>Transformation</v>
      </c>
      <c r="AS330" s="26" t="str">
        <f>IF(Transactions[[#This Row],[Level 0]]=Transactions[[#This Row],[Transaction name]],Transactions[[#This Row],[Transaction name]],IF(Transactions[[#This Row],[Level 0]]=Transactions[[#This Row],[L1N]],Transactions[[#This Row],[Transaction name]],IF(Transactions[[#This Row],[Level 0]]=Transactions[[#This Row],[L2N]],Transactions[[#This Row],[L1N]],IF(Transactions[[#This Row],[Level 0]]=Transactions[[#This Row],[L3N]],Transactions[[#This Row],[L2N]],IF(Transactions[[#This Row],[Level 0]]=Transactions[[#This Row],[L4N]],Transactions[[#This Row],[L3N]],IF(Transactions[[#This Row],[Level 0]]=Transactions[[#This Row],[L5N]],Transactions[[#This Row],[L4N]],IF(Transactions[[#This Row],[Level 0]]=Transactions[[#This Row],[L6N]],Transactions[[#This Row],[L5N]],IF(Transactions[[#This Row],[Level 0]]=Transactions[[#This Row],[L7N]],Transactions[[#This Row],[L6N]],Transactions[[#This Row],[L7N]]))))))))</f>
        <v>Electricity, CHP and heat plants (T)</v>
      </c>
      <c r="AT330" s="26" t="str">
        <f>IF(Transactions[[#This Row],[Level 1]]=Transactions[[#This Row],[Transaction name]],Transactions[[#This Row],[Transaction name]],IF(Transactions[[#This Row],[Level 1]]=Transactions[[#This Row],[L1N]],Transactions[[#This Row],[Transaction name]],IF(Transactions[[#This Row],[Level 1]]=Transactions[[#This Row],[L2N]],Transactions[[#This Row],[L1N]],IF(Transactions[[#This Row],[Level 1]]=Transactions[[#This Row],[L3N]],Transactions[[#This Row],[L2N]],IF(Transactions[[#This Row],[Level 1]]=Transactions[[#This Row],[L4N]],Transactions[[#This Row],[L3N]],IF(Transactions[[#This Row],[Level 1]]=Transactions[[#This Row],[L5N]],Transactions[[#This Row],[L4N]],IF(Transactions[[#This Row],[Level 1]]=Transactions[[#This Row],[L6N]],Transactions[[#This Row],[L5N]],IF(Transactions[[#This Row],[Level 1]]=Transactions[[#This Row],[L7N]],Transactions[[#This Row],[L6N]],Transactions[[#This Row],[L7N]]))))))))</f>
        <v>Electricity plants</v>
      </c>
      <c r="AU330" s="26" t="str">
        <f>IF(Transactions[[#This Row],[Level 2]]=Transactions[[#This Row],[Transaction name]],Transactions[[#This Row],[Transaction name]],IF(Transactions[[#This Row],[Level 2]]=Transactions[[#This Row],[L1N]],Transactions[[#This Row],[Transaction name]],IF(Transactions[[#This Row],[Level 2]]=Transactions[[#This Row],[L2N]],Transactions[[#This Row],[L1N]],IF(Transactions[[#This Row],[Level 2]]=Transactions[[#This Row],[L3N]],Transactions[[#This Row],[L2N]],IF(Transactions[[#This Row],[Level 2]]=Transactions[[#This Row],[L4N]],Transactions[[#This Row],[L3N]],IF(Transactions[[#This Row],[Level 2]]=Transactions[[#This Row],[L5N]],Transactions[[#This Row],[L4N]],IF(Transactions[[#This Row],[Level 2]]=Transactions[[#This Row],[L6N]],Transactions[[#This Row],[L5N]],IF(Transactions[[#This Row],[Level 2]]=Transactions[[#This Row],[L7N]],Transactions[[#This Row],[L6N]],Transactions[[#This Row],[L7N]]))))))))</f>
        <v>Electricity plants</v>
      </c>
      <c r="AV330" s="26" t="str">
        <f>IF(Transactions[[#This Row],[Level 3]]=Transactions[[#This Row],[Transaction name]],Transactions[[#This Row],[Transaction name]],IF(Transactions[[#This Row],[Level 3]]=Transactions[[#This Row],[L1N]],Transactions[[#This Row],[Transaction name]],IF(Transactions[[#This Row],[Level 3]]=Transactions[[#This Row],[L2N]],Transactions[[#This Row],[L1N]],IF(Transactions[[#This Row],[Level 3]]=Transactions[[#This Row],[L3N]],Transactions[[#This Row],[L2N]],IF(Transactions[[#This Row],[Level 3]]=Transactions[[#This Row],[L4N]],Transactions[[#This Row],[L3N]],IF(Transactions[[#This Row],[Level 3]]=Transactions[[#This Row],[L5N]],Transactions[[#This Row],[L4N]],IF(Transactions[[#This Row],[Level 3]]=Transactions[[#This Row],[L6N]],Transactions[[#This Row],[L5N]],IF(Transactions[[#This Row],[Level 3]]=Transactions[[#This Row],[L7N]],Transactions[[#This Row],[L6N]],Transactions[[#This Row],[L7N]]))))))))</f>
        <v>Electricity plants</v>
      </c>
      <c r="AW330" s="26" t="str">
        <f>IF(Transactions[[#This Row],[Level 4]]=Transactions[[#This Row],[Transaction name]],Transactions[[#This Row],[Transaction name]],IF(Transactions[[#This Row],[Level 4]]=Transactions[[#This Row],[L1N]],Transactions[[#This Row],[Transaction name]],IF(Transactions[[#This Row],[Level 4]]=Transactions[[#This Row],[L2N]],Transactions[[#This Row],[L1N]],IF(Transactions[[#This Row],[Level 4]]=Transactions[[#This Row],[L3N]],Transactions[[#This Row],[L2N]],IF(Transactions[[#This Row],[Level 4]]=Transactions[[#This Row],[L4N]],Transactions[[#This Row],[L3N]],IF(Transactions[[#This Row],[Level 4]]=Transactions[[#This Row],[L5N]],Transactions[[#This Row],[L4N]],IF(Transactions[[#This Row],[Level 4]]=Transactions[[#This Row],[L6N]],Transactions[[#This Row],[L5N]],IF(Transactions[[#This Row],[Level 4]]=Transactions[[#This Row],[L7N]],Transactions[[#This Row],[L6N]],Transactions[[#This Row],[L7N]]))))))))</f>
        <v>Electricity plants</v>
      </c>
      <c r="AX330" s="26" t="str">
        <f>IF(Transactions[[#This Row],[Level 5]]=Transactions[[#This Row],[Transaction name]],Transactions[[#This Row],[Transaction name]],IF(Transactions[[#This Row],[Level 5]]=Transactions[[#This Row],[L1N]],Transactions[[#This Row],[Transaction name]],IF(Transactions[[#This Row],[Level 5]]=Transactions[[#This Row],[L2N]],Transactions[[#This Row],[L1N]],IF(Transactions[[#This Row],[Level 5]]=Transactions[[#This Row],[L3N]],Transactions[[#This Row],[L2N]],IF(Transactions[[#This Row],[Level 5]]=Transactions[[#This Row],[L4N]],Transactions[[#This Row],[L3N]],IF(Transactions[[#This Row],[Level 5]]=Transactions[[#This Row],[L5N]],Transactions[[#This Row],[L4N]],IF(Transactions[[#This Row],[Level 5]]=Transactions[[#This Row],[L6N]],Transactions[[#This Row],[L5N]],IF(Transactions[[#This Row],[Level 5]]=Transactions[[#This Row],[L7N]],Transactions[[#This Row],[L6N]],Transactions[[#This Row],[L7N]]))))))))</f>
        <v>Electricity plants</v>
      </c>
      <c r="AY330" s="26" t="str">
        <f>IF(Transactions[[#This Row],[Level 6]]=Transactions[[#This Row],[Transaction name]],Transactions[[#This Row],[Transaction name]],IF(Transactions[[#This Row],[Level 6]]=Transactions[[#This Row],[L1N]],Transactions[[#This Row],[Transaction name]],IF(Transactions[[#This Row],[Level 6]]=Transactions[[#This Row],[L2N]],Transactions[[#This Row],[L1N]],IF(Transactions[[#This Row],[Level 6]]=Transactions[[#This Row],[L3N]],Transactions[[#This Row],[L2N]],IF(Transactions[[#This Row],[Level 6]]=Transactions[[#This Row],[L4N]],Transactions[[#This Row],[L3N]],IF(Transactions[[#This Row],[Level 6]]=Transactions[[#This Row],[L5N]],Transactions[[#This Row],[L4N]],IF(Transactions[[#This Row],[Level 6]]=Transactions[[#This Row],[L6N]],Transactions[[#This Row],[L5N]],IF(Transactions[[#This Row],[Level 6]]=Transactions[[#This Row],[L7N]],Transactions[[#This Row],[L6N]],Transactions[[#This Row],[L7N]]))))))))</f>
        <v>Electricity plants</v>
      </c>
      <c r="BE330" s="26" t="str">
        <f>_xlfn.XLOOKUP(Transformation[[#This Row],[cfrom]],Commodities[Commodity],Commodities[Commodity code])</f>
        <v>5160</v>
      </c>
      <c r="BF330" s="26" t="str">
        <f>_xlfn.XLOOKUP(Transformation[[#This Row],[tfrom]],Transactions[Transaction name],Transactions[Transaction code])</f>
        <v>022</v>
      </c>
      <c r="BG330" s="26" t="str">
        <f>_xlfn.XLOOKUP(Transformation[[#This Row],[cto]],Commodities[Commodity],Commodities[Commodity code])</f>
        <v>5160</v>
      </c>
      <c r="BH330" s="26" t="str">
        <f>_xlfn.XLOOKUP(Transformation[[#This Row],[tto]],Transactions[Transaction name],Transactions[Transaction code])</f>
        <v>022</v>
      </c>
      <c r="BI330" s="31">
        <v>-1</v>
      </c>
      <c r="BJ330" s="22" t="s">
        <v>326</v>
      </c>
      <c r="BK330" s="26" t="str">
        <f>_xlfn.XLOOKUP(Transformation[[#This Row],[Commodity from]],Commodities[Commodity code],Commodities[EnergyCode])</f>
        <v>CH</v>
      </c>
      <c r="BL330" s="22" t="s">
        <v>205</v>
      </c>
      <c r="BM330" s="22" t="s">
        <v>326</v>
      </c>
      <c r="BN330" s="26" t="str">
        <f>_xlfn.XLOOKUP(Transformation[[#This Row],[Commodity to]],Commodities[Commodity code],Commodities[EnergyCode])</f>
        <v>CH</v>
      </c>
      <c r="BO330" s="22" t="s">
        <v>205</v>
      </c>
      <c r="BP330" s="22" t="s">
        <v>1639</v>
      </c>
      <c r="BQ330" s="33" t="str">
        <f>Transformation[[#This Row],[Commodity from]]&amp;Transformation[[#This Row],[Transaction from]]&amp;Transformation[[#This Row],[Commodity to]]&amp;Transformation[[#This Row],[Transaction to]]</f>
        <v>51600225160022</v>
      </c>
      <c r="BR330" s="26" t="str">
        <f>Transformation[[#This Row],[crfomid]]&amp;Transformation[[#This Row],[Transaction from]]&amp;"("&amp;Transformation[[#This Row],[Multiplier]]&amp;") -&gt; "&amp;Transformation[[#This Row],[ctoid]]&amp;Transformation[[#This Row],[Transaction to]]</f>
        <v>CH022(-1) -&gt; CH022</v>
      </c>
    </row>
    <row r="331" spans="25:70" x14ac:dyDescent="0.45">
      <c r="Y331" s="5" t="s">
        <v>176</v>
      </c>
      <c r="Z331" s="4" t="s">
        <v>690</v>
      </c>
      <c r="AA331" s="4" t="s">
        <v>690</v>
      </c>
      <c r="AB331" s="21" t="s">
        <v>1600</v>
      </c>
      <c r="AC331" s="24" t="str">
        <f>IFERROR(VLOOKUP(Transactions[[#This Row],[Parent code]],Transactions[[Transaction code]:[Transaction name]],2,0),"")</f>
        <v>Electricity plants</v>
      </c>
      <c r="AD331" s="4" t="s">
        <v>189</v>
      </c>
      <c r="AE331" s="4" t="s">
        <v>923</v>
      </c>
      <c r="AF331" s="4" t="s">
        <v>642</v>
      </c>
      <c r="AG331" s="4" t="s">
        <v>1</v>
      </c>
      <c r="AH331" s="4" t="s">
        <v>695</v>
      </c>
      <c r="AJ331" s="4" t="s">
        <v>0</v>
      </c>
      <c r="AK331" s="24" t="str" cm="1">
        <f t="array" ref="AK331">IFERROR(INDEX(Transactions[[Transaction code]:[Transaction name]],_xlfn.XMATCH(Transactions[[#This Row],[Parent code]],Transactions[Transaction name],0),3),Transactions[[#This Row],[Transaction name]])</f>
        <v>Electricity plants - Autoproducers</v>
      </c>
      <c r="AL331" s="24" t="str" cm="1">
        <f t="array" ref="AL331">IFERROR(INDEX(Transactions[[Transaction code]:[Transaction name]],_xlfn.XMATCH(INDEX(Transactions[[Transaction name]:[Parent code]],_xlfn.XMATCH(Transactions[[#This Row],[L1N]],Transactions[Transaction name],0),3),Transactions[Transaction code],0),2),Transactions[[#This Row],[L1N]])</f>
        <v>Electricity plants</v>
      </c>
      <c r="AM331" s="24" t="str" cm="1">
        <f t="array" ref="AM331">IFERROR(INDEX(Transactions[[Transaction code]:[Transaction name]],_xlfn.XMATCH(INDEX(Transactions[[Transaction name]:[Parent code]],_xlfn.XMATCH(Transactions[[#This Row],[L2N]],Transactions[Transaction name],0),3),Transactions[Transaction code],0),2),Transactions[[#This Row],[L2N]])</f>
        <v>Electricity, CHP and heat plants (T)</v>
      </c>
      <c r="AN331" s="24" t="str" cm="1">
        <f t="array" ref="AN331">IFERROR(INDEX(Transactions[[Transaction code]:[Transaction name]],_xlfn.XMATCH(INDEX(Transactions[[Transaction name]:[Parent code]],_xlfn.XMATCH(Transactions[[#This Row],[L3N]],Transactions[Transaction name],0),3),Transactions[Transaction code],0),2),Transactions[[#This Row],[L3N]])</f>
        <v>Transformation</v>
      </c>
      <c r="AO331" s="24" t="str" cm="1">
        <f t="array" ref="AO331">IFERROR(INDEX(Transactions[[Transaction code]:[Transaction name]],_xlfn.XMATCH(INDEX(Transactions[[Transaction name]:[Parent code]],_xlfn.XMATCH(Transactions[[#This Row],[L4N]],Transactions[Transaction name],0),3),Transactions[Transaction code],0),2),Transactions[[#This Row],[L4N]])</f>
        <v>Transformation</v>
      </c>
      <c r="AP331" s="24" t="str" cm="1">
        <f t="array" ref="AP331">IFERROR(INDEX(Transactions[[Transaction code]:[Transaction name]],_xlfn.XMATCH(INDEX(Transactions[[Transaction name]:[Parent code]],_xlfn.XMATCH(Transactions[[#This Row],[L5N]],Transactions[Transaction name],0),3),Transactions[Transaction code],0),2),Transactions[[#This Row],[L5N]])</f>
        <v>Transformation</v>
      </c>
      <c r="AQ331" s="24" t="str" cm="1">
        <f t="array" ref="AQ331">IFERROR(INDEX(Transactions[[Transaction code]:[Transaction name]],_xlfn.XMATCH(INDEX(Transactions[[Transaction name]:[Parent code]],_xlfn.XMATCH(Transactions[[#This Row],[L6N]],Transactions[Transaction name],0),3),Transactions[Transaction code],0),2),Transactions[[#This Row],[L6N]])</f>
        <v>Transformation</v>
      </c>
      <c r="AR331" s="27" t="str">
        <f>IF(Transactions[[#This Row],[L7N]]=Transactions[[#This Row],[L6N]],Transactions[[#This Row],[L7N]],IF(Transactions[[#This Row],[L6N]]=Transactions[[#This Row],[L5N]],Transactions[[#This Row],[L6N]],IF(Transactions[[#This Row],[L5N]]=Transactions[[#This Row],[L4N]],Transactions[[#This Row],[L5N]],IF(Transactions[[#This Row],[L4N]]=Transactions[[#This Row],[L3N]],Transactions[[#This Row],[L4N]],IF(Transactions[[#This Row],[L3N]]=Transactions[[#This Row],[L2N]],Transactions[[#This Row],[L3N]],IF(Transactions[[#This Row],[L2N]]=Transactions[[#This Row],[L1N]],Transactions[[#This Row],[L2N]],IF(Transactions[[#This Row],[L1N]]=Transactions[[#This Row],[Transaction name]],Transactions[[#This Row],[L1N]],Transactions[[#This Row],[Transaction name]])))))))</f>
        <v>Transformation</v>
      </c>
      <c r="AS331" s="24" t="str">
        <f>IF(Transactions[[#This Row],[Level 0]]=Transactions[[#This Row],[Transaction name]],Transactions[[#This Row],[Transaction name]],IF(Transactions[[#This Row],[Level 0]]=Transactions[[#This Row],[L1N]],Transactions[[#This Row],[Transaction name]],IF(Transactions[[#This Row],[Level 0]]=Transactions[[#This Row],[L2N]],Transactions[[#This Row],[L1N]],IF(Transactions[[#This Row],[Level 0]]=Transactions[[#This Row],[L3N]],Transactions[[#This Row],[L2N]],IF(Transactions[[#This Row],[Level 0]]=Transactions[[#This Row],[L4N]],Transactions[[#This Row],[L3N]],IF(Transactions[[#This Row],[Level 0]]=Transactions[[#This Row],[L5N]],Transactions[[#This Row],[L4N]],IF(Transactions[[#This Row],[Level 0]]=Transactions[[#This Row],[L6N]],Transactions[[#This Row],[L5N]],IF(Transactions[[#This Row],[Level 0]]=Transactions[[#This Row],[L7N]],Transactions[[#This Row],[L6N]],Transactions[[#This Row],[L7N]]))))))))</f>
        <v>Electricity, CHP and heat plants (T)</v>
      </c>
      <c r="AT331" s="24" t="str">
        <f>IF(Transactions[[#This Row],[Level 1]]=Transactions[[#This Row],[Transaction name]],Transactions[[#This Row],[Transaction name]],IF(Transactions[[#This Row],[Level 1]]=Transactions[[#This Row],[L1N]],Transactions[[#This Row],[Transaction name]],IF(Transactions[[#This Row],[Level 1]]=Transactions[[#This Row],[L2N]],Transactions[[#This Row],[L1N]],IF(Transactions[[#This Row],[Level 1]]=Transactions[[#This Row],[L3N]],Transactions[[#This Row],[L2N]],IF(Transactions[[#This Row],[Level 1]]=Transactions[[#This Row],[L4N]],Transactions[[#This Row],[L3N]],IF(Transactions[[#This Row],[Level 1]]=Transactions[[#This Row],[L5N]],Transactions[[#This Row],[L4N]],IF(Transactions[[#This Row],[Level 1]]=Transactions[[#This Row],[L6N]],Transactions[[#This Row],[L5N]],IF(Transactions[[#This Row],[Level 1]]=Transactions[[#This Row],[L7N]],Transactions[[#This Row],[L6N]],Transactions[[#This Row],[L7N]]))))))))</f>
        <v>Electricity plants</v>
      </c>
      <c r="AU331" s="24" t="str">
        <f>IF(Transactions[[#This Row],[Level 2]]=Transactions[[#This Row],[Transaction name]],Transactions[[#This Row],[Transaction name]],IF(Transactions[[#This Row],[Level 2]]=Transactions[[#This Row],[L1N]],Transactions[[#This Row],[Transaction name]],IF(Transactions[[#This Row],[Level 2]]=Transactions[[#This Row],[L2N]],Transactions[[#This Row],[L1N]],IF(Transactions[[#This Row],[Level 2]]=Transactions[[#This Row],[L3N]],Transactions[[#This Row],[L2N]],IF(Transactions[[#This Row],[Level 2]]=Transactions[[#This Row],[L4N]],Transactions[[#This Row],[L3N]],IF(Transactions[[#This Row],[Level 2]]=Transactions[[#This Row],[L5N]],Transactions[[#This Row],[L4N]],IF(Transactions[[#This Row],[Level 2]]=Transactions[[#This Row],[L6N]],Transactions[[#This Row],[L5N]],IF(Transactions[[#This Row],[Level 2]]=Transactions[[#This Row],[L7N]],Transactions[[#This Row],[L6N]],Transactions[[#This Row],[L7N]]))))))))</f>
        <v>Electricity plants - Autoproducers</v>
      </c>
      <c r="AV331" s="24" t="str">
        <f>IF(Transactions[[#This Row],[Level 3]]=Transactions[[#This Row],[Transaction name]],Transactions[[#This Row],[Transaction name]],IF(Transactions[[#This Row],[Level 3]]=Transactions[[#This Row],[L1N]],Transactions[[#This Row],[Transaction name]],IF(Transactions[[#This Row],[Level 3]]=Transactions[[#This Row],[L2N]],Transactions[[#This Row],[L1N]],IF(Transactions[[#This Row],[Level 3]]=Transactions[[#This Row],[L3N]],Transactions[[#This Row],[L2N]],IF(Transactions[[#This Row],[Level 3]]=Transactions[[#This Row],[L4N]],Transactions[[#This Row],[L3N]],IF(Transactions[[#This Row],[Level 3]]=Transactions[[#This Row],[L5N]],Transactions[[#This Row],[L4N]],IF(Transactions[[#This Row],[Level 3]]=Transactions[[#This Row],[L6N]],Transactions[[#This Row],[L5N]],IF(Transactions[[#This Row],[Level 3]]=Transactions[[#This Row],[L7N]],Transactions[[#This Row],[L6N]],Transactions[[#This Row],[L7N]]))))))))</f>
        <v>Electricity plants - Autoproducers</v>
      </c>
      <c r="AW331" s="24" t="str">
        <f>IF(Transactions[[#This Row],[Level 4]]=Transactions[[#This Row],[Transaction name]],Transactions[[#This Row],[Transaction name]],IF(Transactions[[#This Row],[Level 4]]=Transactions[[#This Row],[L1N]],Transactions[[#This Row],[Transaction name]],IF(Transactions[[#This Row],[Level 4]]=Transactions[[#This Row],[L2N]],Transactions[[#This Row],[L1N]],IF(Transactions[[#This Row],[Level 4]]=Transactions[[#This Row],[L3N]],Transactions[[#This Row],[L2N]],IF(Transactions[[#This Row],[Level 4]]=Transactions[[#This Row],[L4N]],Transactions[[#This Row],[L3N]],IF(Transactions[[#This Row],[Level 4]]=Transactions[[#This Row],[L5N]],Transactions[[#This Row],[L4N]],IF(Transactions[[#This Row],[Level 4]]=Transactions[[#This Row],[L6N]],Transactions[[#This Row],[L5N]],IF(Transactions[[#This Row],[Level 4]]=Transactions[[#This Row],[L7N]],Transactions[[#This Row],[L6N]],Transactions[[#This Row],[L7N]]))))))))</f>
        <v>Electricity plants - Autoproducers</v>
      </c>
      <c r="AX331" s="24" t="str">
        <f>IF(Transactions[[#This Row],[Level 5]]=Transactions[[#This Row],[Transaction name]],Transactions[[#This Row],[Transaction name]],IF(Transactions[[#This Row],[Level 5]]=Transactions[[#This Row],[L1N]],Transactions[[#This Row],[Transaction name]],IF(Transactions[[#This Row],[Level 5]]=Transactions[[#This Row],[L2N]],Transactions[[#This Row],[L1N]],IF(Transactions[[#This Row],[Level 5]]=Transactions[[#This Row],[L3N]],Transactions[[#This Row],[L2N]],IF(Transactions[[#This Row],[Level 5]]=Transactions[[#This Row],[L4N]],Transactions[[#This Row],[L3N]],IF(Transactions[[#This Row],[Level 5]]=Transactions[[#This Row],[L5N]],Transactions[[#This Row],[L4N]],IF(Transactions[[#This Row],[Level 5]]=Transactions[[#This Row],[L6N]],Transactions[[#This Row],[L5N]],IF(Transactions[[#This Row],[Level 5]]=Transactions[[#This Row],[L7N]],Transactions[[#This Row],[L6N]],Transactions[[#This Row],[L7N]]))))))))</f>
        <v>Electricity plants - Autoproducers</v>
      </c>
      <c r="AY331" s="24" t="str">
        <f>IF(Transactions[[#This Row],[Level 6]]=Transactions[[#This Row],[Transaction name]],Transactions[[#This Row],[Transaction name]],IF(Transactions[[#This Row],[Level 6]]=Transactions[[#This Row],[L1N]],Transactions[[#This Row],[Transaction name]],IF(Transactions[[#This Row],[Level 6]]=Transactions[[#This Row],[L2N]],Transactions[[#This Row],[L1N]],IF(Transactions[[#This Row],[Level 6]]=Transactions[[#This Row],[L3N]],Transactions[[#This Row],[L2N]],IF(Transactions[[#This Row],[Level 6]]=Transactions[[#This Row],[L4N]],Transactions[[#This Row],[L3N]],IF(Transactions[[#This Row],[Level 6]]=Transactions[[#This Row],[L5N]],Transactions[[#This Row],[L4N]],IF(Transactions[[#This Row],[Level 6]]=Transactions[[#This Row],[L6N]],Transactions[[#This Row],[L5N]],IF(Transactions[[#This Row],[Level 6]]=Transactions[[#This Row],[L7N]],Transactions[[#This Row],[L6N]],Transactions[[#This Row],[L7N]]))))))))</f>
        <v>Electricity plants - Autoproducers</v>
      </c>
      <c r="BE331" s="26" t="str">
        <f>_xlfn.XLOOKUP(Transformation[[#This Row],[cfrom]],Commodities[Commodity],Commodities[Commodity code])</f>
        <v>0390</v>
      </c>
      <c r="BF331" s="26" t="str">
        <f>_xlfn.XLOOKUP(Transformation[[#This Row],[tfrom]],Transactions[Transaction name],Transactions[Transaction code])</f>
        <v>01</v>
      </c>
      <c r="BG331" s="26" t="str">
        <f>_xlfn.XLOOKUP(Transformation[[#This Row],[cto]],Commodities[Commodity],Commodities[Commodity code])</f>
        <v>0390</v>
      </c>
      <c r="BH331" s="26" t="str">
        <f>_xlfn.XLOOKUP(Transformation[[#This Row],[tto]],Transactions[Transaction name],Transactions[Transaction code])</f>
        <v>01</v>
      </c>
      <c r="BI331" s="32">
        <v>-1</v>
      </c>
      <c r="BJ331" s="22" t="s">
        <v>467</v>
      </c>
      <c r="BK331" s="26" t="str">
        <f>_xlfn.XLOOKUP(Transformation[[#This Row],[Commodity from]],Commodities[Commodity code],Commodities[EnergyCode])</f>
        <v>CP</v>
      </c>
      <c r="BL331" s="22" t="s">
        <v>383</v>
      </c>
      <c r="BM331" s="22" t="s">
        <v>467</v>
      </c>
      <c r="BN331" s="26" t="str">
        <f>_xlfn.XLOOKUP(Transformation[[#This Row],[Commodity to]],Commodities[Commodity code],Commodities[EnergyCode])</f>
        <v>CP</v>
      </c>
      <c r="BO331" s="22" t="s">
        <v>383</v>
      </c>
      <c r="BP331" s="22" t="s">
        <v>1633</v>
      </c>
      <c r="BQ331" s="33" t="str">
        <f>Transformation[[#This Row],[Commodity from]]&amp;Transformation[[#This Row],[Transaction from]]&amp;Transformation[[#This Row],[Commodity to]]&amp;Transformation[[#This Row],[Transaction to]]</f>
        <v>039001039001</v>
      </c>
      <c r="BR331" s="26" t="str">
        <f>Transformation[[#This Row],[crfomid]]&amp;Transformation[[#This Row],[Transaction from]]&amp;"("&amp;Transformation[[#This Row],[Multiplier]]&amp;") -&gt; "&amp;Transformation[[#This Row],[ctoid]]&amp;Transformation[[#This Row],[Transaction to]]</f>
        <v>CP01(-1) -&gt; CP01</v>
      </c>
    </row>
    <row r="332" spans="25:70" x14ac:dyDescent="0.45">
      <c r="Y332" s="5" t="s">
        <v>1087</v>
      </c>
      <c r="Z332" s="7" t="s">
        <v>1063</v>
      </c>
      <c r="AA332" s="4" t="s">
        <v>1348</v>
      </c>
      <c r="AB332" s="19" t="s">
        <v>1578</v>
      </c>
      <c r="AC332" s="24" t="str">
        <f>IFERROR(VLOOKUP(Transactions[[#This Row],[Parent code]],Transactions[[Transaction code]:[Transaction name]],2,0),"")</f>
        <v>Electricity plants - bagasse</v>
      </c>
      <c r="AD332" s="4" t="s">
        <v>189</v>
      </c>
      <c r="AE332" s="4" t="s">
        <v>923</v>
      </c>
      <c r="AF332" s="4" t="s">
        <v>642</v>
      </c>
      <c r="AG332" s="4" t="s">
        <v>1</v>
      </c>
      <c r="AH332" s="4" t="s">
        <v>696</v>
      </c>
      <c r="AI332" s="12" t="s">
        <v>1416</v>
      </c>
      <c r="AK332" s="24" t="str" cm="1">
        <f t="array" ref="AK332">IFERROR(INDEX(Transactions[[Transaction code]:[Transaction name]],_xlfn.XMATCH(Transactions[[#This Row],[Parent code]],Transactions[Transaction name],0),3),Transactions[[#This Row],[Transaction name]])</f>
        <v>Electricity plants - Autoproducer - bagasse</v>
      </c>
      <c r="AL332" s="24" t="str" cm="1">
        <f t="array" ref="AL332">IFERROR(INDEX(Transactions[[Transaction code]:[Transaction name]],_xlfn.XMATCH(INDEX(Transactions[[Transaction name]:[Parent code]],_xlfn.XMATCH(Transactions[[#This Row],[L1N]],Transactions[Transaction name],0),3),Transactions[Transaction code],0),2),Transactions[[#This Row],[L1N]])</f>
        <v>Electricity plants - bagasse</v>
      </c>
      <c r="AM332" s="24" t="str" cm="1">
        <f t="array" ref="AM332">IFERROR(INDEX(Transactions[[Transaction code]:[Transaction name]],_xlfn.XMATCH(INDEX(Transactions[[Transaction name]:[Parent code]],_xlfn.XMATCH(Transactions[[#This Row],[L2N]],Transactions[Transaction name],0),3),Transactions[Transaction code],0),2),Transactions[[#This Row],[L2N]])</f>
        <v>Electricity plants</v>
      </c>
      <c r="AN332" s="24" t="str" cm="1">
        <f t="array" ref="AN332">IFERROR(INDEX(Transactions[[Transaction code]:[Transaction name]],_xlfn.XMATCH(INDEX(Transactions[[Transaction name]:[Parent code]],_xlfn.XMATCH(Transactions[[#This Row],[L3N]],Transactions[Transaction name],0),3),Transactions[Transaction code],0),2),Transactions[[#This Row],[L3N]])</f>
        <v>Electricity, CHP and heat plants (T)</v>
      </c>
      <c r="AO332" s="24" t="str" cm="1">
        <f t="array" ref="AO332">IFERROR(INDEX(Transactions[[Transaction code]:[Transaction name]],_xlfn.XMATCH(INDEX(Transactions[[Transaction name]:[Parent code]],_xlfn.XMATCH(Transactions[[#This Row],[L4N]],Transactions[Transaction name],0),3),Transactions[Transaction code],0),2),Transactions[[#This Row],[L4N]])</f>
        <v>Transformation</v>
      </c>
      <c r="AP332" s="24" t="str" cm="1">
        <f t="array" ref="AP332">IFERROR(INDEX(Transactions[[Transaction code]:[Transaction name]],_xlfn.XMATCH(INDEX(Transactions[[Transaction name]:[Parent code]],_xlfn.XMATCH(Transactions[[#This Row],[L5N]],Transactions[Transaction name],0),3),Transactions[Transaction code],0),2),Transactions[[#This Row],[L5N]])</f>
        <v>Transformation</v>
      </c>
      <c r="AQ332" s="24" t="str" cm="1">
        <f t="array" ref="AQ332">IFERROR(INDEX(Transactions[[Transaction code]:[Transaction name]],_xlfn.XMATCH(INDEX(Transactions[[Transaction name]:[Parent code]],_xlfn.XMATCH(Transactions[[#This Row],[L6N]],Transactions[Transaction name],0),3),Transactions[Transaction code],0),2),Transactions[[#This Row],[L6N]])</f>
        <v>Transformation</v>
      </c>
      <c r="AR332" s="27" t="str">
        <f>IF(Transactions[[#This Row],[L7N]]=Transactions[[#This Row],[L6N]],Transactions[[#This Row],[L7N]],IF(Transactions[[#This Row],[L6N]]=Transactions[[#This Row],[L5N]],Transactions[[#This Row],[L6N]],IF(Transactions[[#This Row],[L5N]]=Transactions[[#This Row],[L4N]],Transactions[[#This Row],[L5N]],IF(Transactions[[#This Row],[L4N]]=Transactions[[#This Row],[L3N]],Transactions[[#This Row],[L4N]],IF(Transactions[[#This Row],[L3N]]=Transactions[[#This Row],[L2N]],Transactions[[#This Row],[L3N]],IF(Transactions[[#This Row],[L2N]]=Transactions[[#This Row],[L1N]],Transactions[[#This Row],[L2N]],IF(Transactions[[#This Row],[L1N]]=Transactions[[#This Row],[Transaction name]],Transactions[[#This Row],[L1N]],Transactions[[#This Row],[Transaction name]])))))))</f>
        <v>Transformation</v>
      </c>
      <c r="AS332" s="24" t="str">
        <f>IF(Transactions[[#This Row],[Level 0]]=Transactions[[#This Row],[Transaction name]],Transactions[[#This Row],[Transaction name]],IF(Transactions[[#This Row],[Level 0]]=Transactions[[#This Row],[L1N]],Transactions[[#This Row],[Transaction name]],IF(Transactions[[#This Row],[Level 0]]=Transactions[[#This Row],[L2N]],Transactions[[#This Row],[L1N]],IF(Transactions[[#This Row],[Level 0]]=Transactions[[#This Row],[L3N]],Transactions[[#This Row],[L2N]],IF(Transactions[[#This Row],[Level 0]]=Transactions[[#This Row],[L4N]],Transactions[[#This Row],[L3N]],IF(Transactions[[#This Row],[Level 0]]=Transactions[[#This Row],[L5N]],Transactions[[#This Row],[L4N]],IF(Transactions[[#This Row],[Level 0]]=Transactions[[#This Row],[L6N]],Transactions[[#This Row],[L5N]],IF(Transactions[[#This Row],[Level 0]]=Transactions[[#This Row],[L7N]],Transactions[[#This Row],[L6N]],Transactions[[#This Row],[L7N]]))))))))</f>
        <v>Electricity, CHP and heat plants (T)</v>
      </c>
      <c r="AT332" s="24" t="str">
        <f>IF(Transactions[[#This Row],[Level 1]]=Transactions[[#This Row],[Transaction name]],Transactions[[#This Row],[Transaction name]],IF(Transactions[[#This Row],[Level 1]]=Transactions[[#This Row],[L1N]],Transactions[[#This Row],[Transaction name]],IF(Transactions[[#This Row],[Level 1]]=Transactions[[#This Row],[L2N]],Transactions[[#This Row],[L1N]],IF(Transactions[[#This Row],[Level 1]]=Transactions[[#This Row],[L3N]],Transactions[[#This Row],[L2N]],IF(Transactions[[#This Row],[Level 1]]=Transactions[[#This Row],[L4N]],Transactions[[#This Row],[L3N]],IF(Transactions[[#This Row],[Level 1]]=Transactions[[#This Row],[L5N]],Transactions[[#This Row],[L4N]],IF(Transactions[[#This Row],[Level 1]]=Transactions[[#This Row],[L6N]],Transactions[[#This Row],[L5N]],IF(Transactions[[#This Row],[Level 1]]=Transactions[[#This Row],[L7N]],Transactions[[#This Row],[L6N]],Transactions[[#This Row],[L7N]]))))))))</f>
        <v>Electricity plants</v>
      </c>
      <c r="AU332" s="24" t="str">
        <f>IF(Transactions[[#This Row],[Level 2]]=Transactions[[#This Row],[Transaction name]],Transactions[[#This Row],[Transaction name]],IF(Transactions[[#This Row],[Level 2]]=Transactions[[#This Row],[L1N]],Transactions[[#This Row],[Transaction name]],IF(Transactions[[#This Row],[Level 2]]=Transactions[[#This Row],[L2N]],Transactions[[#This Row],[L1N]],IF(Transactions[[#This Row],[Level 2]]=Transactions[[#This Row],[L3N]],Transactions[[#This Row],[L2N]],IF(Transactions[[#This Row],[Level 2]]=Transactions[[#This Row],[L4N]],Transactions[[#This Row],[L3N]],IF(Transactions[[#This Row],[Level 2]]=Transactions[[#This Row],[L5N]],Transactions[[#This Row],[L4N]],IF(Transactions[[#This Row],[Level 2]]=Transactions[[#This Row],[L6N]],Transactions[[#This Row],[L5N]],IF(Transactions[[#This Row],[Level 2]]=Transactions[[#This Row],[L7N]],Transactions[[#This Row],[L6N]],Transactions[[#This Row],[L7N]]))))))))</f>
        <v>Electricity plants - bagasse</v>
      </c>
      <c r="AV332" s="24" t="str">
        <f>IF(Transactions[[#This Row],[Level 3]]=Transactions[[#This Row],[Transaction name]],Transactions[[#This Row],[Transaction name]],IF(Transactions[[#This Row],[Level 3]]=Transactions[[#This Row],[L1N]],Transactions[[#This Row],[Transaction name]],IF(Transactions[[#This Row],[Level 3]]=Transactions[[#This Row],[L2N]],Transactions[[#This Row],[L1N]],IF(Transactions[[#This Row],[Level 3]]=Transactions[[#This Row],[L3N]],Transactions[[#This Row],[L2N]],IF(Transactions[[#This Row],[Level 3]]=Transactions[[#This Row],[L4N]],Transactions[[#This Row],[L3N]],IF(Transactions[[#This Row],[Level 3]]=Transactions[[#This Row],[L5N]],Transactions[[#This Row],[L4N]],IF(Transactions[[#This Row],[Level 3]]=Transactions[[#This Row],[L6N]],Transactions[[#This Row],[L5N]],IF(Transactions[[#This Row],[Level 3]]=Transactions[[#This Row],[L7N]],Transactions[[#This Row],[L6N]],Transactions[[#This Row],[L7N]]))))))))</f>
        <v>Electricity plants - Autoproducer - bagasse</v>
      </c>
      <c r="AW332" s="24" t="str">
        <f>IF(Transactions[[#This Row],[Level 4]]=Transactions[[#This Row],[Transaction name]],Transactions[[#This Row],[Transaction name]],IF(Transactions[[#This Row],[Level 4]]=Transactions[[#This Row],[L1N]],Transactions[[#This Row],[Transaction name]],IF(Transactions[[#This Row],[Level 4]]=Transactions[[#This Row],[L2N]],Transactions[[#This Row],[L1N]],IF(Transactions[[#This Row],[Level 4]]=Transactions[[#This Row],[L3N]],Transactions[[#This Row],[L2N]],IF(Transactions[[#This Row],[Level 4]]=Transactions[[#This Row],[L4N]],Transactions[[#This Row],[L3N]],IF(Transactions[[#This Row],[Level 4]]=Transactions[[#This Row],[L5N]],Transactions[[#This Row],[L4N]],IF(Transactions[[#This Row],[Level 4]]=Transactions[[#This Row],[L6N]],Transactions[[#This Row],[L5N]],IF(Transactions[[#This Row],[Level 4]]=Transactions[[#This Row],[L7N]],Transactions[[#This Row],[L6N]],Transactions[[#This Row],[L7N]]))))))))</f>
        <v>Electricity plants - Autoproducer - bagasse</v>
      </c>
      <c r="AX332" s="24" t="str">
        <f>IF(Transactions[[#This Row],[Level 5]]=Transactions[[#This Row],[Transaction name]],Transactions[[#This Row],[Transaction name]],IF(Transactions[[#This Row],[Level 5]]=Transactions[[#This Row],[L1N]],Transactions[[#This Row],[Transaction name]],IF(Transactions[[#This Row],[Level 5]]=Transactions[[#This Row],[L2N]],Transactions[[#This Row],[L1N]],IF(Transactions[[#This Row],[Level 5]]=Transactions[[#This Row],[L3N]],Transactions[[#This Row],[L2N]],IF(Transactions[[#This Row],[Level 5]]=Transactions[[#This Row],[L4N]],Transactions[[#This Row],[L3N]],IF(Transactions[[#This Row],[Level 5]]=Transactions[[#This Row],[L5N]],Transactions[[#This Row],[L4N]],IF(Transactions[[#This Row],[Level 5]]=Transactions[[#This Row],[L6N]],Transactions[[#This Row],[L5N]],IF(Transactions[[#This Row],[Level 5]]=Transactions[[#This Row],[L7N]],Transactions[[#This Row],[L6N]],Transactions[[#This Row],[L7N]]))))))))</f>
        <v>Electricity plants - Autoproducer - bagasse</v>
      </c>
      <c r="AY332" s="24" t="str">
        <f>IF(Transactions[[#This Row],[Level 6]]=Transactions[[#This Row],[Transaction name]],Transactions[[#This Row],[Transaction name]],IF(Transactions[[#This Row],[Level 6]]=Transactions[[#This Row],[L1N]],Transactions[[#This Row],[Transaction name]],IF(Transactions[[#This Row],[Level 6]]=Transactions[[#This Row],[L2N]],Transactions[[#This Row],[L1N]],IF(Transactions[[#This Row],[Level 6]]=Transactions[[#This Row],[L3N]],Transactions[[#This Row],[L2N]],IF(Transactions[[#This Row],[Level 6]]=Transactions[[#This Row],[L4N]],Transactions[[#This Row],[L3N]],IF(Transactions[[#This Row],[Level 6]]=Transactions[[#This Row],[L5N]],Transactions[[#This Row],[L4N]],IF(Transactions[[#This Row],[Level 6]]=Transactions[[#This Row],[L6N]],Transactions[[#This Row],[L5N]],IF(Transactions[[#This Row],[Level 6]]=Transactions[[#This Row],[L7N]],Transactions[[#This Row],[L6N]],Transactions[[#This Row],[L7N]]))))))))</f>
        <v>Electricity plants - Autoproducer - bagasse</v>
      </c>
      <c r="BE332" s="26" t="str">
        <f>_xlfn.XLOOKUP(Transformation[[#This Row],[cfrom]],Commodities[Commodity],Commodities[Commodity code])</f>
        <v>0390</v>
      </c>
      <c r="BF332" s="26" t="str">
        <f>_xlfn.XLOOKUP(Transformation[[#This Row],[tfrom]],Transactions[Transaction name],Transactions[Transaction code])</f>
        <v>01</v>
      </c>
      <c r="BG332" s="26" t="str">
        <f>_xlfn.XLOOKUP(Transformation[[#This Row],[cto]],Commodities[Commodity],Commodities[Commodity code])</f>
        <v>0390</v>
      </c>
      <c r="BH332" s="26" t="str">
        <f>_xlfn.XLOOKUP(Transformation[[#This Row],[tto]],Transactions[Transaction name],Transactions[Transaction code])</f>
        <v>089</v>
      </c>
      <c r="BI332" s="31">
        <v>1</v>
      </c>
      <c r="BJ332" s="22" t="s">
        <v>467</v>
      </c>
      <c r="BK332" s="26" t="str">
        <f>_xlfn.XLOOKUP(Transformation[[#This Row],[Commodity from]],Commodities[Commodity code],Commodities[EnergyCode])</f>
        <v>CP</v>
      </c>
      <c r="BL332" s="22" t="s">
        <v>383</v>
      </c>
      <c r="BM332" s="22" t="s">
        <v>467</v>
      </c>
      <c r="BN332" s="26" t="str">
        <f>_xlfn.XLOOKUP(Transformation[[#This Row],[Commodity to]],Commodities[Commodity code],Commodities[EnergyCode])</f>
        <v>CP</v>
      </c>
      <c r="BO332" s="22" t="s">
        <v>165</v>
      </c>
      <c r="BP332" s="22" t="s">
        <v>1644</v>
      </c>
      <c r="BQ332" s="33" t="str">
        <f>Transformation[[#This Row],[Commodity from]]&amp;Transformation[[#This Row],[Transaction from]]&amp;Transformation[[#This Row],[Commodity to]]&amp;Transformation[[#This Row],[Transaction to]]</f>
        <v>0390010390089</v>
      </c>
      <c r="BR332" s="26" t="str">
        <f>Transformation[[#This Row],[crfomid]]&amp;Transformation[[#This Row],[Transaction from]]&amp;"("&amp;Transformation[[#This Row],[Multiplier]]&amp;") -&gt; "&amp;Transformation[[#This Row],[ctoid]]&amp;Transformation[[#This Row],[Transaction to]]</f>
        <v>CP01(1) -&gt; CP089</v>
      </c>
    </row>
    <row r="333" spans="25:70" x14ac:dyDescent="0.45">
      <c r="Y333" s="19" t="s">
        <v>1578</v>
      </c>
      <c r="Z333" s="18" t="s">
        <v>1348</v>
      </c>
      <c r="AA333" s="18" t="s">
        <v>1348</v>
      </c>
      <c r="AB333" s="19" t="s">
        <v>1600</v>
      </c>
      <c r="AC333" s="26" t="str">
        <f>IFERROR(VLOOKUP(Transactions[[#This Row],[Parent code]],Transactions[[Transaction code]:[Transaction name]],2,0),"")</f>
        <v>Electricity plants</v>
      </c>
      <c r="AD333" s="18" t="s">
        <v>189</v>
      </c>
      <c r="AE333" s="18" t="s">
        <v>923</v>
      </c>
      <c r="AF333" s="18" t="s">
        <v>642</v>
      </c>
      <c r="AG333" s="18" t="s">
        <v>1</v>
      </c>
      <c r="AH333" s="18" t="s">
        <v>696</v>
      </c>
      <c r="AI333" s="18" t="s">
        <v>1416</v>
      </c>
      <c r="AJ333" s="18"/>
      <c r="AK333" s="26" t="str" cm="1">
        <f t="array" ref="AK333">IFERROR(INDEX(Transactions[[Transaction code]:[Transaction name]],_xlfn.XMATCH(Transactions[[#This Row],[Parent code]],Transactions[Transaction name],0),3),Transactions[[#This Row],[Transaction name]])</f>
        <v>Electricity plants - bagasse</v>
      </c>
      <c r="AL333" s="26" t="str" cm="1">
        <f t="array" ref="AL333">IFERROR(INDEX(Transactions[[Transaction code]:[Transaction name]],_xlfn.XMATCH(INDEX(Transactions[[Transaction name]:[Parent code]],_xlfn.XMATCH(Transactions[[#This Row],[L1N]],Transactions[Transaction name],0),3),Transactions[Transaction code],0),2),Transactions[[#This Row],[L1N]])</f>
        <v>Electricity plants</v>
      </c>
      <c r="AM333" s="26" t="str" cm="1">
        <f t="array" ref="AM333">IFERROR(INDEX(Transactions[[Transaction code]:[Transaction name]],_xlfn.XMATCH(INDEX(Transactions[[Transaction name]:[Parent code]],_xlfn.XMATCH(Transactions[[#This Row],[L2N]],Transactions[Transaction name],0),3),Transactions[Transaction code],0),2),Transactions[[#This Row],[L2N]])</f>
        <v>Electricity, CHP and heat plants (T)</v>
      </c>
      <c r="AN333" s="26" t="str" cm="1">
        <f t="array" ref="AN333">IFERROR(INDEX(Transactions[[Transaction code]:[Transaction name]],_xlfn.XMATCH(INDEX(Transactions[[Transaction name]:[Parent code]],_xlfn.XMATCH(Transactions[[#This Row],[L3N]],Transactions[Transaction name],0),3),Transactions[Transaction code],0),2),Transactions[[#This Row],[L3N]])</f>
        <v>Transformation</v>
      </c>
      <c r="AO333" s="26" t="str" cm="1">
        <f t="array" ref="AO333">IFERROR(INDEX(Transactions[[Transaction code]:[Transaction name]],_xlfn.XMATCH(INDEX(Transactions[[Transaction name]:[Parent code]],_xlfn.XMATCH(Transactions[[#This Row],[L4N]],Transactions[Transaction name],0),3),Transactions[Transaction code],0),2),Transactions[[#This Row],[L4N]])</f>
        <v>Transformation</v>
      </c>
      <c r="AP333" s="26" t="str" cm="1">
        <f t="array" ref="AP333">IFERROR(INDEX(Transactions[[Transaction code]:[Transaction name]],_xlfn.XMATCH(INDEX(Transactions[[Transaction name]:[Parent code]],_xlfn.XMATCH(Transactions[[#This Row],[L5N]],Transactions[Transaction name],0),3),Transactions[Transaction code],0),2),Transactions[[#This Row],[L5N]])</f>
        <v>Transformation</v>
      </c>
      <c r="AQ333" s="26" t="str" cm="1">
        <f t="array" ref="AQ333">IFERROR(INDEX(Transactions[[Transaction code]:[Transaction name]],_xlfn.XMATCH(INDEX(Transactions[[Transaction name]:[Parent code]],_xlfn.XMATCH(Transactions[[#This Row],[L6N]],Transactions[Transaction name],0),3),Transactions[Transaction code],0),2),Transactions[[#This Row],[L6N]])</f>
        <v>Transformation</v>
      </c>
      <c r="AR333" s="30" t="str">
        <f>IF(Transactions[[#This Row],[L7N]]=Transactions[[#This Row],[L6N]],Transactions[[#This Row],[L7N]],IF(Transactions[[#This Row],[L6N]]=Transactions[[#This Row],[L5N]],Transactions[[#This Row],[L6N]],IF(Transactions[[#This Row],[L5N]]=Transactions[[#This Row],[L4N]],Transactions[[#This Row],[L5N]],IF(Transactions[[#This Row],[L4N]]=Transactions[[#This Row],[L3N]],Transactions[[#This Row],[L4N]],IF(Transactions[[#This Row],[L3N]]=Transactions[[#This Row],[L2N]],Transactions[[#This Row],[L3N]],IF(Transactions[[#This Row],[L2N]]=Transactions[[#This Row],[L1N]],Transactions[[#This Row],[L2N]],IF(Transactions[[#This Row],[L1N]]=Transactions[[#This Row],[Transaction name]],Transactions[[#This Row],[L1N]],Transactions[[#This Row],[Transaction name]])))))))</f>
        <v>Transformation</v>
      </c>
      <c r="AS333" s="26" t="str">
        <f>IF(Transactions[[#This Row],[Level 0]]=Transactions[[#This Row],[Transaction name]],Transactions[[#This Row],[Transaction name]],IF(Transactions[[#This Row],[Level 0]]=Transactions[[#This Row],[L1N]],Transactions[[#This Row],[Transaction name]],IF(Transactions[[#This Row],[Level 0]]=Transactions[[#This Row],[L2N]],Transactions[[#This Row],[L1N]],IF(Transactions[[#This Row],[Level 0]]=Transactions[[#This Row],[L3N]],Transactions[[#This Row],[L2N]],IF(Transactions[[#This Row],[Level 0]]=Transactions[[#This Row],[L4N]],Transactions[[#This Row],[L3N]],IF(Transactions[[#This Row],[Level 0]]=Transactions[[#This Row],[L5N]],Transactions[[#This Row],[L4N]],IF(Transactions[[#This Row],[Level 0]]=Transactions[[#This Row],[L6N]],Transactions[[#This Row],[L5N]],IF(Transactions[[#This Row],[Level 0]]=Transactions[[#This Row],[L7N]],Transactions[[#This Row],[L6N]],Transactions[[#This Row],[L7N]]))))))))</f>
        <v>Electricity, CHP and heat plants (T)</v>
      </c>
      <c r="AT333" s="26" t="str">
        <f>IF(Transactions[[#This Row],[Level 1]]=Transactions[[#This Row],[Transaction name]],Transactions[[#This Row],[Transaction name]],IF(Transactions[[#This Row],[Level 1]]=Transactions[[#This Row],[L1N]],Transactions[[#This Row],[Transaction name]],IF(Transactions[[#This Row],[Level 1]]=Transactions[[#This Row],[L2N]],Transactions[[#This Row],[L1N]],IF(Transactions[[#This Row],[Level 1]]=Transactions[[#This Row],[L3N]],Transactions[[#This Row],[L2N]],IF(Transactions[[#This Row],[Level 1]]=Transactions[[#This Row],[L4N]],Transactions[[#This Row],[L3N]],IF(Transactions[[#This Row],[Level 1]]=Transactions[[#This Row],[L5N]],Transactions[[#This Row],[L4N]],IF(Transactions[[#This Row],[Level 1]]=Transactions[[#This Row],[L6N]],Transactions[[#This Row],[L5N]],IF(Transactions[[#This Row],[Level 1]]=Transactions[[#This Row],[L7N]],Transactions[[#This Row],[L6N]],Transactions[[#This Row],[L7N]]))))))))</f>
        <v>Electricity plants</v>
      </c>
      <c r="AU333" s="26" t="str">
        <f>IF(Transactions[[#This Row],[Level 2]]=Transactions[[#This Row],[Transaction name]],Transactions[[#This Row],[Transaction name]],IF(Transactions[[#This Row],[Level 2]]=Transactions[[#This Row],[L1N]],Transactions[[#This Row],[Transaction name]],IF(Transactions[[#This Row],[Level 2]]=Transactions[[#This Row],[L2N]],Transactions[[#This Row],[L1N]],IF(Transactions[[#This Row],[Level 2]]=Transactions[[#This Row],[L3N]],Transactions[[#This Row],[L2N]],IF(Transactions[[#This Row],[Level 2]]=Transactions[[#This Row],[L4N]],Transactions[[#This Row],[L3N]],IF(Transactions[[#This Row],[Level 2]]=Transactions[[#This Row],[L5N]],Transactions[[#This Row],[L4N]],IF(Transactions[[#This Row],[Level 2]]=Transactions[[#This Row],[L6N]],Transactions[[#This Row],[L5N]],IF(Transactions[[#This Row],[Level 2]]=Transactions[[#This Row],[L7N]],Transactions[[#This Row],[L6N]],Transactions[[#This Row],[L7N]]))))))))</f>
        <v>Electricity plants - bagasse</v>
      </c>
      <c r="AV333" s="26" t="str">
        <f>IF(Transactions[[#This Row],[Level 3]]=Transactions[[#This Row],[Transaction name]],Transactions[[#This Row],[Transaction name]],IF(Transactions[[#This Row],[Level 3]]=Transactions[[#This Row],[L1N]],Transactions[[#This Row],[Transaction name]],IF(Transactions[[#This Row],[Level 3]]=Transactions[[#This Row],[L2N]],Transactions[[#This Row],[L1N]],IF(Transactions[[#This Row],[Level 3]]=Transactions[[#This Row],[L3N]],Transactions[[#This Row],[L2N]],IF(Transactions[[#This Row],[Level 3]]=Transactions[[#This Row],[L4N]],Transactions[[#This Row],[L3N]],IF(Transactions[[#This Row],[Level 3]]=Transactions[[#This Row],[L5N]],Transactions[[#This Row],[L4N]],IF(Transactions[[#This Row],[Level 3]]=Transactions[[#This Row],[L6N]],Transactions[[#This Row],[L5N]],IF(Transactions[[#This Row],[Level 3]]=Transactions[[#This Row],[L7N]],Transactions[[#This Row],[L6N]],Transactions[[#This Row],[L7N]]))))))))</f>
        <v>Electricity plants - bagasse</v>
      </c>
      <c r="AW333" s="26" t="str">
        <f>IF(Transactions[[#This Row],[Level 4]]=Transactions[[#This Row],[Transaction name]],Transactions[[#This Row],[Transaction name]],IF(Transactions[[#This Row],[Level 4]]=Transactions[[#This Row],[L1N]],Transactions[[#This Row],[Transaction name]],IF(Transactions[[#This Row],[Level 4]]=Transactions[[#This Row],[L2N]],Transactions[[#This Row],[L1N]],IF(Transactions[[#This Row],[Level 4]]=Transactions[[#This Row],[L3N]],Transactions[[#This Row],[L2N]],IF(Transactions[[#This Row],[Level 4]]=Transactions[[#This Row],[L4N]],Transactions[[#This Row],[L3N]],IF(Transactions[[#This Row],[Level 4]]=Transactions[[#This Row],[L5N]],Transactions[[#This Row],[L4N]],IF(Transactions[[#This Row],[Level 4]]=Transactions[[#This Row],[L6N]],Transactions[[#This Row],[L5N]],IF(Transactions[[#This Row],[Level 4]]=Transactions[[#This Row],[L7N]],Transactions[[#This Row],[L6N]],Transactions[[#This Row],[L7N]]))))))))</f>
        <v>Electricity plants - bagasse</v>
      </c>
      <c r="AX333" s="26" t="str">
        <f>IF(Transactions[[#This Row],[Level 5]]=Transactions[[#This Row],[Transaction name]],Transactions[[#This Row],[Transaction name]],IF(Transactions[[#This Row],[Level 5]]=Transactions[[#This Row],[L1N]],Transactions[[#This Row],[Transaction name]],IF(Transactions[[#This Row],[Level 5]]=Transactions[[#This Row],[L2N]],Transactions[[#This Row],[L1N]],IF(Transactions[[#This Row],[Level 5]]=Transactions[[#This Row],[L3N]],Transactions[[#This Row],[L2N]],IF(Transactions[[#This Row],[Level 5]]=Transactions[[#This Row],[L4N]],Transactions[[#This Row],[L3N]],IF(Transactions[[#This Row],[Level 5]]=Transactions[[#This Row],[L5N]],Transactions[[#This Row],[L4N]],IF(Transactions[[#This Row],[Level 5]]=Transactions[[#This Row],[L6N]],Transactions[[#This Row],[L5N]],IF(Transactions[[#This Row],[Level 5]]=Transactions[[#This Row],[L7N]],Transactions[[#This Row],[L6N]],Transactions[[#This Row],[L7N]]))))))))</f>
        <v>Electricity plants - bagasse</v>
      </c>
      <c r="AY333" s="26" t="str">
        <f>IF(Transactions[[#This Row],[Level 6]]=Transactions[[#This Row],[Transaction name]],Transactions[[#This Row],[Transaction name]],IF(Transactions[[#This Row],[Level 6]]=Transactions[[#This Row],[L1N]],Transactions[[#This Row],[Transaction name]],IF(Transactions[[#This Row],[Level 6]]=Transactions[[#This Row],[L2N]],Transactions[[#This Row],[L1N]],IF(Transactions[[#This Row],[Level 6]]=Transactions[[#This Row],[L3N]],Transactions[[#This Row],[L2N]],IF(Transactions[[#This Row],[Level 6]]=Transactions[[#This Row],[L4N]],Transactions[[#This Row],[L3N]],IF(Transactions[[#This Row],[Level 6]]=Transactions[[#This Row],[L5N]],Transactions[[#This Row],[L4N]],IF(Transactions[[#This Row],[Level 6]]=Transactions[[#This Row],[L6N]],Transactions[[#This Row],[L5N]],IF(Transactions[[#This Row],[Level 6]]=Transactions[[#This Row],[L7N]],Transactions[[#This Row],[L6N]],Transactions[[#This Row],[L7N]]))))))))</f>
        <v>Electricity plants - bagasse</v>
      </c>
      <c r="BE333" s="26" t="str">
        <f>_xlfn.XLOOKUP(Transformation[[#This Row],[cfrom]],Commodities[Commodity],Commodities[Commodity code])</f>
        <v>0390</v>
      </c>
      <c r="BF333" s="26" t="str">
        <f>_xlfn.XLOOKUP(Transformation[[#This Row],[tfrom]],Transactions[Transaction name],Transactions[Transaction code])</f>
        <v>022</v>
      </c>
      <c r="BG333" s="26" t="str">
        <f>_xlfn.XLOOKUP(Transformation[[#This Row],[cto]],Commodities[Commodity],Commodities[Commodity code])</f>
        <v>0390</v>
      </c>
      <c r="BH333" s="26" t="str">
        <f>_xlfn.XLOOKUP(Transformation[[#This Row],[tto]],Transactions[Transaction name],Transactions[Transaction code])</f>
        <v>022</v>
      </c>
      <c r="BI333" s="32">
        <v>-1</v>
      </c>
      <c r="BJ333" s="22" t="s">
        <v>467</v>
      </c>
      <c r="BK333" s="26" t="str">
        <f>_xlfn.XLOOKUP(Transformation[[#This Row],[Commodity from]],Commodities[Commodity code],Commodities[EnergyCode])</f>
        <v>CP</v>
      </c>
      <c r="BL333" s="22" t="s">
        <v>205</v>
      </c>
      <c r="BM333" s="22" t="s">
        <v>467</v>
      </c>
      <c r="BN333" s="26" t="str">
        <f>_xlfn.XLOOKUP(Transformation[[#This Row],[Commodity to]],Commodities[Commodity code],Commodities[EnergyCode])</f>
        <v>CP</v>
      </c>
      <c r="BO333" s="22" t="s">
        <v>205</v>
      </c>
      <c r="BP333" s="22" t="s">
        <v>1639</v>
      </c>
      <c r="BQ333" s="33" t="str">
        <f>Transformation[[#This Row],[Commodity from]]&amp;Transformation[[#This Row],[Transaction from]]&amp;Transformation[[#This Row],[Commodity to]]&amp;Transformation[[#This Row],[Transaction to]]</f>
        <v>03900220390022</v>
      </c>
      <c r="BR333" s="26" t="str">
        <f>Transformation[[#This Row],[crfomid]]&amp;Transformation[[#This Row],[Transaction from]]&amp;"("&amp;Transformation[[#This Row],[Multiplier]]&amp;") -&gt; "&amp;Transformation[[#This Row],[ctoid]]&amp;Transformation[[#This Row],[Transaction to]]</f>
        <v>CP022(-1) -&gt; CP022</v>
      </c>
    </row>
    <row r="334" spans="25:70" x14ac:dyDescent="0.45">
      <c r="Y334" s="5" t="s">
        <v>1083</v>
      </c>
      <c r="Z334" s="7" t="s">
        <v>1059</v>
      </c>
      <c r="AA334" s="4" t="s">
        <v>1348</v>
      </c>
      <c r="AB334" s="19" t="s">
        <v>1578</v>
      </c>
      <c r="AC334" s="24" t="str">
        <f>IFERROR(VLOOKUP(Transactions[[#This Row],[Parent code]],Transactions[[Transaction code]:[Transaction name]],2,0),"")</f>
        <v>Electricity plants - bagasse</v>
      </c>
      <c r="AD334" s="4" t="s">
        <v>189</v>
      </c>
      <c r="AE334" s="4" t="s">
        <v>923</v>
      </c>
      <c r="AF334" s="4" t="s">
        <v>642</v>
      </c>
      <c r="AG334" s="4" t="s">
        <v>1</v>
      </c>
      <c r="AH334" s="4" t="s">
        <v>696</v>
      </c>
      <c r="AI334" s="12" t="s">
        <v>1416</v>
      </c>
      <c r="AK334" s="24" t="str" cm="1">
        <f t="array" ref="AK334">IFERROR(INDEX(Transactions[[Transaction code]:[Transaction name]],_xlfn.XMATCH(Transactions[[#This Row],[Parent code]],Transactions[Transaction name],0),3),Transactions[[#This Row],[Transaction name]])</f>
        <v>Electricity plants - Main activity - bagasse</v>
      </c>
      <c r="AL334" s="24" t="str" cm="1">
        <f t="array" ref="AL334">IFERROR(INDEX(Transactions[[Transaction code]:[Transaction name]],_xlfn.XMATCH(INDEX(Transactions[[Transaction name]:[Parent code]],_xlfn.XMATCH(Transactions[[#This Row],[L1N]],Transactions[Transaction name],0),3),Transactions[Transaction code],0),2),Transactions[[#This Row],[L1N]])</f>
        <v>Electricity plants - bagasse</v>
      </c>
      <c r="AM334" s="24" t="str" cm="1">
        <f t="array" ref="AM334">IFERROR(INDEX(Transactions[[Transaction code]:[Transaction name]],_xlfn.XMATCH(INDEX(Transactions[[Transaction name]:[Parent code]],_xlfn.XMATCH(Transactions[[#This Row],[L2N]],Transactions[Transaction name],0),3),Transactions[Transaction code],0),2),Transactions[[#This Row],[L2N]])</f>
        <v>Electricity plants</v>
      </c>
      <c r="AN334" s="24" t="str" cm="1">
        <f t="array" ref="AN334">IFERROR(INDEX(Transactions[[Transaction code]:[Transaction name]],_xlfn.XMATCH(INDEX(Transactions[[Transaction name]:[Parent code]],_xlfn.XMATCH(Transactions[[#This Row],[L3N]],Transactions[Transaction name],0),3),Transactions[Transaction code],0),2),Transactions[[#This Row],[L3N]])</f>
        <v>Electricity, CHP and heat plants (T)</v>
      </c>
      <c r="AO334" s="24" t="str" cm="1">
        <f t="array" ref="AO334">IFERROR(INDEX(Transactions[[Transaction code]:[Transaction name]],_xlfn.XMATCH(INDEX(Transactions[[Transaction name]:[Parent code]],_xlfn.XMATCH(Transactions[[#This Row],[L4N]],Transactions[Transaction name],0),3),Transactions[Transaction code],0),2),Transactions[[#This Row],[L4N]])</f>
        <v>Transformation</v>
      </c>
      <c r="AP334" s="24" t="str" cm="1">
        <f t="array" ref="AP334">IFERROR(INDEX(Transactions[[Transaction code]:[Transaction name]],_xlfn.XMATCH(INDEX(Transactions[[Transaction name]:[Parent code]],_xlfn.XMATCH(Transactions[[#This Row],[L5N]],Transactions[Transaction name],0),3),Transactions[Transaction code],0),2),Transactions[[#This Row],[L5N]])</f>
        <v>Transformation</v>
      </c>
      <c r="AQ334" s="24" t="str" cm="1">
        <f t="array" ref="AQ334">IFERROR(INDEX(Transactions[[Transaction code]:[Transaction name]],_xlfn.XMATCH(INDEX(Transactions[[Transaction name]:[Parent code]],_xlfn.XMATCH(Transactions[[#This Row],[L6N]],Transactions[Transaction name],0),3),Transactions[Transaction code],0),2),Transactions[[#This Row],[L6N]])</f>
        <v>Transformation</v>
      </c>
      <c r="AR334" s="27" t="str">
        <f>IF(Transactions[[#This Row],[L7N]]=Transactions[[#This Row],[L6N]],Transactions[[#This Row],[L7N]],IF(Transactions[[#This Row],[L6N]]=Transactions[[#This Row],[L5N]],Transactions[[#This Row],[L6N]],IF(Transactions[[#This Row],[L5N]]=Transactions[[#This Row],[L4N]],Transactions[[#This Row],[L5N]],IF(Transactions[[#This Row],[L4N]]=Transactions[[#This Row],[L3N]],Transactions[[#This Row],[L4N]],IF(Transactions[[#This Row],[L3N]]=Transactions[[#This Row],[L2N]],Transactions[[#This Row],[L3N]],IF(Transactions[[#This Row],[L2N]]=Transactions[[#This Row],[L1N]],Transactions[[#This Row],[L2N]],IF(Transactions[[#This Row],[L1N]]=Transactions[[#This Row],[Transaction name]],Transactions[[#This Row],[L1N]],Transactions[[#This Row],[Transaction name]])))))))</f>
        <v>Transformation</v>
      </c>
      <c r="AS334" s="24" t="str">
        <f>IF(Transactions[[#This Row],[Level 0]]=Transactions[[#This Row],[Transaction name]],Transactions[[#This Row],[Transaction name]],IF(Transactions[[#This Row],[Level 0]]=Transactions[[#This Row],[L1N]],Transactions[[#This Row],[Transaction name]],IF(Transactions[[#This Row],[Level 0]]=Transactions[[#This Row],[L2N]],Transactions[[#This Row],[L1N]],IF(Transactions[[#This Row],[Level 0]]=Transactions[[#This Row],[L3N]],Transactions[[#This Row],[L2N]],IF(Transactions[[#This Row],[Level 0]]=Transactions[[#This Row],[L4N]],Transactions[[#This Row],[L3N]],IF(Transactions[[#This Row],[Level 0]]=Transactions[[#This Row],[L5N]],Transactions[[#This Row],[L4N]],IF(Transactions[[#This Row],[Level 0]]=Transactions[[#This Row],[L6N]],Transactions[[#This Row],[L5N]],IF(Transactions[[#This Row],[Level 0]]=Transactions[[#This Row],[L7N]],Transactions[[#This Row],[L6N]],Transactions[[#This Row],[L7N]]))))))))</f>
        <v>Electricity, CHP and heat plants (T)</v>
      </c>
      <c r="AT334" s="24" t="str">
        <f>IF(Transactions[[#This Row],[Level 1]]=Transactions[[#This Row],[Transaction name]],Transactions[[#This Row],[Transaction name]],IF(Transactions[[#This Row],[Level 1]]=Transactions[[#This Row],[L1N]],Transactions[[#This Row],[Transaction name]],IF(Transactions[[#This Row],[Level 1]]=Transactions[[#This Row],[L2N]],Transactions[[#This Row],[L1N]],IF(Transactions[[#This Row],[Level 1]]=Transactions[[#This Row],[L3N]],Transactions[[#This Row],[L2N]],IF(Transactions[[#This Row],[Level 1]]=Transactions[[#This Row],[L4N]],Transactions[[#This Row],[L3N]],IF(Transactions[[#This Row],[Level 1]]=Transactions[[#This Row],[L5N]],Transactions[[#This Row],[L4N]],IF(Transactions[[#This Row],[Level 1]]=Transactions[[#This Row],[L6N]],Transactions[[#This Row],[L5N]],IF(Transactions[[#This Row],[Level 1]]=Transactions[[#This Row],[L7N]],Transactions[[#This Row],[L6N]],Transactions[[#This Row],[L7N]]))))))))</f>
        <v>Electricity plants</v>
      </c>
      <c r="AU334" s="24" t="str">
        <f>IF(Transactions[[#This Row],[Level 2]]=Transactions[[#This Row],[Transaction name]],Transactions[[#This Row],[Transaction name]],IF(Transactions[[#This Row],[Level 2]]=Transactions[[#This Row],[L1N]],Transactions[[#This Row],[Transaction name]],IF(Transactions[[#This Row],[Level 2]]=Transactions[[#This Row],[L2N]],Transactions[[#This Row],[L1N]],IF(Transactions[[#This Row],[Level 2]]=Transactions[[#This Row],[L3N]],Transactions[[#This Row],[L2N]],IF(Transactions[[#This Row],[Level 2]]=Transactions[[#This Row],[L4N]],Transactions[[#This Row],[L3N]],IF(Transactions[[#This Row],[Level 2]]=Transactions[[#This Row],[L5N]],Transactions[[#This Row],[L4N]],IF(Transactions[[#This Row],[Level 2]]=Transactions[[#This Row],[L6N]],Transactions[[#This Row],[L5N]],IF(Transactions[[#This Row],[Level 2]]=Transactions[[#This Row],[L7N]],Transactions[[#This Row],[L6N]],Transactions[[#This Row],[L7N]]))))))))</f>
        <v>Electricity plants - bagasse</v>
      </c>
      <c r="AV334" s="24" t="str">
        <f>IF(Transactions[[#This Row],[Level 3]]=Transactions[[#This Row],[Transaction name]],Transactions[[#This Row],[Transaction name]],IF(Transactions[[#This Row],[Level 3]]=Transactions[[#This Row],[L1N]],Transactions[[#This Row],[Transaction name]],IF(Transactions[[#This Row],[Level 3]]=Transactions[[#This Row],[L2N]],Transactions[[#This Row],[L1N]],IF(Transactions[[#This Row],[Level 3]]=Transactions[[#This Row],[L3N]],Transactions[[#This Row],[L2N]],IF(Transactions[[#This Row],[Level 3]]=Transactions[[#This Row],[L4N]],Transactions[[#This Row],[L3N]],IF(Transactions[[#This Row],[Level 3]]=Transactions[[#This Row],[L5N]],Transactions[[#This Row],[L4N]],IF(Transactions[[#This Row],[Level 3]]=Transactions[[#This Row],[L6N]],Transactions[[#This Row],[L5N]],IF(Transactions[[#This Row],[Level 3]]=Transactions[[#This Row],[L7N]],Transactions[[#This Row],[L6N]],Transactions[[#This Row],[L7N]]))))))))</f>
        <v>Electricity plants - Main activity - bagasse</v>
      </c>
      <c r="AW334" s="24" t="str">
        <f>IF(Transactions[[#This Row],[Level 4]]=Transactions[[#This Row],[Transaction name]],Transactions[[#This Row],[Transaction name]],IF(Transactions[[#This Row],[Level 4]]=Transactions[[#This Row],[L1N]],Transactions[[#This Row],[Transaction name]],IF(Transactions[[#This Row],[Level 4]]=Transactions[[#This Row],[L2N]],Transactions[[#This Row],[L1N]],IF(Transactions[[#This Row],[Level 4]]=Transactions[[#This Row],[L3N]],Transactions[[#This Row],[L2N]],IF(Transactions[[#This Row],[Level 4]]=Transactions[[#This Row],[L4N]],Transactions[[#This Row],[L3N]],IF(Transactions[[#This Row],[Level 4]]=Transactions[[#This Row],[L5N]],Transactions[[#This Row],[L4N]],IF(Transactions[[#This Row],[Level 4]]=Transactions[[#This Row],[L6N]],Transactions[[#This Row],[L5N]],IF(Transactions[[#This Row],[Level 4]]=Transactions[[#This Row],[L7N]],Transactions[[#This Row],[L6N]],Transactions[[#This Row],[L7N]]))))))))</f>
        <v>Electricity plants - Main activity - bagasse</v>
      </c>
      <c r="AX334" s="24" t="str">
        <f>IF(Transactions[[#This Row],[Level 5]]=Transactions[[#This Row],[Transaction name]],Transactions[[#This Row],[Transaction name]],IF(Transactions[[#This Row],[Level 5]]=Transactions[[#This Row],[L1N]],Transactions[[#This Row],[Transaction name]],IF(Transactions[[#This Row],[Level 5]]=Transactions[[#This Row],[L2N]],Transactions[[#This Row],[L1N]],IF(Transactions[[#This Row],[Level 5]]=Transactions[[#This Row],[L3N]],Transactions[[#This Row],[L2N]],IF(Transactions[[#This Row],[Level 5]]=Transactions[[#This Row],[L4N]],Transactions[[#This Row],[L3N]],IF(Transactions[[#This Row],[Level 5]]=Transactions[[#This Row],[L5N]],Transactions[[#This Row],[L4N]],IF(Transactions[[#This Row],[Level 5]]=Transactions[[#This Row],[L6N]],Transactions[[#This Row],[L5N]],IF(Transactions[[#This Row],[Level 5]]=Transactions[[#This Row],[L7N]],Transactions[[#This Row],[L6N]],Transactions[[#This Row],[L7N]]))))))))</f>
        <v>Electricity plants - Main activity - bagasse</v>
      </c>
      <c r="AY334" s="24" t="str">
        <f>IF(Transactions[[#This Row],[Level 6]]=Transactions[[#This Row],[Transaction name]],Transactions[[#This Row],[Transaction name]],IF(Transactions[[#This Row],[Level 6]]=Transactions[[#This Row],[L1N]],Transactions[[#This Row],[Transaction name]],IF(Transactions[[#This Row],[Level 6]]=Transactions[[#This Row],[L2N]],Transactions[[#This Row],[L1N]],IF(Transactions[[#This Row],[Level 6]]=Transactions[[#This Row],[L3N]],Transactions[[#This Row],[L2N]],IF(Transactions[[#This Row],[Level 6]]=Transactions[[#This Row],[L4N]],Transactions[[#This Row],[L3N]],IF(Transactions[[#This Row],[Level 6]]=Transactions[[#This Row],[L5N]],Transactions[[#This Row],[L4N]],IF(Transactions[[#This Row],[Level 6]]=Transactions[[#This Row],[L6N]],Transactions[[#This Row],[L5N]],IF(Transactions[[#This Row],[Level 6]]=Transactions[[#This Row],[L7N]],Transactions[[#This Row],[L6N]],Transactions[[#This Row],[L7N]]))))))))</f>
        <v>Electricity plants - Main activity - bagasse</v>
      </c>
      <c r="BE334" s="26" t="str">
        <f>_xlfn.XLOOKUP(Transformation[[#This Row],[cfrom]],Commodities[Commodity],Commodities[Commodity code])</f>
        <v>0390</v>
      </c>
      <c r="BF334" s="26" t="str">
        <f>_xlfn.XLOOKUP(Transformation[[#This Row],[tfrom]],Transactions[Transaction name],Transactions[Transaction code])</f>
        <v>022</v>
      </c>
      <c r="BG334" s="26" t="str">
        <f>_xlfn.XLOOKUP(Transformation[[#This Row],[cto]],Commodities[Commodity],Commodities[Commodity code])</f>
        <v>0390</v>
      </c>
      <c r="BH334" s="26" t="str">
        <f>_xlfn.XLOOKUP(Transformation[[#This Row],[tto]],Transactions[Transaction name],Transactions[Transaction code])</f>
        <v>089</v>
      </c>
      <c r="BI334" s="31">
        <v>1</v>
      </c>
      <c r="BJ334" s="22" t="s">
        <v>467</v>
      </c>
      <c r="BK334" s="26" t="str">
        <f>_xlfn.XLOOKUP(Transformation[[#This Row],[Commodity from]],Commodities[Commodity code],Commodities[EnergyCode])</f>
        <v>CP</v>
      </c>
      <c r="BL334" s="22" t="s">
        <v>205</v>
      </c>
      <c r="BM334" s="22" t="s">
        <v>467</v>
      </c>
      <c r="BN334" s="26" t="str">
        <f>_xlfn.XLOOKUP(Transformation[[#This Row],[Commodity to]],Commodities[Commodity code],Commodities[EnergyCode])</f>
        <v>CP</v>
      </c>
      <c r="BO334" s="22" t="s">
        <v>165</v>
      </c>
      <c r="BP334" s="22" t="s">
        <v>1644</v>
      </c>
      <c r="BQ334" s="33" t="str">
        <f>Transformation[[#This Row],[Commodity from]]&amp;Transformation[[#This Row],[Transaction from]]&amp;Transformation[[#This Row],[Commodity to]]&amp;Transformation[[#This Row],[Transaction to]]</f>
        <v>03900220390089</v>
      </c>
      <c r="BR334" s="26" t="str">
        <f>Transformation[[#This Row],[crfomid]]&amp;Transformation[[#This Row],[Transaction from]]&amp;"("&amp;Transformation[[#This Row],[Multiplier]]&amp;") -&gt; "&amp;Transformation[[#This Row],[ctoid]]&amp;Transformation[[#This Row],[Transaction to]]</f>
        <v>CP022(1) -&gt; CP089</v>
      </c>
    </row>
    <row r="335" spans="25:70" x14ac:dyDescent="0.45">
      <c r="Y335" s="5" t="s">
        <v>1095</v>
      </c>
      <c r="Z335" s="7" t="s">
        <v>1071</v>
      </c>
      <c r="AA335" s="4" t="s">
        <v>1352</v>
      </c>
      <c r="AB335" s="19" t="s">
        <v>1579</v>
      </c>
      <c r="AC335" s="24" t="str">
        <f>IFERROR(VLOOKUP(Transactions[[#This Row],[Parent code]],Transactions[[Transaction code]:[Transaction name]],2,0),"")</f>
        <v>Electricity plants - biogases</v>
      </c>
      <c r="AD335" s="4" t="s">
        <v>189</v>
      </c>
      <c r="AE335" s="4" t="s">
        <v>923</v>
      </c>
      <c r="AF335" s="4" t="s">
        <v>642</v>
      </c>
      <c r="AG335" s="4" t="s">
        <v>1</v>
      </c>
      <c r="AH335" s="4" t="s">
        <v>696</v>
      </c>
      <c r="AI335" s="12" t="s">
        <v>1416</v>
      </c>
      <c r="AK335" s="24" t="str" cm="1">
        <f t="array" ref="AK335">IFERROR(INDEX(Transactions[[Transaction code]:[Transaction name]],_xlfn.XMATCH(Transactions[[#This Row],[Parent code]],Transactions[Transaction name],0),3),Transactions[[#This Row],[Transaction name]])</f>
        <v>Electricity plants - Autoproducer - biogases</v>
      </c>
      <c r="AL335" s="24" t="str" cm="1">
        <f t="array" ref="AL335">IFERROR(INDEX(Transactions[[Transaction code]:[Transaction name]],_xlfn.XMATCH(INDEX(Transactions[[Transaction name]:[Parent code]],_xlfn.XMATCH(Transactions[[#This Row],[L1N]],Transactions[Transaction name],0),3),Transactions[Transaction code],0),2),Transactions[[#This Row],[L1N]])</f>
        <v>Electricity plants - biogases</v>
      </c>
      <c r="AM335" s="24" t="str" cm="1">
        <f t="array" ref="AM335">IFERROR(INDEX(Transactions[[Transaction code]:[Transaction name]],_xlfn.XMATCH(INDEX(Transactions[[Transaction name]:[Parent code]],_xlfn.XMATCH(Transactions[[#This Row],[L2N]],Transactions[Transaction name],0),3),Transactions[Transaction code],0),2),Transactions[[#This Row],[L2N]])</f>
        <v>Electricity plants</v>
      </c>
      <c r="AN335" s="24" t="str" cm="1">
        <f t="array" ref="AN335">IFERROR(INDEX(Transactions[[Transaction code]:[Transaction name]],_xlfn.XMATCH(INDEX(Transactions[[Transaction name]:[Parent code]],_xlfn.XMATCH(Transactions[[#This Row],[L3N]],Transactions[Transaction name],0),3),Transactions[Transaction code],0),2),Transactions[[#This Row],[L3N]])</f>
        <v>Electricity, CHP and heat plants (T)</v>
      </c>
      <c r="AO335" s="24" t="str" cm="1">
        <f t="array" ref="AO335">IFERROR(INDEX(Transactions[[Transaction code]:[Transaction name]],_xlfn.XMATCH(INDEX(Transactions[[Transaction name]:[Parent code]],_xlfn.XMATCH(Transactions[[#This Row],[L4N]],Transactions[Transaction name],0),3),Transactions[Transaction code],0),2),Transactions[[#This Row],[L4N]])</f>
        <v>Transformation</v>
      </c>
      <c r="AP335" s="24" t="str" cm="1">
        <f t="array" ref="AP335">IFERROR(INDEX(Transactions[[Transaction code]:[Transaction name]],_xlfn.XMATCH(INDEX(Transactions[[Transaction name]:[Parent code]],_xlfn.XMATCH(Transactions[[#This Row],[L5N]],Transactions[Transaction name],0),3),Transactions[Transaction code],0),2),Transactions[[#This Row],[L5N]])</f>
        <v>Transformation</v>
      </c>
      <c r="AQ335" s="24" t="str" cm="1">
        <f t="array" ref="AQ335">IFERROR(INDEX(Transactions[[Transaction code]:[Transaction name]],_xlfn.XMATCH(INDEX(Transactions[[Transaction name]:[Parent code]],_xlfn.XMATCH(Transactions[[#This Row],[L6N]],Transactions[Transaction name],0),3),Transactions[Transaction code],0),2),Transactions[[#This Row],[L6N]])</f>
        <v>Transformation</v>
      </c>
      <c r="AR335" s="28" t="str">
        <f>IF(Transactions[[#This Row],[L7N]]=Transactions[[#This Row],[L6N]],Transactions[[#This Row],[L7N]],IF(Transactions[[#This Row],[L6N]]=Transactions[[#This Row],[L5N]],Transactions[[#This Row],[L6N]],IF(Transactions[[#This Row],[L5N]]=Transactions[[#This Row],[L4N]],Transactions[[#This Row],[L5N]],IF(Transactions[[#This Row],[L4N]]=Transactions[[#This Row],[L3N]],Transactions[[#This Row],[L4N]],IF(Transactions[[#This Row],[L3N]]=Transactions[[#This Row],[L2N]],Transactions[[#This Row],[L3N]],IF(Transactions[[#This Row],[L2N]]=Transactions[[#This Row],[L1N]],Transactions[[#This Row],[L2N]],IF(Transactions[[#This Row],[L1N]]=Transactions[[#This Row],[Transaction name]],Transactions[[#This Row],[L1N]],Transactions[[#This Row],[Transaction name]])))))))</f>
        <v>Transformation</v>
      </c>
      <c r="AS335" s="24" t="str">
        <f>IF(Transactions[[#This Row],[Level 0]]=Transactions[[#This Row],[Transaction name]],Transactions[[#This Row],[Transaction name]],IF(Transactions[[#This Row],[Level 0]]=Transactions[[#This Row],[L1N]],Transactions[[#This Row],[Transaction name]],IF(Transactions[[#This Row],[Level 0]]=Transactions[[#This Row],[L2N]],Transactions[[#This Row],[L1N]],IF(Transactions[[#This Row],[Level 0]]=Transactions[[#This Row],[L3N]],Transactions[[#This Row],[L2N]],IF(Transactions[[#This Row],[Level 0]]=Transactions[[#This Row],[L4N]],Transactions[[#This Row],[L3N]],IF(Transactions[[#This Row],[Level 0]]=Transactions[[#This Row],[L5N]],Transactions[[#This Row],[L4N]],IF(Transactions[[#This Row],[Level 0]]=Transactions[[#This Row],[L6N]],Transactions[[#This Row],[L5N]],IF(Transactions[[#This Row],[Level 0]]=Transactions[[#This Row],[L7N]],Transactions[[#This Row],[L6N]],Transactions[[#This Row],[L7N]]))))))))</f>
        <v>Electricity, CHP and heat plants (T)</v>
      </c>
      <c r="AT335" s="24" t="str">
        <f>IF(Transactions[[#This Row],[Level 1]]=Transactions[[#This Row],[Transaction name]],Transactions[[#This Row],[Transaction name]],IF(Transactions[[#This Row],[Level 1]]=Transactions[[#This Row],[L1N]],Transactions[[#This Row],[Transaction name]],IF(Transactions[[#This Row],[Level 1]]=Transactions[[#This Row],[L2N]],Transactions[[#This Row],[L1N]],IF(Transactions[[#This Row],[Level 1]]=Transactions[[#This Row],[L3N]],Transactions[[#This Row],[L2N]],IF(Transactions[[#This Row],[Level 1]]=Transactions[[#This Row],[L4N]],Transactions[[#This Row],[L3N]],IF(Transactions[[#This Row],[Level 1]]=Transactions[[#This Row],[L5N]],Transactions[[#This Row],[L4N]],IF(Transactions[[#This Row],[Level 1]]=Transactions[[#This Row],[L6N]],Transactions[[#This Row],[L5N]],IF(Transactions[[#This Row],[Level 1]]=Transactions[[#This Row],[L7N]],Transactions[[#This Row],[L6N]],Transactions[[#This Row],[L7N]]))))))))</f>
        <v>Electricity plants</v>
      </c>
      <c r="AU335" s="24" t="str">
        <f>IF(Transactions[[#This Row],[Level 2]]=Transactions[[#This Row],[Transaction name]],Transactions[[#This Row],[Transaction name]],IF(Transactions[[#This Row],[Level 2]]=Transactions[[#This Row],[L1N]],Transactions[[#This Row],[Transaction name]],IF(Transactions[[#This Row],[Level 2]]=Transactions[[#This Row],[L2N]],Transactions[[#This Row],[L1N]],IF(Transactions[[#This Row],[Level 2]]=Transactions[[#This Row],[L3N]],Transactions[[#This Row],[L2N]],IF(Transactions[[#This Row],[Level 2]]=Transactions[[#This Row],[L4N]],Transactions[[#This Row],[L3N]],IF(Transactions[[#This Row],[Level 2]]=Transactions[[#This Row],[L5N]],Transactions[[#This Row],[L4N]],IF(Transactions[[#This Row],[Level 2]]=Transactions[[#This Row],[L6N]],Transactions[[#This Row],[L5N]],IF(Transactions[[#This Row],[Level 2]]=Transactions[[#This Row],[L7N]],Transactions[[#This Row],[L6N]],Transactions[[#This Row],[L7N]]))))))))</f>
        <v>Electricity plants - biogases</v>
      </c>
      <c r="AV335" s="24" t="str">
        <f>IF(Transactions[[#This Row],[Level 3]]=Transactions[[#This Row],[Transaction name]],Transactions[[#This Row],[Transaction name]],IF(Transactions[[#This Row],[Level 3]]=Transactions[[#This Row],[L1N]],Transactions[[#This Row],[Transaction name]],IF(Transactions[[#This Row],[Level 3]]=Transactions[[#This Row],[L2N]],Transactions[[#This Row],[L1N]],IF(Transactions[[#This Row],[Level 3]]=Transactions[[#This Row],[L3N]],Transactions[[#This Row],[L2N]],IF(Transactions[[#This Row],[Level 3]]=Transactions[[#This Row],[L4N]],Transactions[[#This Row],[L3N]],IF(Transactions[[#This Row],[Level 3]]=Transactions[[#This Row],[L5N]],Transactions[[#This Row],[L4N]],IF(Transactions[[#This Row],[Level 3]]=Transactions[[#This Row],[L6N]],Transactions[[#This Row],[L5N]],IF(Transactions[[#This Row],[Level 3]]=Transactions[[#This Row],[L7N]],Transactions[[#This Row],[L6N]],Transactions[[#This Row],[L7N]]))))))))</f>
        <v>Electricity plants - Autoproducer - biogases</v>
      </c>
      <c r="AW335" s="24" t="str">
        <f>IF(Transactions[[#This Row],[Level 4]]=Transactions[[#This Row],[Transaction name]],Transactions[[#This Row],[Transaction name]],IF(Transactions[[#This Row],[Level 4]]=Transactions[[#This Row],[L1N]],Transactions[[#This Row],[Transaction name]],IF(Transactions[[#This Row],[Level 4]]=Transactions[[#This Row],[L2N]],Transactions[[#This Row],[L1N]],IF(Transactions[[#This Row],[Level 4]]=Transactions[[#This Row],[L3N]],Transactions[[#This Row],[L2N]],IF(Transactions[[#This Row],[Level 4]]=Transactions[[#This Row],[L4N]],Transactions[[#This Row],[L3N]],IF(Transactions[[#This Row],[Level 4]]=Transactions[[#This Row],[L5N]],Transactions[[#This Row],[L4N]],IF(Transactions[[#This Row],[Level 4]]=Transactions[[#This Row],[L6N]],Transactions[[#This Row],[L5N]],IF(Transactions[[#This Row],[Level 4]]=Transactions[[#This Row],[L7N]],Transactions[[#This Row],[L6N]],Transactions[[#This Row],[L7N]]))))))))</f>
        <v>Electricity plants - Autoproducer - biogases</v>
      </c>
      <c r="AX335" s="24" t="str">
        <f>IF(Transactions[[#This Row],[Level 5]]=Transactions[[#This Row],[Transaction name]],Transactions[[#This Row],[Transaction name]],IF(Transactions[[#This Row],[Level 5]]=Transactions[[#This Row],[L1N]],Transactions[[#This Row],[Transaction name]],IF(Transactions[[#This Row],[Level 5]]=Transactions[[#This Row],[L2N]],Transactions[[#This Row],[L1N]],IF(Transactions[[#This Row],[Level 5]]=Transactions[[#This Row],[L3N]],Transactions[[#This Row],[L2N]],IF(Transactions[[#This Row],[Level 5]]=Transactions[[#This Row],[L4N]],Transactions[[#This Row],[L3N]],IF(Transactions[[#This Row],[Level 5]]=Transactions[[#This Row],[L5N]],Transactions[[#This Row],[L4N]],IF(Transactions[[#This Row],[Level 5]]=Transactions[[#This Row],[L6N]],Transactions[[#This Row],[L5N]],IF(Transactions[[#This Row],[Level 5]]=Transactions[[#This Row],[L7N]],Transactions[[#This Row],[L6N]],Transactions[[#This Row],[L7N]]))))))))</f>
        <v>Electricity plants - Autoproducer - biogases</v>
      </c>
      <c r="AY335" s="24" t="str">
        <f>IF(Transactions[[#This Row],[Level 6]]=Transactions[[#This Row],[Transaction name]],Transactions[[#This Row],[Transaction name]],IF(Transactions[[#This Row],[Level 6]]=Transactions[[#This Row],[L1N]],Transactions[[#This Row],[Transaction name]],IF(Transactions[[#This Row],[Level 6]]=Transactions[[#This Row],[L2N]],Transactions[[#This Row],[L1N]],IF(Transactions[[#This Row],[Level 6]]=Transactions[[#This Row],[L3N]],Transactions[[#This Row],[L2N]],IF(Transactions[[#This Row],[Level 6]]=Transactions[[#This Row],[L4N]],Transactions[[#This Row],[L3N]],IF(Transactions[[#This Row],[Level 6]]=Transactions[[#This Row],[L5N]],Transactions[[#This Row],[L4N]],IF(Transactions[[#This Row],[Level 6]]=Transactions[[#This Row],[L6N]],Transactions[[#This Row],[L5N]],IF(Transactions[[#This Row],[Level 6]]=Transactions[[#This Row],[L7N]],Transactions[[#This Row],[L6N]],Transactions[[#This Row],[L7N]]))))))))</f>
        <v>Electricity plants - Autoproducer - biogases</v>
      </c>
      <c r="BE335" s="26" t="str">
        <f>_xlfn.XLOOKUP(Transformation[[#This Row],[cfrom]],Commodities[Commodity],Commodities[Commodity code])</f>
        <v>0340</v>
      </c>
      <c r="BF335" s="26" t="str">
        <f>_xlfn.XLOOKUP(Transformation[[#This Row],[tfrom]],Transactions[Transaction name],Transactions[Transaction code])</f>
        <v>01</v>
      </c>
      <c r="BG335" s="26" t="str">
        <f>_xlfn.XLOOKUP(Transformation[[#This Row],[cto]],Commodities[Commodity],Commodities[Commodity code])</f>
        <v>0340</v>
      </c>
      <c r="BH335" s="26" t="str">
        <f>_xlfn.XLOOKUP(Transformation[[#This Row],[tto]],Transactions[Transaction name],Transactions[Transaction code])</f>
        <v>081</v>
      </c>
      <c r="BI335" s="32">
        <v>1</v>
      </c>
      <c r="BJ335" s="22" t="s">
        <v>489</v>
      </c>
      <c r="BK335" s="26" t="str">
        <f>_xlfn.XLOOKUP(Transformation[[#This Row],[Commodity from]],Commodities[Commodity code],Commodities[EnergyCode])</f>
        <v>CT</v>
      </c>
      <c r="BL335" s="22" t="s">
        <v>383</v>
      </c>
      <c r="BM335" s="22" t="s">
        <v>489</v>
      </c>
      <c r="BN335" s="26" t="str">
        <f>_xlfn.XLOOKUP(Transformation[[#This Row],[Commodity to]],Commodities[Commodity code],Commodities[EnergyCode])</f>
        <v>CT</v>
      </c>
      <c r="BO335" s="22" t="s">
        <v>721</v>
      </c>
      <c r="BP335" s="22" t="s">
        <v>1634</v>
      </c>
      <c r="BQ335" s="33" t="str">
        <f>Transformation[[#This Row],[Commodity from]]&amp;Transformation[[#This Row],[Transaction from]]&amp;Transformation[[#This Row],[Commodity to]]&amp;Transformation[[#This Row],[Transaction to]]</f>
        <v>0340010340081</v>
      </c>
      <c r="BR335" s="26" t="str">
        <f>Transformation[[#This Row],[crfomid]]&amp;Transformation[[#This Row],[Transaction from]]&amp;"("&amp;Transformation[[#This Row],[Multiplier]]&amp;") -&gt; "&amp;Transformation[[#This Row],[ctoid]]&amp;Transformation[[#This Row],[Transaction to]]</f>
        <v>CT01(1) -&gt; CT081</v>
      </c>
    </row>
    <row r="336" spans="25:70" x14ac:dyDescent="0.45">
      <c r="Y336" s="19" t="s">
        <v>1579</v>
      </c>
      <c r="Z336" s="18" t="s">
        <v>1352</v>
      </c>
      <c r="AA336" s="18" t="s">
        <v>1352</v>
      </c>
      <c r="AB336" s="19" t="s">
        <v>1600</v>
      </c>
      <c r="AC336" s="26" t="str">
        <f>IFERROR(VLOOKUP(Transactions[[#This Row],[Parent code]],Transactions[[Transaction code]:[Transaction name]],2,0),"")</f>
        <v>Electricity plants</v>
      </c>
      <c r="AD336" s="18" t="s">
        <v>189</v>
      </c>
      <c r="AE336" s="18" t="s">
        <v>923</v>
      </c>
      <c r="AF336" s="18" t="s">
        <v>642</v>
      </c>
      <c r="AG336" s="18" t="s">
        <v>1</v>
      </c>
      <c r="AH336" s="18" t="s">
        <v>696</v>
      </c>
      <c r="AI336" s="18" t="s">
        <v>1416</v>
      </c>
      <c r="AJ336" s="18"/>
      <c r="AK336" s="26" t="str" cm="1">
        <f t="array" ref="AK336">IFERROR(INDEX(Transactions[[Transaction code]:[Transaction name]],_xlfn.XMATCH(Transactions[[#This Row],[Parent code]],Transactions[Transaction name],0),3),Transactions[[#This Row],[Transaction name]])</f>
        <v>Electricity plants - biogases</v>
      </c>
      <c r="AL336" s="26" t="str" cm="1">
        <f t="array" ref="AL336">IFERROR(INDEX(Transactions[[Transaction code]:[Transaction name]],_xlfn.XMATCH(INDEX(Transactions[[Transaction name]:[Parent code]],_xlfn.XMATCH(Transactions[[#This Row],[L1N]],Transactions[Transaction name],0),3),Transactions[Transaction code],0),2),Transactions[[#This Row],[L1N]])</f>
        <v>Electricity plants</v>
      </c>
      <c r="AM336" s="26" t="str" cm="1">
        <f t="array" ref="AM336">IFERROR(INDEX(Transactions[[Transaction code]:[Transaction name]],_xlfn.XMATCH(INDEX(Transactions[[Transaction name]:[Parent code]],_xlfn.XMATCH(Transactions[[#This Row],[L2N]],Transactions[Transaction name],0),3),Transactions[Transaction code],0),2),Transactions[[#This Row],[L2N]])</f>
        <v>Electricity, CHP and heat plants (T)</v>
      </c>
      <c r="AN336" s="26" t="str" cm="1">
        <f t="array" ref="AN336">IFERROR(INDEX(Transactions[[Transaction code]:[Transaction name]],_xlfn.XMATCH(INDEX(Transactions[[Transaction name]:[Parent code]],_xlfn.XMATCH(Transactions[[#This Row],[L3N]],Transactions[Transaction name],0),3),Transactions[Transaction code],0),2),Transactions[[#This Row],[L3N]])</f>
        <v>Transformation</v>
      </c>
      <c r="AO336" s="26" t="str" cm="1">
        <f t="array" ref="AO336">IFERROR(INDEX(Transactions[[Transaction code]:[Transaction name]],_xlfn.XMATCH(INDEX(Transactions[[Transaction name]:[Parent code]],_xlfn.XMATCH(Transactions[[#This Row],[L4N]],Transactions[Transaction name],0),3),Transactions[Transaction code],0),2),Transactions[[#This Row],[L4N]])</f>
        <v>Transformation</v>
      </c>
      <c r="AP336" s="26" t="str" cm="1">
        <f t="array" ref="AP336">IFERROR(INDEX(Transactions[[Transaction code]:[Transaction name]],_xlfn.XMATCH(INDEX(Transactions[[Transaction name]:[Parent code]],_xlfn.XMATCH(Transactions[[#This Row],[L5N]],Transactions[Transaction name],0),3),Transactions[Transaction code],0),2),Transactions[[#This Row],[L5N]])</f>
        <v>Transformation</v>
      </c>
      <c r="AQ336" s="26" t="str" cm="1">
        <f t="array" ref="AQ336">IFERROR(INDEX(Transactions[[Transaction code]:[Transaction name]],_xlfn.XMATCH(INDEX(Transactions[[Transaction name]:[Parent code]],_xlfn.XMATCH(Transactions[[#This Row],[L6N]],Transactions[Transaction name],0),3),Transactions[Transaction code],0),2),Transactions[[#This Row],[L6N]])</f>
        <v>Transformation</v>
      </c>
      <c r="AR336" s="29" t="str">
        <f>IF(Transactions[[#This Row],[L7N]]=Transactions[[#This Row],[L6N]],Transactions[[#This Row],[L7N]],IF(Transactions[[#This Row],[L6N]]=Transactions[[#This Row],[L5N]],Transactions[[#This Row],[L6N]],IF(Transactions[[#This Row],[L5N]]=Transactions[[#This Row],[L4N]],Transactions[[#This Row],[L5N]],IF(Transactions[[#This Row],[L4N]]=Transactions[[#This Row],[L3N]],Transactions[[#This Row],[L4N]],IF(Transactions[[#This Row],[L3N]]=Transactions[[#This Row],[L2N]],Transactions[[#This Row],[L3N]],IF(Transactions[[#This Row],[L2N]]=Transactions[[#This Row],[L1N]],Transactions[[#This Row],[L2N]],IF(Transactions[[#This Row],[L1N]]=Transactions[[#This Row],[Transaction name]],Transactions[[#This Row],[L1N]],Transactions[[#This Row],[Transaction name]])))))))</f>
        <v>Transformation</v>
      </c>
      <c r="AS336" s="26" t="str">
        <f>IF(Transactions[[#This Row],[Level 0]]=Transactions[[#This Row],[Transaction name]],Transactions[[#This Row],[Transaction name]],IF(Transactions[[#This Row],[Level 0]]=Transactions[[#This Row],[L1N]],Transactions[[#This Row],[Transaction name]],IF(Transactions[[#This Row],[Level 0]]=Transactions[[#This Row],[L2N]],Transactions[[#This Row],[L1N]],IF(Transactions[[#This Row],[Level 0]]=Transactions[[#This Row],[L3N]],Transactions[[#This Row],[L2N]],IF(Transactions[[#This Row],[Level 0]]=Transactions[[#This Row],[L4N]],Transactions[[#This Row],[L3N]],IF(Transactions[[#This Row],[Level 0]]=Transactions[[#This Row],[L5N]],Transactions[[#This Row],[L4N]],IF(Transactions[[#This Row],[Level 0]]=Transactions[[#This Row],[L6N]],Transactions[[#This Row],[L5N]],IF(Transactions[[#This Row],[Level 0]]=Transactions[[#This Row],[L7N]],Transactions[[#This Row],[L6N]],Transactions[[#This Row],[L7N]]))))))))</f>
        <v>Electricity, CHP and heat plants (T)</v>
      </c>
      <c r="AT336" s="26" t="str">
        <f>IF(Transactions[[#This Row],[Level 1]]=Transactions[[#This Row],[Transaction name]],Transactions[[#This Row],[Transaction name]],IF(Transactions[[#This Row],[Level 1]]=Transactions[[#This Row],[L1N]],Transactions[[#This Row],[Transaction name]],IF(Transactions[[#This Row],[Level 1]]=Transactions[[#This Row],[L2N]],Transactions[[#This Row],[L1N]],IF(Transactions[[#This Row],[Level 1]]=Transactions[[#This Row],[L3N]],Transactions[[#This Row],[L2N]],IF(Transactions[[#This Row],[Level 1]]=Transactions[[#This Row],[L4N]],Transactions[[#This Row],[L3N]],IF(Transactions[[#This Row],[Level 1]]=Transactions[[#This Row],[L5N]],Transactions[[#This Row],[L4N]],IF(Transactions[[#This Row],[Level 1]]=Transactions[[#This Row],[L6N]],Transactions[[#This Row],[L5N]],IF(Transactions[[#This Row],[Level 1]]=Transactions[[#This Row],[L7N]],Transactions[[#This Row],[L6N]],Transactions[[#This Row],[L7N]]))))))))</f>
        <v>Electricity plants</v>
      </c>
      <c r="AU336" s="26" t="str">
        <f>IF(Transactions[[#This Row],[Level 2]]=Transactions[[#This Row],[Transaction name]],Transactions[[#This Row],[Transaction name]],IF(Transactions[[#This Row],[Level 2]]=Transactions[[#This Row],[L1N]],Transactions[[#This Row],[Transaction name]],IF(Transactions[[#This Row],[Level 2]]=Transactions[[#This Row],[L2N]],Transactions[[#This Row],[L1N]],IF(Transactions[[#This Row],[Level 2]]=Transactions[[#This Row],[L3N]],Transactions[[#This Row],[L2N]],IF(Transactions[[#This Row],[Level 2]]=Transactions[[#This Row],[L4N]],Transactions[[#This Row],[L3N]],IF(Transactions[[#This Row],[Level 2]]=Transactions[[#This Row],[L5N]],Transactions[[#This Row],[L4N]],IF(Transactions[[#This Row],[Level 2]]=Transactions[[#This Row],[L6N]],Transactions[[#This Row],[L5N]],IF(Transactions[[#This Row],[Level 2]]=Transactions[[#This Row],[L7N]],Transactions[[#This Row],[L6N]],Transactions[[#This Row],[L7N]]))))))))</f>
        <v>Electricity plants - biogases</v>
      </c>
      <c r="AV336" s="26" t="str">
        <f>IF(Transactions[[#This Row],[Level 3]]=Transactions[[#This Row],[Transaction name]],Transactions[[#This Row],[Transaction name]],IF(Transactions[[#This Row],[Level 3]]=Transactions[[#This Row],[L1N]],Transactions[[#This Row],[Transaction name]],IF(Transactions[[#This Row],[Level 3]]=Transactions[[#This Row],[L2N]],Transactions[[#This Row],[L1N]],IF(Transactions[[#This Row],[Level 3]]=Transactions[[#This Row],[L3N]],Transactions[[#This Row],[L2N]],IF(Transactions[[#This Row],[Level 3]]=Transactions[[#This Row],[L4N]],Transactions[[#This Row],[L3N]],IF(Transactions[[#This Row],[Level 3]]=Transactions[[#This Row],[L5N]],Transactions[[#This Row],[L4N]],IF(Transactions[[#This Row],[Level 3]]=Transactions[[#This Row],[L6N]],Transactions[[#This Row],[L5N]],IF(Transactions[[#This Row],[Level 3]]=Transactions[[#This Row],[L7N]],Transactions[[#This Row],[L6N]],Transactions[[#This Row],[L7N]]))))))))</f>
        <v>Electricity plants - biogases</v>
      </c>
      <c r="AW336" s="26" t="str">
        <f>IF(Transactions[[#This Row],[Level 4]]=Transactions[[#This Row],[Transaction name]],Transactions[[#This Row],[Transaction name]],IF(Transactions[[#This Row],[Level 4]]=Transactions[[#This Row],[L1N]],Transactions[[#This Row],[Transaction name]],IF(Transactions[[#This Row],[Level 4]]=Transactions[[#This Row],[L2N]],Transactions[[#This Row],[L1N]],IF(Transactions[[#This Row],[Level 4]]=Transactions[[#This Row],[L3N]],Transactions[[#This Row],[L2N]],IF(Transactions[[#This Row],[Level 4]]=Transactions[[#This Row],[L4N]],Transactions[[#This Row],[L3N]],IF(Transactions[[#This Row],[Level 4]]=Transactions[[#This Row],[L5N]],Transactions[[#This Row],[L4N]],IF(Transactions[[#This Row],[Level 4]]=Transactions[[#This Row],[L6N]],Transactions[[#This Row],[L5N]],IF(Transactions[[#This Row],[Level 4]]=Transactions[[#This Row],[L7N]],Transactions[[#This Row],[L6N]],Transactions[[#This Row],[L7N]]))))))))</f>
        <v>Electricity plants - biogases</v>
      </c>
      <c r="AX336" s="26" t="str">
        <f>IF(Transactions[[#This Row],[Level 5]]=Transactions[[#This Row],[Transaction name]],Transactions[[#This Row],[Transaction name]],IF(Transactions[[#This Row],[Level 5]]=Transactions[[#This Row],[L1N]],Transactions[[#This Row],[Transaction name]],IF(Transactions[[#This Row],[Level 5]]=Transactions[[#This Row],[L2N]],Transactions[[#This Row],[L1N]],IF(Transactions[[#This Row],[Level 5]]=Transactions[[#This Row],[L3N]],Transactions[[#This Row],[L2N]],IF(Transactions[[#This Row],[Level 5]]=Transactions[[#This Row],[L4N]],Transactions[[#This Row],[L3N]],IF(Transactions[[#This Row],[Level 5]]=Transactions[[#This Row],[L5N]],Transactions[[#This Row],[L4N]],IF(Transactions[[#This Row],[Level 5]]=Transactions[[#This Row],[L6N]],Transactions[[#This Row],[L5N]],IF(Transactions[[#This Row],[Level 5]]=Transactions[[#This Row],[L7N]],Transactions[[#This Row],[L6N]],Transactions[[#This Row],[L7N]]))))))))</f>
        <v>Electricity plants - biogases</v>
      </c>
      <c r="AY336" s="26" t="str">
        <f>IF(Transactions[[#This Row],[Level 6]]=Transactions[[#This Row],[Transaction name]],Transactions[[#This Row],[Transaction name]],IF(Transactions[[#This Row],[Level 6]]=Transactions[[#This Row],[L1N]],Transactions[[#This Row],[Transaction name]],IF(Transactions[[#This Row],[Level 6]]=Transactions[[#This Row],[L2N]],Transactions[[#This Row],[L1N]],IF(Transactions[[#This Row],[Level 6]]=Transactions[[#This Row],[L3N]],Transactions[[#This Row],[L2N]],IF(Transactions[[#This Row],[Level 6]]=Transactions[[#This Row],[L4N]],Transactions[[#This Row],[L3N]],IF(Transactions[[#This Row],[Level 6]]=Transactions[[#This Row],[L5N]],Transactions[[#This Row],[L4N]],IF(Transactions[[#This Row],[Level 6]]=Transactions[[#This Row],[L6N]],Transactions[[#This Row],[L5N]],IF(Transactions[[#This Row],[Level 6]]=Transactions[[#This Row],[L7N]],Transactions[[#This Row],[L6N]],Transactions[[#This Row],[L7N]]))))))))</f>
        <v>Electricity plants - biogases</v>
      </c>
      <c r="BE336" s="26" t="str">
        <f>_xlfn.XLOOKUP(Transformation[[#This Row],[cfrom]],Commodities[Commodity],Commodities[Commodity code])</f>
        <v>0340</v>
      </c>
      <c r="BF336" s="26" t="str">
        <f>_xlfn.XLOOKUP(Transformation[[#This Row],[tfrom]],Transactions[Transaction name],Transactions[Transaction code])</f>
        <v>01</v>
      </c>
      <c r="BG336" s="26" t="str">
        <f>_xlfn.XLOOKUP(Transformation[[#This Row],[cto]],Commodities[Commodity],Commodities[Commodity code])</f>
        <v>0340</v>
      </c>
      <c r="BH336" s="26" t="str">
        <f>_xlfn.XLOOKUP(Transformation[[#This Row],[tto]],Transactions[Transaction name],Transactions[Transaction code])</f>
        <v>01</v>
      </c>
      <c r="BI336" s="32">
        <v>-1</v>
      </c>
      <c r="BJ336" s="22" t="s">
        <v>489</v>
      </c>
      <c r="BK336" s="26" t="str">
        <f>_xlfn.XLOOKUP(Transformation[[#This Row],[Commodity from]],Commodities[Commodity code],Commodities[EnergyCode])</f>
        <v>CT</v>
      </c>
      <c r="BL336" s="22" t="s">
        <v>383</v>
      </c>
      <c r="BM336" s="22" t="s">
        <v>489</v>
      </c>
      <c r="BN336" s="26" t="str">
        <f>_xlfn.XLOOKUP(Transformation[[#This Row],[Commodity to]],Commodities[Commodity code],Commodities[EnergyCode])</f>
        <v>CT</v>
      </c>
      <c r="BO336" s="22" t="s">
        <v>383</v>
      </c>
      <c r="BP336" s="22" t="s">
        <v>1633</v>
      </c>
      <c r="BQ336" s="33" t="str">
        <f>Transformation[[#This Row],[Commodity from]]&amp;Transformation[[#This Row],[Transaction from]]&amp;Transformation[[#This Row],[Commodity to]]&amp;Transformation[[#This Row],[Transaction to]]</f>
        <v>034001034001</v>
      </c>
      <c r="BR336" s="26" t="str">
        <f>Transformation[[#This Row],[crfomid]]&amp;Transformation[[#This Row],[Transaction from]]&amp;"("&amp;Transformation[[#This Row],[Multiplier]]&amp;") -&gt; "&amp;Transformation[[#This Row],[ctoid]]&amp;Transformation[[#This Row],[Transaction to]]</f>
        <v>CT01(-1) -&gt; CT01</v>
      </c>
    </row>
    <row r="337" spans="25:70" x14ac:dyDescent="0.45">
      <c r="Y337" s="5" t="s">
        <v>1091</v>
      </c>
      <c r="Z337" s="7" t="s">
        <v>1067</v>
      </c>
      <c r="AA337" s="4" t="s">
        <v>1352</v>
      </c>
      <c r="AB337" s="19" t="s">
        <v>1579</v>
      </c>
      <c r="AC337" s="24" t="str">
        <f>IFERROR(VLOOKUP(Transactions[[#This Row],[Parent code]],Transactions[[Transaction code]:[Transaction name]],2,0),"")</f>
        <v>Electricity plants - biogases</v>
      </c>
      <c r="AD337" s="4" t="s">
        <v>189</v>
      </c>
      <c r="AE337" s="4" t="s">
        <v>923</v>
      </c>
      <c r="AF337" s="4" t="s">
        <v>642</v>
      </c>
      <c r="AG337" s="4" t="s">
        <v>1</v>
      </c>
      <c r="AH337" s="4" t="s">
        <v>696</v>
      </c>
      <c r="AI337" s="12" t="s">
        <v>1416</v>
      </c>
      <c r="AK337" s="24" t="str" cm="1">
        <f t="array" ref="AK337">IFERROR(INDEX(Transactions[[Transaction code]:[Transaction name]],_xlfn.XMATCH(Transactions[[#This Row],[Parent code]],Transactions[Transaction name],0),3),Transactions[[#This Row],[Transaction name]])</f>
        <v>Electricity plants - Main activity - biogases</v>
      </c>
      <c r="AL337" s="24" t="str" cm="1">
        <f t="array" ref="AL337">IFERROR(INDEX(Transactions[[Transaction code]:[Transaction name]],_xlfn.XMATCH(INDEX(Transactions[[Transaction name]:[Parent code]],_xlfn.XMATCH(Transactions[[#This Row],[L1N]],Transactions[Transaction name],0),3),Transactions[Transaction code],0),2),Transactions[[#This Row],[L1N]])</f>
        <v>Electricity plants - biogases</v>
      </c>
      <c r="AM337" s="24" t="str" cm="1">
        <f t="array" ref="AM337">IFERROR(INDEX(Transactions[[Transaction code]:[Transaction name]],_xlfn.XMATCH(INDEX(Transactions[[Transaction name]:[Parent code]],_xlfn.XMATCH(Transactions[[#This Row],[L2N]],Transactions[Transaction name],0),3),Transactions[Transaction code],0),2),Transactions[[#This Row],[L2N]])</f>
        <v>Electricity plants</v>
      </c>
      <c r="AN337" s="24" t="str" cm="1">
        <f t="array" ref="AN337">IFERROR(INDEX(Transactions[[Transaction code]:[Transaction name]],_xlfn.XMATCH(INDEX(Transactions[[Transaction name]:[Parent code]],_xlfn.XMATCH(Transactions[[#This Row],[L3N]],Transactions[Transaction name],0),3),Transactions[Transaction code],0),2),Transactions[[#This Row],[L3N]])</f>
        <v>Electricity, CHP and heat plants (T)</v>
      </c>
      <c r="AO337" s="24" t="str" cm="1">
        <f t="array" ref="AO337">IFERROR(INDEX(Transactions[[Transaction code]:[Transaction name]],_xlfn.XMATCH(INDEX(Transactions[[Transaction name]:[Parent code]],_xlfn.XMATCH(Transactions[[#This Row],[L4N]],Transactions[Transaction name],0),3),Transactions[Transaction code],0),2),Transactions[[#This Row],[L4N]])</f>
        <v>Transformation</v>
      </c>
      <c r="AP337" s="24" t="str" cm="1">
        <f t="array" ref="AP337">IFERROR(INDEX(Transactions[[Transaction code]:[Transaction name]],_xlfn.XMATCH(INDEX(Transactions[[Transaction name]:[Parent code]],_xlfn.XMATCH(Transactions[[#This Row],[L5N]],Transactions[Transaction name],0),3),Transactions[Transaction code],0),2),Transactions[[#This Row],[L5N]])</f>
        <v>Transformation</v>
      </c>
      <c r="AQ337" s="24" t="str" cm="1">
        <f t="array" ref="AQ337">IFERROR(INDEX(Transactions[[Transaction code]:[Transaction name]],_xlfn.XMATCH(INDEX(Transactions[[Transaction name]:[Parent code]],_xlfn.XMATCH(Transactions[[#This Row],[L6N]],Transactions[Transaction name],0),3),Transactions[Transaction code],0),2),Transactions[[#This Row],[L6N]])</f>
        <v>Transformation</v>
      </c>
      <c r="AR337" s="28" t="str">
        <f>IF(Transactions[[#This Row],[L7N]]=Transactions[[#This Row],[L6N]],Transactions[[#This Row],[L7N]],IF(Transactions[[#This Row],[L6N]]=Transactions[[#This Row],[L5N]],Transactions[[#This Row],[L6N]],IF(Transactions[[#This Row],[L5N]]=Transactions[[#This Row],[L4N]],Transactions[[#This Row],[L5N]],IF(Transactions[[#This Row],[L4N]]=Transactions[[#This Row],[L3N]],Transactions[[#This Row],[L4N]],IF(Transactions[[#This Row],[L3N]]=Transactions[[#This Row],[L2N]],Transactions[[#This Row],[L3N]],IF(Transactions[[#This Row],[L2N]]=Transactions[[#This Row],[L1N]],Transactions[[#This Row],[L2N]],IF(Transactions[[#This Row],[L1N]]=Transactions[[#This Row],[Transaction name]],Transactions[[#This Row],[L1N]],Transactions[[#This Row],[Transaction name]])))))))</f>
        <v>Transformation</v>
      </c>
      <c r="AS337" s="24" t="str">
        <f>IF(Transactions[[#This Row],[Level 0]]=Transactions[[#This Row],[Transaction name]],Transactions[[#This Row],[Transaction name]],IF(Transactions[[#This Row],[Level 0]]=Transactions[[#This Row],[L1N]],Transactions[[#This Row],[Transaction name]],IF(Transactions[[#This Row],[Level 0]]=Transactions[[#This Row],[L2N]],Transactions[[#This Row],[L1N]],IF(Transactions[[#This Row],[Level 0]]=Transactions[[#This Row],[L3N]],Transactions[[#This Row],[L2N]],IF(Transactions[[#This Row],[Level 0]]=Transactions[[#This Row],[L4N]],Transactions[[#This Row],[L3N]],IF(Transactions[[#This Row],[Level 0]]=Transactions[[#This Row],[L5N]],Transactions[[#This Row],[L4N]],IF(Transactions[[#This Row],[Level 0]]=Transactions[[#This Row],[L6N]],Transactions[[#This Row],[L5N]],IF(Transactions[[#This Row],[Level 0]]=Transactions[[#This Row],[L7N]],Transactions[[#This Row],[L6N]],Transactions[[#This Row],[L7N]]))))))))</f>
        <v>Electricity, CHP and heat plants (T)</v>
      </c>
      <c r="AT337" s="24" t="str">
        <f>IF(Transactions[[#This Row],[Level 1]]=Transactions[[#This Row],[Transaction name]],Transactions[[#This Row],[Transaction name]],IF(Transactions[[#This Row],[Level 1]]=Transactions[[#This Row],[L1N]],Transactions[[#This Row],[Transaction name]],IF(Transactions[[#This Row],[Level 1]]=Transactions[[#This Row],[L2N]],Transactions[[#This Row],[L1N]],IF(Transactions[[#This Row],[Level 1]]=Transactions[[#This Row],[L3N]],Transactions[[#This Row],[L2N]],IF(Transactions[[#This Row],[Level 1]]=Transactions[[#This Row],[L4N]],Transactions[[#This Row],[L3N]],IF(Transactions[[#This Row],[Level 1]]=Transactions[[#This Row],[L5N]],Transactions[[#This Row],[L4N]],IF(Transactions[[#This Row],[Level 1]]=Transactions[[#This Row],[L6N]],Transactions[[#This Row],[L5N]],IF(Transactions[[#This Row],[Level 1]]=Transactions[[#This Row],[L7N]],Transactions[[#This Row],[L6N]],Transactions[[#This Row],[L7N]]))))))))</f>
        <v>Electricity plants</v>
      </c>
      <c r="AU337" s="24" t="str">
        <f>IF(Transactions[[#This Row],[Level 2]]=Transactions[[#This Row],[Transaction name]],Transactions[[#This Row],[Transaction name]],IF(Transactions[[#This Row],[Level 2]]=Transactions[[#This Row],[L1N]],Transactions[[#This Row],[Transaction name]],IF(Transactions[[#This Row],[Level 2]]=Transactions[[#This Row],[L2N]],Transactions[[#This Row],[L1N]],IF(Transactions[[#This Row],[Level 2]]=Transactions[[#This Row],[L3N]],Transactions[[#This Row],[L2N]],IF(Transactions[[#This Row],[Level 2]]=Transactions[[#This Row],[L4N]],Transactions[[#This Row],[L3N]],IF(Transactions[[#This Row],[Level 2]]=Transactions[[#This Row],[L5N]],Transactions[[#This Row],[L4N]],IF(Transactions[[#This Row],[Level 2]]=Transactions[[#This Row],[L6N]],Transactions[[#This Row],[L5N]],IF(Transactions[[#This Row],[Level 2]]=Transactions[[#This Row],[L7N]],Transactions[[#This Row],[L6N]],Transactions[[#This Row],[L7N]]))))))))</f>
        <v>Electricity plants - biogases</v>
      </c>
      <c r="AV337" s="24" t="str">
        <f>IF(Transactions[[#This Row],[Level 3]]=Transactions[[#This Row],[Transaction name]],Transactions[[#This Row],[Transaction name]],IF(Transactions[[#This Row],[Level 3]]=Transactions[[#This Row],[L1N]],Transactions[[#This Row],[Transaction name]],IF(Transactions[[#This Row],[Level 3]]=Transactions[[#This Row],[L2N]],Transactions[[#This Row],[L1N]],IF(Transactions[[#This Row],[Level 3]]=Transactions[[#This Row],[L3N]],Transactions[[#This Row],[L2N]],IF(Transactions[[#This Row],[Level 3]]=Transactions[[#This Row],[L4N]],Transactions[[#This Row],[L3N]],IF(Transactions[[#This Row],[Level 3]]=Transactions[[#This Row],[L5N]],Transactions[[#This Row],[L4N]],IF(Transactions[[#This Row],[Level 3]]=Transactions[[#This Row],[L6N]],Transactions[[#This Row],[L5N]],IF(Transactions[[#This Row],[Level 3]]=Transactions[[#This Row],[L7N]],Transactions[[#This Row],[L6N]],Transactions[[#This Row],[L7N]]))))))))</f>
        <v>Electricity plants - Main activity - biogases</v>
      </c>
      <c r="AW337" s="24" t="str">
        <f>IF(Transactions[[#This Row],[Level 4]]=Transactions[[#This Row],[Transaction name]],Transactions[[#This Row],[Transaction name]],IF(Transactions[[#This Row],[Level 4]]=Transactions[[#This Row],[L1N]],Transactions[[#This Row],[Transaction name]],IF(Transactions[[#This Row],[Level 4]]=Transactions[[#This Row],[L2N]],Transactions[[#This Row],[L1N]],IF(Transactions[[#This Row],[Level 4]]=Transactions[[#This Row],[L3N]],Transactions[[#This Row],[L2N]],IF(Transactions[[#This Row],[Level 4]]=Transactions[[#This Row],[L4N]],Transactions[[#This Row],[L3N]],IF(Transactions[[#This Row],[Level 4]]=Transactions[[#This Row],[L5N]],Transactions[[#This Row],[L4N]],IF(Transactions[[#This Row],[Level 4]]=Transactions[[#This Row],[L6N]],Transactions[[#This Row],[L5N]],IF(Transactions[[#This Row],[Level 4]]=Transactions[[#This Row],[L7N]],Transactions[[#This Row],[L6N]],Transactions[[#This Row],[L7N]]))))))))</f>
        <v>Electricity plants - Main activity - biogases</v>
      </c>
      <c r="AX337" s="24" t="str">
        <f>IF(Transactions[[#This Row],[Level 5]]=Transactions[[#This Row],[Transaction name]],Transactions[[#This Row],[Transaction name]],IF(Transactions[[#This Row],[Level 5]]=Transactions[[#This Row],[L1N]],Transactions[[#This Row],[Transaction name]],IF(Transactions[[#This Row],[Level 5]]=Transactions[[#This Row],[L2N]],Transactions[[#This Row],[L1N]],IF(Transactions[[#This Row],[Level 5]]=Transactions[[#This Row],[L3N]],Transactions[[#This Row],[L2N]],IF(Transactions[[#This Row],[Level 5]]=Transactions[[#This Row],[L4N]],Transactions[[#This Row],[L3N]],IF(Transactions[[#This Row],[Level 5]]=Transactions[[#This Row],[L5N]],Transactions[[#This Row],[L4N]],IF(Transactions[[#This Row],[Level 5]]=Transactions[[#This Row],[L6N]],Transactions[[#This Row],[L5N]],IF(Transactions[[#This Row],[Level 5]]=Transactions[[#This Row],[L7N]],Transactions[[#This Row],[L6N]],Transactions[[#This Row],[L7N]]))))))))</f>
        <v>Electricity plants - Main activity - biogases</v>
      </c>
      <c r="AY337" s="24" t="str">
        <f>IF(Transactions[[#This Row],[Level 6]]=Transactions[[#This Row],[Transaction name]],Transactions[[#This Row],[Transaction name]],IF(Transactions[[#This Row],[Level 6]]=Transactions[[#This Row],[L1N]],Transactions[[#This Row],[Transaction name]],IF(Transactions[[#This Row],[Level 6]]=Transactions[[#This Row],[L2N]],Transactions[[#This Row],[L1N]],IF(Transactions[[#This Row],[Level 6]]=Transactions[[#This Row],[L3N]],Transactions[[#This Row],[L2N]],IF(Transactions[[#This Row],[Level 6]]=Transactions[[#This Row],[L4N]],Transactions[[#This Row],[L3N]],IF(Transactions[[#This Row],[Level 6]]=Transactions[[#This Row],[L5N]],Transactions[[#This Row],[L4N]],IF(Transactions[[#This Row],[Level 6]]=Transactions[[#This Row],[L6N]],Transactions[[#This Row],[L5N]],IF(Transactions[[#This Row],[Level 6]]=Transactions[[#This Row],[L7N]],Transactions[[#This Row],[L6N]],Transactions[[#This Row],[L7N]]))))))))</f>
        <v>Electricity plants - Main activity - biogases</v>
      </c>
      <c r="BE337" s="26" t="str">
        <f>_xlfn.XLOOKUP(Transformation[[#This Row],[cfrom]],Commodities[Commodity],Commodities[Commodity code])</f>
        <v>0340</v>
      </c>
      <c r="BF337" s="26" t="str">
        <f>_xlfn.XLOOKUP(Transformation[[#This Row],[tfrom]],Transactions[Transaction name],Transactions[Transaction code])</f>
        <v>022</v>
      </c>
      <c r="BG337" s="26" t="str">
        <f>_xlfn.XLOOKUP(Transformation[[#This Row],[cto]],Commodities[Commodity],Commodities[Commodity code])</f>
        <v>0340</v>
      </c>
      <c r="BH337" s="26" t="str">
        <f>_xlfn.XLOOKUP(Transformation[[#This Row],[tto]],Transactions[Transaction name],Transactions[Transaction code])</f>
        <v>081</v>
      </c>
      <c r="BI337" s="31">
        <v>1</v>
      </c>
      <c r="BJ337" s="22" t="s">
        <v>489</v>
      </c>
      <c r="BK337" s="26" t="str">
        <f>_xlfn.XLOOKUP(Transformation[[#This Row],[Commodity from]],Commodities[Commodity code],Commodities[EnergyCode])</f>
        <v>CT</v>
      </c>
      <c r="BL337" s="22" t="s">
        <v>205</v>
      </c>
      <c r="BM337" s="22" t="s">
        <v>489</v>
      </c>
      <c r="BN337" s="26" t="str">
        <f>_xlfn.XLOOKUP(Transformation[[#This Row],[Commodity to]],Commodities[Commodity code],Commodities[EnergyCode])</f>
        <v>CT</v>
      </c>
      <c r="BO337" s="22" t="s">
        <v>721</v>
      </c>
      <c r="BP337" s="22" t="s">
        <v>1651</v>
      </c>
      <c r="BQ337" s="33" t="str">
        <f>Transformation[[#This Row],[Commodity from]]&amp;Transformation[[#This Row],[Transaction from]]&amp;Transformation[[#This Row],[Commodity to]]&amp;Transformation[[#This Row],[Transaction to]]</f>
        <v>03400220340081</v>
      </c>
      <c r="BR337" s="26" t="str">
        <f>Transformation[[#This Row],[crfomid]]&amp;Transformation[[#This Row],[Transaction from]]&amp;"("&amp;Transformation[[#This Row],[Multiplier]]&amp;") -&gt; "&amp;Transformation[[#This Row],[ctoid]]&amp;Transformation[[#This Row],[Transaction to]]</f>
        <v>CT022(1) -&gt; CT081</v>
      </c>
    </row>
    <row r="338" spans="25:70" x14ac:dyDescent="0.45">
      <c r="Y338" s="5" t="s">
        <v>1174</v>
      </c>
      <c r="Z338" s="7" t="s">
        <v>1182</v>
      </c>
      <c r="AA338" s="4" t="s">
        <v>1376</v>
      </c>
      <c r="AB338" s="19" t="s">
        <v>1583</v>
      </c>
      <c r="AC338" s="24" t="str">
        <f>IFERROR(VLOOKUP(Transactions[[#This Row],[Parent code]],Transactions[[Transaction code]:[Transaction name]],2,0),"")</f>
        <v>Electricity plants - brown coal</v>
      </c>
      <c r="AD338" s="4" t="s">
        <v>189</v>
      </c>
      <c r="AE338" s="4" t="s">
        <v>923</v>
      </c>
      <c r="AF338" s="4" t="s">
        <v>642</v>
      </c>
      <c r="AG338" s="4" t="s">
        <v>1</v>
      </c>
      <c r="AH338" s="4" t="s">
        <v>696</v>
      </c>
      <c r="AI338" s="12" t="s">
        <v>1416</v>
      </c>
      <c r="AK338" s="24" t="str" cm="1">
        <f t="array" ref="AK338">IFERROR(INDEX(Transactions[[Transaction code]:[Transaction name]],_xlfn.XMATCH(Transactions[[#This Row],[Parent code]],Transactions[Transaction name],0),3),Transactions[[#This Row],[Transaction name]])</f>
        <v>Electricity plants - Autoproducer - brown coal</v>
      </c>
      <c r="AL338" s="24" t="str" cm="1">
        <f t="array" ref="AL338">IFERROR(INDEX(Transactions[[Transaction code]:[Transaction name]],_xlfn.XMATCH(INDEX(Transactions[[Transaction name]:[Parent code]],_xlfn.XMATCH(Transactions[[#This Row],[L1N]],Transactions[Transaction name],0),3),Transactions[Transaction code],0),2),Transactions[[#This Row],[L1N]])</f>
        <v>Electricity plants - brown coal</v>
      </c>
      <c r="AM338" s="24" t="str" cm="1">
        <f t="array" ref="AM338">IFERROR(INDEX(Transactions[[Transaction code]:[Transaction name]],_xlfn.XMATCH(INDEX(Transactions[[Transaction name]:[Parent code]],_xlfn.XMATCH(Transactions[[#This Row],[L2N]],Transactions[Transaction name],0),3),Transactions[Transaction code],0),2),Transactions[[#This Row],[L2N]])</f>
        <v>Electricity plants</v>
      </c>
      <c r="AN338" s="24" t="str" cm="1">
        <f t="array" ref="AN338">IFERROR(INDEX(Transactions[[Transaction code]:[Transaction name]],_xlfn.XMATCH(INDEX(Transactions[[Transaction name]:[Parent code]],_xlfn.XMATCH(Transactions[[#This Row],[L3N]],Transactions[Transaction name],0),3),Transactions[Transaction code],0),2),Transactions[[#This Row],[L3N]])</f>
        <v>Electricity, CHP and heat plants (T)</v>
      </c>
      <c r="AO338" s="24" t="str" cm="1">
        <f t="array" ref="AO338">IFERROR(INDEX(Transactions[[Transaction code]:[Transaction name]],_xlfn.XMATCH(INDEX(Transactions[[Transaction name]:[Parent code]],_xlfn.XMATCH(Transactions[[#This Row],[L4N]],Transactions[Transaction name],0),3),Transactions[Transaction code],0),2),Transactions[[#This Row],[L4N]])</f>
        <v>Transformation</v>
      </c>
      <c r="AP338" s="24" t="str" cm="1">
        <f t="array" ref="AP338">IFERROR(INDEX(Transactions[[Transaction code]:[Transaction name]],_xlfn.XMATCH(INDEX(Transactions[[Transaction name]:[Parent code]],_xlfn.XMATCH(Transactions[[#This Row],[L5N]],Transactions[Transaction name],0),3),Transactions[Transaction code],0),2),Transactions[[#This Row],[L5N]])</f>
        <v>Transformation</v>
      </c>
      <c r="AQ338" s="24" t="str" cm="1">
        <f t="array" ref="AQ338">IFERROR(INDEX(Transactions[[Transaction code]:[Transaction name]],_xlfn.XMATCH(INDEX(Transactions[[Transaction name]:[Parent code]],_xlfn.XMATCH(Transactions[[#This Row],[L6N]],Transactions[Transaction name],0),3),Transactions[Transaction code],0),2),Transactions[[#This Row],[L6N]])</f>
        <v>Transformation</v>
      </c>
      <c r="AR338" s="27" t="str">
        <f>IF(Transactions[[#This Row],[L7N]]=Transactions[[#This Row],[L6N]],Transactions[[#This Row],[L7N]],IF(Transactions[[#This Row],[L6N]]=Transactions[[#This Row],[L5N]],Transactions[[#This Row],[L6N]],IF(Transactions[[#This Row],[L5N]]=Transactions[[#This Row],[L4N]],Transactions[[#This Row],[L5N]],IF(Transactions[[#This Row],[L4N]]=Transactions[[#This Row],[L3N]],Transactions[[#This Row],[L4N]],IF(Transactions[[#This Row],[L3N]]=Transactions[[#This Row],[L2N]],Transactions[[#This Row],[L3N]],IF(Transactions[[#This Row],[L2N]]=Transactions[[#This Row],[L1N]],Transactions[[#This Row],[L2N]],IF(Transactions[[#This Row],[L1N]]=Transactions[[#This Row],[Transaction name]],Transactions[[#This Row],[L1N]],Transactions[[#This Row],[Transaction name]])))))))</f>
        <v>Transformation</v>
      </c>
      <c r="AS338" s="24" t="str">
        <f>IF(Transactions[[#This Row],[Level 0]]=Transactions[[#This Row],[Transaction name]],Transactions[[#This Row],[Transaction name]],IF(Transactions[[#This Row],[Level 0]]=Transactions[[#This Row],[L1N]],Transactions[[#This Row],[Transaction name]],IF(Transactions[[#This Row],[Level 0]]=Transactions[[#This Row],[L2N]],Transactions[[#This Row],[L1N]],IF(Transactions[[#This Row],[Level 0]]=Transactions[[#This Row],[L3N]],Transactions[[#This Row],[L2N]],IF(Transactions[[#This Row],[Level 0]]=Transactions[[#This Row],[L4N]],Transactions[[#This Row],[L3N]],IF(Transactions[[#This Row],[Level 0]]=Transactions[[#This Row],[L5N]],Transactions[[#This Row],[L4N]],IF(Transactions[[#This Row],[Level 0]]=Transactions[[#This Row],[L6N]],Transactions[[#This Row],[L5N]],IF(Transactions[[#This Row],[Level 0]]=Transactions[[#This Row],[L7N]],Transactions[[#This Row],[L6N]],Transactions[[#This Row],[L7N]]))))))))</f>
        <v>Electricity, CHP and heat plants (T)</v>
      </c>
      <c r="AT338" s="24" t="str">
        <f>IF(Transactions[[#This Row],[Level 1]]=Transactions[[#This Row],[Transaction name]],Transactions[[#This Row],[Transaction name]],IF(Transactions[[#This Row],[Level 1]]=Transactions[[#This Row],[L1N]],Transactions[[#This Row],[Transaction name]],IF(Transactions[[#This Row],[Level 1]]=Transactions[[#This Row],[L2N]],Transactions[[#This Row],[L1N]],IF(Transactions[[#This Row],[Level 1]]=Transactions[[#This Row],[L3N]],Transactions[[#This Row],[L2N]],IF(Transactions[[#This Row],[Level 1]]=Transactions[[#This Row],[L4N]],Transactions[[#This Row],[L3N]],IF(Transactions[[#This Row],[Level 1]]=Transactions[[#This Row],[L5N]],Transactions[[#This Row],[L4N]],IF(Transactions[[#This Row],[Level 1]]=Transactions[[#This Row],[L6N]],Transactions[[#This Row],[L5N]],IF(Transactions[[#This Row],[Level 1]]=Transactions[[#This Row],[L7N]],Transactions[[#This Row],[L6N]],Transactions[[#This Row],[L7N]]))))))))</f>
        <v>Electricity plants</v>
      </c>
      <c r="AU338" s="24" t="str">
        <f>IF(Transactions[[#This Row],[Level 2]]=Transactions[[#This Row],[Transaction name]],Transactions[[#This Row],[Transaction name]],IF(Transactions[[#This Row],[Level 2]]=Transactions[[#This Row],[L1N]],Transactions[[#This Row],[Transaction name]],IF(Transactions[[#This Row],[Level 2]]=Transactions[[#This Row],[L2N]],Transactions[[#This Row],[L1N]],IF(Transactions[[#This Row],[Level 2]]=Transactions[[#This Row],[L3N]],Transactions[[#This Row],[L2N]],IF(Transactions[[#This Row],[Level 2]]=Transactions[[#This Row],[L4N]],Transactions[[#This Row],[L3N]],IF(Transactions[[#This Row],[Level 2]]=Transactions[[#This Row],[L5N]],Transactions[[#This Row],[L4N]],IF(Transactions[[#This Row],[Level 2]]=Transactions[[#This Row],[L6N]],Transactions[[#This Row],[L5N]],IF(Transactions[[#This Row],[Level 2]]=Transactions[[#This Row],[L7N]],Transactions[[#This Row],[L6N]],Transactions[[#This Row],[L7N]]))))))))</f>
        <v>Electricity plants - brown coal</v>
      </c>
      <c r="AV338" s="24" t="str">
        <f>IF(Transactions[[#This Row],[Level 3]]=Transactions[[#This Row],[Transaction name]],Transactions[[#This Row],[Transaction name]],IF(Transactions[[#This Row],[Level 3]]=Transactions[[#This Row],[L1N]],Transactions[[#This Row],[Transaction name]],IF(Transactions[[#This Row],[Level 3]]=Transactions[[#This Row],[L2N]],Transactions[[#This Row],[L1N]],IF(Transactions[[#This Row],[Level 3]]=Transactions[[#This Row],[L3N]],Transactions[[#This Row],[L2N]],IF(Transactions[[#This Row],[Level 3]]=Transactions[[#This Row],[L4N]],Transactions[[#This Row],[L3N]],IF(Transactions[[#This Row],[Level 3]]=Transactions[[#This Row],[L5N]],Transactions[[#This Row],[L4N]],IF(Transactions[[#This Row],[Level 3]]=Transactions[[#This Row],[L6N]],Transactions[[#This Row],[L5N]],IF(Transactions[[#This Row],[Level 3]]=Transactions[[#This Row],[L7N]],Transactions[[#This Row],[L6N]],Transactions[[#This Row],[L7N]]))))))))</f>
        <v>Electricity plants - Autoproducer - brown coal</v>
      </c>
      <c r="AW338" s="24" t="str">
        <f>IF(Transactions[[#This Row],[Level 4]]=Transactions[[#This Row],[Transaction name]],Transactions[[#This Row],[Transaction name]],IF(Transactions[[#This Row],[Level 4]]=Transactions[[#This Row],[L1N]],Transactions[[#This Row],[Transaction name]],IF(Transactions[[#This Row],[Level 4]]=Transactions[[#This Row],[L2N]],Transactions[[#This Row],[L1N]],IF(Transactions[[#This Row],[Level 4]]=Transactions[[#This Row],[L3N]],Transactions[[#This Row],[L2N]],IF(Transactions[[#This Row],[Level 4]]=Transactions[[#This Row],[L4N]],Transactions[[#This Row],[L3N]],IF(Transactions[[#This Row],[Level 4]]=Transactions[[#This Row],[L5N]],Transactions[[#This Row],[L4N]],IF(Transactions[[#This Row],[Level 4]]=Transactions[[#This Row],[L6N]],Transactions[[#This Row],[L5N]],IF(Transactions[[#This Row],[Level 4]]=Transactions[[#This Row],[L7N]],Transactions[[#This Row],[L6N]],Transactions[[#This Row],[L7N]]))))))))</f>
        <v>Electricity plants - Autoproducer - brown coal</v>
      </c>
      <c r="AX338" s="24" t="str">
        <f>IF(Transactions[[#This Row],[Level 5]]=Transactions[[#This Row],[Transaction name]],Transactions[[#This Row],[Transaction name]],IF(Transactions[[#This Row],[Level 5]]=Transactions[[#This Row],[L1N]],Transactions[[#This Row],[Transaction name]],IF(Transactions[[#This Row],[Level 5]]=Transactions[[#This Row],[L2N]],Transactions[[#This Row],[L1N]],IF(Transactions[[#This Row],[Level 5]]=Transactions[[#This Row],[L3N]],Transactions[[#This Row],[L2N]],IF(Transactions[[#This Row],[Level 5]]=Transactions[[#This Row],[L4N]],Transactions[[#This Row],[L3N]],IF(Transactions[[#This Row],[Level 5]]=Transactions[[#This Row],[L5N]],Transactions[[#This Row],[L4N]],IF(Transactions[[#This Row],[Level 5]]=Transactions[[#This Row],[L6N]],Transactions[[#This Row],[L5N]],IF(Transactions[[#This Row],[Level 5]]=Transactions[[#This Row],[L7N]],Transactions[[#This Row],[L6N]],Transactions[[#This Row],[L7N]]))))))))</f>
        <v>Electricity plants - Autoproducer - brown coal</v>
      </c>
      <c r="AY338" s="24" t="str">
        <f>IF(Transactions[[#This Row],[Level 6]]=Transactions[[#This Row],[Transaction name]],Transactions[[#This Row],[Transaction name]],IF(Transactions[[#This Row],[Level 6]]=Transactions[[#This Row],[L1N]],Transactions[[#This Row],[Transaction name]],IF(Transactions[[#This Row],[Level 6]]=Transactions[[#This Row],[L2N]],Transactions[[#This Row],[L1N]],IF(Transactions[[#This Row],[Level 6]]=Transactions[[#This Row],[L3N]],Transactions[[#This Row],[L2N]],IF(Transactions[[#This Row],[Level 6]]=Transactions[[#This Row],[L4N]],Transactions[[#This Row],[L3N]],IF(Transactions[[#This Row],[Level 6]]=Transactions[[#This Row],[L5N]],Transactions[[#This Row],[L4N]],IF(Transactions[[#This Row],[Level 6]]=Transactions[[#This Row],[L6N]],Transactions[[#This Row],[L5N]],IF(Transactions[[#This Row],[Level 6]]=Transactions[[#This Row],[L7N]],Transactions[[#This Row],[L6N]],Transactions[[#This Row],[L7N]]))))))))</f>
        <v>Electricity plants - Autoproducer - brown coal</v>
      </c>
      <c r="BE338" s="26" t="str">
        <f>_xlfn.XLOOKUP(Transformation[[#This Row],[cfrom]],Commodities[Commodity],Commodities[Commodity code])</f>
        <v>0340</v>
      </c>
      <c r="BF338" s="26" t="str">
        <f>_xlfn.XLOOKUP(Transformation[[#This Row],[tfrom]],Transactions[Transaction name],Transactions[Transaction code])</f>
        <v>022</v>
      </c>
      <c r="BG338" s="26" t="str">
        <f>_xlfn.XLOOKUP(Transformation[[#This Row],[cto]],Commodities[Commodity],Commodities[Commodity code])</f>
        <v>0340</v>
      </c>
      <c r="BH338" s="26" t="str">
        <f>_xlfn.XLOOKUP(Transformation[[#This Row],[tto]],Transactions[Transaction name],Transactions[Transaction code])</f>
        <v>022</v>
      </c>
      <c r="BI338" s="32">
        <v>-1</v>
      </c>
      <c r="BJ338" s="22" t="s">
        <v>489</v>
      </c>
      <c r="BK338" s="26" t="str">
        <f>_xlfn.XLOOKUP(Transformation[[#This Row],[Commodity from]],Commodities[Commodity code],Commodities[EnergyCode])</f>
        <v>CT</v>
      </c>
      <c r="BL338" s="22" t="s">
        <v>205</v>
      </c>
      <c r="BM338" s="22" t="s">
        <v>489</v>
      </c>
      <c r="BN338" s="26" t="str">
        <f>_xlfn.XLOOKUP(Transformation[[#This Row],[Commodity to]],Commodities[Commodity code],Commodities[EnergyCode])</f>
        <v>CT</v>
      </c>
      <c r="BO338" s="22" t="s">
        <v>205</v>
      </c>
      <c r="BP338" s="22" t="s">
        <v>1639</v>
      </c>
      <c r="BQ338" s="33" t="str">
        <f>Transformation[[#This Row],[Commodity from]]&amp;Transformation[[#This Row],[Transaction from]]&amp;Transformation[[#This Row],[Commodity to]]&amp;Transformation[[#This Row],[Transaction to]]</f>
        <v>03400220340022</v>
      </c>
      <c r="BR338" s="26" t="str">
        <f>Transformation[[#This Row],[crfomid]]&amp;Transformation[[#This Row],[Transaction from]]&amp;"("&amp;Transformation[[#This Row],[Multiplier]]&amp;") -&gt; "&amp;Transformation[[#This Row],[ctoid]]&amp;Transformation[[#This Row],[Transaction to]]</f>
        <v>CT022(-1) -&gt; CT022</v>
      </c>
    </row>
    <row r="339" spans="25:70" x14ac:dyDescent="0.45">
      <c r="Y339" s="19" t="s">
        <v>1583</v>
      </c>
      <c r="Z339" s="18" t="s">
        <v>1376</v>
      </c>
      <c r="AA339" s="18" t="s">
        <v>1376</v>
      </c>
      <c r="AB339" s="19" t="s">
        <v>1600</v>
      </c>
      <c r="AC339" s="26" t="str">
        <f>IFERROR(VLOOKUP(Transactions[[#This Row],[Parent code]],Transactions[[Transaction code]:[Transaction name]],2,0),"")</f>
        <v>Electricity plants</v>
      </c>
      <c r="AD339" s="18" t="s">
        <v>189</v>
      </c>
      <c r="AE339" s="18" t="s">
        <v>923</v>
      </c>
      <c r="AF339" s="18" t="s">
        <v>642</v>
      </c>
      <c r="AG339" s="18" t="s">
        <v>1</v>
      </c>
      <c r="AH339" s="18" t="s">
        <v>696</v>
      </c>
      <c r="AI339" s="18" t="s">
        <v>1416</v>
      </c>
      <c r="AJ339" s="18"/>
      <c r="AK339" s="26" t="str" cm="1">
        <f t="array" ref="AK339">IFERROR(INDEX(Transactions[[Transaction code]:[Transaction name]],_xlfn.XMATCH(Transactions[[#This Row],[Parent code]],Transactions[Transaction name],0),3),Transactions[[#This Row],[Transaction name]])</f>
        <v>Electricity plants - brown coal</v>
      </c>
      <c r="AL339" s="26" t="str" cm="1">
        <f t="array" ref="AL339">IFERROR(INDEX(Transactions[[Transaction code]:[Transaction name]],_xlfn.XMATCH(INDEX(Transactions[[Transaction name]:[Parent code]],_xlfn.XMATCH(Transactions[[#This Row],[L1N]],Transactions[Transaction name],0),3),Transactions[Transaction code],0),2),Transactions[[#This Row],[L1N]])</f>
        <v>Electricity plants</v>
      </c>
      <c r="AM339" s="26" t="str" cm="1">
        <f t="array" ref="AM339">IFERROR(INDEX(Transactions[[Transaction code]:[Transaction name]],_xlfn.XMATCH(INDEX(Transactions[[Transaction name]:[Parent code]],_xlfn.XMATCH(Transactions[[#This Row],[L2N]],Transactions[Transaction name],0),3),Transactions[Transaction code],0),2),Transactions[[#This Row],[L2N]])</f>
        <v>Electricity, CHP and heat plants (T)</v>
      </c>
      <c r="AN339" s="26" t="str" cm="1">
        <f t="array" ref="AN339">IFERROR(INDEX(Transactions[[Transaction code]:[Transaction name]],_xlfn.XMATCH(INDEX(Transactions[[Transaction name]:[Parent code]],_xlfn.XMATCH(Transactions[[#This Row],[L3N]],Transactions[Transaction name],0),3),Transactions[Transaction code],0),2),Transactions[[#This Row],[L3N]])</f>
        <v>Transformation</v>
      </c>
      <c r="AO339" s="26" t="str" cm="1">
        <f t="array" ref="AO339">IFERROR(INDEX(Transactions[[Transaction code]:[Transaction name]],_xlfn.XMATCH(INDEX(Transactions[[Transaction name]:[Parent code]],_xlfn.XMATCH(Transactions[[#This Row],[L4N]],Transactions[Transaction name],0),3),Transactions[Transaction code],0),2),Transactions[[#This Row],[L4N]])</f>
        <v>Transformation</v>
      </c>
      <c r="AP339" s="26" t="str" cm="1">
        <f t="array" ref="AP339">IFERROR(INDEX(Transactions[[Transaction code]:[Transaction name]],_xlfn.XMATCH(INDEX(Transactions[[Transaction name]:[Parent code]],_xlfn.XMATCH(Transactions[[#This Row],[L5N]],Transactions[Transaction name],0),3),Transactions[Transaction code],0),2),Transactions[[#This Row],[L5N]])</f>
        <v>Transformation</v>
      </c>
      <c r="AQ339" s="26" t="str" cm="1">
        <f t="array" ref="AQ339">IFERROR(INDEX(Transactions[[Transaction code]:[Transaction name]],_xlfn.XMATCH(INDEX(Transactions[[Transaction name]:[Parent code]],_xlfn.XMATCH(Transactions[[#This Row],[L6N]],Transactions[Transaction name],0),3),Transactions[Transaction code],0),2),Transactions[[#This Row],[L6N]])</f>
        <v>Transformation</v>
      </c>
      <c r="AR339" s="30" t="str">
        <f>IF(Transactions[[#This Row],[L7N]]=Transactions[[#This Row],[L6N]],Transactions[[#This Row],[L7N]],IF(Transactions[[#This Row],[L6N]]=Transactions[[#This Row],[L5N]],Transactions[[#This Row],[L6N]],IF(Transactions[[#This Row],[L5N]]=Transactions[[#This Row],[L4N]],Transactions[[#This Row],[L5N]],IF(Transactions[[#This Row],[L4N]]=Transactions[[#This Row],[L3N]],Transactions[[#This Row],[L4N]],IF(Transactions[[#This Row],[L3N]]=Transactions[[#This Row],[L2N]],Transactions[[#This Row],[L3N]],IF(Transactions[[#This Row],[L2N]]=Transactions[[#This Row],[L1N]],Transactions[[#This Row],[L2N]],IF(Transactions[[#This Row],[L1N]]=Transactions[[#This Row],[Transaction name]],Transactions[[#This Row],[L1N]],Transactions[[#This Row],[Transaction name]])))))))</f>
        <v>Transformation</v>
      </c>
      <c r="AS339" s="26" t="str">
        <f>IF(Transactions[[#This Row],[Level 0]]=Transactions[[#This Row],[Transaction name]],Transactions[[#This Row],[Transaction name]],IF(Transactions[[#This Row],[Level 0]]=Transactions[[#This Row],[L1N]],Transactions[[#This Row],[Transaction name]],IF(Transactions[[#This Row],[Level 0]]=Transactions[[#This Row],[L2N]],Transactions[[#This Row],[L1N]],IF(Transactions[[#This Row],[Level 0]]=Transactions[[#This Row],[L3N]],Transactions[[#This Row],[L2N]],IF(Transactions[[#This Row],[Level 0]]=Transactions[[#This Row],[L4N]],Transactions[[#This Row],[L3N]],IF(Transactions[[#This Row],[Level 0]]=Transactions[[#This Row],[L5N]],Transactions[[#This Row],[L4N]],IF(Transactions[[#This Row],[Level 0]]=Transactions[[#This Row],[L6N]],Transactions[[#This Row],[L5N]],IF(Transactions[[#This Row],[Level 0]]=Transactions[[#This Row],[L7N]],Transactions[[#This Row],[L6N]],Transactions[[#This Row],[L7N]]))))))))</f>
        <v>Electricity, CHP and heat plants (T)</v>
      </c>
      <c r="AT339" s="26" t="str">
        <f>IF(Transactions[[#This Row],[Level 1]]=Transactions[[#This Row],[Transaction name]],Transactions[[#This Row],[Transaction name]],IF(Transactions[[#This Row],[Level 1]]=Transactions[[#This Row],[L1N]],Transactions[[#This Row],[Transaction name]],IF(Transactions[[#This Row],[Level 1]]=Transactions[[#This Row],[L2N]],Transactions[[#This Row],[L1N]],IF(Transactions[[#This Row],[Level 1]]=Transactions[[#This Row],[L3N]],Transactions[[#This Row],[L2N]],IF(Transactions[[#This Row],[Level 1]]=Transactions[[#This Row],[L4N]],Transactions[[#This Row],[L3N]],IF(Transactions[[#This Row],[Level 1]]=Transactions[[#This Row],[L5N]],Transactions[[#This Row],[L4N]],IF(Transactions[[#This Row],[Level 1]]=Transactions[[#This Row],[L6N]],Transactions[[#This Row],[L5N]],IF(Transactions[[#This Row],[Level 1]]=Transactions[[#This Row],[L7N]],Transactions[[#This Row],[L6N]],Transactions[[#This Row],[L7N]]))))))))</f>
        <v>Electricity plants</v>
      </c>
      <c r="AU339" s="26" t="str">
        <f>IF(Transactions[[#This Row],[Level 2]]=Transactions[[#This Row],[Transaction name]],Transactions[[#This Row],[Transaction name]],IF(Transactions[[#This Row],[Level 2]]=Transactions[[#This Row],[L1N]],Transactions[[#This Row],[Transaction name]],IF(Transactions[[#This Row],[Level 2]]=Transactions[[#This Row],[L2N]],Transactions[[#This Row],[L1N]],IF(Transactions[[#This Row],[Level 2]]=Transactions[[#This Row],[L3N]],Transactions[[#This Row],[L2N]],IF(Transactions[[#This Row],[Level 2]]=Transactions[[#This Row],[L4N]],Transactions[[#This Row],[L3N]],IF(Transactions[[#This Row],[Level 2]]=Transactions[[#This Row],[L5N]],Transactions[[#This Row],[L4N]],IF(Transactions[[#This Row],[Level 2]]=Transactions[[#This Row],[L6N]],Transactions[[#This Row],[L5N]],IF(Transactions[[#This Row],[Level 2]]=Transactions[[#This Row],[L7N]],Transactions[[#This Row],[L6N]],Transactions[[#This Row],[L7N]]))))))))</f>
        <v>Electricity plants - brown coal</v>
      </c>
      <c r="AV339" s="26" t="str">
        <f>IF(Transactions[[#This Row],[Level 3]]=Transactions[[#This Row],[Transaction name]],Transactions[[#This Row],[Transaction name]],IF(Transactions[[#This Row],[Level 3]]=Transactions[[#This Row],[L1N]],Transactions[[#This Row],[Transaction name]],IF(Transactions[[#This Row],[Level 3]]=Transactions[[#This Row],[L2N]],Transactions[[#This Row],[L1N]],IF(Transactions[[#This Row],[Level 3]]=Transactions[[#This Row],[L3N]],Transactions[[#This Row],[L2N]],IF(Transactions[[#This Row],[Level 3]]=Transactions[[#This Row],[L4N]],Transactions[[#This Row],[L3N]],IF(Transactions[[#This Row],[Level 3]]=Transactions[[#This Row],[L5N]],Transactions[[#This Row],[L4N]],IF(Transactions[[#This Row],[Level 3]]=Transactions[[#This Row],[L6N]],Transactions[[#This Row],[L5N]],IF(Transactions[[#This Row],[Level 3]]=Transactions[[#This Row],[L7N]],Transactions[[#This Row],[L6N]],Transactions[[#This Row],[L7N]]))))))))</f>
        <v>Electricity plants - brown coal</v>
      </c>
      <c r="AW339" s="26" t="str">
        <f>IF(Transactions[[#This Row],[Level 4]]=Transactions[[#This Row],[Transaction name]],Transactions[[#This Row],[Transaction name]],IF(Transactions[[#This Row],[Level 4]]=Transactions[[#This Row],[L1N]],Transactions[[#This Row],[Transaction name]],IF(Transactions[[#This Row],[Level 4]]=Transactions[[#This Row],[L2N]],Transactions[[#This Row],[L1N]],IF(Transactions[[#This Row],[Level 4]]=Transactions[[#This Row],[L3N]],Transactions[[#This Row],[L2N]],IF(Transactions[[#This Row],[Level 4]]=Transactions[[#This Row],[L4N]],Transactions[[#This Row],[L3N]],IF(Transactions[[#This Row],[Level 4]]=Transactions[[#This Row],[L5N]],Transactions[[#This Row],[L4N]],IF(Transactions[[#This Row],[Level 4]]=Transactions[[#This Row],[L6N]],Transactions[[#This Row],[L5N]],IF(Transactions[[#This Row],[Level 4]]=Transactions[[#This Row],[L7N]],Transactions[[#This Row],[L6N]],Transactions[[#This Row],[L7N]]))))))))</f>
        <v>Electricity plants - brown coal</v>
      </c>
      <c r="AX339" s="26" t="str">
        <f>IF(Transactions[[#This Row],[Level 5]]=Transactions[[#This Row],[Transaction name]],Transactions[[#This Row],[Transaction name]],IF(Transactions[[#This Row],[Level 5]]=Transactions[[#This Row],[L1N]],Transactions[[#This Row],[Transaction name]],IF(Transactions[[#This Row],[Level 5]]=Transactions[[#This Row],[L2N]],Transactions[[#This Row],[L1N]],IF(Transactions[[#This Row],[Level 5]]=Transactions[[#This Row],[L3N]],Transactions[[#This Row],[L2N]],IF(Transactions[[#This Row],[Level 5]]=Transactions[[#This Row],[L4N]],Transactions[[#This Row],[L3N]],IF(Transactions[[#This Row],[Level 5]]=Transactions[[#This Row],[L5N]],Transactions[[#This Row],[L4N]],IF(Transactions[[#This Row],[Level 5]]=Transactions[[#This Row],[L6N]],Transactions[[#This Row],[L5N]],IF(Transactions[[#This Row],[Level 5]]=Transactions[[#This Row],[L7N]],Transactions[[#This Row],[L6N]],Transactions[[#This Row],[L7N]]))))))))</f>
        <v>Electricity plants - brown coal</v>
      </c>
      <c r="AY339" s="26" t="str">
        <f>IF(Transactions[[#This Row],[Level 6]]=Transactions[[#This Row],[Transaction name]],Transactions[[#This Row],[Transaction name]],IF(Transactions[[#This Row],[Level 6]]=Transactions[[#This Row],[L1N]],Transactions[[#This Row],[Transaction name]],IF(Transactions[[#This Row],[Level 6]]=Transactions[[#This Row],[L2N]],Transactions[[#This Row],[L1N]],IF(Transactions[[#This Row],[Level 6]]=Transactions[[#This Row],[L3N]],Transactions[[#This Row],[L2N]],IF(Transactions[[#This Row],[Level 6]]=Transactions[[#This Row],[L4N]],Transactions[[#This Row],[L3N]],IF(Transactions[[#This Row],[Level 6]]=Transactions[[#This Row],[L5N]],Transactions[[#This Row],[L4N]],IF(Transactions[[#This Row],[Level 6]]=Transactions[[#This Row],[L6N]],Transactions[[#This Row],[L5N]],IF(Transactions[[#This Row],[Level 6]]=Transactions[[#This Row],[L7N]],Transactions[[#This Row],[L6N]],Transactions[[#This Row],[L7N]]))))))))</f>
        <v>Electricity plants - brown coal</v>
      </c>
      <c r="BE339" s="26" t="str">
        <f>_xlfn.XLOOKUP(Transformation[[#This Row],[cfrom]],Commodities[Commodity],Commodities[Commodity code])</f>
        <v>4670</v>
      </c>
      <c r="BF339" s="26" t="str">
        <f>_xlfn.XLOOKUP(Transformation[[#This Row],[tfrom]],Transactions[Transaction name],Transactions[Transaction code])</f>
        <v>01</v>
      </c>
      <c r="BG339" s="26" t="str">
        <f>_xlfn.XLOOKUP(Transformation[[#This Row],[cto]],Commodities[Commodity],Commodities[Commodity code])</f>
        <v>4670</v>
      </c>
      <c r="BH339" s="26" t="str">
        <f>_xlfn.XLOOKUP(Transformation[[#This Row],[tto]],Transactions[Transaction name],Transactions[Transaction code])</f>
        <v>01</v>
      </c>
      <c r="BI339" s="32">
        <v>-1</v>
      </c>
      <c r="BJ339" s="22" t="s">
        <v>372</v>
      </c>
      <c r="BK339" s="26" t="str">
        <f>_xlfn.XLOOKUP(Transformation[[#This Row],[Commodity from]],Commodities[Commodity code],Commodities[EnergyCode])</f>
        <v>DL</v>
      </c>
      <c r="BL339" s="22" t="s">
        <v>383</v>
      </c>
      <c r="BM339" s="22" t="s">
        <v>372</v>
      </c>
      <c r="BN339" s="26" t="str">
        <f>_xlfn.XLOOKUP(Transformation[[#This Row],[Commodity to]],Commodities[Commodity code],Commodities[EnergyCode])</f>
        <v>DL</v>
      </c>
      <c r="BO339" s="22" t="s">
        <v>383</v>
      </c>
      <c r="BP339" s="22" t="s">
        <v>1633</v>
      </c>
      <c r="BQ339" s="33" t="str">
        <f>Transformation[[#This Row],[Commodity from]]&amp;Transformation[[#This Row],[Transaction from]]&amp;Transformation[[#This Row],[Commodity to]]&amp;Transformation[[#This Row],[Transaction to]]</f>
        <v>467001467001</v>
      </c>
      <c r="BR339" s="26" t="str">
        <f>Transformation[[#This Row],[crfomid]]&amp;Transformation[[#This Row],[Transaction from]]&amp;"("&amp;Transformation[[#This Row],[Multiplier]]&amp;") -&gt; "&amp;Transformation[[#This Row],[ctoid]]&amp;Transformation[[#This Row],[Transaction to]]</f>
        <v>DL01(-1) -&gt; DL01</v>
      </c>
    </row>
    <row r="340" spans="25:70" x14ac:dyDescent="0.45">
      <c r="Y340" s="5" t="s">
        <v>1170</v>
      </c>
      <c r="Z340" s="7" t="s">
        <v>1178</v>
      </c>
      <c r="AA340" s="4" t="s">
        <v>1376</v>
      </c>
      <c r="AB340" s="19" t="s">
        <v>1583</v>
      </c>
      <c r="AC340" s="24" t="str">
        <f>IFERROR(VLOOKUP(Transactions[[#This Row],[Parent code]],Transactions[[Transaction code]:[Transaction name]],2,0),"")</f>
        <v>Electricity plants - brown coal</v>
      </c>
      <c r="AD340" s="4" t="s">
        <v>189</v>
      </c>
      <c r="AE340" s="4" t="s">
        <v>923</v>
      </c>
      <c r="AF340" s="4" t="s">
        <v>642</v>
      </c>
      <c r="AG340" s="4" t="s">
        <v>1</v>
      </c>
      <c r="AH340" s="4" t="s">
        <v>696</v>
      </c>
      <c r="AI340" s="12" t="s">
        <v>1416</v>
      </c>
      <c r="AK340" s="24" t="str" cm="1">
        <f t="array" ref="AK340">IFERROR(INDEX(Transactions[[Transaction code]:[Transaction name]],_xlfn.XMATCH(Transactions[[#This Row],[Parent code]],Transactions[Transaction name],0),3),Transactions[[#This Row],[Transaction name]])</f>
        <v>Electricity plants - Main activity - brown coal</v>
      </c>
      <c r="AL340" s="24" t="str" cm="1">
        <f t="array" ref="AL340">IFERROR(INDEX(Transactions[[Transaction code]:[Transaction name]],_xlfn.XMATCH(INDEX(Transactions[[Transaction name]:[Parent code]],_xlfn.XMATCH(Transactions[[#This Row],[L1N]],Transactions[Transaction name],0),3),Transactions[Transaction code],0),2),Transactions[[#This Row],[L1N]])</f>
        <v>Electricity plants - brown coal</v>
      </c>
      <c r="AM340" s="24" t="str" cm="1">
        <f t="array" ref="AM340">IFERROR(INDEX(Transactions[[Transaction code]:[Transaction name]],_xlfn.XMATCH(INDEX(Transactions[[Transaction name]:[Parent code]],_xlfn.XMATCH(Transactions[[#This Row],[L2N]],Transactions[Transaction name],0),3),Transactions[Transaction code],0),2),Transactions[[#This Row],[L2N]])</f>
        <v>Electricity plants</v>
      </c>
      <c r="AN340" s="24" t="str" cm="1">
        <f t="array" ref="AN340">IFERROR(INDEX(Transactions[[Transaction code]:[Transaction name]],_xlfn.XMATCH(INDEX(Transactions[[Transaction name]:[Parent code]],_xlfn.XMATCH(Transactions[[#This Row],[L3N]],Transactions[Transaction name],0),3),Transactions[Transaction code],0),2),Transactions[[#This Row],[L3N]])</f>
        <v>Electricity, CHP and heat plants (T)</v>
      </c>
      <c r="AO340" s="24" t="str" cm="1">
        <f t="array" ref="AO340">IFERROR(INDEX(Transactions[[Transaction code]:[Transaction name]],_xlfn.XMATCH(INDEX(Transactions[[Transaction name]:[Parent code]],_xlfn.XMATCH(Transactions[[#This Row],[L4N]],Transactions[Transaction name],0),3),Transactions[Transaction code],0),2),Transactions[[#This Row],[L4N]])</f>
        <v>Transformation</v>
      </c>
      <c r="AP340" s="24" t="str" cm="1">
        <f t="array" ref="AP340">IFERROR(INDEX(Transactions[[Transaction code]:[Transaction name]],_xlfn.XMATCH(INDEX(Transactions[[Transaction name]:[Parent code]],_xlfn.XMATCH(Transactions[[#This Row],[L5N]],Transactions[Transaction name],0),3),Transactions[Transaction code],0),2),Transactions[[#This Row],[L5N]])</f>
        <v>Transformation</v>
      </c>
      <c r="AQ340" s="24" t="str" cm="1">
        <f t="array" ref="AQ340">IFERROR(INDEX(Transactions[[Transaction code]:[Transaction name]],_xlfn.XMATCH(INDEX(Transactions[[Transaction name]:[Parent code]],_xlfn.XMATCH(Transactions[[#This Row],[L6N]],Transactions[Transaction name],0),3),Transactions[Transaction code],0),2),Transactions[[#This Row],[L6N]])</f>
        <v>Transformation</v>
      </c>
      <c r="AR340" s="27" t="str">
        <f>IF(Transactions[[#This Row],[L7N]]=Transactions[[#This Row],[L6N]],Transactions[[#This Row],[L7N]],IF(Transactions[[#This Row],[L6N]]=Transactions[[#This Row],[L5N]],Transactions[[#This Row],[L6N]],IF(Transactions[[#This Row],[L5N]]=Transactions[[#This Row],[L4N]],Transactions[[#This Row],[L5N]],IF(Transactions[[#This Row],[L4N]]=Transactions[[#This Row],[L3N]],Transactions[[#This Row],[L4N]],IF(Transactions[[#This Row],[L3N]]=Transactions[[#This Row],[L2N]],Transactions[[#This Row],[L3N]],IF(Transactions[[#This Row],[L2N]]=Transactions[[#This Row],[L1N]],Transactions[[#This Row],[L2N]],IF(Transactions[[#This Row],[L1N]]=Transactions[[#This Row],[Transaction name]],Transactions[[#This Row],[L1N]],Transactions[[#This Row],[Transaction name]])))))))</f>
        <v>Transformation</v>
      </c>
      <c r="AS340" s="24" t="str">
        <f>IF(Transactions[[#This Row],[Level 0]]=Transactions[[#This Row],[Transaction name]],Transactions[[#This Row],[Transaction name]],IF(Transactions[[#This Row],[Level 0]]=Transactions[[#This Row],[L1N]],Transactions[[#This Row],[Transaction name]],IF(Transactions[[#This Row],[Level 0]]=Transactions[[#This Row],[L2N]],Transactions[[#This Row],[L1N]],IF(Transactions[[#This Row],[Level 0]]=Transactions[[#This Row],[L3N]],Transactions[[#This Row],[L2N]],IF(Transactions[[#This Row],[Level 0]]=Transactions[[#This Row],[L4N]],Transactions[[#This Row],[L3N]],IF(Transactions[[#This Row],[Level 0]]=Transactions[[#This Row],[L5N]],Transactions[[#This Row],[L4N]],IF(Transactions[[#This Row],[Level 0]]=Transactions[[#This Row],[L6N]],Transactions[[#This Row],[L5N]],IF(Transactions[[#This Row],[Level 0]]=Transactions[[#This Row],[L7N]],Transactions[[#This Row],[L6N]],Transactions[[#This Row],[L7N]]))))))))</f>
        <v>Electricity, CHP and heat plants (T)</v>
      </c>
      <c r="AT340" s="24" t="str">
        <f>IF(Transactions[[#This Row],[Level 1]]=Transactions[[#This Row],[Transaction name]],Transactions[[#This Row],[Transaction name]],IF(Transactions[[#This Row],[Level 1]]=Transactions[[#This Row],[L1N]],Transactions[[#This Row],[Transaction name]],IF(Transactions[[#This Row],[Level 1]]=Transactions[[#This Row],[L2N]],Transactions[[#This Row],[L1N]],IF(Transactions[[#This Row],[Level 1]]=Transactions[[#This Row],[L3N]],Transactions[[#This Row],[L2N]],IF(Transactions[[#This Row],[Level 1]]=Transactions[[#This Row],[L4N]],Transactions[[#This Row],[L3N]],IF(Transactions[[#This Row],[Level 1]]=Transactions[[#This Row],[L5N]],Transactions[[#This Row],[L4N]],IF(Transactions[[#This Row],[Level 1]]=Transactions[[#This Row],[L6N]],Transactions[[#This Row],[L5N]],IF(Transactions[[#This Row],[Level 1]]=Transactions[[#This Row],[L7N]],Transactions[[#This Row],[L6N]],Transactions[[#This Row],[L7N]]))))))))</f>
        <v>Electricity plants</v>
      </c>
      <c r="AU340" s="24" t="str">
        <f>IF(Transactions[[#This Row],[Level 2]]=Transactions[[#This Row],[Transaction name]],Transactions[[#This Row],[Transaction name]],IF(Transactions[[#This Row],[Level 2]]=Transactions[[#This Row],[L1N]],Transactions[[#This Row],[Transaction name]],IF(Transactions[[#This Row],[Level 2]]=Transactions[[#This Row],[L2N]],Transactions[[#This Row],[L1N]],IF(Transactions[[#This Row],[Level 2]]=Transactions[[#This Row],[L3N]],Transactions[[#This Row],[L2N]],IF(Transactions[[#This Row],[Level 2]]=Transactions[[#This Row],[L4N]],Transactions[[#This Row],[L3N]],IF(Transactions[[#This Row],[Level 2]]=Transactions[[#This Row],[L5N]],Transactions[[#This Row],[L4N]],IF(Transactions[[#This Row],[Level 2]]=Transactions[[#This Row],[L6N]],Transactions[[#This Row],[L5N]],IF(Transactions[[#This Row],[Level 2]]=Transactions[[#This Row],[L7N]],Transactions[[#This Row],[L6N]],Transactions[[#This Row],[L7N]]))))))))</f>
        <v>Electricity plants - brown coal</v>
      </c>
      <c r="AV340" s="24" t="str">
        <f>IF(Transactions[[#This Row],[Level 3]]=Transactions[[#This Row],[Transaction name]],Transactions[[#This Row],[Transaction name]],IF(Transactions[[#This Row],[Level 3]]=Transactions[[#This Row],[L1N]],Transactions[[#This Row],[Transaction name]],IF(Transactions[[#This Row],[Level 3]]=Transactions[[#This Row],[L2N]],Transactions[[#This Row],[L1N]],IF(Transactions[[#This Row],[Level 3]]=Transactions[[#This Row],[L3N]],Transactions[[#This Row],[L2N]],IF(Transactions[[#This Row],[Level 3]]=Transactions[[#This Row],[L4N]],Transactions[[#This Row],[L3N]],IF(Transactions[[#This Row],[Level 3]]=Transactions[[#This Row],[L5N]],Transactions[[#This Row],[L4N]],IF(Transactions[[#This Row],[Level 3]]=Transactions[[#This Row],[L6N]],Transactions[[#This Row],[L5N]],IF(Transactions[[#This Row],[Level 3]]=Transactions[[#This Row],[L7N]],Transactions[[#This Row],[L6N]],Transactions[[#This Row],[L7N]]))))))))</f>
        <v>Electricity plants - Main activity - brown coal</v>
      </c>
      <c r="AW340" s="24" t="str">
        <f>IF(Transactions[[#This Row],[Level 4]]=Transactions[[#This Row],[Transaction name]],Transactions[[#This Row],[Transaction name]],IF(Transactions[[#This Row],[Level 4]]=Transactions[[#This Row],[L1N]],Transactions[[#This Row],[Transaction name]],IF(Transactions[[#This Row],[Level 4]]=Transactions[[#This Row],[L2N]],Transactions[[#This Row],[L1N]],IF(Transactions[[#This Row],[Level 4]]=Transactions[[#This Row],[L3N]],Transactions[[#This Row],[L2N]],IF(Transactions[[#This Row],[Level 4]]=Transactions[[#This Row],[L4N]],Transactions[[#This Row],[L3N]],IF(Transactions[[#This Row],[Level 4]]=Transactions[[#This Row],[L5N]],Transactions[[#This Row],[L4N]],IF(Transactions[[#This Row],[Level 4]]=Transactions[[#This Row],[L6N]],Transactions[[#This Row],[L5N]],IF(Transactions[[#This Row],[Level 4]]=Transactions[[#This Row],[L7N]],Transactions[[#This Row],[L6N]],Transactions[[#This Row],[L7N]]))))))))</f>
        <v>Electricity plants - Main activity - brown coal</v>
      </c>
      <c r="AX340" s="24" t="str">
        <f>IF(Transactions[[#This Row],[Level 5]]=Transactions[[#This Row],[Transaction name]],Transactions[[#This Row],[Transaction name]],IF(Transactions[[#This Row],[Level 5]]=Transactions[[#This Row],[L1N]],Transactions[[#This Row],[Transaction name]],IF(Transactions[[#This Row],[Level 5]]=Transactions[[#This Row],[L2N]],Transactions[[#This Row],[L1N]],IF(Transactions[[#This Row],[Level 5]]=Transactions[[#This Row],[L3N]],Transactions[[#This Row],[L2N]],IF(Transactions[[#This Row],[Level 5]]=Transactions[[#This Row],[L4N]],Transactions[[#This Row],[L3N]],IF(Transactions[[#This Row],[Level 5]]=Transactions[[#This Row],[L5N]],Transactions[[#This Row],[L4N]],IF(Transactions[[#This Row],[Level 5]]=Transactions[[#This Row],[L6N]],Transactions[[#This Row],[L5N]],IF(Transactions[[#This Row],[Level 5]]=Transactions[[#This Row],[L7N]],Transactions[[#This Row],[L6N]],Transactions[[#This Row],[L7N]]))))))))</f>
        <v>Electricity plants - Main activity - brown coal</v>
      </c>
      <c r="AY340" s="24" t="str">
        <f>IF(Transactions[[#This Row],[Level 6]]=Transactions[[#This Row],[Transaction name]],Transactions[[#This Row],[Transaction name]],IF(Transactions[[#This Row],[Level 6]]=Transactions[[#This Row],[L1N]],Transactions[[#This Row],[Transaction name]],IF(Transactions[[#This Row],[Level 6]]=Transactions[[#This Row],[L2N]],Transactions[[#This Row],[L1N]],IF(Transactions[[#This Row],[Level 6]]=Transactions[[#This Row],[L3N]],Transactions[[#This Row],[L2N]],IF(Transactions[[#This Row],[Level 6]]=Transactions[[#This Row],[L4N]],Transactions[[#This Row],[L3N]],IF(Transactions[[#This Row],[Level 6]]=Transactions[[#This Row],[L5N]],Transactions[[#This Row],[L4N]],IF(Transactions[[#This Row],[Level 6]]=Transactions[[#This Row],[L6N]],Transactions[[#This Row],[L5N]],IF(Transactions[[#This Row],[Level 6]]=Transactions[[#This Row],[L7N]],Transactions[[#This Row],[L6N]],Transactions[[#This Row],[L7N]]))))))))</f>
        <v>Electricity plants - Main activity - brown coal</v>
      </c>
      <c r="BE340" s="26" t="str">
        <f>_xlfn.XLOOKUP(Transformation[[#This Row],[cfrom]],Commodities[Commodity],Commodities[Commodity code])</f>
        <v>4670</v>
      </c>
      <c r="BF340" s="26" t="str">
        <f>_xlfn.XLOOKUP(Transformation[[#This Row],[tfrom]],Transactions[Transaction name],Transactions[Transaction code])</f>
        <v>022</v>
      </c>
      <c r="BG340" s="26" t="str">
        <f>_xlfn.XLOOKUP(Transformation[[#This Row],[cto]],Commodities[Commodity],Commodities[Commodity code])</f>
        <v>4670</v>
      </c>
      <c r="BH340" s="26" t="str">
        <f>_xlfn.XLOOKUP(Transformation[[#This Row],[tto]],Transactions[Transaction name],Transactions[Transaction code])</f>
        <v>022</v>
      </c>
      <c r="BI340" s="11">
        <v>-1</v>
      </c>
      <c r="BJ340" s="22" t="s">
        <v>372</v>
      </c>
      <c r="BK340" s="24" t="str">
        <f>_xlfn.XLOOKUP(Transformation[[#This Row],[Commodity from]],Commodities[Commodity code],Commodities[EnergyCode])</f>
        <v>DL</v>
      </c>
      <c r="BL340" s="4" t="s">
        <v>205</v>
      </c>
      <c r="BM340" s="4" t="s">
        <v>372</v>
      </c>
      <c r="BN340" s="24" t="str">
        <f>_xlfn.XLOOKUP(Transformation[[#This Row],[Commodity to]],Commodities[Commodity code],Commodities[EnergyCode])</f>
        <v>DL</v>
      </c>
      <c r="BO340" s="4" t="s">
        <v>205</v>
      </c>
      <c r="BP340" s="22" t="s">
        <v>1639</v>
      </c>
      <c r="BQ340" s="33" t="str">
        <f>Transformation[[#This Row],[Commodity from]]&amp;Transformation[[#This Row],[Transaction from]]&amp;Transformation[[#This Row],[Commodity to]]&amp;Transformation[[#This Row],[Transaction to]]</f>
        <v>46700224670022</v>
      </c>
      <c r="BR340" s="26" t="str">
        <f>Transformation[[#This Row],[crfomid]]&amp;Transformation[[#This Row],[Transaction from]]&amp;"("&amp;Transformation[[#This Row],[Multiplier]]&amp;") -&gt; "&amp;Transformation[[#This Row],[ctoid]]&amp;Transformation[[#This Row],[Transaction to]]</f>
        <v>DL022(-1) -&gt; DL022</v>
      </c>
    </row>
    <row r="341" spans="25:70" x14ac:dyDescent="0.45">
      <c r="Y341" s="5" t="s">
        <v>254</v>
      </c>
      <c r="Z341" s="7" t="s">
        <v>686</v>
      </c>
      <c r="AA341" s="4" t="s">
        <v>1317</v>
      </c>
      <c r="AB341" s="19" t="s">
        <v>1590</v>
      </c>
      <c r="AC341" s="24" t="str">
        <f>IFERROR(VLOOKUP(Transactions[[#This Row],[Parent code]],Transactions[[Transaction code]:[Transaction name]],2,0),"")</f>
        <v>Electricity plants - chemical heat/sources</v>
      </c>
      <c r="AD341" s="4" t="s">
        <v>189</v>
      </c>
      <c r="AE341" s="4" t="s">
        <v>923</v>
      </c>
      <c r="AF341" s="4" t="s">
        <v>642</v>
      </c>
      <c r="AG341" s="4" t="s">
        <v>1</v>
      </c>
      <c r="AH341" s="4" t="s">
        <v>696</v>
      </c>
      <c r="AK341" s="24" t="str" cm="1">
        <f t="array" ref="AK341">IFERROR(INDEX(Transactions[[Transaction code]:[Transaction name]],_xlfn.XMATCH(Transactions[[#This Row],[Parent code]],Transactions[Transaction name],0),3),Transactions[[#This Row],[Transaction name]])</f>
        <v>Electricity plants - Autoproducer - chemical heat/sources</v>
      </c>
      <c r="AL341" s="24" t="str" cm="1">
        <f t="array" ref="AL341">IFERROR(INDEX(Transactions[[Transaction code]:[Transaction name]],_xlfn.XMATCH(INDEX(Transactions[[Transaction name]:[Parent code]],_xlfn.XMATCH(Transactions[[#This Row],[L1N]],Transactions[Transaction name],0),3),Transactions[Transaction code],0),2),Transactions[[#This Row],[L1N]])</f>
        <v>Electricity plants - chemical heat/sources</v>
      </c>
      <c r="AM341" s="24" t="str" cm="1">
        <f t="array" ref="AM341">IFERROR(INDEX(Transactions[[Transaction code]:[Transaction name]],_xlfn.XMATCH(INDEX(Transactions[[Transaction name]:[Parent code]],_xlfn.XMATCH(Transactions[[#This Row],[L2N]],Transactions[Transaction name],0),3),Transactions[Transaction code],0),2),Transactions[[#This Row],[L2N]])</f>
        <v>Electricity plants</v>
      </c>
      <c r="AN341" s="24" t="str" cm="1">
        <f t="array" ref="AN341">IFERROR(INDEX(Transactions[[Transaction code]:[Transaction name]],_xlfn.XMATCH(INDEX(Transactions[[Transaction name]:[Parent code]],_xlfn.XMATCH(Transactions[[#This Row],[L3N]],Transactions[Transaction name],0),3),Transactions[Transaction code],0),2),Transactions[[#This Row],[L3N]])</f>
        <v>Electricity, CHP and heat plants (T)</v>
      </c>
      <c r="AO341" s="24" t="str" cm="1">
        <f t="array" ref="AO341">IFERROR(INDEX(Transactions[[Transaction code]:[Transaction name]],_xlfn.XMATCH(INDEX(Transactions[[Transaction name]:[Parent code]],_xlfn.XMATCH(Transactions[[#This Row],[L4N]],Transactions[Transaction name],0),3),Transactions[Transaction code],0),2),Transactions[[#This Row],[L4N]])</f>
        <v>Transformation</v>
      </c>
      <c r="AP341" s="24" t="str" cm="1">
        <f t="array" ref="AP341">IFERROR(INDEX(Transactions[[Transaction code]:[Transaction name]],_xlfn.XMATCH(INDEX(Transactions[[Transaction name]:[Parent code]],_xlfn.XMATCH(Transactions[[#This Row],[L5N]],Transactions[Transaction name],0),3),Transactions[Transaction code],0),2),Transactions[[#This Row],[L5N]])</f>
        <v>Transformation</v>
      </c>
      <c r="AQ341" s="24" t="str" cm="1">
        <f t="array" ref="AQ341">IFERROR(INDEX(Transactions[[Transaction code]:[Transaction name]],_xlfn.XMATCH(INDEX(Transactions[[Transaction name]:[Parent code]],_xlfn.XMATCH(Transactions[[#This Row],[L6N]],Transactions[Transaction name],0),3),Transactions[Transaction code],0),2),Transactions[[#This Row],[L6N]])</f>
        <v>Transformation</v>
      </c>
      <c r="AR341" s="27" t="str">
        <f>IF(Transactions[[#This Row],[L7N]]=Transactions[[#This Row],[L6N]],Transactions[[#This Row],[L7N]],IF(Transactions[[#This Row],[L6N]]=Transactions[[#This Row],[L5N]],Transactions[[#This Row],[L6N]],IF(Transactions[[#This Row],[L5N]]=Transactions[[#This Row],[L4N]],Transactions[[#This Row],[L5N]],IF(Transactions[[#This Row],[L4N]]=Transactions[[#This Row],[L3N]],Transactions[[#This Row],[L4N]],IF(Transactions[[#This Row],[L3N]]=Transactions[[#This Row],[L2N]],Transactions[[#This Row],[L3N]],IF(Transactions[[#This Row],[L2N]]=Transactions[[#This Row],[L1N]],Transactions[[#This Row],[L2N]],IF(Transactions[[#This Row],[L1N]]=Transactions[[#This Row],[Transaction name]],Transactions[[#This Row],[L1N]],Transactions[[#This Row],[Transaction name]])))))))</f>
        <v>Transformation</v>
      </c>
      <c r="AS341" s="24" t="str">
        <f>IF(Transactions[[#This Row],[Level 0]]=Transactions[[#This Row],[Transaction name]],Transactions[[#This Row],[Transaction name]],IF(Transactions[[#This Row],[Level 0]]=Transactions[[#This Row],[L1N]],Transactions[[#This Row],[Transaction name]],IF(Transactions[[#This Row],[Level 0]]=Transactions[[#This Row],[L2N]],Transactions[[#This Row],[L1N]],IF(Transactions[[#This Row],[Level 0]]=Transactions[[#This Row],[L3N]],Transactions[[#This Row],[L2N]],IF(Transactions[[#This Row],[Level 0]]=Transactions[[#This Row],[L4N]],Transactions[[#This Row],[L3N]],IF(Transactions[[#This Row],[Level 0]]=Transactions[[#This Row],[L5N]],Transactions[[#This Row],[L4N]],IF(Transactions[[#This Row],[Level 0]]=Transactions[[#This Row],[L6N]],Transactions[[#This Row],[L5N]],IF(Transactions[[#This Row],[Level 0]]=Transactions[[#This Row],[L7N]],Transactions[[#This Row],[L6N]],Transactions[[#This Row],[L7N]]))))))))</f>
        <v>Electricity, CHP and heat plants (T)</v>
      </c>
      <c r="AT341" s="24" t="str">
        <f>IF(Transactions[[#This Row],[Level 1]]=Transactions[[#This Row],[Transaction name]],Transactions[[#This Row],[Transaction name]],IF(Transactions[[#This Row],[Level 1]]=Transactions[[#This Row],[L1N]],Transactions[[#This Row],[Transaction name]],IF(Transactions[[#This Row],[Level 1]]=Transactions[[#This Row],[L2N]],Transactions[[#This Row],[L1N]],IF(Transactions[[#This Row],[Level 1]]=Transactions[[#This Row],[L3N]],Transactions[[#This Row],[L2N]],IF(Transactions[[#This Row],[Level 1]]=Transactions[[#This Row],[L4N]],Transactions[[#This Row],[L3N]],IF(Transactions[[#This Row],[Level 1]]=Transactions[[#This Row],[L5N]],Transactions[[#This Row],[L4N]],IF(Transactions[[#This Row],[Level 1]]=Transactions[[#This Row],[L6N]],Transactions[[#This Row],[L5N]],IF(Transactions[[#This Row],[Level 1]]=Transactions[[#This Row],[L7N]],Transactions[[#This Row],[L6N]],Transactions[[#This Row],[L7N]]))))))))</f>
        <v>Electricity plants</v>
      </c>
      <c r="AU341" s="24" t="str">
        <f>IF(Transactions[[#This Row],[Level 2]]=Transactions[[#This Row],[Transaction name]],Transactions[[#This Row],[Transaction name]],IF(Transactions[[#This Row],[Level 2]]=Transactions[[#This Row],[L1N]],Transactions[[#This Row],[Transaction name]],IF(Transactions[[#This Row],[Level 2]]=Transactions[[#This Row],[L2N]],Transactions[[#This Row],[L1N]],IF(Transactions[[#This Row],[Level 2]]=Transactions[[#This Row],[L3N]],Transactions[[#This Row],[L2N]],IF(Transactions[[#This Row],[Level 2]]=Transactions[[#This Row],[L4N]],Transactions[[#This Row],[L3N]],IF(Transactions[[#This Row],[Level 2]]=Transactions[[#This Row],[L5N]],Transactions[[#This Row],[L4N]],IF(Transactions[[#This Row],[Level 2]]=Transactions[[#This Row],[L6N]],Transactions[[#This Row],[L5N]],IF(Transactions[[#This Row],[Level 2]]=Transactions[[#This Row],[L7N]],Transactions[[#This Row],[L6N]],Transactions[[#This Row],[L7N]]))))))))</f>
        <v>Electricity plants - chemical heat/sources</v>
      </c>
      <c r="AV341" s="24" t="str">
        <f>IF(Transactions[[#This Row],[Level 3]]=Transactions[[#This Row],[Transaction name]],Transactions[[#This Row],[Transaction name]],IF(Transactions[[#This Row],[Level 3]]=Transactions[[#This Row],[L1N]],Transactions[[#This Row],[Transaction name]],IF(Transactions[[#This Row],[Level 3]]=Transactions[[#This Row],[L2N]],Transactions[[#This Row],[L1N]],IF(Transactions[[#This Row],[Level 3]]=Transactions[[#This Row],[L3N]],Transactions[[#This Row],[L2N]],IF(Transactions[[#This Row],[Level 3]]=Transactions[[#This Row],[L4N]],Transactions[[#This Row],[L3N]],IF(Transactions[[#This Row],[Level 3]]=Transactions[[#This Row],[L5N]],Transactions[[#This Row],[L4N]],IF(Transactions[[#This Row],[Level 3]]=Transactions[[#This Row],[L6N]],Transactions[[#This Row],[L5N]],IF(Transactions[[#This Row],[Level 3]]=Transactions[[#This Row],[L7N]],Transactions[[#This Row],[L6N]],Transactions[[#This Row],[L7N]]))))))))</f>
        <v>Electricity plants - Autoproducer - chemical heat/sources</v>
      </c>
      <c r="AW341" s="24" t="str">
        <f>IF(Transactions[[#This Row],[Level 4]]=Transactions[[#This Row],[Transaction name]],Transactions[[#This Row],[Transaction name]],IF(Transactions[[#This Row],[Level 4]]=Transactions[[#This Row],[L1N]],Transactions[[#This Row],[Transaction name]],IF(Transactions[[#This Row],[Level 4]]=Transactions[[#This Row],[L2N]],Transactions[[#This Row],[L1N]],IF(Transactions[[#This Row],[Level 4]]=Transactions[[#This Row],[L3N]],Transactions[[#This Row],[L2N]],IF(Transactions[[#This Row],[Level 4]]=Transactions[[#This Row],[L4N]],Transactions[[#This Row],[L3N]],IF(Transactions[[#This Row],[Level 4]]=Transactions[[#This Row],[L5N]],Transactions[[#This Row],[L4N]],IF(Transactions[[#This Row],[Level 4]]=Transactions[[#This Row],[L6N]],Transactions[[#This Row],[L5N]],IF(Transactions[[#This Row],[Level 4]]=Transactions[[#This Row],[L7N]],Transactions[[#This Row],[L6N]],Transactions[[#This Row],[L7N]]))))))))</f>
        <v>Electricity plants - Autoproducer - chemical heat/sources</v>
      </c>
      <c r="AX341" s="24" t="str">
        <f>IF(Transactions[[#This Row],[Level 5]]=Transactions[[#This Row],[Transaction name]],Transactions[[#This Row],[Transaction name]],IF(Transactions[[#This Row],[Level 5]]=Transactions[[#This Row],[L1N]],Transactions[[#This Row],[Transaction name]],IF(Transactions[[#This Row],[Level 5]]=Transactions[[#This Row],[L2N]],Transactions[[#This Row],[L1N]],IF(Transactions[[#This Row],[Level 5]]=Transactions[[#This Row],[L3N]],Transactions[[#This Row],[L2N]],IF(Transactions[[#This Row],[Level 5]]=Transactions[[#This Row],[L4N]],Transactions[[#This Row],[L3N]],IF(Transactions[[#This Row],[Level 5]]=Transactions[[#This Row],[L5N]],Transactions[[#This Row],[L4N]],IF(Transactions[[#This Row],[Level 5]]=Transactions[[#This Row],[L6N]],Transactions[[#This Row],[L5N]],IF(Transactions[[#This Row],[Level 5]]=Transactions[[#This Row],[L7N]],Transactions[[#This Row],[L6N]],Transactions[[#This Row],[L7N]]))))))))</f>
        <v>Electricity plants - Autoproducer - chemical heat/sources</v>
      </c>
      <c r="AY341" s="24" t="str">
        <f>IF(Transactions[[#This Row],[Level 6]]=Transactions[[#This Row],[Transaction name]],Transactions[[#This Row],[Transaction name]],IF(Transactions[[#This Row],[Level 6]]=Transactions[[#This Row],[L1N]],Transactions[[#This Row],[Transaction name]],IF(Transactions[[#This Row],[Level 6]]=Transactions[[#This Row],[L2N]],Transactions[[#This Row],[L1N]],IF(Transactions[[#This Row],[Level 6]]=Transactions[[#This Row],[L3N]],Transactions[[#This Row],[L2N]],IF(Transactions[[#This Row],[Level 6]]=Transactions[[#This Row],[L4N]],Transactions[[#This Row],[L3N]],IF(Transactions[[#This Row],[Level 6]]=Transactions[[#This Row],[L5N]],Transactions[[#This Row],[L4N]],IF(Transactions[[#This Row],[Level 6]]=Transactions[[#This Row],[L6N]],Transactions[[#This Row],[L5N]],IF(Transactions[[#This Row],[Level 6]]=Transactions[[#This Row],[L7N]],Transactions[[#This Row],[L6N]],Transactions[[#This Row],[L7N]]))))))))</f>
        <v>Electricity plants - Autoproducer - chemical heat/sources</v>
      </c>
      <c r="BE341" s="26" t="str">
        <f>_xlfn.XLOOKUP(Transformation[[#This Row],[cfrom]],Commodities[Commodity],Commodities[Commodity code])</f>
        <v>4670</v>
      </c>
      <c r="BF341" s="26" t="str">
        <f>_xlfn.XLOOKUP(Transformation[[#This Row],[tfrom]],Transactions[Transaction name],Transactions[Transaction code])</f>
        <v>022</v>
      </c>
      <c r="BG341" s="26" t="str">
        <f>_xlfn.XLOOKUP(Transformation[[#This Row],[cto]],Commodities[Commodity],Commodities[Commodity code])</f>
        <v>4670</v>
      </c>
      <c r="BH341" s="26" t="str">
        <f>_xlfn.XLOOKUP(Transformation[[#This Row],[tto]],Transactions[Transaction name],Transactions[Transaction code])</f>
        <v>013</v>
      </c>
      <c r="BI341" s="31">
        <v>1</v>
      </c>
      <c r="BJ341" s="22" t="s">
        <v>372</v>
      </c>
      <c r="BK341" s="26" t="str">
        <f>_xlfn.XLOOKUP(Transformation[[#This Row],[Commodity from]],Commodities[Commodity code],Commodities[EnergyCode])</f>
        <v>DL</v>
      </c>
      <c r="BL341" s="22" t="s">
        <v>205</v>
      </c>
      <c r="BM341" s="22" t="s">
        <v>372</v>
      </c>
      <c r="BN341" s="26" t="str">
        <f>_xlfn.XLOOKUP(Transformation[[#This Row],[Commodity to]],Commodities[Commodity code],Commodities[EnergyCode])</f>
        <v>DL</v>
      </c>
      <c r="BO341" s="22" t="s">
        <v>374</v>
      </c>
      <c r="BP341" s="22" t="s">
        <v>1694</v>
      </c>
      <c r="BQ341" s="33" t="str">
        <f>Transformation[[#This Row],[Commodity from]]&amp;Transformation[[#This Row],[Transaction from]]&amp;Transformation[[#This Row],[Commodity to]]&amp;Transformation[[#This Row],[Transaction to]]</f>
        <v>46700224670013</v>
      </c>
      <c r="BR341" s="26" t="str">
        <f>Transformation[[#This Row],[crfomid]]&amp;Transformation[[#This Row],[Transaction from]]&amp;"("&amp;Transformation[[#This Row],[Multiplier]]&amp;") -&gt; "&amp;Transformation[[#This Row],[ctoid]]&amp;Transformation[[#This Row],[Transaction to]]</f>
        <v>DL022(1) -&gt; DL013</v>
      </c>
    </row>
    <row r="342" spans="25:70" x14ac:dyDescent="0.45">
      <c r="Y342" s="19" t="s">
        <v>1590</v>
      </c>
      <c r="Z342" s="18" t="s">
        <v>1317</v>
      </c>
      <c r="AA342" s="18" t="s">
        <v>1317</v>
      </c>
      <c r="AB342" s="19" t="s">
        <v>1600</v>
      </c>
      <c r="AC342" s="26" t="str">
        <f>IFERROR(VLOOKUP(Transactions[[#This Row],[Parent code]],Transactions[[Transaction code]:[Transaction name]],2,0),"")</f>
        <v>Electricity plants</v>
      </c>
      <c r="AD342" s="18" t="s">
        <v>189</v>
      </c>
      <c r="AE342" s="18" t="s">
        <v>923</v>
      </c>
      <c r="AF342" s="18" t="s">
        <v>642</v>
      </c>
      <c r="AG342" s="18" t="s">
        <v>1</v>
      </c>
      <c r="AH342" s="18" t="s">
        <v>696</v>
      </c>
      <c r="AI342" s="18"/>
      <c r="AJ342" s="18"/>
      <c r="AK342" s="26" t="str" cm="1">
        <f t="array" ref="AK342">IFERROR(INDEX(Transactions[[Transaction code]:[Transaction name]],_xlfn.XMATCH(Transactions[[#This Row],[Parent code]],Transactions[Transaction name],0),3),Transactions[[#This Row],[Transaction name]])</f>
        <v>Electricity plants - chemical heat/sources</v>
      </c>
      <c r="AL342" s="26" t="str" cm="1">
        <f t="array" ref="AL342">IFERROR(INDEX(Transactions[[Transaction code]:[Transaction name]],_xlfn.XMATCH(INDEX(Transactions[[Transaction name]:[Parent code]],_xlfn.XMATCH(Transactions[[#This Row],[L1N]],Transactions[Transaction name],0),3),Transactions[Transaction code],0),2),Transactions[[#This Row],[L1N]])</f>
        <v>Electricity plants</v>
      </c>
      <c r="AM342" s="26" t="str" cm="1">
        <f t="array" ref="AM342">IFERROR(INDEX(Transactions[[Transaction code]:[Transaction name]],_xlfn.XMATCH(INDEX(Transactions[[Transaction name]:[Parent code]],_xlfn.XMATCH(Transactions[[#This Row],[L2N]],Transactions[Transaction name],0),3),Transactions[Transaction code],0),2),Transactions[[#This Row],[L2N]])</f>
        <v>Electricity, CHP and heat plants (T)</v>
      </c>
      <c r="AN342" s="26" t="str" cm="1">
        <f t="array" ref="AN342">IFERROR(INDEX(Transactions[[Transaction code]:[Transaction name]],_xlfn.XMATCH(INDEX(Transactions[[Transaction name]:[Parent code]],_xlfn.XMATCH(Transactions[[#This Row],[L3N]],Transactions[Transaction name],0),3),Transactions[Transaction code],0),2),Transactions[[#This Row],[L3N]])</f>
        <v>Transformation</v>
      </c>
      <c r="AO342" s="26" t="str" cm="1">
        <f t="array" ref="AO342">IFERROR(INDEX(Transactions[[Transaction code]:[Transaction name]],_xlfn.XMATCH(INDEX(Transactions[[Transaction name]:[Parent code]],_xlfn.XMATCH(Transactions[[#This Row],[L4N]],Transactions[Transaction name],0),3),Transactions[Transaction code],0),2),Transactions[[#This Row],[L4N]])</f>
        <v>Transformation</v>
      </c>
      <c r="AP342" s="26" t="str" cm="1">
        <f t="array" ref="AP342">IFERROR(INDEX(Transactions[[Transaction code]:[Transaction name]],_xlfn.XMATCH(INDEX(Transactions[[Transaction name]:[Parent code]],_xlfn.XMATCH(Transactions[[#This Row],[L5N]],Transactions[Transaction name],0),3),Transactions[Transaction code],0),2),Transactions[[#This Row],[L5N]])</f>
        <v>Transformation</v>
      </c>
      <c r="AQ342" s="26" t="str" cm="1">
        <f t="array" ref="AQ342">IFERROR(INDEX(Transactions[[Transaction code]:[Transaction name]],_xlfn.XMATCH(INDEX(Transactions[[Transaction name]:[Parent code]],_xlfn.XMATCH(Transactions[[#This Row],[L6N]],Transactions[Transaction name],0),3),Transactions[Transaction code],0),2),Transactions[[#This Row],[L6N]])</f>
        <v>Transformation</v>
      </c>
      <c r="AR342" s="30" t="str">
        <f>IF(Transactions[[#This Row],[L7N]]=Transactions[[#This Row],[L6N]],Transactions[[#This Row],[L7N]],IF(Transactions[[#This Row],[L6N]]=Transactions[[#This Row],[L5N]],Transactions[[#This Row],[L6N]],IF(Transactions[[#This Row],[L5N]]=Transactions[[#This Row],[L4N]],Transactions[[#This Row],[L5N]],IF(Transactions[[#This Row],[L4N]]=Transactions[[#This Row],[L3N]],Transactions[[#This Row],[L4N]],IF(Transactions[[#This Row],[L3N]]=Transactions[[#This Row],[L2N]],Transactions[[#This Row],[L3N]],IF(Transactions[[#This Row],[L2N]]=Transactions[[#This Row],[L1N]],Transactions[[#This Row],[L2N]],IF(Transactions[[#This Row],[L1N]]=Transactions[[#This Row],[Transaction name]],Transactions[[#This Row],[L1N]],Transactions[[#This Row],[Transaction name]])))))))</f>
        <v>Transformation</v>
      </c>
      <c r="AS342" s="26" t="str">
        <f>IF(Transactions[[#This Row],[Level 0]]=Transactions[[#This Row],[Transaction name]],Transactions[[#This Row],[Transaction name]],IF(Transactions[[#This Row],[Level 0]]=Transactions[[#This Row],[L1N]],Transactions[[#This Row],[Transaction name]],IF(Transactions[[#This Row],[Level 0]]=Transactions[[#This Row],[L2N]],Transactions[[#This Row],[L1N]],IF(Transactions[[#This Row],[Level 0]]=Transactions[[#This Row],[L3N]],Transactions[[#This Row],[L2N]],IF(Transactions[[#This Row],[Level 0]]=Transactions[[#This Row],[L4N]],Transactions[[#This Row],[L3N]],IF(Transactions[[#This Row],[Level 0]]=Transactions[[#This Row],[L5N]],Transactions[[#This Row],[L4N]],IF(Transactions[[#This Row],[Level 0]]=Transactions[[#This Row],[L6N]],Transactions[[#This Row],[L5N]],IF(Transactions[[#This Row],[Level 0]]=Transactions[[#This Row],[L7N]],Transactions[[#This Row],[L6N]],Transactions[[#This Row],[L7N]]))))))))</f>
        <v>Electricity, CHP and heat plants (T)</v>
      </c>
      <c r="AT342" s="26" t="str">
        <f>IF(Transactions[[#This Row],[Level 1]]=Transactions[[#This Row],[Transaction name]],Transactions[[#This Row],[Transaction name]],IF(Transactions[[#This Row],[Level 1]]=Transactions[[#This Row],[L1N]],Transactions[[#This Row],[Transaction name]],IF(Transactions[[#This Row],[Level 1]]=Transactions[[#This Row],[L2N]],Transactions[[#This Row],[L1N]],IF(Transactions[[#This Row],[Level 1]]=Transactions[[#This Row],[L3N]],Transactions[[#This Row],[L2N]],IF(Transactions[[#This Row],[Level 1]]=Transactions[[#This Row],[L4N]],Transactions[[#This Row],[L3N]],IF(Transactions[[#This Row],[Level 1]]=Transactions[[#This Row],[L5N]],Transactions[[#This Row],[L4N]],IF(Transactions[[#This Row],[Level 1]]=Transactions[[#This Row],[L6N]],Transactions[[#This Row],[L5N]],IF(Transactions[[#This Row],[Level 1]]=Transactions[[#This Row],[L7N]],Transactions[[#This Row],[L6N]],Transactions[[#This Row],[L7N]]))))))))</f>
        <v>Electricity plants</v>
      </c>
      <c r="AU342" s="26" t="str">
        <f>IF(Transactions[[#This Row],[Level 2]]=Transactions[[#This Row],[Transaction name]],Transactions[[#This Row],[Transaction name]],IF(Transactions[[#This Row],[Level 2]]=Transactions[[#This Row],[L1N]],Transactions[[#This Row],[Transaction name]],IF(Transactions[[#This Row],[Level 2]]=Transactions[[#This Row],[L2N]],Transactions[[#This Row],[L1N]],IF(Transactions[[#This Row],[Level 2]]=Transactions[[#This Row],[L3N]],Transactions[[#This Row],[L2N]],IF(Transactions[[#This Row],[Level 2]]=Transactions[[#This Row],[L4N]],Transactions[[#This Row],[L3N]],IF(Transactions[[#This Row],[Level 2]]=Transactions[[#This Row],[L5N]],Transactions[[#This Row],[L4N]],IF(Transactions[[#This Row],[Level 2]]=Transactions[[#This Row],[L6N]],Transactions[[#This Row],[L5N]],IF(Transactions[[#This Row],[Level 2]]=Transactions[[#This Row],[L7N]],Transactions[[#This Row],[L6N]],Transactions[[#This Row],[L7N]]))))))))</f>
        <v>Electricity plants - chemical heat/sources</v>
      </c>
      <c r="AV342" s="26" t="str">
        <f>IF(Transactions[[#This Row],[Level 3]]=Transactions[[#This Row],[Transaction name]],Transactions[[#This Row],[Transaction name]],IF(Transactions[[#This Row],[Level 3]]=Transactions[[#This Row],[L1N]],Transactions[[#This Row],[Transaction name]],IF(Transactions[[#This Row],[Level 3]]=Transactions[[#This Row],[L2N]],Transactions[[#This Row],[L1N]],IF(Transactions[[#This Row],[Level 3]]=Transactions[[#This Row],[L3N]],Transactions[[#This Row],[L2N]],IF(Transactions[[#This Row],[Level 3]]=Transactions[[#This Row],[L4N]],Transactions[[#This Row],[L3N]],IF(Transactions[[#This Row],[Level 3]]=Transactions[[#This Row],[L5N]],Transactions[[#This Row],[L4N]],IF(Transactions[[#This Row],[Level 3]]=Transactions[[#This Row],[L6N]],Transactions[[#This Row],[L5N]],IF(Transactions[[#This Row],[Level 3]]=Transactions[[#This Row],[L7N]],Transactions[[#This Row],[L6N]],Transactions[[#This Row],[L7N]]))))))))</f>
        <v>Electricity plants - chemical heat/sources</v>
      </c>
      <c r="AW342" s="26" t="str">
        <f>IF(Transactions[[#This Row],[Level 4]]=Transactions[[#This Row],[Transaction name]],Transactions[[#This Row],[Transaction name]],IF(Transactions[[#This Row],[Level 4]]=Transactions[[#This Row],[L1N]],Transactions[[#This Row],[Transaction name]],IF(Transactions[[#This Row],[Level 4]]=Transactions[[#This Row],[L2N]],Transactions[[#This Row],[L1N]],IF(Transactions[[#This Row],[Level 4]]=Transactions[[#This Row],[L3N]],Transactions[[#This Row],[L2N]],IF(Transactions[[#This Row],[Level 4]]=Transactions[[#This Row],[L4N]],Transactions[[#This Row],[L3N]],IF(Transactions[[#This Row],[Level 4]]=Transactions[[#This Row],[L5N]],Transactions[[#This Row],[L4N]],IF(Transactions[[#This Row],[Level 4]]=Transactions[[#This Row],[L6N]],Transactions[[#This Row],[L5N]],IF(Transactions[[#This Row],[Level 4]]=Transactions[[#This Row],[L7N]],Transactions[[#This Row],[L6N]],Transactions[[#This Row],[L7N]]))))))))</f>
        <v>Electricity plants - chemical heat/sources</v>
      </c>
      <c r="AX342" s="26" t="str">
        <f>IF(Transactions[[#This Row],[Level 5]]=Transactions[[#This Row],[Transaction name]],Transactions[[#This Row],[Transaction name]],IF(Transactions[[#This Row],[Level 5]]=Transactions[[#This Row],[L1N]],Transactions[[#This Row],[Transaction name]],IF(Transactions[[#This Row],[Level 5]]=Transactions[[#This Row],[L2N]],Transactions[[#This Row],[L1N]],IF(Transactions[[#This Row],[Level 5]]=Transactions[[#This Row],[L3N]],Transactions[[#This Row],[L2N]],IF(Transactions[[#This Row],[Level 5]]=Transactions[[#This Row],[L4N]],Transactions[[#This Row],[L3N]],IF(Transactions[[#This Row],[Level 5]]=Transactions[[#This Row],[L5N]],Transactions[[#This Row],[L4N]],IF(Transactions[[#This Row],[Level 5]]=Transactions[[#This Row],[L6N]],Transactions[[#This Row],[L5N]],IF(Transactions[[#This Row],[Level 5]]=Transactions[[#This Row],[L7N]],Transactions[[#This Row],[L6N]],Transactions[[#This Row],[L7N]]))))))))</f>
        <v>Electricity plants - chemical heat/sources</v>
      </c>
      <c r="AY342" s="26" t="str">
        <f>IF(Transactions[[#This Row],[Level 6]]=Transactions[[#This Row],[Transaction name]],Transactions[[#This Row],[Transaction name]],IF(Transactions[[#This Row],[Level 6]]=Transactions[[#This Row],[L1N]],Transactions[[#This Row],[Transaction name]],IF(Transactions[[#This Row],[Level 6]]=Transactions[[#This Row],[L2N]],Transactions[[#This Row],[L1N]],IF(Transactions[[#This Row],[Level 6]]=Transactions[[#This Row],[L3N]],Transactions[[#This Row],[L2N]],IF(Transactions[[#This Row],[Level 6]]=Transactions[[#This Row],[L4N]],Transactions[[#This Row],[L3N]],IF(Transactions[[#This Row],[Level 6]]=Transactions[[#This Row],[L5N]],Transactions[[#This Row],[L4N]],IF(Transactions[[#This Row],[Level 6]]=Transactions[[#This Row],[L6N]],Transactions[[#This Row],[L5N]],IF(Transactions[[#This Row],[Level 6]]=Transactions[[#This Row],[L7N]],Transactions[[#This Row],[L6N]],Transactions[[#This Row],[L7N]]))))))))</f>
        <v>Electricity plants - chemical heat/sources</v>
      </c>
      <c r="BE342" s="26" t="str">
        <f>_xlfn.XLOOKUP(Transformation[[#This Row],[cfrom]],Commodities[Commodity],Commodities[Commodity code])</f>
        <v>4620</v>
      </c>
      <c r="BF342" s="26" t="str">
        <f>_xlfn.XLOOKUP(Transformation[[#This Row],[tfrom]],Transactions[Transaction name],Transactions[Transaction code])</f>
        <v>01</v>
      </c>
      <c r="BG342" s="26" t="str">
        <f>_xlfn.XLOOKUP(Transformation[[#This Row],[cto]],Commodities[Commodity],Commodities[Commodity code])</f>
        <v>4620</v>
      </c>
      <c r="BH342" s="26" t="str">
        <f>_xlfn.XLOOKUP(Transformation[[#This Row],[tto]],Transactions[Transaction name],Transactions[Transaction code])</f>
        <v>01</v>
      </c>
      <c r="BI342" s="32">
        <v>-1</v>
      </c>
      <c r="BJ342" s="22" t="s">
        <v>412</v>
      </c>
      <c r="BK342" s="26" t="str">
        <f>_xlfn.XLOOKUP(Transformation[[#This Row],[Commodity from]],Commodities[Commodity code],Commodities[EnergyCode])</f>
        <v>EA</v>
      </c>
      <c r="BL342" s="22" t="s">
        <v>383</v>
      </c>
      <c r="BM342" s="22" t="s">
        <v>412</v>
      </c>
      <c r="BN342" s="26" t="str">
        <f>_xlfn.XLOOKUP(Transformation[[#This Row],[Commodity to]],Commodities[Commodity code],Commodities[EnergyCode])</f>
        <v>EA</v>
      </c>
      <c r="BO342" s="22" t="s">
        <v>383</v>
      </c>
      <c r="BP342" s="22" t="s">
        <v>1633</v>
      </c>
      <c r="BQ342" s="33" t="str">
        <f>Transformation[[#This Row],[Commodity from]]&amp;Transformation[[#This Row],[Transaction from]]&amp;Transformation[[#This Row],[Commodity to]]&amp;Transformation[[#This Row],[Transaction to]]</f>
        <v>462001462001</v>
      </c>
      <c r="BR342" s="26" t="str">
        <f>Transformation[[#This Row],[crfomid]]&amp;Transformation[[#This Row],[Transaction from]]&amp;"("&amp;Transformation[[#This Row],[Multiplier]]&amp;") -&gt; "&amp;Transformation[[#This Row],[ctoid]]&amp;Transformation[[#This Row],[Transaction to]]</f>
        <v>EA01(-1) -&gt; EA01</v>
      </c>
    </row>
    <row r="343" spans="25:70" x14ac:dyDescent="0.45">
      <c r="Y343" s="5" t="s">
        <v>336</v>
      </c>
      <c r="Z343" s="7" t="s">
        <v>680</v>
      </c>
      <c r="AA343" s="4" t="s">
        <v>1317</v>
      </c>
      <c r="AB343" s="19" t="s">
        <v>1590</v>
      </c>
      <c r="AC343" s="24" t="str">
        <f>IFERROR(VLOOKUP(Transactions[[#This Row],[Parent code]],Transactions[[Transaction code]:[Transaction name]],2,0),"")</f>
        <v>Electricity plants - chemical heat/sources</v>
      </c>
      <c r="AD343" s="4" t="s">
        <v>189</v>
      </c>
      <c r="AE343" s="4" t="s">
        <v>923</v>
      </c>
      <c r="AF343" s="4" t="s">
        <v>642</v>
      </c>
      <c r="AG343" s="4" t="s">
        <v>1</v>
      </c>
      <c r="AH343" s="4" t="s">
        <v>696</v>
      </c>
      <c r="AK343" s="24" t="str" cm="1">
        <f t="array" ref="AK343">IFERROR(INDEX(Transactions[[Transaction code]:[Transaction name]],_xlfn.XMATCH(Transactions[[#This Row],[Parent code]],Transactions[Transaction name],0),3),Transactions[[#This Row],[Transaction name]])</f>
        <v>Electricity plants - Main activity - chemical heat/sources</v>
      </c>
      <c r="AL343" s="24" t="str" cm="1">
        <f t="array" ref="AL343">IFERROR(INDEX(Transactions[[Transaction code]:[Transaction name]],_xlfn.XMATCH(INDEX(Transactions[[Transaction name]:[Parent code]],_xlfn.XMATCH(Transactions[[#This Row],[L1N]],Transactions[Transaction name],0),3),Transactions[Transaction code],0),2),Transactions[[#This Row],[L1N]])</f>
        <v>Electricity plants - chemical heat/sources</v>
      </c>
      <c r="AM343" s="24" t="str" cm="1">
        <f t="array" ref="AM343">IFERROR(INDEX(Transactions[[Transaction code]:[Transaction name]],_xlfn.XMATCH(INDEX(Transactions[[Transaction name]:[Parent code]],_xlfn.XMATCH(Transactions[[#This Row],[L2N]],Transactions[Transaction name],0),3),Transactions[Transaction code],0),2),Transactions[[#This Row],[L2N]])</f>
        <v>Electricity plants</v>
      </c>
      <c r="AN343" s="24" t="str" cm="1">
        <f t="array" ref="AN343">IFERROR(INDEX(Transactions[[Transaction code]:[Transaction name]],_xlfn.XMATCH(INDEX(Transactions[[Transaction name]:[Parent code]],_xlfn.XMATCH(Transactions[[#This Row],[L3N]],Transactions[Transaction name],0),3),Transactions[Transaction code],0),2),Transactions[[#This Row],[L3N]])</f>
        <v>Electricity, CHP and heat plants (T)</v>
      </c>
      <c r="AO343" s="24" t="str" cm="1">
        <f t="array" ref="AO343">IFERROR(INDEX(Transactions[[Transaction code]:[Transaction name]],_xlfn.XMATCH(INDEX(Transactions[[Transaction name]:[Parent code]],_xlfn.XMATCH(Transactions[[#This Row],[L4N]],Transactions[Transaction name],0),3),Transactions[Transaction code],0),2),Transactions[[#This Row],[L4N]])</f>
        <v>Transformation</v>
      </c>
      <c r="AP343" s="24" t="str" cm="1">
        <f t="array" ref="AP343">IFERROR(INDEX(Transactions[[Transaction code]:[Transaction name]],_xlfn.XMATCH(INDEX(Transactions[[Transaction name]:[Parent code]],_xlfn.XMATCH(Transactions[[#This Row],[L5N]],Transactions[Transaction name],0),3),Transactions[Transaction code],0),2),Transactions[[#This Row],[L5N]])</f>
        <v>Transformation</v>
      </c>
      <c r="AQ343" s="24" t="str" cm="1">
        <f t="array" ref="AQ343">IFERROR(INDEX(Transactions[[Transaction code]:[Transaction name]],_xlfn.XMATCH(INDEX(Transactions[[Transaction name]:[Parent code]],_xlfn.XMATCH(Transactions[[#This Row],[L6N]],Transactions[Transaction name],0),3),Transactions[Transaction code],0),2),Transactions[[#This Row],[L6N]])</f>
        <v>Transformation</v>
      </c>
      <c r="AR343" s="28" t="str">
        <f>IF(Transactions[[#This Row],[L7N]]=Transactions[[#This Row],[L6N]],Transactions[[#This Row],[L7N]],IF(Transactions[[#This Row],[L6N]]=Transactions[[#This Row],[L5N]],Transactions[[#This Row],[L6N]],IF(Transactions[[#This Row],[L5N]]=Transactions[[#This Row],[L4N]],Transactions[[#This Row],[L5N]],IF(Transactions[[#This Row],[L4N]]=Transactions[[#This Row],[L3N]],Transactions[[#This Row],[L4N]],IF(Transactions[[#This Row],[L3N]]=Transactions[[#This Row],[L2N]],Transactions[[#This Row],[L3N]],IF(Transactions[[#This Row],[L2N]]=Transactions[[#This Row],[L1N]],Transactions[[#This Row],[L2N]],IF(Transactions[[#This Row],[L1N]]=Transactions[[#This Row],[Transaction name]],Transactions[[#This Row],[L1N]],Transactions[[#This Row],[Transaction name]])))))))</f>
        <v>Transformation</v>
      </c>
      <c r="AS343" s="24" t="str">
        <f>IF(Transactions[[#This Row],[Level 0]]=Transactions[[#This Row],[Transaction name]],Transactions[[#This Row],[Transaction name]],IF(Transactions[[#This Row],[Level 0]]=Transactions[[#This Row],[L1N]],Transactions[[#This Row],[Transaction name]],IF(Transactions[[#This Row],[Level 0]]=Transactions[[#This Row],[L2N]],Transactions[[#This Row],[L1N]],IF(Transactions[[#This Row],[Level 0]]=Transactions[[#This Row],[L3N]],Transactions[[#This Row],[L2N]],IF(Transactions[[#This Row],[Level 0]]=Transactions[[#This Row],[L4N]],Transactions[[#This Row],[L3N]],IF(Transactions[[#This Row],[Level 0]]=Transactions[[#This Row],[L5N]],Transactions[[#This Row],[L4N]],IF(Transactions[[#This Row],[Level 0]]=Transactions[[#This Row],[L6N]],Transactions[[#This Row],[L5N]],IF(Transactions[[#This Row],[Level 0]]=Transactions[[#This Row],[L7N]],Transactions[[#This Row],[L6N]],Transactions[[#This Row],[L7N]]))))))))</f>
        <v>Electricity, CHP and heat plants (T)</v>
      </c>
      <c r="AT343" s="24" t="str">
        <f>IF(Transactions[[#This Row],[Level 1]]=Transactions[[#This Row],[Transaction name]],Transactions[[#This Row],[Transaction name]],IF(Transactions[[#This Row],[Level 1]]=Transactions[[#This Row],[L1N]],Transactions[[#This Row],[Transaction name]],IF(Transactions[[#This Row],[Level 1]]=Transactions[[#This Row],[L2N]],Transactions[[#This Row],[L1N]],IF(Transactions[[#This Row],[Level 1]]=Transactions[[#This Row],[L3N]],Transactions[[#This Row],[L2N]],IF(Transactions[[#This Row],[Level 1]]=Transactions[[#This Row],[L4N]],Transactions[[#This Row],[L3N]],IF(Transactions[[#This Row],[Level 1]]=Transactions[[#This Row],[L5N]],Transactions[[#This Row],[L4N]],IF(Transactions[[#This Row],[Level 1]]=Transactions[[#This Row],[L6N]],Transactions[[#This Row],[L5N]],IF(Transactions[[#This Row],[Level 1]]=Transactions[[#This Row],[L7N]],Transactions[[#This Row],[L6N]],Transactions[[#This Row],[L7N]]))))))))</f>
        <v>Electricity plants</v>
      </c>
      <c r="AU343" s="24" t="str">
        <f>IF(Transactions[[#This Row],[Level 2]]=Transactions[[#This Row],[Transaction name]],Transactions[[#This Row],[Transaction name]],IF(Transactions[[#This Row],[Level 2]]=Transactions[[#This Row],[L1N]],Transactions[[#This Row],[Transaction name]],IF(Transactions[[#This Row],[Level 2]]=Transactions[[#This Row],[L2N]],Transactions[[#This Row],[L1N]],IF(Transactions[[#This Row],[Level 2]]=Transactions[[#This Row],[L3N]],Transactions[[#This Row],[L2N]],IF(Transactions[[#This Row],[Level 2]]=Transactions[[#This Row],[L4N]],Transactions[[#This Row],[L3N]],IF(Transactions[[#This Row],[Level 2]]=Transactions[[#This Row],[L5N]],Transactions[[#This Row],[L4N]],IF(Transactions[[#This Row],[Level 2]]=Transactions[[#This Row],[L6N]],Transactions[[#This Row],[L5N]],IF(Transactions[[#This Row],[Level 2]]=Transactions[[#This Row],[L7N]],Transactions[[#This Row],[L6N]],Transactions[[#This Row],[L7N]]))))))))</f>
        <v>Electricity plants - chemical heat/sources</v>
      </c>
      <c r="AV343" s="24" t="str">
        <f>IF(Transactions[[#This Row],[Level 3]]=Transactions[[#This Row],[Transaction name]],Transactions[[#This Row],[Transaction name]],IF(Transactions[[#This Row],[Level 3]]=Transactions[[#This Row],[L1N]],Transactions[[#This Row],[Transaction name]],IF(Transactions[[#This Row],[Level 3]]=Transactions[[#This Row],[L2N]],Transactions[[#This Row],[L1N]],IF(Transactions[[#This Row],[Level 3]]=Transactions[[#This Row],[L3N]],Transactions[[#This Row],[L2N]],IF(Transactions[[#This Row],[Level 3]]=Transactions[[#This Row],[L4N]],Transactions[[#This Row],[L3N]],IF(Transactions[[#This Row],[Level 3]]=Transactions[[#This Row],[L5N]],Transactions[[#This Row],[L4N]],IF(Transactions[[#This Row],[Level 3]]=Transactions[[#This Row],[L6N]],Transactions[[#This Row],[L5N]],IF(Transactions[[#This Row],[Level 3]]=Transactions[[#This Row],[L7N]],Transactions[[#This Row],[L6N]],Transactions[[#This Row],[L7N]]))))))))</f>
        <v>Electricity plants - Main activity - chemical heat/sources</v>
      </c>
      <c r="AW343" s="24" t="str">
        <f>IF(Transactions[[#This Row],[Level 4]]=Transactions[[#This Row],[Transaction name]],Transactions[[#This Row],[Transaction name]],IF(Transactions[[#This Row],[Level 4]]=Transactions[[#This Row],[L1N]],Transactions[[#This Row],[Transaction name]],IF(Transactions[[#This Row],[Level 4]]=Transactions[[#This Row],[L2N]],Transactions[[#This Row],[L1N]],IF(Transactions[[#This Row],[Level 4]]=Transactions[[#This Row],[L3N]],Transactions[[#This Row],[L2N]],IF(Transactions[[#This Row],[Level 4]]=Transactions[[#This Row],[L4N]],Transactions[[#This Row],[L3N]],IF(Transactions[[#This Row],[Level 4]]=Transactions[[#This Row],[L5N]],Transactions[[#This Row],[L4N]],IF(Transactions[[#This Row],[Level 4]]=Transactions[[#This Row],[L6N]],Transactions[[#This Row],[L5N]],IF(Transactions[[#This Row],[Level 4]]=Transactions[[#This Row],[L7N]],Transactions[[#This Row],[L6N]],Transactions[[#This Row],[L7N]]))))))))</f>
        <v>Electricity plants - Main activity - chemical heat/sources</v>
      </c>
      <c r="AX343" s="24" t="str">
        <f>IF(Transactions[[#This Row],[Level 5]]=Transactions[[#This Row],[Transaction name]],Transactions[[#This Row],[Transaction name]],IF(Transactions[[#This Row],[Level 5]]=Transactions[[#This Row],[L1N]],Transactions[[#This Row],[Transaction name]],IF(Transactions[[#This Row],[Level 5]]=Transactions[[#This Row],[L2N]],Transactions[[#This Row],[L1N]],IF(Transactions[[#This Row],[Level 5]]=Transactions[[#This Row],[L3N]],Transactions[[#This Row],[L2N]],IF(Transactions[[#This Row],[Level 5]]=Transactions[[#This Row],[L4N]],Transactions[[#This Row],[L3N]],IF(Transactions[[#This Row],[Level 5]]=Transactions[[#This Row],[L5N]],Transactions[[#This Row],[L4N]],IF(Transactions[[#This Row],[Level 5]]=Transactions[[#This Row],[L6N]],Transactions[[#This Row],[L5N]],IF(Transactions[[#This Row],[Level 5]]=Transactions[[#This Row],[L7N]],Transactions[[#This Row],[L6N]],Transactions[[#This Row],[L7N]]))))))))</f>
        <v>Electricity plants - Main activity - chemical heat/sources</v>
      </c>
      <c r="AY343" s="24" t="str">
        <f>IF(Transactions[[#This Row],[Level 6]]=Transactions[[#This Row],[Transaction name]],Transactions[[#This Row],[Transaction name]],IF(Transactions[[#This Row],[Level 6]]=Transactions[[#This Row],[L1N]],Transactions[[#This Row],[Transaction name]],IF(Transactions[[#This Row],[Level 6]]=Transactions[[#This Row],[L2N]],Transactions[[#This Row],[L1N]],IF(Transactions[[#This Row],[Level 6]]=Transactions[[#This Row],[L3N]],Transactions[[#This Row],[L2N]],IF(Transactions[[#This Row],[Level 6]]=Transactions[[#This Row],[L4N]],Transactions[[#This Row],[L3N]],IF(Transactions[[#This Row],[Level 6]]=Transactions[[#This Row],[L5N]],Transactions[[#This Row],[L4N]],IF(Transactions[[#This Row],[Level 6]]=Transactions[[#This Row],[L6N]],Transactions[[#This Row],[L5N]],IF(Transactions[[#This Row],[Level 6]]=Transactions[[#This Row],[L7N]],Transactions[[#This Row],[L6N]],Transactions[[#This Row],[L7N]]))))))))</f>
        <v>Electricity plants - Main activity - chemical heat/sources</v>
      </c>
      <c r="BE343" s="26" t="str">
        <f>_xlfn.XLOOKUP(Transformation[[#This Row],[cfrom]],Commodities[Commodity],Commodities[Commodity code])</f>
        <v>4620</v>
      </c>
      <c r="BF343" s="26" t="str">
        <f>_xlfn.XLOOKUP(Transformation[[#This Row],[tfrom]],Transactions[Transaction name],Transactions[Transaction code])</f>
        <v>022</v>
      </c>
      <c r="BG343" s="26" t="str">
        <f>_xlfn.XLOOKUP(Transformation[[#This Row],[cto]],Commodities[Commodity],Commodities[Commodity code])</f>
        <v>4620</v>
      </c>
      <c r="BH343" s="26" t="str">
        <f>_xlfn.XLOOKUP(Transformation[[#This Row],[tto]],Transactions[Transaction name],Transactions[Transaction code])</f>
        <v>022</v>
      </c>
      <c r="BI343" s="31">
        <v>-1</v>
      </c>
      <c r="BJ343" s="22" t="s">
        <v>412</v>
      </c>
      <c r="BK343" s="26" t="str">
        <f>_xlfn.XLOOKUP(Transformation[[#This Row],[Commodity from]],Commodities[Commodity code],Commodities[EnergyCode])</f>
        <v>EA</v>
      </c>
      <c r="BL343" s="22" t="s">
        <v>205</v>
      </c>
      <c r="BM343" s="22" t="s">
        <v>412</v>
      </c>
      <c r="BN343" s="26" t="str">
        <f>_xlfn.XLOOKUP(Transformation[[#This Row],[Commodity to]],Commodities[Commodity code],Commodities[EnergyCode])</f>
        <v>EA</v>
      </c>
      <c r="BO343" s="22" t="s">
        <v>205</v>
      </c>
      <c r="BP343" s="22" t="s">
        <v>1639</v>
      </c>
      <c r="BQ343" s="33" t="str">
        <f>Transformation[[#This Row],[Commodity from]]&amp;Transformation[[#This Row],[Transaction from]]&amp;Transformation[[#This Row],[Commodity to]]&amp;Transformation[[#This Row],[Transaction to]]</f>
        <v>46200224620022</v>
      </c>
      <c r="BR343" s="26" t="str">
        <f>Transformation[[#This Row],[crfomid]]&amp;Transformation[[#This Row],[Transaction from]]&amp;"("&amp;Transformation[[#This Row],[Multiplier]]&amp;") -&gt; "&amp;Transformation[[#This Row],[ctoid]]&amp;Transformation[[#This Row],[Transaction to]]</f>
        <v>EA022(-1) -&gt; EA022</v>
      </c>
    </row>
    <row r="344" spans="25:70" x14ac:dyDescent="0.45">
      <c r="Y344" s="5" t="s">
        <v>280</v>
      </c>
      <c r="Z344" s="7" t="s">
        <v>684</v>
      </c>
      <c r="AA344" s="4" t="s">
        <v>1309</v>
      </c>
      <c r="AB344" s="19" t="s">
        <v>1582</v>
      </c>
      <c r="AC344" s="24" t="str">
        <f>IFERROR(VLOOKUP(Transactions[[#This Row],[Parent code]],Transactions[[Transaction code]:[Transaction name]],2,0),"")</f>
        <v>Electricity plants - combustible fuels</v>
      </c>
      <c r="AD344" s="4" t="s">
        <v>189</v>
      </c>
      <c r="AE344" s="4" t="s">
        <v>923</v>
      </c>
      <c r="AF344" s="4" t="s">
        <v>642</v>
      </c>
      <c r="AG344" s="4" t="s">
        <v>1</v>
      </c>
      <c r="AH344" s="4" t="s">
        <v>696</v>
      </c>
      <c r="AI344" s="12" t="s">
        <v>1416</v>
      </c>
      <c r="AJ344" s="4" t="s">
        <v>0</v>
      </c>
      <c r="AK344" s="24" t="str" cm="1">
        <f t="array" ref="AK344">IFERROR(INDEX(Transactions[[Transaction code]:[Transaction name]],_xlfn.XMATCH(Transactions[[#This Row],[Parent code]],Transactions[Transaction name],0),3),Transactions[[#This Row],[Transaction name]])</f>
        <v>Electricity plants - Autoproducer - combustible fuels</v>
      </c>
      <c r="AL344" s="24" t="str" cm="1">
        <f t="array" ref="AL344">IFERROR(INDEX(Transactions[[Transaction code]:[Transaction name]],_xlfn.XMATCH(INDEX(Transactions[[Transaction name]:[Parent code]],_xlfn.XMATCH(Transactions[[#This Row],[L1N]],Transactions[Transaction name],0),3),Transactions[Transaction code],0),2),Transactions[[#This Row],[L1N]])</f>
        <v>Electricity plants - combustible fuels</v>
      </c>
      <c r="AM344" s="24" t="str" cm="1">
        <f t="array" ref="AM344">IFERROR(INDEX(Transactions[[Transaction code]:[Transaction name]],_xlfn.XMATCH(INDEX(Transactions[[Transaction name]:[Parent code]],_xlfn.XMATCH(Transactions[[#This Row],[L2N]],Transactions[Transaction name],0),3),Transactions[Transaction code],0),2),Transactions[[#This Row],[L2N]])</f>
        <v>Electricity plants</v>
      </c>
      <c r="AN344" s="24" t="str" cm="1">
        <f t="array" ref="AN344">IFERROR(INDEX(Transactions[[Transaction code]:[Transaction name]],_xlfn.XMATCH(INDEX(Transactions[[Transaction name]:[Parent code]],_xlfn.XMATCH(Transactions[[#This Row],[L3N]],Transactions[Transaction name],0),3),Transactions[Transaction code],0),2),Transactions[[#This Row],[L3N]])</f>
        <v>Electricity, CHP and heat plants (T)</v>
      </c>
      <c r="AO344" s="24" t="str" cm="1">
        <f t="array" ref="AO344">IFERROR(INDEX(Transactions[[Transaction code]:[Transaction name]],_xlfn.XMATCH(INDEX(Transactions[[Transaction name]:[Parent code]],_xlfn.XMATCH(Transactions[[#This Row],[L4N]],Transactions[Transaction name],0),3),Transactions[Transaction code],0),2),Transactions[[#This Row],[L4N]])</f>
        <v>Transformation</v>
      </c>
      <c r="AP344" s="24" t="str" cm="1">
        <f t="array" ref="AP344">IFERROR(INDEX(Transactions[[Transaction code]:[Transaction name]],_xlfn.XMATCH(INDEX(Transactions[[Transaction name]:[Parent code]],_xlfn.XMATCH(Transactions[[#This Row],[L5N]],Transactions[Transaction name],0),3),Transactions[Transaction code],0),2),Transactions[[#This Row],[L5N]])</f>
        <v>Transformation</v>
      </c>
      <c r="AQ344" s="24" t="str" cm="1">
        <f t="array" ref="AQ344">IFERROR(INDEX(Transactions[[Transaction code]:[Transaction name]],_xlfn.XMATCH(INDEX(Transactions[[Transaction name]:[Parent code]],_xlfn.XMATCH(Transactions[[#This Row],[L6N]],Transactions[Transaction name],0),3),Transactions[Transaction code],0),2),Transactions[[#This Row],[L6N]])</f>
        <v>Transformation</v>
      </c>
      <c r="AR344" s="28" t="str">
        <f>IF(Transactions[[#This Row],[L7N]]=Transactions[[#This Row],[L6N]],Transactions[[#This Row],[L7N]],IF(Transactions[[#This Row],[L6N]]=Transactions[[#This Row],[L5N]],Transactions[[#This Row],[L6N]],IF(Transactions[[#This Row],[L5N]]=Transactions[[#This Row],[L4N]],Transactions[[#This Row],[L5N]],IF(Transactions[[#This Row],[L4N]]=Transactions[[#This Row],[L3N]],Transactions[[#This Row],[L4N]],IF(Transactions[[#This Row],[L3N]]=Transactions[[#This Row],[L2N]],Transactions[[#This Row],[L3N]],IF(Transactions[[#This Row],[L2N]]=Transactions[[#This Row],[L1N]],Transactions[[#This Row],[L2N]],IF(Transactions[[#This Row],[L1N]]=Transactions[[#This Row],[Transaction name]],Transactions[[#This Row],[L1N]],Transactions[[#This Row],[Transaction name]])))))))</f>
        <v>Transformation</v>
      </c>
      <c r="AS344" s="24" t="str">
        <f>IF(Transactions[[#This Row],[Level 0]]=Transactions[[#This Row],[Transaction name]],Transactions[[#This Row],[Transaction name]],IF(Transactions[[#This Row],[Level 0]]=Transactions[[#This Row],[L1N]],Transactions[[#This Row],[Transaction name]],IF(Transactions[[#This Row],[Level 0]]=Transactions[[#This Row],[L2N]],Transactions[[#This Row],[L1N]],IF(Transactions[[#This Row],[Level 0]]=Transactions[[#This Row],[L3N]],Transactions[[#This Row],[L2N]],IF(Transactions[[#This Row],[Level 0]]=Transactions[[#This Row],[L4N]],Transactions[[#This Row],[L3N]],IF(Transactions[[#This Row],[Level 0]]=Transactions[[#This Row],[L5N]],Transactions[[#This Row],[L4N]],IF(Transactions[[#This Row],[Level 0]]=Transactions[[#This Row],[L6N]],Transactions[[#This Row],[L5N]],IF(Transactions[[#This Row],[Level 0]]=Transactions[[#This Row],[L7N]],Transactions[[#This Row],[L6N]],Transactions[[#This Row],[L7N]]))))))))</f>
        <v>Electricity, CHP and heat plants (T)</v>
      </c>
      <c r="AT344" s="24" t="str">
        <f>IF(Transactions[[#This Row],[Level 1]]=Transactions[[#This Row],[Transaction name]],Transactions[[#This Row],[Transaction name]],IF(Transactions[[#This Row],[Level 1]]=Transactions[[#This Row],[L1N]],Transactions[[#This Row],[Transaction name]],IF(Transactions[[#This Row],[Level 1]]=Transactions[[#This Row],[L2N]],Transactions[[#This Row],[L1N]],IF(Transactions[[#This Row],[Level 1]]=Transactions[[#This Row],[L3N]],Transactions[[#This Row],[L2N]],IF(Transactions[[#This Row],[Level 1]]=Transactions[[#This Row],[L4N]],Transactions[[#This Row],[L3N]],IF(Transactions[[#This Row],[Level 1]]=Transactions[[#This Row],[L5N]],Transactions[[#This Row],[L4N]],IF(Transactions[[#This Row],[Level 1]]=Transactions[[#This Row],[L6N]],Transactions[[#This Row],[L5N]],IF(Transactions[[#This Row],[Level 1]]=Transactions[[#This Row],[L7N]],Transactions[[#This Row],[L6N]],Transactions[[#This Row],[L7N]]))))))))</f>
        <v>Electricity plants</v>
      </c>
      <c r="AU344" s="24" t="str">
        <f>IF(Transactions[[#This Row],[Level 2]]=Transactions[[#This Row],[Transaction name]],Transactions[[#This Row],[Transaction name]],IF(Transactions[[#This Row],[Level 2]]=Transactions[[#This Row],[L1N]],Transactions[[#This Row],[Transaction name]],IF(Transactions[[#This Row],[Level 2]]=Transactions[[#This Row],[L2N]],Transactions[[#This Row],[L1N]],IF(Transactions[[#This Row],[Level 2]]=Transactions[[#This Row],[L3N]],Transactions[[#This Row],[L2N]],IF(Transactions[[#This Row],[Level 2]]=Transactions[[#This Row],[L4N]],Transactions[[#This Row],[L3N]],IF(Transactions[[#This Row],[Level 2]]=Transactions[[#This Row],[L5N]],Transactions[[#This Row],[L4N]],IF(Transactions[[#This Row],[Level 2]]=Transactions[[#This Row],[L6N]],Transactions[[#This Row],[L5N]],IF(Transactions[[#This Row],[Level 2]]=Transactions[[#This Row],[L7N]],Transactions[[#This Row],[L6N]],Transactions[[#This Row],[L7N]]))))))))</f>
        <v>Electricity plants - combustible fuels</v>
      </c>
      <c r="AV344" s="24" t="str">
        <f>IF(Transactions[[#This Row],[Level 3]]=Transactions[[#This Row],[Transaction name]],Transactions[[#This Row],[Transaction name]],IF(Transactions[[#This Row],[Level 3]]=Transactions[[#This Row],[L1N]],Transactions[[#This Row],[Transaction name]],IF(Transactions[[#This Row],[Level 3]]=Transactions[[#This Row],[L2N]],Transactions[[#This Row],[L1N]],IF(Transactions[[#This Row],[Level 3]]=Transactions[[#This Row],[L3N]],Transactions[[#This Row],[L2N]],IF(Transactions[[#This Row],[Level 3]]=Transactions[[#This Row],[L4N]],Transactions[[#This Row],[L3N]],IF(Transactions[[#This Row],[Level 3]]=Transactions[[#This Row],[L5N]],Transactions[[#This Row],[L4N]],IF(Transactions[[#This Row],[Level 3]]=Transactions[[#This Row],[L6N]],Transactions[[#This Row],[L5N]],IF(Transactions[[#This Row],[Level 3]]=Transactions[[#This Row],[L7N]],Transactions[[#This Row],[L6N]],Transactions[[#This Row],[L7N]]))))))))</f>
        <v>Electricity plants - Autoproducer - combustible fuels</v>
      </c>
      <c r="AW344" s="24" t="str">
        <f>IF(Transactions[[#This Row],[Level 4]]=Transactions[[#This Row],[Transaction name]],Transactions[[#This Row],[Transaction name]],IF(Transactions[[#This Row],[Level 4]]=Transactions[[#This Row],[L1N]],Transactions[[#This Row],[Transaction name]],IF(Transactions[[#This Row],[Level 4]]=Transactions[[#This Row],[L2N]],Transactions[[#This Row],[L1N]],IF(Transactions[[#This Row],[Level 4]]=Transactions[[#This Row],[L3N]],Transactions[[#This Row],[L2N]],IF(Transactions[[#This Row],[Level 4]]=Transactions[[#This Row],[L4N]],Transactions[[#This Row],[L3N]],IF(Transactions[[#This Row],[Level 4]]=Transactions[[#This Row],[L5N]],Transactions[[#This Row],[L4N]],IF(Transactions[[#This Row],[Level 4]]=Transactions[[#This Row],[L6N]],Transactions[[#This Row],[L5N]],IF(Transactions[[#This Row],[Level 4]]=Transactions[[#This Row],[L7N]],Transactions[[#This Row],[L6N]],Transactions[[#This Row],[L7N]]))))))))</f>
        <v>Electricity plants - Autoproducer - combustible fuels</v>
      </c>
      <c r="AX344" s="24" t="str">
        <f>IF(Transactions[[#This Row],[Level 5]]=Transactions[[#This Row],[Transaction name]],Transactions[[#This Row],[Transaction name]],IF(Transactions[[#This Row],[Level 5]]=Transactions[[#This Row],[L1N]],Transactions[[#This Row],[Transaction name]],IF(Transactions[[#This Row],[Level 5]]=Transactions[[#This Row],[L2N]],Transactions[[#This Row],[L1N]],IF(Transactions[[#This Row],[Level 5]]=Transactions[[#This Row],[L3N]],Transactions[[#This Row],[L2N]],IF(Transactions[[#This Row],[Level 5]]=Transactions[[#This Row],[L4N]],Transactions[[#This Row],[L3N]],IF(Transactions[[#This Row],[Level 5]]=Transactions[[#This Row],[L5N]],Transactions[[#This Row],[L4N]],IF(Transactions[[#This Row],[Level 5]]=Transactions[[#This Row],[L6N]],Transactions[[#This Row],[L5N]],IF(Transactions[[#This Row],[Level 5]]=Transactions[[#This Row],[L7N]],Transactions[[#This Row],[L6N]],Transactions[[#This Row],[L7N]]))))))))</f>
        <v>Electricity plants - Autoproducer - combustible fuels</v>
      </c>
      <c r="AY344" s="24" t="str">
        <f>IF(Transactions[[#This Row],[Level 6]]=Transactions[[#This Row],[Transaction name]],Transactions[[#This Row],[Transaction name]],IF(Transactions[[#This Row],[Level 6]]=Transactions[[#This Row],[L1N]],Transactions[[#This Row],[Transaction name]],IF(Transactions[[#This Row],[Level 6]]=Transactions[[#This Row],[L2N]],Transactions[[#This Row],[L1N]],IF(Transactions[[#This Row],[Level 6]]=Transactions[[#This Row],[L3N]],Transactions[[#This Row],[L2N]],IF(Transactions[[#This Row],[Level 6]]=Transactions[[#This Row],[L4N]],Transactions[[#This Row],[L3N]],IF(Transactions[[#This Row],[Level 6]]=Transactions[[#This Row],[L5N]],Transactions[[#This Row],[L4N]],IF(Transactions[[#This Row],[Level 6]]=Transactions[[#This Row],[L6N]],Transactions[[#This Row],[L5N]],IF(Transactions[[#This Row],[Level 6]]=Transactions[[#This Row],[L7N]],Transactions[[#This Row],[L6N]],Transactions[[#This Row],[L7N]]))))))))</f>
        <v>Electricity plants - Autoproducer - combustible fuels</v>
      </c>
      <c r="BE344" s="26" t="str">
        <f>_xlfn.XLOOKUP(Transformation[[#This Row],[cfrom]],Commodities[Commodity],Commodities[Commodity code])</f>
        <v>4620</v>
      </c>
      <c r="BF344" s="26" t="str">
        <f>_xlfn.XLOOKUP(Transformation[[#This Row],[tfrom]],Transactions[Transaction name],Transactions[Transaction code])</f>
        <v>022</v>
      </c>
      <c r="BG344" s="26" t="str">
        <f>_xlfn.XLOOKUP(Transformation[[#This Row],[cto]],Commodities[Commodity],Commodities[Commodity code])</f>
        <v>4620</v>
      </c>
      <c r="BH344" s="26" t="str">
        <f>_xlfn.XLOOKUP(Transformation[[#This Row],[tto]],Transactions[Transaction name],Transactions[Transaction code])</f>
        <v>087</v>
      </c>
      <c r="BI344" s="31">
        <v>1</v>
      </c>
      <c r="BJ344" s="22" t="s">
        <v>412</v>
      </c>
      <c r="BK344" s="26" t="str">
        <f>_xlfn.XLOOKUP(Transformation[[#This Row],[Commodity from]],Commodities[Commodity code],Commodities[EnergyCode])</f>
        <v>EA</v>
      </c>
      <c r="BL344" s="22" t="s">
        <v>205</v>
      </c>
      <c r="BM344" s="22" t="s">
        <v>412</v>
      </c>
      <c r="BN344" s="26" t="str">
        <f>_xlfn.XLOOKUP(Transformation[[#This Row],[Commodity to]],Commodities[Commodity code],Commodities[EnergyCode])</f>
        <v>EA</v>
      </c>
      <c r="BO344" s="22" t="s">
        <v>729</v>
      </c>
      <c r="BP344" s="22" t="s">
        <v>1638</v>
      </c>
      <c r="BQ344" s="33" t="str">
        <f>Transformation[[#This Row],[Commodity from]]&amp;Transformation[[#This Row],[Transaction from]]&amp;Transformation[[#This Row],[Commodity to]]&amp;Transformation[[#This Row],[Transaction to]]</f>
        <v>46200224620087</v>
      </c>
      <c r="BR344" s="26" t="str">
        <f>Transformation[[#This Row],[crfomid]]&amp;Transformation[[#This Row],[Transaction from]]&amp;"("&amp;Transformation[[#This Row],[Multiplier]]&amp;") -&gt; "&amp;Transformation[[#This Row],[ctoid]]&amp;Transformation[[#This Row],[Transaction to]]</f>
        <v>EA022(1) -&gt; EA087</v>
      </c>
    </row>
    <row r="345" spans="25:70" x14ac:dyDescent="0.45">
      <c r="Y345" s="19" t="s">
        <v>1582</v>
      </c>
      <c r="Z345" s="18" t="s">
        <v>1309</v>
      </c>
      <c r="AA345" s="18" t="s">
        <v>1309</v>
      </c>
      <c r="AB345" s="19" t="s">
        <v>1600</v>
      </c>
      <c r="AC345" s="26" t="str">
        <f>IFERROR(VLOOKUP(Transactions[[#This Row],[Parent code]],Transactions[[Transaction code]:[Transaction name]],2,0),"")</f>
        <v>Electricity plants</v>
      </c>
      <c r="AD345" s="18" t="s">
        <v>189</v>
      </c>
      <c r="AE345" s="18" t="s">
        <v>923</v>
      </c>
      <c r="AF345" s="18" t="s">
        <v>642</v>
      </c>
      <c r="AG345" s="18" t="s">
        <v>1</v>
      </c>
      <c r="AH345" s="18" t="s">
        <v>696</v>
      </c>
      <c r="AI345" s="18" t="s">
        <v>1416</v>
      </c>
      <c r="AJ345" s="4" t="s">
        <v>0</v>
      </c>
      <c r="AK345" s="26" t="str" cm="1">
        <f t="array" ref="AK345">IFERROR(INDEX(Transactions[[Transaction code]:[Transaction name]],_xlfn.XMATCH(Transactions[[#This Row],[Parent code]],Transactions[Transaction name],0),3),Transactions[[#This Row],[Transaction name]])</f>
        <v>Electricity plants - combustible fuels</v>
      </c>
      <c r="AL345" s="26" t="str" cm="1">
        <f t="array" ref="AL345">IFERROR(INDEX(Transactions[[Transaction code]:[Transaction name]],_xlfn.XMATCH(INDEX(Transactions[[Transaction name]:[Parent code]],_xlfn.XMATCH(Transactions[[#This Row],[L1N]],Transactions[Transaction name],0),3),Transactions[Transaction code],0),2),Transactions[[#This Row],[L1N]])</f>
        <v>Electricity plants</v>
      </c>
      <c r="AM345" s="26" t="str" cm="1">
        <f t="array" ref="AM345">IFERROR(INDEX(Transactions[[Transaction code]:[Transaction name]],_xlfn.XMATCH(INDEX(Transactions[[Transaction name]:[Parent code]],_xlfn.XMATCH(Transactions[[#This Row],[L2N]],Transactions[Transaction name],0),3),Transactions[Transaction code],0),2),Transactions[[#This Row],[L2N]])</f>
        <v>Electricity, CHP and heat plants (T)</v>
      </c>
      <c r="AN345" s="26" t="str" cm="1">
        <f t="array" ref="AN345">IFERROR(INDEX(Transactions[[Transaction code]:[Transaction name]],_xlfn.XMATCH(INDEX(Transactions[[Transaction name]:[Parent code]],_xlfn.XMATCH(Transactions[[#This Row],[L3N]],Transactions[Transaction name],0),3),Transactions[Transaction code],0),2),Transactions[[#This Row],[L3N]])</f>
        <v>Transformation</v>
      </c>
      <c r="AO345" s="26" t="str" cm="1">
        <f t="array" ref="AO345">IFERROR(INDEX(Transactions[[Transaction code]:[Transaction name]],_xlfn.XMATCH(INDEX(Transactions[[Transaction name]:[Parent code]],_xlfn.XMATCH(Transactions[[#This Row],[L4N]],Transactions[Transaction name],0),3),Transactions[Transaction code],0),2),Transactions[[#This Row],[L4N]])</f>
        <v>Transformation</v>
      </c>
      <c r="AP345" s="26" t="str" cm="1">
        <f t="array" ref="AP345">IFERROR(INDEX(Transactions[[Transaction code]:[Transaction name]],_xlfn.XMATCH(INDEX(Transactions[[Transaction name]:[Parent code]],_xlfn.XMATCH(Transactions[[#This Row],[L5N]],Transactions[Transaction name],0),3),Transactions[Transaction code],0),2),Transactions[[#This Row],[L5N]])</f>
        <v>Transformation</v>
      </c>
      <c r="AQ345" s="26" t="str" cm="1">
        <f t="array" ref="AQ345">IFERROR(INDEX(Transactions[[Transaction code]:[Transaction name]],_xlfn.XMATCH(INDEX(Transactions[[Transaction name]:[Parent code]],_xlfn.XMATCH(Transactions[[#This Row],[L6N]],Transactions[Transaction name],0),3),Transactions[Transaction code],0),2),Transactions[[#This Row],[L6N]])</f>
        <v>Transformation</v>
      </c>
      <c r="AR345" s="29" t="str">
        <f>IF(Transactions[[#This Row],[L7N]]=Transactions[[#This Row],[L6N]],Transactions[[#This Row],[L7N]],IF(Transactions[[#This Row],[L6N]]=Transactions[[#This Row],[L5N]],Transactions[[#This Row],[L6N]],IF(Transactions[[#This Row],[L5N]]=Transactions[[#This Row],[L4N]],Transactions[[#This Row],[L5N]],IF(Transactions[[#This Row],[L4N]]=Transactions[[#This Row],[L3N]],Transactions[[#This Row],[L4N]],IF(Transactions[[#This Row],[L3N]]=Transactions[[#This Row],[L2N]],Transactions[[#This Row],[L3N]],IF(Transactions[[#This Row],[L2N]]=Transactions[[#This Row],[L1N]],Transactions[[#This Row],[L2N]],IF(Transactions[[#This Row],[L1N]]=Transactions[[#This Row],[Transaction name]],Transactions[[#This Row],[L1N]],Transactions[[#This Row],[Transaction name]])))))))</f>
        <v>Transformation</v>
      </c>
      <c r="AS345" s="26" t="str">
        <f>IF(Transactions[[#This Row],[Level 0]]=Transactions[[#This Row],[Transaction name]],Transactions[[#This Row],[Transaction name]],IF(Transactions[[#This Row],[Level 0]]=Transactions[[#This Row],[L1N]],Transactions[[#This Row],[Transaction name]],IF(Transactions[[#This Row],[Level 0]]=Transactions[[#This Row],[L2N]],Transactions[[#This Row],[L1N]],IF(Transactions[[#This Row],[Level 0]]=Transactions[[#This Row],[L3N]],Transactions[[#This Row],[L2N]],IF(Transactions[[#This Row],[Level 0]]=Transactions[[#This Row],[L4N]],Transactions[[#This Row],[L3N]],IF(Transactions[[#This Row],[Level 0]]=Transactions[[#This Row],[L5N]],Transactions[[#This Row],[L4N]],IF(Transactions[[#This Row],[Level 0]]=Transactions[[#This Row],[L6N]],Transactions[[#This Row],[L5N]],IF(Transactions[[#This Row],[Level 0]]=Transactions[[#This Row],[L7N]],Transactions[[#This Row],[L6N]],Transactions[[#This Row],[L7N]]))))))))</f>
        <v>Electricity, CHP and heat plants (T)</v>
      </c>
      <c r="AT345" s="26" t="str">
        <f>IF(Transactions[[#This Row],[Level 1]]=Transactions[[#This Row],[Transaction name]],Transactions[[#This Row],[Transaction name]],IF(Transactions[[#This Row],[Level 1]]=Transactions[[#This Row],[L1N]],Transactions[[#This Row],[Transaction name]],IF(Transactions[[#This Row],[Level 1]]=Transactions[[#This Row],[L2N]],Transactions[[#This Row],[L1N]],IF(Transactions[[#This Row],[Level 1]]=Transactions[[#This Row],[L3N]],Transactions[[#This Row],[L2N]],IF(Transactions[[#This Row],[Level 1]]=Transactions[[#This Row],[L4N]],Transactions[[#This Row],[L3N]],IF(Transactions[[#This Row],[Level 1]]=Transactions[[#This Row],[L5N]],Transactions[[#This Row],[L4N]],IF(Transactions[[#This Row],[Level 1]]=Transactions[[#This Row],[L6N]],Transactions[[#This Row],[L5N]],IF(Transactions[[#This Row],[Level 1]]=Transactions[[#This Row],[L7N]],Transactions[[#This Row],[L6N]],Transactions[[#This Row],[L7N]]))))))))</f>
        <v>Electricity plants</v>
      </c>
      <c r="AU345" s="26" t="str">
        <f>IF(Transactions[[#This Row],[Level 2]]=Transactions[[#This Row],[Transaction name]],Transactions[[#This Row],[Transaction name]],IF(Transactions[[#This Row],[Level 2]]=Transactions[[#This Row],[L1N]],Transactions[[#This Row],[Transaction name]],IF(Transactions[[#This Row],[Level 2]]=Transactions[[#This Row],[L2N]],Transactions[[#This Row],[L1N]],IF(Transactions[[#This Row],[Level 2]]=Transactions[[#This Row],[L3N]],Transactions[[#This Row],[L2N]],IF(Transactions[[#This Row],[Level 2]]=Transactions[[#This Row],[L4N]],Transactions[[#This Row],[L3N]],IF(Transactions[[#This Row],[Level 2]]=Transactions[[#This Row],[L5N]],Transactions[[#This Row],[L4N]],IF(Transactions[[#This Row],[Level 2]]=Transactions[[#This Row],[L6N]],Transactions[[#This Row],[L5N]],IF(Transactions[[#This Row],[Level 2]]=Transactions[[#This Row],[L7N]],Transactions[[#This Row],[L6N]],Transactions[[#This Row],[L7N]]))))))))</f>
        <v>Electricity plants - combustible fuels</v>
      </c>
      <c r="AV345" s="26" t="str">
        <f>IF(Transactions[[#This Row],[Level 3]]=Transactions[[#This Row],[Transaction name]],Transactions[[#This Row],[Transaction name]],IF(Transactions[[#This Row],[Level 3]]=Transactions[[#This Row],[L1N]],Transactions[[#This Row],[Transaction name]],IF(Transactions[[#This Row],[Level 3]]=Transactions[[#This Row],[L2N]],Transactions[[#This Row],[L1N]],IF(Transactions[[#This Row],[Level 3]]=Transactions[[#This Row],[L3N]],Transactions[[#This Row],[L2N]],IF(Transactions[[#This Row],[Level 3]]=Transactions[[#This Row],[L4N]],Transactions[[#This Row],[L3N]],IF(Transactions[[#This Row],[Level 3]]=Transactions[[#This Row],[L5N]],Transactions[[#This Row],[L4N]],IF(Transactions[[#This Row],[Level 3]]=Transactions[[#This Row],[L6N]],Transactions[[#This Row],[L5N]],IF(Transactions[[#This Row],[Level 3]]=Transactions[[#This Row],[L7N]],Transactions[[#This Row],[L6N]],Transactions[[#This Row],[L7N]]))))))))</f>
        <v>Electricity plants - combustible fuels</v>
      </c>
      <c r="AW345" s="26" t="str">
        <f>IF(Transactions[[#This Row],[Level 4]]=Transactions[[#This Row],[Transaction name]],Transactions[[#This Row],[Transaction name]],IF(Transactions[[#This Row],[Level 4]]=Transactions[[#This Row],[L1N]],Transactions[[#This Row],[Transaction name]],IF(Transactions[[#This Row],[Level 4]]=Transactions[[#This Row],[L2N]],Transactions[[#This Row],[L1N]],IF(Transactions[[#This Row],[Level 4]]=Transactions[[#This Row],[L3N]],Transactions[[#This Row],[L2N]],IF(Transactions[[#This Row],[Level 4]]=Transactions[[#This Row],[L4N]],Transactions[[#This Row],[L3N]],IF(Transactions[[#This Row],[Level 4]]=Transactions[[#This Row],[L5N]],Transactions[[#This Row],[L4N]],IF(Transactions[[#This Row],[Level 4]]=Transactions[[#This Row],[L6N]],Transactions[[#This Row],[L5N]],IF(Transactions[[#This Row],[Level 4]]=Transactions[[#This Row],[L7N]],Transactions[[#This Row],[L6N]],Transactions[[#This Row],[L7N]]))))))))</f>
        <v>Electricity plants - combustible fuels</v>
      </c>
      <c r="AX345" s="26" t="str">
        <f>IF(Transactions[[#This Row],[Level 5]]=Transactions[[#This Row],[Transaction name]],Transactions[[#This Row],[Transaction name]],IF(Transactions[[#This Row],[Level 5]]=Transactions[[#This Row],[L1N]],Transactions[[#This Row],[Transaction name]],IF(Transactions[[#This Row],[Level 5]]=Transactions[[#This Row],[L2N]],Transactions[[#This Row],[L1N]],IF(Transactions[[#This Row],[Level 5]]=Transactions[[#This Row],[L3N]],Transactions[[#This Row],[L2N]],IF(Transactions[[#This Row],[Level 5]]=Transactions[[#This Row],[L4N]],Transactions[[#This Row],[L3N]],IF(Transactions[[#This Row],[Level 5]]=Transactions[[#This Row],[L5N]],Transactions[[#This Row],[L4N]],IF(Transactions[[#This Row],[Level 5]]=Transactions[[#This Row],[L6N]],Transactions[[#This Row],[L5N]],IF(Transactions[[#This Row],[Level 5]]=Transactions[[#This Row],[L7N]],Transactions[[#This Row],[L6N]],Transactions[[#This Row],[L7N]]))))))))</f>
        <v>Electricity plants - combustible fuels</v>
      </c>
      <c r="AY345" s="26" t="str">
        <f>IF(Transactions[[#This Row],[Level 6]]=Transactions[[#This Row],[Transaction name]],Transactions[[#This Row],[Transaction name]],IF(Transactions[[#This Row],[Level 6]]=Transactions[[#This Row],[L1N]],Transactions[[#This Row],[Transaction name]],IF(Transactions[[#This Row],[Level 6]]=Transactions[[#This Row],[L2N]],Transactions[[#This Row],[L1N]],IF(Transactions[[#This Row],[Level 6]]=Transactions[[#This Row],[L3N]],Transactions[[#This Row],[L2N]],IF(Transactions[[#This Row],[Level 6]]=Transactions[[#This Row],[L4N]],Transactions[[#This Row],[L3N]],IF(Transactions[[#This Row],[Level 6]]=Transactions[[#This Row],[L5N]],Transactions[[#This Row],[L4N]],IF(Transactions[[#This Row],[Level 6]]=Transactions[[#This Row],[L6N]],Transactions[[#This Row],[L5N]],IF(Transactions[[#This Row],[Level 6]]=Transactions[[#This Row],[L7N]],Transactions[[#This Row],[L6N]],Transactions[[#This Row],[L7N]]))))))))</f>
        <v>Electricity plants - combustible fuels</v>
      </c>
      <c r="BE345" s="26" t="str">
        <f>_xlfn.XLOOKUP(Transformation[[#This Row],[cfrom]],Commodities[Commodity],Commodities[Commodity code])</f>
        <v>7000G</v>
      </c>
      <c r="BF345" s="26" t="str">
        <f>_xlfn.XLOOKUP(Transformation[[#This Row],[tfrom]],Transactions[Transaction name],Transactions[Transaction code])</f>
        <v>01</v>
      </c>
      <c r="BG345" s="26" t="str">
        <f>_xlfn.XLOOKUP(Transformation[[#This Row],[cto]],Commodities[Commodity],Commodities[Commodity code])</f>
        <v>8000</v>
      </c>
      <c r="BH345" s="26" t="str">
        <f>_xlfn.XLOOKUP(Transformation[[#This Row],[tto]],Transactions[Transaction name],Transactions[Transaction code])</f>
        <v>01</v>
      </c>
      <c r="BI345" s="31">
        <v>10</v>
      </c>
      <c r="BJ345" s="22" t="s">
        <v>284</v>
      </c>
      <c r="BK345" s="26" t="str">
        <f>_xlfn.XLOOKUP(Transformation[[#This Row],[Commodity from]],Commodities[Commodity code],Commodities[EnergyCode])</f>
        <v>EG</v>
      </c>
      <c r="BL345" s="22" t="s">
        <v>383</v>
      </c>
      <c r="BM345" s="22" t="s">
        <v>262</v>
      </c>
      <c r="BN345" s="26" t="str">
        <f>_xlfn.XLOOKUP(Transformation[[#This Row],[Commodity to]],Commodities[Commodity code],Commodities[EnergyCode])</f>
        <v>ST</v>
      </c>
      <c r="BO345" s="22" t="s">
        <v>383</v>
      </c>
      <c r="BP345" s="22" t="s">
        <v>1669</v>
      </c>
      <c r="BQ345" s="33" t="str">
        <f>Transformation[[#This Row],[Commodity from]]&amp;Transformation[[#This Row],[Transaction from]]&amp;Transformation[[#This Row],[Commodity to]]&amp;Transformation[[#This Row],[Transaction to]]</f>
        <v>7000G01800001</v>
      </c>
      <c r="BR345" s="26" t="str">
        <f>Transformation[[#This Row],[crfomid]]&amp;Transformation[[#This Row],[Transaction from]]&amp;"("&amp;Transformation[[#This Row],[Multiplier]]&amp;") -&gt; "&amp;Transformation[[#This Row],[ctoid]]&amp;Transformation[[#This Row],[Transaction to]]</f>
        <v>EG01(10) -&gt; ST01</v>
      </c>
    </row>
    <row r="346" spans="25:70" x14ac:dyDescent="0.45">
      <c r="Y346" s="5" t="s">
        <v>362</v>
      </c>
      <c r="Z346" s="7" t="s">
        <v>658</v>
      </c>
      <c r="AA346" s="4" t="s">
        <v>1309</v>
      </c>
      <c r="AB346" s="19" t="s">
        <v>1582</v>
      </c>
      <c r="AC346" s="24" t="str">
        <f>IFERROR(VLOOKUP(Transactions[[#This Row],[Parent code]],Transactions[[Transaction code]:[Transaction name]],2,0),"")</f>
        <v>Electricity plants - combustible fuels</v>
      </c>
      <c r="AD346" s="4" t="s">
        <v>189</v>
      </c>
      <c r="AE346" s="4" t="s">
        <v>923</v>
      </c>
      <c r="AF346" s="4" t="s">
        <v>642</v>
      </c>
      <c r="AG346" s="4" t="s">
        <v>1</v>
      </c>
      <c r="AH346" s="4" t="s">
        <v>696</v>
      </c>
      <c r="AI346" s="12" t="s">
        <v>1416</v>
      </c>
      <c r="AJ346" s="4" t="s">
        <v>0</v>
      </c>
      <c r="AK346" s="24" t="str" cm="1">
        <f t="array" ref="AK346">IFERROR(INDEX(Transactions[[Transaction code]:[Transaction name]],_xlfn.XMATCH(Transactions[[#This Row],[Parent code]],Transactions[Transaction name],0),3),Transactions[[#This Row],[Transaction name]])</f>
        <v>Electricity plants - Main activity - combustible fuels</v>
      </c>
      <c r="AL346" s="24" t="str" cm="1">
        <f t="array" ref="AL346">IFERROR(INDEX(Transactions[[Transaction code]:[Transaction name]],_xlfn.XMATCH(INDEX(Transactions[[Transaction name]:[Parent code]],_xlfn.XMATCH(Transactions[[#This Row],[L1N]],Transactions[Transaction name],0),3),Transactions[Transaction code],0),2),Transactions[[#This Row],[L1N]])</f>
        <v>Electricity plants - combustible fuels</v>
      </c>
      <c r="AM346" s="24" t="str" cm="1">
        <f t="array" ref="AM346">IFERROR(INDEX(Transactions[[Transaction code]:[Transaction name]],_xlfn.XMATCH(INDEX(Transactions[[Transaction name]:[Parent code]],_xlfn.XMATCH(Transactions[[#This Row],[L2N]],Transactions[Transaction name],0),3),Transactions[Transaction code],0),2),Transactions[[#This Row],[L2N]])</f>
        <v>Electricity plants</v>
      </c>
      <c r="AN346" s="24" t="str" cm="1">
        <f t="array" ref="AN346">IFERROR(INDEX(Transactions[[Transaction code]:[Transaction name]],_xlfn.XMATCH(INDEX(Transactions[[Transaction name]:[Parent code]],_xlfn.XMATCH(Transactions[[#This Row],[L3N]],Transactions[Transaction name],0),3),Transactions[Transaction code],0),2),Transactions[[#This Row],[L3N]])</f>
        <v>Electricity, CHP and heat plants (T)</v>
      </c>
      <c r="AO346" s="24" t="str" cm="1">
        <f t="array" ref="AO346">IFERROR(INDEX(Transactions[[Transaction code]:[Transaction name]],_xlfn.XMATCH(INDEX(Transactions[[Transaction name]:[Parent code]],_xlfn.XMATCH(Transactions[[#This Row],[L4N]],Transactions[Transaction name],0),3),Transactions[Transaction code],0),2),Transactions[[#This Row],[L4N]])</f>
        <v>Transformation</v>
      </c>
      <c r="AP346" s="24" t="str" cm="1">
        <f t="array" ref="AP346">IFERROR(INDEX(Transactions[[Transaction code]:[Transaction name]],_xlfn.XMATCH(INDEX(Transactions[[Transaction name]:[Parent code]],_xlfn.XMATCH(Transactions[[#This Row],[L5N]],Transactions[Transaction name],0),3),Transactions[Transaction code],0),2),Transactions[[#This Row],[L5N]])</f>
        <v>Transformation</v>
      </c>
      <c r="AQ346" s="24" t="str" cm="1">
        <f t="array" ref="AQ346">IFERROR(INDEX(Transactions[[Transaction code]:[Transaction name]],_xlfn.XMATCH(INDEX(Transactions[[Transaction name]:[Parent code]],_xlfn.XMATCH(Transactions[[#This Row],[L6N]],Transactions[Transaction name],0),3),Transactions[Transaction code],0),2),Transactions[[#This Row],[L6N]])</f>
        <v>Transformation</v>
      </c>
      <c r="AR346" s="27" t="str">
        <f>IF(Transactions[[#This Row],[L7N]]=Transactions[[#This Row],[L6N]],Transactions[[#This Row],[L7N]],IF(Transactions[[#This Row],[L6N]]=Transactions[[#This Row],[L5N]],Transactions[[#This Row],[L6N]],IF(Transactions[[#This Row],[L5N]]=Transactions[[#This Row],[L4N]],Transactions[[#This Row],[L5N]],IF(Transactions[[#This Row],[L4N]]=Transactions[[#This Row],[L3N]],Transactions[[#This Row],[L4N]],IF(Transactions[[#This Row],[L3N]]=Transactions[[#This Row],[L2N]],Transactions[[#This Row],[L3N]],IF(Transactions[[#This Row],[L2N]]=Transactions[[#This Row],[L1N]],Transactions[[#This Row],[L2N]],IF(Transactions[[#This Row],[L1N]]=Transactions[[#This Row],[Transaction name]],Transactions[[#This Row],[L1N]],Transactions[[#This Row],[Transaction name]])))))))</f>
        <v>Transformation</v>
      </c>
      <c r="AS346" s="24" t="str">
        <f>IF(Transactions[[#This Row],[Level 0]]=Transactions[[#This Row],[Transaction name]],Transactions[[#This Row],[Transaction name]],IF(Transactions[[#This Row],[Level 0]]=Transactions[[#This Row],[L1N]],Transactions[[#This Row],[Transaction name]],IF(Transactions[[#This Row],[Level 0]]=Transactions[[#This Row],[L2N]],Transactions[[#This Row],[L1N]],IF(Transactions[[#This Row],[Level 0]]=Transactions[[#This Row],[L3N]],Transactions[[#This Row],[L2N]],IF(Transactions[[#This Row],[Level 0]]=Transactions[[#This Row],[L4N]],Transactions[[#This Row],[L3N]],IF(Transactions[[#This Row],[Level 0]]=Transactions[[#This Row],[L5N]],Transactions[[#This Row],[L4N]],IF(Transactions[[#This Row],[Level 0]]=Transactions[[#This Row],[L6N]],Transactions[[#This Row],[L5N]],IF(Transactions[[#This Row],[Level 0]]=Transactions[[#This Row],[L7N]],Transactions[[#This Row],[L6N]],Transactions[[#This Row],[L7N]]))))))))</f>
        <v>Electricity, CHP and heat plants (T)</v>
      </c>
      <c r="AT346" s="24" t="str">
        <f>IF(Transactions[[#This Row],[Level 1]]=Transactions[[#This Row],[Transaction name]],Transactions[[#This Row],[Transaction name]],IF(Transactions[[#This Row],[Level 1]]=Transactions[[#This Row],[L1N]],Transactions[[#This Row],[Transaction name]],IF(Transactions[[#This Row],[Level 1]]=Transactions[[#This Row],[L2N]],Transactions[[#This Row],[L1N]],IF(Transactions[[#This Row],[Level 1]]=Transactions[[#This Row],[L3N]],Transactions[[#This Row],[L2N]],IF(Transactions[[#This Row],[Level 1]]=Transactions[[#This Row],[L4N]],Transactions[[#This Row],[L3N]],IF(Transactions[[#This Row],[Level 1]]=Transactions[[#This Row],[L5N]],Transactions[[#This Row],[L4N]],IF(Transactions[[#This Row],[Level 1]]=Transactions[[#This Row],[L6N]],Transactions[[#This Row],[L5N]],IF(Transactions[[#This Row],[Level 1]]=Transactions[[#This Row],[L7N]],Transactions[[#This Row],[L6N]],Transactions[[#This Row],[L7N]]))))))))</f>
        <v>Electricity plants</v>
      </c>
      <c r="AU346" s="24" t="str">
        <f>IF(Transactions[[#This Row],[Level 2]]=Transactions[[#This Row],[Transaction name]],Transactions[[#This Row],[Transaction name]],IF(Transactions[[#This Row],[Level 2]]=Transactions[[#This Row],[L1N]],Transactions[[#This Row],[Transaction name]],IF(Transactions[[#This Row],[Level 2]]=Transactions[[#This Row],[L2N]],Transactions[[#This Row],[L1N]],IF(Transactions[[#This Row],[Level 2]]=Transactions[[#This Row],[L3N]],Transactions[[#This Row],[L2N]],IF(Transactions[[#This Row],[Level 2]]=Transactions[[#This Row],[L4N]],Transactions[[#This Row],[L3N]],IF(Transactions[[#This Row],[Level 2]]=Transactions[[#This Row],[L5N]],Transactions[[#This Row],[L4N]],IF(Transactions[[#This Row],[Level 2]]=Transactions[[#This Row],[L6N]],Transactions[[#This Row],[L5N]],IF(Transactions[[#This Row],[Level 2]]=Transactions[[#This Row],[L7N]],Transactions[[#This Row],[L6N]],Transactions[[#This Row],[L7N]]))))))))</f>
        <v>Electricity plants - combustible fuels</v>
      </c>
      <c r="AV346" s="24" t="str">
        <f>IF(Transactions[[#This Row],[Level 3]]=Transactions[[#This Row],[Transaction name]],Transactions[[#This Row],[Transaction name]],IF(Transactions[[#This Row],[Level 3]]=Transactions[[#This Row],[L1N]],Transactions[[#This Row],[Transaction name]],IF(Transactions[[#This Row],[Level 3]]=Transactions[[#This Row],[L2N]],Transactions[[#This Row],[L1N]],IF(Transactions[[#This Row],[Level 3]]=Transactions[[#This Row],[L3N]],Transactions[[#This Row],[L2N]],IF(Transactions[[#This Row],[Level 3]]=Transactions[[#This Row],[L4N]],Transactions[[#This Row],[L3N]],IF(Transactions[[#This Row],[Level 3]]=Transactions[[#This Row],[L5N]],Transactions[[#This Row],[L4N]],IF(Transactions[[#This Row],[Level 3]]=Transactions[[#This Row],[L6N]],Transactions[[#This Row],[L5N]],IF(Transactions[[#This Row],[Level 3]]=Transactions[[#This Row],[L7N]],Transactions[[#This Row],[L6N]],Transactions[[#This Row],[L7N]]))))))))</f>
        <v>Electricity plants - Main activity - combustible fuels</v>
      </c>
      <c r="AW346" s="24" t="str">
        <f>IF(Transactions[[#This Row],[Level 4]]=Transactions[[#This Row],[Transaction name]],Transactions[[#This Row],[Transaction name]],IF(Transactions[[#This Row],[Level 4]]=Transactions[[#This Row],[L1N]],Transactions[[#This Row],[Transaction name]],IF(Transactions[[#This Row],[Level 4]]=Transactions[[#This Row],[L2N]],Transactions[[#This Row],[L1N]],IF(Transactions[[#This Row],[Level 4]]=Transactions[[#This Row],[L3N]],Transactions[[#This Row],[L2N]],IF(Transactions[[#This Row],[Level 4]]=Transactions[[#This Row],[L4N]],Transactions[[#This Row],[L3N]],IF(Transactions[[#This Row],[Level 4]]=Transactions[[#This Row],[L5N]],Transactions[[#This Row],[L4N]],IF(Transactions[[#This Row],[Level 4]]=Transactions[[#This Row],[L6N]],Transactions[[#This Row],[L5N]],IF(Transactions[[#This Row],[Level 4]]=Transactions[[#This Row],[L7N]],Transactions[[#This Row],[L6N]],Transactions[[#This Row],[L7N]]))))))))</f>
        <v>Electricity plants - Main activity - combustible fuels</v>
      </c>
      <c r="AX346" s="24" t="str">
        <f>IF(Transactions[[#This Row],[Level 5]]=Transactions[[#This Row],[Transaction name]],Transactions[[#This Row],[Transaction name]],IF(Transactions[[#This Row],[Level 5]]=Transactions[[#This Row],[L1N]],Transactions[[#This Row],[Transaction name]],IF(Transactions[[#This Row],[Level 5]]=Transactions[[#This Row],[L2N]],Transactions[[#This Row],[L1N]],IF(Transactions[[#This Row],[Level 5]]=Transactions[[#This Row],[L3N]],Transactions[[#This Row],[L2N]],IF(Transactions[[#This Row],[Level 5]]=Transactions[[#This Row],[L4N]],Transactions[[#This Row],[L3N]],IF(Transactions[[#This Row],[Level 5]]=Transactions[[#This Row],[L5N]],Transactions[[#This Row],[L4N]],IF(Transactions[[#This Row],[Level 5]]=Transactions[[#This Row],[L6N]],Transactions[[#This Row],[L5N]],IF(Transactions[[#This Row],[Level 5]]=Transactions[[#This Row],[L7N]],Transactions[[#This Row],[L6N]],Transactions[[#This Row],[L7N]]))))))))</f>
        <v>Electricity plants - Main activity - combustible fuels</v>
      </c>
      <c r="AY346" s="24" t="str">
        <f>IF(Transactions[[#This Row],[Level 6]]=Transactions[[#This Row],[Transaction name]],Transactions[[#This Row],[Transaction name]],IF(Transactions[[#This Row],[Level 6]]=Transactions[[#This Row],[L1N]],Transactions[[#This Row],[Transaction name]],IF(Transactions[[#This Row],[Level 6]]=Transactions[[#This Row],[L2N]],Transactions[[#This Row],[L1N]],IF(Transactions[[#This Row],[Level 6]]=Transactions[[#This Row],[L3N]],Transactions[[#This Row],[L2N]],IF(Transactions[[#This Row],[Level 6]]=Transactions[[#This Row],[L4N]],Transactions[[#This Row],[L3N]],IF(Transactions[[#This Row],[Level 6]]=Transactions[[#This Row],[L5N]],Transactions[[#This Row],[L4N]],IF(Transactions[[#This Row],[Level 6]]=Transactions[[#This Row],[L6N]],Transactions[[#This Row],[L5N]],IF(Transactions[[#This Row],[Level 6]]=Transactions[[#This Row],[L7N]],Transactions[[#This Row],[L6N]],Transactions[[#This Row],[L7N]]))))))))</f>
        <v>Electricity plants - Main activity - combustible fuels</v>
      </c>
      <c r="BE346" s="26" t="str">
        <f>_xlfn.XLOOKUP(Transformation[[#This Row],[cfrom]],Commodities[Commodity],Commodities[Commodity code])</f>
        <v>7000</v>
      </c>
      <c r="BF346" s="26" t="str">
        <f>_xlfn.XLOOKUP(Transformation[[#This Row],[tfrom]],Transactions[Transaction name],Transactions[Transaction code])</f>
        <v>01</v>
      </c>
      <c r="BG346" s="26" t="str">
        <f>_xlfn.XLOOKUP(Transformation[[#This Row],[cto]],Commodities[Commodity],Commodities[Commodity code])</f>
        <v>7000</v>
      </c>
      <c r="BH346" s="26" t="str">
        <f>_xlfn.XLOOKUP(Transformation[[#This Row],[tto]],Transactions[Transaction name],Transactions[Transaction code])</f>
        <v>01</v>
      </c>
      <c r="BI346" s="11">
        <v>-1</v>
      </c>
      <c r="BJ346" s="4" t="s">
        <v>544</v>
      </c>
      <c r="BK346" s="24" t="str">
        <f>_xlfn.XLOOKUP(Transformation[[#This Row],[Commodity from]],Commodities[Commodity code],Commodities[EnergyCode])</f>
        <v>EL</v>
      </c>
      <c r="BL346" s="4" t="s">
        <v>383</v>
      </c>
      <c r="BM346" s="4" t="s">
        <v>544</v>
      </c>
      <c r="BN346" s="24" t="str">
        <f>_xlfn.XLOOKUP(Transformation[[#This Row],[Commodity to]],Commodities[Commodity code],Commodities[EnergyCode])</f>
        <v>EL</v>
      </c>
      <c r="BO346" s="4" t="s">
        <v>383</v>
      </c>
      <c r="BP346" s="22" t="s">
        <v>1633</v>
      </c>
      <c r="BQ346" s="33" t="str">
        <f>Transformation[[#This Row],[Commodity from]]&amp;Transformation[[#This Row],[Transaction from]]&amp;Transformation[[#This Row],[Commodity to]]&amp;Transformation[[#This Row],[Transaction to]]</f>
        <v>700001700001</v>
      </c>
      <c r="BR346" s="26" t="str">
        <f>Transformation[[#This Row],[crfomid]]&amp;Transformation[[#This Row],[Transaction from]]&amp;"("&amp;Transformation[[#This Row],[Multiplier]]&amp;") -&gt; "&amp;Transformation[[#This Row],[ctoid]]&amp;Transformation[[#This Row],[Transaction to]]</f>
        <v>EL01(-1) -&gt; EL01</v>
      </c>
    </row>
    <row r="347" spans="25:70" x14ac:dyDescent="0.45">
      <c r="Y347" s="5" t="s">
        <v>1282</v>
      </c>
      <c r="Z347" s="7" t="s">
        <v>1230</v>
      </c>
      <c r="AA347" s="4" t="s">
        <v>1400</v>
      </c>
      <c r="AB347" s="19" t="s">
        <v>1585</v>
      </c>
      <c r="AC347" s="24" t="str">
        <f>IFERROR(VLOOKUP(Transactions[[#This Row],[Parent code]],Transactions[[Transaction code]:[Transaction name]],2,0),"")</f>
        <v>Electricity plants - crude oil</v>
      </c>
      <c r="AD347" s="4" t="s">
        <v>189</v>
      </c>
      <c r="AE347" s="4" t="s">
        <v>923</v>
      </c>
      <c r="AF347" s="4" t="s">
        <v>642</v>
      </c>
      <c r="AG347" s="4" t="s">
        <v>1</v>
      </c>
      <c r="AH347" s="4" t="s">
        <v>696</v>
      </c>
      <c r="AI347" s="12" t="s">
        <v>1416</v>
      </c>
      <c r="AK347" s="24" t="str" cm="1">
        <f t="array" ref="AK347">IFERROR(INDEX(Transactions[[Transaction code]:[Transaction name]],_xlfn.XMATCH(Transactions[[#This Row],[Parent code]],Transactions[Transaction name],0),3),Transactions[[#This Row],[Transaction name]])</f>
        <v>Electricity plants - Autoproducer - crude oil</v>
      </c>
      <c r="AL347" s="24" t="str" cm="1">
        <f t="array" ref="AL347">IFERROR(INDEX(Transactions[[Transaction code]:[Transaction name]],_xlfn.XMATCH(INDEX(Transactions[[Transaction name]:[Parent code]],_xlfn.XMATCH(Transactions[[#This Row],[L1N]],Transactions[Transaction name],0),3),Transactions[Transaction code],0),2),Transactions[[#This Row],[L1N]])</f>
        <v>Electricity plants - crude oil</v>
      </c>
      <c r="AM347" s="24" t="str" cm="1">
        <f t="array" ref="AM347">IFERROR(INDEX(Transactions[[Transaction code]:[Transaction name]],_xlfn.XMATCH(INDEX(Transactions[[Transaction name]:[Parent code]],_xlfn.XMATCH(Transactions[[#This Row],[L2N]],Transactions[Transaction name],0),3),Transactions[Transaction code],0),2),Transactions[[#This Row],[L2N]])</f>
        <v>Electricity plants</v>
      </c>
      <c r="AN347" s="24" t="str" cm="1">
        <f t="array" ref="AN347">IFERROR(INDEX(Transactions[[Transaction code]:[Transaction name]],_xlfn.XMATCH(INDEX(Transactions[[Transaction name]:[Parent code]],_xlfn.XMATCH(Transactions[[#This Row],[L3N]],Transactions[Transaction name],0),3),Transactions[Transaction code],0),2),Transactions[[#This Row],[L3N]])</f>
        <v>Electricity, CHP and heat plants (T)</v>
      </c>
      <c r="AO347" s="24" t="str" cm="1">
        <f t="array" ref="AO347">IFERROR(INDEX(Transactions[[Transaction code]:[Transaction name]],_xlfn.XMATCH(INDEX(Transactions[[Transaction name]:[Parent code]],_xlfn.XMATCH(Transactions[[#This Row],[L4N]],Transactions[Transaction name],0),3),Transactions[Transaction code],0),2),Transactions[[#This Row],[L4N]])</f>
        <v>Transformation</v>
      </c>
      <c r="AP347" s="24" t="str" cm="1">
        <f t="array" ref="AP347">IFERROR(INDEX(Transactions[[Transaction code]:[Transaction name]],_xlfn.XMATCH(INDEX(Transactions[[Transaction name]:[Parent code]],_xlfn.XMATCH(Transactions[[#This Row],[L5N]],Transactions[Transaction name],0),3),Transactions[Transaction code],0),2),Transactions[[#This Row],[L5N]])</f>
        <v>Transformation</v>
      </c>
      <c r="AQ347" s="24" t="str" cm="1">
        <f t="array" ref="AQ347">IFERROR(INDEX(Transactions[[Transaction code]:[Transaction name]],_xlfn.XMATCH(INDEX(Transactions[[Transaction name]:[Parent code]],_xlfn.XMATCH(Transactions[[#This Row],[L6N]],Transactions[Transaction name],0),3),Transactions[Transaction code],0),2),Transactions[[#This Row],[L6N]])</f>
        <v>Transformation</v>
      </c>
      <c r="AR347" s="27" t="str">
        <f>IF(Transactions[[#This Row],[L7N]]=Transactions[[#This Row],[L6N]],Transactions[[#This Row],[L7N]],IF(Transactions[[#This Row],[L6N]]=Transactions[[#This Row],[L5N]],Transactions[[#This Row],[L6N]],IF(Transactions[[#This Row],[L5N]]=Transactions[[#This Row],[L4N]],Transactions[[#This Row],[L5N]],IF(Transactions[[#This Row],[L4N]]=Transactions[[#This Row],[L3N]],Transactions[[#This Row],[L4N]],IF(Transactions[[#This Row],[L3N]]=Transactions[[#This Row],[L2N]],Transactions[[#This Row],[L3N]],IF(Transactions[[#This Row],[L2N]]=Transactions[[#This Row],[L1N]],Transactions[[#This Row],[L2N]],IF(Transactions[[#This Row],[L1N]]=Transactions[[#This Row],[Transaction name]],Transactions[[#This Row],[L1N]],Transactions[[#This Row],[Transaction name]])))))))</f>
        <v>Transformation</v>
      </c>
      <c r="AS347" s="24" t="str">
        <f>IF(Transactions[[#This Row],[Level 0]]=Transactions[[#This Row],[Transaction name]],Transactions[[#This Row],[Transaction name]],IF(Transactions[[#This Row],[Level 0]]=Transactions[[#This Row],[L1N]],Transactions[[#This Row],[Transaction name]],IF(Transactions[[#This Row],[Level 0]]=Transactions[[#This Row],[L2N]],Transactions[[#This Row],[L1N]],IF(Transactions[[#This Row],[Level 0]]=Transactions[[#This Row],[L3N]],Transactions[[#This Row],[L2N]],IF(Transactions[[#This Row],[Level 0]]=Transactions[[#This Row],[L4N]],Transactions[[#This Row],[L3N]],IF(Transactions[[#This Row],[Level 0]]=Transactions[[#This Row],[L5N]],Transactions[[#This Row],[L4N]],IF(Transactions[[#This Row],[Level 0]]=Transactions[[#This Row],[L6N]],Transactions[[#This Row],[L5N]],IF(Transactions[[#This Row],[Level 0]]=Transactions[[#This Row],[L7N]],Transactions[[#This Row],[L6N]],Transactions[[#This Row],[L7N]]))))))))</f>
        <v>Electricity, CHP and heat plants (T)</v>
      </c>
      <c r="AT347" s="24" t="str">
        <f>IF(Transactions[[#This Row],[Level 1]]=Transactions[[#This Row],[Transaction name]],Transactions[[#This Row],[Transaction name]],IF(Transactions[[#This Row],[Level 1]]=Transactions[[#This Row],[L1N]],Transactions[[#This Row],[Transaction name]],IF(Transactions[[#This Row],[Level 1]]=Transactions[[#This Row],[L2N]],Transactions[[#This Row],[L1N]],IF(Transactions[[#This Row],[Level 1]]=Transactions[[#This Row],[L3N]],Transactions[[#This Row],[L2N]],IF(Transactions[[#This Row],[Level 1]]=Transactions[[#This Row],[L4N]],Transactions[[#This Row],[L3N]],IF(Transactions[[#This Row],[Level 1]]=Transactions[[#This Row],[L5N]],Transactions[[#This Row],[L4N]],IF(Transactions[[#This Row],[Level 1]]=Transactions[[#This Row],[L6N]],Transactions[[#This Row],[L5N]],IF(Transactions[[#This Row],[Level 1]]=Transactions[[#This Row],[L7N]],Transactions[[#This Row],[L6N]],Transactions[[#This Row],[L7N]]))))))))</f>
        <v>Electricity plants</v>
      </c>
      <c r="AU347" s="24" t="str">
        <f>IF(Transactions[[#This Row],[Level 2]]=Transactions[[#This Row],[Transaction name]],Transactions[[#This Row],[Transaction name]],IF(Transactions[[#This Row],[Level 2]]=Transactions[[#This Row],[L1N]],Transactions[[#This Row],[Transaction name]],IF(Transactions[[#This Row],[Level 2]]=Transactions[[#This Row],[L2N]],Transactions[[#This Row],[L1N]],IF(Transactions[[#This Row],[Level 2]]=Transactions[[#This Row],[L3N]],Transactions[[#This Row],[L2N]],IF(Transactions[[#This Row],[Level 2]]=Transactions[[#This Row],[L4N]],Transactions[[#This Row],[L3N]],IF(Transactions[[#This Row],[Level 2]]=Transactions[[#This Row],[L5N]],Transactions[[#This Row],[L4N]],IF(Transactions[[#This Row],[Level 2]]=Transactions[[#This Row],[L6N]],Transactions[[#This Row],[L5N]],IF(Transactions[[#This Row],[Level 2]]=Transactions[[#This Row],[L7N]],Transactions[[#This Row],[L6N]],Transactions[[#This Row],[L7N]]))))))))</f>
        <v>Electricity plants - crude oil</v>
      </c>
      <c r="AV347" s="24" t="str">
        <f>IF(Transactions[[#This Row],[Level 3]]=Transactions[[#This Row],[Transaction name]],Transactions[[#This Row],[Transaction name]],IF(Transactions[[#This Row],[Level 3]]=Transactions[[#This Row],[L1N]],Transactions[[#This Row],[Transaction name]],IF(Transactions[[#This Row],[Level 3]]=Transactions[[#This Row],[L2N]],Transactions[[#This Row],[L1N]],IF(Transactions[[#This Row],[Level 3]]=Transactions[[#This Row],[L3N]],Transactions[[#This Row],[L2N]],IF(Transactions[[#This Row],[Level 3]]=Transactions[[#This Row],[L4N]],Transactions[[#This Row],[L3N]],IF(Transactions[[#This Row],[Level 3]]=Transactions[[#This Row],[L5N]],Transactions[[#This Row],[L4N]],IF(Transactions[[#This Row],[Level 3]]=Transactions[[#This Row],[L6N]],Transactions[[#This Row],[L5N]],IF(Transactions[[#This Row],[Level 3]]=Transactions[[#This Row],[L7N]],Transactions[[#This Row],[L6N]],Transactions[[#This Row],[L7N]]))))))))</f>
        <v>Electricity plants - Autoproducer - crude oil</v>
      </c>
      <c r="AW347" s="24" t="str">
        <f>IF(Transactions[[#This Row],[Level 4]]=Transactions[[#This Row],[Transaction name]],Transactions[[#This Row],[Transaction name]],IF(Transactions[[#This Row],[Level 4]]=Transactions[[#This Row],[L1N]],Transactions[[#This Row],[Transaction name]],IF(Transactions[[#This Row],[Level 4]]=Transactions[[#This Row],[L2N]],Transactions[[#This Row],[L1N]],IF(Transactions[[#This Row],[Level 4]]=Transactions[[#This Row],[L3N]],Transactions[[#This Row],[L2N]],IF(Transactions[[#This Row],[Level 4]]=Transactions[[#This Row],[L4N]],Transactions[[#This Row],[L3N]],IF(Transactions[[#This Row],[Level 4]]=Transactions[[#This Row],[L5N]],Transactions[[#This Row],[L4N]],IF(Transactions[[#This Row],[Level 4]]=Transactions[[#This Row],[L6N]],Transactions[[#This Row],[L5N]],IF(Transactions[[#This Row],[Level 4]]=Transactions[[#This Row],[L7N]],Transactions[[#This Row],[L6N]],Transactions[[#This Row],[L7N]]))))))))</f>
        <v>Electricity plants - Autoproducer - crude oil</v>
      </c>
      <c r="AX347" s="24" t="str">
        <f>IF(Transactions[[#This Row],[Level 5]]=Transactions[[#This Row],[Transaction name]],Transactions[[#This Row],[Transaction name]],IF(Transactions[[#This Row],[Level 5]]=Transactions[[#This Row],[L1N]],Transactions[[#This Row],[Transaction name]],IF(Transactions[[#This Row],[Level 5]]=Transactions[[#This Row],[L2N]],Transactions[[#This Row],[L1N]],IF(Transactions[[#This Row],[Level 5]]=Transactions[[#This Row],[L3N]],Transactions[[#This Row],[L2N]],IF(Transactions[[#This Row],[Level 5]]=Transactions[[#This Row],[L4N]],Transactions[[#This Row],[L3N]],IF(Transactions[[#This Row],[Level 5]]=Transactions[[#This Row],[L5N]],Transactions[[#This Row],[L4N]],IF(Transactions[[#This Row],[Level 5]]=Transactions[[#This Row],[L6N]],Transactions[[#This Row],[L5N]],IF(Transactions[[#This Row],[Level 5]]=Transactions[[#This Row],[L7N]],Transactions[[#This Row],[L6N]],Transactions[[#This Row],[L7N]]))))))))</f>
        <v>Electricity plants - Autoproducer - crude oil</v>
      </c>
      <c r="AY347" s="24" t="str">
        <f>IF(Transactions[[#This Row],[Level 6]]=Transactions[[#This Row],[Transaction name]],Transactions[[#This Row],[Transaction name]],IF(Transactions[[#This Row],[Level 6]]=Transactions[[#This Row],[L1N]],Transactions[[#This Row],[Transaction name]],IF(Transactions[[#This Row],[Level 6]]=Transactions[[#This Row],[L2N]],Transactions[[#This Row],[L1N]],IF(Transactions[[#This Row],[Level 6]]=Transactions[[#This Row],[L3N]],Transactions[[#This Row],[L2N]],IF(Transactions[[#This Row],[Level 6]]=Transactions[[#This Row],[L4N]],Transactions[[#This Row],[L3N]],IF(Transactions[[#This Row],[Level 6]]=Transactions[[#This Row],[L5N]],Transactions[[#This Row],[L4N]],IF(Transactions[[#This Row],[Level 6]]=Transactions[[#This Row],[L6N]],Transactions[[#This Row],[L5N]],IF(Transactions[[#This Row],[Level 6]]=Transactions[[#This Row],[L7N]],Transactions[[#This Row],[L6N]],Transactions[[#This Row],[L7N]]))))))))</f>
        <v>Electricity plants - Autoproducer - crude oil</v>
      </c>
      <c r="BE347" s="26" t="str">
        <f>_xlfn.XLOOKUP(Transformation[[#This Row],[cfrom]],Commodities[Commodity],Commodities[Commodity code])</f>
        <v>7000N</v>
      </c>
      <c r="BF347" s="26" t="str">
        <f>_xlfn.XLOOKUP(Transformation[[#This Row],[tfrom]],Transactions[Transaction name],Transactions[Transaction code])</f>
        <v>01</v>
      </c>
      <c r="BG347" s="26" t="str">
        <f>_xlfn.XLOOKUP(Transformation[[#This Row],[cto]],Commodities[Commodity],Commodities[Commodity code])</f>
        <v>9101</v>
      </c>
      <c r="BH347" s="26" t="str">
        <f>_xlfn.XLOOKUP(Transformation[[#This Row],[tto]],Transactions[Transaction name],Transactions[Transaction code])</f>
        <v>01</v>
      </c>
      <c r="BI347" s="31">
        <v>3</v>
      </c>
      <c r="BJ347" s="22" t="s">
        <v>278</v>
      </c>
      <c r="BK347" s="26" t="str">
        <f>_xlfn.XLOOKUP(Transformation[[#This Row],[Commodity from]],Commodities[Commodity code],Commodities[EnergyCode])</f>
        <v>EN</v>
      </c>
      <c r="BL347" s="22" t="s">
        <v>383</v>
      </c>
      <c r="BM347" s="22" t="s">
        <v>256</v>
      </c>
      <c r="BN347" s="26" t="str">
        <f>_xlfn.XLOOKUP(Transformation[[#This Row],[Commodity to]],Commodities[Commodity code],Commodities[EnergyCode])</f>
        <v>EN</v>
      </c>
      <c r="BO347" s="22" t="s">
        <v>383</v>
      </c>
      <c r="BP347" s="22" t="s">
        <v>1680</v>
      </c>
      <c r="BQ347" s="33" t="str">
        <f>Transformation[[#This Row],[Commodity from]]&amp;Transformation[[#This Row],[Transaction from]]&amp;Transformation[[#This Row],[Commodity to]]&amp;Transformation[[#This Row],[Transaction to]]</f>
        <v>7000N01910101</v>
      </c>
      <c r="BR347" s="26" t="str">
        <f>Transformation[[#This Row],[crfomid]]&amp;Transformation[[#This Row],[Transaction from]]&amp;"("&amp;Transformation[[#This Row],[Multiplier]]&amp;") -&gt; "&amp;Transformation[[#This Row],[ctoid]]&amp;Transformation[[#This Row],[Transaction to]]</f>
        <v>EN01(3) -&gt; EN01</v>
      </c>
    </row>
    <row r="348" spans="25:70" x14ac:dyDescent="0.45">
      <c r="Y348" s="19" t="s">
        <v>1585</v>
      </c>
      <c r="Z348" s="18" t="s">
        <v>1400</v>
      </c>
      <c r="AA348" s="18" t="s">
        <v>1400</v>
      </c>
      <c r="AB348" s="19" t="s">
        <v>1600</v>
      </c>
      <c r="AC348" s="26" t="str">
        <f>IFERROR(VLOOKUP(Transactions[[#This Row],[Parent code]],Transactions[[Transaction code]:[Transaction name]],2,0),"")</f>
        <v>Electricity plants</v>
      </c>
      <c r="AD348" s="18" t="s">
        <v>189</v>
      </c>
      <c r="AE348" s="18" t="s">
        <v>923</v>
      </c>
      <c r="AF348" s="18" t="s">
        <v>642</v>
      </c>
      <c r="AG348" s="18" t="s">
        <v>1</v>
      </c>
      <c r="AH348" s="18" t="s">
        <v>696</v>
      </c>
      <c r="AI348" s="18" t="s">
        <v>1416</v>
      </c>
      <c r="AJ348" s="18"/>
      <c r="AK348" s="26" t="str" cm="1">
        <f t="array" ref="AK348">IFERROR(INDEX(Transactions[[Transaction code]:[Transaction name]],_xlfn.XMATCH(Transactions[[#This Row],[Parent code]],Transactions[Transaction name],0),3),Transactions[[#This Row],[Transaction name]])</f>
        <v>Electricity plants - crude oil</v>
      </c>
      <c r="AL348" s="26" t="str" cm="1">
        <f t="array" ref="AL348">IFERROR(INDEX(Transactions[[Transaction code]:[Transaction name]],_xlfn.XMATCH(INDEX(Transactions[[Transaction name]:[Parent code]],_xlfn.XMATCH(Transactions[[#This Row],[L1N]],Transactions[Transaction name],0),3),Transactions[Transaction code],0),2),Transactions[[#This Row],[L1N]])</f>
        <v>Electricity plants</v>
      </c>
      <c r="AM348" s="26" t="str" cm="1">
        <f t="array" ref="AM348">IFERROR(INDEX(Transactions[[Transaction code]:[Transaction name]],_xlfn.XMATCH(INDEX(Transactions[[Transaction name]:[Parent code]],_xlfn.XMATCH(Transactions[[#This Row],[L2N]],Transactions[Transaction name],0),3),Transactions[Transaction code],0),2),Transactions[[#This Row],[L2N]])</f>
        <v>Electricity, CHP and heat plants (T)</v>
      </c>
      <c r="AN348" s="26" t="str" cm="1">
        <f t="array" ref="AN348">IFERROR(INDEX(Transactions[[Transaction code]:[Transaction name]],_xlfn.XMATCH(INDEX(Transactions[[Transaction name]:[Parent code]],_xlfn.XMATCH(Transactions[[#This Row],[L3N]],Transactions[Transaction name],0),3),Transactions[Transaction code],0),2),Transactions[[#This Row],[L3N]])</f>
        <v>Transformation</v>
      </c>
      <c r="AO348" s="26" t="str" cm="1">
        <f t="array" ref="AO348">IFERROR(INDEX(Transactions[[Transaction code]:[Transaction name]],_xlfn.XMATCH(INDEX(Transactions[[Transaction name]:[Parent code]],_xlfn.XMATCH(Transactions[[#This Row],[L4N]],Transactions[Transaction name],0),3),Transactions[Transaction code],0),2),Transactions[[#This Row],[L4N]])</f>
        <v>Transformation</v>
      </c>
      <c r="AP348" s="26" t="str" cm="1">
        <f t="array" ref="AP348">IFERROR(INDEX(Transactions[[Transaction code]:[Transaction name]],_xlfn.XMATCH(INDEX(Transactions[[Transaction name]:[Parent code]],_xlfn.XMATCH(Transactions[[#This Row],[L5N]],Transactions[Transaction name],0),3),Transactions[Transaction code],0),2),Transactions[[#This Row],[L5N]])</f>
        <v>Transformation</v>
      </c>
      <c r="AQ348" s="26" t="str" cm="1">
        <f t="array" ref="AQ348">IFERROR(INDEX(Transactions[[Transaction code]:[Transaction name]],_xlfn.XMATCH(INDEX(Transactions[[Transaction name]:[Parent code]],_xlfn.XMATCH(Transactions[[#This Row],[L6N]],Transactions[Transaction name],0),3),Transactions[Transaction code],0),2),Transactions[[#This Row],[L6N]])</f>
        <v>Transformation</v>
      </c>
      <c r="AR348" s="30" t="str">
        <f>IF(Transactions[[#This Row],[L7N]]=Transactions[[#This Row],[L6N]],Transactions[[#This Row],[L7N]],IF(Transactions[[#This Row],[L6N]]=Transactions[[#This Row],[L5N]],Transactions[[#This Row],[L6N]],IF(Transactions[[#This Row],[L5N]]=Transactions[[#This Row],[L4N]],Transactions[[#This Row],[L5N]],IF(Transactions[[#This Row],[L4N]]=Transactions[[#This Row],[L3N]],Transactions[[#This Row],[L4N]],IF(Transactions[[#This Row],[L3N]]=Transactions[[#This Row],[L2N]],Transactions[[#This Row],[L3N]],IF(Transactions[[#This Row],[L2N]]=Transactions[[#This Row],[L1N]],Transactions[[#This Row],[L2N]],IF(Transactions[[#This Row],[L1N]]=Transactions[[#This Row],[Transaction name]],Transactions[[#This Row],[L1N]],Transactions[[#This Row],[Transaction name]])))))))</f>
        <v>Transformation</v>
      </c>
      <c r="AS348" s="26" t="str">
        <f>IF(Transactions[[#This Row],[Level 0]]=Transactions[[#This Row],[Transaction name]],Transactions[[#This Row],[Transaction name]],IF(Transactions[[#This Row],[Level 0]]=Transactions[[#This Row],[L1N]],Transactions[[#This Row],[Transaction name]],IF(Transactions[[#This Row],[Level 0]]=Transactions[[#This Row],[L2N]],Transactions[[#This Row],[L1N]],IF(Transactions[[#This Row],[Level 0]]=Transactions[[#This Row],[L3N]],Transactions[[#This Row],[L2N]],IF(Transactions[[#This Row],[Level 0]]=Transactions[[#This Row],[L4N]],Transactions[[#This Row],[L3N]],IF(Transactions[[#This Row],[Level 0]]=Transactions[[#This Row],[L5N]],Transactions[[#This Row],[L4N]],IF(Transactions[[#This Row],[Level 0]]=Transactions[[#This Row],[L6N]],Transactions[[#This Row],[L5N]],IF(Transactions[[#This Row],[Level 0]]=Transactions[[#This Row],[L7N]],Transactions[[#This Row],[L6N]],Transactions[[#This Row],[L7N]]))))))))</f>
        <v>Electricity, CHP and heat plants (T)</v>
      </c>
      <c r="AT348" s="26" t="str">
        <f>IF(Transactions[[#This Row],[Level 1]]=Transactions[[#This Row],[Transaction name]],Transactions[[#This Row],[Transaction name]],IF(Transactions[[#This Row],[Level 1]]=Transactions[[#This Row],[L1N]],Transactions[[#This Row],[Transaction name]],IF(Transactions[[#This Row],[Level 1]]=Transactions[[#This Row],[L2N]],Transactions[[#This Row],[L1N]],IF(Transactions[[#This Row],[Level 1]]=Transactions[[#This Row],[L3N]],Transactions[[#This Row],[L2N]],IF(Transactions[[#This Row],[Level 1]]=Transactions[[#This Row],[L4N]],Transactions[[#This Row],[L3N]],IF(Transactions[[#This Row],[Level 1]]=Transactions[[#This Row],[L5N]],Transactions[[#This Row],[L4N]],IF(Transactions[[#This Row],[Level 1]]=Transactions[[#This Row],[L6N]],Transactions[[#This Row],[L5N]],IF(Transactions[[#This Row],[Level 1]]=Transactions[[#This Row],[L7N]],Transactions[[#This Row],[L6N]],Transactions[[#This Row],[L7N]]))))))))</f>
        <v>Electricity plants</v>
      </c>
      <c r="AU348" s="26" t="str">
        <f>IF(Transactions[[#This Row],[Level 2]]=Transactions[[#This Row],[Transaction name]],Transactions[[#This Row],[Transaction name]],IF(Transactions[[#This Row],[Level 2]]=Transactions[[#This Row],[L1N]],Transactions[[#This Row],[Transaction name]],IF(Transactions[[#This Row],[Level 2]]=Transactions[[#This Row],[L2N]],Transactions[[#This Row],[L1N]],IF(Transactions[[#This Row],[Level 2]]=Transactions[[#This Row],[L3N]],Transactions[[#This Row],[L2N]],IF(Transactions[[#This Row],[Level 2]]=Transactions[[#This Row],[L4N]],Transactions[[#This Row],[L3N]],IF(Transactions[[#This Row],[Level 2]]=Transactions[[#This Row],[L5N]],Transactions[[#This Row],[L4N]],IF(Transactions[[#This Row],[Level 2]]=Transactions[[#This Row],[L6N]],Transactions[[#This Row],[L5N]],IF(Transactions[[#This Row],[Level 2]]=Transactions[[#This Row],[L7N]],Transactions[[#This Row],[L6N]],Transactions[[#This Row],[L7N]]))))))))</f>
        <v>Electricity plants - crude oil</v>
      </c>
      <c r="AV348" s="26" t="str">
        <f>IF(Transactions[[#This Row],[Level 3]]=Transactions[[#This Row],[Transaction name]],Transactions[[#This Row],[Transaction name]],IF(Transactions[[#This Row],[Level 3]]=Transactions[[#This Row],[L1N]],Transactions[[#This Row],[Transaction name]],IF(Transactions[[#This Row],[Level 3]]=Transactions[[#This Row],[L2N]],Transactions[[#This Row],[L1N]],IF(Transactions[[#This Row],[Level 3]]=Transactions[[#This Row],[L3N]],Transactions[[#This Row],[L2N]],IF(Transactions[[#This Row],[Level 3]]=Transactions[[#This Row],[L4N]],Transactions[[#This Row],[L3N]],IF(Transactions[[#This Row],[Level 3]]=Transactions[[#This Row],[L5N]],Transactions[[#This Row],[L4N]],IF(Transactions[[#This Row],[Level 3]]=Transactions[[#This Row],[L6N]],Transactions[[#This Row],[L5N]],IF(Transactions[[#This Row],[Level 3]]=Transactions[[#This Row],[L7N]],Transactions[[#This Row],[L6N]],Transactions[[#This Row],[L7N]]))))))))</f>
        <v>Electricity plants - crude oil</v>
      </c>
      <c r="AW348" s="26" t="str">
        <f>IF(Transactions[[#This Row],[Level 4]]=Transactions[[#This Row],[Transaction name]],Transactions[[#This Row],[Transaction name]],IF(Transactions[[#This Row],[Level 4]]=Transactions[[#This Row],[L1N]],Transactions[[#This Row],[Transaction name]],IF(Transactions[[#This Row],[Level 4]]=Transactions[[#This Row],[L2N]],Transactions[[#This Row],[L1N]],IF(Transactions[[#This Row],[Level 4]]=Transactions[[#This Row],[L3N]],Transactions[[#This Row],[L2N]],IF(Transactions[[#This Row],[Level 4]]=Transactions[[#This Row],[L4N]],Transactions[[#This Row],[L3N]],IF(Transactions[[#This Row],[Level 4]]=Transactions[[#This Row],[L5N]],Transactions[[#This Row],[L4N]],IF(Transactions[[#This Row],[Level 4]]=Transactions[[#This Row],[L6N]],Transactions[[#This Row],[L5N]],IF(Transactions[[#This Row],[Level 4]]=Transactions[[#This Row],[L7N]],Transactions[[#This Row],[L6N]],Transactions[[#This Row],[L7N]]))))))))</f>
        <v>Electricity plants - crude oil</v>
      </c>
      <c r="AX348" s="26" t="str">
        <f>IF(Transactions[[#This Row],[Level 5]]=Transactions[[#This Row],[Transaction name]],Transactions[[#This Row],[Transaction name]],IF(Transactions[[#This Row],[Level 5]]=Transactions[[#This Row],[L1N]],Transactions[[#This Row],[Transaction name]],IF(Transactions[[#This Row],[Level 5]]=Transactions[[#This Row],[L2N]],Transactions[[#This Row],[L1N]],IF(Transactions[[#This Row],[Level 5]]=Transactions[[#This Row],[L3N]],Transactions[[#This Row],[L2N]],IF(Transactions[[#This Row],[Level 5]]=Transactions[[#This Row],[L4N]],Transactions[[#This Row],[L3N]],IF(Transactions[[#This Row],[Level 5]]=Transactions[[#This Row],[L5N]],Transactions[[#This Row],[L4N]],IF(Transactions[[#This Row],[Level 5]]=Transactions[[#This Row],[L6N]],Transactions[[#This Row],[L5N]],IF(Transactions[[#This Row],[Level 5]]=Transactions[[#This Row],[L7N]],Transactions[[#This Row],[L6N]],Transactions[[#This Row],[L7N]]))))))))</f>
        <v>Electricity plants - crude oil</v>
      </c>
      <c r="AY348" s="26" t="str">
        <f>IF(Transactions[[#This Row],[Level 6]]=Transactions[[#This Row],[Transaction name]],Transactions[[#This Row],[Transaction name]],IF(Transactions[[#This Row],[Level 6]]=Transactions[[#This Row],[L1N]],Transactions[[#This Row],[Transaction name]],IF(Transactions[[#This Row],[Level 6]]=Transactions[[#This Row],[L2N]],Transactions[[#This Row],[L1N]],IF(Transactions[[#This Row],[Level 6]]=Transactions[[#This Row],[L3N]],Transactions[[#This Row],[L2N]],IF(Transactions[[#This Row],[Level 6]]=Transactions[[#This Row],[L4N]],Transactions[[#This Row],[L3N]],IF(Transactions[[#This Row],[Level 6]]=Transactions[[#This Row],[L5N]],Transactions[[#This Row],[L4N]],IF(Transactions[[#This Row],[Level 6]]=Transactions[[#This Row],[L6N]],Transactions[[#This Row],[L5N]],IF(Transactions[[#This Row],[Level 6]]=Transactions[[#This Row],[L7N]],Transactions[[#This Row],[L6N]],Transactions[[#This Row],[L7N]]))))))))</f>
        <v>Electricity plants - crude oil</v>
      </c>
      <c r="BE348" s="26" t="str">
        <f>_xlfn.XLOOKUP(Transformation[[#This Row],[cfrom]],Commodities[Commodity],Commodities[Commodity code])</f>
        <v>7000N</v>
      </c>
      <c r="BF348" s="26" t="str">
        <f>_xlfn.XLOOKUP(Transformation[[#This Row],[tfrom]],Transactions[Transaction name],Transactions[Transaction code])</f>
        <v>01</v>
      </c>
      <c r="BG348" s="26" t="str">
        <f>_xlfn.XLOOKUP(Transformation[[#This Row],[cto]],Commodities[Commodity],Commodities[Commodity code])</f>
        <v>7000N</v>
      </c>
      <c r="BH348" s="26" t="str">
        <f>_xlfn.XLOOKUP(Transformation[[#This Row],[tto]],Transactions[Transaction name],Transactions[Transaction code])</f>
        <v>01</v>
      </c>
      <c r="BI348" s="31">
        <v>-1</v>
      </c>
      <c r="BJ348" s="22" t="s">
        <v>278</v>
      </c>
      <c r="BK348" s="26" t="str">
        <f>_xlfn.XLOOKUP(Transformation[[#This Row],[Commodity from]],Commodities[Commodity code],Commodities[EnergyCode])</f>
        <v>EN</v>
      </c>
      <c r="BL348" s="22" t="s">
        <v>383</v>
      </c>
      <c r="BM348" s="22" t="s">
        <v>278</v>
      </c>
      <c r="BN348" s="26" t="str">
        <f>_xlfn.XLOOKUP(Transformation[[#This Row],[Commodity to]],Commodities[Commodity code],Commodities[EnergyCode])</f>
        <v>EN</v>
      </c>
      <c r="BO348" s="22" t="s">
        <v>383</v>
      </c>
      <c r="BP348" s="22" t="s">
        <v>1683</v>
      </c>
      <c r="BQ348" s="33" t="str">
        <f>Transformation[[#This Row],[Commodity from]]&amp;Transformation[[#This Row],[Transaction from]]&amp;Transformation[[#This Row],[Commodity to]]&amp;Transformation[[#This Row],[Transaction to]]</f>
        <v>7000N017000N01</v>
      </c>
      <c r="BR348" s="26" t="str">
        <f>Transformation[[#This Row],[crfomid]]&amp;Transformation[[#This Row],[Transaction from]]&amp;"("&amp;Transformation[[#This Row],[Multiplier]]&amp;") -&gt; "&amp;Transformation[[#This Row],[ctoid]]&amp;Transformation[[#This Row],[Transaction to]]</f>
        <v>EN01(-1) -&gt; EN01</v>
      </c>
    </row>
    <row r="349" spans="25:70" x14ac:dyDescent="0.45">
      <c r="Y349" s="5" t="s">
        <v>1278</v>
      </c>
      <c r="Z349" s="7" t="s">
        <v>1226</v>
      </c>
      <c r="AA349" s="4" t="s">
        <v>1400</v>
      </c>
      <c r="AB349" s="19" t="s">
        <v>1585</v>
      </c>
      <c r="AC349" s="24" t="str">
        <f>IFERROR(VLOOKUP(Transactions[[#This Row],[Parent code]],Transactions[[Transaction code]:[Transaction name]],2,0),"")</f>
        <v>Electricity plants - crude oil</v>
      </c>
      <c r="AD349" s="4" t="s">
        <v>189</v>
      </c>
      <c r="AE349" s="4" t="s">
        <v>923</v>
      </c>
      <c r="AF349" s="4" t="s">
        <v>642</v>
      </c>
      <c r="AG349" s="4" t="s">
        <v>1</v>
      </c>
      <c r="AH349" s="4" t="s">
        <v>696</v>
      </c>
      <c r="AI349" s="12" t="s">
        <v>1416</v>
      </c>
      <c r="AK349" s="24" t="str" cm="1">
        <f t="array" ref="AK349">IFERROR(INDEX(Transactions[[Transaction code]:[Transaction name]],_xlfn.XMATCH(Transactions[[#This Row],[Parent code]],Transactions[Transaction name],0),3),Transactions[[#This Row],[Transaction name]])</f>
        <v>Electricity plants - Main activity - crude oil</v>
      </c>
      <c r="AL349" s="24" t="str" cm="1">
        <f t="array" ref="AL349">IFERROR(INDEX(Transactions[[Transaction code]:[Transaction name]],_xlfn.XMATCH(INDEX(Transactions[[Transaction name]:[Parent code]],_xlfn.XMATCH(Transactions[[#This Row],[L1N]],Transactions[Transaction name],0),3),Transactions[Transaction code],0),2),Transactions[[#This Row],[L1N]])</f>
        <v>Electricity plants - crude oil</v>
      </c>
      <c r="AM349" s="24" t="str" cm="1">
        <f t="array" ref="AM349">IFERROR(INDEX(Transactions[[Transaction code]:[Transaction name]],_xlfn.XMATCH(INDEX(Transactions[[Transaction name]:[Parent code]],_xlfn.XMATCH(Transactions[[#This Row],[L2N]],Transactions[Transaction name],0),3),Transactions[Transaction code],0),2),Transactions[[#This Row],[L2N]])</f>
        <v>Electricity plants</v>
      </c>
      <c r="AN349" s="24" t="str" cm="1">
        <f t="array" ref="AN349">IFERROR(INDEX(Transactions[[Transaction code]:[Transaction name]],_xlfn.XMATCH(INDEX(Transactions[[Transaction name]:[Parent code]],_xlfn.XMATCH(Transactions[[#This Row],[L3N]],Transactions[Transaction name],0),3),Transactions[Transaction code],0),2),Transactions[[#This Row],[L3N]])</f>
        <v>Electricity, CHP and heat plants (T)</v>
      </c>
      <c r="AO349" s="24" t="str" cm="1">
        <f t="array" ref="AO349">IFERROR(INDEX(Transactions[[Transaction code]:[Transaction name]],_xlfn.XMATCH(INDEX(Transactions[[Transaction name]:[Parent code]],_xlfn.XMATCH(Transactions[[#This Row],[L4N]],Transactions[Transaction name],0),3),Transactions[Transaction code],0),2),Transactions[[#This Row],[L4N]])</f>
        <v>Transformation</v>
      </c>
      <c r="AP349" s="24" t="str" cm="1">
        <f t="array" ref="AP349">IFERROR(INDEX(Transactions[[Transaction code]:[Transaction name]],_xlfn.XMATCH(INDEX(Transactions[[Transaction name]:[Parent code]],_xlfn.XMATCH(Transactions[[#This Row],[L5N]],Transactions[Transaction name],0),3),Transactions[Transaction code],0),2),Transactions[[#This Row],[L5N]])</f>
        <v>Transformation</v>
      </c>
      <c r="AQ349" s="24" t="str" cm="1">
        <f t="array" ref="AQ349">IFERROR(INDEX(Transactions[[Transaction code]:[Transaction name]],_xlfn.XMATCH(INDEX(Transactions[[Transaction name]:[Parent code]],_xlfn.XMATCH(Transactions[[#This Row],[L6N]],Transactions[Transaction name],0),3),Transactions[Transaction code],0),2),Transactions[[#This Row],[L6N]])</f>
        <v>Transformation</v>
      </c>
      <c r="AR349" s="27" t="str">
        <f>IF(Transactions[[#This Row],[L7N]]=Transactions[[#This Row],[L6N]],Transactions[[#This Row],[L7N]],IF(Transactions[[#This Row],[L6N]]=Transactions[[#This Row],[L5N]],Transactions[[#This Row],[L6N]],IF(Transactions[[#This Row],[L5N]]=Transactions[[#This Row],[L4N]],Transactions[[#This Row],[L5N]],IF(Transactions[[#This Row],[L4N]]=Transactions[[#This Row],[L3N]],Transactions[[#This Row],[L4N]],IF(Transactions[[#This Row],[L3N]]=Transactions[[#This Row],[L2N]],Transactions[[#This Row],[L3N]],IF(Transactions[[#This Row],[L2N]]=Transactions[[#This Row],[L1N]],Transactions[[#This Row],[L2N]],IF(Transactions[[#This Row],[L1N]]=Transactions[[#This Row],[Transaction name]],Transactions[[#This Row],[L1N]],Transactions[[#This Row],[Transaction name]])))))))</f>
        <v>Transformation</v>
      </c>
      <c r="AS349" s="24" t="str">
        <f>IF(Transactions[[#This Row],[Level 0]]=Transactions[[#This Row],[Transaction name]],Transactions[[#This Row],[Transaction name]],IF(Transactions[[#This Row],[Level 0]]=Transactions[[#This Row],[L1N]],Transactions[[#This Row],[Transaction name]],IF(Transactions[[#This Row],[Level 0]]=Transactions[[#This Row],[L2N]],Transactions[[#This Row],[L1N]],IF(Transactions[[#This Row],[Level 0]]=Transactions[[#This Row],[L3N]],Transactions[[#This Row],[L2N]],IF(Transactions[[#This Row],[Level 0]]=Transactions[[#This Row],[L4N]],Transactions[[#This Row],[L3N]],IF(Transactions[[#This Row],[Level 0]]=Transactions[[#This Row],[L5N]],Transactions[[#This Row],[L4N]],IF(Transactions[[#This Row],[Level 0]]=Transactions[[#This Row],[L6N]],Transactions[[#This Row],[L5N]],IF(Transactions[[#This Row],[Level 0]]=Transactions[[#This Row],[L7N]],Transactions[[#This Row],[L6N]],Transactions[[#This Row],[L7N]]))))))))</f>
        <v>Electricity, CHP and heat plants (T)</v>
      </c>
      <c r="AT349" s="24" t="str">
        <f>IF(Transactions[[#This Row],[Level 1]]=Transactions[[#This Row],[Transaction name]],Transactions[[#This Row],[Transaction name]],IF(Transactions[[#This Row],[Level 1]]=Transactions[[#This Row],[L1N]],Transactions[[#This Row],[Transaction name]],IF(Transactions[[#This Row],[Level 1]]=Transactions[[#This Row],[L2N]],Transactions[[#This Row],[L1N]],IF(Transactions[[#This Row],[Level 1]]=Transactions[[#This Row],[L3N]],Transactions[[#This Row],[L2N]],IF(Transactions[[#This Row],[Level 1]]=Transactions[[#This Row],[L4N]],Transactions[[#This Row],[L3N]],IF(Transactions[[#This Row],[Level 1]]=Transactions[[#This Row],[L5N]],Transactions[[#This Row],[L4N]],IF(Transactions[[#This Row],[Level 1]]=Transactions[[#This Row],[L6N]],Transactions[[#This Row],[L5N]],IF(Transactions[[#This Row],[Level 1]]=Transactions[[#This Row],[L7N]],Transactions[[#This Row],[L6N]],Transactions[[#This Row],[L7N]]))))))))</f>
        <v>Electricity plants</v>
      </c>
      <c r="AU349" s="24" t="str">
        <f>IF(Transactions[[#This Row],[Level 2]]=Transactions[[#This Row],[Transaction name]],Transactions[[#This Row],[Transaction name]],IF(Transactions[[#This Row],[Level 2]]=Transactions[[#This Row],[L1N]],Transactions[[#This Row],[Transaction name]],IF(Transactions[[#This Row],[Level 2]]=Transactions[[#This Row],[L2N]],Transactions[[#This Row],[L1N]],IF(Transactions[[#This Row],[Level 2]]=Transactions[[#This Row],[L3N]],Transactions[[#This Row],[L2N]],IF(Transactions[[#This Row],[Level 2]]=Transactions[[#This Row],[L4N]],Transactions[[#This Row],[L3N]],IF(Transactions[[#This Row],[Level 2]]=Transactions[[#This Row],[L5N]],Transactions[[#This Row],[L4N]],IF(Transactions[[#This Row],[Level 2]]=Transactions[[#This Row],[L6N]],Transactions[[#This Row],[L5N]],IF(Transactions[[#This Row],[Level 2]]=Transactions[[#This Row],[L7N]],Transactions[[#This Row],[L6N]],Transactions[[#This Row],[L7N]]))))))))</f>
        <v>Electricity plants - crude oil</v>
      </c>
      <c r="AV349" s="24" t="str">
        <f>IF(Transactions[[#This Row],[Level 3]]=Transactions[[#This Row],[Transaction name]],Transactions[[#This Row],[Transaction name]],IF(Transactions[[#This Row],[Level 3]]=Transactions[[#This Row],[L1N]],Transactions[[#This Row],[Transaction name]],IF(Transactions[[#This Row],[Level 3]]=Transactions[[#This Row],[L2N]],Transactions[[#This Row],[L1N]],IF(Transactions[[#This Row],[Level 3]]=Transactions[[#This Row],[L3N]],Transactions[[#This Row],[L2N]],IF(Transactions[[#This Row],[Level 3]]=Transactions[[#This Row],[L4N]],Transactions[[#This Row],[L3N]],IF(Transactions[[#This Row],[Level 3]]=Transactions[[#This Row],[L5N]],Transactions[[#This Row],[L4N]],IF(Transactions[[#This Row],[Level 3]]=Transactions[[#This Row],[L6N]],Transactions[[#This Row],[L5N]],IF(Transactions[[#This Row],[Level 3]]=Transactions[[#This Row],[L7N]],Transactions[[#This Row],[L6N]],Transactions[[#This Row],[L7N]]))))))))</f>
        <v>Electricity plants - Main activity - crude oil</v>
      </c>
      <c r="AW349" s="24" t="str">
        <f>IF(Transactions[[#This Row],[Level 4]]=Transactions[[#This Row],[Transaction name]],Transactions[[#This Row],[Transaction name]],IF(Transactions[[#This Row],[Level 4]]=Transactions[[#This Row],[L1N]],Transactions[[#This Row],[Transaction name]],IF(Transactions[[#This Row],[Level 4]]=Transactions[[#This Row],[L2N]],Transactions[[#This Row],[L1N]],IF(Transactions[[#This Row],[Level 4]]=Transactions[[#This Row],[L3N]],Transactions[[#This Row],[L2N]],IF(Transactions[[#This Row],[Level 4]]=Transactions[[#This Row],[L4N]],Transactions[[#This Row],[L3N]],IF(Transactions[[#This Row],[Level 4]]=Transactions[[#This Row],[L5N]],Transactions[[#This Row],[L4N]],IF(Transactions[[#This Row],[Level 4]]=Transactions[[#This Row],[L6N]],Transactions[[#This Row],[L5N]],IF(Transactions[[#This Row],[Level 4]]=Transactions[[#This Row],[L7N]],Transactions[[#This Row],[L6N]],Transactions[[#This Row],[L7N]]))))))))</f>
        <v>Electricity plants - Main activity - crude oil</v>
      </c>
      <c r="AX349" s="24" t="str">
        <f>IF(Transactions[[#This Row],[Level 5]]=Transactions[[#This Row],[Transaction name]],Transactions[[#This Row],[Transaction name]],IF(Transactions[[#This Row],[Level 5]]=Transactions[[#This Row],[L1N]],Transactions[[#This Row],[Transaction name]],IF(Transactions[[#This Row],[Level 5]]=Transactions[[#This Row],[L2N]],Transactions[[#This Row],[L1N]],IF(Transactions[[#This Row],[Level 5]]=Transactions[[#This Row],[L3N]],Transactions[[#This Row],[L2N]],IF(Transactions[[#This Row],[Level 5]]=Transactions[[#This Row],[L4N]],Transactions[[#This Row],[L3N]],IF(Transactions[[#This Row],[Level 5]]=Transactions[[#This Row],[L5N]],Transactions[[#This Row],[L4N]],IF(Transactions[[#This Row],[Level 5]]=Transactions[[#This Row],[L6N]],Transactions[[#This Row],[L5N]],IF(Transactions[[#This Row],[Level 5]]=Transactions[[#This Row],[L7N]],Transactions[[#This Row],[L6N]],Transactions[[#This Row],[L7N]]))))))))</f>
        <v>Electricity plants - Main activity - crude oil</v>
      </c>
      <c r="AY349" s="24" t="str">
        <f>IF(Transactions[[#This Row],[Level 6]]=Transactions[[#This Row],[Transaction name]],Transactions[[#This Row],[Transaction name]],IF(Transactions[[#This Row],[Level 6]]=Transactions[[#This Row],[L1N]],Transactions[[#This Row],[Transaction name]],IF(Transactions[[#This Row],[Level 6]]=Transactions[[#This Row],[L2N]],Transactions[[#This Row],[L1N]],IF(Transactions[[#This Row],[Level 6]]=Transactions[[#This Row],[L3N]],Transactions[[#This Row],[L2N]],IF(Transactions[[#This Row],[Level 6]]=Transactions[[#This Row],[L4N]],Transactions[[#This Row],[L3N]],IF(Transactions[[#This Row],[Level 6]]=Transactions[[#This Row],[L5N]],Transactions[[#This Row],[L4N]],IF(Transactions[[#This Row],[Level 6]]=Transactions[[#This Row],[L6N]],Transactions[[#This Row],[L5N]],IF(Transactions[[#This Row],[Level 6]]=Transactions[[#This Row],[L7N]],Transactions[[#This Row],[L6N]],Transactions[[#This Row],[L7N]]))))))))</f>
        <v>Electricity plants - Main activity - crude oil</v>
      </c>
      <c r="BE349" s="26" t="str">
        <f>_xlfn.XLOOKUP(Transformation[[#This Row],[cfrom]],Commodities[Commodity],Commodities[Commodity code])</f>
        <v>7000T</v>
      </c>
      <c r="BF349" s="26" t="str">
        <f>_xlfn.XLOOKUP(Transformation[[#This Row],[tfrom]],Transactions[Transaction name],Transactions[Transaction code])</f>
        <v>01</v>
      </c>
      <c r="BG349" s="26" t="str">
        <f>_xlfn.XLOOKUP(Transformation[[#This Row],[cto]],Commodities[Commodity],Commodities[Commodity code])</f>
        <v>7000T</v>
      </c>
      <c r="BH349" s="26" t="str">
        <f>_xlfn.XLOOKUP(Transformation[[#This Row],[tto]],Transactions[Transaction name],Transactions[Transaction code])</f>
        <v>01</v>
      </c>
      <c r="BI349" s="11">
        <v>-1</v>
      </c>
      <c r="BJ349" s="4" t="s">
        <v>269</v>
      </c>
      <c r="BK349" s="24" t="str">
        <f>_xlfn.XLOOKUP(Transformation[[#This Row],[Commodity from]],Commodities[Commodity code],Commodities[EnergyCode])</f>
        <v>ET</v>
      </c>
      <c r="BL349" s="4" t="s">
        <v>383</v>
      </c>
      <c r="BM349" s="4" t="s">
        <v>269</v>
      </c>
      <c r="BN349" s="24" t="str">
        <f>_xlfn.XLOOKUP(Transformation[[#This Row],[Commodity to]],Commodities[Commodity code],Commodities[EnergyCode])</f>
        <v>ET</v>
      </c>
      <c r="BO349" s="4" t="s">
        <v>383</v>
      </c>
      <c r="BP349" s="4" t="s">
        <v>975</v>
      </c>
      <c r="BQ349" s="33" t="str">
        <f>Transformation[[#This Row],[Commodity from]]&amp;Transformation[[#This Row],[Transaction from]]&amp;Transformation[[#This Row],[Commodity to]]&amp;Transformation[[#This Row],[Transaction to]]</f>
        <v>7000T017000T01</v>
      </c>
      <c r="BR349" s="26" t="str">
        <f>Transformation[[#This Row],[crfomid]]&amp;Transformation[[#This Row],[Transaction from]]&amp;"("&amp;Transformation[[#This Row],[Multiplier]]&amp;") -&gt; "&amp;Transformation[[#This Row],[ctoid]]&amp;Transformation[[#This Row],[Transaction to]]</f>
        <v>ET01(-1) -&gt; ET01</v>
      </c>
    </row>
    <row r="350" spans="25:70" x14ac:dyDescent="0.45">
      <c r="Y350" s="5" t="s">
        <v>1023</v>
      </c>
      <c r="Z350" s="7" t="s">
        <v>1031</v>
      </c>
      <c r="AA350" s="4" t="s">
        <v>1340</v>
      </c>
      <c r="AB350" s="19" t="s">
        <v>1588</v>
      </c>
      <c r="AC350" s="24" t="str">
        <f>IFERROR(VLOOKUP(Transactions[[#This Row],[Parent code]],Transactions[[Transaction code]:[Transaction name]],2,0),"")</f>
        <v>Electricity plants - fuel oil</v>
      </c>
      <c r="AD350" s="4" t="s">
        <v>189</v>
      </c>
      <c r="AE350" s="4" t="s">
        <v>923</v>
      </c>
      <c r="AF350" s="4" t="s">
        <v>642</v>
      </c>
      <c r="AG350" s="4" t="s">
        <v>1</v>
      </c>
      <c r="AH350" s="4" t="s">
        <v>696</v>
      </c>
      <c r="AI350" s="12" t="s">
        <v>1416</v>
      </c>
      <c r="AK350" s="24" t="str" cm="1">
        <f t="array" ref="AK350">IFERROR(INDEX(Transactions[[Transaction code]:[Transaction name]],_xlfn.XMATCH(Transactions[[#This Row],[Parent code]],Transactions[Transaction name],0),3),Transactions[[#This Row],[Transaction name]])</f>
        <v>Electricity plants - Autoproducer - fuel oil</v>
      </c>
      <c r="AL350" s="24" t="str" cm="1">
        <f t="array" ref="AL350">IFERROR(INDEX(Transactions[[Transaction code]:[Transaction name]],_xlfn.XMATCH(INDEX(Transactions[[Transaction name]:[Parent code]],_xlfn.XMATCH(Transactions[[#This Row],[L1N]],Transactions[Transaction name],0),3),Transactions[Transaction code],0),2),Transactions[[#This Row],[L1N]])</f>
        <v>Electricity plants - fuel oil</v>
      </c>
      <c r="AM350" s="24" t="str" cm="1">
        <f t="array" ref="AM350">IFERROR(INDEX(Transactions[[Transaction code]:[Transaction name]],_xlfn.XMATCH(INDEX(Transactions[[Transaction name]:[Parent code]],_xlfn.XMATCH(Transactions[[#This Row],[L2N]],Transactions[Transaction name],0),3),Transactions[Transaction code],0),2),Transactions[[#This Row],[L2N]])</f>
        <v>Electricity plants</v>
      </c>
      <c r="AN350" s="24" t="str" cm="1">
        <f t="array" ref="AN350">IFERROR(INDEX(Transactions[[Transaction code]:[Transaction name]],_xlfn.XMATCH(INDEX(Transactions[[Transaction name]:[Parent code]],_xlfn.XMATCH(Transactions[[#This Row],[L3N]],Transactions[Transaction name],0),3),Transactions[Transaction code],0),2),Transactions[[#This Row],[L3N]])</f>
        <v>Electricity, CHP and heat plants (T)</v>
      </c>
      <c r="AO350" s="24" t="str" cm="1">
        <f t="array" ref="AO350">IFERROR(INDEX(Transactions[[Transaction code]:[Transaction name]],_xlfn.XMATCH(INDEX(Transactions[[Transaction name]:[Parent code]],_xlfn.XMATCH(Transactions[[#This Row],[L4N]],Transactions[Transaction name],0),3),Transactions[Transaction code],0),2),Transactions[[#This Row],[L4N]])</f>
        <v>Transformation</v>
      </c>
      <c r="AP350" s="24" t="str" cm="1">
        <f t="array" ref="AP350">IFERROR(INDEX(Transactions[[Transaction code]:[Transaction name]],_xlfn.XMATCH(INDEX(Transactions[[Transaction name]:[Parent code]],_xlfn.XMATCH(Transactions[[#This Row],[L5N]],Transactions[Transaction name],0),3),Transactions[Transaction code],0),2),Transactions[[#This Row],[L5N]])</f>
        <v>Transformation</v>
      </c>
      <c r="AQ350" s="24" t="str" cm="1">
        <f t="array" ref="AQ350">IFERROR(INDEX(Transactions[[Transaction code]:[Transaction name]],_xlfn.XMATCH(INDEX(Transactions[[Transaction name]:[Parent code]],_xlfn.XMATCH(Transactions[[#This Row],[L6N]],Transactions[Transaction name],0),3),Transactions[Transaction code],0),2),Transactions[[#This Row],[L6N]])</f>
        <v>Transformation</v>
      </c>
      <c r="AR350" s="27" t="str">
        <f>IF(Transactions[[#This Row],[L7N]]=Transactions[[#This Row],[L6N]],Transactions[[#This Row],[L7N]],IF(Transactions[[#This Row],[L6N]]=Transactions[[#This Row],[L5N]],Transactions[[#This Row],[L6N]],IF(Transactions[[#This Row],[L5N]]=Transactions[[#This Row],[L4N]],Transactions[[#This Row],[L5N]],IF(Transactions[[#This Row],[L4N]]=Transactions[[#This Row],[L3N]],Transactions[[#This Row],[L4N]],IF(Transactions[[#This Row],[L3N]]=Transactions[[#This Row],[L2N]],Transactions[[#This Row],[L3N]],IF(Transactions[[#This Row],[L2N]]=Transactions[[#This Row],[L1N]],Transactions[[#This Row],[L2N]],IF(Transactions[[#This Row],[L1N]]=Transactions[[#This Row],[Transaction name]],Transactions[[#This Row],[L1N]],Transactions[[#This Row],[Transaction name]])))))))</f>
        <v>Transformation</v>
      </c>
      <c r="AS350" s="24" t="str">
        <f>IF(Transactions[[#This Row],[Level 0]]=Transactions[[#This Row],[Transaction name]],Transactions[[#This Row],[Transaction name]],IF(Transactions[[#This Row],[Level 0]]=Transactions[[#This Row],[L1N]],Transactions[[#This Row],[Transaction name]],IF(Transactions[[#This Row],[Level 0]]=Transactions[[#This Row],[L2N]],Transactions[[#This Row],[L1N]],IF(Transactions[[#This Row],[Level 0]]=Transactions[[#This Row],[L3N]],Transactions[[#This Row],[L2N]],IF(Transactions[[#This Row],[Level 0]]=Transactions[[#This Row],[L4N]],Transactions[[#This Row],[L3N]],IF(Transactions[[#This Row],[Level 0]]=Transactions[[#This Row],[L5N]],Transactions[[#This Row],[L4N]],IF(Transactions[[#This Row],[Level 0]]=Transactions[[#This Row],[L6N]],Transactions[[#This Row],[L5N]],IF(Transactions[[#This Row],[Level 0]]=Transactions[[#This Row],[L7N]],Transactions[[#This Row],[L6N]],Transactions[[#This Row],[L7N]]))))))))</f>
        <v>Electricity, CHP and heat plants (T)</v>
      </c>
      <c r="AT350" s="24" t="str">
        <f>IF(Transactions[[#This Row],[Level 1]]=Transactions[[#This Row],[Transaction name]],Transactions[[#This Row],[Transaction name]],IF(Transactions[[#This Row],[Level 1]]=Transactions[[#This Row],[L1N]],Transactions[[#This Row],[Transaction name]],IF(Transactions[[#This Row],[Level 1]]=Transactions[[#This Row],[L2N]],Transactions[[#This Row],[L1N]],IF(Transactions[[#This Row],[Level 1]]=Transactions[[#This Row],[L3N]],Transactions[[#This Row],[L2N]],IF(Transactions[[#This Row],[Level 1]]=Transactions[[#This Row],[L4N]],Transactions[[#This Row],[L3N]],IF(Transactions[[#This Row],[Level 1]]=Transactions[[#This Row],[L5N]],Transactions[[#This Row],[L4N]],IF(Transactions[[#This Row],[Level 1]]=Transactions[[#This Row],[L6N]],Transactions[[#This Row],[L5N]],IF(Transactions[[#This Row],[Level 1]]=Transactions[[#This Row],[L7N]],Transactions[[#This Row],[L6N]],Transactions[[#This Row],[L7N]]))))))))</f>
        <v>Electricity plants</v>
      </c>
      <c r="AU350" s="24" t="str">
        <f>IF(Transactions[[#This Row],[Level 2]]=Transactions[[#This Row],[Transaction name]],Transactions[[#This Row],[Transaction name]],IF(Transactions[[#This Row],[Level 2]]=Transactions[[#This Row],[L1N]],Transactions[[#This Row],[Transaction name]],IF(Transactions[[#This Row],[Level 2]]=Transactions[[#This Row],[L2N]],Transactions[[#This Row],[L1N]],IF(Transactions[[#This Row],[Level 2]]=Transactions[[#This Row],[L3N]],Transactions[[#This Row],[L2N]],IF(Transactions[[#This Row],[Level 2]]=Transactions[[#This Row],[L4N]],Transactions[[#This Row],[L3N]],IF(Transactions[[#This Row],[Level 2]]=Transactions[[#This Row],[L5N]],Transactions[[#This Row],[L4N]],IF(Transactions[[#This Row],[Level 2]]=Transactions[[#This Row],[L6N]],Transactions[[#This Row],[L5N]],IF(Transactions[[#This Row],[Level 2]]=Transactions[[#This Row],[L7N]],Transactions[[#This Row],[L6N]],Transactions[[#This Row],[L7N]]))))))))</f>
        <v>Electricity plants - fuel oil</v>
      </c>
      <c r="AV350" s="24" t="str">
        <f>IF(Transactions[[#This Row],[Level 3]]=Transactions[[#This Row],[Transaction name]],Transactions[[#This Row],[Transaction name]],IF(Transactions[[#This Row],[Level 3]]=Transactions[[#This Row],[L1N]],Transactions[[#This Row],[Transaction name]],IF(Transactions[[#This Row],[Level 3]]=Transactions[[#This Row],[L2N]],Transactions[[#This Row],[L1N]],IF(Transactions[[#This Row],[Level 3]]=Transactions[[#This Row],[L3N]],Transactions[[#This Row],[L2N]],IF(Transactions[[#This Row],[Level 3]]=Transactions[[#This Row],[L4N]],Transactions[[#This Row],[L3N]],IF(Transactions[[#This Row],[Level 3]]=Transactions[[#This Row],[L5N]],Transactions[[#This Row],[L4N]],IF(Transactions[[#This Row],[Level 3]]=Transactions[[#This Row],[L6N]],Transactions[[#This Row],[L5N]],IF(Transactions[[#This Row],[Level 3]]=Transactions[[#This Row],[L7N]],Transactions[[#This Row],[L6N]],Transactions[[#This Row],[L7N]]))))))))</f>
        <v>Electricity plants - Autoproducer - fuel oil</v>
      </c>
      <c r="AW350" s="24" t="str">
        <f>IF(Transactions[[#This Row],[Level 4]]=Transactions[[#This Row],[Transaction name]],Transactions[[#This Row],[Transaction name]],IF(Transactions[[#This Row],[Level 4]]=Transactions[[#This Row],[L1N]],Transactions[[#This Row],[Transaction name]],IF(Transactions[[#This Row],[Level 4]]=Transactions[[#This Row],[L2N]],Transactions[[#This Row],[L1N]],IF(Transactions[[#This Row],[Level 4]]=Transactions[[#This Row],[L3N]],Transactions[[#This Row],[L2N]],IF(Transactions[[#This Row],[Level 4]]=Transactions[[#This Row],[L4N]],Transactions[[#This Row],[L3N]],IF(Transactions[[#This Row],[Level 4]]=Transactions[[#This Row],[L5N]],Transactions[[#This Row],[L4N]],IF(Transactions[[#This Row],[Level 4]]=Transactions[[#This Row],[L6N]],Transactions[[#This Row],[L5N]],IF(Transactions[[#This Row],[Level 4]]=Transactions[[#This Row],[L7N]],Transactions[[#This Row],[L6N]],Transactions[[#This Row],[L7N]]))))))))</f>
        <v>Electricity plants - Autoproducer - fuel oil</v>
      </c>
      <c r="AX350" s="24" t="str">
        <f>IF(Transactions[[#This Row],[Level 5]]=Transactions[[#This Row],[Transaction name]],Transactions[[#This Row],[Transaction name]],IF(Transactions[[#This Row],[Level 5]]=Transactions[[#This Row],[L1N]],Transactions[[#This Row],[Transaction name]],IF(Transactions[[#This Row],[Level 5]]=Transactions[[#This Row],[L2N]],Transactions[[#This Row],[L1N]],IF(Transactions[[#This Row],[Level 5]]=Transactions[[#This Row],[L3N]],Transactions[[#This Row],[L2N]],IF(Transactions[[#This Row],[Level 5]]=Transactions[[#This Row],[L4N]],Transactions[[#This Row],[L3N]],IF(Transactions[[#This Row],[Level 5]]=Transactions[[#This Row],[L5N]],Transactions[[#This Row],[L4N]],IF(Transactions[[#This Row],[Level 5]]=Transactions[[#This Row],[L6N]],Transactions[[#This Row],[L5N]],IF(Transactions[[#This Row],[Level 5]]=Transactions[[#This Row],[L7N]],Transactions[[#This Row],[L6N]],Transactions[[#This Row],[L7N]]))))))))</f>
        <v>Electricity plants - Autoproducer - fuel oil</v>
      </c>
      <c r="AY350" s="24" t="str">
        <f>IF(Transactions[[#This Row],[Level 6]]=Transactions[[#This Row],[Transaction name]],Transactions[[#This Row],[Transaction name]],IF(Transactions[[#This Row],[Level 6]]=Transactions[[#This Row],[L1N]],Transactions[[#This Row],[Transaction name]],IF(Transactions[[#This Row],[Level 6]]=Transactions[[#This Row],[L2N]],Transactions[[#This Row],[L1N]],IF(Transactions[[#This Row],[Level 6]]=Transactions[[#This Row],[L3N]],Transactions[[#This Row],[L2N]],IF(Transactions[[#This Row],[Level 6]]=Transactions[[#This Row],[L4N]],Transactions[[#This Row],[L3N]],IF(Transactions[[#This Row],[Level 6]]=Transactions[[#This Row],[L5N]],Transactions[[#This Row],[L4N]],IF(Transactions[[#This Row],[Level 6]]=Transactions[[#This Row],[L6N]],Transactions[[#This Row],[L5N]],IF(Transactions[[#This Row],[Level 6]]=Transactions[[#This Row],[L7N]],Transactions[[#This Row],[L6N]],Transactions[[#This Row],[L7N]]))))))))</f>
        <v>Electricity plants - Autoproducer - fuel oil</v>
      </c>
      <c r="BE350" s="26" t="str">
        <f>_xlfn.XLOOKUP(Transformation[[#This Row],[cfrom]],Commodities[Commodity],Commodities[Commodity code])</f>
        <v>4300</v>
      </c>
      <c r="BF350" s="26" t="str">
        <f>_xlfn.XLOOKUP(Transformation[[#This Row],[tfrom]],Transactions[Transaction name],Transactions[Transaction code])</f>
        <v>022</v>
      </c>
      <c r="BG350" s="26" t="str">
        <f>_xlfn.XLOOKUP(Transformation[[#This Row],[cto]],Commodities[Commodity],Commodities[Commodity code])</f>
        <v>4300</v>
      </c>
      <c r="BH350" s="26" t="str">
        <f>_xlfn.XLOOKUP(Transformation[[#This Row],[tto]],Transactions[Transaction name],Transactions[Transaction code])</f>
        <v>022</v>
      </c>
      <c r="BI350" s="10">
        <v>-1</v>
      </c>
      <c r="BJ350" s="4" t="s">
        <v>432</v>
      </c>
      <c r="BK350" s="24" t="str">
        <f>_xlfn.XLOOKUP(Transformation[[#This Row],[Commodity from]],Commodities[Commodity code],Commodities[EnergyCode])</f>
        <v>FS</v>
      </c>
      <c r="BL350" s="4" t="s">
        <v>205</v>
      </c>
      <c r="BM350" s="4" t="s">
        <v>432</v>
      </c>
      <c r="BN350" s="24" t="str">
        <f>_xlfn.XLOOKUP(Transformation[[#This Row],[Commodity to]],Commodities[Commodity code],Commodities[EnergyCode])</f>
        <v>FS</v>
      </c>
      <c r="BO350" s="4" t="s">
        <v>205</v>
      </c>
      <c r="BP350" s="22" t="s">
        <v>1639</v>
      </c>
      <c r="BQ350" s="33" t="str">
        <f>Transformation[[#This Row],[Commodity from]]&amp;Transformation[[#This Row],[Transaction from]]&amp;Transformation[[#This Row],[Commodity to]]&amp;Transformation[[#This Row],[Transaction to]]</f>
        <v>43000224300022</v>
      </c>
      <c r="BR350" s="26" t="str">
        <f>Transformation[[#This Row],[crfomid]]&amp;Transformation[[#This Row],[Transaction from]]&amp;"("&amp;Transformation[[#This Row],[Multiplier]]&amp;") -&gt; "&amp;Transformation[[#This Row],[ctoid]]&amp;Transformation[[#This Row],[Transaction to]]</f>
        <v>FS022(-1) -&gt; FS022</v>
      </c>
    </row>
    <row r="351" spans="25:70" x14ac:dyDescent="0.45">
      <c r="Y351" s="19" t="s">
        <v>1588</v>
      </c>
      <c r="Z351" s="18" t="s">
        <v>1340</v>
      </c>
      <c r="AA351" s="18" t="s">
        <v>1340</v>
      </c>
      <c r="AB351" s="19" t="s">
        <v>1600</v>
      </c>
      <c r="AC351" s="26" t="str">
        <f>IFERROR(VLOOKUP(Transactions[[#This Row],[Parent code]],Transactions[[Transaction code]:[Transaction name]],2,0),"")</f>
        <v>Electricity plants</v>
      </c>
      <c r="AD351" s="18" t="s">
        <v>189</v>
      </c>
      <c r="AE351" s="18" t="s">
        <v>923</v>
      </c>
      <c r="AF351" s="18" t="s">
        <v>642</v>
      </c>
      <c r="AG351" s="18" t="s">
        <v>1</v>
      </c>
      <c r="AH351" s="18" t="s">
        <v>696</v>
      </c>
      <c r="AI351" s="18" t="s">
        <v>1416</v>
      </c>
      <c r="AJ351" s="18"/>
      <c r="AK351" s="26" t="str" cm="1">
        <f t="array" ref="AK351">IFERROR(INDEX(Transactions[[Transaction code]:[Transaction name]],_xlfn.XMATCH(Transactions[[#This Row],[Parent code]],Transactions[Transaction name],0),3),Transactions[[#This Row],[Transaction name]])</f>
        <v>Electricity plants - fuel oil</v>
      </c>
      <c r="AL351" s="26" t="str" cm="1">
        <f t="array" ref="AL351">IFERROR(INDEX(Transactions[[Transaction code]:[Transaction name]],_xlfn.XMATCH(INDEX(Transactions[[Transaction name]:[Parent code]],_xlfn.XMATCH(Transactions[[#This Row],[L1N]],Transactions[Transaction name],0),3),Transactions[Transaction code],0),2),Transactions[[#This Row],[L1N]])</f>
        <v>Electricity plants</v>
      </c>
      <c r="AM351" s="26" t="str" cm="1">
        <f t="array" ref="AM351">IFERROR(INDEX(Transactions[[Transaction code]:[Transaction name]],_xlfn.XMATCH(INDEX(Transactions[[Transaction name]:[Parent code]],_xlfn.XMATCH(Transactions[[#This Row],[L2N]],Transactions[Transaction name],0),3),Transactions[Transaction code],0),2),Transactions[[#This Row],[L2N]])</f>
        <v>Electricity, CHP and heat plants (T)</v>
      </c>
      <c r="AN351" s="26" t="str" cm="1">
        <f t="array" ref="AN351">IFERROR(INDEX(Transactions[[Transaction code]:[Transaction name]],_xlfn.XMATCH(INDEX(Transactions[[Transaction name]:[Parent code]],_xlfn.XMATCH(Transactions[[#This Row],[L3N]],Transactions[Transaction name],0),3),Transactions[Transaction code],0),2),Transactions[[#This Row],[L3N]])</f>
        <v>Transformation</v>
      </c>
      <c r="AO351" s="26" t="str" cm="1">
        <f t="array" ref="AO351">IFERROR(INDEX(Transactions[[Transaction code]:[Transaction name]],_xlfn.XMATCH(INDEX(Transactions[[Transaction name]:[Parent code]],_xlfn.XMATCH(Transactions[[#This Row],[L4N]],Transactions[Transaction name],0),3),Transactions[Transaction code],0),2),Transactions[[#This Row],[L4N]])</f>
        <v>Transformation</v>
      </c>
      <c r="AP351" s="26" t="str" cm="1">
        <f t="array" ref="AP351">IFERROR(INDEX(Transactions[[Transaction code]:[Transaction name]],_xlfn.XMATCH(INDEX(Transactions[[Transaction name]:[Parent code]],_xlfn.XMATCH(Transactions[[#This Row],[L5N]],Transactions[Transaction name],0),3),Transactions[Transaction code],0),2),Transactions[[#This Row],[L5N]])</f>
        <v>Transformation</v>
      </c>
      <c r="AQ351" s="26" t="str" cm="1">
        <f t="array" ref="AQ351">IFERROR(INDEX(Transactions[[Transaction code]:[Transaction name]],_xlfn.XMATCH(INDEX(Transactions[[Transaction name]:[Parent code]],_xlfn.XMATCH(Transactions[[#This Row],[L6N]],Transactions[Transaction name],0),3),Transactions[Transaction code],0),2),Transactions[[#This Row],[L6N]])</f>
        <v>Transformation</v>
      </c>
      <c r="AR351" s="29" t="str">
        <f>IF(Transactions[[#This Row],[L7N]]=Transactions[[#This Row],[L6N]],Transactions[[#This Row],[L7N]],IF(Transactions[[#This Row],[L6N]]=Transactions[[#This Row],[L5N]],Transactions[[#This Row],[L6N]],IF(Transactions[[#This Row],[L5N]]=Transactions[[#This Row],[L4N]],Transactions[[#This Row],[L5N]],IF(Transactions[[#This Row],[L4N]]=Transactions[[#This Row],[L3N]],Transactions[[#This Row],[L4N]],IF(Transactions[[#This Row],[L3N]]=Transactions[[#This Row],[L2N]],Transactions[[#This Row],[L3N]],IF(Transactions[[#This Row],[L2N]]=Transactions[[#This Row],[L1N]],Transactions[[#This Row],[L2N]],IF(Transactions[[#This Row],[L1N]]=Transactions[[#This Row],[Transaction name]],Transactions[[#This Row],[L1N]],Transactions[[#This Row],[Transaction name]])))))))</f>
        <v>Transformation</v>
      </c>
      <c r="AS351" s="26" t="str">
        <f>IF(Transactions[[#This Row],[Level 0]]=Transactions[[#This Row],[Transaction name]],Transactions[[#This Row],[Transaction name]],IF(Transactions[[#This Row],[Level 0]]=Transactions[[#This Row],[L1N]],Transactions[[#This Row],[Transaction name]],IF(Transactions[[#This Row],[Level 0]]=Transactions[[#This Row],[L2N]],Transactions[[#This Row],[L1N]],IF(Transactions[[#This Row],[Level 0]]=Transactions[[#This Row],[L3N]],Transactions[[#This Row],[L2N]],IF(Transactions[[#This Row],[Level 0]]=Transactions[[#This Row],[L4N]],Transactions[[#This Row],[L3N]],IF(Transactions[[#This Row],[Level 0]]=Transactions[[#This Row],[L5N]],Transactions[[#This Row],[L4N]],IF(Transactions[[#This Row],[Level 0]]=Transactions[[#This Row],[L6N]],Transactions[[#This Row],[L5N]],IF(Transactions[[#This Row],[Level 0]]=Transactions[[#This Row],[L7N]],Transactions[[#This Row],[L6N]],Transactions[[#This Row],[L7N]]))))))))</f>
        <v>Electricity, CHP and heat plants (T)</v>
      </c>
      <c r="AT351" s="26" t="str">
        <f>IF(Transactions[[#This Row],[Level 1]]=Transactions[[#This Row],[Transaction name]],Transactions[[#This Row],[Transaction name]],IF(Transactions[[#This Row],[Level 1]]=Transactions[[#This Row],[L1N]],Transactions[[#This Row],[Transaction name]],IF(Transactions[[#This Row],[Level 1]]=Transactions[[#This Row],[L2N]],Transactions[[#This Row],[L1N]],IF(Transactions[[#This Row],[Level 1]]=Transactions[[#This Row],[L3N]],Transactions[[#This Row],[L2N]],IF(Transactions[[#This Row],[Level 1]]=Transactions[[#This Row],[L4N]],Transactions[[#This Row],[L3N]],IF(Transactions[[#This Row],[Level 1]]=Transactions[[#This Row],[L5N]],Transactions[[#This Row],[L4N]],IF(Transactions[[#This Row],[Level 1]]=Transactions[[#This Row],[L6N]],Transactions[[#This Row],[L5N]],IF(Transactions[[#This Row],[Level 1]]=Transactions[[#This Row],[L7N]],Transactions[[#This Row],[L6N]],Transactions[[#This Row],[L7N]]))))))))</f>
        <v>Electricity plants</v>
      </c>
      <c r="AU351" s="26" t="str">
        <f>IF(Transactions[[#This Row],[Level 2]]=Transactions[[#This Row],[Transaction name]],Transactions[[#This Row],[Transaction name]],IF(Transactions[[#This Row],[Level 2]]=Transactions[[#This Row],[L1N]],Transactions[[#This Row],[Transaction name]],IF(Transactions[[#This Row],[Level 2]]=Transactions[[#This Row],[L2N]],Transactions[[#This Row],[L1N]],IF(Transactions[[#This Row],[Level 2]]=Transactions[[#This Row],[L3N]],Transactions[[#This Row],[L2N]],IF(Transactions[[#This Row],[Level 2]]=Transactions[[#This Row],[L4N]],Transactions[[#This Row],[L3N]],IF(Transactions[[#This Row],[Level 2]]=Transactions[[#This Row],[L5N]],Transactions[[#This Row],[L4N]],IF(Transactions[[#This Row],[Level 2]]=Transactions[[#This Row],[L6N]],Transactions[[#This Row],[L5N]],IF(Transactions[[#This Row],[Level 2]]=Transactions[[#This Row],[L7N]],Transactions[[#This Row],[L6N]],Transactions[[#This Row],[L7N]]))))))))</f>
        <v>Electricity plants - fuel oil</v>
      </c>
      <c r="AV351" s="26" t="str">
        <f>IF(Transactions[[#This Row],[Level 3]]=Transactions[[#This Row],[Transaction name]],Transactions[[#This Row],[Transaction name]],IF(Transactions[[#This Row],[Level 3]]=Transactions[[#This Row],[L1N]],Transactions[[#This Row],[Transaction name]],IF(Transactions[[#This Row],[Level 3]]=Transactions[[#This Row],[L2N]],Transactions[[#This Row],[L1N]],IF(Transactions[[#This Row],[Level 3]]=Transactions[[#This Row],[L3N]],Transactions[[#This Row],[L2N]],IF(Transactions[[#This Row],[Level 3]]=Transactions[[#This Row],[L4N]],Transactions[[#This Row],[L3N]],IF(Transactions[[#This Row],[Level 3]]=Transactions[[#This Row],[L5N]],Transactions[[#This Row],[L4N]],IF(Transactions[[#This Row],[Level 3]]=Transactions[[#This Row],[L6N]],Transactions[[#This Row],[L5N]],IF(Transactions[[#This Row],[Level 3]]=Transactions[[#This Row],[L7N]],Transactions[[#This Row],[L6N]],Transactions[[#This Row],[L7N]]))))))))</f>
        <v>Electricity plants - fuel oil</v>
      </c>
      <c r="AW351" s="26" t="str">
        <f>IF(Transactions[[#This Row],[Level 4]]=Transactions[[#This Row],[Transaction name]],Transactions[[#This Row],[Transaction name]],IF(Transactions[[#This Row],[Level 4]]=Transactions[[#This Row],[L1N]],Transactions[[#This Row],[Transaction name]],IF(Transactions[[#This Row],[Level 4]]=Transactions[[#This Row],[L2N]],Transactions[[#This Row],[L1N]],IF(Transactions[[#This Row],[Level 4]]=Transactions[[#This Row],[L3N]],Transactions[[#This Row],[L2N]],IF(Transactions[[#This Row],[Level 4]]=Transactions[[#This Row],[L4N]],Transactions[[#This Row],[L3N]],IF(Transactions[[#This Row],[Level 4]]=Transactions[[#This Row],[L5N]],Transactions[[#This Row],[L4N]],IF(Transactions[[#This Row],[Level 4]]=Transactions[[#This Row],[L6N]],Transactions[[#This Row],[L5N]],IF(Transactions[[#This Row],[Level 4]]=Transactions[[#This Row],[L7N]],Transactions[[#This Row],[L6N]],Transactions[[#This Row],[L7N]]))))))))</f>
        <v>Electricity plants - fuel oil</v>
      </c>
      <c r="AX351" s="26" t="str">
        <f>IF(Transactions[[#This Row],[Level 5]]=Transactions[[#This Row],[Transaction name]],Transactions[[#This Row],[Transaction name]],IF(Transactions[[#This Row],[Level 5]]=Transactions[[#This Row],[L1N]],Transactions[[#This Row],[Transaction name]],IF(Transactions[[#This Row],[Level 5]]=Transactions[[#This Row],[L2N]],Transactions[[#This Row],[L1N]],IF(Transactions[[#This Row],[Level 5]]=Transactions[[#This Row],[L3N]],Transactions[[#This Row],[L2N]],IF(Transactions[[#This Row],[Level 5]]=Transactions[[#This Row],[L4N]],Transactions[[#This Row],[L3N]],IF(Transactions[[#This Row],[Level 5]]=Transactions[[#This Row],[L5N]],Transactions[[#This Row],[L4N]],IF(Transactions[[#This Row],[Level 5]]=Transactions[[#This Row],[L6N]],Transactions[[#This Row],[L5N]],IF(Transactions[[#This Row],[Level 5]]=Transactions[[#This Row],[L7N]],Transactions[[#This Row],[L6N]],Transactions[[#This Row],[L7N]]))))))))</f>
        <v>Electricity plants - fuel oil</v>
      </c>
      <c r="AY351" s="26" t="str">
        <f>IF(Transactions[[#This Row],[Level 6]]=Transactions[[#This Row],[Transaction name]],Transactions[[#This Row],[Transaction name]],IF(Transactions[[#This Row],[Level 6]]=Transactions[[#This Row],[L1N]],Transactions[[#This Row],[Transaction name]],IF(Transactions[[#This Row],[Level 6]]=Transactions[[#This Row],[L2N]],Transactions[[#This Row],[L1N]],IF(Transactions[[#This Row],[Level 6]]=Transactions[[#This Row],[L3N]],Transactions[[#This Row],[L2N]],IF(Transactions[[#This Row],[Level 6]]=Transactions[[#This Row],[L4N]],Transactions[[#This Row],[L3N]],IF(Transactions[[#This Row],[Level 6]]=Transactions[[#This Row],[L5N]],Transactions[[#This Row],[L4N]],IF(Transactions[[#This Row],[Level 6]]=Transactions[[#This Row],[L6N]],Transactions[[#This Row],[L5N]],IF(Transactions[[#This Row],[Level 6]]=Transactions[[#This Row],[L7N]],Transactions[[#This Row],[L6N]],Transactions[[#This Row],[L7N]]))))))))</f>
        <v>Electricity plants - fuel oil</v>
      </c>
      <c r="BE351" s="26" t="str">
        <f>_xlfn.XLOOKUP(Transformation[[#This Row],[cfrom]],Commodities[Commodity],Commodities[Commodity code])</f>
        <v>4300</v>
      </c>
      <c r="BF351" s="26" t="str">
        <f>_xlfn.XLOOKUP(Transformation[[#This Row],[tfrom]],Transactions[Transaction name],Transactions[Transaction code])</f>
        <v>022</v>
      </c>
      <c r="BG351" s="26" t="str">
        <f>_xlfn.XLOOKUP(Transformation[[#This Row],[cto]],Commodities[Commodity],Commodities[Commodity code])</f>
        <v>4300</v>
      </c>
      <c r="BH351" s="26" t="str">
        <f>_xlfn.XLOOKUP(Transformation[[#This Row],[tto]],Transactions[Transaction name],Transactions[Transaction code])</f>
        <v>085PP</v>
      </c>
      <c r="BI351" s="10">
        <v>1</v>
      </c>
      <c r="BJ351" s="4" t="s">
        <v>432</v>
      </c>
      <c r="BK351" s="24" t="str">
        <f>_xlfn.XLOOKUP(Transformation[[#This Row],[Commodity from]],Commodities[Commodity code],Commodities[EnergyCode])</f>
        <v>FS</v>
      </c>
      <c r="BL351" s="4" t="s">
        <v>205</v>
      </c>
      <c r="BM351" s="4" t="s">
        <v>432</v>
      </c>
      <c r="BN351" s="24" t="str">
        <f>_xlfn.XLOOKUP(Transformation[[#This Row],[Commodity to]],Commodities[Commodity code],Commodities[EnergyCode])</f>
        <v>FS</v>
      </c>
      <c r="BO351" s="4" t="s">
        <v>727</v>
      </c>
      <c r="BP351" s="4" t="s">
        <v>1410</v>
      </c>
      <c r="BQ351" s="33" t="str">
        <f>Transformation[[#This Row],[Commodity from]]&amp;Transformation[[#This Row],[Transaction from]]&amp;Transformation[[#This Row],[Commodity to]]&amp;Transformation[[#This Row],[Transaction to]]</f>
        <v>43000224300085PP</v>
      </c>
      <c r="BR351" s="26" t="str">
        <f>Transformation[[#This Row],[crfomid]]&amp;Transformation[[#This Row],[Transaction from]]&amp;"("&amp;Transformation[[#This Row],[Multiplier]]&amp;") -&gt; "&amp;Transformation[[#This Row],[ctoid]]&amp;Transformation[[#This Row],[Transaction to]]</f>
        <v>FS022(1) -&gt; FS085PP</v>
      </c>
    </row>
    <row r="352" spans="25:70" x14ac:dyDescent="0.45">
      <c r="Y352" s="5" t="s">
        <v>1019</v>
      </c>
      <c r="Z352" s="7" t="s">
        <v>1027</v>
      </c>
      <c r="AA352" s="4" t="s">
        <v>1340</v>
      </c>
      <c r="AB352" s="19" t="s">
        <v>1588</v>
      </c>
      <c r="AC352" s="24" t="str">
        <f>IFERROR(VLOOKUP(Transactions[[#This Row],[Parent code]],Transactions[[Transaction code]:[Transaction name]],2,0),"")</f>
        <v>Electricity plants - fuel oil</v>
      </c>
      <c r="AD352" s="4" t="s">
        <v>189</v>
      </c>
      <c r="AE352" s="4" t="s">
        <v>923</v>
      </c>
      <c r="AF352" s="4" t="s">
        <v>642</v>
      </c>
      <c r="AG352" s="4" t="s">
        <v>1</v>
      </c>
      <c r="AH352" s="4" t="s">
        <v>696</v>
      </c>
      <c r="AI352" s="12" t="s">
        <v>1416</v>
      </c>
      <c r="AK352" s="24" t="str" cm="1">
        <f t="array" ref="AK352">IFERROR(INDEX(Transactions[[Transaction code]:[Transaction name]],_xlfn.XMATCH(Transactions[[#This Row],[Parent code]],Transactions[Transaction name],0),3),Transactions[[#This Row],[Transaction name]])</f>
        <v>Electricity plants - Main activity - fuel oil</v>
      </c>
      <c r="AL352" s="24" t="str" cm="1">
        <f t="array" ref="AL352">IFERROR(INDEX(Transactions[[Transaction code]:[Transaction name]],_xlfn.XMATCH(INDEX(Transactions[[Transaction name]:[Parent code]],_xlfn.XMATCH(Transactions[[#This Row],[L1N]],Transactions[Transaction name],0),3),Transactions[Transaction code],0),2),Transactions[[#This Row],[L1N]])</f>
        <v>Electricity plants - fuel oil</v>
      </c>
      <c r="AM352" s="24" t="str" cm="1">
        <f t="array" ref="AM352">IFERROR(INDEX(Transactions[[Transaction code]:[Transaction name]],_xlfn.XMATCH(INDEX(Transactions[[Transaction name]:[Parent code]],_xlfn.XMATCH(Transactions[[#This Row],[L2N]],Transactions[Transaction name],0),3),Transactions[Transaction code],0),2),Transactions[[#This Row],[L2N]])</f>
        <v>Electricity plants</v>
      </c>
      <c r="AN352" s="24" t="str" cm="1">
        <f t="array" ref="AN352">IFERROR(INDEX(Transactions[[Transaction code]:[Transaction name]],_xlfn.XMATCH(INDEX(Transactions[[Transaction name]:[Parent code]],_xlfn.XMATCH(Transactions[[#This Row],[L3N]],Transactions[Transaction name],0),3),Transactions[Transaction code],0),2),Transactions[[#This Row],[L3N]])</f>
        <v>Electricity, CHP and heat plants (T)</v>
      </c>
      <c r="AO352" s="24" t="str" cm="1">
        <f t="array" ref="AO352">IFERROR(INDEX(Transactions[[Transaction code]:[Transaction name]],_xlfn.XMATCH(INDEX(Transactions[[Transaction name]:[Parent code]],_xlfn.XMATCH(Transactions[[#This Row],[L4N]],Transactions[Transaction name],0),3),Transactions[Transaction code],0),2),Transactions[[#This Row],[L4N]])</f>
        <v>Transformation</v>
      </c>
      <c r="AP352" s="24" t="str" cm="1">
        <f t="array" ref="AP352">IFERROR(INDEX(Transactions[[Transaction code]:[Transaction name]],_xlfn.XMATCH(INDEX(Transactions[[Transaction name]:[Parent code]],_xlfn.XMATCH(Transactions[[#This Row],[L5N]],Transactions[Transaction name],0),3),Transactions[Transaction code],0),2),Transactions[[#This Row],[L5N]])</f>
        <v>Transformation</v>
      </c>
      <c r="AQ352" s="24" t="str" cm="1">
        <f t="array" ref="AQ352">IFERROR(INDEX(Transactions[[Transaction code]:[Transaction name]],_xlfn.XMATCH(INDEX(Transactions[[Transaction name]:[Parent code]],_xlfn.XMATCH(Transactions[[#This Row],[L6N]],Transactions[Transaction name],0),3),Transactions[Transaction code],0),2),Transactions[[#This Row],[L6N]])</f>
        <v>Transformation</v>
      </c>
      <c r="AR352" s="28" t="str">
        <f>IF(Transactions[[#This Row],[L7N]]=Transactions[[#This Row],[L6N]],Transactions[[#This Row],[L7N]],IF(Transactions[[#This Row],[L6N]]=Transactions[[#This Row],[L5N]],Transactions[[#This Row],[L6N]],IF(Transactions[[#This Row],[L5N]]=Transactions[[#This Row],[L4N]],Transactions[[#This Row],[L5N]],IF(Transactions[[#This Row],[L4N]]=Transactions[[#This Row],[L3N]],Transactions[[#This Row],[L4N]],IF(Transactions[[#This Row],[L3N]]=Transactions[[#This Row],[L2N]],Transactions[[#This Row],[L3N]],IF(Transactions[[#This Row],[L2N]]=Transactions[[#This Row],[L1N]],Transactions[[#This Row],[L2N]],IF(Transactions[[#This Row],[L1N]]=Transactions[[#This Row],[Transaction name]],Transactions[[#This Row],[L1N]],Transactions[[#This Row],[Transaction name]])))))))</f>
        <v>Transformation</v>
      </c>
      <c r="AS352" s="24" t="str">
        <f>IF(Transactions[[#This Row],[Level 0]]=Transactions[[#This Row],[Transaction name]],Transactions[[#This Row],[Transaction name]],IF(Transactions[[#This Row],[Level 0]]=Transactions[[#This Row],[L1N]],Transactions[[#This Row],[Transaction name]],IF(Transactions[[#This Row],[Level 0]]=Transactions[[#This Row],[L2N]],Transactions[[#This Row],[L1N]],IF(Transactions[[#This Row],[Level 0]]=Transactions[[#This Row],[L3N]],Transactions[[#This Row],[L2N]],IF(Transactions[[#This Row],[Level 0]]=Transactions[[#This Row],[L4N]],Transactions[[#This Row],[L3N]],IF(Transactions[[#This Row],[Level 0]]=Transactions[[#This Row],[L5N]],Transactions[[#This Row],[L4N]],IF(Transactions[[#This Row],[Level 0]]=Transactions[[#This Row],[L6N]],Transactions[[#This Row],[L5N]],IF(Transactions[[#This Row],[Level 0]]=Transactions[[#This Row],[L7N]],Transactions[[#This Row],[L6N]],Transactions[[#This Row],[L7N]]))))))))</f>
        <v>Electricity, CHP and heat plants (T)</v>
      </c>
      <c r="AT352" s="24" t="str">
        <f>IF(Transactions[[#This Row],[Level 1]]=Transactions[[#This Row],[Transaction name]],Transactions[[#This Row],[Transaction name]],IF(Transactions[[#This Row],[Level 1]]=Transactions[[#This Row],[L1N]],Transactions[[#This Row],[Transaction name]],IF(Transactions[[#This Row],[Level 1]]=Transactions[[#This Row],[L2N]],Transactions[[#This Row],[L1N]],IF(Transactions[[#This Row],[Level 1]]=Transactions[[#This Row],[L3N]],Transactions[[#This Row],[L2N]],IF(Transactions[[#This Row],[Level 1]]=Transactions[[#This Row],[L4N]],Transactions[[#This Row],[L3N]],IF(Transactions[[#This Row],[Level 1]]=Transactions[[#This Row],[L5N]],Transactions[[#This Row],[L4N]],IF(Transactions[[#This Row],[Level 1]]=Transactions[[#This Row],[L6N]],Transactions[[#This Row],[L5N]],IF(Transactions[[#This Row],[Level 1]]=Transactions[[#This Row],[L7N]],Transactions[[#This Row],[L6N]],Transactions[[#This Row],[L7N]]))))))))</f>
        <v>Electricity plants</v>
      </c>
      <c r="AU352" s="24" t="str">
        <f>IF(Transactions[[#This Row],[Level 2]]=Transactions[[#This Row],[Transaction name]],Transactions[[#This Row],[Transaction name]],IF(Transactions[[#This Row],[Level 2]]=Transactions[[#This Row],[L1N]],Transactions[[#This Row],[Transaction name]],IF(Transactions[[#This Row],[Level 2]]=Transactions[[#This Row],[L2N]],Transactions[[#This Row],[L1N]],IF(Transactions[[#This Row],[Level 2]]=Transactions[[#This Row],[L3N]],Transactions[[#This Row],[L2N]],IF(Transactions[[#This Row],[Level 2]]=Transactions[[#This Row],[L4N]],Transactions[[#This Row],[L3N]],IF(Transactions[[#This Row],[Level 2]]=Transactions[[#This Row],[L5N]],Transactions[[#This Row],[L4N]],IF(Transactions[[#This Row],[Level 2]]=Transactions[[#This Row],[L6N]],Transactions[[#This Row],[L5N]],IF(Transactions[[#This Row],[Level 2]]=Transactions[[#This Row],[L7N]],Transactions[[#This Row],[L6N]],Transactions[[#This Row],[L7N]]))))))))</f>
        <v>Electricity plants - fuel oil</v>
      </c>
      <c r="AV352" s="24" t="str">
        <f>IF(Transactions[[#This Row],[Level 3]]=Transactions[[#This Row],[Transaction name]],Transactions[[#This Row],[Transaction name]],IF(Transactions[[#This Row],[Level 3]]=Transactions[[#This Row],[L1N]],Transactions[[#This Row],[Transaction name]],IF(Transactions[[#This Row],[Level 3]]=Transactions[[#This Row],[L2N]],Transactions[[#This Row],[L1N]],IF(Transactions[[#This Row],[Level 3]]=Transactions[[#This Row],[L3N]],Transactions[[#This Row],[L2N]],IF(Transactions[[#This Row],[Level 3]]=Transactions[[#This Row],[L4N]],Transactions[[#This Row],[L3N]],IF(Transactions[[#This Row],[Level 3]]=Transactions[[#This Row],[L5N]],Transactions[[#This Row],[L4N]],IF(Transactions[[#This Row],[Level 3]]=Transactions[[#This Row],[L6N]],Transactions[[#This Row],[L5N]],IF(Transactions[[#This Row],[Level 3]]=Transactions[[#This Row],[L7N]],Transactions[[#This Row],[L6N]],Transactions[[#This Row],[L7N]]))))))))</f>
        <v>Electricity plants - Main activity - fuel oil</v>
      </c>
      <c r="AW352" s="24" t="str">
        <f>IF(Transactions[[#This Row],[Level 4]]=Transactions[[#This Row],[Transaction name]],Transactions[[#This Row],[Transaction name]],IF(Transactions[[#This Row],[Level 4]]=Transactions[[#This Row],[L1N]],Transactions[[#This Row],[Transaction name]],IF(Transactions[[#This Row],[Level 4]]=Transactions[[#This Row],[L2N]],Transactions[[#This Row],[L1N]],IF(Transactions[[#This Row],[Level 4]]=Transactions[[#This Row],[L3N]],Transactions[[#This Row],[L2N]],IF(Transactions[[#This Row],[Level 4]]=Transactions[[#This Row],[L4N]],Transactions[[#This Row],[L3N]],IF(Transactions[[#This Row],[Level 4]]=Transactions[[#This Row],[L5N]],Transactions[[#This Row],[L4N]],IF(Transactions[[#This Row],[Level 4]]=Transactions[[#This Row],[L6N]],Transactions[[#This Row],[L5N]],IF(Transactions[[#This Row],[Level 4]]=Transactions[[#This Row],[L7N]],Transactions[[#This Row],[L6N]],Transactions[[#This Row],[L7N]]))))))))</f>
        <v>Electricity plants - Main activity - fuel oil</v>
      </c>
      <c r="AX352" s="24" t="str">
        <f>IF(Transactions[[#This Row],[Level 5]]=Transactions[[#This Row],[Transaction name]],Transactions[[#This Row],[Transaction name]],IF(Transactions[[#This Row],[Level 5]]=Transactions[[#This Row],[L1N]],Transactions[[#This Row],[Transaction name]],IF(Transactions[[#This Row],[Level 5]]=Transactions[[#This Row],[L2N]],Transactions[[#This Row],[L1N]],IF(Transactions[[#This Row],[Level 5]]=Transactions[[#This Row],[L3N]],Transactions[[#This Row],[L2N]],IF(Transactions[[#This Row],[Level 5]]=Transactions[[#This Row],[L4N]],Transactions[[#This Row],[L3N]],IF(Transactions[[#This Row],[Level 5]]=Transactions[[#This Row],[L5N]],Transactions[[#This Row],[L4N]],IF(Transactions[[#This Row],[Level 5]]=Transactions[[#This Row],[L6N]],Transactions[[#This Row],[L5N]],IF(Transactions[[#This Row],[Level 5]]=Transactions[[#This Row],[L7N]],Transactions[[#This Row],[L6N]],Transactions[[#This Row],[L7N]]))))))))</f>
        <v>Electricity plants - Main activity - fuel oil</v>
      </c>
      <c r="AY352" s="24" t="str">
        <f>IF(Transactions[[#This Row],[Level 6]]=Transactions[[#This Row],[Transaction name]],Transactions[[#This Row],[Transaction name]],IF(Transactions[[#This Row],[Level 6]]=Transactions[[#This Row],[L1N]],Transactions[[#This Row],[Transaction name]],IF(Transactions[[#This Row],[Level 6]]=Transactions[[#This Row],[L2N]],Transactions[[#This Row],[L1N]],IF(Transactions[[#This Row],[Level 6]]=Transactions[[#This Row],[L3N]],Transactions[[#This Row],[L2N]],IF(Transactions[[#This Row],[Level 6]]=Transactions[[#This Row],[L4N]],Transactions[[#This Row],[L3N]],IF(Transactions[[#This Row],[Level 6]]=Transactions[[#This Row],[L5N]],Transactions[[#This Row],[L4N]],IF(Transactions[[#This Row],[Level 6]]=Transactions[[#This Row],[L6N]],Transactions[[#This Row],[L5N]],IF(Transactions[[#This Row],[Level 6]]=Transactions[[#This Row],[L7N]],Transactions[[#This Row],[L6N]],Transactions[[#This Row],[L7N]]))))))))</f>
        <v>Electricity plants - Main activity - fuel oil</v>
      </c>
      <c r="BE352" s="26" t="str">
        <f>_xlfn.XLOOKUP(Transformation[[#This Row],[cfrom]],Commodities[Commodity],Commodities[Commodity code])</f>
        <v>4300</v>
      </c>
      <c r="BF352" s="26" t="str">
        <f>_xlfn.XLOOKUP(Transformation[[#This Row],[tfrom]],Transactions[Transaction name],Transactions[Transaction code])</f>
        <v>01</v>
      </c>
      <c r="BG352" s="26" t="str">
        <f>_xlfn.XLOOKUP(Transformation[[#This Row],[cto]],Commodities[Commodity],Commodities[Commodity code])</f>
        <v>4300</v>
      </c>
      <c r="BH352" s="26" t="str">
        <f>_xlfn.XLOOKUP(Transformation[[#This Row],[tto]],Transactions[Transaction name],Transactions[Transaction code])</f>
        <v>01</v>
      </c>
      <c r="BI352" s="32">
        <v>-1</v>
      </c>
      <c r="BJ352" s="22" t="s">
        <v>432</v>
      </c>
      <c r="BK352" s="26" t="str">
        <f>_xlfn.XLOOKUP(Transformation[[#This Row],[Commodity from]],Commodities[Commodity code],Commodities[EnergyCode])</f>
        <v>FS</v>
      </c>
      <c r="BL352" s="22" t="s">
        <v>383</v>
      </c>
      <c r="BM352" s="22" t="s">
        <v>432</v>
      </c>
      <c r="BN352" s="26" t="str">
        <f>_xlfn.XLOOKUP(Transformation[[#This Row],[Commodity to]],Commodities[Commodity code],Commodities[EnergyCode])</f>
        <v>FS</v>
      </c>
      <c r="BO352" s="22" t="s">
        <v>383</v>
      </c>
      <c r="BP352" s="22" t="s">
        <v>1633</v>
      </c>
      <c r="BQ352" s="33" t="str">
        <f>Transformation[[#This Row],[Commodity from]]&amp;Transformation[[#This Row],[Transaction from]]&amp;Transformation[[#This Row],[Commodity to]]&amp;Transformation[[#This Row],[Transaction to]]</f>
        <v>430001430001</v>
      </c>
      <c r="BR352" s="26" t="str">
        <f>Transformation[[#This Row],[crfomid]]&amp;Transformation[[#This Row],[Transaction from]]&amp;"("&amp;Transformation[[#This Row],[Multiplier]]&amp;") -&gt; "&amp;Transformation[[#This Row],[ctoid]]&amp;Transformation[[#This Row],[Transaction to]]</f>
        <v>FS01(-1) -&gt; FS01</v>
      </c>
    </row>
    <row r="353" spans="25:70" x14ac:dyDescent="0.45">
      <c r="Y353" s="5" t="s">
        <v>1254</v>
      </c>
      <c r="Z353" s="7" t="s">
        <v>1222</v>
      </c>
      <c r="AA353" s="4" t="s">
        <v>1384</v>
      </c>
      <c r="AB353" s="19" t="s">
        <v>1584</v>
      </c>
      <c r="AC353" s="24" t="str">
        <f>IFERROR(VLOOKUP(Transactions[[#This Row],[Parent code]],Transactions[[Transaction code]:[Transaction name]],2,0),"")</f>
        <v>Electricity plants - gas coal products</v>
      </c>
      <c r="AD353" s="4" t="s">
        <v>189</v>
      </c>
      <c r="AE353" s="4" t="s">
        <v>923</v>
      </c>
      <c r="AF353" s="4" t="s">
        <v>642</v>
      </c>
      <c r="AG353" s="4" t="s">
        <v>1</v>
      </c>
      <c r="AH353" s="4" t="s">
        <v>696</v>
      </c>
      <c r="AI353" s="12" t="s">
        <v>1416</v>
      </c>
      <c r="AK353" s="24" t="str" cm="1">
        <f t="array" ref="AK353">IFERROR(INDEX(Transactions[[Transaction code]:[Transaction name]],_xlfn.XMATCH(Transactions[[#This Row],[Parent code]],Transactions[Transaction name],0),3),Transactions[[#This Row],[Transaction name]])</f>
        <v>Electricity plants - Autoproducer - gas coal products</v>
      </c>
      <c r="AL353" s="24" t="str" cm="1">
        <f t="array" ref="AL353">IFERROR(INDEX(Transactions[[Transaction code]:[Transaction name]],_xlfn.XMATCH(INDEX(Transactions[[Transaction name]:[Parent code]],_xlfn.XMATCH(Transactions[[#This Row],[L1N]],Transactions[Transaction name],0),3),Transactions[Transaction code],0),2),Transactions[[#This Row],[L1N]])</f>
        <v>Electricity plants - gas coal products</v>
      </c>
      <c r="AM353" s="24" t="str" cm="1">
        <f t="array" ref="AM353">IFERROR(INDEX(Transactions[[Transaction code]:[Transaction name]],_xlfn.XMATCH(INDEX(Transactions[[Transaction name]:[Parent code]],_xlfn.XMATCH(Transactions[[#This Row],[L2N]],Transactions[Transaction name],0),3),Transactions[Transaction code],0),2),Transactions[[#This Row],[L2N]])</f>
        <v>Electricity plants</v>
      </c>
      <c r="AN353" s="24" t="str" cm="1">
        <f t="array" ref="AN353">IFERROR(INDEX(Transactions[[Transaction code]:[Transaction name]],_xlfn.XMATCH(INDEX(Transactions[[Transaction name]:[Parent code]],_xlfn.XMATCH(Transactions[[#This Row],[L3N]],Transactions[Transaction name],0),3),Transactions[Transaction code],0),2),Transactions[[#This Row],[L3N]])</f>
        <v>Electricity, CHP and heat plants (T)</v>
      </c>
      <c r="AO353" s="24" t="str" cm="1">
        <f t="array" ref="AO353">IFERROR(INDEX(Transactions[[Transaction code]:[Transaction name]],_xlfn.XMATCH(INDEX(Transactions[[Transaction name]:[Parent code]],_xlfn.XMATCH(Transactions[[#This Row],[L4N]],Transactions[Transaction name],0),3),Transactions[Transaction code],0),2),Transactions[[#This Row],[L4N]])</f>
        <v>Transformation</v>
      </c>
      <c r="AP353" s="24" t="str" cm="1">
        <f t="array" ref="AP353">IFERROR(INDEX(Transactions[[Transaction code]:[Transaction name]],_xlfn.XMATCH(INDEX(Transactions[[Transaction name]:[Parent code]],_xlfn.XMATCH(Transactions[[#This Row],[L5N]],Transactions[Transaction name],0),3),Transactions[Transaction code],0),2),Transactions[[#This Row],[L5N]])</f>
        <v>Transformation</v>
      </c>
      <c r="AQ353" s="24" t="str" cm="1">
        <f t="array" ref="AQ353">IFERROR(INDEX(Transactions[[Transaction code]:[Transaction name]],_xlfn.XMATCH(INDEX(Transactions[[Transaction name]:[Parent code]],_xlfn.XMATCH(Transactions[[#This Row],[L6N]],Transactions[Transaction name],0),3),Transactions[Transaction code],0),2),Transactions[[#This Row],[L6N]])</f>
        <v>Transformation</v>
      </c>
      <c r="AR353" s="28" t="str">
        <f>IF(Transactions[[#This Row],[L7N]]=Transactions[[#This Row],[L6N]],Transactions[[#This Row],[L7N]],IF(Transactions[[#This Row],[L6N]]=Transactions[[#This Row],[L5N]],Transactions[[#This Row],[L6N]],IF(Transactions[[#This Row],[L5N]]=Transactions[[#This Row],[L4N]],Transactions[[#This Row],[L5N]],IF(Transactions[[#This Row],[L4N]]=Transactions[[#This Row],[L3N]],Transactions[[#This Row],[L4N]],IF(Transactions[[#This Row],[L3N]]=Transactions[[#This Row],[L2N]],Transactions[[#This Row],[L3N]],IF(Transactions[[#This Row],[L2N]]=Transactions[[#This Row],[L1N]],Transactions[[#This Row],[L2N]],IF(Transactions[[#This Row],[L1N]]=Transactions[[#This Row],[Transaction name]],Transactions[[#This Row],[L1N]],Transactions[[#This Row],[Transaction name]])))))))</f>
        <v>Transformation</v>
      </c>
      <c r="AS353" s="24" t="str">
        <f>IF(Transactions[[#This Row],[Level 0]]=Transactions[[#This Row],[Transaction name]],Transactions[[#This Row],[Transaction name]],IF(Transactions[[#This Row],[Level 0]]=Transactions[[#This Row],[L1N]],Transactions[[#This Row],[Transaction name]],IF(Transactions[[#This Row],[Level 0]]=Transactions[[#This Row],[L2N]],Transactions[[#This Row],[L1N]],IF(Transactions[[#This Row],[Level 0]]=Transactions[[#This Row],[L3N]],Transactions[[#This Row],[L2N]],IF(Transactions[[#This Row],[Level 0]]=Transactions[[#This Row],[L4N]],Transactions[[#This Row],[L3N]],IF(Transactions[[#This Row],[Level 0]]=Transactions[[#This Row],[L5N]],Transactions[[#This Row],[L4N]],IF(Transactions[[#This Row],[Level 0]]=Transactions[[#This Row],[L6N]],Transactions[[#This Row],[L5N]],IF(Transactions[[#This Row],[Level 0]]=Transactions[[#This Row],[L7N]],Transactions[[#This Row],[L6N]],Transactions[[#This Row],[L7N]]))))))))</f>
        <v>Electricity, CHP and heat plants (T)</v>
      </c>
      <c r="AT353" s="24" t="str">
        <f>IF(Transactions[[#This Row],[Level 1]]=Transactions[[#This Row],[Transaction name]],Transactions[[#This Row],[Transaction name]],IF(Transactions[[#This Row],[Level 1]]=Transactions[[#This Row],[L1N]],Transactions[[#This Row],[Transaction name]],IF(Transactions[[#This Row],[Level 1]]=Transactions[[#This Row],[L2N]],Transactions[[#This Row],[L1N]],IF(Transactions[[#This Row],[Level 1]]=Transactions[[#This Row],[L3N]],Transactions[[#This Row],[L2N]],IF(Transactions[[#This Row],[Level 1]]=Transactions[[#This Row],[L4N]],Transactions[[#This Row],[L3N]],IF(Transactions[[#This Row],[Level 1]]=Transactions[[#This Row],[L5N]],Transactions[[#This Row],[L4N]],IF(Transactions[[#This Row],[Level 1]]=Transactions[[#This Row],[L6N]],Transactions[[#This Row],[L5N]],IF(Transactions[[#This Row],[Level 1]]=Transactions[[#This Row],[L7N]],Transactions[[#This Row],[L6N]],Transactions[[#This Row],[L7N]]))))))))</f>
        <v>Electricity plants</v>
      </c>
      <c r="AU353" s="24" t="str">
        <f>IF(Transactions[[#This Row],[Level 2]]=Transactions[[#This Row],[Transaction name]],Transactions[[#This Row],[Transaction name]],IF(Transactions[[#This Row],[Level 2]]=Transactions[[#This Row],[L1N]],Transactions[[#This Row],[Transaction name]],IF(Transactions[[#This Row],[Level 2]]=Transactions[[#This Row],[L2N]],Transactions[[#This Row],[L1N]],IF(Transactions[[#This Row],[Level 2]]=Transactions[[#This Row],[L3N]],Transactions[[#This Row],[L2N]],IF(Transactions[[#This Row],[Level 2]]=Transactions[[#This Row],[L4N]],Transactions[[#This Row],[L3N]],IF(Transactions[[#This Row],[Level 2]]=Transactions[[#This Row],[L5N]],Transactions[[#This Row],[L4N]],IF(Transactions[[#This Row],[Level 2]]=Transactions[[#This Row],[L6N]],Transactions[[#This Row],[L5N]],IF(Transactions[[#This Row],[Level 2]]=Transactions[[#This Row],[L7N]],Transactions[[#This Row],[L6N]],Transactions[[#This Row],[L7N]]))))))))</f>
        <v>Electricity plants - gas coal products</v>
      </c>
      <c r="AV353" s="24" t="str">
        <f>IF(Transactions[[#This Row],[Level 3]]=Transactions[[#This Row],[Transaction name]],Transactions[[#This Row],[Transaction name]],IF(Transactions[[#This Row],[Level 3]]=Transactions[[#This Row],[L1N]],Transactions[[#This Row],[Transaction name]],IF(Transactions[[#This Row],[Level 3]]=Transactions[[#This Row],[L2N]],Transactions[[#This Row],[L1N]],IF(Transactions[[#This Row],[Level 3]]=Transactions[[#This Row],[L3N]],Transactions[[#This Row],[L2N]],IF(Transactions[[#This Row],[Level 3]]=Transactions[[#This Row],[L4N]],Transactions[[#This Row],[L3N]],IF(Transactions[[#This Row],[Level 3]]=Transactions[[#This Row],[L5N]],Transactions[[#This Row],[L4N]],IF(Transactions[[#This Row],[Level 3]]=Transactions[[#This Row],[L6N]],Transactions[[#This Row],[L5N]],IF(Transactions[[#This Row],[Level 3]]=Transactions[[#This Row],[L7N]],Transactions[[#This Row],[L6N]],Transactions[[#This Row],[L7N]]))))))))</f>
        <v>Electricity plants - Autoproducer - gas coal products</v>
      </c>
      <c r="AW353" s="24" t="str">
        <f>IF(Transactions[[#This Row],[Level 4]]=Transactions[[#This Row],[Transaction name]],Transactions[[#This Row],[Transaction name]],IF(Transactions[[#This Row],[Level 4]]=Transactions[[#This Row],[L1N]],Transactions[[#This Row],[Transaction name]],IF(Transactions[[#This Row],[Level 4]]=Transactions[[#This Row],[L2N]],Transactions[[#This Row],[L1N]],IF(Transactions[[#This Row],[Level 4]]=Transactions[[#This Row],[L3N]],Transactions[[#This Row],[L2N]],IF(Transactions[[#This Row],[Level 4]]=Transactions[[#This Row],[L4N]],Transactions[[#This Row],[L3N]],IF(Transactions[[#This Row],[Level 4]]=Transactions[[#This Row],[L5N]],Transactions[[#This Row],[L4N]],IF(Transactions[[#This Row],[Level 4]]=Transactions[[#This Row],[L6N]],Transactions[[#This Row],[L5N]],IF(Transactions[[#This Row],[Level 4]]=Transactions[[#This Row],[L7N]],Transactions[[#This Row],[L6N]],Transactions[[#This Row],[L7N]]))))))))</f>
        <v>Electricity plants - Autoproducer - gas coal products</v>
      </c>
      <c r="AX353" s="24" t="str">
        <f>IF(Transactions[[#This Row],[Level 5]]=Transactions[[#This Row],[Transaction name]],Transactions[[#This Row],[Transaction name]],IF(Transactions[[#This Row],[Level 5]]=Transactions[[#This Row],[L1N]],Transactions[[#This Row],[Transaction name]],IF(Transactions[[#This Row],[Level 5]]=Transactions[[#This Row],[L2N]],Transactions[[#This Row],[L1N]],IF(Transactions[[#This Row],[Level 5]]=Transactions[[#This Row],[L3N]],Transactions[[#This Row],[L2N]],IF(Transactions[[#This Row],[Level 5]]=Transactions[[#This Row],[L4N]],Transactions[[#This Row],[L3N]],IF(Transactions[[#This Row],[Level 5]]=Transactions[[#This Row],[L5N]],Transactions[[#This Row],[L4N]],IF(Transactions[[#This Row],[Level 5]]=Transactions[[#This Row],[L6N]],Transactions[[#This Row],[L5N]],IF(Transactions[[#This Row],[Level 5]]=Transactions[[#This Row],[L7N]],Transactions[[#This Row],[L6N]],Transactions[[#This Row],[L7N]]))))))))</f>
        <v>Electricity plants - Autoproducer - gas coal products</v>
      </c>
      <c r="AY353" s="24" t="str">
        <f>IF(Transactions[[#This Row],[Level 6]]=Transactions[[#This Row],[Transaction name]],Transactions[[#This Row],[Transaction name]],IF(Transactions[[#This Row],[Level 6]]=Transactions[[#This Row],[L1N]],Transactions[[#This Row],[Transaction name]],IF(Transactions[[#This Row],[Level 6]]=Transactions[[#This Row],[L2N]],Transactions[[#This Row],[L1N]],IF(Transactions[[#This Row],[Level 6]]=Transactions[[#This Row],[L3N]],Transactions[[#This Row],[L2N]],IF(Transactions[[#This Row],[Level 6]]=Transactions[[#This Row],[L4N]],Transactions[[#This Row],[L3N]],IF(Transactions[[#This Row],[Level 6]]=Transactions[[#This Row],[L5N]],Transactions[[#This Row],[L4N]],IF(Transactions[[#This Row],[Level 6]]=Transactions[[#This Row],[L6N]],Transactions[[#This Row],[L5N]],IF(Transactions[[#This Row],[Level 6]]=Transactions[[#This Row],[L7N]],Transactions[[#This Row],[L6N]],Transactions[[#This Row],[L7N]]))))))))</f>
        <v>Electricity plants - Autoproducer - gas coal products</v>
      </c>
      <c r="BE353" s="26" t="str">
        <f>_xlfn.XLOOKUP(Transformation[[#This Row],[cfrom]],Commodities[Commodity],Commodities[Commodity code])</f>
        <v>0360</v>
      </c>
      <c r="BF353" s="26" t="str">
        <f>_xlfn.XLOOKUP(Transformation[[#This Row],[tfrom]],Transactions[Transaction name],Transactions[Transaction code])</f>
        <v>01</v>
      </c>
      <c r="BG353" s="26" t="str">
        <f>_xlfn.XLOOKUP(Transformation[[#This Row],[cto]],Commodities[Commodity],Commodities[Commodity code])</f>
        <v>0360</v>
      </c>
      <c r="BH353" s="26" t="str">
        <f>_xlfn.XLOOKUP(Transformation[[#This Row],[tto]],Transactions[Transaction name],Transactions[Transaction code])</f>
        <v>082</v>
      </c>
      <c r="BI353" s="32">
        <v>1</v>
      </c>
      <c r="BJ353" s="22" t="s">
        <v>483</v>
      </c>
      <c r="BK353" s="26" t="str">
        <f>_xlfn.XLOOKUP(Transformation[[#This Row],[Commodity from]],Commodities[Commodity code],Commodities[EnergyCode])</f>
        <v>GG</v>
      </c>
      <c r="BL353" s="22" t="s">
        <v>383</v>
      </c>
      <c r="BM353" s="22" t="s">
        <v>483</v>
      </c>
      <c r="BN353" s="26" t="str">
        <f>_xlfn.XLOOKUP(Transformation[[#This Row],[Commodity to]],Commodities[Commodity code],Commodities[EnergyCode])</f>
        <v>GG</v>
      </c>
      <c r="BO353" s="22" t="s">
        <v>720</v>
      </c>
      <c r="BP353" s="22" t="s">
        <v>1635</v>
      </c>
      <c r="BQ353" s="33" t="str">
        <f>Transformation[[#This Row],[Commodity from]]&amp;Transformation[[#This Row],[Transaction from]]&amp;Transformation[[#This Row],[Commodity to]]&amp;Transformation[[#This Row],[Transaction to]]</f>
        <v>0360010360082</v>
      </c>
      <c r="BR353" s="26" t="str">
        <f>Transformation[[#This Row],[crfomid]]&amp;Transformation[[#This Row],[Transaction from]]&amp;"("&amp;Transformation[[#This Row],[Multiplier]]&amp;") -&gt; "&amp;Transformation[[#This Row],[ctoid]]&amp;Transformation[[#This Row],[Transaction to]]</f>
        <v>GG01(1) -&gt; GG082</v>
      </c>
    </row>
    <row r="354" spans="25:70" x14ac:dyDescent="0.45">
      <c r="Y354" s="19" t="s">
        <v>1584</v>
      </c>
      <c r="Z354" s="18" t="s">
        <v>1384</v>
      </c>
      <c r="AA354" s="18" t="s">
        <v>1384</v>
      </c>
      <c r="AB354" s="19" t="s">
        <v>1600</v>
      </c>
      <c r="AC354" s="26" t="str">
        <f>IFERROR(VLOOKUP(Transactions[[#This Row],[Parent code]],Transactions[[Transaction code]:[Transaction name]],2,0),"")</f>
        <v>Electricity plants</v>
      </c>
      <c r="AD354" s="18" t="s">
        <v>189</v>
      </c>
      <c r="AE354" s="18" t="s">
        <v>923</v>
      </c>
      <c r="AF354" s="18" t="s">
        <v>642</v>
      </c>
      <c r="AG354" s="18" t="s">
        <v>1</v>
      </c>
      <c r="AH354" s="18" t="s">
        <v>696</v>
      </c>
      <c r="AI354" s="18" t="s">
        <v>1416</v>
      </c>
      <c r="AJ354" s="18"/>
      <c r="AK354" s="26" t="str" cm="1">
        <f t="array" ref="AK354">IFERROR(INDEX(Transactions[[Transaction code]:[Transaction name]],_xlfn.XMATCH(Transactions[[#This Row],[Parent code]],Transactions[Transaction name],0),3),Transactions[[#This Row],[Transaction name]])</f>
        <v>Electricity plants - gas coal products</v>
      </c>
      <c r="AL354" s="26" t="str" cm="1">
        <f t="array" ref="AL354">IFERROR(INDEX(Transactions[[Transaction code]:[Transaction name]],_xlfn.XMATCH(INDEX(Transactions[[Transaction name]:[Parent code]],_xlfn.XMATCH(Transactions[[#This Row],[L1N]],Transactions[Transaction name],0),3),Transactions[Transaction code],0),2),Transactions[[#This Row],[L1N]])</f>
        <v>Electricity plants</v>
      </c>
      <c r="AM354" s="26" t="str" cm="1">
        <f t="array" ref="AM354">IFERROR(INDEX(Transactions[[Transaction code]:[Transaction name]],_xlfn.XMATCH(INDEX(Transactions[[Transaction name]:[Parent code]],_xlfn.XMATCH(Transactions[[#This Row],[L2N]],Transactions[Transaction name],0),3),Transactions[Transaction code],0),2),Transactions[[#This Row],[L2N]])</f>
        <v>Electricity, CHP and heat plants (T)</v>
      </c>
      <c r="AN354" s="26" t="str" cm="1">
        <f t="array" ref="AN354">IFERROR(INDEX(Transactions[[Transaction code]:[Transaction name]],_xlfn.XMATCH(INDEX(Transactions[[Transaction name]:[Parent code]],_xlfn.XMATCH(Transactions[[#This Row],[L3N]],Transactions[Transaction name],0),3),Transactions[Transaction code],0),2),Transactions[[#This Row],[L3N]])</f>
        <v>Transformation</v>
      </c>
      <c r="AO354" s="26" t="str" cm="1">
        <f t="array" ref="AO354">IFERROR(INDEX(Transactions[[Transaction code]:[Transaction name]],_xlfn.XMATCH(INDEX(Transactions[[Transaction name]:[Parent code]],_xlfn.XMATCH(Transactions[[#This Row],[L4N]],Transactions[Transaction name],0),3),Transactions[Transaction code],0),2),Transactions[[#This Row],[L4N]])</f>
        <v>Transformation</v>
      </c>
      <c r="AP354" s="26" t="str" cm="1">
        <f t="array" ref="AP354">IFERROR(INDEX(Transactions[[Transaction code]:[Transaction name]],_xlfn.XMATCH(INDEX(Transactions[[Transaction name]:[Parent code]],_xlfn.XMATCH(Transactions[[#This Row],[L5N]],Transactions[Transaction name],0),3),Transactions[Transaction code],0),2),Transactions[[#This Row],[L5N]])</f>
        <v>Transformation</v>
      </c>
      <c r="AQ354" s="26" t="str" cm="1">
        <f t="array" ref="AQ354">IFERROR(INDEX(Transactions[[Transaction code]:[Transaction name]],_xlfn.XMATCH(INDEX(Transactions[[Transaction name]:[Parent code]],_xlfn.XMATCH(Transactions[[#This Row],[L6N]],Transactions[Transaction name],0),3),Transactions[Transaction code],0),2),Transactions[[#This Row],[L6N]])</f>
        <v>Transformation</v>
      </c>
      <c r="AR354" s="30" t="str">
        <f>IF(Transactions[[#This Row],[L7N]]=Transactions[[#This Row],[L6N]],Transactions[[#This Row],[L7N]],IF(Transactions[[#This Row],[L6N]]=Transactions[[#This Row],[L5N]],Transactions[[#This Row],[L6N]],IF(Transactions[[#This Row],[L5N]]=Transactions[[#This Row],[L4N]],Transactions[[#This Row],[L5N]],IF(Transactions[[#This Row],[L4N]]=Transactions[[#This Row],[L3N]],Transactions[[#This Row],[L4N]],IF(Transactions[[#This Row],[L3N]]=Transactions[[#This Row],[L2N]],Transactions[[#This Row],[L3N]],IF(Transactions[[#This Row],[L2N]]=Transactions[[#This Row],[L1N]],Transactions[[#This Row],[L2N]],IF(Transactions[[#This Row],[L1N]]=Transactions[[#This Row],[Transaction name]],Transactions[[#This Row],[L1N]],Transactions[[#This Row],[Transaction name]])))))))</f>
        <v>Transformation</v>
      </c>
      <c r="AS354" s="26" t="str">
        <f>IF(Transactions[[#This Row],[Level 0]]=Transactions[[#This Row],[Transaction name]],Transactions[[#This Row],[Transaction name]],IF(Transactions[[#This Row],[Level 0]]=Transactions[[#This Row],[L1N]],Transactions[[#This Row],[Transaction name]],IF(Transactions[[#This Row],[Level 0]]=Transactions[[#This Row],[L2N]],Transactions[[#This Row],[L1N]],IF(Transactions[[#This Row],[Level 0]]=Transactions[[#This Row],[L3N]],Transactions[[#This Row],[L2N]],IF(Transactions[[#This Row],[Level 0]]=Transactions[[#This Row],[L4N]],Transactions[[#This Row],[L3N]],IF(Transactions[[#This Row],[Level 0]]=Transactions[[#This Row],[L5N]],Transactions[[#This Row],[L4N]],IF(Transactions[[#This Row],[Level 0]]=Transactions[[#This Row],[L6N]],Transactions[[#This Row],[L5N]],IF(Transactions[[#This Row],[Level 0]]=Transactions[[#This Row],[L7N]],Transactions[[#This Row],[L6N]],Transactions[[#This Row],[L7N]]))))))))</f>
        <v>Electricity, CHP and heat plants (T)</v>
      </c>
      <c r="AT354" s="26" t="str">
        <f>IF(Transactions[[#This Row],[Level 1]]=Transactions[[#This Row],[Transaction name]],Transactions[[#This Row],[Transaction name]],IF(Transactions[[#This Row],[Level 1]]=Transactions[[#This Row],[L1N]],Transactions[[#This Row],[Transaction name]],IF(Transactions[[#This Row],[Level 1]]=Transactions[[#This Row],[L2N]],Transactions[[#This Row],[L1N]],IF(Transactions[[#This Row],[Level 1]]=Transactions[[#This Row],[L3N]],Transactions[[#This Row],[L2N]],IF(Transactions[[#This Row],[Level 1]]=Transactions[[#This Row],[L4N]],Transactions[[#This Row],[L3N]],IF(Transactions[[#This Row],[Level 1]]=Transactions[[#This Row],[L5N]],Transactions[[#This Row],[L4N]],IF(Transactions[[#This Row],[Level 1]]=Transactions[[#This Row],[L6N]],Transactions[[#This Row],[L5N]],IF(Transactions[[#This Row],[Level 1]]=Transactions[[#This Row],[L7N]],Transactions[[#This Row],[L6N]],Transactions[[#This Row],[L7N]]))))))))</f>
        <v>Electricity plants</v>
      </c>
      <c r="AU354" s="26" t="str">
        <f>IF(Transactions[[#This Row],[Level 2]]=Transactions[[#This Row],[Transaction name]],Transactions[[#This Row],[Transaction name]],IF(Transactions[[#This Row],[Level 2]]=Transactions[[#This Row],[L1N]],Transactions[[#This Row],[Transaction name]],IF(Transactions[[#This Row],[Level 2]]=Transactions[[#This Row],[L2N]],Transactions[[#This Row],[L1N]],IF(Transactions[[#This Row],[Level 2]]=Transactions[[#This Row],[L3N]],Transactions[[#This Row],[L2N]],IF(Transactions[[#This Row],[Level 2]]=Transactions[[#This Row],[L4N]],Transactions[[#This Row],[L3N]],IF(Transactions[[#This Row],[Level 2]]=Transactions[[#This Row],[L5N]],Transactions[[#This Row],[L4N]],IF(Transactions[[#This Row],[Level 2]]=Transactions[[#This Row],[L6N]],Transactions[[#This Row],[L5N]],IF(Transactions[[#This Row],[Level 2]]=Transactions[[#This Row],[L7N]],Transactions[[#This Row],[L6N]],Transactions[[#This Row],[L7N]]))))))))</f>
        <v>Electricity plants - gas coal products</v>
      </c>
      <c r="AV354" s="26" t="str">
        <f>IF(Transactions[[#This Row],[Level 3]]=Transactions[[#This Row],[Transaction name]],Transactions[[#This Row],[Transaction name]],IF(Transactions[[#This Row],[Level 3]]=Transactions[[#This Row],[L1N]],Transactions[[#This Row],[Transaction name]],IF(Transactions[[#This Row],[Level 3]]=Transactions[[#This Row],[L2N]],Transactions[[#This Row],[L1N]],IF(Transactions[[#This Row],[Level 3]]=Transactions[[#This Row],[L3N]],Transactions[[#This Row],[L2N]],IF(Transactions[[#This Row],[Level 3]]=Transactions[[#This Row],[L4N]],Transactions[[#This Row],[L3N]],IF(Transactions[[#This Row],[Level 3]]=Transactions[[#This Row],[L5N]],Transactions[[#This Row],[L4N]],IF(Transactions[[#This Row],[Level 3]]=Transactions[[#This Row],[L6N]],Transactions[[#This Row],[L5N]],IF(Transactions[[#This Row],[Level 3]]=Transactions[[#This Row],[L7N]],Transactions[[#This Row],[L6N]],Transactions[[#This Row],[L7N]]))))))))</f>
        <v>Electricity plants - gas coal products</v>
      </c>
      <c r="AW354" s="26" t="str">
        <f>IF(Transactions[[#This Row],[Level 4]]=Transactions[[#This Row],[Transaction name]],Transactions[[#This Row],[Transaction name]],IF(Transactions[[#This Row],[Level 4]]=Transactions[[#This Row],[L1N]],Transactions[[#This Row],[Transaction name]],IF(Transactions[[#This Row],[Level 4]]=Transactions[[#This Row],[L2N]],Transactions[[#This Row],[L1N]],IF(Transactions[[#This Row],[Level 4]]=Transactions[[#This Row],[L3N]],Transactions[[#This Row],[L2N]],IF(Transactions[[#This Row],[Level 4]]=Transactions[[#This Row],[L4N]],Transactions[[#This Row],[L3N]],IF(Transactions[[#This Row],[Level 4]]=Transactions[[#This Row],[L5N]],Transactions[[#This Row],[L4N]],IF(Transactions[[#This Row],[Level 4]]=Transactions[[#This Row],[L6N]],Transactions[[#This Row],[L5N]],IF(Transactions[[#This Row],[Level 4]]=Transactions[[#This Row],[L7N]],Transactions[[#This Row],[L6N]],Transactions[[#This Row],[L7N]]))))))))</f>
        <v>Electricity plants - gas coal products</v>
      </c>
      <c r="AX354" s="26" t="str">
        <f>IF(Transactions[[#This Row],[Level 5]]=Transactions[[#This Row],[Transaction name]],Transactions[[#This Row],[Transaction name]],IF(Transactions[[#This Row],[Level 5]]=Transactions[[#This Row],[L1N]],Transactions[[#This Row],[Transaction name]],IF(Transactions[[#This Row],[Level 5]]=Transactions[[#This Row],[L2N]],Transactions[[#This Row],[L1N]],IF(Transactions[[#This Row],[Level 5]]=Transactions[[#This Row],[L3N]],Transactions[[#This Row],[L2N]],IF(Transactions[[#This Row],[Level 5]]=Transactions[[#This Row],[L4N]],Transactions[[#This Row],[L3N]],IF(Transactions[[#This Row],[Level 5]]=Transactions[[#This Row],[L5N]],Transactions[[#This Row],[L4N]],IF(Transactions[[#This Row],[Level 5]]=Transactions[[#This Row],[L6N]],Transactions[[#This Row],[L5N]],IF(Transactions[[#This Row],[Level 5]]=Transactions[[#This Row],[L7N]],Transactions[[#This Row],[L6N]],Transactions[[#This Row],[L7N]]))))))))</f>
        <v>Electricity plants - gas coal products</v>
      </c>
      <c r="AY354" s="26" t="str">
        <f>IF(Transactions[[#This Row],[Level 6]]=Transactions[[#This Row],[Transaction name]],Transactions[[#This Row],[Transaction name]],IF(Transactions[[#This Row],[Level 6]]=Transactions[[#This Row],[L1N]],Transactions[[#This Row],[Transaction name]],IF(Transactions[[#This Row],[Level 6]]=Transactions[[#This Row],[L2N]],Transactions[[#This Row],[L1N]],IF(Transactions[[#This Row],[Level 6]]=Transactions[[#This Row],[L3N]],Transactions[[#This Row],[L2N]],IF(Transactions[[#This Row],[Level 6]]=Transactions[[#This Row],[L4N]],Transactions[[#This Row],[L3N]],IF(Transactions[[#This Row],[Level 6]]=Transactions[[#This Row],[L5N]],Transactions[[#This Row],[L4N]],IF(Transactions[[#This Row],[Level 6]]=Transactions[[#This Row],[L6N]],Transactions[[#This Row],[L5N]],IF(Transactions[[#This Row],[Level 6]]=Transactions[[#This Row],[L7N]],Transactions[[#This Row],[L6N]],Transactions[[#This Row],[L7N]]))))))))</f>
        <v>Electricity plants - gas coal products</v>
      </c>
      <c r="BE354" s="26" t="str">
        <f>_xlfn.XLOOKUP(Transformation[[#This Row],[cfrom]],Commodities[Commodity],Commodities[Commodity code])</f>
        <v>0360</v>
      </c>
      <c r="BF354" s="26" t="str">
        <f>_xlfn.XLOOKUP(Transformation[[#This Row],[tfrom]],Transactions[Transaction name],Transactions[Transaction code])</f>
        <v>01</v>
      </c>
      <c r="BG354" s="26" t="str">
        <f>_xlfn.XLOOKUP(Transformation[[#This Row],[cto]],Commodities[Commodity],Commodities[Commodity code])</f>
        <v>0360</v>
      </c>
      <c r="BH354" s="26" t="str">
        <f>_xlfn.XLOOKUP(Transformation[[#This Row],[tto]],Transactions[Transaction name],Transactions[Transaction code])</f>
        <v>01</v>
      </c>
      <c r="BI354" s="32">
        <v>-1</v>
      </c>
      <c r="BJ354" s="22" t="s">
        <v>483</v>
      </c>
      <c r="BK354" s="26" t="str">
        <f>_xlfn.XLOOKUP(Transformation[[#This Row],[Commodity from]],Commodities[Commodity code],Commodities[EnergyCode])</f>
        <v>GG</v>
      </c>
      <c r="BL354" s="22" t="s">
        <v>383</v>
      </c>
      <c r="BM354" s="22" t="s">
        <v>483</v>
      </c>
      <c r="BN354" s="26" t="str">
        <f>_xlfn.XLOOKUP(Transformation[[#This Row],[Commodity to]],Commodities[Commodity code],Commodities[EnergyCode])</f>
        <v>GG</v>
      </c>
      <c r="BO354" s="22" t="s">
        <v>383</v>
      </c>
      <c r="BP354" s="22" t="s">
        <v>1633</v>
      </c>
      <c r="BQ354" s="33" t="str">
        <f>Transformation[[#This Row],[Commodity from]]&amp;Transformation[[#This Row],[Transaction from]]&amp;Transformation[[#This Row],[Commodity to]]&amp;Transformation[[#This Row],[Transaction to]]</f>
        <v>036001036001</v>
      </c>
      <c r="BR354" s="26" t="str">
        <f>Transformation[[#This Row],[crfomid]]&amp;Transformation[[#This Row],[Transaction from]]&amp;"("&amp;Transformation[[#This Row],[Multiplier]]&amp;") -&gt; "&amp;Transformation[[#This Row],[ctoid]]&amp;Transformation[[#This Row],[Transaction to]]</f>
        <v>GG01(-1) -&gt; GG01</v>
      </c>
    </row>
    <row r="355" spans="25:70" x14ac:dyDescent="0.45">
      <c r="Y355" s="5" t="s">
        <v>1250</v>
      </c>
      <c r="Z355" s="7" t="s">
        <v>1218</v>
      </c>
      <c r="AA355" s="4" t="s">
        <v>1384</v>
      </c>
      <c r="AB355" s="19" t="s">
        <v>1584</v>
      </c>
      <c r="AC355" s="24" t="str">
        <f>IFERROR(VLOOKUP(Transactions[[#This Row],[Parent code]],Transactions[[Transaction code]:[Transaction name]],2,0),"")</f>
        <v>Electricity plants - gas coal products</v>
      </c>
      <c r="AD355" s="4" t="s">
        <v>189</v>
      </c>
      <c r="AE355" s="4" t="s">
        <v>923</v>
      </c>
      <c r="AF355" s="4" t="s">
        <v>642</v>
      </c>
      <c r="AG355" s="4" t="s">
        <v>1</v>
      </c>
      <c r="AH355" s="4" t="s">
        <v>696</v>
      </c>
      <c r="AI355" s="12" t="s">
        <v>1416</v>
      </c>
      <c r="AK355" s="24" t="str" cm="1">
        <f t="array" ref="AK355">IFERROR(INDEX(Transactions[[Transaction code]:[Transaction name]],_xlfn.XMATCH(Transactions[[#This Row],[Parent code]],Transactions[Transaction name],0),3),Transactions[[#This Row],[Transaction name]])</f>
        <v>Electricity plants - Main activity - gas coal products</v>
      </c>
      <c r="AL355" s="24" t="str" cm="1">
        <f t="array" ref="AL355">IFERROR(INDEX(Transactions[[Transaction code]:[Transaction name]],_xlfn.XMATCH(INDEX(Transactions[[Transaction name]:[Parent code]],_xlfn.XMATCH(Transactions[[#This Row],[L1N]],Transactions[Transaction name],0),3),Transactions[Transaction code],0),2),Transactions[[#This Row],[L1N]])</f>
        <v>Electricity plants - gas coal products</v>
      </c>
      <c r="AM355" s="24" t="str" cm="1">
        <f t="array" ref="AM355">IFERROR(INDEX(Transactions[[Transaction code]:[Transaction name]],_xlfn.XMATCH(INDEX(Transactions[[Transaction name]:[Parent code]],_xlfn.XMATCH(Transactions[[#This Row],[L2N]],Transactions[Transaction name],0),3),Transactions[Transaction code],0),2),Transactions[[#This Row],[L2N]])</f>
        <v>Electricity plants</v>
      </c>
      <c r="AN355" s="24" t="str" cm="1">
        <f t="array" ref="AN355">IFERROR(INDEX(Transactions[[Transaction code]:[Transaction name]],_xlfn.XMATCH(INDEX(Transactions[[Transaction name]:[Parent code]],_xlfn.XMATCH(Transactions[[#This Row],[L3N]],Transactions[Transaction name],0),3),Transactions[Transaction code],0),2),Transactions[[#This Row],[L3N]])</f>
        <v>Electricity, CHP and heat plants (T)</v>
      </c>
      <c r="AO355" s="24" t="str" cm="1">
        <f t="array" ref="AO355">IFERROR(INDEX(Transactions[[Transaction code]:[Transaction name]],_xlfn.XMATCH(INDEX(Transactions[[Transaction name]:[Parent code]],_xlfn.XMATCH(Transactions[[#This Row],[L4N]],Transactions[Transaction name],0),3),Transactions[Transaction code],0),2),Transactions[[#This Row],[L4N]])</f>
        <v>Transformation</v>
      </c>
      <c r="AP355" s="24" t="str" cm="1">
        <f t="array" ref="AP355">IFERROR(INDEX(Transactions[[Transaction code]:[Transaction name]],_xlfn.XMATCH(INDEX(Transactions[[Transaction name]:[Parent code]],_xlfn.XMATCH(Transactions[[#This Row],[L5N]],Transactions[Transaction name],0),3),Transactions[Transaction code],0),2),Transactions[[#This Row],[L5N]])</f>
        <v>Transformation</v>
      </c>
      <c r="AQ355" s="24" t="str" cm="1">
        <f t="array" ref="AQ355">IFERROR(INDEX(Transactions[[Transaction code]:[Transaction name]],_xlfn.XMATCH(INDEX(Transactions[[Transaction name]:[Parent code]],_xlfn.XMATCH(Transactions[[#This Row],[L6N]],Transactions[Transaction name],0),3),Transactions[Transaction code],0),2),Transactions[[#This Row],[L6N]])</f>
        <v>Transformation</v>
      </c>
      <c r="AR355" s="27" t="str">
        <f>IF(Transactions[[#This Row],[L7N]]=Transactions[[#This Row],[L6N]],Transactions[[#This Row],[L7N]],IF(Transactions[[#This Row],[L6N]]=Transactions[[#This Row],[L5N]],Transactions[[#This Row],[L6N]],IF(Transactions[[#This Row],[L5N]]=Transactions[[#This Row],[L4N]],Transactions[[#This Row],[L5N]],IF(Transactions[[#This Row],[L4N]]=Transactions[[#This Row],[L3N]],Transactions[[#This Row],[L4N]],IF(Transactions[[#This Row],[L3N]]=Transactions[[#This Row],[L2N]],Transactions[[#This Row],[L3N]],IF(Transactions[[#This Row],[L2N]]=Transactions[[#This Row],[L1N]],Transactions[[#This Row],[L2N]],IF(Transactions[[#This Row],[L1N]]=Transactions[[#This Row],[Transaction name]],Transactions[[#This Row],[L1N]],Transactions[[#This Row],[Transaction name]])))))))</f>
        <v>Transformation</v>
      </c>
      <c r="AS355" s="24" t="str">
        <f>IF(Transactions[[#This Row],[Level 0]]=Transactions[[#This Row],[Transaction name]],Transactions[[#This Row],[Transaction name]],IF(Transactions[[#This Row],[Level 0]]=Transactions[[#This Row],[L1N]],Transactions[[#This Row],[Transaction name]],IF(Transactions[[#This Row],[Level 0]]=Transactions[[#This Row],[L2N]],Transactions[[#This Row],[L1N]],IF(Transactions[[#This Row],[Level 0]]=Transactions[[#This Row],[L3N]],Transactions[[#This Row],[L2N]],IF(Transactions[[#This Row],[Level 0]]=Transactions[[#This Row],[L4N]],Transactions[[#This Row],[L3N]],IF(Transactions[[#This Row],[Level 0]]=Transactions[[#This Row],[L5N]],Transactions[[#This Row],[L4N]],IF(Transactions[[#This Row],[Level 0]]=Transactions[[#This Row],[L6N]],Transactions[[#This Row],[L5N]],IF(Transactions[[#This Row],[Level 0]]=Transactions[[#This Row],[L7N]],Transactions[[#This Row],[L6N]],Transactions[[#This Row],[L7N]]))))))))</f>
        <v>Electricity, CHP and heat plants (T)</v>
      </c>
      <c r="AT355" s="24" t="str">
        <f>IF(Transactions[[#This Row],[Level 1]]=Transactions[[#This Row],[Transaction name]],Transactions[[#This Row],[Transaction name]],IF(Transactions[[#This Row],[Level 1]]=Transactions[[#This Row],[L1N]],Transactions[[#This Row],[Transaction name]],IF(Transactions[[#This Row],[Level 1]]=Transactions[[#This Row],[L2N]],Transactions[[#This Row],[L1N]],IF(Transactions[[#This Row],[Level 1]]=Transactions[[#This Row],[L3N]],Transactions[[#This Row],[L2N]],IF(Transactions[[#This Row],[Level 1]]=Transactions[[#This Row],[L4N]],Transactions[[#This Row],[L3N]],IF(Transactions[[#This Row],[Level 1]]=Transactions[[#This Row],[L5N]],Transactions[[#This Row],[L4N]],IF(Transactions[[#This Row],[Level 1]]=Transactions[[#This Row],[L6N]],Transactions[[#This Row],[L5N]],IF(Transactions[[#This Row],[Level 1]]=Transactions[[#This Row],[L7N]],Transactions[[#This Row],[L6N]],Transactions[[#This Row],[L7N]]))))))))</f>
        <v>Electricity plants</v>
      </c>
      <c r="AU355" s="24" t="str">
        <f>IF(Transactions[[#This Row],[Level 2]]=Transactions[[#This Row],[Transaction name]],Transactions[[#This Row],[Transaction name]],IF(Transactions[[#This Row],[Level 2]]=Transactions[[#This Row],[L1N]],Transactions[[#This Row],[Transaction name]],IF(Transactions[[#This Row],[Level 2]]=Transactions[[#This Row],[L2N]],Transactions[[#This Row],[L1N]],IF(Transactions[[#This Row],[Level 2]]=Transactions[[#This Row],[L3N]],Transactions[[#This Row],[L2N]],IF(Transactions[[#This Row],[Level 2]]=Transactions[[#This Row],[L4N]],Transactions[[#This Row],[L3N]],IF(Transactions[[#This Row],[Level 2]]=Transactions[[#This Row],[L5N]],Transactions[[#This Row],[L4N]],IF(Transactions[[#This Row],[Level 2]]=Transactions[[#This Row],[L6N]],Transactions[[#This Row],[L5N]],IF(Transactions[[#This Row],[Level 2]]=Transactions[[#This Row],[L7N]],Transactions[[#This Row],[L6N]],Transactions[[#This Row],[L7N]]))))))))</f>
        <v>Electricity plants - gas coal products</v>
      </c>
      <c r="AV355" s="24" t="str">
        <f>IF(Transactions[[#This Row],[Level 3]]=Transactions[[#This Row],[Transaction name]],Transactions[[#This Row],[Transaction name]],IF(Transactions[[#This Row],[Level 3]]=Transactions[[#This Row],[L1N]],Transactions[[#This Row],[Transaction name]],IF(Transactions[[#This Row],[Level 3]]=Transactions[[#This Row],[L2N]],Transactions[[#This Row],[L1N]],IF(Transactions[[#This Row],[Level 3]]=Transactions[[#This Row],[L3N]],Transactions[[#This Row],[L2N]],IF(Transactions[[#This Row],[Level 3]]=Transactions[[#This Row],[L4N]],Transactions[[#This Row],[L3N]],IF(Transactions[[#This Row],[Level 3]]=Transactions[[#This Row],[L5N]],Transactions[[#This Row],[L4N]],IF(Transactions[[#This Row],[Level 3]]=Transactions[[#This Row],[L6N]],Transactions[[#This Row],[L5N]],IF(Transactions[[#This Row],[Level 3]]=Transactions[[#This Row],[L7N]],Transactions[[#This Row],[L6N]],Transactions[[#This Row],[L7N]]))))))))</f>
        <v>Electricity plants - Main activity - gas coal products</v>
      </c>
      <c r="AW355" s="24" t="str">
        <f>IF(Transactions[[#This Row],[Level 4]]=Transactions[[#This Row],[Transaction name]],Transactions[[#This Row],[Transaction name]],IF(Transactions[[#This Row],[Level 4]]=Transactions[[#This Row],[L1N]],Transactions[[#This Row],[Transaction name]],IF(Transactions[[#This Row],[Level 4]]=Transactions[[#This Row],[L2N]],Transactions[[#This Row],[L1N]],IF(Transactions[[#This Row],[Level 4]]=Transactions[[#This Row],[L3N]],Transactions[[#This Row],[L2N]],IF(Transactions[[#This Row],[Level 4]]=Transactions[[#This Row],[L4N]],Transactions[[#This Row],[L3N]],IF(Transactions[[#This Row],[Level 4]]=Transactions[[#This Row],[L5N]],Transactions[[#This Row],[L4N]],IF(Transactions[[#This Row],[Level 4]]=Transactions[[#This Row],[L6N]],Transactions[[#This Row],[L5N]],IF(Transactions[[#This Row],[Level 4]]=Transactions[[#This Row],[L7N]],Transactions[[#This Row],[L6N]],Transactions[[#This Row],[L7N]]))))))))</f>
        <v>Electricity plants - Main activity - gas coal products</v>
      </c>
      <c r="AX355" s="24" t="str">
        <f>IF(Transactions[[#This Row],[Level 5]]=Transactions[[#This Row],[Transaction name]],Transactions[[#This Row],[Transaction name]],IF(Transactions[[#This Row],[Level 5]]=Transactions[[#This Row],[L1N]],Transactions[[#This Row],[Transaction name]],IF(Transactions[[#This Row],[Level 5]]=Transactions[[#This Row],[L2N]],Transactions[[#This Row],[L1N]],IF(Transactions[[#This Row],[Level 5]]=Transactions[[#This Row],[L3N]],Transactions[[#This Row],[L2N]],IF(Transactions[[#This Row],[Level 5]]=Transactions[[#This Row],[L4N]],Transactions[[#This Row],[L3N]],IF(Transactions[[#This Row],[Level 5]]=Transactions[[#This Row],[L5N]],Transactions[[#This Row],[L4N]],IF(Transactions[[#This Row],[Level 5]]=Transactions[[#This Row],[L6N]],Transactions[[#This Row],[L5N]],IF(Transactions[[#This Row],[Level 5]]=Transactions[[#This Row],[L7N]],Transactions[[#This Row],[L6N]],Transactions[[#This Row],[L7N]]))))))))</f>
        <v>Electricity plants - Main activity - gas coal products</v>
      </c>
      <c r="AY355" s="24" t="str">
        <f>IF(Transactions[[#This Row],[Level 6]]=Transactions[[#This Row],[Transaction name]],Transactions[[#This Row],[Transaction name]],IF(Transactions[[#This Row],[Level 6]]=Transactions[[#This Row],[L1N]],Transactions[[#This Row],[Transaction name]],IF(Transactions[[#This Row],[Level 6]]=Transactions[[#This Row],[L2N]],Transactions[[#This Row],[L1N]],IF(Transactions[[#This Row],[Level 6]]=Transactions[[#This Row],[L3N]],Transactions[[#This Row],[L2N]],IF(Transactions[[#This Row],[Level 6]]=Transactions[[#This Row],[L4N]],Transactions[[#This Row],[L3N]],IF(Transactions[[#This Row],[Level 6]]=Transactions[[#This Row],[L5N]],Transactions[[#This Row],[L4N]],IF(Transactions[[#This Row],[Level 6]]=Transactions[[#This Row],[L6N]],Transactions[[#This Row],[L5N]],IF(Transactions[[#This Row],[Level 6]]=Transactions[[#This Row],[L7N]],Transactions[[#This Row],[L6N]],Transactions[[#This Row],[L7N]]))))))))</f>
        <v>Electricity plants - Main activity - gas coal products</v>
      </c>
      <c r="BE355" s="26" t="str">
        <f>_xlfn.XLOOKUP(Transformation[[#This Row],[cfrom]],Commodities[Commodity],Commodities[Commodity code])</f>
        <v>0360</v>
      </c>
      <c r="BF355" s="26" t="str">
        <f>_xlfn.XLOOKUP(Transformation[[#This Row],[tfrom]],Transactions[Transaction name],Transactions[Transaction code])</f>
        <v>022</v>
      </c>
      <c r="BG355" s="26" t="str">
        <f>_xlfn.XLOOKUP(Transformation[[#This Row],[cto]],Commodities[Commodity],Commodities[Commodity code])</f>
        <v>0360</v>
      </c>
      <c r="BH355" s="26" t="str">
        <f>_xlfn.XLOOKUP(Transformation[[#This Row],[tto]],Transactions[Transaction name],Transactions[Transaction code])</f>
        <v>022</v>
      </c>
      <c r="BI355" s="32">
        <v>-1</v>
      </c>
      <c r="BJ355" s="22" t="s">
        <v>483</v>
      </c>
      <c r="BK355" s="26" t="str">
        <f>_xlfn.XLOOKUP(Transformation[[#This Row],[Commodity from]],Commodities[Commodity code],Commodities[EnergyCode])</f>
        <v>GG</v>
      </c>
      <c r="BL355" s="22" t="s">
        <v>205</v>
      </c>
      <c r="BM355" s="22" t="s">
        <v>483</v>
      </c>
      <c r="BN355" s="26" t="str">
        <f>_xlfn.XLOOKUP(Transformation[[#This Row],[Commodity to]],Commodities[Commodity code],Commodities[EnergyCode])</f>
        <v>GG</v>
      </c>
      <c r="BO355" s="22" t="s">
        <v>205</v>
      </c>
      <c r="BP355" s="22" t="s">
        <v>1639</v>
      </c>
      <c r="BQ355" s="33" t="str">
        <f>Transformation[[#This Row],[Commodity from]]&amp;Transformation[[#This Row],[Transaction from]]&amp;Transformation[[#This Row],[Commodity to]]&amp;Transformation[[#This Row],[Transaction to]]</f>
        <v>03600220360022</v>
      </c>
      <c r="BR355" s="26" t="str">
        <f>Transformation[[#This Row],[crfomid]]&amp;Transformation[[#This Row],[Transaction from]]&amp;"("&amp;Transformation[[#This Row],[Multiplier]]&amp;") -&gt; "&amp;Transformation[[#This Row],[ctoid]]&amp;Transformation[[#This Row],[Transaction to]]</f>
        <v>GG022(-1) -&gt; GG022</v>
      </c>
    </row>
    <row r="356" spans="25:70" x14ac:dyDescent="0.45">
      <c r="Y356" s="5" t="s">
        <v>1047</v>
      </c>
      <c r="Z356" s="7" t="s">
        <v>1039</v>
      </c>
      <c r="AA356" s="4" t="s">
        <v>1344</v>
      </c>
      <c r="AB356" s="19" t="s">
        <v>1587</v>
      </c>
      <c r="AC356" s="24" t="str">
        <f>IFERROR(VLOOKUP(Transactions[[#This Row],[Parent code]],Transactions[[Transaction code]:[Transaction name]],2,0),"")</f>
        <v>Electricity plants - gas oil/diesel oil</v>
      </c>
      <c r="AD356" s="4" t="s">
        <v>189</v>
      </c>
      <c r="AE356" s="4" t="s">
        <v>923</v>
      </c>
      <c r="AF356" s="4" t="s">
        <v>642</v>
      </c>
      <c r="AG356" s="4" t="s">
        <v>1</v>
      </c>
      <c r="AH356" s="4" t="s">
        <v>696</v>
      </c>
      <c r="AI356" s="12" t="s">
        <v>1416</v>
      </c>
      <c r="AK356" s="24" t="str" cm="1">
        <f t="array" ref="AK356">IFERROR(INDEX(Transactions[[Transaction code]:[Transaction name]],_xlfn.XMATCH(Transactions[[#This Row],[Parent code]],Transactions[Transaction name],0),3),Transactions[[#This Row],[Transaction name]])</f>
        <v>Electricity plants - Autoproducer - gas oil/diesel oil</v>
      </c>
      <c r="AL356" s="24" t="str" cm="1">
        <f t="array" ref="AL356">IFERROR(INDEX(Transactions[[Transaction code]:[Transaction name]],_xlfn.XMATCH(INDEX(Transactions[[Transaction name]:[Parent code]],_xlfn.XMATCH(Transactions[[#This Row],[L1N]],Transactions[Transaction name],0),3),Transactions[Transaction code],0),2),Transactions[[#This Row],[L1N]])</f>
        <v>Electricity plants - gas oil/diesel oil</v>
      </c>
      <c r="AM356" s="24" t="str" cm="1">
        <f t="array" ref="AM356">IFERROR(INDEX(Transactions[[Transaction code]:[Transaction name]],_xlfn.XMATCH(INDEX(Transactions[[Transaction name]:[Parent code]],_xlfn.XMATCH(Transactions[[#This Row],[L2N]],Transactions[Transaction name],0),3),Transactions[Transaction code],0),2),Transactions[[#This Row],[L2N]])</f>
        <v>Electricity plants</v>
      </c>
      <c r="AN356" s="24" t="str" cm="1">
        <f t="array" ref="AN356">IFERROR(INDEX(Transactions[[Transaction code]:[Transaction name]],_xlfn.XMATCH(INDEX(Transactions[[Transaction name]:[Parent code]],_xlfn.XMATCH(Transactions[[#This Row],[L3N]],Transactions[Transaction name],0),3),Transactions[Transaction code],0),2),Transactions[[#This Row],[L3N]])</f>
        <v>Electricity, CHP and heat plants (T)</v>
      </c>
      <c r="AO356" s="24" t="str" cm="1">
        <f t="array" ref="AO356">IFERROR(INDEX(Transactions[[Transaction code]:[Transaction name]],_xlfn.XMATCH(INDEX(Transactions[[Transaction name]:[Parent code]],_xlfn.XMATCH(Transactions[[#This Row],[L4N]],Transactions[Transaction name],0),3),Transactions[Transaction code],0),2),Transactions[[#This Row],[L4N]])</f>
        <v>Transformation</v>
      </c>
      <c r="AP356" s="24" t="str" cm="1">
        <f t="array" ref="AP356">IFERROR(INDEX(Transactions[[Transaction code]:[Transaction name]],_xlfn.XMATCH(INDEX(Transactions[[Transaction name]:[Parent code]],_xlfn.XMATCH(Transactions[[#This Row],[L5N]],Transactions[Transaction name],0),3),Transactions[Transaction code],0),2),Transactions[[#This Row],[L5N]])</f>
        <v>Transformation</v>
      </c>
      <c r="AQ356" s="24" t="str" cm="1">
        <f t="array" ref="AQ356">IFERROR(INDEX(Transactions[[Transaction code]:[Transaction name]],_xlfn.XMATCH(INDEX(Transactions[[Transaction name]:[Parent code]],_xlfn.XMATCH(Transactions[[#This Row],[L6N]],Transactions[Transaction name],0),3),Transactions[Transaction code],0),2),Transactions[[#This Row],[L6N]])</f>
        <v>Transformation</v>
      </c>
      <c r="AR356" s="27" t="str">
        <f>IF(Transactions[[#This Row],[L7N]]=Transactions[[#This Row],[L6N]],Transactions[[#This Row],[L7N]],IF(Transactions[[#This Row],[L6N]]=Transactions[[#This Row],[L5N]],Transactions[[#This Row],[L6N]],IF(Transactions[[#This Row],[L5N]]=Transactions[[#This Row],[L4N]],Transactions[[#This Row],[L5N]],IF(Transactions[[#This Row],[L4N]]=Transactions[[#This Row],[L3N]],Transactions[[#This Row],[L4N]],IF(Transactions[[#This Row],[L3N]]=Transactions[[#This Row],[L2N]],Transactions[[#This Row],[L3N]],IF(Transactions[[#This Row],[L2N]]=Transactions[[#This Row],[L1N]],Transactions[[#This Row],[L2N]],IF(Transactions[[#This Row],[L1N]]=Transactions[[#This Row],[Transaction name]],Transactions[[#This Row],[L1N]],Transactions[[#This Row],[Transaction name]])))))))</f>
        <v>Transformation</v>
      </c>
      <c r="AS356" s="24" t="str">
        <f>IF(Transactions[[#This Row],[Level 0]]=Transactions[[#This Row],[Transaction name]],Transactions[[#This Row],[Transaction name]],IF(Transactions[[#This Row],[Level 0]]=Transactions[[#This Row],[L1N]],Transactions[[#This Row],[Transaction name]],IF(Transactions[[#This Row],[Level 0]]=Transactions[[#This Row],[L2N]],Transactions[[#This Row],[L1N]],IF(Transactions[[#This Row],[Level 0]]=Transactions[[#This Row],[L3N]],Transactions[[#This Row],[L2N]],IF(Transactions[[#This Row],[Level 0]]=Transactions[[#This Row],[L4N]],Transactions[[#This Row],[L3N]],IF(Transactions[[#This Row],[Level 0]]=Transactions[[#This Row],[L5N]],Transactions[[#This Row],[L4N]],IF(Transactions[[#This Row],[Level 0]]=Transactions[[#This Row],[L6N]],Transactions[[#This Row],[L5N]],IF(Transactions[[#This Row],[Level 0]]=Transactions[[#This Row],[L7N]],Transactions[[#This Row],[L6N]],Transactions[[#This Row],[L7N]]))))))))</f>
        <v>Electricity, CHP and heat plants (T)</v>
      </c>
      <c r="AT356" s="24" t="str">
        <f>IF(Transactions[[#This Row],[Level 1]]=Transactions[[#This Row],[Transaction name]],Transactions[[#This Row],[Transaction name]],IF(Transactions[[#This Row],[Level 1]]=Transactions[[#This Row],[L1N]],Transactions[[#This Row],[Transaction name]],IF(Transactions[[#This Row],[Level 1]]=Transactions[[#This Row],[L2N]],Transactions[[#This Row],[L1N]],IF(Transactions[[#This Row],[Level 1]]=Transactions[[#This Row],[L3N]],Transactions[[#This Row],[L2N]],IF(Transactions[[#This Row],[Level 1]]=Transactions[[#This Row],[L4N]],Transactions[[#This Row],[L3N]],IF(Transactions[[#This Row],[Level 1]]=Transactions[[#This Row],[L5N]],Transactions[[#This Row],[L4N]],IF(Transactions[[#This Row],[Level 1]]=Transactions[[#This Row],[L6N]],Transactions[[#This Row],[L5N]],IF(Transactions[[#This Row],[Level 1]]=Transactions[[#This Row],[L7N]],Transactions[[#This Row],[L6N]],Transactions[[#This Row],[L7N]]))))))))</f>
        <v>Electricity plants</v>
      </c>
      <c r="AU356" s="24" t="str">
        <f>IF(Transactions[[#This Row],[Level 2]]=Transactions[[#This Row],[Transaction name]],Transactions[[#This Row],[Transaction name]],IF(Transactions[[#This Row],[Level 2]]=Transactions[[#This Row],[L1N]],Transactions[[#This Row],[Transaction name]],IF(Transactions[[#This Row],[Level 2]]=Transactions[[#This Row],[L2N]],Transactions[[#This Row],[L1N]],IF(Transactions[[#This Row],[Level 2]]=Transactions[[#This Row],[L3N]],Transactions[[#This Row],[L2N]],IF(Transactions[[#This Row],[Level 2]]=Transactions[[#This Row],[L4N]],Transactions[[#This Row],[L3N]],IF(Transactions[[#This Row],[Level 2]]=Transactions[[#This Row],[L5N]],Transactions[[#This Row],[L4N]],IF(Transactions[[#This Row],[Level 2]]=Transactions[[#This Row],[L6N]],Transactions[[#This Row],[L5N]],IF(Transactions[[#This Row],[Level 2]]=Transactions[[#This Row],[L7N]],Transactions[[#This Row],[L6N]],Transactions[[#This Row],[L7N]]))))))))</f>
        <v>Electricity plants - gas oil/diesel oil</v>
      </c>
      <c r="AV356" s="24" t="str">
        <f>IF(Transactions[[#This Row],[Level 3]]=Transactions[[#This Row],[Transaction name]],Transactions[[#This Row],[Transaction name]],IF(Transactions[[#This Row],[Level 3]]=Transactions[[#This Row],[L1N]],Transactions[[#This Row],[Transaction name]],IF(Transactions[[#This Row],[Level 3]]=Transactions[[#This Row],[L2N]],Transactions[[#This Row],[L1N]],IF(Transactions[[#This Row],[Level 3]]=Transactions[[#This Row],[L3N]],Transactions[[#This Row],[L2N]],IF(Transactions[[#This Row],[Level 3]]=Transactions[[#This Row],[L4N]],Transactions[[#This Row],[L3N]],IF(Transactions[[#This Row],[Level 3]]=Transactions[[#This Row],[L5N]],Transactions[[#This Row],[L4N]],IF(Transactions[[#This Row],[Level 3]]=Transactions[[#This Row],[L6N]],Transactions[[#This Row],[L5N]],IF(Transactions[[#This Row],[Level 3]]=Transactions[[#This Row],[L7N]],Transactions[[#This Row],[L6N]],Transactions[[#This Row],[L7N]]))))))))</f>
        <v>Electricity plants - Autoproducer - gas oil/diesel oil</v>
      </c>
      <c r="AW356" s="24" t="str">
        <f>IF(Transactions[[#This Row],[Level 4]]=Transactions[[#This Row],[Transaction name]],Transactions[[#This Row],[Transaction name]],IF(Transactions[[#This Row],[Level 4]]=Transactions[[#This Row],[L1N]],Transactions[[#This Row],[Transaction name]],IF(Transactions[[#This Row],[Level 4]]=Transactions[[#This Row],[L2N]],Transactions[[#This Row],[L1N]],IF(Transactions[[#This Row],[Level 4]]=Transactions[[#This Row],[L3N]],Transactions[[#This Row],[L2N]],IF(Transactions[[#This Row],[Level 4]]=Transactions[[#This Row],[L4N]],Transactions[[#This Row],[L3N]],IF(Transactions[[#This Row],[Level 4]]=Transactions[[#This Row],[L5N]],Transactions[[#This Row],[L4N]],IF(Transactions[[#This Row],[Level 4]]=Transactions[[#This Row],[L6N]],Transactions[[#This Row],[L5N]],IF(Transactions[[#This Row],[Level 4]]=Transactions[[#This Row],[L7N]],Transactions[[#This Row],[L6N]],Transactions[[#This Row],[L7N]]))))))))</f>
        <v>Electricity plants - Autoproducer - gas oil/diesel oil</v>
      </c>
      <c r="AX356" s="24" t="str">
        <f>IF(Transactions[[#This Row],[Level 5]]=Transactions[[#This Row],[Transaction name]],Transactions[[#This Row],[Transaction name]],IF(Transactions[[#This Row],[Level 5]]=Transactions[[#This Row],[L1N]],Transactions[[#This Row],[Transaction name]],IF(Transactions[[#This Row],[Level 5]]=Transactions[[#This Row],[L2N]],Transactions[[#This Row],[L1N]],IF(Transactions[[#This Row],[Level 5]]=Transactions[[#This Row],[L3N]],Transactions[[#This Row],[L2N]],IF(Transactions[[#This Row],[Level 5]]=Transactions[[#This Row],[L4N]],Transactions[[#This Row],[L3N]],IF(Transactions[[#This Row],[Level 5]]=Transactions[[#This Row],[L5N]],Transactions[[#This Row],[L4N]],IF(Transactions[[#This Row],[Level 5]]=Transactions[[#This Row],[L6N]],Transactions[[#This Row],[L5N]],IF(Transactions[[#This Row],[Level 5]]=Transactions[[#This Row],[L7N]],Transactions[[#This Row],[L6N]],Transactions[[#This Row],[L7N]]))))))))</f>
        <v>Electricity plants - Autoproducer - gas oil/diesel oil</v>
      </c>
      <c r="AY356" s="24" t="str">
        <f>IF(Transactions[[#This Row],[Level 6]]=Transactions[[#This Row],[Transaction name]],Transactions[[#This Row],[Transaction name]],IF(Transactions[[#This Row],[Level 6]]=Transactions[[#This Row],[L1N]],Transactions[[#This Row],[Transaction name]],IF(Transactions[[#This Row],[Level 6]]=Transactions[[#This Row],[L2N]],Transactions[[#This Row],[L1N]],IF(Transactions[[#This Row],[Level 6]]=Transactions[[#This Row],[L3N]],Transactions[[#This Row],[L2N]],IF(Transactions[[#This Row],[Level 6]]=Transactions[[#This Row],[L4N]],Transactions[[#This Row],[L3N]],IF(Transactions[[#This Row],[Level 6]]=Transactions[[#This Row],[L5N]],Transactions[[#This Row],[L4N]],IF(Transactions[[#This Row],[Level 6]]=Transactions[[#This Row],[L6N]],Transactions[[#This Row],[L5N]],IF(Transactions[[#This Row],[Level 6]]=Transactions[[#This Row],[L7N]],Transactions[[#This Row],[L6N]],Transactions[[#This Row],[L7N]]))))))))</f>
        <v>Electricity plants - Autoproducer - gas oil/diesel oil</v>
      </c>
      <c r="BE356" s="26" t="str">
        <f>_xlfn.XLOOKUP(Transformation[[#This Row],[cfrom]],Commodities[Commodity],Commodities[Commodity code])</f>
        <v>0360</v>
      </c>
      <c r="BF356" s="26" t="str">
        <f>_xlfn.XLOOKUP(Transformation[[#This Row],[tfrom]],Transactions[Transaction name],Transactions[Transaction code])</f>
        <v>022</v>
      </c>
      <c r="BG356" s="26" t="str">
        <f>_xlfn.XLOOKUP(Transformation[[#This Row],[cto]],Commodities[Commodity],Commodities[Commodity code])</f>
        <v>0360</v>
      </c>
      <c r="BH356" s="26" t="str">
        <f>_xlfn.XLOOKUP(Transformation[[#This Row],[tto]],Transactions[Transaction name],Transactions[Transaction code])</f>
        <v>087</v>
      </c>
      <c r="BI356" s="32">
        <v>1</v>
      </c>
      <c r="BJ356" s="22" t="s">
        <v>483</v>
      </c>
      <c r="BK356" s="26" t="str">
        <f>_xlfn.XLOOKUP(Transformation[[#This Row],[Commodity from]],Commodities[Commodity code],Commodities[EnergyCode])</f>
        <v>GG</v>
      </c>
      <c r="BL356" s="22" t="s">
        <v>205</v>
      </c>
      <c r="BM356" s="22" t="s">
        <v>483</v>
      </c>
      <c r="BN356" s="26" t="str">
        <f>_xlfn.XLOOKUP(Transformation[[#This Row],[Commodity to]],Commodities[Commodity code],Commodities[EnergyCode])</f>
        <v>GG</v>
      </c>
      <c r="BO356" s="22" t="s">
        <v>729</v>
      </c>
      <c r="BP356" s="22" t="s">
        <v>1638</v>
      </c>
      <c r="BQ356" s="33" t="str">
        <f>Transformation[[#This Row],[Commodity from]]&amp;Transformation[[#This Row],[Transaction from]]&amp;Transformation[[#This Row],[Commodity to]]&amp;Transformation[[#This Row],[Transaction to]]</f>
        <v>03600220360087</v>
      </c>
      <c r="BR356" s="26" t="str">
        <f>Transformation[[#This Row],[crfomid]]&amp;Transformation[[#This Row],[Transaction from]]&amp;"("&amp;Transformation[[#This Row],[Multiplier]]&amp;") -&gt; "&amp;Transformation[[#This Row],[ctoid]]&amp;Transformation[[#This Row],[Transaction to]]</f>
        <v>GG022(1) -&gt; GG087</v>
      </c>
    </row>
    <row r="357" spans="25:70" x14ac:dyDescent="0.45">
      <c r="Y357" s="19" t="s">
        <v>1587</v>
      </c>
      <c r="Z357" s="18" t="s">
        <v>1344</v>
      </c>
      <c r="AA357" s="18" t="s">
        <v>1344</v>
      </c>
      <c r="AB357" s="19" t="s">
        <v>1600</v>
      </c>
      <c r="AC357" s="26" t="str">
        <f>IFERROR(VLOOKUP(Transactions[[#This Row],[Parent code]],Transactions[[Transaction code]:[Transaction name]],2,0),"")</f>
        <v>Electricity plants</v>
      </c>
      <c r="AD357" s="18" t="s">
        <v>189</v>
      </c>
      <c r="AE357" s="18" t="s">
        <v>923</v>
      </c>
      <c r="AF357" s="18" t="s">
        <v>642</v>
      </c>
      <c r="AG357" s="18" t="s">
        <v>1</v>
      </c>
      <c r="AH357" s="18" t="s">
        <v>696</v>
      </c>
      <c r="AI357" s="18" t="s">
        <v>1416</v>
      </c>
      <c r="AJ357" s="18"/>
      <c r="AK357" s="26" t="str" cm="1">
        <f t="array" ref="AK357">IFERROR(INDEX(Transactions[[Transaction code]:[Transaction name]],_xlfn.XMATCH(Transactions[[#This Row],[Parent code]],Transactions[Transaction name],0),3),Transactions[[#This Row],[Transaction name]])</f>
        <v>Electricity plants - gas oil/diesel oil</v>
      </c>
      <c r="AL357" s="26" t="str" cm="1">
        <f t="array" ref="AL357">IFERROR(INDEX(Transactions[[Transaction code]:[Transaction name]],_xlfn.XMATCH(INDEX(Transactions[[Transaction name]:[Parent code]],_xlfn.XMATCH(Transactions[[#This Row],[L1N]],Transactions[Transaction name],0),3),Transactions[Transaction code],0),2),Transactions[[#This Row],[L1N]])</f>
        <v>Electricity plants</v>
      </c>
      <c r="AM357" s="26" t="str" cm="1">
        <f t="array" ref="AM357">IFERROR(INDEX(Transactions[[Transaction code]:[Transaction name]],_xlfn.XMATCH(INDEX(Transactions[[Transaction name]:[Parent code]],_xlfn.XMATCH(Transactions[[#This Row],[L2N]],Transactions[Transaction name],0),3),Transactions[Transaction code],0),2),Transactions[[#This Row],[L2N]])</f>
        <v>Electricity, CHP and heat plants (T)</v>
      </c>
      <c r="AN357" s="26" t="str" cm="1">
        <f t="array" ref="AN357">IFERROR(INDEX(Transactions[[Transaction code]:[Transaction name]],_xlfn.XMATCH(INDEX(Transactions[[Transaction name]:[Parent code]],_xlfn.XMATCH(Transactions[[#This Row],[L3N]],Transactions[Transaction name],0),3),Transactions[Transaction code],0),2),Transactions[[#This Row],[L3N]])</f>
        <v>Transformation</v>
      </c>
      <c r="AO357" s="26" t="str" cm="1">
        <f t="array" ref="AO357">IFERROR(INDEX(Transactions[[Transaction code]:[Transaction name]],_xlfn.XMATCH(INDEX(Transactions[[Transaction name]:[Parent code]],_xlfn.XMATCH(Transactions[[#This Row],[L4N]],Transactions[Transaction name],0),3),Transactions[Transaction code],0),2),Transactions[[#This Row],[L4N]])</f>
        <v>Transformation</v>
      </c>
      <c r="AP357" s="26" t="str" cm="1">
        <f t="array" ref="AP357">IFERROR(INDEX(Transactions[[Transaction code]:[Transaction name]],_xlfn.XMATCH(INDEX(Transactions[[Transaction name]:[Parent code]],_xlfn.XMATCH(Transactions[[#This Row],[L5N]],Transactions[Transaction name],0),3),Transactions[Transaction code],0),2),Transactions[[#This Row],[L5N]])</f>
        <v>Transformation</v>
      </c>
      <c r="AQ357" s="26" t="str" cm="1">
        <f t="array" ref="AQ357">IFERROR(INDEX(Transactions[[Transaction code]:[Transaction name]],_xlfn.XMATCH(INDEX(Transactions[[Transaction name]:[Parent code]],_xlfn.XMATCH(Transactions[[#This Row],[L6N]],Transactions[Transaction name],0),3),Transactions[Transaction code],0),2),Transactions[[#This Row],[L6N]])</f>
        <v>Transformation</v>
      </c>
      <c r="AR357" s="30" t="str">
        <f>IF(Transactions[[#This Row],[L7N]]=Transactions[[#This Row],[L6N]],Transactions[[#This Row],[L7N]],IF(Transactions[[#This Row],[L6N]]=Transactions[[#This Row],[L5N]],Transactions[[#This Row],[L6N]],IF(Transactions[[#This Row],[L5N]]=Transactions[[#This Row],[L4N]],Transactions[[#This Row],[L5N]],IF(Transactions[[#This Row],[L4N]]=Transactions[[#This Row],[L3N]],Transactions[[#This Row],[L4N]],IF(Transactions[[#This Row],[L3N]]=Transactions[[#This Row],[L2N]],Transactions[[#This Row],[L3N]],IF(Transactions[[#This Row],[L2N]]=Transactions[[#This Row],[L1N]],Transactions[[#This Row],[L2N]],IF(Transactions[[#This Row],[L1N]]=Transactions[[#This Row],[Transaction name]],Transactions[[#This Row],[L1N]],Transactions[[#This Row],[Transaction name]])))))))</f>
        <v>Transformation</v>
      </c>
      <c r="AS357" s="26" t="str">
        <f>IF(Transactions[[#This Row],[Level 0]]=Transactions[[#This Row],[Transaction name]],Transactions[[#This Row],[Transaction name]],IF(Transactions[[#This Row],[Level 0]]=Transactions[[#This Row],[L1N]],Transactions[[#This Row],[Transaction name]],IF(Transactions[[#This Row],[Level 0]]=Transactions[[#This Row],[L2N]],Transactions[[#This Row],[L1N]],IF(Transactions[[#This Row],[Level 0]]=Transactions[[#This Row],[L3N]],Transactions[[#This Row],[L2N]],IF(Transactions[[#This Row],[Level 0]]=Transactions[[#This Row],[L4N]],Transactions[[#This Row],[L3N]],IF(Transactions[[#This Row],[Level 0]]=Transactions[[#This Row],[L5N]],Transactions[[#This Row],[L4N]],IF(Transactions[[#This Row],[Level 0]]=Transactions[[#This Row],[L6N]],Transactions[[#This Row],[L5N]],IF(Transactions[[#This Row],[Level 0]]=Transactions[[#This Row],[L7N]],Transactions[[#This Row],[L6N]],Transactions[[#This Row],[L7N]]))))))))</f>
        <v>Electricity, CHP and heat plants (T)</v>
      </c>
      <c r="AT357" s="26" t="str">
        <f>IF(Transactions[[#This Row],[Level 1]]=Transactions[[#This Row],[Transaction name]],Transactions[[#This Row],[Transaction name]],IF(Transactions[[#This Row],[Level 1]]=Transactions[[#This Row],[L1N]],Transactions[[#This Row],[Transaction name]],IF(Transactions[[#This Row],[Level 1]]=Transactions[[#This Row],[L2N]],Transactions[[#This Row],[L1N]],IF(Transactions[[#This Row],[Level 1]]=Transactions[[#This Row],[L3N]],Transactions[[#This Row],[L2N]],IF(Transactions[[#This Row],[Level 1]]=Transactions[[#This Row],[L4N]],Transactions[[#This Row],[L3N]],IF(Transactions[[#This Row],[Level 1]]=Transactions[[#This Row],[L5N]],Transactions[[#This Row],[L4N]],IF(Transactions[[#This Row],[Level 1]]=Transactions[[#This Row],[L6N]],Transactions[[#This Row],[L5N]],IF(Transactions[[#This Row],[Level 1]]=Transactions[[#This Row],[L7N]],Transactions[[#This Row],[L6N]],Transactions[[#This Row],[L7N]]))))))))</f>
        <v>Electricity plants</v>
      </c>
      <c r="AU357" s="26" t="str">
        <f>IF(Transactions[[#This Row],[Level 2]]=Transactions[[#This Row],[Transaction name]],Transactions[[#This Row],[Transaction name]],IF(Transactions[[#This Row],[Level 2]]=Transactions[[#This Row],[L1N]],Transactions[[#This Row],[Transaction name]],IF(Transactions[[#This Row],[Level 2]]=Transactions[[#This Row],[L2N]],Transactions[[#This Row],[L1N]],IF(Transactions[[#This Row],[Level 2]]=Transactions[[#This Row],[L3N]],Transactions[[#This Row],[L2N]],IF(Transactions[[#This Row],[Level 2]]=Transactions[[#This Row],[L4N]],Transactions[[#This Row],[L3N]],IF(Transactions[[#This Row],[Level 2]]=Transactions[[#This Row],[L5N]],Transactions[[#This Row],[L4N]],IF(Transactions[[#This Row],[Level 2]]=Transactions[[#This Row],[L6N]],Transactions[[#This Row],[L5N]],IF(Transactions[[#This Row],[Level 2]]=Transactions[[#This Row],[L7N]],Transactions[[#This Row],[L6N]],Transactions[[#This Row],[L7N]]))))))))</f>
        <v>Electricity plants - gas oil/diesel oil</v>
      </c>
      <c r="AV357" s="26" t="str">
        <f>IF(Transactions[[#This Row],[Level 3]]=Transactions[[#This Row],[Transaction name]],Transactions[[#This Row],[Transaction name]],IF(Transactions[[#This Row],[Level 3]]=Transactions[[#This Row],[L1N]],Transactions[[#This Row],[Transaction name]],IF(Transactions[[#This Row],[Level 3]]=Transactions[[#This Row],[L2N]],Transactions[[#This Row],[L1N]],IF(Transactions[[#This Row],[Level 3]]=Transactions[[#This Row],[L3N]],Transactions[[#This Row],[L2N]],IF(Transactions[[#This Row],[Level 3]]=Transactions[[#This Row],[L4N]],Transactions[[#This Row],[L3N]],IF(Transactions[[#This Row],[Level 3]]=Transactions[[#This Row],[L5N]],Transactions[[#This Row],[L4N]],IF(Transactions[[#This Row],[Level 3]]=Transactions[[#This Row],[L6N]],Transactions[[#This Row],[L5N]],IF(Transactions[[#This Row],[Level 3]]=Transactions[[#This Row],[L7N]],Transactions[[#This Row],[L6N]],Transactions[[#This Row],[L7N]]))))))))</f>
        <v>Electricity plants - gas oil/diesel oil</v>
      </c>
      <c r="AW357" s="26" t="str">
        <f>IF(Transactions[[#This Row],[Level 4]]=Transactions[[#This Row],[Transaction name]],Transactions[[#This Row],[Transaction name]],IF(Transactions[[#This Row],[Level 4]]=Transactions[[#This Row],[L1N]],Transactions[[#This Row],[Transaction name]],IF(Transactions[[#This Row],[Level 4]]=Transactions[[#This Row],[L2N]],Transactions[[#This Row],[L1N]],IF(Transactions[[#This Row],[Level 4]]=Transactions[[#This Row],[L3N]],Transactions[[#This Row],[L2N]],IF(Transactions[[#This Row],[Level 4]]=Transactions[[#This Row],[L4N]],Transactions[[#This Row],[L3N]],IF(Transactions[[#This Row],[Level 4]]=Transactions[[#This Row],[L5N]],Transactions[[#This Row],[L4N]],IF(Transactions[[#This Row],[Level 4]]=Transactions[[#This Row],[L6N]],Transactions[[#This Row],[L5N]],IF(Transactions[[#This Row],[Level 4]]=Transactions[[#This Row],[L7N]],Transactions[[#This Row],[L6N]],Transactions[[#This Row],[L7N]]))))))))</f>
        <v>Electricity plants - gas oil/diesel oil</v>
      </c>
      <c r="AX357" s="26" t="str">
        <f>IF(Transactions[[#This Row],[Level 5]]=Transactions[[#This Row],[Transaction name]],Transactions[[#This Row],[Transaction name]],IF(Transactions[[#This Row],[Level 5]]=Transactions[[#This Row],[L1N]],Transactions[[#This Row],[Transaction name]],IF(Transactions[[#This Row],[Level 5]]=Transactions[[#This Row],[L2N]],Transactions[[#This Row],[L1N]],IF(Transactions[[#This Row],[Level 5]]=Transactions[[#This Row],[L3N]],Transactions[[#This Row],[L2N]],IF(Transactions[[#This Row],[Level 5]]=Transactions[[#This Row],[L4N]],Transactions[[#This Row],[L3N]],IF(Transactions[[#This Row],[Level 5]]=Transactions[[#This Row],[L5N]],Transactions[[#This Row],[L4N]],IF(Transactions[[#This Row],[Level 5]]=Transactions[[#This Row],[L6N]],Transactions[[#This Row],[L5N]],IF(Transactions[[#This Row],[Level 5]]=Transactions[[#This Row],[L7N]],Transactions[[#This Row],[L6N]],Transactions[[#This Row],[L7N]]))))))))</f>
        <v>Electricity plants - gas oil/diesel oil</v>
      </c>
      <c r="AY357" s="26" t="str">
        <f>IF(Transactions[[#This Row],[Level 6]]=Transactions[[#This Row],[Transaction name]],Transactions[[#This Row],[Transaction name]],IF(Transactions[[#This Row],[Level 6]]=Transactions[[#This Row],[L1N]],Transactions[[#This Row],[Transaction name]],IF(Transactions[[#This Row],[Level 6]]=Transactions[[#This Row],[L2N]],Transactions[[#This Row],[L1N]],IF(Transactions[[#This Row],[Level 6]]=Transactions[[#This Row],[L3N]],Transactions[[#This Row],[L2N]],IF(Transactions[[#This Row],[Level 6]]=Transactions[[#This Row],[L4N]],Transactions[[#This Row],[L3N]],IF(Transactions[[#This Row],[Level 6]]=Transactions[[#This Row],[L5N]],Transactions[[#This Row],[L4N]],IF(Transactions[[#This Row],[Level 6]]=Transactions[[#This Row],[L6N]],Transactions[[#This Row],[L5N]],IF(Transactions[[#This Row],[Level 6]]=Transactions[[#This Row],[L7N]],Transactions[[#This Row],[L6N]],Transactions[[#This Row],[L7N]]))))))))</f>
        <v>Electricity plants - gas oil/diesel oil</v>
      </c>
      <c r="BE357" s="26" t="str">
        <f>_xlfn.XLOOKUP(Transformation[[#This Row],[cfrom]],Commodities[Commodity],Commodities[Commodity code])</f>
        <v>4653</v>
      </c>
      <c r="BF357" s="26" t="str">
        <f>_xlfn.XLOOKUP(Transformation[[#This Row],[tfrom]],Transactions[Transaction name],Transactions[Transaction code])</f>
        <v>01</v>
      </c>
      <c r="BG357" s="26" t="str">
        <f>_xlfn.XLOOKUP(Transformation[[#This Row],[cto]],Commodities[Commodity],Commodities[Commodity code])</f>
        <v>4653</v>
      </c>
      <c r="BH357" s="26" t="str">
        <f>_xlfn.XLOOKUP(Transformation[[#This Row],[tto]],Transactions[Transaction name],Transactions[Transaction code])</f>
        <v>01</v>
      </c>
      <c r="BI357" s="32">
        <v>-1</v>
      </c>
      <c r="BJ357" s="22" t="s">
        <v>390</v>
      </c>
      <c r="BK357" s="26" t="str">
        <f>_xlfn.XLOOKUP(Transformation[[#This Row],[Commodity from]],Commodities[Commodity code],Commodities[EnergyCode])</f>
        <v>GJ</v>
      </c>
      <c r="BL357" s="22" t="s">
        <v>383</v>
      </c>
      <c r="BM357" s="22" t="s">
        <v>390</v>
      </c>
      <c r="BN357" s="26" t="str">
        <f>_xlfn.XLOOKUP(Transformation[[#This Row],[Commodity to]],Commodities[Commodity code],Commodities[EnergyCode])</f>
        <v>GJ</v>
      </c>
      <c r="BO357" s="22" t="s">
        <v>383</v>
      </c>
      <c r="BP357" s="22" t="s">
        <v>1633</v>
      </c>
      <c r="BQ357" s="33" t="str">
        <f>Transformation[[#This Row],[Commodity from]]&amp;Transformation[[#This Row],[Transaction from]]&amp;Transformation[[#This Row],[Commodity to]]&amp;Transformation[[#This Row],[Transaction to]]</f>
        <v>465301465301</v>
      </c>
      <c r="BR357" s="26" t="str">
        <f>Transformation[[#This Row],[crfomid]]&amp;Transformation[[#This Row],[Transaction from]]&amp;"("&amp;Transformation[[#This Row],[Multiplier]]&amp;") -&gt; "&amp;Transformation[[#This Row],[ctoid]]&amp;Transformation[[#This Row],[Transaction to]]</f>
        <v>GJ01(-1) -&gt; GJ01</v>
      </c>
    </row>
    <row r="358" spans="25:70" x14ac:dyDescent="0.45">
      <c r="Y358" s="5" t="s">
        <v>1043</v>
      </c>
      <c r="Z358" s="7" t="s">
        <v>1035</v>
      </c>
      <c r="AA358" s="4" t="s">
        <v>1344</v>
      </c>
      <c r="AB358" s="19" t="s">
        <v>1587</v>
      </c>
      <c r="AC358" s="24" t="str">
        <f>IFERROR(VLOOKUP(Transactions[[#This Row],[Parent code]],Transactions[[Transaction code]:[Transaction name]],2,0),"")</f>
        <v>Electricity plants - gas oil/diesel oil</v>
      </c>
      <c r="AD358" s="4" t="s">
        <v>189</v>
      </c>
      <c r="AE358" s="4" t="s">
        <v>923</v>
      </c>
      <c r="AF358" s="4" t="s">
        <v>642</v>
      </c>
      <c r="AG358" s="4" t="s">
        <v>1</v>
      </c>
      <c r="AH358" s="4" t="s">
        <v>696</v>
      </c>
      <c r="AI358" s="12" t="s">
        <v>1416</v>
      </c>
      <c r="AK358" s="24" t="str" cm="1">
        <f t="array" ref="AK358">IFERROR(INDEX(Transactions[[Transaction code]:[Transaction name]],_xlfn.XMATCH(Transactions[[#This Row],[Parent code]],Transactions[Transaction name],0),3),Transactions[[#This Row],[Transaction name]])</f>
        <v>Electricity plants - Main activity - gas oil/diesel oil</v>
      </c>
      <c r="AL358" s="24" t="str" cm="1">
        <f t="array" ref="AL358">IFERROR(INDEX(Transactions[[Transaction code]:[Transaction name]],_xlfn.XMATCH(INDEX(Transactions[[Transaction name]:[Parent code]],_xlfn.XMATCH(Transactions[[#This Row],[L1N]],Transactions[Transaction name],0),3),Transactions[Transaction code],0),2),Transactions[[#This Row],[L1N]])</f>
        <v>Electricity plants - gas oil/diesel oil</v>
      </c>
      <c r="AM358" s="24" t="str" cm="1">
        <f t="array" ref="AM358">IFERROR(INDEX(Transactions[[Transaction code]:[Transaction name]],_xlfn.XMATCH(INDEX(Transactions[[Transaction name]:[Parent code]],_xlfn.XMATCH(Transactions[[#This Row],[L2N]],Transactions[Transaction name],0),3),Transactions[Transaction code],0),2),Transactions[[#This Row],[L2N]])</f>
        <v>Electricity plants</v>
      </c>
      <c r="AN358" s="24" t="str" cm="1">
        <f t="array" ref="AN358">IFERROR(INDEX(Transactions[[Transaction code]:[Transaction name]],_xlfn.XMATCH(INDEX(Transactions[[Transaction name]:[Parent code]],_xlfn.XMATCH(Transactions[[#This Row],[L3N]],Transactions[Transaction name],0),3),Transactions[Transaction code],0),2),Transactions[[#This Row],[L3N]])</f>
        <v>Electricity, CHP and heat plants (T)</v>
      </c>
      <c r="AO358" s="24" t="str" cm="1">
        <f t="array" ref="AO358">IFERROR(INDEX(Transactions[[Transaction code]:[Transaction name]],_xlfn.XMATCH(INDEX(Transactions[[Transaction name]:[Parent code]],_xlfn.XMATCH(Transactions[[#This Row],[L4N]],Transactions[Transaction name],0),3),Transactions[Transaction code],0),2),Transactions[[#This Row],[L4N]])</f>
        <v>Transformation</v>
      </c>
      <c r="AP358" s="24" t="str" cm="1">
        <f t="array" ref="AP358">IFERROR(INDEX(Transactions[[Transaction code]:[Transaction name]],_xlfn.XMATCH(INDEX(Transactions[[Transaction name]:[Parent code]],_xlfn.XMATCH(Transactions[[#This Row],[L5N]],Transactions[Transaction name],0),3),Transactions[Transaction code],0),2),Transactions[[#This Row],[L5N]])</f>
        <v>Transformation</v>
      </c>
      <c r="AQ358" s="24" t="str" cm="1">
        <f t="array" ref="AQ358">IFERROR(INDEX(Transactions[[Transaction code]:[Transaction name]],_xlfn.XMATCH(INDEX(Transactions[[Transaction name]:[Parent code]],_xlfn.XMATCH(Transactions[[#This Row],[L6N]],Transactions[Transaction name],0),3),Transactions[Transaction code],0),2),Transactions[[#This Row],[L6N]])</f>
        <v>Transformation</v>
      </c>
      <c r="AR358" s="27" t="str">
        <f>IF(Transactions[[#This Row],[L7N]]=Transactions[[#This Row],[L6N]],Transactions[[#This Row],[L7N]],IF(Transactions[[#This Row],[L6N]]=Transactions[[#This Row],[L5N]],Transactions[[#This Row],[L6N]],IF(Transactions[[#This Row],[L5N]]=Transactions[[#This Row],[L4N]],Transactions[[#This Row],[L5N]],IF(Transactions[[#This Row],[L4N]]=Transactions[[#This Row],[L3N]],Transactions[[#This Row],[L4N]],IF(Transactions[[#This Row],[L3N]]=Transactions[[#This Row],[L2N]],Transactions[[#This Row],[L3N]],IF(Transactions[[#This Row],[L2N]]=Transactions[[#This Row],[L1N]],Transactions[[#This Row],[L2N]],IF(Transactions[[#This Row],[L1N]]=Transactions[[#This Row],[Transaction name]],Transactions[[#This Row],[L1N]],Transactions[[#This Row],[Transaction name]])))))))</f>
        <v>Transformation</v>
      </c>
      <c r="AS358" s="24" t="str">
        <f>IF(Transactions[[#This Row],[Level 0]]=Transactions[[#This Row],[Transaction name]],Transactions[[#This Row],[Transaction name]],IF(Transactions[[#This Row],[Level 0]]=Transactions[[#This Row],[L1N]],Transactions[[#This Row],[Transaction name]],IF(Transactions[[#This Row],[Level 0]]=Transactions[[#This Row],[L2N]],Transactions[[#This Row],[L1N]],IF(Transactions[[#This Row],[Level 0]]=Transactions[[#This Row],[L3N]],Transactions[[#This Row],[L2N]],IF(Transactions[[#This Row],[Level 0]]=Transactions[[#This Row],[L4N]],Transactions[[#This Row],[L3N]],IF(Transactions[[#This Row],[Level 0]]=Transactions[[#This Row],[L5N]],Transactions[[#This Row],[L4N]],IF(Transactions[[#This Row],[Level 0]]=Transactions[[#This Row],[L6N]],Transactions[[#This Row],[L5N]],IF(Transactions[[#This Row],[Level 0]]=Transactions[[#This Row],[L7N]],Transactions[[#This Row],[L6N]],Transactions[[#This Row],[L7N]]))))))))</f>
        <v>Electricity, CHP and heat plants (T)</v>
      </c>
      <c r="AT358" s="24" t="str">
        <f>IF(Transactions[[#This Row],[Level 1]]=Transactions[[#This Row],[Transaction name]],Transactions[[#This Row],[Transaction name]],IF(Transactions[[#This Row],[Level 1]]=Transactions[[#This Row],[L1N]],Transactions[[#This Row],[Transaction name]],IF(Transactions[[#This Row],[Level 1]]=Transactions[[#This Row],[L2N]],Transactions[[#This Row],[L1N]],IF(Transactions[[#This Row],[Level 1]]=Transactions[[#This Row],[L3N]],Transactions[[#This Row],[L2N]],IF(Transactions[[#This Row],[Level 1]]=Transactions[[#This Row],[L4N]],Transactions[[#This Row],[L3N]],IF(Transactions[[#This Row],[Level 1]]=Transactions[[#This Row],[L5N]],Transactions[[#This Row],[L4N]],IF(Transactions[[#This Row],[Level 1]]=Transactions[[#This Row],[L6N]],Transactions[[#This Row],[L5N]],IF(Transactions[[#This Row],[Level 1]]=Transactions[[#This Row],[L7N]],Transactions[[#This Row],[L6N]],Transactions[[#This Row],[L7N]]))))))))</f>
        <v>Electricity plants</v>
      </c>
      <c r="AU358" s="24" t="str">
        <f>IF(Transactions[[#This Row],[Level 2]]=Transactions[[#This Row],[Transaction name]],Transactions[[#This Row],[Transaction name]],IF(Transactions[[#This Row],[Level 2]]=Transactions[[#This Row],[L1N]],Transactions[[#This Row],[Transaction name]],IF(Transactions[[#This Row],[Level 2]]=Transactions[[#This Row],[L2N]],Transactions[[#This Row],[L1N]],IF(Transactions[[#This Row],[Level 2]]=Transactions[[#This Row],[L3N]],Transactions[[#This Row],[L2N]],IF(Transactions[[#This Row],[Level 2]]=Transactions[[#This Row],[L4N]],Transactions[[#This Row],[L3N]],IF(Transactions[[#This Row],[Level 2]]=Transactions[[#This Row],[L5N]],Transactions[[#This Row],[L4N]],IF(Transactions[[#This Row],[Level 2]]=Transactions[[#This Row],[L6N]],Transactions[[#This Row],[L5N]],IF(Transactions[[#This Row],[Level 2]]=Transactions[[#This Row],[L7N]],Transactions[[#This Row],[L6N]],Transactions[[#This Row],[L7N]]))))))))</f>
        <v>Electricity plants - gas oil/diesel oil</v>
      </c>
      <c r="AV358" s="24" t="str">
        <f>IF(Transactions[[#This Row],[Level 3]]=Transactions[[#This Row],[Transaction name]],Transactions[[#This Row],[Transaction name]],IF(Transactions[[#This Row],[Level 3]]=Transactions[[#This Row],[L1N]],Transactions[[#This Row],[Transaction name]],IF(Transactions[[#This Row],[Level 3]]=Transactions[[#This Row],[L2N]],Transactions[[#This Row],[L1N]],IF(Transactions[[#This Row],[Level 3]]=Transactions[[#This Row],[L3N]],Transactions[[#This Row],[L2N]],IF(Transactions[[#This Row],[Level 3]]=Transactions[[#This Row],[L4N]],Transactions[[#This Row],[L3N]],IF(Transactions[[#This Row],[Level 3]]=Transactions[[#This Row],[L5N]],Transactions[[#This Row],[L4N]],IF(Transactions[[#This Row],[Level 3]]=Transactions[[#This Row],[L6N]],Transactions[[#This Row],[L5N]],IF(Transactions[[#This Row],[Level 3]]=Transactions[[#This Row],[L7N]],Transactions[[#This Row],[L6N]],Transactions[[#This Row],[L7N]]))))))))</f>
        <v>Electricity plants - Main activity - gas oil/diesel oil</v>
      </c>
      <c r="AW358" s="24" t="str">
        <f>IF(Transactions[[#This Row],[Level 4]]=Transactions[[#This Row],[Transaction name]],Transactions[[#This Row],[Transaction name]],IF(Transactions[[#This Row],[Level 4]]=Transactions[[#This Row],[L1N]],Transactions[[#This Row],[Transaction name]],IF(Transactions[[#This Row],[Level 4]]=Transactions[[#This Row],[L2N]],Transactions[[#This Row],[L1N]],IF(Transactions[[#This Row],[Level 4]]=Transactions[[#This Row],[L3N]],Transactions[[#This Row],[L2N]],IF(Transactions[[#This Row],[Level 4]]=Transactions[[#This Row],[L4N]],Transactions[[#This Row],[L3N]],IF(Transactions[[#This Row],[Level 4]]=Transactions[[#This Row],[L5N]],Transactions[[#This Row],[L4N]],IF(Transactions[[#This Row],[Level 4]]=Transactions[[#This Row],[L6N]],Transactions[[#This Row],[L5N]],IF(Transactions[[#This Row],[Level 4]]=Transactions[[#This Row],[L7N]],Transactions[[#This Row],[L6N]],Transactions[[#This Row],[L7N]]))))))))</f>
        <v>Electricity plants - Main activity - gas oil/diesel oil</v>
      </c>
      <c r="AX358" s="24" t="str">
        <f>IF(Transactions[[#This Row],[Level 5]]=Transactions[[#This Row],[Transaction name]],Transactions[[#This Row],[Transaction name]],IF(Transactions[[#This Row],[Level 5]]=Transactions[[#This Row],[L1N]],Transactions[[#This Row],[Transaction name]],IF(Transactions[[#This Row],[Level 5]]=Transactions[[#This Row],[L2N]],Transactions[[#This Row],[L1N]],IF(Transactions[[#This Row],[Level 5]]=Transactions[[#This Row],[L3N]],Transactions[[#This Row],[L2N]],IF(Transactions[[#This Row],[Level 5]]=Transactions[[#This Row],[L4N]],Transactions[[#This Row],[L3N]],IF(Transactions[[#This Row],[Level 5]]=Transactions[[#This Row],[L5N]],Transactions[[#This Row],[L4N]],IF(Transactions[[#This Row],[Level 5]]=Transactions[[#This Row],[L6N]],Transactions[[#This Row],[L5N]],IF(Transactions[[#This Row],[Level 5]]=Transactions[[#This Row],[L7N]],Transactions[[#This Row],[L6N]],Transactions[[#This Row],[L7N]]))))))))</f>
        <v>Electricity plants - Main activity - gas oil/diesel oil</v>
      </c>
      <c r="AY358" s="24" t="str">
        <f>IF(Transactions[[#This Row],[Level 6]]=Transactions[[#This Row],[Transaction name]],Transactions[[#This Row],[Transaction name]],IF(Transactions[[#This Row],[Level 6]]=Transactions[[#This Row],[L1N]],Transactions[[#This Row],[Transaction name]],IF(Transactions[[#This Row],[Level 6]]=Transactions[[#This Row],[L2N]],Transactions[[#This Row],[L1N]],IF(Transactions[[#This Row],[Level 6]]=Transactions[[#This Row],[L3N]],Transactions[[#This Row],[L2N]],IF(Transactions[[#This Row],[Level 6]]=Transactions[[#This Row],[L4N]],Transactions[[#This Row],[L3N]],IF(Transactions[[#This Row],[Level 6]]=Transactions[[#This Row],[L5N]],Transactions[[#This Row],[L4N]],IF(Transactions[[#This Row],[Level 6]]=Transactions[[#This Row],[L6N]],Transactions[[#This Row],[L5N]],IF(Transactions[[#This Row],[Level 6]]=Transactions[[#This Row],[L7N]],Transactions[[#This Row],[L6N]],Transactions[[#This Row],[L7N]]))))))))</f>
        <v>Electricity plants - Main activity - gas oil/diesel oil</v>
      </c>
      <c r="BE358" s="26" t="str">
        <f>_xlfn.XLOOKUP(Transformation[[#This Row],[cfrom]],Commodities[Commodity],Commodities[Commodity code])</f>
        <v>4653</v>
      </c>
      <c r="BF358" s="26" t="str">
        <f>_xlfn.XLOOKUP(Transformation[[#This Row],[tfrom]],Transactions[Transaction name],Transactions[Transaction code])</f>
        <v>022</v>
      </c>
      <c r="BG358" s="26" t="str">
        <f>_xlfn.XLOOKUP(Transformation[[#This Row],[cto]],Commodities[Commodity],Commodities[Commodity code])</f>
        <v>4653</v>
      </c>
      <c r="BH358" s="26" t="str">
        <f>_xlfn.XLOOKUP(Transformation[[#This Row],[tto]],Transactions[Transaction name],Transactions[Transaction code])</f>
        <v>022</v>
      </c>
      <c r="BI358" s="32">
        <v>-1</v>
      </c>
      <c r="BJ358" s="22" t="s">
        <v>390</v>
      </c>
      <c r="BK358" s="26" t="str">
        <f>_xlfn.XLOOKUP(Transformation[[#This Row],[Commodity from]],Commodities[Commodity code],Commodities[EnergyCode])</f>
        <v>GJ</v>
      </c>
      <c r="BL358" s="22" t="s">
        <v>205</v>
      </c>
      <c r="BM358" s="22" t="s">
        <v>390</v>
      </c>
      <c r="BN358" s="26" t="str">
        <f>_xlfn.XLOOKUP(Transformation[[#This Row],[Commodity to]],Commodities[Commodity code],Commodities[EnergyCode])</f>
        <v>GJ</v>
      </c>
      <c r="BO358" s="22" t="s">
        <v>205</v>
      </c>
      <c r="BP358" s="22" t="s">
        <v>1639</v>
      </c>
      <c r="BQ358" s="33" t="str">
        <f>Transformation[[#This Row],[Commodity from]]&amp;Transformation[[#This Row],[Transaction from]]&amp;Transformation[[#This Row],[Commodity to]]&amp;Transformation[[#This Row],[Transaction to]]</f>
        <v>46530224653022</v>
      </c>
      <c r="BR358" s="26" t="str">
        <f>Transformation[[#This Row],[crfomid]]&amp;Transformation[[#This Row],[Transaction from]]&amp;"("&amp;Transformation[[#This Row],[Multiplier]]&amp;") -&gt; "&amp;Transformation[[#This Row],[ctoid]]&amp;Transformation[[#This Row],[Transaction to]]</f>
        <v>GJ022(-1) -&gt; GJ022</v>
      </c>
    </row>
    <row r="359" spans="25:70" x14ac:dyDescent="0.45">
      <c r="Y359" s="5" t="s">
        <v>268</v>
      </c>
      <c r="Z359" s="7" t="s">
        <v>685</v>
      </c>
      <c r="AA359" s="4" t="s">
        <v>1313</v>
      </c>
      <c r="AB359" s="19" t="s">
        <v>1589</v>
      </c>
      <c r="AC359" s="24" t="str">
        <f>IFERROR(VLOOKUP(Transactions[[#This Row],[Parent code]],Transactions[[Transaction code]:[Transaction name]],2,0),"")</f>
        <v>Electricity plants - Geothermal</v>
      </c>
      <c r="AD359" s="4" t="s">
        <v>189</v>
      </c>
      <c r="AE359" s="4" t="s">
        <v>923</v>
      </c>
      <c r="AF359" s="4" t="s">
        <v>642</v>
      </c>
      <c r="AG359" s="4" t="s">
        <v>1</v>
      </c>
      <c r="AH359" s="4" t="s">
        <v>696</v>
      </c>
      <c r="AK359" s="24" t="str" cm="1">
        <f t="array" ref="AK359">IFERROR(INDEX(Transactions[[Transaction code]:[Transaction name]],_xlfn.XMATCH(Transactions[[#This Row],[Parent code]],Transactions[Transaction name],0),3),Transactions[[#This Row],[Transaction name]])</f>
        <v>Electricity plants - Autoproducer - Geothermal</v>
      </c>
      <c r="AL359" s="24" t="str" cm="1">
        <f t="array" ref="AL359">IFERROR(INDEX(Transactions[[Transaction code]:[Transaction name]],_xlfn.XMATCH(INDEX(Transactions[[Transaction name]:[Parent code]],_xlfn.XMATCH(Transactions[[#This Row],[L1N]],Transactions[Transaction name],0),3),Transactions[Transaction code],0),2),Transactions[[#This Row],[L1N]])</f>
        <v>Electricity plants - Geothermal</v>
      </c>
      <c r="AM359" s="24" t="str" cm="1">
        <f t="array" ref="AM359">IFERROR(INDEX(Transactions[[Transaction code]:[Transaction name]],_xlfn.XMATCH(INDEX(Transactions[[Transaction name]:[Parent code]],_xlfn.XMATCH(Transactions[[#This Row],[L2N]],Transactions[Transaction name],0),3),Transactions[Transaction code],0),2),Transactions[[#This Row],[L2N]])</f>
        <v>Electricity plants</v>
      </c>
      <c r="AN359" s="24" t="str" cm="1">
        <f t="array" ref="AN359">IFERROR(INDEX(Transactions[[Transaction code]:[Transaction name]],_xlfn.XMATCH(INDEX(Transactions[[Transaction name]:[Parent code]],_xlfn.XMATCH(Transactions[[#This Row],[L3N]],Transactions[Transaction name],0),3),Transactions[Transaction code],0),2),Transactions[[#This Row],[L3N]])</f>
        <v>Electricity, CHP and heat plants (T)</v>
      </c>
      <c r="AO359" s="24" t="str" cm="1">
        <f t="array" ref="AO359">IFERROR(INDEX(Transactions[[Transaction code]:[Transaction name]],_xlfn.XMATCH(INDEX(Transactions[[Transaction name]:[Parent code]],_xlfn.XMATCH(Transactions[[#This Row],[L4N]],Transactions[Transaction name],0),3),Transactions[Transaction code],0),2),Transactions[[#This Row],[L4N]])</f>
        <v>Transformation</v>
      </c>
      <c r="AP359" s="24" t="str" cm="1">
        <f t="array" ref="AP359">IFERROR(INDEX(Transactions[[Transaction code]:[Transaction name]],_xlfn.XMATCH(INDEX(Transactions[[Transaction name]:[Parent code]],_xlfn.XMATCH(Transactions[[#This Row],[L5N]],Transactions[Transaction name],0),3),Transactions[Transaction code],0),2),Transactions[[#This Row],[L5N]])</f>
        <v>Transformation</v>
      </c>
      <c r="AQ359" s="24" t="str" cm="1">
        <f t="array" ref="AQ359">IFERROR(INDEX(Transactions[[Transaction code]:[Transaction name]],_xlfn.XMATCH(INDEX(Transactions[[Transaction name]:[Parent code]],_xlfn.XMATCH(Transactions[[#This Row],[L6N]],Transactions[Transaction name],0),3),Transactions[Transaction code],0),2),Transactions[[#This Row],[L6N]])</f>
        <v>Transformation</v>
      </c>
      <c r="AR359" s="28" t="str">
        <f>IF(Transactions[[#This Row],[L7N]]=Transactions[[#This Row],[L6N]],Transactions[[#This Row],[L7N]],IF(Transactions[[#This Row],[L6N]]=Transactions[[#This Row],[L5N]],Transactions[[#This Row],[L6N]],IF(Transactions[[#This Row],[L5N]]=Transactions[[#This Row],[L4N]],Transactions[[#This Row],[L5N]],IF(Transactions[[#This Row],[L4N]]=Transactions[[#This Row],[L3N]],Transactions[[#This Row],[L4N]],IF(Transactions[[#This Row],[L3N]]=Transactions[[#This Row],[L2N]],Transactions[[#This Row],[L3N]],IF(Transactions[[#This Row],[L2N]]=Transactions[[#This Row],[L1N]],Transactions[[#This Row],[L2N]],IF(Transactions[[#This Row],[L1N]]=Transactions[[#This Row],[Transaction name]],Transactions[[#This Row],[L1N]],Transactions[[#This Row],[Transaction name]])))))))</f>
        <v>Transformation</v>
      </c>
      <c r="AS359" s="24" t="str">
        <f>IF(Transactions[[#This Row],[Level 0]]=Transactions[[#This Row],[Transaction name]],Transactions[[#This Row],[Transaction name]],IF(Transactions[[#This Row],[Level 0]]=Transactions[[#This Row],[L1N]],Transactions[[#This Row],[Transaction name]],IF(Transactions[[#This Row],[Level 0]]=Transactions[[#This Row],[L2N]],Transactions[[#This Row],[L1N]],IF(Transactions[[#This Row],[Level 0]]=Transactions[[#This Row],[L3N]],Transactions[[#This Row],[L2N]],IF(Transactions[[#This Row],[Level 0]]=Transactions[[#This Row],[L4N]],Transactions[[#This Row],[L3N]],IF(Transactions[[#This Row],[Level 0]]=Transactions[[#This Row],[L5N]],Transactions[[#This Row],[L4N]],IF(Transactions[[#This Row],[Level 0]]=Transactions[[#This Row],[L6N]],Transactions[[#This Row],[L5N]],IF(Transactions[[#This Row],[Level 0]]=Transactions[[#This Row],[L7N]],Transactions[[#This Row],[L6N]],Transactions[[#This Row],[L7N]]))))))))</f>
        <v>Electricity, CHP and heat plants (T)</v>
      </c>
      <c r="AT359" s="24" t="str">
        <f>IF(Transactions[[#This Row],[Level 1]]=Transactions[[#This Row],[Transaction name]],Transactions[[#This Row],[Transaction name]],IF(Transactions[[#This Row],[Level 1]]=Transactions[[#This Row],[L1N]],Transactions[[#This Row],[Transaction name]],IF(Transactions[[#This Row],[Level 1]]=Transactions[[#This Row],[L2N]],Transactions[[#This Row],[L1N]],IF(Transactions[[#This Row],[Level 1]]=Transactions[[#This Row],[L3N]],Transactions[[#This Row],[L2N]],IF(Transactions[[#This Row],[Level 1]]=Transactions[[#This Row],[L4N]],Transactions[[#This Row],[L3N]],IF(Transactions[[#This Row],[Level 1]]=Transactions[[#This Row],[L5N]],Transactions[[#This Row],[L4N]],IF(Transactions[[#This Row],[Level 1]]=Transactions[[#This Row],[L6N]],Transactions[[#This Row],[L5N]],IF(Transactions[[#This Row],[Level 1]]=Transactions[[#This Row],[L7N]],Transactions[[#This Row],[L6N]],Transactions[[#This Row],[L7N]]))))))))</f>
        <v>Electricity plants</v>
      </c>
      <c r="AU359" s="24" t="str">
        <f>IF(Transactions[[#This Row],[Level 2]]=Transactions[[#This Row],[Transaction name]],Transactions[[#This Row],[Transaction name]],IF(Transactions[[#This Row],[Level 2]]=Transactions[[#This Row],[L1N]],Transactions[[#This Row],[Transaction name]],IF(Transactions[[#This Row],[Level 2]]=Transactions[[#This Row],[L2N]],Transactions[[#This Row],[L1N]],IF(Transactions[[#This Row],[Level 2]]=Transactions[[#This Row],[L3N]],Transactions[[#This Row],[L2N]],IF(Transactions[[#This Row],[Level 2]]=Transactions[[#This Row],[L4N]],Transactions[[#This Row],[L3N]],IF(Transactions[[#This Row],[Level 2]]=Transactions[[#This Row],[L5N]],Transactions[[#This Row],[L4N]],IF(Transactions[[#This Row],[Level 2]]=Transactions[[#This Row],[L6N]],Transactions[[#This Row],[L5N]],IF(Transactions[[#This Row],[Level 2]]=Transactions[[#This Row],[L7N]],Transactions[[#This Row],[L6N]],Transactions[[#This Row],[L7N]]))))))))</f>
        <v>Electricity plants - Geothermal</v>
      </c>
      <c r="AV359" s="24" t="str">
        <f>IF(Transactions[[#This Row],[Level 3]]=Transactions[[#This Row],[Transaction name]],Transactions[[#This Row],[Transaction name]],IF(Transactions[[#This Row],[Level 3]]=Transactions[[#This Row],[L1N]],Transactions[[#This Row],[Transaction name]],IF(Transactions[[#This Row],[Level 3]]=Transactions[[#This Row],[L2N]],Transactions[[#This Row],[L1N]],IF(Transactions[[#This Row],[Level 3]]=Transactions[[#This Row],[L3N]],Transactions[[#This Row],[L2N]],IF(Transactions[[#This Row],[Level 3]]=Transactions[[#This Row],[L4N]],Transactions[[#This Row],[L3N]],IF(Transactions[[#This Row],[Level 3]]=Transactions[[#This Row],[L5N]],Transactions[[#This Row],[L4N]],IF(Transactions[[#This Row],[Level 3]]=Transactions[[#This Row],[L6N]],Transactions[[#This Row],[L5N]],IF(Transactions[[#This Row],[Level 3]]=Transactions[[#This Row],[L7N]],Transactions[[#This Row],[L6N]],Transactions[[#This Row],[L7N]]))))))))</f>
        <v>Electricity plants - Autoproducer - Geothermal</v>
      </c>
      <c r="AW359" s="24" t="str">
        <f>IF(Transactions[[#This Row],[Level 4]]=Transactions[[#This Row],[Transaction name]],Transactions[[#This Row],[Transaction name]],IF(Transactions[[#This Row],[Level 4]]=Transactions[[#This Row],[L1N]],Transactions[[#This Row],[Transaction name]],IF(Transactions[[#This Row],[Level 4]]=Transactions[[#This Row],[L2N]],Transactions[[#This Row],[L1N]],IF(Transactions[[#This Row],[Level 4]]=Transactions[[#This Row],[L3N]],Transactions[[#This Row],[L2N]],IF(Transactions[[#This Row],[Level 4]]=Transactions[[#This Row],[L4N]],Transactions[[#This Row],[L3N]],IF(Transactions[[#This Row],[Level 4]]=Transactions[[#This Row],[L5N]],Transactions[[#This Row],[L4N]],IF(Transactions[[#This Row],[Level 4]]=Transactions[[#This Row],[L6N]],Transactions[[#This Row],[L5N]],IF(Transactions[[#This Row],[Level 4]]=Transactions[[#This Row],[L7N]],Transactions[[#This Row],[L6N]],Transactions[[#This Row],[L7N]]))))))))</f>
        <v>Electricity plants - Autoproducer - Geothermal</v>
      </c>
      <c r="AX359" s="24" t="str">
        <f>IF(Transactions[[#This Row],[Level 5]]=Transactions[[#This Row],[Transaction name]],Transactions[[#This Row],[Transaction name]],IF(Transactions[[#This Row],[Level 5]]=Transactions[[#This Row],[L1N]],Transactions[[#This Row],[Transaction name]],IF(Transactions[[#This Row],[Level 5]]=Transactions[[#This Row],[L2N]],Transactions[[#This Row],[L1N]],IF(Transactions[[#This Row],[Level 5]]=Transactions[[#This Row],[L3N]],Transactions[[#This Row],[L2N]],IF(Transactions[[#This Row],[Level 5]]=Transactions[[#This Row],[L4N]],Transactions[[#This Row],[L3N]],IF(Transactions[[#This Row],[Level 5]]=Transactions[[#This Row],[L5N]],Transactions[[#This Row],[L4N]],IF(Transactions[[#This Row],[Level 5]]=Transactions[[#This Row],[L6N]],Transactions[[#This Row],[L5N]],IF(Transactions[[#This Row],[Level 5]]=Transactions[[#This Row],[L7N]],Transactions[[#This Row],[L6N]],Transactions[[#This Row],[L7N]]))))))))</f>
        <v>Electricity plants - Autoproducer - Geothermal</v>
      </c>
      <c r="AY359" s="24" t="str">
        <f>IF(Transactions[[#This Row],[Level 6]]=Transactions[[#This Row],[Transaction name]],Transactions[[#This Row],[Transaction name]],IF(Transactions[[#This Row],[Level 6]]=Transactions[[#This Row],[L1N]],Transactions[[#This Row],[Transaction name]],IF(Transactions[[#This Row],[Level 6]]=Transactions[[#This Row],[L2N]],Transactions[[#This Row],[L1N]],IF(Transactions[[#This Row],[Level 6]]=Transactions[[#This Row],[L3N]],Transactions[[#This Row],[L2N]],IF(Transactions[[#This Row],[Level 6]]=Transactions[[#This Row],[L4N]],Transactions[[#This Row],[L3N]],IF(Transactions[[#This Row],[Level 6]]=Transactions[[#This Row],[L5N]],Transactions[[#This Row],[L4N]],IF(Transactions[[#This Row],[Level 6]]=Transactions[[#This Row],[L6N]],Transactions[[#This Row],[L5N]],IF(Transactions[[#This Row],[Level 6]]=Transactions[[#This Row],[L7N]],Transactions[[#This Row],[L6N]],Transactions[[#This Row],[L7N]]))))))))</f>
        <v>Electricity plants - Autoproducer - Geothermal</v>
      </c>
      <c r="BE359" s="26" t="str">
        <f>_xlfn.XLOOKUP(Transformation[[#This Row],[cfrom]],Commodities[Commodity],Commodities[Commodity code])</f>
        <v>4653</v>
      </c>
      <c r="BF359" s="26" t="str">
        <f>_xlfn.XLOOKUP(Transformation[[#This Row],[tfrom]],Transactions[Transaction name],Transactions[Transaction code])</f>
        <v>022</v>
      </c>
      <c r="BG359" s="26" t="str">
        <f>_xlfn.XLOOKUP(Transformation[[#This Row],[cto]],Commodities[Commodity],Commodities[Commodity code])</f>
        <v>4653</v>
      </c>
      <c r="BH359" s="26" t="str">
        <f>_xlfn.XLOOKUP(Transformation[[#This Row],[tto]],Transactions[Transaction name],Transactions[Transaction code])</f>
        <v>013</v>
      </c>
      <c r="BI359" s="31">
        <v>1</v>
      </c>
      <c r="BJ359" s="22" t="s">
        <v>390</v>
      </c>
      <c r="BK359" s="26" t="str">
        <f>_xlfn.XLOOKUP(Transformation[[#This Row],[Commodity from]],Commodities[Commodity code],Commodities[EnergyCode])</f>
        <v>GJ</v>
      </c>
      <c r="BL359" s="22" t="s">
        <v>205</v>
      </c>
      <c r="BM359" s="22" t="s">
        <v>390</v>
      </c>
      <c r="BN359" s="26" t="str">
        <f>_xlfn.XLOOKUP(Transformation[[#This Row],[Commodity to]],Commodities[Commodity code],Commodities[EnergyCode])</f>
        <v>GJ</v>
      </c>
      <c r="BO359" s="22" t="s">
        <v>374</v>
      </c>
      <c r="BP359" s="22" t="s">
        <v>1694</v>
      </c>
      <c r="BQ359" s="33" t="str">
        <f>Transformation[[#This Row],[Commodity from]]&amp;Transformation[[#This Row],[Transaction from]]&amp;Transformation[[#This Row],[Commodity to]]&amp;Transformation[[#This Row],[Transaction to]]</f>
        <v>46530224653013</v>
      </c>
      <c r="BR359" s="26" t="str">
        <f>Transformation[[#This Row],[crfomid]]&amp;Transformation[[#This Row],[Transaction from]]&amp;"("&amp;Transformation[[#This Row],[Multiplier]]&amp;") -&gt; "&amp;Transformation[[#This Row],[ctoid]]&amp;Transformation[[#This Row],[Transaction to]]</f>
        <v>GJ022(1) -&gt; GJ013</v>
      </c>
    </row>
    <row r="360" spans="25:70" x14ac:dyDescent="0.45">
      <c r="Y360" s="19" t="s">
        <v>1589</v>
      </c>
      <c r="Z360" s="18" t="s">
        <v>1313</v>
      </c>
      <c r="AA360" s="18" t="s">
        <v>1313</v>
      </c>
      <c r="AB360" s="19" t="s">
        <v>1600</v>
      </c>
      <c r="AC360" s="26" t="str">
        <f>IFERROR(VLOOKUP(Transactions[[#This Row],[Parent code]],Transactions[[Transaction code]:[Transaction name]],2,0),"")</f>
        <v>Electricity plants</v>
      </c>
      <c r="AD360" s="18" t="s">
        <v>189</v>
      </c>
      <c r="AE360" s="18" t="s">
        <v>923</v>
      </c>
      <c r="AF360" s="18" t="s">
        <v>642</v>
      </c>
      <c r="AG360" s="18" t="s">
        <v>1</v>
      </c>
      <c r="AH360" s="18" t="s">
        <v>696</v>
      </c>
      <c r="AI360" s="18"/>
      <c r="AJ360" s="18"/>
      <c r="AK360" s="26" t="str" cm="1">
        <f t="array" ref="AK360">IFERROR(INDEX(Transactions[[Transaction code]:[Transaction name]],_xlfn.XMATCH(Transactions[[#This Row],[Parent code]],Transactions[Transaction name],0),3),Transactions[[#This Row],[Transaction name]])</f>
        <v>Electricity plants - Geothermal</v>
      </c>
      <c r="AL360" s="26" t="str" cm="1">
        <f t="array" ref="AL360">IFERROR(INDEX(Transactions[[Transaction code]:[Transaction name]],_xlfn.XMATCH(INDEX(Transactions[[Transaction name]:[Parent code]],_xlfn.XMATCH(Transactions[[#This Row],[L1N]],Transactions[Transaction name],0),3),Transactions[Transaction code],0),2),Transactions[[#This Row],[L1N]])</f>
        <v>Electricity plants</v>
      </c>
      <c r="AM360" s="26" t="str" cm="1">
        <f t="array" ref="AM360">IFERROR(INDEX(Transactions[[Transaction code]:[Transaction name]],_xlfn.XMATCH(INDEX(Transactions[[Transaction name]:[Parent code]],_xlfn.XMATCH(Transactions[[#This Row],[L2N]],Transactions[Transaction name],0),3),Transactions[Transaction code],0),2),Transactions[[#This Row],[L2N]])</f>
        <v>Electricity, CHP and heat plants (T)</v>
      </c>
      <c r="AN360" s="26" t="str" cm="1">
        <f t="array" ref="AN360">IFERROR(INDEX(Transactions[[Transaction code]:[Transaction name]],_xlfn.XMATCH(INDEX(Transactions[[Transaction name]:[Parent code]],_xlfn.XMATCH(Transactions[[#This Row],[L3N]],Transactions[Transaction name],0),3),Transactions[Transaction code],0),2),Transactions[[#This Row],[L3N]])</f>
        <v>Transformation</v>
      </c>
      <c r="AO360" s="26" t="str" cm="1">
        <f t="array" ref="AO360">IFERROR(INDEX(Transactions[[Transaction code]:[Transaction name]],_xlfn.XMATCH(INDEX(Transactions[[Transaction name]:[Parent code]],_xlfn.XMATCH(Transactions[[#This Row],[L4N]],Transactions[Transaction name],0),3),Transactions[Transaction code],0),2),Transactions[[#This Row],[L4N]])</f>
        <v>Transformation</v>
      </c>
      <c r="AP360" s="26" t="str" cm="1">
        <f t="array" ref="AP360">IFERROR(INDEX(Transactions[[Transaction code]:[Transaction name]],_xlfn.XMATCH(INDEX(Transactions[[Transaction name]:[Parent code]],_xlfn.XMATCH(Transactions[[#This Row],[L5N]],Transactions[Transaction name],0),3),Transactions[Transaction code],0),2),Transactions[[#This Row],[L5N]])</f>
        <v>Transformation</v>
      </c>
      <c r="AQ360" s="26" t="str" cm="1">
        <f t="array" ref="AQ360">IFERROR(INDEX(Transactions[[Transaction code]:[Transaction name]],_xlfn.XMATCH(INDEX(Transactions[[Transaction name]:[Parent code]],_xlfn.XMATCH(Transactions[[#This Row],[L6N]],Transactions[Transaction name],0),3),Transactions[Transaction code],0),2),Transactions[[#This Row],[L6N]])</f>
        <v>Transformation</v>
      </c>
      <c r="AR360" s="29" t="str">
        <f>IF(Transactions[[#This Row],[L7N]]=Transactions[[#This Row],[L6N]],Transactions[[#This Row],[L7N]],IF(Transactions[[#This Row],[L6N]]=Transactions[[#This Row],[L5N]],Transactions[[#This Row],[L6N]],IF(Transactions[[#This Row],[L5N]]=Transactions[[#This Row],[L4N]],Transactions[[#This Row],[L5N]],IF(Transactions[[#This Row],[L4N]]=Transactions[[#This Row],[L3N]],Transactions[[#This Row],[L4N]],IF(Transactions[[#This Row],[L3N]]=Transactions[[#This Row],[L2N]],Transactions[[#This Row],[L3N]],IF(Transactions[[#This Row],[L2N]]=Transactions[[#This Row],[L1N]],Transactions[[#This Row],[L2N]],IF(Transactions[[#This Row],[L1N]]=Transactions[[#This Row],[Transaction name]],Transactions[[#This Row],[L1N]],Transactions[[#This Row],[Transaction name]])))))))</f>
        <v>Transformation</v>
      </c>
      <c r="AS360" s="26" t="str">
        <f>IF(Transactions[[#This Row],[Level 0]]=Transactions[[#This Row],[Transaction name]],Transactions[[#This Row],[Transaction name]],IF(Transactions[[#This Row],[Level 0]]=Transactions[[#This Row],[L1N]],Transactions[[#This Row],[Transaction name]],IF(Transactions[[#This Row],[Level 0]]=Transactions[[#This Row],[L2N]],Transactions[[#This Row],[L1N]],IF(Transactions[[#This Row],[Level 0]]=Transactions[[#This Row],[L3N]],Transactions[[#This Row],[L2N]],IF(Transactions[[#This Row],[Level 0]]=Transactions[[#This Row],[L4N]],Transactions[[#This Row],[L3N]],IF(Transactions[[#This Row],[Level 0]]=Transactions[[#This Row],[L5N]],Transactions[[#This Row],[L4N]],IF(Transactions[[#This Row],[Level 0]]=Transactions[[#This Row],[L6N]],Transactions[[#This Row],[L5N]],IF(Transactions[[#This Row],[Level 0]]=Transactions[[#This Row],[L7N]],Transactions[[#This Row],[L6N]],Transactions[[#This Row],[L7N]]))))))))</f>
        <v>Electricity, CHP and heat plants (T)</v>
      </c>
      <c r="AT360" s="26" t="str">
        <f>IF(Transactions[[#This Row],[Level 1]]=Transactions[[#This Row],[Transaction name]],Transactions[[#This Row],[Transaction name]],IF(Transactions[[#This Row],[Level 1]]=Transactions[[#This Row],[L1N]],Transactions[[#This Row],[Transaction name]],IF(Transactions[[#This Row],[Level 1]]=Transactions[[#This Row],[L2N]],Transactions[[#This Row],[L1N]],IF(Transactions[[#This Row],[Level 1]]=Transactions[[#This Row],[L3N]],Transactions[[#This Row],[L2N]],IF(Transactions[[#This Row],[Level 1]]=Transactions[[#This Row],[L4N]],Transactions[[#This Row],[L3N]],IF(Transactions[[#This Row],[Level 1]]=Transactions[[#This Row],[L5N]],Transactions[[#This Row],[L4N]],IF(Transactions[[#This Row],[Level 1]]=Transactions[[#This Row],[L6N]],Transactions[[#This Row],[L5N]],IF(Transactions[[#This Row],[Level 1]]=Transactions[[#This Row],[L7N]],Transactions[[#This Row],[L6N]],Transactions[[#This Row],[L7N]]))))))))</f>
        <v>Electricity plants</v>
      </c>
      <c r="AU360" s="26" t="str">
        <f>IF(Transactions[[#This Row],[Level 2]]=Transactions[[#This Row],[Transaction name]],Transactions[[#This Row],[Transaction name]],IF(Transactions[[#This Row],[Level 2]]=Transactions[[#This Row],[L1N]],Transactions[[#This Row],[Transaction name]],IF(Transactions[[#This Row],[Level 2]]=Transactions[[#This Row],[L2N]],Transactions[[#This Row],[L1N]],IF(Transactions[[#This Row],[Level 2]]=Transactions[[#This Row],[L3N]],Transactions[[#This Row],[L2N]],IF(Transactions[[#This Row],[Level 2]]=Transactions[[#This Row],[L4N]],Transactions[[#This Row],[L3N]],IF(Transactions[[#This Row],[Level 2]]=Transactions[[#This Row],[L5N]],Transactions[[#This Row],[L4N]],IF(Transactions[[#This Row],[Level 2]]=Transactions[[#This Row],[L6N]],Transactions[[#This Row],[L5N]],IF(Transactions[[#This Row],[Level 2]]=Transactions[[#This Row],[L7N]],Transactions[[#This Row],[L6N]],Transactions[[#This Row],[L7N]]))))))))</f>
        <v>Electricity plants - Geothermal</v>
      </c>
      <c r="AV360" s="26" t="str">
        <f>IF(Transactions[[#This Row],[Level 3]]=Transactions[[#This Row],[Transaction name]],Transactions[[#This Row],[Transaction name]],IF(Transactions[[#This Row],[Level 3]]=Transactions[[#This Row],[L1N]],Transactions[[#This Row],[Transaction name]],IF(Transactions[[#This Row],[Level 3]]=Transactions[[#This Row],[L2N]],Transactions[[#This Row],[L1N]],IF(Transactions[[#This Row],[Level 3]]=Transactions[[#This Row],[L3N]],Transactions[[#This Row],[L2N]],IF(Transactions[[#This Row],[Level 3]]=Transactions[[#This Row],[L4N]],Transactions[[#This Row],[L3N]],IF(Transactions[[#This Row],[Level 3]]=Transactions[[#This Row],[L5N]],Transactions[[#This Row],[L4N]],IF(Transactions[[#This Row],[Level 3]]=Transactions[[#This Row],[L6N]],Transactions[[#This Row],[L5N]],IF(Transactions[[#This Row],[Level 3]]=Transactions[[#This Row],[L7N]],Transactions[[#This Row],[L6N]],Transactions[[#This Row],[L7N]]))))))))</f>
        <v>Electricity plants - Geothermal</v>
      </c>
      <c r="AW360" s="26" t="str">
        <f>IF(Transactions[[#This Row],[Level 4]]=Transactions[[#This Row],[Transaction name]],Transactions[[#This Row],[Transaction name]],IF(Transactions[[#This Row],[Level 4]]=Transactions[[#This Row],[L1N]],Transactions[[#This Row],[Transaction name]],IF(Transactions[[#This Row],[Level 4]]=Transactions[[#This Row],[L2N]],Transactions[[#This Row],[L1N]],IF(Transactions[[#This Row],[Level 4]]=Transactions[[#This Row],[L3N]],Transactions[[#This Row],[L2N]],IF(Transactions[[#This Row],[Level 4]]=Transactions[[#This Row],[L4N]],Transactions[[#This Row],[L3N]],IF(Transactions[[#This Row],[Level 4]]=Transactions[[#This Row],[L5N]],Transactions[[#This Row],[L4N]],IF(Transactions[[#This Row],[Level 4]]=Transactions[[#This Row],[L6N]],Transactions[[#This Row],[L5N]],IF(Transactions[[#This Row],[Level 4]]=Transactions[[#This Row],[L7N]],Transactions[[#This Row],[L6N]],Transactions[[#This Row],[L7N]]))))))))</f>
        <v>Electricity plants - Geothermal</v>
      </c>
      <c r="AX360" s="26" t="str">
        <f>IF(Transactions[[#This Row],[Level 5]]=Transactions[[#This Row],[Transaction name]],Transactions[[#This Row],[Transaction name]],IF(Transactions[[#This Row],[Level 5]]=Transactions[[#This Row],[L1N]],Transactions[[#This Row],[Transaction name]],IF(Transactions[[#This Row],[Level 5]]=Transactions[[#This Row],[L2N]],Transactions[[#This Row],[L1N]],IF(Transactions[[#This Row],[Level 5]]=Transactions[[#This Row],[L3N]],Transactions[[#This Row],[L2N]],IF(Transactions[[#This Row],[Level 5]]=Transactions[[#This Row],[L4N]],Transactions[[#This Row],[L3N]],IF(Transactions[[#This Row],[Level 5]]=Transactions[[#This Row],[L5N]],Transactions[[#This Row],[L4N]],IF(Transactions[[#This Row],[Level 5]]=Transactions[[#This Row],[L6N]],Transactions[[#This Row],[L5N]],IF(Transactions[[#This Row],[Level 5]]=Transactions[[#This Row],[L7N]],Transactions[[#This Row],[L6N]],Transactions[[#This Row],[L7N]]))))))))</f>
        <v>Electricity plants - Geothermal</v>
      </c>
      <c r="AY360" s="26" t="str">
        <f>IF(Transactions[[#This Row],[Level 6]]=Transactions[[#This Row],[Transaction name]],Transactions[[#This Row],[Transaction name]],IF(Transactions[[#This Row],[Level 6]]=Transactions[[#This Row],[L1N]],Transactions[[#This Row],[Transaction name]],IF(Transactions[[#This Row],[Level 6]]=Transactions[[#This Row],[L2N]],Transactions[[#This Row],[L1N]],IF(Transactions[[#This Row],[Level 6]]=Transactions[[#This Row],[L3N]],Transactions[[#This Row],[L2N]],IF(Transactions[[#This Row],[Level 6]]=Transactions[[#This Row],[L4N]],Transactions[[#This Row],[L3N]],IF(Transactions[[#This Row],[Level 6]]=Transactions[[#This Row],[L5N]],Transactions[[#This Row],[L4N]],IF(Transactions[[#This Row],[Level 6]]=Transactions[[#This Row],[L6N]],Transactions[[#This Row],[L5N]],IF(Transactions[[#This Row],[Level 6]]=Transactions[[#This Row],[L7N]],Transactions[[#This Row],[L6N]],Transactions[[#This Row],[L7N]]))))))))</f>
        <v>Electricity plants - Geothermal</v>
      </c>
      <c r="BE360" s="26" t="str">
        <f>_xlfn.XLOOKUP(Transformation[[#This Row],[cfrom]],Commodities[Commodity],Commodities[Commodity code])</f>
        <v>4651</v>
      </c>
      <c r="BF360" s="26" t="str">
        <f>_xlfn.XLOOKUP(Transformation[[#This Row],[tfrom]],Transactions[Transaction name],Transactions[Transaction code])</f>
        <v>014</v>
      </c>
      <c r="BG360" s="26" t="str">
        <f>_xlfn.XLOOKUP(Transformation[[#This Row],[cto]],Commodities[Commodity],Commodities[Commodity code])</f>
        <v>4651</v>
      </c>
      <c r="BH360" s="26" t="str">
        <f>_xlfn.XLOOKUP(Transformation[[#This Row],[tto]],Transactions[Transaction name],Transactions[Transaction code])</f>
        <v>087</v>
      </c>
      <c r="BI360" s="31">
        <v>1</v>
      </c>
      <c r="BJ360" s="22" t="s">
        <v>398</v>
      </c>
      <c r="BK360" s="26" t="str">
        <f>_xlfn.XLOOKUP(Transformation[[#This Row],[Commodity from]],Commodities[Commodity code],Commodities[EnergyCode])</f>
        <v>AV</v>
      </c>
      <c r="BL360" s="22" t="s">
        <v>370</v>
      </c>
      <c r="BM360" s="22" t="s">
        <v>398</v>
      </c>
      <c r="BN360" s="26" t="str">
        <f>_xlfn.XLOOKUP(Transformation[[#This Row],[Commodity to]],Commodities[Commodity code],Commodities[EnergyCode])</f>
        <v>AV</v>
      </c>
      <c r="BO360" s="22" t="s">
        <v>729</v>
      </c>
      <c r="BP360" s="22" t="s">
        <v>1688</v>
      </c>
      <c r="BQ360" s="33" t="str">
        <f>Transformation[[#This Row],[Commodity from]]&amp;Transformation[[#This Row],[Transaction from]]&amp;Transformation[[#This Row],[Commodity to]]&amp;Transformation[[#This Row],[Transaction to]]</f>
        <v>46510144651087</v>
      </c>
      <c r="BR360" s="26" t="str">
        <f>Transformation[[#This Row],[crfomid]]&amp;Transformation[[#This Row],[Transaction from]]&amp;"("&amp;Transformation[[#This Row],[Multiplier]]&amp;") -&gt; "&amp;Transformation[[#This Row],[ctoid]]&amp;Transformation[[#This Row],[Transaction to]]</f>
        <v>AV014(1) -&gt; AV087</v>
      </c>
    </row>
    <row r="361" spans="25:70" x14ac:dyDescent="0.45">
      <c r="Y361" s="5" t="s">
        <v>346</v>
      </c>
      <c r="Z361" s="7" t="s">
        <v>660</v>
      </c>
      <c r="AA361" s="4" t="s">
        <v>1313</v>
      </c>
      <c r="AB361" s="19" t="s">
        <v>1589</v>
      </c>
      <c r="AC361" s="24" t="str">
        <f>IFERROR(VLOOKUP(Transactions[[#This Row],[Parent code]],Transactions[[Transaction code]:[Transaction name]],2,0),"")</f>
        <v>Electricity plants - Geothermal</v>
      </c>
      <c r="AD361" s="4" t="s">
        <v>189</v>
      </c>
      <c r="AE361" s="4" t="s">
        <v>923</v>
      </c>
      <c r="AF361" s="4" t="s">
        <v>642</v>
      </c>
      <c r="AG361" s="4" t="s">
        <v>1</v>
      </c>
      <c r="AH361" s="4" t="s">
        <v>696</v>
      </c>
      <c r="AK361" s="24" t="str" cm="1">
        <f t="array" ref="AK361">IFERROR(INDEX(Transactions[[Transaction code]:[Transaction name]],_xlfn.XMATCH(Transactions[[#This Row],[Parent code]],Transactions[Transaction name],0),3),Transactions[[#This Row],[Transaction name]])</f>
        <v>Electricity plants - Main activity - Geothermal</v>
      </c>
      <c r="AL361" s="24" t="str" cm="1">
        <f t="array" ref="AL361">IFERROR(INDEX(Transactions[[Transaction code]:[Transaction name]],_xlfn.XMATCH(INDEX(Transactions[[Transaction name]:[Parent code]],_xlfn.XMATCH(Transactions[[#This Row],[L1N]],Transactions[Transaction name],0),3),Transactions[Transaction code],0),2),Transactions[[#This Row],[L1N]])</f>
        <v>Electricity plants - Geothermal</v>
      </c>
      <c r="AM361" s="24" t="str" cm="1">
        <f t="array" ref="AM361">IFERROR(INDEX(Transactions[[Transaction code]:[Transaction name]],_xlfn.XMATCH(INDEX(Transactions[[Transaction name]:[Parent code]],_xlfn.XMATCH(Transactions[[#This Row],[L2N]],Transactions[Transaction name],0),3),Transactions[Transaction code],0),2),Transactions[[#This Row],[L2N]])</f>
        <v>Electricity plants</v>
      </c>
      <c r="AN361" s="24" t="str" cm="1">
        <f t="array" ref="AN361">IFERROR(INDEX(Transactions[[Transaction code]:[Transaction name]],_xlfn.XMATCH(INDEX(Transactions[[Transaction name]:[Parent code]],_xlfn.XMATCH(Transactions[[#This Row],[L3N]],Transactions[Transaction name],0),3),Transactions[Transaction code],0),2),Transactions[[#This Row],[L3N]])</f>
        <v>Electricity, CHP and heat plants (T)</v>
      </c>
      <c r="AO361" s="24" t="str" cm="1">
        <f t="array" ref="AO361">IFERROR(INDEX(Transactions[[Transaction code]:[Transaction name]],_xlfn.XMATCH(INDEX(Transactions[[Transaction name]:[Parent code]],_xlfn.XMATCH(Transactions[[#This Row],[L4N]],Transactions[Transaction name],0),3),Transactions[Transaction code],0),2),Transactions[[#This Row],[L4N]])</f>
        <v>Transformation</v>
      </c>
      <c r="AP361" s="24" t="str" cm="1">
        <f t="array" ref="AP361">IFERROR(INDEX(Transactions[[Transaction code]:[Transaction name]],_xlfn.XMATCH(INDEX(Transactions[[Transaction name]:[Parent code]],_xlfn.XMATCH(Transactions[[#This Row],[L5N]],Transactions[Transaction name],0),3),Transactions[Transaction code],0),2),Transactions[[#This Row],[L5N]])</f>
        <v>Transformation</v>
      </c>
      <c r="AQ361" s="24" t="str" cm="1">
        <f t="array" ref="AQ361">IFERROR(INDEX(Transactions[[Transaction code]:[Transaction name]],_xlfn.XMATCH(INDEX(Transactions[[Transaction name]:[Parent code]],_xlfn.XMATCH(Transactions[[#This Row],[L6N]],Transactions[Transaction name],0),3),Transactions[Transaction code],0),2),Transactions[[#This Row],[L6N]])</f>
        <v>Transformation</v>
      </c>
      <c r="AR361" s="28" t="str">
        <f>IF(Transactions[[#This Row],[L7N]]=Transactions[[#This Row],[L6N]],Transactions[[#This Row],[L7N]],IF(Transactions[[#This Row],[L6N]]=Transactions[[#This Row],[L5N]],Transactions[[#This Row],[L6N]],IF(Transactions[[#This Row],[L5N]]=Transactions[[#This Row],[L4N]],Transactions[[#This Row],[L5N]],IF(Transactions[[#This Row],[L4N]]=Transactions[[#This Row],[L3N]],Transactions[[#This Row],[L4N]],IF(Transactions[[#This Row],[L3N]]=Transactions[[#This Row],[L2N]],Transactions[[#This Row],[L3N]],IF(Transactions[[#This Row],[L2N]]=Transactions[[#This Row],[L1N]],Transactions[[#This Row],[L2N]],IF(Transactions[[#This Row],[L1N]]=Transactions[[#This Row],[Transaction name]],Transactions[[#This Row],[L1N]],Transactions[[#This Row],[Transaction name]])))))))</f>
        <v>Transformation</v>
      </c>
      <c r="AS361" s="24" t="str">
        <f>IF(Transactions[[#This Row],[Level 0]]=Transactions[[#This Row],[Transaction name]],Transactions[[#This Row],[Transaction name]],IF(Transactions[[#This Row],[Level 0]]=Transactions[[#This Row],[L1N]],Transactions[[#This Row],[Transaction name]],IF(Transactions[[#This Row],[Level 0]]=Transactions[[#This Row],[L2N]],Transactions[[#This Row],[L1N]],IF(Transactions[[#This Row],[Level 0]]=Transactions[[#This Row],[L3N]],Transactions[[#This Row],[L2N]],IF(Transactions[[#This Row],[Level 0]]=Transactions[[#This Row],[L4N]],Transactions[[#This Row],[L3N]],IF(Transactions[[#This Row],[Level 0]]=Transactions[[#This Row],[L5N]],Transactions[[#This Row],[L4N]],IF(Transactions[[#This Row],[Level 0]]=Transactions[[#This Row],[L6N]],Transactions[[#This Row],[L5N]],IF(Transactions[[#This Row],[Level 0]]=Transactions[[#This Row],[L7N]],Transactions[[#This Row],[L6N]],Transactions[[#This Row],[L7N]]))))))))</f>
        <v>Electricity, CHP and heat plants (T)</v>
      </c>
      <c r="AT361" s="24" t="str">
        <f>IF(Transactions[[#This Row],[Level 1]]=Transactions[[#This Row],[Transaction name]],Transactions[[#This Row],[Transaction name]],IF(Transactions[[#This Row],[Level 1]]=Transactions[[#This Row],[L1N]],Transactions[[#This Row],[Transaction name]],IF(Transactions[[#This Row],[Level 1]]=Transactions[[#This Row],[L2N]],Transactions[[#This Row],[L1N]],IF(Transactions[[#This Row],[Level 1]]=Transactions[[#This Row],[L3N]],Transactions[[#This Row],[L2N]],IF(Transactions[[#This Row],[Level 1]]=Transactions[[#This Row],[L4N]],Transactions[[#This Row],[L3N]],IF(Transactions[[#This Row],[Level 1]]=Transactions[[#This Row],[L5N]],Transactions[[#This Row],[L4N]],IF(Transactions[[#This Row],[Level 1]]=Transactions[[#This Row],[L6N]],Transactions[[#This Row],[L5N]],IF(Transactions[[#This Row],[Level 1]]=Transactions[[#This Row],[L7N]],Transactions[[#This Row],[L6N]],Transactions[[#This Row],[L7N]]))))))))</f>
        <v>Electricity plants</v>
      </c>
      <c r="AU361" s="24" t="str">
        <f>IF(Transactions[[#This Row],[Level 2]]=Transactions[[#This Row],[Transaction name]],Transactions[[#This Row],[Transaction name]],IF(Transactions[[#This Row],[Level 2]]=Transactions[[#This Row],[L1N]],Transactions[[#This Row],[Transaction name]],IF(Transactions[[#This Row],[Level 2]]=Transactions[[#This Row],[L2N]],Transactions[[#This Row],[L1N]],IF(Transactions[[#This Row],[Level 2]]=Transactions[[#This Row],[L3N]],Transactions[[#This Row],[L2N]],IF(Transactions[[#This Row],[Level 2]]=Transactions[[#This Row],[L4N]],Transactions[[#This Row],[L3N]],IF(Transactions[[#This Row],[Level 2]]=Transactions[[#This Row],[L5N]],Transactions[[#This Row],[L4N]],IF(Transactions[[#This Row],[Level 2]]=Transactions[[#This Row],[L6N]],Transactions[[#This Row],[L5N]],IF(Transactions[[#This Row],[Level 2]]=Transactions[[#This Row],[L7N]],Transactions[[#This Row],[L6N]],Transactions[[#This Row],[L7N]]))))))))</f>
        <v>Electricity plants - Geothermal</v>
      </c>
      <c r="AV361" s="24" t="str">
        <f>IF(Transactions[[#This Row],[Level 3]]=Transactions[[#This Row],[Transaction name]],Transactions[[#This Row],[Transaction name]],IF(Transactions[[#This Row],[Level 3]]=Transactions[[#This Row],[L1N]],Transactions[[#This Row],[Transaction name]],IF(Transactions[[#This Row],[Level 3]]=Transactions[[#This Row],[L2N]],Transactions[[#This Row],[L1N]],IF(Transactions[[#This Row],[Level 3]]=Transactions[[#This Row],[L3N]],Transactions[[#This Row],[L2N]],IF(Transactions[[#This Row],[Level 3]]=Transactions[[#This Row],[L4N]],Transactions[[#This Row],[L3N]],IF(Transactions[[#This Row],[Level 3]]=Transactions[[#This Row],[L5N]],Transactions[[#This Row],[L4N]],IF(Transactions[[#This Row],[Level 3]]=Transactions[[#This Row],[L6N]],Transactions[[#This Row],[L5N]],IF(Transactions[[#This Row],[Level 3]]=Transactions[[#This Row],[L7N]],Transactions[[#This Row],[L6N]],Transactions[[#This Row],[L7N]]))))))))</f>
        <v>Electricity plants - Main activity - Geothermal</v>
      </c>
      <c r="AW361" s="24" t="str">
        <f>IF(Transactions[[#This Row],[Level 4]]=Transactions[[#This Row],[Transaction name]],Transactions[[#This Row],[Transaction name]],IF(Transactions[[#This Row],[Level 4]]=Transactions[[#This Row],[L1N]],Transactions[[#This Row],[Transaction name]],IF(Transactions[[#This Row],[Level 4]]=Transactions[[#This Row],[L2N]],Transactions[[#This Row],[L1N]],IF(Transactions[[#This Row],[Level 4]]=Transactions[[#This Row],[L3N]],Transactions[[#This Row],[L2N]],IF(Transactions[[#This Row],[Level 4]]=Transactions[[#This Row],[L4N]],Transactions[[#This Row],[L3N]],IF(Transactions[[#This Row],[Level 4]]=Transactions[[#This Row],[L5N]],Transactions[[#This Row],[L4N]],IF(Transactions[[#This Row],[Level 4]]=Transactions[[#This Row],[L6N]],Transactions[[#This Row],[L5N]],IF(Transactions[[#This Row],[Level 4]]=Transactions[[#This Row],[L7N]],Transactions[[#This Row],[L6N]],Transactions[[#This Row],[L7N]]))))))))</f>
        <v>Electricity plants - Main activity - Geothermal</v>
      </c>
      <c r="AX361" s="24" t="str">
        <f>IF(Transactions[[#This Row],[Level 5]]=Transactions[[#This Row],[Transaction name]],Transactions[[#This Row],[Transaction name]],IF(Transactions[[#This Row],[Level 5]]=Transactions[[#This Row],[L1N]],Transactions[[#This Row],[Transaction name]],IF(Transactions[[#This Row],[Level 5]]=Transactions[[#This Row],[L2N]],Transactions[[#This Row],[L1N]],IF(Transactions[[#This Row],[Level 5]]=Transactions[[#This Row],[L3N]],Transactions[[#This Row],[L2N]],IF(Transactions[[#This Row],[Level 5]]=Transactions[[#This Row],[L4N]],Transactions[[#This Row],[L3N]],IF(Transactions[[#This Row],[Level 5]]=Transactions[[#This Row],[L5N]],Transactions[[#This Row],[L4N]],IF(Transactions[[#This Row],[Level 5]]=Transactions[[#This Row],[L6N]],Transactions[[#This Row],[L5N]],IF(Transactions[[#This Row],[Level 5]]=Transactions[[#This Row],[L7N]],Transactions[[#This Row],[L6N]],Transactions[[#This Row],[L7N]]))))))))</f>
        <v>Electricity plants - Main activity - Geothermal</v>
      </c>
      <c r="AY361" s="24" t="str">
        <f>IF(Transactions[[#This Row],[Level 6]]=Transactions[[#This Row],[Transaction name]],Transactions[[#This Row],[Transaction name]],IF(Transactions[[#This Row],[Level 6]]=Transactions[[#This Row],[L1N]],Transactions[[#This Row],[Transaction name]],IF(Transactions[[#This Row],[Level 6]]=Transactions[[#This Row],[L2N]],Transactions[[#This Row],[L1N]],IF(Transactions[[#This Row],[Level 6]]=Transactions[[#This Row],[L3N]],Transactions[[#This Row],[L2N]],IF(Transactions[[#This Row],[Level 6]]=Transactions[[#This Row],[L4N]],Transactions[[#This Row],[L3N]],IF(Transactions[[#This Row],[Level 6]]=Transactions[[#This Row],[L5N]],Transactions[[#This Row],[L4N]],IF(Transactions[[#This Row],[Level 6]]=Transactions[[#This Row],[L6N]],Transactions[[#This Row],[L5N]],IF(Transactions[[#This Row],[Level 6]]=Transactions[[#This Row],[L7N]],Transactions[[#This Row],[L6N]],Transactions[[#This Row],[L7N]]))))))))</f>
        <v>Electricity plants - Main activity - Geothermal</v>
      </c>
      <c r="BE361" s="26" t="str">
        <f>_xlfn.XLOOKUP(Transformation[[#This Row],[cfrom]],Commodities[Commodity],Commodities[Commodity code])</f>
        <v>4651</v>
      </c>
      <c r="BF361" s="26" t="str">
        <f>_xlfn.XLOOKUP(Transformation[[#This Row],[tfrom]],Transactions[Transaction name],Transactions[Transaction code])</f>
        <v>014</v>
      </c>
      <c r="BG361" s="26" t="str">
        <f>_xlfn.XLOOKUP(Transformation[[#This Row],[cto]],Commodities[Commodity],Commodities[Commodity code])</f>
        <v>4651</v>
      </c>
      <c r="BH361" s="26" t="str">
        <f>_xlfn.XLOOKUP(Transformation[[#This Row],[tto]],Transactions[Transaction name],Transactions[Transaction code])</f>
        <v>014</v>
      </c>
      <c r="BI361" s="31">
        <v>-1</v>
      </c>
      <c r="BJ361" s="22" t="s">
        <v>398</v>
      </c>
      <c r="BK361" s="26" t="str">
        <f>_xlfn.XLOOKUP(Transformation[[#This Row],[Commodity from]],Commodities[Commodity code],Commodities[EnergyCode])</f>
        <v>AV</v>
      </c>
      <c r="BL361" s="22" t="s">
        <v>370</v>
      </c>
      <c r="BM361" s="22" t="s">
        <v>398</v>
      </c>
      <c r="BN361" s="26" t="str">
        <f>_xlfn.XLOOKUP(Transformation[[#This Row],[Commodity to]],Commodities[Commodity code],Commodities[EnergyCode])</f>
        <v>AV</v>
      </c>
      <c r="BO361" s="22" t="s">
        <v>370</v>
      </c>
      <c r="BP361" s="22" t="s">
        <v>1689</v>
      </c>
      <c r="BQ361" s="33" t="str">
        <f>Transformation[[#This Row],[Commodity from]]&amp;Transformation[[#This Row],[Transaction from]]&amp;Transformation[[#This Row],[Commodity to]]&amp;Transformation[[#This Row],[Transaction to]]</f>
        <v>46510144651014</v>
      </c>
      <c r="BR361" s="26" t="str">
        <f>Transformation[[#This Row],[crfomid]]&amp;Transformation[[#This Row],[Transaction from]]&amp;"("&amp;Transformation[[#This Row],[Multiplier]]&amp;") -&gt; "&amp;Transformation[[#This Row],[ctoid]]&amp;Transformation[[#This Row],[Transaction to]]</f>
        <v>AV014(-1) -&gt; AV014</v>
      </c>
    </row>
    <row r="362" spans="25:70" x14ac:dyDescent="0.45">
      <c r="Y362" s="5" t="s">
        <v>1247</v>
      </c>
      <c r="Z362" s="7" t="s">
        <v>1190</v>
      </c>
      <c r="AA362" s="4" t="s">
        <v>1380</v>
      </c>
      <c r="AB362" s="19" t="s">
        <v>1591</v>
      </c>
      <c r="AC362" s="24" t="str">
        <f>IFERROR(VLOOKUP(Transactions[[#This Row],[Parent code]],Transactions[[Transaction code]:[Transaction name]],2,0),"")</f>
        <v>Electricity plants - hard coal</v>
      </c>
      <c r="AD362" s="4" t="s">
        <v>189</v>
      </c>
      <c r="AE362" s="4" t="s">
        <v>923</v>
      </c>
      <c r="AF362" s="4" t="s">
        <v>642</v>
      </c>
      <c r="AG362" s="4" t="s">
        <v>1</v>
      </c>
      <c r="AH362" s="4" t="s">
        <v>696</v>
      </c>
      <c r="AI362" s="12" t="s">
        <v>1416</v>
      </c>
      <c r="AK362" s="24" t="str" cm="1">
        <f t="array" ref="AK362">IFERROR(INDEX(Transactions[[Transaction code]:[Transaction name]],_xlfn.XMATCH(Transactions[[#This Row],[Parent code]],Transactions[Transaction name],0),3),Transactions[[#This Row],[Transaction name]])</f>
        <v>Electricity plants - Autoproducer - hard coal</v>
      </c>
      <c r="AL362" s="24" t="str" cm="1">
        <f t="array" ref="AL362">IFERROR(INDEX(Transactions[[Transaction code]:[Transaction name]],_xlfn.XMATCH(INDEX(Transactions[[Transaction name]:[Parent code]],_xlfn.XMATCH(Transactions[[#This Row],[L1N]],Transactions[Transaction name],0),3),Transactions[Transaction code],0),2),Transactions[[#This Row],[L1N]])</f>
        <v>Electricity plants - hard coal</v>
      </c>
      <c r="AM362" s="24" t="str" cm="1">
        <f t="array" ref="AM362">IFERROR(INDEX(Transactions[[Transaction code]:[Transaction name]],_xlfn.XMATCH(INDEX(Transactions[[Transaction name]:[Parent code]],_xlfn.XMATCH(Transactions[[#This Row],[L2N]],Transactions[Transaction name],0),3),Transactions[Transaction code],0),2),Transactions[[#This Row],[L2N]])</f>
        <v>Electricity plants</v>
      </c>
      <c r="AN362" s="24" t="str" cm="1">
        <f t="array" ref="AN362">IFERROR(INDEX(Transactions[[Transaction code]:[Transaction name]],_xlfn.XMATCH(INDEX(Transactions[[Transaction name]:[Parent code]],_xlfn.XMATCH(Transactions[[#This Row],[L3N]],Transactions[Transaction name],0),3),Transactions[Transaction code],0),2),Transactions[[#This Row],[L3N]])</f>
        <v>Electricity, CHP and heat plants (T)</v>
      </c>
      <c r="AO362" s="24" t="str" cm="1">
        <f t="array" ref="AO362">IFERROR(INDEX(Transactions[[Transaction code]:[Transaction name]],_xlfn.XMATCH(INDEX(Transactions[[Transaction name]:[Parent code]],_xlfn.XMATCH(Transactions[[#This Row],[L4N]],Transactions[Transaction name],0),3),Transactions[Transaction code],0),2),Transactions[[#This Row],[L4N]])</f>
        <v>Transformation</v>
      </c>
      <c r="AP362" s="24" t="str" cm="1">
        <f t="array" ref="AP362">IFERROR(INDEX(Transactions[[Transaction code]:[Transaction name]],_xlfn.XMATCH(INDEX(Transactions[[Transaction name]:[Parent code]],_xlfn.XMATCH(Transactions[[#This Row],[L5N]],Transactions[Transaction name],0),3),Transactions[Transaction code],0),2),Transactions[[#This Row],[L5N]])</f>
        <v>Transformation</v>
      </c>
      <c r="AQ362" s="24" t="str" cm="1">
        <f t="array" ref="AQ362">IFERROR(INDEX(Transactions[[Transaction code]:[Transaction name]],_xlfn.XMATCH(INDEX(Transactions[[Transaction name]:[Parent code]],_xlfn.XMATCH(Transactions[[#This Row],[L6N]],Transactions[Transaction name],0),3),Transactions[Transaction code],0),2),Transactions[[#This Row],[L6N]])</f>
        <v>Transformation</v>
      </c>
      <c r="AR362" s="27" t="str">
        <f>IF(Transactions[[#This Row],[L7N]]=Transactions[[#This Row],[L6N]],Transactions[[#This Row],[L7N]],IF(Transactions[[#This Row],[L6N]]=Transactions[[#This Row],[L5N]],Transactions[[#This Row],[L6N]],IF(Transactions[[#This Row],[L5N]]=Transactions[[#This Row],[L4N]],Transactions[[#This Row],[L5N]],IF(Transactions[[#This Row],[L4N]]=Transactions[[#This Row],[L3N]],Transactions[[#This Row],[L4N]],IF(Transactions[[#This Row],[L3N]]=Transactions[[#This Row],[L2N]],Transactions[[#This Row],[L3N]],IF(Transactions[[#This Row],[L2N]]=Transactions[[#This Row],[L1N]],Transactions[[#This Row],[L2N]],IF(Transactions[[#This Row],[L1N]]=Transactions[[#This Row],[Transaction name]],Transactions[[#This Row],[L1N]],Transactions[[#This Row],[Transaction name]])))))))</f>
        <v>Transformation</v>
      </c>
      <c r="AS362" s="24" t="str">
        <f>IF(Transactions[[#This Row],[Level 0]]=Transactions[[#This Row],[Transaction name]],Transactions[[#This Row],[Transaction name]],IF(Transactions[[#This Row],[Level 0]]=Transactions[[#This Row],[L1N]],Transactions[[#This Row],[Transaction name]],IF(Transactions[[#This Row],[Level 0]]=Transactions[[#This Row],[L2N]],Transactions[[#This Row],[L1N]],IF(Transactions[[#This Row],[Level 0]]=Transactions[[#This Row],[L3N]],Transactions[[#This Row],[L2N]],IF(Transactions[[#This Row],[Level 0]]=Transactions[[#This Row],[L4N]],Transactions[[#This Row],[L3N]],IF(Transactions[[#This Row],[Level 0]]=Transactions[[#This Row],[L5N]],Transactions[[#This Row],[L4N]],IF(Transactions[[#This Row],[Level 0]]=Transactions[[#This Row],[L6N]],Transactions[[#This Row],[L5N]],IF(Transactions[[#This Row],[Level 0]]=Transactions[[#This Row],[L7N]],Transactions[[#This Row],[L6N]],Transactions[[#This Row],[L7N]]))))))))</f>
        <v>Electricity, CHP and heat plants (T)</v>
      </c>
      <c r="AT362" s="24" t="str">
        <f>IF(Transactions[[#This Row],[Level 1]]=Transactions[[#This Row],[Transaction name]],Transactions[[#This Row],[Transaction name]],IF(Transactions[[#This Row],[Level 1]]=Transactions[[#This Row],[L1N]],Transactions[[#This Row],[Transaction name]],IF(Transactions[[#This Row],[Level 1]]=Transactions[[#This Row],[L2N]],Transactions[[#This Row],[L1N]],IF(Transactions[[#This Row],[Level 1]]=Transactions[[#This Row],[L3N]],Transactions[[#This Row],[L2N]],IF(Transactions[[#This Row],[Level 1]]=Transactions[[#This Row],[L4N]],Transactions[[#This Row],[L3N]],IF(Transactions[[#This Row],[Level 1]]=Transactions[[#This Row],[L5N]],Transactions[[#This Row],[L4N]],IF(Transactions[[#This Row],[Level 1]]=Transactions[[#This Row],[L6N]],Transactions[[#This Row],[L5N]],IF(Transactions[[#This Row],[Level 1]]=Transactions[[#This Row],[L7N]],Transactions[[#This Row],[L6N]],Transactions[[#This Row],[L7N]]))))))))</f>
        <v>Electricity plants</v>
      </c>
      <c r="AU362" s="24" t="str">
        <f>IF(Transactions[[#This Row],[Level 2]]=Transactions[[#This Row],[Transaction name]],Transactions[[#This Row],[Transaction name]],IF(Transactions[[#This Row],[Level 2]]=Transactions[[#This Row],[L1N]],Transactions[[#This Row],[Transaction name]],IF(Transactions[[#This Row],[Level 2]]=Transactions[[#This Row],[L2N]],Transactions[[#This Row],[L1N]],IF(Transactions[[#This Row],[Level 2]]=Transactions[[#This Row],[L3N]],Transactions[[#This Row],[L2N]],IF(Transactions[[#This Row],[Level 2]]=Transactions[[#This Row],[L4N]],Transactions[[#This Row],[L3N]],IF(Transactions[[#This Row],[Level 2]]=Transactions[[#This Row],[L5N]],Transactions[[#This Row],[L4N]],IF(Transactions[[#This Row],[Level 2]]=Transactions[[#This Row],[L6N]],Transactions[[#This Row],[L5N]],IF(Transactions[[#This Row],[Level 2]]=Transactions[[#This Row],[L7N]],Transactions[[#This Row],[L6N]],Transactions[[#This Row],[L7N]]))))))))</f>
        <v>Electricity plants - hard coal</v>
      </c>
      <c r="AV362" s="24" t="str">
        <f>IF(Transactions[[#This Row],[Level 3]]=Transactions[[#This Row],[Transaction name]],Transactions[[#This Row],[Transaction name]],IF(Transactions[[#This Row],[Level 3]]=Transactions[[#This Row],[L1N]],Transactions[[#This Row],[Transaction name]],IF(Transactions[[#This Row],[Level 3]]=Transactions[[#This Row],[L2N]],Transactions[[#This Row],[L1N]],IF(Transactions[[#This Row],[Level 3]]=Transactions[[#This Row],[L3N]],Transactions[[#This Row],[L2N]],IF(Transactions[[#This Row],[Level 3]]=Transactions[[#This Row],[L4N]],Transactions[[#This Row],[L3N]],IF(Transactions[[#This Row],[Level 3]]=Transactions[[#This Row],[L5N]],Transactions[[#This Row],[L4N]],IF(Transactions[[#This Row],[Level 3]]=Transactions[[#This Row],[L6N]],Transactions[[#This Row],[L5N]],IF(Transactions[[#This Row],[Level 3]]=Transactions[[#This Row],[L7N]],Transactions[[#This Row],[L6N]],Transactions[[#This Row],[L7N]]))))))))</f>
        <v>Electricity plants - Autoproducer - hard coal</v>
      </c>
      <c r="AW362" s="24" t="str">
        <f>IF(Transactions[[#This Row],[Level 4]]=Transactions[[#This Row],[Transaction name]],Transactions[[#This Row],[Transaction name]],IF(Transactions[[#This Row],[Level 4]]=Transactions[[#This Row],[L1N]],Transactions[[#This Row],[Transaction name]],IF(Transactions[[#This Row],[Level 4]]=Transactions[[#This Row],[L2N]],Transactions[[#This Row],[L1N]],IF(Transactions[[#This Row],[Level 4]]=Transactions[[#This Row],[L3N]],Transactions[[#This Row],[L2N]],IF(Transactions[[#This Row],[Level 4]]=Transactions[[#This Row],[L4N]],Transactions[[#This Row],[L3N]],IF(Transactions[[#This Row],[Level 4]]=Transactions[[#This Row],[L5N]],Transactions[[#This Row],[L4N]],IF(Transactions[[#This Row],[Level 4]]=Transactions[[#This Row],[L6N]],Transactions[[#This Row],[L5N]],IF(Transactions[[#This Row],[Level 4]]=Transactions[[#This Row],[L7N]],Transactions[[#This Row],[L6N]],Transactions[[#This Row],[L7N]]))))))))</f>
        <v>Electricity plants - Autoproducer - hard coal</v>
      </c>
      <c r="AX362" s="24" t="str">
        <f>IF(Transactions[[#This Row],[Level 5]]=Transactions[[#This Row],[Transaction name]],Transactions[[#This Row],[Transaction name]],IF(Transactions[[#This Row],[Level 5]]=Transactions[[#This Row],[L1N]],Transactions[[#This Row],[Transaction name]],IF(Transactions[[#This Row],[Level 5]]=Transactions[[#This Row],[L2N]],Transactions[[#This Row],[L1N]],IF(Transactions[[#This Row],[Level 5]]=Transactions[[#This Row],[L3N]],Transactions[[#This Row],[L2N]],IF(Transactions[[#This Row],[Level 5]]=Transactions[[#This Row],[L4N]],Transactions[[#This Row],[L3N]],IF(Transactions[[#This Row],[Level 5]]=Transactions[[#This Row],[L5N]],Transactions[[#This Row],[L4N]],IF(Transactions[[#This Row],[Level 5]]=Transactions[[#This Row],[L6N]],Transactions[[#This Row],[L5N]],IF(Transactions[[#This Row],[Level 5]]=Transactions[[#This Row],[L7N]],Transactions[[#This Row],[L6N]],Transactions[[#This Row],[L7N]]))))))))</f>
        <v>Electricity plants - Autoproducer - hard coal</v>
      </c>
      <c r="AY362" s="24" t="str">
        <f>IF(Transactions[[#This Row],[Level 6]]=Transactions[[#This Row],[Transaction name]],Transactions[[#This Row],[Transaction name]],IF(Transactions[[#This Row],[Level 6]]=Transactions[[#This Row],[L1N]],Transactions[[#This Row],[Transaction name]],IF(Transactions[[#This Row],[Level 6]]=Transactions[[#This Row],[L2N]],Transactions[[#This Row],[L1N]],IF(Transactions[[#This Row],[Level 6]]=Transactions[[#This Row],[L3N]],Transactions[[#This Row],[L2N]],IF(Transactions[[#This Row],[Level 6]]=Transactions[[#This Row],[L4N]],Transactions[[#This Row],[L3N]],IF(Transactions[[#This Row],[Level 6]]=Transactions[[#This Row],[L5N]],Transactions[[#This Row],[L4N]],IF(Transactions[[#This Row],[Level 6]]=Transactions[[#This Row],[L6N]],Transactions[[#This Row],[L5N]],IF(Transactions[[#This Row],[Level 6]]=Transactions[[#This Row],[L7N]],Transactions[[#This Row],[L6N]],Transactions[[#This Row],[L7N]]))))))))</f>
        <v>Electricity plants - Autoproducer - hard coal</v>
      </c>
      <c r="BE362" s="26" t="str">
        <f>_xlfn.XLOOKUP(Transformation[[#This Row],[cfrom]],Commodities[Commodity],Commodities[Commodity code])</f>
        <v>4695</v>
      </c>
      <c r="BF362" s="26" t="str">
        <f>_xlfn.XLOOKUP(Transformation[[#This Row],[tfrom]],Transactions[Transaction name],Transactions[Transaction code])</f>
        <v>014</v>
      </c>
      <c r="BG362" s="26" t="str">
        <f>_xlfn.XLOOKUP(Transformation[[#This Row],[cto]],Commodities[Commodity],Commodities[Commodity code])</f>
        <v>4695</v>
      </c>
      <c r="BH362" s="26" t="str">
        <f>_xlfn.XLOOKUP(Transformation[[#This Row],[tto]],Transactions[Transaction name],Transactions[Transaction code])</f>
        <v>087</v>
      </c>
      <c r="BI362" s="31">
        <v>1</v>
      </c>
      <c r="BJ362" s="22" t="s">
        <v>351</v>
      </c>
      <c r="BK362" s="26" t="str">
        <f>_xlfn.XLOOKUP(Transformation[[#This Row],[Commodity from]],Commodities[Commodity code],Commodities[EnergyCode])</f>
        <v>BT</v>
      </c>
      <c r="BL362" s="22" t="s">
        <v>370</v>
      </c>
      <c r="BM362" s="22" t="s">
        <v>351</v>
      </c>
      <c r="BN362" s="26" t="str">
        <f>_xlfn.XLOOKUP(Transformation[[#This Row],[Commodity to]],Commodities[Commodity code],Commodities[EnergyCode])</f>
        <v>BT</v>
      </c>
      <c r="BO362" s="22" t="s">
        <v>729</v>
      </c>
      <c r="BP362" s="22" t="s">
        <v>1688</v>
      </c>
      <c r="BQ362" s="33" t="str">
        <f>Transformation[[#This Row],[Commodity from]]&amp;Transformation[[#This Row],[Transaction from]]&amp;Transformation[[#This Row],[Commodity to]]&amp;Transformation[[#This Row],[Transaction to]]</f>
        <v>46950144695087</v>
      </c>
      <c r="BR362" s="26" t="str">
        <f>Transformation[[#This Row],[crfomid]]&amp;Transformation[[#This Row],[Transaction from]]&amp;"("&amp;Transformation[[#This Row],[Multiplier]]&amp;") -&gt; "&amp;Transformation[[#This Row],[ctoid]]&amp;Transformation[[#This Row],[Transaction to]]</f>
        <v>BT014(1) -&gt; BT087</v>
      </c>
    </row>
    <row r="363" spans="25:70" x14ac:dyDescent="0.45">
      <c r="Y363" s="19" t="s">
        <v>1591</v>
      </c>
      <c r="Z363" s="18" t="s">
        <v>1380</v>
      </c>
      <c r="AA363" s="18" t="s">
        <v>1380</v>
      </c>
      <c r="AB363" s="19" t="s">
        <v>1600</v>
      </c>
      <c r="AC363" s="26" t="str">
        <f>IFERROR(VLOOKUP(Transactions[[#This Row],[Parent code]],Transactions[[Transaction code]:[Transaction name]],2,0),"")</f>
        <v>Electricity plants</v>
      </c>
      <c r="AD363" s="18" t="s">
        <v>189</v>
      </c>
      <c r="AE363" s="18" t="s">
        <v>923</v>
      </c>
      <c r="AF363" s="18" t="s">
        <v>642</v>
      </c>
      <c r="AG363" s="18" t="s">
        <v>1</v>
      </c>
      <c r="AH363" s="18" t="s">
        <v>696</v>
      </c>
      <c r="AI363" s="18" t="s">
        <v>1416</v>
      </c>
      <c r="AJ363" s="18"/>
      <c r="AK363" s="26" t="str" cm="1">
        <f t="array" ref="AK363">IFERROR(INDEX(Transactions[[Transaction code]:[Transaction name]],_xlfn.XMATCH(Transactions[[#This Row],[Parent code]],Transactions[Transaction name],0),3),Transactions[[#This Row],[Transaction name]])</f>
        <v>Electricity plants - hard coal</v>
      </c>
      <c r="AL363" s="26" t="str" cm="1">
        <f t="array" ref="AL363">IFERROR(INDEX(Transactions[[Transaction code]:[Transaction name]],_xlfn.XMATCH(INDEX(Transactions[[Transaction name]:[Parent code]],_xlfn.XMATCH(Transactions[[#This Row],[L1N]],Transactions[Transaction name],0),3),Transactions[Transaction code],0),2),Transactions[[#This Row],[L1N]])</f>
        <v>Electricity plants</v>
      </c>
      <c r="AM363" s="26" t="str" cm="1">
        <f t="array" ref="AM363">IFERROR(INDEX(Transactions[[Transaction code]:[Transaction name]],_xlfn.XMATCH(INDEX(Transactions[[Transaction name]:[Parent code]],_xlfn.XMATCH(Transactions[[#This Row],[L2N]],Transactions[Transaction name],0),3),Transactions[Transaction code],0),2),Transactions[[#This Row],[L2N]])</f>
        <v>Electricity, CHP and heat plants (T)</v>
      </c>
      <c r="AN363" s="26" t="str" cm="1">
        <f t="array" ref="AN363">IFERROR(INDEX(Transactions[[Transaction code]:[Transaction name]],_xlfn.XMATCH(INDEX(Transactions[[Transaction name]:[Parent code]],_xlfn.XMATCH(Transactions[[#This Row],[L3N]],Transactions[Transaction name],0),3),Transactions[Transaction code],0),2),Transactions[[#This Row],[L3N]])</f>
        <v>Transformation</v>
      </c>
      <c r="AO363" s="26" t="str" cm="1">
        <f t="array" ref="AO363">IFERROR(INDEX(Transactions[[Transaction code]:[Transaction name]],_xlfn.XMATCH(INDEX(Transactions[[Transaction name]:[Parent code]],_xlfn.XMATCH(Transactions[[#This Row],[L4N]],Transactions[Transaction name],0),3),Transactions[Transaction code],0),2),Transactions[[#This Row],[L4N]])</f>
        <v>Transformation</v>
      </c>
      <c r="AP363" s="26" t="str" cm="1">
        <f t="array" ref="AP363">IFERROR(INDEX(Transactions[[Transaction code]:[Transaction name]],_xlfn.XMATCH(INDEX(Transactions[[Transaction name]:[Parent code]],_xlfn.XMATCH(Transactions[[#This Row],[L5N]],Transactions[Transaction name],0),3),Transactions[Transaction code],0),2),Transactions[[#This Row],[L5N]])</f>
        <v>Transformation</v>
      </c>
      <c r="AQ363" s="26" t="str" cm="1">
        <f t="array" ref="AQ363">IFERROR(INDEX(Transactions[[Transaction code]:[Transaction name]],_xlfn.XMATCH(INDEX(Transactions[[Transaction name]:[Parent code]],_xlfn.XMATCH(Transactions[[#This Row],[L6N]],Transactions[Transaction name],0),3),Transactions[Transaction code],0),2),Transactions[[#This Row],[L6N]])</f>
        <v>Transformation</v>
      </c>
      <c r="AR363" s="30" t="str">
        <f>IF(Transactions[[#This Row],[L7N]]=Transactions[[#This Row],[L6N]],Transactions[[#This Row],[L7N]],IF(Transactions[[#This Row],[L6N]]=Transactions[[#This Row],[L5N]],Transactions[[#This Row],[L6N]],IF(Transactions[[#This Row],[L5N]]=Transactions[[#This Row],[L4N]],Transactions[[#This Row],[L5N]],IF(Transactions[[#This Row],[L4N]]=Transactions[[#This Row],[L3N]],Transactions[[#This Row],[L4N]],IF(Transactions[[#This Row],[L3N]]=Transactions[[#This Row],[L2N]],Transactions[[#This Row],[L3N]],IF(Transactions[[#This Row],[L2N]]=Transactions[[#This Row],[L1N]],Transactions[[#This Row],[L2N]],IF(Transactions[[#This Row],[L1N]]=Transactions[[#This Row],[Transaction name]],Transactions[[#This Row],[L1N]],Transactions[[#This Row],[Transaction name]])))))))</f>
        <v>Transformation</v>
      </c>
      <c r="AS363" s="26" t="str">
        <f>IF(Transactions[[#This Row],[Level 0]]=Transactions[[#This Row],[Transaction name]],Transactions[[#This Row],[Transaction name]],IF(Transactions[[#This Row],[Level 0]]=Transactions[[#This Row],[L1N]],Transactions[[#This Row],[Transaction name]],IF(Transactions[[#This Row],[Level 0]]=Transactions[[#This Row],[L2N]],Transactions[[#This Row],[L1N]],IF(Transactions[[#This Row],[Level 0]]=Transactions[[#This Row],[L3N]],Transactions[[#This Row],[L2N]],IF(Transactions[[#This Row],[Level 0]]=Transactions[[#This Row],[L4N]],Transactions[[#This Row],[L3N]],IF(Transactions[[#This Row],[Level 0]]=Transactions[[#This Row],[L5N]],Transactions[[#This Row],[L4N]],IF(Transactions[[#This Row],[Level 0]]=Transactions[[#This Row],[L6N]],Transactions[[#This Row],[L5N]],IF(Transactions[[#This Row],[Level 0]]=Transactions[[#This Row],[L7N]],Transactions[[#This Row],[L6N]],Transactions[[#This Row],[L7N]]))))))))</f>
        <v>Electricity, CHP and heat plants (T)</v>
      </c>
      <c r="AT363" s="26" t="str">
        <f>IF(Transactions[[#This Row],[Level 1]]=Transactions[[#This Row],[Transaction name]],Transactions[[#This Row],[Transaction name]],IF(Transactions[[#This Row],[Level 1]]=Transactions[[#This Row],[L1N]],Transactions[[#This Row],[Transaction name]],IF(Transactions[[#This Row],[Level 1]]=Transactions[[#This Row],[L2N]],Transactions[[#This Row],[L1N]],IF(Transactions[[#This Row],[Level 1]]=Transactions[[#This Row],[L3N]],Transactions[[#This Row],[L2N]],IF(Transactions[[#This Row],[Level 1]]=Transactions[[#This Row],[L4N]],Transactions[[#This Row],[L3N]],IF(Transactions[[#This Row],[Level 1]]=Transactions[[#This Row],[L5N]],Transactions[[#This Row],[L4N]],IF(Transactions[[#This Row],[Level 1]]=Transactions[[#This Row],[L6N]],Transactions[[#This Row],[L5N]],IF(Transactions[[#This Row],[Level 1]]=Transactions[[#This Row],[L7N]],Transactions[[#This Row],[L6N]],Transactions[[#This Row],[L7N]]))))))))</f>
        <v>Electricity plants</v>
      </c>
      <c r="AU363" s="26" t="str">
        <f>IF(Transactions[[#This Row],[Level 2]]=Transactions[[#This Row],[Transaction name]],Transactions[[#This Row],[Transaction name]],IF(Transactions[[#This Row],[Level 2]]=Transactions[[#This Row],[L1N]],Transactions[[#This Row],[Transaction name]],IF(Transactions[[#This Row],[Level 2]]=Transactions[[#This Row],[L2N]],Transactions[[#This Row],[L1N]],IF(Transactions[[#This Row],[Level 2]]=Transactions[[#This Row],[L3N]],Transactions[[#This Row],[L2N]],IF(Transactions[[#This Row],[Level 2]]=Transactions[[#This Row],[L4N]],Transactions[[#This Row],[L3N]],IF(Transactions[[#This Row],[Level 2]]=Transactions[[#This Row],[L5N]],Transactions[[#This Row],[L4N]],IF(Transactions[[#This Row],[Level 2]]=Transactions[[#This Row],[L6N]],Transactions[[#This Row],[L5N]],IF(Transactions[[#This Row],[Level 2]]=Transactions[[#This Row],[L7N]],Transactions[[#This Row],[L6N]],Transactions[[#This Row],[L7N]]))))))))</f>
        <v>Electricity plants - hard coal</v>
      </c>
      <c r="AV363" s="26" t="str">
        <f>IF(Transactions[[#This Row],[Level 3]]=Transactions[[#This Row],[Transaction name]],Transactions[[#This Row],[Transaction name]],IF(Transactions[[#This Row],[Level 3]]=Transactions[[#This Row],[L1N]],Transactions[[#This Row],[Transaction name]],IF(Transactions[[#This Row],[Level 3]]=Transactions[[#This Row],[L2N]],Transactions[[#This Row],[L1N]],IF(Transactions[[#This Row],[Level 3]]=Transactions[[#This Row],[L3N]],Transactions[[#This Row],[L2N]],IF(Transactions[[#This Row],[Level 3]]=Transactions[[#This Row],[L4N]],Transactions[[#This Row],[L3N]],IF(Transactions[[#This Row],[Level 3]]=Transactions[[#This Row],[L5N]],Transactions[[#This Row],[L4N]],IF(Transactions[[#This Row],[Level 3]]=Transactions[[#This Row],[L6N]],Transactions[[#This Row],[L5N]],IF(Transactions[[#This Row],[Level 3]]=Transactions[[#This Row],[L7N]],Transactions[[#This Row],[L6N]],Transactions[[#This Row],[L7N]]))))))))</f>
        <v>Electricity plants - hard coal</v>
      </c>
      <c r="AW363" s="26" t="str">
        <f>IF(Transactions[[#This Row],[Level 4]]=Transactions[[#This Row],[Transaction name]],Transactions[[#This Row],[Transaction name]],IF(Transactions[[#This Row],[Level 4]]=Transactions[[#This Row],[L1N]],Transactions[[#This Row],[Transaction name]],IF(Transactions[[#This Row],[Level 4]]=Transactions[[#This Row],[L2N]],Transactions[[#This Row],[L1N]],IF(Transactions[[#This Row],[Level 4]]=Transactions[[#This Row],[L3N]],Transactions[[#This Row],[L2N]],IF(Transactions[[#This Row],[Level 4]]=Transactions[[#This Row],[L4N]],Transactions[[#This Row],[L3N]],IF(Transactions[[#This Row],[Level 4]]=Transactions[[#This Row],[L5N]],Transactions[[#This Row],[L4N]],IF(Transactions[[#This Row],[Level 4]]=Transactions[[#This Row],[L6N]],Transactions[[#This Row],[L5N]],IF(Transactions[[#This Row],[Level 4]]=Transactions[[#This Row],[L7N]],Transactions[[#This Row],[L6N]],Transactions[[#This Row],[L7N]]))))))))</f>
        <v>Electricity plants - hard coal</v>
      </c>
      <c r="AX363" s="26" t="str">
        <f>IF(Transactions[[#This Row],[Level 5]]=Transactions[[#This Row],[Transaction name]],Transactions[[#This Row],[Transaction name]],IF(Transactions[[#This Row],[Level 5]]=Transactions[[#This Row],[L1N]],Transactions[[#This Row],[Transaction name]],IF(Transactions[[#This Row],[Level 5]]=Transactions[[#This Row],[L2N]],Transactions[[#This Row],[L1N]],IF(Transactions[[#This Row],[Level 5]]=Transactions[[#This Row],[L3N]],Transactions[[#This Row],[L2N]],IF(Transactions[[#This Row],[Level 5]]=Transactions[[#This Row],[L4N]],Transactions[[#This Row],[L3N]],IF(Transactions[[#This Row],[Level 5]]=Transactions[[#This Row],[L5N]],Transactions[[#This Row],[L4N]],IF(Transactions[[#This Row],[Level 5]]=Transactions[[#This Row],[L6N]],Transactions[[#This Row],[L5N]],IF(Transactions[[#This Row],[Level 5]]=Transactions[[#This Row],[L7N]],Transactions[[#This Row],[L6N]],Transactions[[#This Row],[L7N]]))))))))</f>
        <v>Electricity plants - hard coal</v>
      </c>
      <c r="AY363" s="26" t="str">
        <f>IF(Transactions[[#This Row],[Level 6]]=Transactions[[#This Row],[Transaction name]],Transactions[[#This Row],[Transaction name]],IF(Transactions[[#This Row],[Level 6]]=Transactions[[#This Row],[L1N]],Transactions[[#This Row],[Transaction name]],IF(Transactions[[#This Row],[Level 6]]=Transactions[[#This Row],[L2N]],Transactions[[#This Row],[L1N]],IF(Transactions[[#This Row],[Level 6]]=Transactions[[#This Row],[L3N]],Transactions[[#This Row],[L2N]],IF(Transactions[[#This Row],[Level 6]]=Transactions[[#This Row],[L4N]],Transactions[[#This Row],[L3N]],IF(Transactions[[#This Row],[Level 6]]=Transactions[[#This Row],[L5N]],Transactions[[#This Row],[L4N]],IF(Transactions[[#This Row],[Level 6]]=Transactions[[#This Row],[L6N]],Transactions[[#This Row],[L5N]],IF(Transactions[[#This Row],[Level 6]]=Transactions[[#This Row],[L7N]],Transactions[[#This Row],[L6N]],Transactions[[#This Row],[L7N]]))))))))</f>
        <v>Electricity plants - hard coal</v>
      </c>
      <c r="BE363" s="26" t="str">
        <f>_xlfn.XLOOKUP(Transformation[[#This Row],[cfrom]],Commodities[Commodity],Commodities[Commodity code])</f>
        <v>4695</v>
      </c>
      <c r="BF363" s="26" t="str">
        <f>_xlfn.XLOOKUP(Transformation[[#This Row],[tfrom]],Transactions[Transaction name],Transactions[Transaction code])</f>
        <v>014</v>
      </c>
      <c r="BG363" s="26" t="str">
        <f>_xlfn.XLOOKUP(Transformation[[#This Row],[cto]],Commodities[Commodity],Commodities[Commodity code])</f>
        <v>4695</v>
      </c>
      <c r="BH363" s="26" t="str">
        <f>_xlfn.XLOOKUP(Transformation[[#This Row],[tto]],Transactions[Transaction name],Transactions[Transaction code])</f>
        <v>014</v>
      </c>
      <c r="BI363" s="31">
        <v>-1</v>
      </c>
      <c r="BJ363" s="22" t="s">
        <v>351</v>
      </c>
      <c r="BK363" s="26" t="str">
        <f>_xlfn.XLOOKUP(Transformation[[#This Row],[Commodity from]],Commodities[Commodity code],Commodities[EnergyCode])</f>
        <v>BT</v>
      </c>
      <c r="BL363" s="22" t="s">
        <v>370</v>
      </c>
      <c r="BM363" s="22" t="s">
        <v>351</v>
      </c>
      <c r="BN363" s="26" t="str">
        <f>_xlfn.XLOOKUP(Transformation[[#This Row],[Commodity to]],Commodities[Commodity code],Commodities[EnergyCode])</f>
        <v>BT</v>
      </c>
      <c r="BO363" s="22" t="s">
        <v>370</v>
      </c>
      <c r="BP363" s="22" t="s">
        <v>1689</v>
      </c>
      <c r="BQ363" s="33" t="str">
        <f>Transformation[[#This Row],[Commodity from]]&amp;Transformation[[#This Row],[Transaction from]]&amp;Transformation[[#This Row],[Commodity to]]&amp;Transformation[[#This Row],[Transaction to]]</f>
        <v>46950144695014</v>
      </c>
      <c r="BR363" s="26" t="str">
        <f>Transformation[[#This Row],[crfomid]]&amp;Transformation[[#This Row],[Transaction from]]&amp;"("&amp;Transformation[[#This Row],[Multiplier]]&amp;") -&gt; "&amp;Transformation[[#This Row],[ctoid]]&amp;Transformation[[#This Row],[Transaction to]]</f>
        <v>BT014(-1) -&gt; BT014</v>
      </c>
    </row>
    <row r="364" spans="25:70" x14ac:dyDescent="0.45">
      <c r="Y364" s="5" t="s">
        <v>1243</v>
      </c>
      <c r="Z364" s="7" t="s">
        <v>1186</v>
      </c>
      <c r="AA364" s="4" t="s">
        <v>1380</v>
      </c>
      <c r="AB364" s="19" t="s">
        <v>1591</v>
      </c>
      <c r="AC364" s="24" t="str">
        <f>IFERROR(VLOOKUP(Transactions[[#This Row],[Parent code]],Transactions[[Transaction code]:[Transaction name]],2,0),"")</f>
        <v>Electricity plants - hard coal</v>
      </c>
      <c r="AD364" s="4" t="s">
        <v>189</v>
      </c>
      <c r="AE364" s="4" t="s">
        <v>923</v>
      </c>
      <c r="AF364" s="4" t="s">
        <v>642</v>
      </c>
      <c r="AG364" s="4" t="s">
        <v>1</v>
      </c>
      <c r="AH364" s="4" t="s">
        <v>696</v>
      </c>
      <c r="AI364" s="12" t="s">
        <v>1416</v>
      </c>
      <c r="AK364" s="24" t="str" cm="1">
        <f t="array" ref="AK364">IFERROR(INDEX(Transactions[[Transaction code]:[Transaction name]],_xlfn.XMATCH(Transactions[[#This Row],[Parent code]],Transactions[Transaction name],0),3),Transactions[[#This Row],[Transaction name]])</f>
        <v>Electricity plants - Main activity - hard coal</v>
      </c>
      <c r="AL364" s="24" t="str" cm="1">
        <f t="array" ref="AL364">IFERROR(INDEX(Transactions[[Transaction code]:[Transaction name]],_xlfn.XMATCH(INDEX(Transactions[[Transaction name]:[Parent code]],_xlfn.XMATCH(Transactions[[#This Row],[L1N]],Transactions[Transaction name],0),3),Transactions[Transaction code],0),2),Transactions[[#This Row],[L1N]])</f>
        <v>Electricity plants - hard coal</v>
      </c>
      <c r="AM364" s="24" t="str" cm="1">
        <f t="array" ref="AM364">IFERROR(INDEX(Transactions[[Transaction code]:[Transaction name]],_xlfn.XMATCH(INDEX(Transactions[[Transaction name]:[Parent code]],_xlfn.XMATCH(Transactions[[#This Row],[L2N]],Transactions[Transaction name],0),3),Transactions[Transaction code],0),2),Transactions[[#This Row],[L2N]])</f>
        <v>Electricity plants</v>
      </c>
      <c r="AN364" s="24" t="str" cm="1">
        <f t="array" ref="AN364">IFERROR(INDEX(Transactions[[Transaction code]:[Transaction name]],_xlfn.XMATCH(INDEX(Transactions[[Transaction name]:[Parent code]],_xlfn.XMATCH(Transactions[[#This Row],[L3N]],Transactions[Transaction name],0),3),Transactions[Transaction code],0),2),Transactions[[#This Row],[L3N]])</f>
        <v>Electricity, CHP and heat plants (T)</v>
      </c>
      <c r="AO364" s="24" t="str" cm="1">
        <f t="array" ref="AO364">IFERROR(INDEX(Transactions[[Transaction code]:[Transaction name]],_xlfn.XMATCH(INDEX(Transactions[[Transaction name]:[Parent code]],_xlfn.XMATCH(Transactions[[#This Row],[L4N]],Transactions[Transaction name],0),3),Transactions[Transaction code],0),2),Transactions[[#This Row],[L4N]])</f>
        <v>Transformation</v>
      </c>
      <c r="AP364" s="24" t="str" cm="1">
        <f t="array" ref="AP364">IFERROR(INDEX(Transactions[[Transaction code]:[Transaction name]],_xlfn.XMATCH(INDEX(Transactions[[Transaction name]:[Parent code]],_xlfn.XMATCH(Transactions[[#This Row],[L5N]],Transactions[Transaction name],0),3),Transactions[Transaction code],0),2),Transactions[[#This Row],[L5N]])</f>
        <v>Transformation</v>
      </c>
      <c r="AQ364" s="24" t="str" cm="1">
        <f t="array" ref="AQ364">IFERROR(INDEX(Transactions[[Transaction code]:[Transaction name]],_xlfn.XMATCH(INDEX(Transactions[[Transaction name]:[Parent code]],_xlfn.XMATCH(Transactions[[#This Row],[L6N]],Transactions[Transaction name],0),3),Transactions[Transaction code],0),2),Transactions[[#This Row],[L6N]])</f>
        <v>Transformation</v>
      </c>
      <c r="AR364" s="27" t="str">
        <f>IF(Transactions[[#This Row],[L7N]]=Transactions[[#This Row],[L6N]],Transactions[[#This Row],[L7N]],IF(Transactions[[#This Row],[L6N]]=Transactions[[#This Row],[L5N]],Transactions[[#This Row],[L6N]],IF(Transactions[[#This Row],[L5N]]=Transactions[[#This Row],[L4N]],Transactions[[#This Row],[L5N]],IF(Transactions[[#This Row],[L4N]]=Transactions[[#This Row],[L3N]],Transactions[[#This Row],[L4N]],IF(Transactions[[#This Row],[L3N]]=Transactions[[#This Row],[L2N]],Transactions[[#This Row],[L3N]],IF(Transactions[[#This Row],[L2N]]=Transactions[[#This Row],[L1N]],Transactions[[#This Row],[L2N]],IF(Transactions[[#This Row],[L1N]]=Transactions[[#This Row],[Transaction name]],Transactions[[#This Row],[L1N]],Transactions[[#This Row],[Transaction name]])))))))</f>
        <v>Transformation</v>
      </c>
      <c r="AS364" s="24" t="str">
        <f>IF(Transactions[[#This Row],[Level 0]]=Transactions[[#This Row],[Transaction name]],Transactions[[#This Row],[Transaction name]],IF(Transactions[[#This Row],[Level 0]]=Transactions[[#This Row],[L1N]],Transactions[[#This Row],[Transaction name]],IF(Transactions[[#This Row],[Level 0]]=Transactions[[#This Row],[L2N]],Transactions[[#This Row],[L1N]],IF(Transactions[[#This Row],[Level 0]]=Transactions[[#This Row],[L3N]],Transactions[[#This Row],[L2N]],IF(Transactions[[#This Row],[Level 0]]=Transactions[[#This Row],[L4N]],Transactions[[#This Row],[L3N]],IF(Transactions[[#This Row],[Level 0]]=Transactions[[#This Row],[L5N]],Transactions[[#This Row],[L4N]],IF(Transactions[[#This Row],[Level 0]]=Transactions[[#This Row],[L6N]],Transactions[[#This Row],[L5N]],IF(Transactions[[#This Row],[Level 0]]=Transactions[[#This Row],[L7N]],Transactions[[#This Row],[L6N]],Transactions[[#This Row],[L7N]]))))))))</f>
        <v>Electricity, CHP and heat plants (T)</v>
      </c>
      <c r="AT364" s="24" t="str">
        <f>IF(Transactions[[#This Row],[Level 1]]=Transactions[[#This Row],[Transaction name]],Transactions[[#This Row],[Transaction name]],IF(Transactions[[#This Row],[Level 1]]=Transactions[[#This Row],[L1N]],Transactions[[#This Row],[Transaction name]],IF(Transactions[[#This Row],[Level 1]]=Transactions[[#This Row],[L2N]],Transactions[[#This Row],[L1N]],IF(Transactions[[#This Row],[Level 1]]=Transactions[[#This Row],[L3N]],Transactions[[#This Row],[L2N]],IF(Transactions[[#This Row],[Level 1]]=Transactions[[#This Row],[L4N]],Transactions[[#This Row],[L3N]],IF(Transactions[[#This Row],[Level 1]]=Transactions[[#This Row],[L5N]],Transactions[[#This Row],[L4N]],IF(Transactions[[#This Row],[Level 1]]=Transactions[[#This Row],[L6N]],Transactions[[#This Row],[L5N]],IF(Transactions[[#This Row],[Level 1]]=Transactions[[#This Row],[L7N]],Transactions[[#This Row],[L6N]],Transactions[[#This Row],[L7N]]))))))))</f>
        <v>Electricity plants</v>
      </c>
      <c r="AU364" s="24" t="str">
        <f>IF(Transactions[[#This Row],[Level 2]]=Transactions[[#This Row],[Transaction name]],Transactions[[#This Row],[Transaction name]],IF(Transactions[[#This Row],[Level 2]]=Transactions[[#This Row],[L1N]],Transactions[[#This Row],[Transaction name]],IF(Transactions[[#This Row],[Level 2]]=Transactions[[#This Row],[L2N]],Transactions[[#This Row],[L1N]],IF(Transactions[[#This Row],[Level 2]]=Transactions[[#This Row],[L3N]],Transactions[[#This Row],[L2N]],IF(Transactions[[#This Row],[Level 2]]=Transactions[[#This Row],[L4N]],Transactions[[#This Row],[L3N]],IF(Transactions[[#This Row],[Level 2]]=Transactions[[#This Row],[L5N]],Transactions[[#This Row],[L4N]],IF(Transactions[[#This Row],[Level 2]]=Transactions[[#This Row],[L6N]],Transactions[[#This Row],[L5N]],IF(Transactions[[#This Row],[Level 2]]=Transactions[[#This Row],[L7N]],Transactions[[#This Row],[L6N]],Transactions[[#This Row],[L7N]]))))))))</f>
        <v>Electricity plants - hard coal</v>
      </c>
      <c r="AV364" s="24" t="str">
        <f>IF(Transactions[[#This Row],[Level 3]]=Transactions[[#This Row],[Transaction name]],Transactions[[#This Row],[Transaction name]],IF(Transactions[[#This Row],[Level 3]]=Transactions[[#This Row],[L1N]],Transactions[[#This Row],[Transaction name]],IF(Transactions[[#This Row],[Level 3]]=Transactions[[#This Row],[L2N]],Transactions[[#This Row],[L1N]],IF(Transactions[[#This Row],[Level 3]]=Transactions[[#This Row],[L3N]],Transactions[[#This Row],[L2N]],IF(Transactions[[#This Row],[Level 3]]=Transactions[[#This Row],[L4N]],Transactions[[#This Row],[L3N]],IF(Transactions[[#This Row],[Level 3]]=Transactions[[#This Row],[L5N]],Transactions[[#This Row],[L4N]],IF(Transactions[[#This Row],[Level 3]]=Transactions[[#This Row],[L6N]],Transactions[[#This Row],[L5N]],IF(Transactions[[#This Row],[Level 3]]=Transactions[[#This Row],[L7N]],Transactions[[#This Row],[L6N]],Transactions[[#This Row],[L7N]]))))))))</f>
        <v>Electricity plants - Main activity - hard coal</v>
      </c>
      <c r="AW364" s="24" t="str">
        <f>IF(Transactions[[#This Row],[Level 4]]=Transactions[[#This Row],[Transaction name]],Transactions[[#This Row],[Transaction name]],IF(Transactions[[#This Row],[Level 4]]=Transactions[[#This Row],[L1N]],Transactions[[#This Row],[Transaction name]],IF(Transactions[[#This Row],[Level 4]]=Transactions[[#This Row],[L2N]],Transactions[[#This Row],[L1N]],IF(Transactions[[#This Row],[Level 4]]=Transactions[[#This Row],[L3N]],Transactions[[#This Row],[L2N]],IF(Transactions[[#This Row],[Level 4]]=Transactions[[#This Row],[L4N]],Transactions[[#This Row],[L3N]],IF(Transactions[[#This Row],[Level 4]]=Transactions[[#This Row],[L5N]],Transactions[[#This Row],[L4N]],IF(Transactions[[#This Row],[Level 4]]=Transactions[[#This Row],[L6N]],Transactions[[#This Row],[L5N]],IF(Transactions[[#This Row],[Level 4]]=Transactions[[#This Row],[L7N]],Transactions[[#This Row],[L6N]],Transactions[[#This Row],[L7N]]))))))))</f>
        <v>Electricity plants - Main activity - hard coal</v>
      </c>
      <c r="AX364" s="24" t="str">
        <f>IF(Transactions[[#This Row],[Level 5]]=Transactions[[#This Row],[Transaction name]],Transactions[[#This Row],[Transaction name]],IF(Transactions[[#This Row],[Level 5]]=Transactions[[#This Row],[L1N]],Transactions[[#This Row],[Transaction name]],IF(Transactions[[#This Row],[Level 5]]=Transactions[[#This Row],[L2N]],Transactions[[#This Row],[L1N]],IF(Transactions[[#This Row],[Level 5]]=Transactions[[#This Row],[L3N]],Transactions[[#This Row],[L2N]],IF(Transactions[[#This Row],[Level 5]]=Transactions[[#This Row],[L4N]],Transactions[[#This Row],[L3N]],IF(Transactions[[#This Row],[Level 5]]=Transactions[[#This Row],[L5N]],Transactions[[#This Row],[L4N]],IF(Transactions[[#This Row],[Level 5]]=Transactions[[#This Row],[L6N]],Transactions[[#This Row],[L5N]],IF(Transactions[[#This Row],[Level 5]]=Transactions[[#This Row],[L7N]],Transactions[[#This Row],[L6N]],Transactions[[#This Row],[L7N]]))))))))</f>
        <v>Electricity plants - Main activity - hard coal</v>
      </c>
      <c r="AY364" s="24" t="str">
        <f>IF(Transactions[[#This Row],[Level 6]]=Transactions[[#This Row],[Transaction name]],Transactions[[#This Row],[Transaction name]],IF(Transactions[[#This Row],[Level 6]]=Transactions[[#This Row],[L1N]],Transactions[[#This Row],[Transaction name]],IF(Transactions[[#This Row],[Level 6]]=Transactions[[#This Row],[L2N]],Transactions[[#This Row],[L1N]],IF(Transactions[[#This Row],[Level 6]]=Transactions[[#This Row],[L3N]],Transactions[[#This Row],[L2N]],IF(Transactions[[#This Row],[Level 6]]=Transactions[[#This Row],[L4N]],Transactions[[#This Row],[L3N]],IF(Transactions[[#This Row],[Level 6]]=Transactions[[#This Row],[L5N]],Transactions[[#This Row],[L4N]],IF(Transactions[[#This Row],[Level 6]]=Transactions[[#This Row],[L6N]],Transactions[[#This Row],[L5N]],IF(Transactions[[#This Row],[Level 6]]=Transactions[[#This Row],[L7N]],Transactions[[#This Row],[L6N]],Transactions[[#This Row],[L7N]]))))))))</f>
        <v>Electricity plants - Main activity - hard coal</v>
      </c>
      <c r="BE364" s="26" t="str">
        <f>_xlfn.XLOOKUP(Transformation[[#This Row],[cfrom]],Commodities[Commodity],Commodities[Commodity code])</f>
        <v>4670</v>
      </c>
      <c r="BF364" s="26" t="str">
        <f>_xlfn.XLOOKUP(Transformation[[#This Row],[tfrom]],Transactions[Transaction name],Transactions[Transaction code])</f>
        <v>014</v>
      </c>
      <c r="BG364" s="26" t="str">
        <f>_xlfn.XLOOKUP(Transformation[[#This Row],[cto]],Commodities[Commodity],Commodities[Commodity code])</f>
        <v>4670</v>
      </c>
      <c r="BH364" s="26" t="str">
        <f>_xlfn.XLOOKUP(Transformation[[#This Row],[tto]],Transactions[Transaction name],Transactions[Transaction code])</f>
        <v>087</v>
      </c>
      <c r="BI364" s="31">
        <v>1</v>
      </c>
      <c r="BJ364" s="22" t="s">
        <v>372</v>
      </c>
      <c r="BK364" s="26" t="str">
        <f>_xlfn.XLOOKUP(Transformation[[#This Row],[Commodity from]],Commodities[Commodity code],Commodities[EnergyCode])</f>
        <v>DL</v>
      </c>
      <c r="BL364" s="22" t="s">
        <v>370</v>
      </c>
      <c r="BM364" s="22" t="s">
        <v>372</v>
      </c>
      <c r="BN364" s="26" t="str">
        <f>_xlfn.XLOOKUP(Transformation[[#This Row],[Commodity to]],Commodities[Commodity code],Commodities[EnergyCode])</f>
        <v>DL</v>
      </c>
      <c r="BO364" s="22" t="s">
        <v>729</v>
      </c>
      <c r="BP364" s="22" t="s">
        <v>1688</v>
      </c>
      <c r="BQ364" s="33" t="str">
        <f>Transformation[[#This Row],[Commodity from]]&amp;Transformation[[#This Row],[Transaction from]]&amp;Transformation[[#This Row],[Commodity to]]&amp;Transformation[[#This Row],[Transaction to]]</f>
        <v>46700144670087</v>
      </c>
      <c r="BR364" s="26" t="str">
        <f>Transformation[[#This Row],[crfomid]]&amp;Transformation[[#This Row],[Transaction from]]&amp;"("&amp;Transformation[[#This Row],[Multiplier]]&amp;") -&gt; "&amp;Transformation[[#This Row],[ctoid]]&amp;Transformation[[#This Row],[Transaction to]]</f>
        <v>DL014(1) -&gt; DL087</v>
      </c>
    </row>
    <row r="365" spans="25:70" x14ac:dyDescent="0.45">
      <c r="Y365" s="5" t="s">
        <v>233</v>
      </c>
      <c r="Z365" s="4" t="s">
        <v>804</v>
      </c>
      <c r="AA365" s="4" t="s">
        <v>1319</v>
      </c>
      <c r="AB365" s="19" t="s">
        <v>1592</v>
      </c>
      <c r="AC365" s="24" t="str">
        <f>IFERROR(VLOOKUP(Transactions[[#This Row],[Parent code]],Transactions[[Transaction code]:[Transaction name]],2,0),"")</f>
        <v>Electricity plants - Hydro</v>
      </c>
      <c r="AD365" s="4" t="s">
        <v>189</v>
      </c>
      <c r="AE365" s="4" t="s">
        <v>923</v>
      </c>
      <c r="AF365" s="4" t="s">
        <v>642</v>
      </c>
      <c r="AG365" s="4" t="s">
        <v>1</v>
      </c>
      <c r="AH365" s="4" t="s">
        <v>696</v>
      </c>
      <c r="AJ365" s="4" t="s">
        <v>0</v>
      </c>
      <c r="AK365" s="24" t="str" cm="1">
        <f t="array" ref="AK365">IFERROR(INDEX(Transactions[[Transaction code]:[Transaction name]],_xlfn.XMATCH(Transactions[[#This Row],[Parent code]],Transactions[Transaction name],0),3),Transactions[[#This Row],[Transaction name]])</f>
        <v>Electricity plants - Autoproducer - Hydro</v>
      </c>
      <c r="AL365" s="24" t="str" cm="1">
        <f t="array" ref="AL365">IFERROR(INDEX(Transactions[[Transaction code]:[Transaction name]],_xlfn.XMATCH(INDEX(Transactions[[Transaction name]:[Parent code]],_xlfn.XMATCH(Transactions[[#This Row],[L1N]],Transactions[Transaction name],0),3),Transactions[Transaction code],0),2),Transactions[[#This Row],[L1N]])</f>
        <v>Electricity plants - Hydro</v>
      </c>
      <c r="AM365" s="24" t="str" cm="1">
        <f t="array" ref="AM365">IFERROR(INDEX(Transactions[[Transaction code]:[Transaction name]],_xlfn.XMATCH(INDEX(Transactions[[Transaction name]:[Parent code]],_xlfn.XMATCH(Transactions[[#This Row],[L2N]],Transactions[Transaction name],0),3),Transactions[Transaction code],0),2),Transactions[[#This Row],[L2N]])</f>
        <v>Electricity plants</v>
      </c>
      <c r="AN365" s="24" t="str" cm="1">
        <f t="array" ref="AN365">IFERROR(INDEX(Transactions[[Transaction code]:[Transaction name]],_xlfn.XMATCH(INDEX(Transactions[[Transaction name]:[Parent code]],_xlfn.XMATCH(Transactions[[#This Row],[L3N]],Transactions[Transaction name],0),3),Transactions[Transaction code],0),2),Transactions[[#This Row],[L3N]])</f>
        <v>Electricity, CHP and heat plants (T)</v>
      </c>
      <c r="AO365" s="24" t="str" cm="1">
        <f t="array" ref="AO365">IFERROR(INDEX(Transactions[[Transaction code]:[Transaction name]],_xlfn.XMATCH(INDEX(Transactions[[Transaction name]:[Parent code]],_xlfn.XMATCH(Transactions[[#This Row],[L4N]],Transactions[Transaction name],0),3),Transactions[Transaction code],0),2),Transactions[[#This Row],[L4N]])</f>
        <v>Transformation</v>
      </c>
      <c r="AP365" s="24" t="str" cm="1">
        <f t="array" ref="AP365">IFERROR(INDEX(Transactions[[Transaction code]:[Transaction name]],_xlfn.XMATCH(INDEX(Transactions[[Transaction name]:[Parent code]],_xlfn.XMATCH(Transactions[[#This Row],[L5N]],Transactions[Transaction name],0),3),Transactions[Transaction code],0),2),Transactions[[#This Row],[L5N]])</f>
        <v>Transformation</v>
      </c>
      <c r="AQ365" s="24" t="str" cm="1">
        <f t="array" ref="AQ365">IFERROR(INDEX(Transactions[[Transaction code]:[Transaction name]],_xlfn.XMATCH(INDEX(Transactions[[Transaction name]:[Parent code]],_xlfn.XMATCH(Transactions[[#This Row],[L6N]],Transactions[Transaction name],0),3),Transactions[Transaction code],0),2),Transactions[[#This Row],[L6N]])</f>
        <v>Transformation</v>
      </c>
      <c r="AR365" s="27" t="str">
        <f>IF(Transactions[[#This Row],[L7N]]=Transactions[[#This Row],[L6N]],Transactions[[#This Row],[L7N]],IF(Transactions[[#This Row],[L6N]]=Transactions[[#This Row],[L5N]],Transactions[[#This Row],[L6N]],IF(Transactions[[#This Row],[L5N]]=Transactions[[#This Row],[L4N]],Transactions[[#This Row],[L5N]],IF(Transactions[[#This Row],[L4N]]=Transactions[[#This Row],[L3N]],Transactions[[#This Row],[L4N]],IF(Transactions[[#This Row],[L3N]]=Transactions[[#This Row],[L2N]],Transactions[[#This Row],[L3N]],IF(Transactions[[#This Row],[L2N]]=Transactions[[#This Row],[L1N]],Transactions[[#This Row],[L2N]],IF(Transactions[[#This Row],[L1N]]=Transactions[[#This Row],[Transaction name]],Transactions[[#This Row],[L1N]],Transactions[[#This Row],[Transaction name]])))))))</f>
        <v>Transformation</v>
      </c>
      <c r="AS365" s="24" t="str">
        <f>IF(Transactions[[#This Row],[Level 0]]=Transactions[[#This Row],[Transaction name]],Transactions[[#This Row],[Transaction name]],IF(Transactions[[#This Row],[Level 0]]=Transactions[[#This Row],[L1N]],Transactions[[#This Row],[Transaction name]],IF(Transactions[[#This Row],[Level 0]]=Transactions[[#This Row],[L2N]],Transactions[[#This Row],[L1N]],IF(Transactions[[#This Row],[Level 0]]=Transactions[[#This Row],[L3N]],Transactions[[#This Row],[L2N]],IF(Transactions[[#This Row],[Level 0]]=Transactions[[#This Row],[L4N]],Transactions[[#This Row],[L3N]],IF(Transactions[[#This Row],[Level 0]]=Transactions[[#This Row],[L5N]],Transactions[[#This Row],[L4N]],IF(Transactions[[#This Row],[Level 0]]=Transactions[[#This Row],[L6N]],Transactions[[#This Row],[L5N]],IF(Transactions[[#This Row],[Level 0]]=Transactions[[#This Row],[L7N]],Transactions[[#This Row],[L6N]],Transactions[[#This Row],[L7N]]))))))))</f>
        <v>Electricity, CHP and heat plants (T)</v>
      </c>
      <c r="AT365" s="24" t="str">
        <f>IF(Transactions[[#This Row],[Level 1]]=Transactions[[#This Row],[Transaction name]],Transactions[[#This Row],[Transaction name]],IF(Transactions[[#This Row],[Level 1]]=Transactions[[#This Row],[L1N]],Transactions[[#This Row],[Transaction name]],IF(Transactions[[#This Row],[Level 1]]=Transactions[[#This Row],[L2N]],Transactions[[#This Row],[L1N]],IF(Transactions[[#This Row],[Level 1]]=Transactions[[#This Row],[L3N]],Transactions[[#This Row],[L2N]],IF(Transactions[[#This Row],[Level 1]]=Transactions[[#This Row],[L4N]],Transactions[[#This Row],[L3N]],IF(Transactions[[#This Row],[Level 1]]=Transactions[[#This Row],[L5N]],Transactions[[#This Row],[L4N]],IF(Transactions[[#This Row],[Level 1]]=Transactions[[#This Row],[L6N]],Transactions[[#This Row],[L5N]],IF(Transactions[[#This Row],[Level 1]]=Transactions[[#This Row],[L7N]],Transactions[[#This Row],[L6N]],Transactions[[#This Row],[L7N]]))))))))</f>
        <v>Electricity plants</v>
      </c>
      <c r="AU365" s="24" t="str">
        <f>IF(Transactions[[#This Row],[Level 2]]=Transactions[[#This Row],[Transaction name]],Transactions[[#This Row],[Transaction name]],IF(Transactions[[#This Row],[Level 2]]=Transactions[[#This Row],[L1N]],Transactions[[#This Row],[Transaction name]],IF(Transactions[[#This Row],[Level 2]]=Transactions[[#This Row],[L2N]],Transactions[[#This Row],[L1N]],IF(Transactions[[#This Row],[Level 2]]=Transactions[[#This Row],[L3N]],Transactions[[#This Row],[L2N]],IF(Transactions[[#This Row],[Level 2]]=Transactions[[#This Row],[L4N]],Transactions[[#This Row],[L3N]],IF(Transactions[[#This Row],[Level 2]]=Transactions[[#This Row],[L5N]],Transactions[[#This Row],[L4N]],IF(Transactions[[#This Row],[Level 2]]=Transactions[[#This Row],[L6N]],Transactions[[#This Row],[L5N]],IF(Transactions[[#This Row],[Level 2]]=Transactions[[#This Row],[L7N]],Transactions[[#This Row],[L6N]],Transactions[[#This Row],[L7N]]))))))))</f>
        <v>Electricity plants - Hydro</v>
      </c>
      <c r="AV365" s="24" t="str">
        <f>IF(Transactions[[#This Row],[Level 3]]=Transactions[[#This Row],[Transaction name]],Transactions[[#This Row],[Transaction name]],IF(Transactions[[#This Row],[Level 3]]=Transactions[[#This Row],[L1N]],Transactions[[#This Row],[Transaction name]],IF(Transactions[[#This Row],[Level 3]]=Transactions[[#This Row],[L2N]],Transactions[[#This Row],[L1N]],IF(Transactions[[#This Row],[Level 3]]=Transactions[[#This Row],[L3N]],Transactions[[#This Row],[L2N]],IF(Transactions[[#This Row],[Level 3]]=Transactions[[#This Row],[L4N]],Transactions[[#This Row],[L3N]],IF(Transactions[[#This Row],[Level 3]]=Transactions[[#This Row],[L5N]],Transactions[[#This Row],[L4N]],IF(Transactions[[#This Row],[Level 3]]=Transactions[[#This Row],[L6N]],Transactions[[#This Row],[L5N]],IF(Transactions[[#This Row],[Level 3]]=Transactions[[#This Row],[L7N]],Transactions[[#This Row],[L6N]],Transactions[[#This Row],[L7N]]))))))))</f>
        <v>Electricity plants - Autoproducer - Hydro</v>
      </c>
      <c r="AW365" s="24" t="str">
        <f>IF(Transactions[[#This Row],[Level 4]]=Transactions[[#This Row],[Transaction name]],Transactions[[#This Row],[Transaction name]],IF(Transactions[[#This Row],[Level 4]]=Transactions[[#This Row],[L1N]],Transactions[[#This Row],[Transaction name]],IF(Transactions[[#This Row],[Level 4]]=Transactions[[#This Row],[L2N]],Transactions[[#This Row],[L1N]],IF(Transactions[[#This Row],[Level 4]]=Transactions[[#This Row],[L3N]],Transactions[[#This Row],[L2N]],IF(Transactions[[#This Row],[Level 4]]=Transactions[[#This Row],[L4N]],Transactions[[#This Row],[L3N]],IF(Transactions[[#This Row],[Level 4]]=Transactions[[#This Row],[L5N]],Transactions[[#This Row],[L4N]],IF(Transactions[[#This Row],[Level 4]]=Transactions[[#This Row],[L6N]],Transactions[[#This Row],[L5N]],IF(Transactions[[#This Row],[Level 4]]=Transactions[[#This Row],[L7N]],Transactions[[#This Row],[L6N]],Transactions[[#This Row],[L7N]]))))))))</f>
        <v>Electricity plants - Autoproducer - Hydro</v>
      </c>
      <c r="AX365" s="24" t="str">
        <f>IF(Transactions[[#This Row],[Level 5]]=Transactions[[#This Row],[Transaction name]],Transactions[[#This Row],[Transaction name]],IF(Transactions[[#This Row],[Level 5]]=Transactions[[#This Row],[L1N]],Transactions[[#This Row],[Transaction name]],IF(Transactions[[#This Row],[Level 5]]=Transactions[[#This Row],[L2N]],Transactions[[#This Row],[L1N]],IF(Transactions[[#This Row],[Level 5]]=Transactions[[#This Row],[L3N]],Transactions[[#This Row],[L2N]],IF(Transactions[[#This Row],[Level 5]]=Transactions[[#This Row],[L4N]],Transactions[[#This Row],[L3N]],IF(Transactions[[#This Row],[Level 5]]=Transactions[[#This Row],[L5N]],Transactions[[#This Row],[L4N]],IF(Transactions[[#This Row],[Level 5]]=Transactions[[#This Row],[L6N]],Transactions[[#This Row],[L5N]],IF(Transactions[[#This Row],[Level 5]]=Transactions[[#This Row],[L7N]],Transactions[[#This Row],[L6N]],Transactions[[#This Row],[L7N]]))))))))</f>
        <v>Electricity plants - Autoproducer - Hydro</v>
      </c>
      <c r="AY365" s="24" t="str">
        <f>IF(Transactions[[#This Row],[Level 6]]=Transactions[[#This Row],[Transaction name]],Transactions[[#This Row],[Transaction name]],IF(Transactions[[#This Row],[Level 6]]=Transactions[[#This Row],[L1N]],Transactions[[#This Row],[Transaction name]],IF(Transactions[[#This Row],[Level 6]]=Transactions[[#This Row],[L2N]],Transactions[[#This Row],[L1N]],IF(Transactions[[#This Row],[Level 6]]=Transactions[[#This Row],[L3N]],Transactions[[#This Row],[L2N]],IF(Transactions[[#This Row],[Level 6]]=Transactions[[#This Row],[L4N]],Transactions[[#This Row],[L3N]],IF(Transactions[[#This Row],[Level 6]]=Transactions[[#This Row],[L5N]],Transactions[[#This Row],[L4N]],IF(Transactions[[#This Row],[Level 6]]=Transactions[[#This Row],[L6N]],Transactions[[#This Row],[L5N]],IF(Transactions[[#This Row],[Level 6]]=Transactions[[#This Row],[L7N]],Transactions[[#This Row],[L6N]],Transactions[[#This Row],[L7N]]))))))))</f>
        <v>Electricity plants - Autoproducer - Hydro</v>
      </c>
      <c r="BE365" s="26" t="str">
        <f>_xlfn.XLOOKUP(Transformation[[#This Row],[cfrom]],Commodities[Commodity],Commodities[Commodity code])</f>
        <v>4670</v>
      </c>
      <c r="BF365" s="26" t="str">
        <f>_xlfn.XLOOKUP(Transformation[[#This Row],[tfrom]],Transactions[Transaction name],Transactions[Transaction code])</f>
        <v>014</v>
      </c>
      <c r="BG365" s="26" t="str">
        <f>_xlfn.XLOOKUP(Transformation[[#This Row],[cto]],Commodities[Commodity],Commodities[Commodity code])</f>
        <v>4670</v>
      </c>
      <c r="BH365" s="26" t="str">
        <f>_xlfn.XLOOKUP(Transformation[[#This Row],[tto]],Transactions[Transaction name],Transactions[Transaction code])</f>
        <v>014</v>
      </c>
      <c r="BI365" s="31">
        <v>-1</v>
      </c>
      <c r="BJ365" s="22" t="s">
        <v>372</v>
      </c>
      <c r="BK365" s="26" t="str">
        <f>_xlfn.XLOOKUP(Transformation[[#This Row],[Commodity from]],Commodities[Commodity code],Commodities[EnergyCode])</f>
        <v>DL</v>
      </c>
      <c r="BL365" s="22" t="s">
        <v>370</v>
      </c>
      <c r="BM365" s="22" t="s">
        <v>372</v>
      </c>
      <c r="BN365" s="26" t="str">
        <f>_xlfn.XLOOKUP(Transformation[[#This Row],[Commodity to]],Commodities[Commodity code],Commodities[EnergyCode])</f>
        <v>DL</v>
      </c>
      <c r="BO365" s="22" t="s">
        <v>370</v>
      </c>
      <c r="BP365" s="22" t="s">
        <v>1689</v>
      </c>
      <c r="BQ365" s="33" t="str">
        <f>Transformation[[#This Row],[Commodity from]]&amp;Transformation[[#This Row],[Transaction from]]&amp;Transformation[[#This Row],[Commodity to]]&amp;Transformation[[#This Row],[Transaction to]]</f>
        <v>46700144670014</v>
      </c>
      <c r="BR365" s="26" t="str">
        <f>Transformation[[#This Row],[crfomid]]&amp;Transformation[[#This Row],[Transaction from]]&amp;"("&amp;Transformation[[#This Row],[Multiplier]]&amp;") -&gt; "&amp;Transformation[[#This Row],[ctoid]]&amp;Transformation[[#This Row],[Transaction to]]</f>
        <v>DL014(-1) -&gt; DL014</v>
      </c>
    </row>
    <row r="366" spans="25:70" x14ac:dyDescent="0.45">
      <c r="Y366" s="19" t="s">
        <v>1592</v>
      </c>
      <c r="Z366" s="18" t="s">
        <v>1319</v>
      </c>
      <c r="AA366" s="18" t="s">
        <v>1319</v>
      </c>
      <c r="AB366" s="19" t="s">
        <v>1600</v>
      </c>
      <c r="AC366" s="26" t="str">
        <f>IFERROR(VLOOKUP(Transactions[[#This Row],[Parent code]],Transactions[[Transaction code]:[Transaction name]],2,0),"")</f>
        <v>Electricity plants</v>
      </c>
      <c r="AD366" s="18" t="s">
        <v>189</v>
      </c>
      <c r="AE366" s="18" t="s">
        <v>923</v>
      </c>
      <c r="AF366" s="18" t="s">
        <v>642</v>
      </c>
      <c r="AG366" s="18" t="s">
        <v>1</v>
      </c>
      <c r="AH366" s="18" t="s">
        <v>696</v>
      </c>
      <c r="AI366" s="18"/>
      <c r="AJ366" s="18" t="s">
        <v>0</v>
      </c>
      <c r="AK366" s="26" t="str" cm="1">
        <f t="array" ref="AK366">IFERROR(INDEX(Transactions[[Transaction code]:[Transaction name]],_xlfn.XMATCH(Transactions[[#This Row],[Parent code]],Transactions[Transaction name],0),3),Transactions[[#This Row],[Transaction name]])</f>
        <v>Electricity plants - Hydro</v>
      </c>
      <c r="AL366" s="26" t="str" cm="1">
        <f t="array" ref="AL366">IFERROR(INDEX(Transactions[[Transaction code]:[Transaction name]],_xlfn.XMATCH(INDEX(Transactions[[Transaction name]:[Parent code]],_xlfn.XMATCH(Transactions[[#This Row],[L1N]],Transactions[Transaction name],0),3),Transactions[Transaction code],0),2),Transactions[[#This Row],[L1N]])</f>
        <v>Electricity plants</v>
      </c>
      <c r="AM366" s="26" t="str" cm="1">
        <f t="array" ref="AM366">IFERROR(INDEX(Transactions[[Transaction code]:[Transaction name]],_xlfn.XMATCH(INDEX(Transactions[[Transaction name]:[Parent code]],_xlfn.XMATCH(Transactions[[#This Row],[L2N]],Transactions[Transaction name],0),3),Transactions[Transaction code],0),2),Transactions[[#This Row],[L2N]])</f>
        <v>Electricity, CHP and heat plants (T)</v>
      </c>
      <c r="AN366" s="26" t="str" cm="1">
        <f t="array" ref="AN366">IFERROR(INDEX(Transactions[[Transaction code]:[Transaction name]],_xlfn.XMATCH(INDEX(Transactions[[Transaction name]:[Parent code]],_xlfn.XMATCH(Transactions[[#This Row],[L3N]],Transactions[Transaction name],0),3),Transactions[Transaction code],0),2),Transactions[[#This Row],[L3N]])</f>
        <v>Transformation</v>
      </c>
      <c r="AO366" s="26" t="str" cm="1">
        <f t="array" ref="AO366">IFERROR(INDEX(Transactions[[Transaction code]:[Transaction name]],_xlfn.XMATCH(INDEX(Transactions[[Transaction name]:[Parent code]],_xlfn.XMATCH(Transactions[[#This Row],[L4N]],Transactions[Transaction name],0),3),Transactions[Transaction code],0),2),Transactions[[#This Row],[L4N]])</f>
        <v>Transformation</v>
      </c>
      <c r="AP366" s="26" t="str" cm="1">
        <f t="array" ref="AP366">IFERROR(INDEX(Transactions[[Transaction code]:[Transaction name]],_xlfn.XMATCH(INDEX(Transactions[[Transaction name]:[Parent code]],_xlfn.XMATCH(Transactions[[#This Row],[L5N]],Transactions[Transaction name],0),3),Transactions[Transaction code],0),2),Transactions[[#This Row],[L5N]])</f>
        <v>Transformation</v>
      </c>
      <c r="AQ366" s="26" t="str" cm="1">
        <f t="array" ref="AQ366">IFERROR(INDEX(Transactions[[Transaction code]:[Transaction name]],_xlfn.XMATCH(INDEX(Transactions[[Transaction name]:[Parent code]],_xlfn.XMATCH(Transactions[[#This Row],[L6N]],Transactions[Transaction name],0),3),Transactions[Transaction code],0),2),Transactions[[#This Row],[L6N]])</f>
        <v>Transformation</v>
      </c>
      <c r="AR366" s="30" t="str">
        <f>IF(Transactions[[#This Row],[L7N]]=Transactions[[#This Row],[L6N]],Transactions[[#This Row],[L7N]],IF(Transactions[[#This Row],[L6N]]=Transactions[[#This Row],[L5N]],Transactions[[#This Row],[L6N]],IF(Transactions[[#This Row],[L5N]]=Transactions[[#This Row],[L4N]],Transactions[[#This Row],[L5N]],IF(Transactions[[#This Row],[L4N]]=Transactions[[#This Row],[L3N]],Transactions[[#This Row],[L4N]],IF(Transactions[[#This Row],[L3N]]=Transactions[[#This Row],[L2N]],Transactions[[#This Row],[L3N]],IF(Transactions[[#This Row],[L2N]]=Transactions[[#This Row],[L1N]],Transactions[[#This Row],[L2N]],IF(Transactions[[#This Row],[L1N]]=Transactions[[#This Row],[Transaction name]],Transactions[[#This Row],[L1N]],Transactions[[#This Row],[Transaction name]])))))))</f>
        <v>Transformation</v>
      </c>
      <c r="AS366" s="26" t="str">
        <f>IF(Transactions[[#This Row],[Level 0]]=Transactions[[#This Row],[Transaction name]],Transactions[[#This Row],[Transaction name]],IF(Transactions[[#This Row],[Level 0]]=Transactions[[#This Row],[L1N]],Transactions[[#This Row],[Transaction name]],IF(Transactions[[#This Row],[Level 0]]=Transactions[[#This Row],[L2N]],Transactions[[#This Row],[L1N]],IF(Transactions[[#This Row],[Level 0]]=Transactions[[#This Row],[L3N]],Transactions[[#This Row],[L2N]],IF(Transactions[[#This Row],[Level 0]]=Transactions[[#This Row],[L4N]],Transactions[[#This Row],[L3N]],IF(Transactions[[#This Row],[Level 0]]=Transactions[[#This Row],[L5N]],Transactions[[#This Row],[L4N]],IF(Transactions[[#This Row],[Level 0]]=Transactions[[#This Row],[L6N]],Transactions[[#This Row],[L5N]],IF(Transactions[[#This Row],[Level 0]]=Transactions[[#This Row],[L7N]],Transactions[[#This Row],[L6N]],Transactions[[#This Row],[L7N]]))))))))</f>
        <v>Electricity, CHP and heat plants (T)</v>
      </c>
      <c r="AT366" s="26" t="str">
        <f>IF(Transactions[[#This Row],[Level 1]]=Transactions[[#This Row],[Transaction name]],Transactions[[#This Row],[Transaction name]],IF(Transactions[[#This Row],[Level 1]]=Transactions[[#This Row],[L1N]],Transactions[[#This Row],[Transaction name]],IF(Transactions[[#This Row],[Level 1]]=Transactions[[#This Row],[L2N]],Transactions[[#This Row],[L1N]],IF(Transactions[[#This Row],[Level 1]]=Transactions[[#This Row],[L3N]],Transactions[[#This Row],[L2N]],IF(Transactions[[#This Row],[Level 1]]=Transactions[[#This Row],[L4N]],Transactions[[#This Row],[L3N]],IF(Transactions[[#This Row],[Level 1]]=Transactions[[#This Row],[L5N]],Transactions[[#This Row],[L4N]],IF(Transactions[[#This Row],[Level 1]]=Transactions[[#This Row],[L6N]],Transactions[[#This Row],[L5N]],IF(Transactions[[#This Row],[Level 1]]=Transactions[[#This Row],[L7N]],Transactions[[#This Row],[L6N]],Transactions[[#This Row],[L7N]]))))))))</f>
        <v>Electricity plants</v>
      </c>
      <c r="AU366" s="26" t="str">
        <f>IF(Transactions[[#This Row],[Level 2]]=Transactions[[#This Row],[Transaction name]],Transactions[[#This Row],[Transaction name]],IF(Transactions[[#This Row],[Level 2]]=Transactions[[#This Row],[L1N]],Transactions[[#This Row],[Transaction name]],IF(Transactions[[#This Row],[Level 2]]=Transactions[[#This Row],[L2N]],Transactions[[#This Row],[L1N]],IF(Transactions[[#This Row],[Level 2]]=Transactions[[#This Row],[L3N]],Transactions[[#This Row],[L2N]],IF(Transactions[[#This Row],[Level 2]]=Transactions[[#This Row],[L4N]],Transactions[[#This Row],[L3N]],IF(Transactions[[#This Row],[Level 2]]=Transactions[[#This Row],[L5N]],Transactions[[#This Row],[L4N]],IF(Transactions[[#This Row],[Level 2]]=Transactions[[#This Row],[L6N]],Transactions[[#This Row],[L5N]],IF(Transactions[[#This Row],[Level 2]]=Transactions[[#This Row],[L7N]],Transactions[[#This Row],[L6N]],Transactions[[#This Row],[L7N]]))))))))</f>
        <v>Electricity plants - Hydro</v>
      </c>
      <c r="AV366" s="26" t="str">
        <f>IF(Transactions[[#This Row],[Level 3]]=Transactions[[#This Row],[Transaction name]],Transactions[[#This Row],[Transaction name]],IF(Transactions[[#This Row],[Level 3]]=Transactions[[#This Row],[L1N]],Transactions[[#This Row],[Transaction name]],IF(Transactions[[#This Row],[Level 3]]=Transactions[[#This Row],[L2N]],Transactions[[#This Row],[L1N]],IF(Transactions[[#This Row],[Level 3]]=Transactions[[#This Row],[L3N]],Transactions[[#This Row],[L2N]],IF(Transactions[[#This Row],[Level 3]]=Transactions[[#This Row],[L4N]],Transactions[[#This Row],[L3N]],IF(Transactions[[#This Row],[Level 3]]=Transactions[[#This Row],[L5N]],Transactions[[#This Row],[L4N]],IF(Transactions[[#This Row],[Level 3]]=Transactions[[#This Row],[L6N]],Transactions[[#This Row],[L5N]],IF(Transactions[[#This Row],[Level 3]]=Transactions[[#This Row],[L7N]],Transactions[[#This Row],[L6N]],Transactions[[#This Row],[L7N]]))))))))</f>
        <v>Electricity plants - Hydro</v>
      </c>
      <c r="AW366" s="26" t="str">
        <f>IF(Transactions[[#This Row],[Level 4]]=Transactions[[#This Row],[Transaction name]],Transactions[[#This Row],[Transaction name]],IF(Transactions[[#This Row],[Level 4]]=Transactions[[#This Row],[L1N]],Transactions[[#This Row],[Transaction name]],IF(Transactions[[#This Row],[Level 4]]=Transactions[[#This Row],[L2N]],Transactions[[#This Row],[L1N]],IF(Transactions[[#This Row],[Level 4]]=Transactions[[#This Row],[L3N]],Transactions[[#This Row],[L2N]],IF(Transactions[[#This Row],[Level 4]]=Transactions[[#This Row],[L4N]],Transactions[[#This Row],[L3N]],IF(Transactions[[#This Row],[Level 4]]=Transactions[[#This Row],[L5N]],Transactions[[#This Row],[L4N]],IF(Transactions[[#This Row],[Level 4]]=Transactions[[#This Row],[L6N]],Transactions[[#This Row],[L5N]],IF(Transactions[[#This Row],[Level 4]]=Transactions[[#This Row],[L7N]],Transactions[[#This Row],[L6N]],Transactions[[#This Row],[L7N]]))))))))</f>
        <v>Electricity plants - Hydro</v>
      </c>
      <c r="AX366" s="26" t="str">
        <f>IF(Transactions[[#This Row],[Level 5]]=Transactions[[#This Row],[Transaction name]],Transactions[[#This Row],[Transaction name]],IF(Transactions[[#This Row],[Level 5]]=Transactions[[#This Row],[L1N]],Transactions[[#This Row],[Transaction name]],IF(Transactions[[#This Row],[Level 5]]=Transactions[[#This Row],[L2N]],Transactions[[#This Row],[L1N]],IF(Transactions[[#This Row],[Level 5]]=Transactions[[#This Row],[L3N]],Transactions[[#This Row],[L2N]],IF(Transactions[[#This Row],[Level 5]]=Transactions[[#This Row],[L4N]],Transactions[[#This Row],[L3N]],IF(Transactions[[#This Row],[Level 5]]=Transactions[[#This Row],[L5N]],Transactions[[#This Row],[L4N]],IF(Transactions[[#This Row],[Level 5]]=Transactions[[#This Row],[L6N]],Transactions[[#This Row],[L5N]],IF(Transactions[[#This Row],[Level 5]]=Transactions[[#This Row],[L7N]],Transactions[[#This Row],[L6N]],Transactions[[#This Row],[L7N]]))))))))</f>
        <v>Electricity plants - Hydro</v>
      </c>
      <c r="AY366" s="26" t="str">
        <f>IF(Transactions[[#This Row],[Level 6]]=Transactions[[#This Row],[Transaction name]],Transactions[[#This Row],[Transaction name]],IF(Transactions[[#This Row],[Level 6]]=Transactions[[#This Row],[L1N]],Transactions[[#This Row],[Transaction name]],IF(Transactions[[#This Row],[Level 6]]=Transactions[[#This Row],[L2N]],Transactions[[#This Row],[L1N]],IF(Transactions[[#This Row],[Level 6]]=Transactions[[#This Row],[L3N]],Transactions[[#This Row],[L2N]],IF(Transactions[[#This Row],[Level 6]]=Transactions[[#This Row],[L4N]],Transactions[[#This Row],[L3N]],IF(Transactions[[#This Row],[Level 6]]=Transactions[[#This Row],[L5N]],Transactions[[#This Row],[L4N]],IF(Transactions[[#This Row],[Level 6]]=Transactions[[#This Row],[L6N]],Transactions[[#This Row],[L5N]],IF(Transactions[[#This Row],[Level 6]]=Transactions[[#This Row],[L7N]],Transactions[[#This Row],[L6N]],Transactions[[#This Row],[L7N]]))))))))</f>
        <v>Electricity plants - Hydro</v>
      </c>
      <c r="BE366" s="26" t="str">
        <f>_xlfn.XLOOKUP(Transformation[[#This Row],[cfrom]],Commodities[Commodity],Commodities[Commodity code])</f>
        <v>4620</v>
      </c>
      <c r="BF366" s="26" t="str">
        <f>_xlfn.XLOOKUP(Transformation[[#This Row],[tfrom]],Transactions[Transaction name],Transactions[Transaction code])</f>
        <v>014</v>
      </c>
      <c r="BG366" s="26" t="str">
        <f>_xlfn.XLOOKUP(Transformation[[#This Row],[cto]],Commodities[Commodity],Commodities[Commodity code])</f>
        <v>4620</v>
      </c>
      <c r="BH366" s="26" t="str">
        <f>_xlfn.XLOOKUP(Transformation[[#This Row],[tto]],Transactions[Transaction name],Transactions[Transaction code])</f>
        <v>087</v>
      </c>
      <c r="BI366" s="31">
        <v>1</v>
      </c>
      <c r="BJ366" s="22" t="s">
        <v>412</v>
      </c>
      <c r="BK366" s="26" t="str">
        <f>_xlfn.XLOOKUP(Transformation[[#This Row],[Commodity from]],Commodities[Commodity code],Commodities[EnergyCode])</f>
        <v>EA</v>
      </c>
      <c r="BL366" s="22" t="s">
        <v>370</v>
      </c>
      <c r="BM366" s="22" t="s">
        <v>412</v>
      </c>
      <c r="BN366" s="26" t="str">
        <f>_xlfn.XLOOKUP(Transformation[[#This Row],[Commodity to]],Commodities[Commodity code],Commodities[EnergyCode])</f>
        <v>EA</v>
      </c>
      <c r="BO366" s="22" t="s">
        <v>729</v>
      </c>
      <c r="BP366" s="22" t="s">
        <v>1688</v>
      </c>
      <c r="BQ366" s="33" t="str">
        <f>Transformation[[#This Row],[Commodity from]]&amp;Transformation[[#This Row],[Transaction from]]&amp;Transformation[[#This Row],[Commodity to]]&amp;Transformation[[#This Row],[Transaction to]]</f>
        <v>46200144620087</v>
      </c>
      <c r="BR366" s="26" t="str">
        <f>Transformation[[#This Row],[crfomid]]&amp;Transformation[[#This Row],[Transaction from]]&amp;"("&amp;Transformation[[#This Row],[Multiplier]]&amp;") -&gt; "&amp;Transformation[[#This Row],[ctoid]]&amp;Transformation[[#This Row],[Transaction to]]</f>
        <v>EA014(1) -&gt; EA087</v>
      </c>
    </row>
    <row r="367" spans="25:70" x14ac:dyDescent="0.45">
      <c r="Y367" s="5" t="s">
        <v>303</v>
      </c>
      <c r="Z367" s="4" t="s">
        <v>808</v>
      </c>
      <c r="AA367" s="4" t="s">
        <v>1319</v>
      </c>
      <c r="AB367" s="19" t="s">
        <v>1592</v>
      </c>
      <c r="AC367" s="24" t="str">
        <f>IFERROR(VLOOKUP(Transactions[[#This Row],[Parent code]],Transactions[[Transaction code]:[Transaction name]],2,0),"")</f>
        <v>Electricity plants - Hydro</v>
      </c>
      <c r="AD367" s="4" t="s">
        <v>189</v>
      </c>
      <c r="AE367" s="4" t="s">
        <v>923</v>
      </c>
      <c r="AF367" s="4" t="s">
        <v>642</v>
      </c>
      <c r="AG367" s="4" t="s">
        <v>1</v>
      </c>
      <c r="AH367" s="4" t="s">
        <v>696</v>
      </c>
      <c r="AJ367" s="4" t="s">
        <v>0</v>
      </c>
      <c r="AK367" s="24" t="str" cm="1">
        <f t="array" ref="AK367">IFERROR(INDEX(Transactions[[Transaction code]:[Transaction name]],_xlfn.XMATCH(Transactions[[#This Row],[Parent code]],Transactions[Transaction name],0),3),Transactions[[#This Row],[Transaction name]])</f>
        <v>Electricity plants - Main activity - Hydro</v>
      </c>
      <c r="AL367" s="24" t="str" cm="1">
        <f t="array" ref="AL367">IFERROR(INDEX(Transactions[[Transaction code]:[Transaction name]],_xlfn.XMATCH(INDEX(Transactions[[Transaction name]:[Parent code]],_xlfn.XMATCH(Transactions[[#This Row],[L1N]],Transactions[Transaction name],0),3),Transactions[Transaction code],0),2),Transactions[[#This Row],[L1N]])</f>
        <v>Electricity plants - Hydro</v>
      </c>
      <c r="AM367" s="24" t="str" cm="1">
        <f t="array" ref="AM367">IFERROR(INDEX(Transactions[[Transaction code]:[Transaction name]],_xlfn.XMATCH(INDEX(Transactions[[Transaction name]:[Parent code]],_xlfn.XMATCH(Transactions[[#This Row],[L2N]],Transactions[Transaction name],0),3),Transactions[Transaction code],0),2),Transactions[[#This Row],[L2N]])</f>
        <v>Electricity plants</v>
      </c>
      <c r="AN367" s="24" t="str" cm="1">
        <f t="array" ref="AN367">IFERROR(INDEX(Transactions[[Transaction code]:[Transaction name]],_xlfn.XMATCH(INDEX(Transactions[[Transaction name]:[Parent code]],_xlfn.XMATCH(Transactions[[#This Row],[L3N]],Transactions[Transaction name],0),3),Transactions[Transaction code],0),2),Transactions[[#This Row],[L3N]])</f>
        <v>Electricity, CHP and heat plants (T)</v>
      </c>
      <c r="AO367" s="24" t="str" cm="1">
        <f t="array" ref="AO367">IFERROR(INDEX(Transactions[[Transaction code]:[Transaction name]],_xlfn.XMATCH(INDEX(Transactions[[Transaction name]:[Parent code]],_xlfn.XMATCH(Transactions[[#This Row],[L4N]],Transactions[Transaction name],0),3),Transactions[Transaction code],0),2),Transactions[[#This Row],[L4N]])</f>
        <v>Transformation</v>
      </c>
      <c r="AP367" s="24" t="str" cm="1">
        <f t="array" ref="AP367">IFERROR(INDEX(Transactions[[Transaction code]:[Transaction name]],_xlfn.XMATCH(INDEX(Transactions[[Transaction name]:[Parent code]],_xlfn.XMATCH(Transactions[[#This Row],[L5N]],Transactions[Transaction name],0),3),Transactions[Transaction code],0),2),Transactions[[#This Row],[L5N]])</f>
        <v>Transformation</v>
      </c>
      <c r="AQ367" s="24" t="str" cm="1">
        <f t="array" ref="AQ367">IFERROR(INDEX(Transactions[[Transaction code]:[Transaction name]],_xlfn.XMATCH(INDEX(Transactions[[Transaction name]:[Parent code]],_xlfn.XMATCH(Transactions[[#This Row],[L6N]],Transactions[Transaction name],0),3),Transactions[Transaction code],0),2),Transactions[[#This Row],[L6N]])</f>
        <v>Transformation</v>
      </c>
      <c r="AR367" s="28" t="str">
        <f>IF(Transactions[[#This Row],[L7N]]=Transactions[[#This Row],[L6N]],Transactions[[#This Row],[L7N]],IF(Transactions[[#This Row],[L6N]]=Transactions[[#This Row],[L5N]],Transactions[[#This Row],[L6N]],IF(Transactions[[#This Row],[L5N]]=Transactions[[#This Row],[L4N]],Transactions[[#This Row],[L5N]],IF(Transactions[[#This Row],[L4N]]=Transactions[[#This Row],[L3N]],Transactions[[#This Row],[L4N]],IF(Transactions[[#This Row],[L3N]]=Transactions[[#This Row],[L2N]],Transactions[[#This Row],[L3N]],IF(Transactions[[#This Row],[L2N]]=Transactions[[#This Row],[L1N]],Transactions[[#This Row],[L2N]],IF(Transactions[[#This Row],[L1N]]=Transactions[[#This Row],[Transaction name]],Transactions[[#This Row],[L1N]],Transactions[[#This Row],[Transaction name]])))))))</f>
        <v>Transformation</v>
      </c>
      <c r="AS367" s="24" t="str">
        <f>IF(Transactions[[#This Row],[Level 0]]=Transactions[[#This Row],[Transaction name]],Transactions[[#This Row],[Transaction name]],IF(Transactions[[#This Row],[Level 0]]=Transactions[[#This Row],[L1N]],Transactions[[#This Row],[Transaction name]],IF(Transactions[[#This Row],[Level 0]]=Transactions[[#This Row],[L2N]],Transactions[[#This Row],[L1N]],IF(Transactions[[#This Row],[Level 0]]=Transactions[[#This Row],[L3N]],Transactions[[#This Row],[L2N]],IF(Transactions[[#This Row],[Level 0]]=Transactions[[#This Row],[L4N]],Transactions[[#This Row],[L3N]],IF(Transactions[[#This Row],[Level 0]]=Transactions[[#This Row],[L5N]],Transactions[[#This Row],[L4N]],IF(Transactions[[#This Row],[Level 0]]=Transactions[[#This Row],[L6N]],Transactions[[#This Row],[L5N]],IF(Transactions[[#This Row],[Level 0]]=Transactions[[#This Row],[L7N]],Transactions[[#This Row],[L6N]],Transactions[[#This Row],[L7N]]))))))))</f>
        <v>Electricity, CHP and heat plants (T)</v>
      </c>
      <c r="AT367" s="24" t="str">
        <f>IF(Transactions[[#This Row],[Level 1]]=Transactions[[#This Row],[Transaction name]],Transactions[[#This Row],[Transaction name]],IF(Transactions[[#This Row],[Level 1]]=Transactions[[#This Row],[L1N]],Transactions[[#This Row],[Transaction name]],IF(Transactions[[#This Row],[Level 1]]=Transactions[[#This Row],[L2N]],Transactions[[#This Row],[L1N]],IF(Transactions[[#This Row],[Level 1]]=Transactions[[#This Row],[L3N]],Transactions[[#This Row],[L2N]],IF(Transactions[[#This Row],[Level 1]]=Transactions[[#This Row],[L4N]],Transactions[[#This Row],[L3N]],IF(Transactions[[#This Row],[Level 1]]=Transactions[[#This Row],[L5N]],Transactions[[#This Row],[L4N]],IF(Transactions[[#This Row],[Level 1]]=Transactions[[#This Row],[L6N]],Transactions[[#This Row],[L5N]],IF(Transactions[[#This Row],[Level 1]]=Transactions[[#This Row],[L7N]],Transactions[[#This Row],[L6N]],Transactions[[#This Row],[L7N]]))))))))</f>
        <v>Electricity plants</v>
      </c>
      <c r="AU367" s="24" t="str">
        <f>IF(Transactions[[#This Row],[Level 2]]=Transactions[[#This Row],[Transaction name]],Transactions[[#This Row],[Transaction name]],IF(Transactions[[#This Row],[Level 2]]=Transactions[[#This Row],[L1N]],Transactions[[#This Row],[Transaction name]],IF(Transactions[[#This Row],[Level 2]]=Transactions[[#This Row],[L2N]],Transactions[[#This Row],[L1N]],IF(Transactions[[#This Row],[Level 2]]=Transactions[[#This Row],[L3N]],Transactions[[#This Row],[L2N]],IF(Transactions[[#This Row],[Level 2]]=Transactions[[#This Row],[L4N]],Transactions[[#This Row],[L3N]],IF(Transactions[[#This Row],[Level 2]]=Transactions[[#This Row],[L5N]],Transactions[[#This Row],[L4N]],IF(Transactions[[#This Row],[Level 2]]=Transactions[[#This Row],[L6N]],Transactions[[#This Row],[L5N]],IF(Transactions[[#This Row],[Level 2]]=Transactions[[#This Row],[L7N]],Transactions[[#This Row],[L6N]],Transactions[[#This Row],[L7N]]))))))))</f>
        <v>Electricity plants - Hydro</v>
      </c>
      <c r="AV367" s="24" t="str">
        <f>IF(Transactions[[#This Row],[Level 3]]=Transactions[[#This Row],[Transaction name]],Transactions[[#This Row],[Transaction name]],IF(Transactions[[#This Row],[Level 3]]=Transactions[[#This Row],[L1N]],Transactions[[#This Row],[Transaction name]],IF(Transactions[[#This Row],[Level 3]]=Transactions[[#This Row],[L2N]],Transactions[[#This Row],[L1N]],IF(Transactions[[#This Row],[Level 3]]=Transactions[[#This Row],[L3N]],Transactions[[#This Row],[L2N]],IF(Transactions[[#This Row],[Level 3]]=Transactions[[#This Row],[L4N]],Transactions[[#This Row],[L3N]],IF(Transactions[[#This Row],[Level 3]]=Transactions[[#This Row],[L5N]],Transactions[[#This Row],[L4N]],IF(Transactions[[#This Row],[Level 3]]=Transactions[[#This Row],[L6N]],Transactions[[#This Row],[L5N]],IF(Transactions[[#This Row],[Level 3]]=Transactions[[#This Row],[L7N]],Transactions[[#This Row],[L6N]],Transactions[[#This Row],[L7N]]))))))))</f>
        <v>Electricity plants - Main activity - Hydro</v>
      </c>
      <c r="AW367" s="24" t="str">
        <f>IF(Transactions[[#This Row],[Level 4]]=Transactions[[#This Row],[Transaction name]],Transactions[[#This Row],[Transaction name]],IF(Transactions[[#This Row],[Level 4]]=Transactions[[#This Row],[L1N]],Transactions[[#This Row],[Transaction name]],IF(Transactions[[#This Row],[Level 4]]=Transactions[[#This Row],[L2N]],Transactions[[#This Row],[L1N]],IF(Transactions[[#This Row],[Level 4]]=Transactions[[#This Row],[L3N]],Transactions[[#This Row],[L2N]],IF(Transactions[[#This Row],[Level 4]]=Transactions[[#This Row],[L4N]],Transactions[[#This Row],[L3N]],IF(Transactions[[#This Row],[Level 4]]=Transactions[[#This Row],[L5N]],Transactions[[#This Row],[L4N]],IF(Transactions[[#This Row],[Level 4]]=Transactions[[#This Row],[L6N]],Transactions[[#This Row],[L5N]],IF(Transactions[[#This Row],[Level 4]]=Transactions[[#This Row],[L7N]],Transactions[[#This Row],[L6N]],Transactions[[#This Row],[L7N]]))))))))</f>
        <v>Electricity plants - Main activity - Hydro</v>
      </c>
      <c r="AX367" s="24" t="str">
        <f>IF(Transactions[[#This Row],[Level 5]]=Transactions[[#This Row],[Transaction name]],Transactions[[#This Row],[Transaction name]],IF(Transactions[[#This Row],[Level 5]]=Transactions[[#This Row],[L1N]],Transactions[[#This Row],[Transaction name]],IF(Transactions[[#This Row],[Level 5]]=Transactions[[#This Row],[L2N]],Transactions[[#This Row],[L1N]],IF(Transactions[[#This Row],[Level 5]]=Transactions[[#This Row],[L3N]],Transactions[[#This Row],[L2N]],IF(Transactions[[#This Row],[Level 5]]=Transactions[[#This Row],[L4N]],Transactions[[#This Row],[L3N]],IF(Transactions[[#This Row],[Level 5]]=Transactions[[#This Row],[L5N]],Transactions[[#This Row],[L4N]],IF(Transactions[[#This Row],[Level 5]]=Transactions[[#This Row],[L6N]],Transactions[[#This Row],[L5N]],IF(Transactions[[#This Row],[Level 5]]=Transactions[[#This Row],[L7N]],Transactions[[#This Row],[L6N]],Transactions[[#This Row],[L7N]]))))))))</f>
        <v>Electricity plants - Main activity - Hydro</v>
      </c>
      <c r="AY367" s="24" t="str">
        <f>IF(Transactions[[#This Row],[Level 6]]=Transactions[[#This Row],[Transaction name]],Transactions[[#This Row],[Transaction name]],IF(Transactions[[#This Row],[Level 6]]=Transactions[[#This Row],[L1N]],Transactions[[#This Row],[Transaction name]],IF(Transactions[[#This Row],[Level 6]]=Transactions[[#This Row],[L2N]],Transactions[[#This Row],[L1N]],IF(Transactions[[#This Row],[Level 6]]=Transactions[[#This Row],[L3N]],Transactions[[#This Row],[L2N]],IF(Transactions[[#This Row],[Level 6]]=Transactions[[#This Row],[L4N]],Transactions[[#This Row],[L3N]],IF(Transactions[[#This Row],[Level 6]]=Transactions[[#This Row],[L5N]],Transactions[[#This Row],[L4N]],IF(Transactions[[#This Row],[Level 6]]=Transactions[[#This Row],[L6N]],Transactions[[#This Row],[L5N]],IF(Transactions[[#This Row],[Level 6]]=Transactions[[#This Row],[L7N]],Transactions[[#This Row],[L6N]],Transactions[[#This Row],[L7N]]))))))))</f>
        <v>Electricity plants - Main activity - Hydro</v>
      </c>
      <c r="BE367" s="26" t="str">
        <f>_xlfn.XLOOKUP(Transformation[[#This Row],[cfrom]],Commodities[Commodity],Commodities[Commodity code])</f>
        <v>4620</v>
      </c>
      <c r="BF367" s="26" t="str">
        <f>_xlfn.XLOOKUP(Transformation[[#This Row],[tfrom]],Transactions[Transaction name],Transactions[Transaction code])</f>
        <v>014</v>
      </c>
      <c r="BG367" s="26" t="str">
        <f>_xlfn.XLOOKUP(Transformation[[#This Row],[cto]],Commodities[Commodity],Commodities[Commodity code])</f>
        <v>4620</v>
      </c>
      <c r="BH367" s="26" t="str">
        <f>_xlfn.XLOOKUP(Transformation[[#This Row],[tto]],Transactions[Transaction name],Transactions[Transaction code])</f>
        <v>014</v>
      </c>
      <c r="BI367" s="31">
        <v>-1</v>
      </c>
      <c r="BJ367" s="22" t="s">
        <v>412</v>
      </c>
      <c r="BK367" s="26" t="str">
        <f>_xlfn.XLOOKUP(Transformation[[#This Row],[Commodity from]],Commodities[Commodity code],Commodities[EnergyCode])</f>
        <v>EA</v>
      </c>
      <c r="BL367" s="22" t="s">
        <v>370</v>
      </c>
      <c r="BM367" s="22" t="s">
        <v>412</v>
      </c>
      <c r="BN367" s="26" t="str">
        <f>_xlfn.XLOOKUP(Transformation[[#This Row],[Commodity to]],Commodities[Commodity code],Commodities[EnergyCode])</f>
        <v>EA</v>
      </c>
      <c r="BO367" s="22" t="s">
        <v>370</v>
      </c>
      <c r="BP367" s="22" t="s">
        <v>1689</v>
      </c>
      <c r="BQ367" s="33" t="str">
        <f>Transformation[[#This Row],[Commodity from]]&amp;Transformation[[#This Row],[Transaction from]]&amp;Transformation[[#This Row],[Commodity to]]&amp;Transformation[[#This Row],[Transaction to]]</f>
        <v>46200144620014</v>
      </c>
      <c r="BR367" s="26" t="str">
        <f>Transformation[[#This Row],[crfomid]]&amp;Transformation[[#This Row],[Transaction from]]&amp;"("&amp;Transformation[[#This Row],[Multiplier]]&amp;") -&gt; "&amp;Transformation[[#This Row],[ctoid]]&amp;Transformation[[#This Row],[Transaction to]]</f>
        <v>EA014(-1) -&gt; EA014</v>
      </c>
    </row>
    <row r="368" spans="25:70" x14ac:dyDescent="0.45">
      <c r="Y368" s="5" t="s">
        <v>1167</v>
      </c>
      <c r="Z368" s="7" t="s">
        <v>1159</v>
      </c>
      <c r="AA368" s="4" t="s">
        <v>1372</v>
      </c>
      <c r="AB368" s="19" t="s">
        <v>1593</v>
      </c>
      <c r="AC368" s="24" t="str">
        <f>IFERROR(VLOOKUP(Transactions[[#This Row],[Parent code]],Transactions[[Transaction code]:[Transaction name]],2,0),"")</f>
        <v>Electricity plants - industrial solid waste</v>
      </c>
      <c r="AD368" s="4" t="s">
        <v>189</v>
      </c>
      <c r="AE368" s="4" t="s">
        <v>923</v>
      </c>
      <c r="AF368" s="4" t="s">
        <v>642</v>
      </c>
      <c r="AG368" s="4" t="s">
        <v>1</v>
      </c>
      <c r="AH368" s="4" t="s">
        <v>696</v>
      </c>
      <c r="AI368" s="12" t="s">
        <v>1416</v>
      </c>
      <c r="AK368" s="24" t="str" cm="1">
        <f t="array" ref="AK368">IFERROR(INDEX(Transactions[[Transaction code]:[Transaction name]],_xlfn.XMATCH(Transactions[[#This Row],[Parent code]],Transactions[Transaction name],0),3),Transactions[[#This Row],[Transaction name]])</f>
        <v>Electricity plants - Autoproducer - industrial solid waste</v>
      </c>
      <c r="AL368" s="24" t="str" cm="1">
        <f t="array" ref="AL368">IFERROR(INDEX(Transactions[[Transaction code]:[Transaction name]],_xlfn.XMATCH(INDEX(Transactions[[Transaction name]:[Parent code]],_xlfn.XMATCH(Transactions[[#This Row],[L1N]],Transactions[Transaction name],0),3),Transactions[Transaction code],0),2),Transactions[[#This Row],[L1N]])</f>
        <v>Electricity plants - industrial solid waste</v>
      </c>
      <c r="AM368" s="24" t="str" cm="1">
        <f t="array" ref="AM368">IFERROR(INDEX(Transactions[[Transaction code]:[Transaction name]],_xlfn.XMATCH(INDEX(Transactions[[Transaction name]:[Parent code]],_xlfn.XMATCH(Transactions[[#This Row],[L2N]],Transactions[Transaction name],0),3),Transactions[Transaction code],0),2),Transactions[[#This Row],[L2N]])</f>
        <v>Electricity plants</v>
      </c>
      <c r="AN368" s="24" t="str" cm="1">
        <f t="array" ref="AN368">IFERROR(INDEX(Transactions[[Transaction code]:[Transaction name]],_xlfn.XMATCH(INDEX(Transactions[[Transaction name]:[Parent code]],_xlfn.XMATCH(Transactions[[#This Row],[L3N]],Transactions[Transaction name],0),3),Transactions[Transaction code],0),2),Transactions[[#This Row],[L3N]])</f>
        <v>Electricity, CHP and heat plants (T)</v>
      </c>
      <c r="AO368" s="24" t="str" cm="1">
        <f t="array" ref="AO368">IFERROR(INDEX(Transactions[[Transaction code]:[Transaction name]],_xlfn.XMATCH(INDEX(Transactions[[Transaction name]:[Parent code]],_xlfn.XMATCH(Transactions[[#This Row],[L4N]],Transactions[Transaction name],0),3),Transactions[Transaction code],0),2),Transactions[[#This Row],[L4N]])</f>
        <v>Transformation</v>
      </c>
      <c r="AP368" s="24" t="str" cm="1">
        <f t="array" ref="AP368">IFERROR(INDEX(Transactions[[Transaction code]:[Transaction name]],_xlfn.XMATCH(INDEX(Transactions[[Transaction name]:[Parent code]],_xlfn.XMATCH(Transactions[[#This Row],[L5N]],Transactions[Transaction name],0),3),Transactions[Transaction code],0),2),Transactions[[#This Row],[L5N]])</f>
        <v>Transformation</v>
      </c>
      <c r="AQ368" s="24" t="str" cm="1">
        <f t="array" ref="AQ368">IFERROR(INDEX(Transactions[[Transaction code]:[Transaction name]],_xlfn.XMATCH(INDEX(Transactions[[Transaction name]:[Parent code]],_xlfn.XMATCH(Transactions[[#This Row],[L6N]],Transactions[Transaction name],0),3),Transactions[Transaction code],0),2),Transactions[[#This Row],[L6N]])</f>
        <v>Transformation</v>
      </c>
      <c r="AR368" s="28" t="str">
        <f>IF(Transactions[[#This Row],[L7N]]=Transactions[[#This Row],[L6N]],Transactions[[#This Row],[L7N]],IF(Transactions[[#This Row],[L6N]]=Transactions[[#This Row],[L5N]],Transactions[[#This Row],[L6N]],IF(Transactions[[#This Row],[L5N]]=Transactions[[#This Row],[L4N]],Transactions[[#This Row],[L5N]],IF(Transactions[[#This Row],[L4N]]=Transactions[[#This Row],[L3N]],Transactions[[#This Row],[L4N]],IF(Transactions[[#This Row],[L3N]]=Transactions[[#This Row],[L2N]],Transactions[[#This Row],[L3N]],IF(Transactions[[#This Row],[L2N]]=Transactions[[#This Row],[L1N]],Transactions[[#This Row],[L2N]],IF(Transactions[[#This Row],[L1N]]=Transactions[[#This Row],[Transaction name]],Transactions[[#This Row],[L1N]],Transactions[[#This Row],[Transaction name]])))))))</f>
        <v>Transformation</v>
      </c>
      <c r="AS368" s="24" t="str">
        <f>IF(Transactions[[#This Row],[Level 0]]=Transactions[[#This Row],[Transaction name]],Transactions[[#This Row],[Transaction name]],IF(Transactions[[#This Row],[Level 0]]=Transactions[[#This Row],[L1N]],Transactions[[#This Row],[Transaction name]],IF(Transactions[[#This Row],[Level 0]]=Transactions[[#This Row],[L2N]],Transactions[[#This Row],[L1N]],IF(Transactions[[#This Row],[Level 0]]=Transactions[[#This Row],[L3N]],Transactions[[#This Row],[L2N]],IF(Transactions[[#This Row],[Level 0]]=Transactions[[#This Row],[L4N]],Transactions[[#This Row],[L3N]],IF(Transactions[[#This Row],[Level 0]]=Transactions[[#This Row],[L5N]],Transactions[[#This Row],[L4N]],IF(Transactions[[#This Row],[Level 0]]=Transactions[[#This Row],[L6N]],Transactions[[#This Row],[L5N]],IF(Transactions[[#This Row],[Level 0]]=Transactions[[#This Row],[L7N]],Transactions[[#This Row],[L6N]],Transactions[[#This Row],[L7N]]))))))))</f>
        <v>Electricity, CHP and heat plants (T)</v>
      </c>
      <c r="AT368" s="24" t="str">
        <f>IF(Transactions[[#This Row],[Level 1]]=Transactions[[#This Row],[Transaction name]],Transactions[[#This Row],[Transaction name]],IF(Transactions[[#This Row],[Level 1]]=Transactions[[#This Row],[L1N]],Transactions[[#This Row],[Transaction name]],IF(Transactions[[#This Row],[Level 1]]=Transactions[[#This Row],[L2N]],Transactions[[#This Row],[L1N]],IF(Transactions[[#This Row],[Level 1]]=Transactions[[#This Row],[L3N]],Transactions[[#This Row],[L2N]],IF(Transactions[[#This Row],[Level 1]]=Transactions[[#This Row],[L4N]],Transactions[[#This Row],[L3N]],IF(Transactions[[#This Row],[Level 1]]=Transactions[[#This Row],[L5N]],Transactions[[#This Row],[L4N]],IF(Transactions[[#This Row],[Level 1]]=Transactions[[#This Row],[L6N]],Transactions[[#This Row],[L5N]],IF(Transactions[[#This Row],[Level 1]]=Transactions[[#This Row],[L7N]],Transactions[[#This Row],[L6N]],Transactions[[#This Row],[L7N]]))))))))</f>
        <v>Electricity plants</v>
      </c>
      <c r="AU368" s="24" t="str">
        <f>IF(Transactions[[#This Row],[Level 2]]=Transactions[[#This Row],[Transaction name]],Transactions[[#This Row],[Transaction name]],IF(Transactions[[#This Row],[Level 2]]=Transactions[[#This Row],[L1N]],Transactions[[#This Row],[Transaction name]],IF(Transactions[[#This Row],[Level 2]]=Transactions[[#This Row],[L2N]],Transactions[[#This Row],[L1N]],IF(Transactions[[#This Row],[Level 2]]=Transactions[[#This Row],[L3N]],Transactions[[#This Row],[L2N]],IF(Transactions[[#This Row],[Level 2]]=Transactions[[#This Row],[L4N]],Transactions[[#This Row],[L3N]],IF(Transactions[[#This Row],[Level 2]]=Transactions[[#This Row],[L5N]],Transactions[[#This Row],[L4N]],IF(Transactions[[#This Row],[Level 2]]=Transactions[[#This Row],[L6N]],Transactions[[#This Row],[L5N]],IF(Transactions[[#This Row],[Level 2]]=Transactions[[#This Row],[L7N]],Transactions[[#This Row],[L6N]],Transactions[[#This Row],[L7N]]))))))))</f>
        <v>Electricity plants - industrial solid waste</v>
      </c>
      <c r="AV368" s="24" t="str">
        <f>IF(Transactions[[#This Row],[Level 3]]=Transactions[[#This Row],[Transaction name]],Transactions[[#This Row],[Transaction name]],IF(Transactions[[#This Row],[Level 3]]=Transactions[[#This Row],[L1N]],Transactions[[#This Row],[Transaction name]],IF(Transactions[[#This Row],[Level 3]]=Transactions[[#This Row],[L2N]],Transactions[[#This Row],[L1N]],IF(Transactions[[#This Row],[Level 3]]=Transactions[[#This Row],[L3N]],Transactions[[#This Row],[L2N]],IF(Transactions[[#This Row],[Level 3]]=Transactions[[#This Row],[L4N]],Transactions[[#This Row],[L3N]],IF(Transactions[[#This Row],[Level 3]]=Transactions[[#This Row],[L5N]],Transactions[[#This Row],[L4N]],IF(Transactions[[#This Row],[Level 3]]=Transactions[[#This Row],[L6N]],Transactions[[#This Row],[L5N]],IF(Transactions[[#This Row],[Level 3]]=Transactions[[#This Row],[L7N]],Transactions[[#This Row],[L6N]],Transactions[[#This Row],[L7N]]))))))))</f>
        <v>Electricity plants - Autoproducer - industrial solid waste</v>
      </c>
      <c r="AW368" s="24" t="str">
        <f>IF(Transactions[[#This Row],[Level 4]]=Transactions[[#This Row],[Transaction name]],Transactions[[#This Row],[Transaction name]],IF(Transactions[[#This Row],[Level 4]]=Transactions[[#This Row],[L1N]],Transactions[[#This Row],[Transaction name]],IF(Transactions[[#This Row],[Level 4]]=Transactions[[#This Row],[L2N]],Transactions[[#This Row],[L1N]],IF(Transactions[[#This Row],[Level 4]]=Transactions[[#This Row],[L3N]],Transactions[[#This Row],[L2N]],IF(Transactions[[#This Row],[Level 4]]=Transactions[[#This Row],[L4N]],Transactions[[#This Row],[L3N]],IF(Transactions[[#This Row],[Level 4]]=Transactions[[#This Row],[L5N]],Transactions[[#This Row],[L4N]],IF(Transactions[[#This Row],[Level 4]]=Transactions[[#This Row],[L6N]],Transactions[[#This Row],[L5N]],IF(Transactions[[#This Row],[Level 4]]=Transactions[[#This Row],[L7N]],Transactions[[#This Row],[L6N]],Transactions[[#This Row],[L7N]]))))))))</f>
        <v>Electricity plants - Autoproducer - industrial solid waste</v>
      </c>
      <c r="AX368" s="24" t="str">
        <f>IF(Transactions[[#This Row],[Level 5]]=Transactions[[#This Row],[Transaction name]],Transactions[[#This Row],[Transaction name]],IF(Transactions[[#This Row],[Level 5]]=Transactions[[#This Row],[L1N]],Transactions[[#This Row],[Transaction name]],IF(Transactions[[#This Row],[Level 5]]=Transactions[[#This Row],[L2N]],Transactions[[#This Row],[L1N]],IF(Transactions[[#This Row],[Level 5]]=Transactions[[#This Row],[L3N]],Transactions[[#This Row],[L2N]],IF(Transactions[[#This Row],[Level 5]]=Transactions[[#This Row],[L4N]],Transactions[[#This Row],[L3N]],IF(Transactions[[#This Row],[Level 5]]=Transactions[[#This Row],[L5N]],Transactions[[#This Row],[L4N]],IF(Transactions[[#This Row],[Level 5]]=Transactions[[#This Row],[L6N]],Transactions[[#This Row],[L5N]],IF(Transactions[[#This Row],[Level 5]]=Transactions[[#This Row],[L7N]],Transactions[[#This Row],[L6N]],Transactions[[#This Row],[L7N]]))))))))</f>
        <v>Electricity plants - Autoproducer - industrial solid waste</v>
      </c>
      <c r="AY368" s="24" t="str">
        <f>IF(Transactions[[#This Row],[Level 6]]=Transactions[[#This Row],[Transaction name]],Transactions[[#This Row],[Transaction name]],IF(Transactions[[#This Row],[Level 6]]=Transactions[[#This Row],[L1N]],Transactions[[#This Row],[Transaction name]],IF(Transactions[[#This Row],[Level 6]]=Transactions[[#This Row],[L2N]],Transactions[[#This Row],[L1N]],IF(Transactions[[#This Row],[Level 6]]=Transactions[[#This Row],[L3N]],Transactions[[#This Row],[L2N]],IF(Transactions[[#This Row],[Level 6]]=Transactions[[#This Row],[L4N]],Transactions[[#This Row],[L3N]],IF(Transactions[[#This Row],[Level 6]]=Transactions[[#This Row],[L5N]],Transactions[[#This Row],[L4N]],IF(Transactions[[#This Row],[Level 6]]=Transactions[[#This Row],[L6N]],Transactions[[#This Row],[L5N]],IF(Transactions[[#This Row],[Level 6]]=Transactions[[#This Row],[L7N]],Transactions[[#This Row],[L6N]],Transactions[[#This Row],[L7N]]))))))))</f>
        <v>Electricity plants - Autoproducer - industrial solid waste</v>
      </c>
      <c r="BE368" s="26" t="str">
        <f>_xlfn.XLOOKUP(Transformation[[#This Row],[cfrom]],Commodities[Commodity],Commodities[Commodity code])</f>
        <v>4653</v>
      </c>
      <c r="BF368" s="26" t="str">
        <f>_xlfn.XLOOKUP(Transformation[[#This Row],[tfrom]],Transactions[Transaction name],Transactions[Transaction code])</f>
        <v>014</v>
      </c>
      <c r="BG368" s="26" t="str">
        <f>_xlfn.XLOOKUP(Transformation[[#This Row],[cto]],Commodities[Commodity],Commodities[Commodity code])</f>
        <v>4653</v>
      </c>
      <c r="BH368" s="26" t="str">
        <f>_xlfn.XLOOKUP(Transformation[[#This Row],[tto]],Transactions[Transaction name],Transactions[Transaction code])</f>
        <v>087</v>
      </c>
      <c r="BI368" s="31">
        <v>1</v>
      </c>
      <c r="BJ368" s="22" t="s">
        <v>390</v>
      </c>
      <c r="BK368" s="26" t="str">
        <f>_xlfn.XLOOKUP(Transformation[[#This Row],[Commodity from]],Commodities[Commodity code],Commodities[EnergyCode])</f>
        <v>GJ</v>
      </c>
      <c r="BL368" s="22" t="s">
        <v>370</v>
      </c>
      <c r="BM368" s="22" t="s">
        <v>390</v>
      </c>
      <c r="BN368" s="26" t="str">
        <f>_xlfn.XLOOKUP(Transformation[[#This Row],[Commodity to]],Commodities[Commodity code],Commodities[EnergyCode])</f>
        <v>GJ</v>
      </c>
      <c r="BO368" s="22" t="s">
        <v>729</v>
      </c>
      <c r="BP368" s="22" t="s">
        <v>1688</v>
      </c>
      <c r="BQ368" s="33" t="str">
        <f>Transformation[[#This Row],[Commodity from]]&amp;Transformation[[#This Row],[Transaction from]]&amp;Transformation[[#This Row],[Commodity to]]&amp;Transformation[[#This Row],[Transaction to]]</f>
        <v>46530144653087</v>
      </c>
      <c r="BR368" s="26" t="str">
        <f>Transformation[[#This Row],[crfomid]]&amp;Transformation[[#This Row],[Transaction from]]&amp;"("&amp;Transformation[[#This Row],[Multiplier]]&amp;") -&gt; "&amp;Transformation[[#This Row],[ctoid]]&amp;Transformation[[#This Row],[Transaction to]]</f>
        <v>GJ014(1) -&gt; GJ087</v>
      </c>
    </row>
    <row r="369" spans="25:70" x14ac:dyDescent="0.45">
      <c r="Y369" s="19" t="s">
        <v>1593</v>
      </c>
      <c r="Z369" s="18" t="s">
        <v>1372</v>
      </c>
      <c r="AA369" s="18" t="s">
        <v>1372</v>
      </c>
      <c r="AB369" s="19" t="s">
        <v>1600</v>
      </c>
      <c r="AC369" s="26" t="str">
        <f>IFERROR(VLOOKUP(Transactions[[#This Row],[Parent code]],Transactions[[Transaction code]:[Transaction name]],2,0),"")</f>
        <v>Electricity plants</v>
      </c>
      <c r="AD369" s="18" t="s">
        <v>189</v>
      </c>
      <c r="AE369" s="18" t="s">
        <v>923</v>
      </c>
      <c r="AF369" s="18" t="s">
        <v>642</v>
      </c>
      <c r="AG369" s="18" t="s">
        <v>1</v>
      </c>
      <c r="AH369" s="18" t="s">
        <v>696</v>
      </c>
      <c r="AI369" s="18" t="s">
        <v>1416</v>
      </c>
      <c r="AJ369" s="18"/>
      <c r="AK369" s="26" t="str" cm="1">
        <f t="array" ref="AK369">IFERROR(INDEX(Transactions[[Transaction code]:[Transaction name]],_xlfn.XMATCH(Transactions[[#This Row],[Parent code]],Transactions[Transaction name],0),3),Transactions[[#This Row],[Transaction name]])</f>
        <v>Electricity plants - industrial solid waste</v>
      </c>
      <c r="AL369" s="26" t="str" cm="1">
        <f t="array" ref="AL369">IFERROR(INDEX(Transactions[[Transaction code]:[Transaction name]],_xlfn.XMATCH(INDEX(Transactions[[Transaction name]:[Parent code]],_xlfn.XMATCH(Transactions[[#This Row],[L1N]],Transactions[Transaction name],0),3),Transactions[Transaction code],0),2),Transactions[[#This Row],[L1N]])</f>
        <v>Electricity plants</v>
      </c>
      <c r="AM369" s="26" t="str" cm="1">
        <f t="array" ref="AM369">IFERROR(INDEX(Transactions[[Transaction code]:[Transaction name]],_xlfn.XMATCH(INDEX(Transactions[[Transaction name]:[Parent code]],_xlfn.XMATCH(Transactions[[#This Row],[L2N]],Transactions[Transaction name],0),3),Transactions[Transaction code],0),2),Transactions[[#This Row],[L2N]])</f>
        <v>Electricity, CHP and heat plants (T)</v>
      </c>
      <c r="AN369" s="26" t="str" cm="1">
        <f t="array" ref="AN369">IFERROR(INDEX(Transactions[[Transaction code]:[Transaction name]],_xlfn.XMATCH(INDEX(Transactions[[Transaction name]:[Parent code]],_xlfn.XMATCH(Transactions[[#This Row],[L3N]],Transactions[Transaction name],0),3),Transactions[Transaction code],0),2),Transactions[[#This Row],[L3N]])</f>
        <v>Transformation</v>
      </c>
      <c r="AO369" s="26" t="str" cm="1">
        <f t="array" ref="AO369">IFERROR(INDEX(Transactions[[Transaction code]:[Transaction name]],_xlfn.XMATCH(INDEX(Transactions[[Transaction name]:[Parent code]],_xlfn.XMATCH(Transactions[[#This Row],[L4N]],Transactions[Transaction name],0),3),Transactions[Transaction code],0),2),Transactions[[#This Row],[L4N]])</f>
        <v>Transformation</v>
      </c>
      <c r="AP369" s="26" t="str" cm="1">
        <f t="array" ref="AP369">IFERROR(INDEX(Transactions[[Transaction code]:[Transaction name]],_xlfn.XMATCH(INDEX(Transactions[[Transaction name]:[Parent code]],_xlfn.XMATCH(Transactions[[#This Row],[L5N]],Transactions[Transaction name],0),3),Transactions[Transaction code],0),2),Transactions[[#This Row],[L5N]])</f>
        <v>Transformation</v>
      </c>
      <c r="AQ369" s="26" t="str" cm="1">
        <f t="array" ref="AQ369">IFERROR(INDEX(Transactions[[Transaction code]:[Transaction name]],_xlfn.XMATCH(INDEX(Transactions[[Transaction name]:[Parent code]],_xlfn.XMATCH(Transactions[[#This Row],[L6N]],Transactions[Transaction name],0),3),Transactions[Transaction code],0),2),Transactions[[#This Row],[L6N]])</f>
        <v>Transformation</v>
      </c>
      <c r="AR369" s="29" t="str">
        <f>IF(Transactions[[#This Row],[L7N]]=Transactions[[#This Row],[L6N]],Transactions[[#This Row],[L7N]],IF(Transactions[[#This Row],[L6N]]=Transactions[[#This Row],[L5N]],Transactions[[#This Row],[L6N]],IF(Transactions[[#This Row],[L5N]]=Transactions[[#This Row],[L4N]],Transactions[[#This Row],[L5N]],IF(Transactions[[#This Row],[L4N]]=Transactions[[#This Row],[L3N]],Transactions[[#This Row],[L4N]],IF(Transactions[[#This Row],[L3N]]=Transactions[[#This Row],[L2N]],Transactions[[#This Row],[L3N]],IF(Transactions[[#This Row],[L2N]]=Transactions[[#This Row],[L1N]],Transactions[[#This Row],[L2N]],IF(Transactions[[#This Row],[L1N]]=Transactions[[#This Row],[Transaction name]],Transactions[[#This Row],[L1N]],Transactions[[#This Row],[Transaction name]])))))))</f>
        <v>Transformation</v>
      </c>
      <c r="AS369" s="26" t="str">
        <f>IF(Transactions[[#This Row],[Level 0]]=Transactions[[#This Row],[Transaction name]],Transactions[[#This Row],[Transaction name]],IF(Transactions[[#This Row],[Level 0]]=Transactions[[#This Row],[L1N]],Transactions[[#This Row],[Transaction name]],IF(Transactions[[#This Row],[Level 0]]=Transactions[[#This Row],[L2N]],Transactions[[#This Row],[L1N]],IF(Transactions[[#This Row],[Level 0]]=Transactions[[#This Row],[L3N]],Transactions[[#This Row],[L2N]],IF(Transactions[[#This Row],[Level 0]]=Transactions[[#This Row],[L4N]],Transactions[[#This Row],[L3N]],IF(Transactions[[#This Row],[Level 0]]=Transactions[[#This Row],[L5N]],Transactions[[#This Row],[L4N]],IF(Transactions[[#This Row],[Level 0]]=Transactions[[#This Row],[L6N]],Transactions[[#This Row],[L5N]],IF(Transactions[[#This Row],[Level 0]]=Transactions[[#This Row],[L7N]],Transactions[[#This Row],[L6N]],Transactions[[#This Row],[L7N]]))))))))</f>
        <v>Electricity, CHP and heat plants (T)</v>
      </c>
      <c r="AT369" s="26" t="str">
        <f>IF(Transactions[[#This Row],[Level 1]]=Transactions[[#This Row],[Transaction name]],Transactions[[#This Row],[Transaction name]],IF(Transactions[[#This Row],[Level 1]]=Transactions[[#This Row],[L1N]],Transactions[[#This Row],[Transaction name]],IF(Transactions[[#This Row],[Level 1]]=Transactions[[#This Row],[L2N]],Transactions[[#This Row],[L1N]],IF(Transactions[[#This Row],[Level 1]]=Transactions[[#This Row],[L3N]],Transactions[[#This Row],[L2N]],IF(Transactions[[#This Row],[Level 1]]=Transactions[[#This Row],[L4N]],Transactions[[#This Row],[L3N]],IF(Transactions[[#This Row],[Level 1]]=Transactions[[#This Row],[L5N]],Transactions[[#This Row],[L4N]],IF(Transactions[[#This Row],[Level 1]]=Transactions[[#This Row],[L6N]],Transactions[[#This Row],[L5N]],IF(Transactions[[#This Row],[Level 1]]=Transactions[[#This Row],[L7N]],Transactions[[#This Row],[L6N]],Transactions[[#This Row],[L7N]]))))))))</f>
        <v>Electricity plants</v>
      </c>
      <c r="AU369" s="26" t="str">
        <f>IF(Transactions[[#This Row],[Level 2]]=Transactions[[#This Row],[Transaction name]],Transactions[[#This Row],[Transaction name]],IF(Transactions[[#This Row],[Level 2]]=Transactions[[#This Row],[L1N]],Transactions[[#This Row],[Transaction name]],IF(Transactions[[#This Row],[Level 2]]=Transactions[[#This Row],[L2N]],Transactions[[#This Row],[L1N]],IF(Transactions[[#This Row],[Level 2]]=Transactions[[#This Row],[L3N]],Transactions[[#This Row],[L2N]],IF(Transactions[[#This Row],[Level 2]]=Transactions[[#This Row],[L4N]],Transactions[[#This Row],[L3N]],IF(Transactions[[#This Row],[Level 2]]=Transactions[[#This Row],[L5N]],Transactions[[#This Row],[L4N]],IF(Transactions[[#This Row],[Level 2]]=Transactions[[#This Row],[L6N]],Transactions[[#This Row],[L5N]],IF(Transactions[[#This Row],[Level 2]]=Transactions[[#This Row],[L7N]],Transactions[[#This Row],[L6N]],Transactions[[#This Row],[L7N]]))))))))</f>
        <v>Electricity plants - industrial solid waste</v>
      </c>
      <c r="AV369" s="26" t="str">
        <f>IF(Transactions[[#This Row],[Level 3]]=Transactions[[#This Row],[Transaction name]],Transactions[[#This Row],[Transaction name]],IF(Transactions[[#This Row],[Level 3]]=Transactions[[#This Row],[L1N]],Transactions[[#This Row],[Transaction name]],IF(Transactions[[#This Row],[Level 3]]=Transactions[[#This Row],[L2N]],Transactions[[#This Row],[L1N]],IF(Transactions[[#This Row],[Level 3]]=Transactions[[#This Row],[L3N]],Transactions[[#This Row],[L2N]],IF(Transactions[[#This Row],[Level 3]]=Transactions[[#This Row],[L4N]],Transactions[[#This Row],[L3N]],IF(Transactions[[#This Row],[Level 3]]=Transactions[[#This Row],[L5N]],Transactions[[#This Row],[L4N]],IF(Transactions[[#This Row],[Level 3]]=Transactions[[#This Row],[L6N]],Transactions[[#This Row],[L5N]],IF(Transactions[[#This Row],[Level 3]]=Transactions[[#This Row],[L7N]],Transactions[[#This Row],[L6N]],Transactions[[#This Row],[L7N]]))))))))</f>
        <v>Electricity plants - industrial solid waste</v>
      </c>
      <c r="AW369" s="26" t="str">
        <f>IF(Transactions[[#This Row],[Level 4]]=Transactions[[#This Row],[Transaction name]],Transactions[[#This Row],[Transaction name]],IF(Transactions[[#This Row],[Level 4]]=Transactions[[#This Row],[L1N]],Transactions[[#This Row],[Transaction name]],IF(Transactions[[#This Row],[Level 4]]=Transactions[[#This Row],[L2N]],Transactions[[#This Row],[L1N]],IF(Transactions[[#This Row],[Level 4]]=Transactions[[#This Row],[L3N]],Transactions[[#This Row],[L2N]],IF(Transactions[[#This Row],[Level 4]]=Transactions[[#This Row],[L4N]],Transactions[[#This Row],[L3N]],IF(Transactions[[#This Row],[Level 4]]=Transactions[[#This Row],[L5N]],Transactions[[#This Row],[L4N]],IF(Transactions[[#This Row],[Level 4]]=Transactions[[#This Row],[L6N]],Transactions[[#This Row],[L5N]],IF(Transactions[[#This Row],[Level 4]]=Transactions[[#This Row],[L7N]],Transactions[[#This Row],[L6N]],Transactions[[#This Row],[L7N]]))))))))</f>
        <v>Electricity plants - industrial solid waste</v>
      </c>
      <c r="AX369" s="26" t="str">
        <f>IF(Transactions[[#This Row],[Level 5]]=Transactions[[#This Row],[Transaction name]],Transactions[[#This Row],[Transaction name]],IF(Transactions[[#This Row],[Level 5]]=Transactions[[#This Row],[L1N]],Transactions[[#This Row],[Transaction name]],IF(Transactions[[#This Row],[Level 5]]=Transactions[[#This Row],[L2N]],Transactions[[#This Row],[L1N]],IF(Transactions[[#This Row],[Level 5]]=Transactions[[#This Row],[L3N]],Transactions[[#This Row],[L2N]],IF(Transactions[[#This Row],[Level 5]]=Transactions[[#This Row],[L4N]],Transactions[[#This Row],[L3N]],IF(Transactions[[#This Row],[Level 5]]=Transactions[[#This Row],[L5N]],Transactions[[#This Row],[L4N]],IF(Transactions[[#This Row],[Level 5]]=Transactions[[#This Row],[L6N]],Transactions[[#This Row],[L5N]],IF(Transactions[[#This Row],[Level 5]]=Transactions[[#This Row],[L7N]],Transactions[[#This Row],[L6N]],Transactions[[#This Row],[L7N]]))))))))</f>
        <v>Electricity plants - industrial solid waste</v>
      </c>
      <c r="AY369" s="26" t="str">
        <f>IF(Transactions[[#This Row],[Level 6]]=Transactions[[#This Row],[Transaction name]],Transactions[[#This Row],[Transaction name]],IF(Transactions[[#This Row],[Level 6]]=Transactions[[#This Row],[L1N]],Transactions[[#This Row],[Transaction name]],IF(Transactions[[#This Row],[Level 6]]=Transactions[[#This Row],[L2N]],Transactions[[#This Row],[L1N]],IF(Transactions[[#This Row],[Level 6]]=Transactions[[#This Row],[L3N]],Transactions[[#This Row],[L2N]],IF(Transactions[[#This Row],[Level 6]]=Transactions[[#This Row],[L4N]],Transactions[[#This Row],[L3N]],IF(Transactions[[#This Row],[Level 6]]=Transactions[[#This Row],[L5N]],Transactions[[#This Row],[L4N]],IF(Transactions[[#This Row],[Level 6]]=Transactions[[#This Row],[L6N]],Transactions[[#This Row],[L5N]],IF(Transactions[[#This Row],[Level 6]]=Transactions[[#This Row],[L7N]],Transactions[[#This Row],[L6N]],Transactions[[#This Row],[L7N]]))))))))</f>
        <v>Electricity plants - industrial solid waste</v>
      </c>
      <c r="BE369" s="26" t="str">
        <f>_xlfn.XLOOKUP(Transformation[[#This Row],[cfrom]],Commodities[Commodity],Commodities[Commodity code])</f>
        <v>4653</v>
      </c>
      <c r="BF369" s="26" t="str">
        <f>_xlfn.XLOOKUP(Transformation[[#This Row],[tfrom]],Transactions[Transaction name],Transactions[Transaction code])</f>
        <v>014</v>
      </c>
      <c r="BG369" s="26" t="str">
        <f>_xlfn.XLOOKUP(Transformation[[#This Row],[cto]],Commodities[Commodity],Commodities[Commodity code])</f>
        <v>4653</v>
      </c>
      <c r="BH369" s="26" t="str">
        <f>_xlfn.XLOOKUP(Transformation[[#This Row],[tto]],Transactions[Transaction name],Transactions[Transaction code])</f>
        <v>014</v>
      </c>
      <c r="BI369" s="31">
        <v>-1</v>
      </c>
      <c r="BJ369" s="22" t="s">
        <v>390</v>
      </c>
      <c r="BK369" s="26" t="str">
        <f>_xlfn.XLOOKUP(Transformation[[#This Row],[Commodity from]],Commodities[Commodity code],Commodities[EnergyCode])</f>
        <v>GJ</v>
      </c>
      <c r="BL369" s="22" t="s">
        <v>370</v>
      </c>
      <c r="BM369" s="22" t="s">
        <v>390</v>
      </c>
      <c r="BN369" s="26" t="str">
        <f>_xlfn.XLOOKUP(Transformation[[#This Row],[Commodity to]],Commodities[Commodity code],Commodities[EnergyCode])</f>
        <v>GJ</v>
      </c>
      <c r="BO369" s="22" t="s">
        <v>370</v>
      </c>
      <c r="BP369" s="22" t="s">
        <v>1689</v>
      </c>
      <c r="BQ369" s="33" t="str">
        <f>Transformation[[#This Row],[Commodity from]]&amp;Transformation[[#This Row],[Transaction from]]&amp;Transformation[[#This Row],[Commodity to]]&amp;Transformation[[#This Row],[Transaction to]]</f>
        <v>46530144653014</v>
      </c>
      <c r="BR369" s="26" t="str">
        <f>Transformation[[#This Row],[crfomid]]&amp;Transformation[[#This Row],[Transaction from]]&amp;"("&amp;Transformation[[#This Row],[Multiplier]]&amp;") -&gt; "&amp;Transformation[[#This Row],[ctoid]]&amp;Transformation[[#This Row],[Transaction to]]</f>
        <v>GJ014(-1) -&gt; GJ014</v>
      </c>
    </row>
    <row r="370" spans="25:70" x14ac:dyDescent="0.45">
      <c r="Y370" s="5" t="s">
        <v>1163</v>
      </c>
      <c r="Z370" s="7" t="s">
        <v>1155</v>
      </c>
      <c r="AA370" s="4" t="s">
        <v>1372</v>
      </c>
      <c r="AB370" s="19" t="s">
        <v>1593</v>
      </c>
      <c r="AC370" s="24" t="str">
        <f>IFERROR(VLOOKUP(Transactions[[#This Row],[Parent code]],Transactions[[Transaction code]:[Transaction name]],2,0),"")</f>
        <v>Electricity plants - industrial solid waste</v>
      </c>
      <c r="AD370" s="4" t="s">
        <v>189</v>
      </c>
      <c r="AE370" s="4" t="s">
        <v>923</v>
      </c>
      <c r="AF370" s="4" t="s">
        <v>642</v>
      </c>
      <c r="AG370" s="4" t="s">
        <v>1</v>
      </c>
      <c r="AH370" s="4" t="s">
        <v>696</v>
      </c>
      <c r="AI370" s="12" t="s">
        <v>1416</v>
      </c>
      <c r="AK370" s="24" t="str" cm="1">
        <f t="array" ref="AK370">IFERROR(INDEX(Transactions[[Transaction code]:[Transaction name]],_xlfn.XMATCH(Transactions[[#This Row],[Parent code]],Transactions[Transaction name],0),3),Transactions[[#This Row],[Transaction name]])</f>
        <v>Electricity plants - Main activity - industrial solid waste</v>
      </c>
      <c r="AL370" s="24" t="str" cm="1">
        <f t="array" ref="AL370">IFERROR(INDEX(Transactions[[Transaction code]:[Transaction name]],_xlfn.XMATCH(INDEX(Transactions[[Transaction name]:[Parent code]],_xlfn.XMATCH(Transactions[[#This Row],[L1N]],Transactions[Transaction name],0),3),Transactions[Transaction code],0),2),Transactions[[#This Row],[L1N]])</f>
        <v>Electricity plants - industrial solid waste</v>
      </c>
      <c r="AM370" s="24" t="str" cm="1">
        <f t="array" ref="AM370">IFERROR(INDEX(Transactions[[Transaction code]:[Transaction name]],_xlfn.XMATCH(INDEX(Transactions[[Transaction name]:[Parent code]],_xlfn.XMATCH(Transactions[[#This Row],[L2N]],Transactions[Transaction name],0),3),Transactions[Transaction code],0),2),Transactions[[#This Row],[L2N]])</f>
        <v>Electricity plants</v>
      </c>
      <c r="AN370" s="24" t="str" cm="1">
        <f t="array" ref="AN370">IFERROR(INDEX(Transactions[[Transaction code]:[Transaction name]],_xlfn.XMATCH(INDEX(Transactions[[Transaction name]:[Parent code]],_xlfn.XMATCH(Transactions[[#This Row],[L3N]],Transactions[Transaction name],0),3),Transactions[Transaction code],0),2),Transactions[[#This Row],[L3N]])</f>
        <v>Electricity, CHP and heat plants (T)</v>
      </c>
      <c r="AO370" s="24" t="str" cm="1">
        <f t="array" ref="AO370">IFERROR(INDEX(Transactions[[Transaction code]:[Transaction name]],_xlfn.XMATCH(INDEX(Transactions[[Transaction name]:[Parent code]],_xlfn.XMATCH(Transactions[[#This Row],[L4N]],Transactions[Transaction name],0),3),Transactions[Transaction code],0),2),Transactions[[#This Row],[L4N]])</f>
        <v>Transformation</v>
      </c>
      <c r="AP370" s="24" t="str" cm="1">
        <f t="array" ref="AP370">IFERROR(INDEX(Transactions[[Transaction code]:[Transaction name]],_xlfn.XMATCH(INDEX(Transactions[[Transaction name]:[Parent code]],_xlfn.XMATCH(Transactions[[#This Row],[L5N]],Transactions[Transaction name],0),3),Transactions[Transaction code],0),2),Transactions[[#This Row],[L5N]])</f>
        <v>Transformation</v>
      </c>
      <c r="AQ370" s="24" t="str" cm="1">
        <f t="array" ref="AQ370">IFERROR(INDEX(Transactions[[Transaction code]:[Transaction name]],_xlfn.XMATCH(INDEX(Transactions[[Transaction name]:[Parent code]],_xlfn.XMATCH(Transactions[[#This Row],[L6N]],Transactions[Transaction name],0),3),Transactions[Transaction code],0),2),Transactions[[#This Row],[L6N]])</f>
        <v>Transformation</v>
      </c>
      <c r="AR370" s="27" t="str">
        <f>IF(Transactions[[#This Row],[L7N]]=Transactions[[#This Row],[L6N]],Transactions[[#This Row],[L7N]],IF(Transactions[[#This Row],[L6N]]=Transactions[[#This Row],[L5N]],Transactions[[#This Row],[L6N]],IF(Transactions[[#This Row],[L5N]]=Transactions[[#This Row],[L4N]],Transactions[[#This Row],[L5N]],IF(Transactions[[#This Row],[L4N]]=Transactions[[#This Row],[L3N]],Transactions[[#This Row],[L4N]],IF(Transactions[[#This Row],[L3N]]=Transactions[[#This Row],[L2N]],Transactions[[#This Row],[L3N]],IF(Transactions[[#This Row],[L2N]]=Transactions[[#This Row],[L1N]],Transactions[[#This Row],[L2N]],IF(Transactions[[#This Row],[L1N]]=Transactions[[#This Row],[Transaction name]],Transactions[[#This Row],[L1N]],Transactions[[#This Row],[Transaction name]])))))))</f>
        <v>Transformation</v>
      </c>
      <c r="AS370" s="24" t="str">
        <f>IF(Transactions[[#This Row],[Level 0]]=Transactions[[#This Row],[Transaction name]],Transactions[[#This Row],[Transaction name]],IF(Transactions[[#This Row],[Level 0]]=Transactions[[#This Row],[L1N]],Transactions[[#This Row],[Transaction name]],IF(Transactions[[#This Row],[Level 0]]=Transactions[[#This Row],[L2N]],Transactions[[#This Row],[L1N]],IF(Transactions[[#This Row],[Level 0]]=Transactions[[#This Row],[L3N]],Transactions[[#This Row],[L2N]],IF(Transactions[[#This Row],[Level 0]]=Transactions[[#This Row],[L4N]],Transactions[[#This Row],[L3N]],IF(Transactions[[#This Row],[Level 0]]=Transactions[[#This Row],[L5N]],Transactions[[#This Row],[L4N]],IF(Transactions[[#This Row],[Level 0]]=Transactions[[#This Row],[L6N]],Transactions[[#This Row],[L5N]],IF(Transactions[[#This Row],[Level 0]]=Transactions[[#This Row],[L7N]],Transactions[[#This Row],[L6N]],Transactions[[#This Row],[L7N]]))))))))</f>
        <v>Electricity, CHP and heat plants (T)</v>
      </c>
      <c r="AT370" s="24" t="str">
        <f>IF(Transactions[[#This Row],[Level 1]]=Transactions[[#This Row],[Transaction name]],Transactions[[#This Row],[Transaction name]],IF(Transactions[[#This Row],[Level 1]]=Transactions[[#This Row],[L1N]],Transactions[[#This Row],[Transaction name]],IF(Transactions[[#This Row],[Level 1]]=Transactions[[#This Row],[L2N]],Transactions[[#This Row],[L1N]],IF(Transactions[[#This Row],[Level 1]]=Transactions[[#This Row],[L3N]],Transactions[[#This Row],[L2N]],IF(Transactions[[#This Row],[Level 1]]=Transactions[[#This Row],[L4N]],Transactions[[#This Row],[L3N]],IF(Transactions[[#This Row],[Level 1]]=Transactions[[#This Row],[L5N]],Transactions[[#This Row],[L4N]],IF(Transactions[[#This Row],[Level 1]]=Transactions[[#This Row],[L6N]],Transactions[[#This Row],[L5N]],IF(Transactions[[#This Row],[Level 1]]=Transactions[[#This Row],[L7N]],Transactions[[#This Row],[L6N]],Transactions[[#This Row],[L7N]]))))))))</f>
        <v>Electricity plants</v>
      </c>
      <c r="AU370" s="24" t="str">
        <f>IF(Transactions[[#This Row],[Level 2]]=Transactions[[#This Row],[Transaction name]],Transactions[[#This Row],[Transaction name]],IF(Transactions[[#This Row],[Level 2]]=Transactions[[#This Row],[L1N]],Transactions[[#This Row],[Transaction name]],IF(Transactions[[#This Row],[Level 2]]=Transactions[[#This Row],[L2N]],Transactions[[#This Row],[L1N]],IF(Transactions[[#This Row],[Level 2]]=Transactions[[#This Row],[L3N]],Transactions[[#This Row],[L2N]],IF(Transactions[[#This Row],[Level 2]]=Transactions[[#This Row],[L4N]],Transactions[[#This Row],[L3N]],IF(Transactions[[#This Row],[Level 2]]=Transactions[[#This Row],[L5N]],Transactions[[#This Row],[L4N]],IF(Transactions[[#This Row],[Level 2]]=Transactions[[#This Row],[L6N]],Transactions[[#This Row],[L5N]],IF(Transactions[[#This Row],[Level 2]]=Transactions[[#This Row],[L7N]],Transactions[[#This Row],[L6N]],Transactions[[#This Row],[L7N]]))))))))</f>
        <v>Electricity plants - industrial solid waste</v>
      </c>
      <c r="AV370" s="24" t="str">
        <f>IF(Transactions[[#This Row],[Level 3]]=Transactions[[#This Row],[Transaction name]],Transactions[[#This Row],[Transaction name]],IF(Transactions[[#This Row],[Level 3]]=Transactions[[#This Row],[L1N]],Transactions[[#This Row],[Transaction name]],IF(Transactions[[#This Row],[Level 3]]=Transactions[[#This Row],[L2N]],Transactions[[#This Row],[L1N]],IF(Transactions[[#This Row],[Level 3]]=Transactions[[#This Row],[L3N]],Transactions[[#This Row],[L2N]],IF(Transactions[[#This Row],[Level 3]]=Transactions[[#This Row],[L4N]],Transactions[[#This Row],[L3N]],IF(Transactions[[#This Row],[Level 3]]=Transactions[[#This Row],[L5N]],Transactions[[#This Row],[L4N]],IF(Transactions[[#This Row],[Level 3]]=Transactions[[#This Row],[L6N]],Transactions[[#This Row],[L5N]],IF(Transactions[[#This Row],[Level 3]]=Transactions[[#This Row],[L7N]],Transactions[[#This Row],[L6N]],Transactions[[#This Row],[L7N]]))))))))</f>
        <v>Electricity plants - Main activity - industrial solid waste</v>
      </c>
      <c r="AW370" s="24" t="str">
        <f>IF(Transactions[[#This Row],[Level 4]]=Transactions[[#This Row],[Transaction name]],Transactions[[#This Row],[Transaction name]],IF(Transactions[[#This Row],[Level 4]]=Transactions[[#This Row],[L1N]],Transactions[[#This Row],[Transaction name]],IF(Transactions[[#This Row],[Level 4]]=Transactions[[#This Row],[L2N]],Transactions[[#This Row],[L1N]],IF(Transactions[[#This Row],[Level 4]]=Transactions[[#This Row],[L3N]],Transactions[[#This Row],[L2N]],IF(Transactions[[#This Row],[Level 4]]=Transactions[[#This Row],[L4N]],Transactions[[#This Row],[L3N]],IF(Transactions[[#This Row],[Level 4]]=Transactions[[#This Row],[L5N]],Transactions[[#This Row],[L4N]],IF(Transactions[[#This Row],[Level 4]]=Transactions[[#This Row],[L6N]],Transactions[[#This Row],[L5N]],IF(Transactions[[#This Row],[Level 4]]=Transactions[[#This Row],[L7N]],Transactions[[#This Row],[L6N]],Transactions[[#This Row],[L7N]]))))))))</f>
        <v>Electricity plants - Main activity - industrial solid waste</v>
      </c>
      <c r="AX370" s="24" t="str">
        <f>IF(Transactions[[#This Row],[Level 5]]=Transactions[[#This Row],[Transaction name]],Transactions[[#This Row],[Transaction name]],IF(Transactions[[#This Row],[Level 5]]=Transactions[[#This Row],[L1N]],Transactions[[#This Row],[Transaction name]],IF(Transactions[[#This Row],[Level 5]]=Transactions[[#This Row],[L2N]],Transactions[[#This Row],[L1N]],IF(Transactions[[#This Row],[Level 5]]=Transactions[[#This Row],[L3N]],Transactions[[#This Row],[L2N]],IF(Transactions[[#This Row],[Level 5]]=Transactions[[#This Row],[L4N]],Transactions[[#This Row],[L3N]],IF(Transactions[[#This Row],[Level 5]]=Transactions[[#This Row],[L5N]],Transactions[[#This Row],[L4N]],IF(Transactions[[#This Row],[Level 5]]=Transactions[[#This Row],[L6N]],Transactions[[#This Row],[L5N]],IF(Transactions[[#This Row],[Level 5]]=Transactions[[#This Row],[L7N]],Transactions[[#This Row],[L6N]],Transactions[[#This Row],[L7N]]))))))))</f>
        <v>Electricity plants - Main activity - industrial solid waste</v>
      </c>
      <c r="AY370" s="24" t="str">
        <f>IF(Transactions[[#This Row],[Level 6]]=Transactions[[#This Row],[Transaction name]],Transactions[[#This Row],[Transaction name]],IF(Transactions[[#This Row],[Level 6]]=Transactions[[#This Row],[L1N]],Transactions[[#This Row],[Transaction name]],IF(Transactions[[#This Row],[Level 6]]=Transactions[[#This Row],[L2N]],Transactions[[#This Row],[L1N]],IF(Transactions[[#This Row],[Level 6]]=Transactions[[#This Row],[L3N]],Transactions[[#This Row],[L2N]],IF(Transactions[[#This Row],[Level 6]]=Transactions[[#This Row],[L4N]],Transactions[[#This Row],[L3N]],IF(Transactions[[#This Row],[Level 6]]=Transactions[[#This Row],[L5N]],Transactions[[#This Row],[L4N]],IF(Transactions[[#This Row],[Level 6]]=Transactions[[#This Row],[L6N]],Transactions[[#This Row],[L5N]],IF(Transactions[[#This Row],[Level 6]]=Transactions[[#This Row],[L7N]],Transactions[[#This Row],[L6N]],Transactions[[#This Row],[L7N]]))))))))</f>
        <v>Electricity plants - Main activity - industrial solid waste</v>
      </c>
      <c r="BE370" s="26" t="str">
        <f>_xlfn.XLOOKUP(Transformation[[#This Row],[cfrom]],Commodities[Commodity],Commodities[Commodity code])</f>
        <v>4661</v>
      </c>
      <c r="BF370" s="26" t="str">
        <f>_xlfn.XLOOKUP(Transformation[[#This Row],[tfrom]],Transactions[Transaction name],Transactions[Transaction code])</f>
        <v>014</v>
      </c>
      <c r="BG370" s="26" t="str">
        <f>_xlfn.XLOOKUP(Transformation[[#This Row],[cto]],Commodities[Commodity],Commodities[Commodity code])</f>
        <v>4661</v>
      </c>
      <c r="BH370" s="26" t="str">
        <f>_xlfn.XLOOKUP(Transformation[[#This Row],[tto]],Transactions[Transaction name],Transactions[Transaction code])</f>
        <v>087</v>
      </c>
      <c r="BI370" s="31">
        <v>1</v>
      </c>
      <c r="BJ370" s="22" t="s">
        <v>381</v>
      </c>
      <c r="BK370" s="26" t="str">
        <f>_xlfn.XLOOKUP(Transformation[[#This Row],[Commodity from]],Commodities[Commodity code],Commodities[EnergyCode])</f>
        <v>JF</v>
      </c>
      <c r="BL370" s="22" t="s">
        <v>370</v>
      </c>
      <c r="BM370" s="22" t="s">
        <v>381</v>
      </c>
      <c r="BN370" s="26" t="str">
        <f>_xlfn.XLOOKUP(Transformation[[#This Row],[Commodity to]],Commodities[Commodity code],Commodities[EnergyCode])</f>
        <v>JF</v>
      </c>
      <c r="BO370" s="22" t="s">
        <v>729</v>
      </c>
      <c r="BP370" s="22" t="s">
        <v>1688</v>
      </c>
      <c r="BQ370" s="33" t="str">
        <f>Transformation[[#This Row],[Commodity from]]&amp;Transformation[[#This Row],[Transaction from]]&amp;Transformation[[#This Row],[Commodity to]]&amp;Transformation[[#This Row],[Transaction to]]</f>
        <v>46610144661087</v>
      </c>
      <c r="BR370" s="26" t="str">
        <f>Transformation[[#This Row],[crfomid]]&amp;Transformation[[#This Row],[Transaction from]]&amp;"("&amp;Transformation[[#This Row],[Multiplier]]&amp;") -&gt; "&amp;Transformation[[#This Row],[ctoid]]&amp;Transformation[[#This Row],[Transaction to]]</f>
        <v>JF014(1) -&gt; JF087</v>
      </c>
    </row>
    <row r="371" spans="25:70" x14ac:dyDescent="0.45">
      <c r="Y371" s="5" t="s">
        <v>1103</v>
      </c>
      <c r="Z371" s="7" t="s">
        <v>1079</v>
      </c>
      <c r="AA371" s="4" t="s">
        <v>1356</v>
      </c>
      <c r="AB371" s="19" t="s">
        <v>1580</v>
      </c>
      <c r="AC371" s="24" t="str">
        <f>IFERROR(VLOOKUP(Transactions[[#This Row],[Parent code]],Transactions[[Transaction code]:[Transaction name]],2,0),"")</f>
        <v>Electricity plants - liquid biofuels</v>
      </c>
      <c r="AD371" s="4" t="s">
        <v>189</v>
      </c>
      <c r="AE371" s="4" t="s">
        <v>923</v>
      </c>
      <c r="AF371" s="4" t="s">
        <v>642</v>
      </c>
      <c r="AG371" s="4" t="s">
        <v>1</v>
      </c>
      <c r="AH371" s="4" t="s">
        <v>696</v>
      </c>
      <c r="AI371" s="12" t="s">
        <v>1416</v>
      </c>
      <c r="AK371" s="24" t="str" cm="1">
        <f t="array" ref="AK371">IFERROR(INDEX(Transactions[[Transaction code]:[Transaction name]],_xlfn.XMATCH(Transactions[[#This Row],[Parent code]],Transactions[Transaction name],0),3),Transactions[[#This Row],[Transaction name]])</f>
        <v>Electricity plants - Autoproducer - liquid biofuels</v>
      </c>
      <c r="AL371" s="24" t="str" cm="1">
        <f t="array" ref="AL371">IFERROR(INDEX(Transactions[[Transaction code]:[Transaction name]],_xlfn.XMATCH(INDEX(Transactions[[Transaction name]:[Parent code]],_xlfn.XMATCH(Transactions[[#This Row],[L1N]],Transactions[Transaction name],0),3),Transactions[Transaction code],0),2),Transactions[[#This Row],[L1N]])</f>
        <v>Electricity plants - liquid biofuels</v>
      </c>
      <c r="AM371" s="24" t="str" cm="1">
        <f t="array" ref="AM371">IFERROR(INDEX(Transactions[[Transaction code]:[Transaction name]],_xlfn.XMATCH(INDEX(Transactions[[Transaction name]:[Parent code]],_xlfn.XMATCH(Transactions[[#This Row],[L2N]],Transactions[Transaction name],0),3),Transactions[Transaction code],0),2),Transactions[[#This Row],[L2N]])</f>
        <v>Electricity plants</v>
      </c>
      <c r="AN371" s="24" t="str" cm="1">
        <f t="array" ref="AN371">IFERROR(INDEX(Transactions[[Transaction code]:[Transaction name]],_xlfn.XMATCH(INDEX(Transactions[[Transaction name]:[Parent code]],_xlfn.XMATCH(Transactions[[#This Row],[L3N]],Transactions[Transaction name],0),3),Transactions[Transaction code],0),2),Transactions[[#This Row],[L3N]])</f>
        <v>Electricity, CHP and heat plants (T)</v>
      </c>
      <c r="AO371" s="24" t="str" cm="1">
        <f t="array" ref="AO371">IFERROR(INDEX(Transactions[[Transaction code]:[Transaction name]],_xlfn.XMATCH(INDEX(Transactions[[Transaction name]:[Parent code]],_xlfn.XMATCH(Transactions[[#This Row],[L4N]],Transactions[Transaction name],0),3),Transactions[Transaction code],0),2),Transactions[[#This Row],[L4N]])</f>
        <v>Transformation</v>
      </c>
      <c r="AP371" s="24" t="str" cm="1">
        <f t="array" ref="AP371">IFERROR(INDEX(Transactions[[Transaction code]:[Transaction name]],_xlfn.XMATCH(INDEX(Transactions[[Transaction name]:[Parent code]],_xlfn.XMATCH(Transactions[[#This Row],[L5N]],Transactions[Transaction name],0),3),Transactions[Transaction code],0),2),Transactions[[#This Row],[L5N]])</f>
        <v>Transformation</v>
      </c>
      <c r="AQ371" s="24" t="str" cm="1">
        <f t="array" ref="AQ371">IFERROR(INDEX(Transactions[[Transaction code]:[Transaction name]],_xlfn.XMATCH(INDEX(Transactions[[Transaction name]:[Parent code]],_xlfn.XMATCH(Transactions[[#This Row],[L6N]],Transactions[Transaction name],0),3),Transactions[Transaction code],0),2),Transactions[[#This Row],[L6N]])</f>
        <v>Transformation</v>
      </c>
      <c r="AR371" s="27" t="str">
        <f>IF(Transactions[[#This Row],[L7N]]=Transactions[[#This Row],[L6N]],Transactions[[#This Row],[L7N]],IF(Transactions[[#This Row],[L6N]]=Transactions[[#This Row],[L5N]],Transactions[[#This Row],[L6N]],IF(Transactions[[#This Row],[L5N]]=Transactions[[#This Row],[L4N]],Transactions[[#This Row],[L5N]],IF(Transactions[[#This Row],[L4N]]=Transactions[[#This Row],[L3N]],Transactions[[#This Row],[L4N]],IF(Transactions[[#This Row],[L3N]]=Transactions[[#This Row],[L2N]],Transactions[[#This Row],[L3N]],IF(Transactions[[#This Row],[L2N]]=Transactions[[#This Row],[L1N]],Transactions[[#This Row],[L2N]],IF(Transactions[[#This Row],[L1N]]=Transactions[[#This Row],[Transaction name]],Transactions[[#This Row],[L1N]],Transactions[[#This Row],[Transaction name]])))))))</f>
        <v>Transformation</v>
      </c>
      <c r="AS371" s="24" t="str">
        <f>IF(Transactions[[#This Row],[Level 0]]=Transactions[[#This Row],[Transaction name]],Transactions[[#This Row],[Transaction name]],IF(Transactions[[#This Row],[Level 0]]=Transactions[[#This Row],[L1N]],Transactions[[#This Row],[Transaction name]],IF(Transactions[[#This Row],[Level 0]]=Transactions[[#This Row],[L2N]],Transactions[[#This Row],[L1N]],IF(Transactions[[#This Row],[Level 0]]=Transactions[[#This Row],[L3N]],Transactions[[#This Row],[L2N]],IF(Transactions[[#This Row],[Level 0]]=Transactions[[#This Row],[L4N]],Transactions[[#This Row],[L3N]],IF(Transactions[[#This Row],[Level 0]]=Transactions[[#This Row],[L5N]],Transactions[[#This Row],[L4N]],IF(Transactions[[#This Row],[Level 0]]=Transactions[[#This Row],[L6N]],Transactions[[#This Row],[L5N]],IF(Transactions[[#This Row],[Level 0]]=Transactions[[#This Row],[L7N]],Transactions[[#This Row],[L6N]],Transactions[[#This Row],[L7N]]))))))))</f>
        <v>Electricity, CHP and heat plants (T)</v>
      </c>
      <c r="AT371" s="24" t="str">
        <f>IF(Transactions[[#This Row],[Level 1]]=Transactions[[#This Row],[Transaction name]],Transactions[[#This Row],[Transaction name]],IF(Transactions[[#This Row],[Level 1]]=Transactions[[#This Row],[L1N]],Transactions[[#This Row],[Transaction name]],IF(Transactions[[#This Row],[Level 1]]=Transactions[[#This Row],[L2N]],Transactions[[#This Row],[L1N]],IF(Transactions[[#This Row],[Level 1]]=Transactions[[#This Row],[L3N]],Transactions[[#This Row],[L2N]],IF(Transactions[[#This Row],[Level 1]]=Transactions[[#This Row],[L4N]],Transactions[[#This Row],[L3N]],IF(Transactions[[#This Row],[Level 1]]=Transactions[[#This Row],[L5N]],Transactions[[#This Row],[L4N]],IF(Transactions[[#This Row],[Level 1]]=Transactions[[#This Row],[L6N]],Transactions[[#This Row],[L5N]],IF(Transactions[[#This Row],[Level 1]]=Transactions[[#This Row],[L7N]],Transactions[[#This Row],[L6N]],Transactions[[#This Row],[L7N]]))))))))</f>
        <v>Electricity plants</v>
      </c>
      <c r="AU371" s="24" t="str">
        <f>IF(Transactions[[#This Row],[Level 2]]=Transactions[[#This Row],[Transaction name]],Transactions[[#This Row],[Transaction name]],IF(Transactions[[#This Row],[Level 2]]=Transactions[[#This Row],[L1N]],Transactions[[#This Row],[Transaction name]],IF(Transactions[[#This Row],[Level 2]]=Transactions[[#This Row],[L2N]],Transactions[[#This Row],[L1N]],IF(Transactions[[#This Row],[Level 2]]=Transactions[[#This Row],[L3N]],Transactions[[#This Row],[L2N]],IF(Transactions[[#This Row],[Level 2]]=Transactions[[#This Row],[L4N]],Transactions[[#This Row],[L3N]],IF(Transactions[[#This Row],[Level 2]]=Transactions[[#This Row],[L5N]],Transactions[[#This Row],[L4N]],IF(Transactions[[#This Row],[Level 2]]=Transactions[[#This Row],[L6N]],Transactions[[#This Row],[L5N]],IF(Transactions[[#This Row],[Level 2]]=Transactions[[#This Row],[L7N]],Transactions[[#This Row],[L6N]],Transactions[[#This Row],[L7N]]))))))))</f>
        <v>Electricity plants - liquid biofuels</v>
      </c>
      <c r="AV371" s="24" t="str">
        <f>IF(Transactions[[#This Row],[Level 3]]=Transactions[[#This Row],[Transaction name]],Transactions[[#This Row],[Transaction name]],IF(Transactions[[#This Row],[Level 3]]=Transactions[[#This Row],[L1N]],Transactions[[#This Row],[Transaction name]],IF(Transactions[[#This Row],[Level 3]]=Transactions[[#This Row],[L2N]],Transactions[[#This Row],[L1N]],IF(Transactions[[#This Row],[Level 3]]=Transactions[[#This Row],[L3N]],Transactions[[#This Row],[L2N]],IF(Transactions[[#This Row],[Level 3]]=Transactions[[#This Row],[L4N]],Transactions[[#This Row],[L3N]],IF(Transactions[[#This Row],[Level 3]]=Transactions[[#This Row],[L5N]],Transactions[[#This Row],[L4N]],IF(Transactions[[#This Row],[Level 3]]=Transactions[[#This Row],[L6N]],Transactions[[#This Row],[L5N]],IF(Transactions[[#This Row],[Level 3]]=Transactions[[#This Row],[L7N]],Transactions[[#This Row],[L6N]],Transactions[[#This Row],[L7N]]))))))))</f>
        <v>Electricity plants - Autoproducer - liquid biofuels</v>
      </c>
      <c r="AW371" s="24" t="str">
        <f>IF(Transactions[[#This Row],[Level 4]]=Transactions[[#This Row],[Transaction name]],Transactions[[#This Row],[Transaction name]],IF(Transactions[[#This Row],[Level 4]]=Transactions[[#This Row],[L1N]],Transactions[[#This Row],[Transaction name]],IF(Transactions[[#This Row],[Level 4]]=Transactions[[#This Row],[L2N]],Transactions[[#This Row],[L1N]],IF(Transactions[[#This Row],[Level 4]]=Transactions[[#This Row],[L3N]],Transactions[[#This Row],[L2N]],IF(Transactions[[#This Row],[Level 4]]=Transactions[[#This Row],[L4N]],Transactions[[#This Row],[L3N]],IF(Transactions[[#This Row],[Level 4]]=Transactions[[#This Row],[L5N]],Transactions[[#This Row],[L4N]],IF(Transactions[[#This Row],[Level 4]]=Transactions[[#This Row],[L6N]],Transactions[[#This Row],[L5N]],IF(Transactions[[#This Row],[Level 4]]=Transactions[[#This Row],[L7N]],Transactions[[#This Row],[L6N]],Transactions[[#This Row],[L7N]]))))))))</f>
        <v>Electricity plants - Autoproducer - liquid biofuels</v>
      </c>
      <c r="AX371" s="24" t="str">
        <f>IF(Transactions[[#This Row],[Level 5]]=Transactions[[#This Row],[Transaction name]],Transactions[[#This Row],[Transaction name]],IF(Transactions[[#This Row],[Level 5]]=Transactions[[#This Row],[L1N]],Transactions[[#This Row],[Transaction name]],IF(Transactions[[#This Row],[Level 5]]=Transactions[[#This Row],[L2N]],Transactions[[#This Row],[L1N]],IF(Transactions[[#This Row],[Level 5]]=Transactions[[#This Row],[L3N]],Transactions[[#This Row],[L2N]],IF(Transactions[[#This Row],[Level 5]]=Transactions[[#This Row],[L4N]],Transactions[[#This Row],[L3N]],IF(Transactions[[#This Row],[Level 5]]=Transactions[[#This Row],[L5N]],Transactions[[#This Row],[L4N]],IF(Transactions[[#This Row],[Level 5]]=Transactions[[#This Row],[L6N]],Transactions[[#This Row],[L5N]],IF(Transactions[[#This Row],[Level 5]]=Transactions[[#This Row],[L7N]],Transactions[[#This Row],[L6N]],Transactions[[#This Row],[L7N]]))))))))</f>
        <v>Electricity plants - Autoproducer - liquid biofuels</v>
      </c>
      <c r="AY371" s="24" t="str">
        <f>IF(Transactions[[#This Row],[Level 6]]=Transactions[[#This Row],[Transaction name]],Transactions[[#This Row],[Transaction name]],IF(Transactions[[#This Row],[Level 6]]=Transactions[[#This Row],[L1N]],Transactions[[#This Row],[Transaction name]],IF(Transactions[[#This Row],[Level 6]]=Transactions[[#This Row],[L2N]],Transactions[[#This Row],[L1N]],IF(Transactions[[#This Row],[Level 6]]=Transactions[[#This Row],[L3N]],Transactions[[#This Row],[L2N]],IF(Transactions[[#This Row],[Level 6]]=Transactions[[#This Row],[L4N]],Transactions[[#This Row],[L3N]],IF(Transactions[[#This Row],[Level 6]]=Transactions[[#This Row],[L5N]],Transactions[[#This Row],[L4N]],IF(Transactions[[#This Row],[Level 6]]=Transactions[[#This Row],[L6N]],Transactions[[#This Row],[L5N]],IF(Transactions[[#This Row],[Level 6]]=Transactions[[#This Row],[L7N]],Transactions[[#This Row],[L6N]],Transactions[[#This Row],[L7N]]))))))))</f>
        <v>Electricity plants - Autoproducer - liquid biofuels</v>
      </c>
      <c r="BE371" s="26" t="str">
        <f>_xlfn.XLOOKUP(Transformation[[#This Row],[cfrom]],Commodities[Commodity],Commodities[Commodity code])</f>
        <v>4661</v>
      </c>
      <c r="BF371" s="26" t="str">
        <f>_xlfn.XLOOKUP(Transformation[[#This Row],[tfrom]],Transactions[Transaction name],Transactions[Transaction code])</f>
        <v>014</v>
      </c>
      <c r="BG371" s="26" t="str">
        <f>_xlfn.XLOOKUP(Transformation[[#This Row],[cto]],Commodities[Commodity],Commodities[Commodity code])</f>
        <v>4661</v>
      </c>
      <c r="BH371" s="26" t="str">
        <f>_xlfn.XLOOKUP(Transformation[[#This Row],[tto]],Transactions[Transaction name],Transactions[Transaction code])</f>
        <v>014</v>
      </c>
      <c r="BI371" s="31">
        <v>-1</v>
      </c>
      <c r="BJ371" s="22" t="s">
        <v>381</v>
      </c>
      <c r="BK371" s="26" t="str">
        <f>_xlfn.XLOOKUP(Transformation[[#This Row],[Commodity from]],Commodities[Commodity code],Commodities[EnergyCode])</f>
        <v>JF</v>
      </c>
      <c r="BL371" s="22" t="s">
        <v>370</v>
      </c>
      <c r="BM371" s="22" t="s">
        <v>381</v>
      </c>
      <c r="BN371" s="26" t="str">
        <f>_xlfn.XLOOKUP(Transformation[[#This Row],[Commodity to]],Commodities[Commodity code],Commodities[EnergyCode])</f>
        <v>JF</v>
      </c>
      <c r="BO371" s="22" t="s">
        <v>370</v>
      </c>
      <c r="BP371" s="22" t="s">
        <v>1689</v>
      </c>
      <c r="BQ371" s="33" t="str">
        <f>Transformation[[#This Row],[Commodity from]]&amp;Transformation[[#This Row],[Transaction from]]&amp;Transformation[[#This Row],[Commodity to]]&amp;Transformation[[#This Row],[Transaction to]]</f>
        <v>46610144661014</v>
      </c>
      <c r="BR371" s="26" t="str">
        <f>Transformation[[#This Row],[crfomid]]&amp;Transformation[[#This Row],[Transaction from]]&amp;"("&amp;Transformation[[#This Row],[Multiplier]]&amp;") -&gt; "&amp;Transformation[[#This Row],[ctoid]]&amp;Transformation[[#This Row],[Transaction to]]</f>
        <v>JF014(-1) -&gt; JF014</v>
      </c>
    </row>
    <row r="372" spans="25:70" x14ac:dyDescent="0.45">
      <c r="Y372" s="19" t="s">
        <v>1580</v>
      </c>
      <c r="Z372" s="18" t="s">
        <v>1356</v>
      </c>
      <c r="AA372" s="18" t="s">
        <v>1356</v>
      </c>
      <c r="AB372" s="19" t="s">
        <v>1600</v>
      </c>
      <c r="AC372" s="26" t="str">
        <f>IFERROR(VLOOKUP(Transactions[[#This Row],[Parent code]],Transactions[[Transaction code]:[Transaction name]],2,0),"")</f>
        <v>Electricity plants</v>
      </c>
      <c r="AD372" s="18" t="s">
        <v>189</v>
      </c>
      <c r="AE372" s="18" t="s">
        <v>923</v>
      </c>
      <c r="AF372" s="18" t="s">
        <v>642</v>
      </c>
      <c r="AG372" s="18" t="s">
        <v>1</v>
      </c>
      <c r="AH372" s="18" t="s">
        <v>696</v>
      </c>
      <c r="AI372" s="18" t="s">
        <v>1416</v>
      </c>
      <c r="AJ372" s="18"/>
      <c r="AK372" s="26" t="str" cm="1">
        <f t="array" ref="AK372">IFERROR(INDEX(Transactions[[Transaction code]:[Transaction name]],_xlfn.XMATCH(Transactions[[#This Row],[Parent code]],Transactions[Transaction name],0),3),Transactions[[#This Row],[Transaction name]])</f>
        <v>Electricity plants - liquid biofuels</v>
      </c>
      <c r="AL372" s="26" t="str" cm="1">
        <f t="array" ref="AL372">IFERROR(INDEX(Transactions[[Transaction code]:[Transaction name]],_xlfn.XMATCH(INDEX(Transactions[[Transaction name]:[Parent code]],_xlfn.XMATCH(Transactions[[#This Row],[L1N]],Transactions[Transaction name],0),3),Transactions[Transaction code],0),2),Transactions[[#This Row],[L1N]])</f>
        <v>Electricity plants</v>
      </c>
      <c r="AM372" s="26" t="str" cm="1">
        <f t="array" ref="AM372">IFERROR(INDEX(Transactions[[Transaction code]:[Transaction name]],_xlfn.XMATCH(INDEX(Transactions[[Transaction name]:[Parent code]],_xlfn.XMATCH(Transactions[[#This Row],[L2N]],Transactions[Transaction name],0),3),Transactions[Transaction code],0),2),Transactions[[#This Row],[L2N]])</f>
        <v>Electricity, CHP and heat plants (T)</v>
      </c>
      <c r="AN372" s="26" t="str" cm="1">
        <f t="array" ref="AN372">IFERROR(INDEX(Transactions[[Transaction code]:[Transaction name]],_xlfn.XMATCH(INDEX(Transactions[[Transaction name]:[Parent code]],_xlfn.XMATCH(Transactions[[#This Row],[L3N]],Transactions[Transaction name],0),3),Transactions[Transaction code],0),2),Transactions[[#This Row],[L3N]])</f>
        <v>Transformation</v>
      </c>
      <c r="AO372" s="26" t="str" cm="1">
        <f t="array" ref="AO372">IFERROR(INDEX(Transactions[[Transaction code]:[Transaction name]],_xlfn.XMATCH(INDEX(Transactions[[Transaction name]:[Parent code]],_xlfn.XMATCH(Transactions[[#This Row],[L4N]],Transactions[Transaction name],0),3),Transactions[Transaction code],0),2),Transactions[[#This Row],[L4N]])</f>
        <v>Transformation</v>
      </c>
      <c r="AP372" s="26" t="str" cm="1">
        <f t="array" ref="AP372">IFERROR(INDEX(Transactions[[Transaction code]:[Transaction name]],_xlfn.XMATCH(INDEX(Transactions[[Transaction name]:[Parent code]],_xlfn.XMATCH(Transactions[[#This Row],[L5N]],Transactions[Transaction name],0),3),Transactions[Transaction code],0),2),Transactions[[#This Row],[L5N]])</f>
        <v>Transformation</v>
      </c>
      <c r="AQ372" s="26" t="str" cm="1">
        <f t="array" ref="AQ372">IFERROR(INDEX(Transactions[[Transaction code]:[Transaction name]],_xlfn.XMATCH(INDEX(Transactions[[Transaction name]:[Parent code]],_xlfn.XMATCH(Transactions[[#This Row],[L6N]],Transactions[Transaction name],0),3),Transactions[Transaction code],0),2),Transactions[[#This Row],[L6N]])</f>
        <v>Transformation</v>
      </c>
      <c r="AR372" s="30" t="str">
        <f>IF(Transactions[[#This Row],[L7N]]=Transactions[[#This Row],[L6N]],Transactions[[#This Row],[L7N]],IF(Transactions[[#This Row],[L6N]]=Transactions[[#This Row],[L5N]],Transactions[[#This Row],[L6N]],IF(Transactions[[#This Row],[L5N]]=Transactions[[#This Row],[L4N]],Transactions[[#This Row],[L5N]],IF(Transactions[[#This Row],[L4N]]=Transactions[[#This Row],[L3N]],Transactions[[#This Row],[L4N]],IF(Transactions[[#This Row],[L3N]]=Transactions[[#This Row],[L2N]],Transactions[[#This Row],[L3N]],IF(Transactions[[#This Row],[L2N]]=Transactions[[#This Row],[L1N]],Transactions[[#This Row],[L2N]],IF(Transactions[[#This Row],[L1N]]=Transactions[[#This Row],[Transaction name]],Transactions[[#This Row],[L1N]],Transactions[[#This Row],[Transaction name]])))))))</f>
        <v>Transformation</v>
      </c>
      <c r="AS372" s="26" t="str">
        <f>IF(Transactions[[#This Row],[Level 0]]=Transactions[[#This Row],[Transaction name]],Transactions[[#This Row],[Transaction name]],IF(Transactions[[#This Row],[Level 0]]=Transactions[[#This Row],[L1N]],Transactions[[#This Row],[Transaction name]],IF(Transactions[[#This Row],[Level 0]]=Transactions[[#This Row],[L2N]],Transactions[[#This Row],[L1N]],IF(Transactions[[#This Row],[Level 0]]=Transactions[[#This Row],[L3N]],Transactions[[#This Row],[L2N]],IF(Transactions[[#This Row],[Level 0]]=Transactions[[#This Row],[L4N]],Transactions[[#This Row],[L3N]],IF(Transactions[[#This Row],[Level 0]]=Transactions[[#This Row],[L5N]],Transactions[[#This Row],[L4N]],IF(Transactions[[#This Row],[Level 0]]=Transactions[[#This Row],[L6N]],Transactions[[#This Row],[L5N]],IF(Transactions[[#This Row],[Level 0]]=Transactions[[#This Row],[L7N]],Transactions[[#This Row],[L6N]],Transactions[[#This Row],[L7N]]))))))))</f>
        <v>Electricity, CHP and heat plants (T)</v>
      </c>
      <c r="AT372" s="26" t="str">
        <f>IF(Transactions[[#This Row],[Level 1]]=Transactions[[#This Row],[Transaction name]],Transactions[[#This Row],[Transaction name]],IF(Transactions[[#This Row],[Level 1]]=Transactions[[#This Row],[L1N]],Transactions[[#This Row],[Transaction name]],IF(Transactions[[#This Row],[Level 1]]=Transactions[[#This Row],[L2N]],Transactions[[#This Row],[L1N]],IF(Transactions[[#This Row],[Level 1]]=Transactions[[#This Row],[L3N]],Transactions[[#This Row],[L2N]],IF(Transactions[[#This Row],[Level 1]]=Transactions[[#This Row],[L4N]],Transactions[[#This Row],[L3N]],IF(Transactions[[#This Row],[Level 1]]=Transactions[[#This Row],[L5N]],Transactions[[#This Row],[L4N]],IF(Transactions[[#This Row],[Level 1]]=Transactions[[#This Row],[L6N]],Transactions[[#This Row],[L5N]],IF(Transactions[[#This Row],[Level 1]]=Transactions[[#This Row],[L7N]],Transactions[[#This Row],[L6N]],Transactions[[#This Row],[L7N]]))))))))</f>
        <v>Electricity plants</v>
      </c>
      <c r="AU372" s="26" t="str">
        <f>IF(Transactions[[#This Row],[Level 2]]=Transactions[[#This Row],[Transaction name]],Transactions[[#This Row],[Transaction name]],IF(Transactions[[#This Row],[Level 2]]=Transactions[[#This Row],[L1N]],Transactions[[#This Row],[Transaction name]],IF(Transactions[[#This Row],[Level 2]]=Transactions[[#This Row],[L2N]],Transactions[[#This Row],[L1N]],IF(Transactions[[#This Row],[Level 2]]=Transactions[[#This Row],[L3N]],Transactions[[#This Row],[L2N]],IF(Transactions[[#This Row],[Level 2]]=Transactions[[#This Row],[L4N]],Transactions[[#This Row],[L3N]],IF(Transactions[[#This Row],[Level 2]]=Transactions[[#This Row],[L5N]],Transactions[[#This Row],[L4N]],IF(Transactions[[#This Row],[Level 2]]=Transactions[[#This Row],[L6N]],Transactions[[#This Row],[L5N]],IF(Transactions[[#This Row],[Level 2]]=Transactions[[#This Row],[L7N]],Transactions[[#This Row],[L6N]],Transactions[[#This Row],[L7N]]))))))))</f>
        <v>Electricity plants - liquid biofuels</v>
      </c>
      <c r="AV372" s="26" t="str">
        <f>IF(Transactions[[#This Row],[Level 3]]=Transactions[[#This Row],[Transaction name]],Transactions[[#This Row],[Transaction name]],IF(Transactions[[#This Row],[Level 3]]=Transactions[[#This Row],[L1N]],Transactions[[#This Row],[Transaction name]],IF(Transactions[[#This Row],[Level 3]]=Transactions[[#This Row],[L2N]],Transactions[[#This Row],[L1N]],IF(Transactions[[#This Row],[Level 3]]=Transactions[[#This Row],[L3N]],Transactions[[#This Row],[L2N]],IF(Transactions[[#This Row],[Level 3]]=Transactions[[#This Row],[L4N]],Transactions[[#This Row],[L3N]],IF(Transactions[[#This Row],[Level 3]]=Transactions[[#This Row],[L5N]],Transactions[[#This Row],[L4N]],IF(Transactions[[#This Row],[Level 3]]=Transactions[[#This Row],[L6N]],Transactions[[#This Row],[L5N]],IF(Transactions[[#This Row],[Level 3]]=Transactions[[#This Row],[L7N]],Transactions[[#This Row],[L6N]],Transactions[[#This Row],[L7N]]))))))))</f>
        <v>Electricity plants - liquid biofuels</v>
      </c>
      <c r="AW372" s="26" t="str">
        <f>IF(Transactions[[#This Row],[Level 4]]=Transactions[[#This Row],[Transaction name]],Transactions[[#This Row],[Transaction name]],IF(Transactions[[#This Row],[Level 4]]=Transactions[[#This Row],[L1N]],Transactions[[#This Row],[Transaction name]],IF(Transactions[[#This Row],[Level 4]]=Transactions[[#This Row],[L2N]],Transactions[[#This Row],[L1N]],IF(Transactions[[#This Row],[Level 4]]=Transactions[[#This Row],[L3N]],Transactions[[#This Row],[L2N]],IF(Transactions[[#This Row],[Level 4]]=Transactions[[#This Row],[L4N]],Transactions[[#This Row],[L3N]],IF(Transactions[[#This Row],[Level 4]]=Transactions[[#This Row],[L5N]],Transactions[[#This Row],[L4N]],IF(Transactions[[#This Row],[Level 4]]=Transactions[[#This Row],[L6N]],Transactions[[#This Row],[L5N]],IF(Transactions[[#This Row],[Level 4]]=Transactions[[#This Row],[L7N]],Transactions[[#This Row],[L6N]],Transactions[[#This Row],[L7N]]))))))))</f>
        <v>Electricity plants - liquid biofuels</v>
      </c>
      <c r="AX372" s="26" t="str">
        <f>IF(Transactions[[#This Row],[Level 5]]=Transactions[[#This Row],[Transaction name]],Transactions[[#This Row],[Transaction name]],IF(Transactions[[#This Row],[Level 5]]=Transactions[[#This Row],[L1N]],Transactions[[#This Row],[Transaction name]],IF(Transactions[[#This Row],[Level 5]]=Transactions[[#This Row],[L2N]],Transactions[[#This Row],[L1N]],IF(Transactions[[#This Row],[Level 5]]=Transactions[[#This Row],[L3N]],Transactions[[#This Row],[L2N]],IF(Transactions[[#This Row],[Level 5]]=Transactions[[#This Row],[L4N]],Transactions[[#This Row],[L3N]],IF(Transactions[[#This Row],[Level 5]]=Transactions[[#This Row],[L5N]],Transactions[[#This Row],[L4N]],IF(Transactions[[#This Row],[Level 5]]=Transactions[[#This Row],[L6N]],Transactions[[#This Row],[L5N]],IF(Transactions[[#This Row],[Level 5]]=Transactions[[#This Row],[L7N]],Transactions[[#This Row],[L6N]],Transactions[[#This Row],[L7N]]))))))))</f>
        <v>Electricity plants - liquid biofuels</v>
      </c>
      <c r="AY372" s="26" t="str">
        <f>IF(Transactions[[#This Row],[Level 6]]=Transactions[[#This Row],[Transaction name]],Transactions[[#This Row],[Transaction name]],IF(Transactions[[#This Row],[Level 6]]=Transactions[[#This Row],[L1N]],Transactions[[#This Row],[Transaction name]],IF(Transactions[[#This Row],[Level 6]]=Transactions[[#This Row],[L2N]],Transactions[[#This Row],[L1N]],IF(Transactions[[#This Row],[Level 6]]=Transactions[[#This Row],[L3N]],Transactions[[#This Row],[L2N]],IF(Transactions[[#This Row],[Level 6]]=Transactions[[#This Row],[L4N]],Transactions[[#This Row],[L3N]],IF(Transactions[[#This Row],[Level 6]]=Transactions[[#This Row],[L5N]],Transactions[[#This Row],[L4N]],IF(Transactions[[#This Row],[Level 6]]=Transactions[[#This Row],[L6N]],Transactions[[#This Row],[L5N]],IF(Transactions[[#This Row],[Level 6]]=Transactions[[#This Row],[L7N]],Transactions[[#This Row],[L6N]],Transactions[[#This Row],[L7N]]))))))))</f>
        <v>Electricity plants - liquid biofuels</v>
      </c>
      <c r="BE372" s="26" t="str">
        <f>_xlfn.XLOOKUP(Transformation[[#This Row],[cfrom]],Commodities[Commodity],Commodities[Commodity code])</f>
        <v>4669</v>
      </c>
      <c r="BF372" s="26" t="str">
        <f>_xlfn.XLOOKUP(Transformation[[#This Row],[tfrom]],Transactions[Transaction name],Transactions[Transaction code])</f>
        <v>014</v>
      </c>
      <c r="BG372" s="26" t="str">
        <f>_xlfn.XLOOKUP(Transformation[[#This Row],[cto]],Commodities[Commodity],Commodities[Commodity code])</f>
        <v>4669</v>
      </c>
      <c r="BH372" s="26" t="str">
        <f>_xlfn.XLOOKUP(Transformation[[#This Row],[tto]],Transactions[Transaction name],Transactions[Transaction code])</f>
        <v>087</v>
      </c>
      <c r="BI372" s="31">
        <v>1</v>
      </c>
      <c r="BJ372" s="22" t="s">
        <v>377</v>
      </c>
      <c r="BK372" s="26" t="str">
        <f>_xlfn.XLOOKUP(Transformation[[#This Row],[Commodity from]],Commodities[Commodity code],Commodities[EnergyCode])</f>
        <v>KR</v>
      </c>
      <c r="BL372" s="22" t="s">
        <v>370</v>
      </c>
      <c r="BM372" s="22" t="s">
        <v>377</v>
      </c>
      <c r="BN372" s="26" t="str">
        <f>_xlfn.XLOOKUP(Transformation[[#This Row],[Commodity to]],Commodities[Commodity code],Commodities[EnergyCode])</f>
        <v>KR</v>
      </c>
      <c r="BO372" s="22" t="s">
        <v>729</v>
      </c>
      <c r="BP372" s="22" t="s">
        <v>1688</v>
      </c>
      <c r="BQ372" s="33" t="str">
        <f>Transformation[[#This Row],[Commodity from]]&amp;Transformation[[#This Row],[Transaction from]]&amp;Transformation[[#This Row],[Commodity to]]&amp;Transformation[[#This Row],[Transaction to]]</f>
        <v>46690144669087</v>
      </c>
      <c r="BR372" s="26" t="str">
        <f>Transformation[[#This Row],[crfomid]]&amp;Transformation[[#This Row],[Transaction from]]&amp;"("&amp;Transformation[[#This Row],[Multiplier]]&amp;") -&gt; "&amp;Transformation[[#This Row],[ctoid]]&amp;Transformation[[#This Row],[Transaction to]]</f>
        <v>KR014(1) -&gt; KR087</v>
      </c>
    </row>
    <row r="373" spans="25:70" x14ac:dyDescent="0.45">
      <c r="Y373" s="5" t="s">
        <v>1099</v>
      </c>
      <c r="Z373" s="7" t="s">
        <v>1075</v>
      </c>
      <c r="AA373" s="4" t="s">
        <v>1356</v>
      </c>
      <c r="AB373" s="19" t="s">
        <v>1580</v>
      </c>
      <c r="AC373" s="24" t="str">
        <f>IFERROR(VLOOKUP(Transactions[[#This Row],[Parent code]],Transactions[[Transaction code]:[Transaction name]],2,0),"")</f>
        <v>Electricity plants - liquid biofuels</v>
      </c>
      <c r="AD373" s="4" t="s">
        <v>189</v>
      </c>
      <c r="AE373" s="4" t="s">
        <v>923</v>
      </c>
      <c r="AF373" s="4" t="s">
        <v>642</v>
      </c>
      <c r="AG373" s="4" t="s">
        <v>1</v>
      </c>
      <c r="AH373" s="4" t="s">
        <v>696</v>
      </c>
      <c r="AI373" s="12" t="s">
        <v>1416</v>
      </c>
      <c r="AK373" s="24" t="str" cm="1">
        <f t="array" ref="AK373">IFERROR(INDEX(Transactions[[Transaction code]:[Transaction name]],_xlfn.XMATCH(Transactions[[#This Row],[Parent code]],Transactions[Transaction name],0),3),Transactions[[#This Row],[Transaction name]])</f>
        <v>Electricity plants - Main activity - liquid biofuels</v>
      </c>
      <c r="AL373" s="24" t="str" cm="1">
        <f t="array" ref="AL373">IFERROR(INDEX(Transactions[[Transaction code]:[Transaction name]],_xlfn.XMATCH(INDEX(Transactions[[Transaction name]:[Parent code]],_xlfn.XMATCH(Transactions[[#This Row],[L1N]],Transactions[Transaction name],0),3),Transactions[Transaction code],0),2),Transactions[[#This Row],[L1N]])</f>
        <v>Electricity plants - liquid biofuels</v>
      </c>
      <c r="AM373" s="24" t="str" cm="1">
        <f t="array" ref="AM373">IFERROR(INDEX(Transactions[[Transaction code]:[Transaction name]],_xlfn.XMATCH(INDEX(Transactions[[Transaction name]:[Parent code]],_xlfn.XMATCH(Transactions[[#This Row],[L2N]],Transactions[Transaction name],0),3),Transactions[Transaction code],0),2),Transactions[[#This Row],[L2N]])</f>
        <v>Electricity plants</v>
      </c>
      <c r="AN373" s="24" t="str" cm="1">
        <f t="array" ref="AN373">IFERROR(INDEX(Transactions[[Transaction code]:[Transaction name]],_xlfn.XMATCH(INDEX(Transactions[[Transaction name]:[Parent code]],_xlfn.XMATCH(Transactions[[#This Row],[L3N]],Transactions[Transaction name],0),3),Transactions[Transaction code],0),2),Transactions[[#This Row],[L3N]])</f>
        <v>Electricity, CHP and heat plants (T)</v>
      </c>
      <c r="AO373" s="24" t="str" cm="1">
        <f t="array" ref="AO373">IFERROR(INDEX(Transactions[[Transaction code]:[Transaction name]],_xlfn.XMATCH(INDEX(Transactions[[Transaction name]:[Parent code]],_xlfn.XMATCH(Transactions[[#This Row],[L4N]],Transactions[Transaction name],0),3),Transactions[Transaction code],0),2),Transactions[[#This Row],[L4N]])</f>
        <v>Transformation</v>
      </c>
      <c r="AP373" s="24" t="str" cm="1">
        <f t="array" ref="AP373">IFERROR(INDEX(Transactions[[Transaction code]:[Transaction name]],_xlfn.XMATCH(INDEX(Transactions[[Transaction name]:[Parent code]],_xlfn.XMATCH(Transactions[[#This Row],[L5N]],Transactions[Transaction name],0),3),Transactions[Transaction code],0),2),Transactions[[#This Row],[L5N]])</f>
        <v>Transformation</v>
      </c>
      <c r="AQ373" s="24" t="str" cm="1">
        <f t="array" ref="AQ373">IFERROR(INDEX(Transactions[[Transaction code]:[Transaction name]],_xlfn.XMATCH(INDEX(Transactions[[Transaction name]:[Parent code]],_xlfn.XMATCH(Transactions[[#This Row],[L6N]],Transactions[Transaction name],0),3),Transactions[Transaction code],0),2),Transactions[[#This Row],[L6N]])</f>
        <v>Transformation</v>
      </c>
      <c r="AR373" s="27" t="str">
        <f>IF(Transactions[[#This Row],[L7N]]=Transactions[[#This Row],[L6N]],Transactions[[#This Row],[L7N]],IF(Transactions[[#This Row],[L6N]]=Transactions[[#This Row],[L5N]],Transactions[[#This Row],[L6N]],IF(Transactions[[#This Row],[L5N]]=Transactions[[#This Row],[L4N]],Transactions[[#This Row],[L5N]],IF(Transactions[[#This Row],[L4N]]=Transactions[[#This Row],[L3N]],Transactions[[#This Row],[L4N]],IF(Transactions[[#This Row],[L3N]]=Transactions[[#This Row],[L2N]],Transactions[[#This Row],[L3N]],IF(Transactions[[#This Row],[L2N]]=Transactions[[#This Row],[L1N]],Transactions[[#This Row],[L2N]],IF(Transactions[[#This Row],[L1N]]=Transactions[[#This Row],[Transaction name]],Transactions[[#This Row],[L1N]],Transactions[[#This Row],[Transaction name]])))))))</f>
        <v>Transformation</v>
      </c>
      <c r="AS373" s="24" t="str">
        <f>IF(Transactions[[#This Row],[Level 0]]=Transactions[[#This Row],[Transaction name]],Transactions[[#This Row],[Transaction name]],IF(Transactions[[#This Row],[Level 0]]=Transactions[[#This Row],[L1N]],Transactions[[#This Row],[Transaction name]],IF(Transactions[[#This Row],[Level 0]]=Transactions[[#This Row],[L2N]],Transactions[[#This Row],[L1N]],IF(Transactions[[#This Row],[Level 0]]=Transactions[[#This Row],[L3N]],Transactions[[#This Row],[L2N]],IF(Transactions[[#This Row],[Level 0]]=Transactions[[#This Row],[L4N]],Transactions[[#This Row],[L3N]],IF(Transactions[[#This Row],[Level 0]]=Transactions[[#This Row],[L5N]],Transactions[[#This Row],[L4N]],IF(Transactions[[#This Row],[Level 0]]=Transactions[[#This Row],[L6N]],Transactions[[#This Row],[L5N]],IF(Transactions[[#This Row],[Level 0]]=Transactions[[#This Row],[L7N]],Transactions[[#This Row],[L6N]],Transactions[[#This Row],[L7N]]))))))))</f>
        <v>Electricity, CHP and heat plants (T)</v>
      </c>
      <c r="AT373" s="24" t="str">
        <f>IF(Transactions[[#This Row],[Level 1]]=Transactions[[#This Row],[Transaction name]],Transactions[[#This Row],[Transaction name]],IF(Transactions[[#This Row],[Level 1]]=Transactions[[#This Row],[L1N]],Transactions[[#This Row],[Transaction name]],IF(Transactions[[#This Row],[Level 1]]=Transactions[[#This Row],[L2N]],Transactions[[#This Row],[L1N]],IF(Transactions[[#This Row],[Level 1]]=Transactions[[#This Row],[L3N]],Transactions[[#This Row],[L2N]],IF(Transactions[[#This Row],[Level 1]]=Transactions[[#This Row],[L4N]],Transactions[[#This Row],[L3N]],IF(Transactions[[#This Row],[Level 1]]=Transactions[[#This Row],[L5N]],Transactions[[#This Row],[L4N]],IF(Transactions[[#This Row],[Level 1]]=Transactions[[#This Row],[L6N]],Transactions[[#This Row],[L5N]],IF(Transactions[[#This Row],[Level 1]]=Transactions[[#This Row],[L7N]],Transactions[[#This Row],[L6N]],Transactions[[#This Row],[L7N]]))))))))</f>
        <v>Electricity plants</v>
      </c>
      <c r="AU373" s="24" t="str">
        <f>IF(Transactions[[#This Row],[Level 2]]=Transactions[[#This Row],[Transaction name]],Transactions[[#This Row],[Transaction name]],IF(Transactions[[#This Row],[Level 2]]=Transactions[[#This Row],[L1N]],Transactions[[#This Row],[Transaction name]],IF(Transactions[[#This Row],[Level 2]]=Transactions[[#This Row],[L2N]],Transactions[[#This Row],[L1N]],IF(Transactions[[#This Row],[Level 2]]=Transactions[[#This Row],[L3N]],Transactions[[#This Row],[L2N]],IF(Transactions[[#This Row],[Level 2]]=Transactions[[#This Row],[L4N]],Transactions[[#This Row],[L3N]],IF(Transactions[[#This Row],[Level 2]]=Transactions[[#This Row],[L5N]],Transactions[[#This Row],[L4N]],IF(Transactions[[#This Row],[Level 2]]=Transactions[[#This Row],[L6N]],Transactions[[#This Row],[L5N]],IF(Transactions[[#This Row],[Level 2]]=Transactions[[#This Row],[L7N]],Transactions[[#This Row],[L6N]],Transactions[[#This Row],[L7N]]))))))))</f>
        <v>Electricity plants - liquid biofuels</v>
      </c>
      <c r="AV373" s="24" t="str">
        <f>IF(Transactions[[#This Row],[Level 3]]=Transactions[[#This Row],[Transaction name]],Transactions[[#This Row],[Transaction name]],IF(Transactions[[#This Row],[Level 3]]=Transactions[[#This Row],[L1N]],Transactions[[#This Row],[Transaction name]],IF(Transactions[[#This Row],[Level 3]]=Transactions[[#This Row],[L2N]],Transactions[[#This Row],[L1N]],IF(Transactions[[#This Row],[Level 3]]=Transactions[[#This Row],[L3N]],Transactions[[#This Row],[L2N]],IF(Transactions[[#This Row],[Level 3]]=Transactions[[#This Row],[L4N]],Transactions[[#This Row],[L3N]],IF(Transactions[[#This Row],[Level 3]]=Transactions[[#This Row],[L5N]],Transactions[[#This Row],[L4N]],IF(Transactions[[#This Row],[Level 3]]=Transactions[[#This Row],[L6N]],Transactions[[#This Row],[L5N]],IF(Transactions[[#This Row],[Level 3]]=Transactions[[#This Row],[L7N]],Transactions[[#This Row],[L6N]],Transactions[[#This Row],[L7N]]))))))))</f>
        <v>Electricity plants - Main activity - liquid biofuels</v>
      </c>
      <c r="AW373" s="24" t="str">
        <f>IF(Transactions[[#This Row],[Level 4]]=Transactions[[#This Row],[Transaction name]],Transactions[[#This Row],[Transaction name]],IF(Transactions[[#This Row],[Level 4]]=Transactions[[#This Row],[L1N]],Transactions[[#This Row],[Transaction name]],IF(Transactions[[#This Row],[Level 4]]=Transactions[[#This Row],[L2N]],Transactions[[#This Row],[L1N]],IF(Transactions[[#This Row],[Level 4]]=Transactions[[#This Row],[L3N]],Transactions[[#This Row],[L2N]],IF(Transactions[[#This Row],[Level 4]]=Transactions[[#This Row],[L4N]],Transactions[[#This Row],[L3N]],IF(Transactions[[#This Row],[Level 4]]=Transactions[[#This Row],[L5N]],Transactions[[#This Row],[L4N]],IF(Transactions[[#This Row],[Level 4]]=Transactions[[#This Row],[L6N]],Transactions[[#This Row],[L5N]],IF(Transactions[[#This Row],[Level 4]]=Transactions[[#This Row],[L7N]],Transactions[[#This Row],[L6N]],Transactions[[#This Row],[L7N]]))))))))</f>
        <v>Electricity plants - Main activity - liquid biofuels</v>
      </c>
      <c r="AX373" s="24" t="str">
        <f>IF(Transactions[[#This Row],[Level 5]]=Transactions[[#This Row],[Transaction name]],Transactions[[#This Row],[Transaction name]],IF(Transactions[[#This Row],[Level 5]]=Transactions[[#This Row],[L1N]],Transactions[[#This Row],[Transaction name]],IF(Transactions[[#This Row],[Level 5]]=Transactions[[#This Row],[L2N]],Transactions[[#This Row],[L1N]],IF(Transactions[[#This Row],[Level 5]]=Transactions[[#This Row],[L3N]],Transactions[[#This Row],[L2N]],IF(Transactions[[#This Row],[Level 5]]=Transactions[[#This Row],[L4N]],Transactions[[#This Row],[L3N]],IF(Transactions[[#This Row],[Level 5]]=Transactions[[#This Row],[L5N]],Transactions[[#This Row],[L4N]],IF(Transactions[[#This Row],[Level 5]]=Transactions[[#This Row],[L6N]],Transactions[[#This Row],[L5N]],IF(Transactions[[#This Row],[Level 5]]=Transactions[[#This Row],[L7N]],Transactions[[#This Row],[L6N]],Transactions[[#This Row],[L7N]]))))))))</f>
        <v>Electricity plants - Main activity - liquid biofuels</v>
      </c>
      <c r="AY373" s="24" t="str">
        <f>IF(Transactions[[#This Row],[Level 6]]=Transactions[[#This Row],[Transaction name]],Transactions[[#This Row],[Transaction name]],IF(Transactions[[#This Row],[Level 6]]=Transactions[[#This Row],[L1N]],Transactions[[#This Row],[Transaction name]],IF(Transactions[[#This Row],[Level 6]]=Transactions[[#This Row],[L2N]],Transactions[[#This Row],[L1N]],IF(Transactions[[#This Row],[Level 6]]=Transactions[[#This Row],[L3N]],Transactions[[#This Row],[L2N]],IF(Transactions[[#This Row],[Level 6]]=Transactions[[#This Row],[L4N]],Transactions[[#This Row],[L3N]],IF(Transactions[[#This Row],[Level 6]]=Transactions[[#This Row],[L5N]],Transactions[[#This Row],[L4N]],IF(Transactions[[#This Row],[Level 6]]=Transactions[[#This Row],[L6N]],Transactions[[#This Row],[L5N]],IF(Transactions[[#This Row],[Level 6]]=Transactions[[#This Row],[L7N]],Transactions[[#This Row],[L6N]],Transactions[[#This Row],[L7N]]))))))))</f>
        <v>Electricity plants - Main activity - liquid biofuels</v>
      </c>
      <c r="BE373" s="26" t="str">
        <f>_xlfn.XLOOKUP(Transformation[[#This Row],[cfrom]],Commodities[Commodity],Commodities[Commodity code])</f>
        <v>4669</v>
      </c>
      <c r="BF373" s="26" t="str">
        <f>_xlfn.XLOOKUP(Transformation[[#This Row],[tfrom]],Transactions[Transaction name],Transactions[Transaction code])</f>
        <v>014</v>
      </c>
      <c r="BG373" s="26" t="str">
        <f>_xlfn.XLOOKUP(Transformation[[#This Row],[cto]],Commodities[Commodity],Commodities[Commodity code])</f>
        <v>4669</v>
      </c>
      <c r="BH373" s="26" t="str">
        <f>_xlfn.XLOOKUP(Transformation[[#This Row],[tto]],Transactions[Transaction name],Transactions[Transaction code])</f>
        <v>014</v>
      </c>
      <c r="BI373" s="31">
        <v>-1</v>
      </c>
      <c r="BJ373" s="22" t="s">
        <v>377</v>
      </c>
      <c r="BK373" s="26" t="str">
        <f>_xlfn.XLOOKUP(Transformation[[#This Row],[Commodity from]],Commodities[Commodity code],Commodities[EnergyCode])</f>
        <v>KR</v>
      </c>
      <c r="BL373" s="22" t="s">
        <v>370</v>
      </c>
      <c r="BM373" s="22" t="s">
        <v>377</v>
      </c>
      <c r="BN373" s="26" t="str">
        <f>_xlfn.XLOOKUP(Transformation[[#This Row],[Commodity to]],Commodities[Commodity code],Commodities[EnergyCode])</f>
        <v>KR</v>
      </c>
      <c r="BO373" s="22" t="s">
        <v>370</v>
      </c>
      <c r="BP373" s="22" t="s">
        <v>1689</v>
      </c>
      <c r="BQ373" s="33" t="str">
        <f>Transformation[[#This Row],[Commodity from]]&amp;Transformation[[#This Row],[Transaction from]]&amp;Transformation[[#This Row],[Commodity to]]&amp;Transformation[[#This Row],[Transaction to]]</f>
        <v>46690144669014</v>
      </c>
      <c r="BR373" s="26" t="str">
        <f>Transformation[[#This Row],[crfomid]]&amp;Transformation[[#This Row],[Transaction from]]&amp;"("&amp;Transformation[[#This Row],[Multiplier]]&amp;") -&gt; "&amp;Transformation[[#This Row],[ctoid]]&amp;Transformation[[#This Row],[Transaction to]]</f>
        <v>KR014(-1) -&gt; KR014</v>
      </c>
    </row>
    <row r="374" spans="25:70" x14ac:dyDescent="0.45">
      <c r="Y374" s="5" t="s">
        <v>177</v>
      </c>
      <c r="Z374" s="4" t="s">
        <v>689</v>
      </c>
      <c r="AA374" s="4" t="s">
        <v>689</v>
      </c>
      <c r="AB374" s="21" t="s">
        <v>1600</v>
      </c>
      <c r="AC374" s="24" t="str">
        <f>IFERROR(VLOOKUP(Transactions[[#This Row],[Parent code]],Transactions[[Transaction code]:[Transaction name]],2,0),"")</f>
        <v>Electricity plants</v>
      </c>
      <c r="AD374" s="4" t="s">
        <v>189</v>
      </c>
      <c r="AE374" s="4" t="s">
        <v>923</v>
      </c>
      <c r="AF374" s="4" t="s">
        <v>642</v>
      </c>
      <c r="AG374" s="4" t="s">
        <v>1</v>
      </c>
      <c r="AH374" s="4" t="s">
        <v>695</v>
      </c>
      <c r="AJ374" s="4" t="s">
        <v>0</v>
      </c>
      <c r="AK374" s="24" t="str" cm="1">
        <f t="array" ref="AK374">IFERROR(INDEX(Transactions[[Transaction code]:[Transaction name]],_xlfn.XMATCH(Transactions[[#This Row],[Parent code]],Transactions[Transaction name],0),3),Transactions[[#This Row],[Transaction name]])</f>
        <v>Electricity plants - Main activity</v>
      </c>
      <c r="AL374" s="24" t="str" cm="1">
        <f t="array" ref="AL374">IFERROR(INDEX(Transactions[[Transaction code]:[Transaction name]],_xlfn.XMATCH(INDEX(Transactions[[Transaction name]:[Parent code]],_xlfn.XMATCH(Transactions[[#This Row],[L1N]],Transactions[Transaction name],0),3),Transactions[Transaction code],0),2),Transactions[[#This Row],[L1N]])</f>
        <v>Electricity plants</v>
      </c>
      <c r="AM374" s="24" t="str" cm="1">
        <f t="array" ref="AM374">IFERROR(INDEX(Transactions[[Transaction code]:[Transaction name]],_xlfn.XMATCH(INDEX(Transactions[[Transaction name]:[Parent code]],_xlfn.XMATCH(Transactions[[#This Row],[L2N]],Transactions[Transaction name],0),3),Transactions[Transaction code],0),2),Transactions[[#This Row],[L2N]])</f>
        <v>Electricity, CHP and heat plants (T)</v>
      </c>
      <c r="AN374" s="24" t="str" cm="1">
        <f t="array" ref="AN374">IFERROR(INDEX(Transactions[[Transaction code]:[Transaction name]],_xlfn.XMATCH(INDEX(Transactions[[Transaction name]:[Parent code]],_xlfn.XMATCH(Transactions[[#This Row],[L3N]],Transactions[Transaction name],0),3),Transactions[Transaction code],0),2),Transactions[[#This Row],[L3N]])</f>
        <v>Transformation</v>
      </c>
      <c r="AO374" s="24" t="str" cm="1">
        <f t="array" ref="AO374">IFERROR(INDEX(Transactions[[Transaction code]:[Transaction name]],_xlfn.XMATCH(INDEX(Transactions[[Transaction name]:[Parent code]],_xlfn.XMATCH(Transactions[[#This Row],[L4N]],Transactions[Transaction name],0),3),Transactions[Transaction code],0),2),Transactions[[#This Row],[L4N]])</f>
        <v>Transformation</v>
      </c>
      <c r="AP374" s="24" t="str" cm="1">
        <f t="array" ref="AP374">IFERROR(INDEX(Transactions[[Transaction code]:[Transaction name]],_xlfn.XMATCH(INDEX(Transactions[[Transaction name]:[Parent code]],_xlfn.XMATCH(Transactions[[#This Row],[L5N]],Transactions[Transaction name],0),3),Transactions[Transaction code],0),2),Transactions[[#This Row],[L5N]])</f>
        <v>Transformation</v>
      </c>
      <c r="AQ374" s="24" t="str" cm="1">
        <f t="array" ref="AQ374">IFERROR(INDEX(Transactions[[Transaction code]:[Transaction name]],_xlfn.XMATCH(INDEX(Transactions[[Transaction name]:[Parent code]],_xlfn.XMATCH(Transactions[[#This Row],[L6N]],Transactions[Transaction name],0),3),Transactions[Transaction code],0),2),Transactions[[#This Row],[L6N]])</f>
        <v>Transformation</v>
      </c>
      <c r="AR374" s="27" t="str">
        <f>IF(Transactions[[#This Row],[L7N]]=Transactions[[#This Row],[L6N]],Transactions[[#This Row],[L7N]],IF(Transactions[[#This Row],[L6N]]=Transactions[[#This Row],[L5N]],Transactions[[#This Row],[L6N]],IF(Transactions[[#This Row],[L5N]]=Transactions[[#This Row],[L4N]],Transactions[[#This Row],[L5N]],IF(Transactions[[#This Row],[L4N]]=Transactions[[#This Row],[L3N]],Transactions[[#This Row],[L4N]],IF(Transactions[[#This Row],[L3N]]=Transactions[[#This Row],[L2N]],Transactions[[#This Row],[L3N]],IF(Transactions[[#This Row],[L2N]]=Transactions[[#This Row],[L1N]],Transactions[[#This Row],[L2N]],IF(Transactions[[#This Row],[L1N]]=Transactions[[#This Row],[Transaction name]],Transactions[[#This Row],[L1N]],Transactions[[#This Row],[Transaction name]])))))))</f>
        <v>Transformation</v>
      </c>
      <c r="AS374" s="24" t="str">
        <f>IF(Transactions[[#This Row],[Level 0]]=Transactions[[#This Row],[Transaction name]],Transactions[[#This Row],[Transaction name]],IF(Transactions[[#This Row],[Level 0]]=Transactions[[#This Row],[L1N]],Transactions[[#This Row],[Transaction name]],IF(Transactions[[#This Row],[Level 0]]=Transactions[[#This Row],[L2N]],Transactions[[#This Row],[L1N]],IF(Transactions[[#This Row],[Level 0]]=Transactions[[#This Row],[L3N]],Transactions[[#This Row],[L2N]],IF(Transactions[[#This Row],[Level 0]]=Transactions[[#This Row],[L4N]],Transactions[[#This Row],[L3N]],IF(Transactions[[#This Row],[Level 0]]=Transactions[[#This Row],[L5N]],Transactions[[#This Row],[L4N]],IF(Transactions[[#This Row],[Level 0]]=Transactions[[#This Row],[L6N]],Transactions[[#This Row],[L5N]],IF(Transactions[[#This Row],[Level 0]]=Transactions[[#This Row],[L7N]],Transactions[[#This Row],[L6N]],Transactions[[#This Row],[L7N]]))))))))</f>
        <v>Electricity, CHP and heat plants (T)</v>
      </c>
      <c r="AT374" s="24" t="str">
        <f>IF(Transactions[[#This Row],[Level 1]]=Transactions[[#This Row],[Transaction name]],Transactions[[#This Row],[Transaction name]],IF(Transactions[[#This Row],[Level 1]]=Transactions[[#This Row],[L1N]],Transactions[[#This Row],[Transaction name]],IF(Transactions[[#This Row],[Level 1]]=Transactions[[#This Row],[L2N]],Transactions[[#This Row],[L1N]],IF(Transactions[[#This Row],[Level 1]]=Transactions[[#This Row],[L3N]],Transactions[[#This Row],[L2N]],IF(Transactions[[#This Row],[Level 1]]=Transactions[[#This Row],[L4N]],Transactions[[#This Row],[L3N]],IF(Transactions[[#This Row],[Level 1]]=Transactions[[#This Row],[L5N]],Transactions[[#This Row],[L4N]],IF(Transactions[[#This Row],[Level 1]]=Transactions[[#This Row],[L6N]],Transactions[[#This Row],[L5N]],IF(Transactions[[#This Row],[Level 1]]=Transactions[[#This Row],[L7N]],Transactions[[#This Row],[L6N]],Transactions[[#This Row],[L7N]]))))))))</f>
        <v>Electricity plants</v>
      </c>
      <c r="AU374" s="24" t="str">
        <f>IF(Transactions[[#This Row],[Level 2]]=Transactions[[#This Row],[Transaction name]],Transactions[[#This Row],[Transaction name]],IF(Transactions[[#This Row],[Level 2]]=Transactions[[#This Row],[L1N]],Transactions[[#This Row],[Transaction name]],IF(Transactions[[#This Row],[Level 2]]=Transactions[[#This Row],[L2N]],Transactions[[#This Row],[L1N]],IF(Transactions[[#This Row],[Level 2]]=Transactions[[#This Row],[L3N]],Transactions[[#This Row],[L2N]],IF(Transactions[[#This Row],[Level 2]]=Transactions[[#This Row],[L4N]],Transactions[[#This Row],[L3N]],IF(Transactions[[#This Row],[Level 2]]=Transactions[[#This Row],[L5N]],Transactions[[#This Row],[L4N]],IF(Transactions[[#This Row],[Level 2]]=Transactions[[#This Row],[L6N]],Transactions[[#This Row],[L5N]],IF(Transactions[[#This Row],[Level 2]]=Transactions[[#This Row],[L7N]],Transactions[[#This Row],[L6N]],Transactions[[#This Row],[L7N]]))))))))</f>
        <v>Electricity plants - Main activity</v>
      </c>
      <c r="AV374" s="24" t="str">
        <f>IF(Transactions[[#This Row],[Level 3]]=Transactions[[#This Row],[Transaction name]],Transactions[[#This Row],[Transaction name]],IF(Transactions[[#This Row],[Level 3]]=Transactions[[#This Row],[L1N]],Transactions[[#This Row],[Transaction name]],IF(Transactions[[#This Row],[Level 3]]=Transactions[[#This Row],[L2N]],Transactions[[#This Row],[L1N]],IF(Transactions[[#This Row],[Level 3]]=Transactions[[#This Row],[L3N]],Transactions[[#This Row],[L2N]],IF(Transactions[[#This Row],[Level 3]]=Transactions[[#This Row],[L4N]],Transactions[[#This Row],[L3N]],IF(Transactions[[#This Row],[Level 3]]=Transactions[[#This Row],[L5N]],Transactions[[#This Row],[L4N]],IF(Transactions[[#This Row],[Level 3]]=Transactions[[#This Row],[L6N]],Transactions[[#This Row],[L5N]],IF(Transactions[[#This Row],[Level 3]]=Transactions[[#This Row],[L7N]],Transactions[[#This Row],[L6N]],Transactions[[#This Row],[L7N]]))))))))</f>
        <v>Electricity plants - Main activity</v>
      </c>
      <c r="AW374" s="24" t="str">
        <f>IF(Transactions[[#This Row],[Level 4]]=Transactions[[#This Row],[Transaction name]],Transactions[[#This Row],[Transaction name]],IF(Transactions[[#This Row],[Level 4]]=Transactions[[#This Row],[L1N]],Transactions[[#This Row],[Transaction name]],IF(Transactions[[#This Row],[Level 4]]=Transactions[[#This Row],[L2N]],Transactions[[#This Row],[L1N]],IF(Transactions[[#This Row],[Level 4]]=Transactions[[#This Row],[L3N]],Transactions[[#This Row],[L2N]],IF(Transactions[[#This Row],[Level 4]]=Transactions[[#This Row],[L4N]],Transactions[[#This Row],[L3N]],IF(Transactions[[#This Row],[Level 4]]=Transactions[[#This Row],[L5N]],Transactions[[#This Row],[L4N]],IF(Transactions[[#This Row],[Level 4]]=Transactions[[#This Row],[L6N]],Transactions[[#This Row],[L5N]],IF(Transactions[[#This Row],[Level 4]]=Transactions[[#This Row],[L7N]],Transactions[[#This Row],[L6N]],Transactions[[#This Row],[L7N]]))))))))</f>
        <v>Electricity plants - Main activity</v>
      </c>
      <c r="AX374" s="24" t="str">
        <f>IF(Transactions[[#This Row],[Level 5]]=Transactions[[#This Row],[Transaction name]],Transactions[[#This Row],[Transaction name]],IF(Transactions[[#This Row],[Level 5]]=Transactions[[#This Row],[L1N]],Transactions[[#This Row],[Transaction name]],IF(Transactions[[#This Row],[Level 5]]=Transactions[[#This Row],[L2N]],Transactions[[#This Row],[L1N]],IF(Transactions[[#This Row],[Level 5]]=Transactions[[#This Row],[L3N]],Transactions[[#This Row],[L2N]],IF(Transactions[[#This Row],[Level 5]]=Transactions[[#This Row],[L4N]],Transactions[[#This Row],[L3N]],IF(Transactions[[#This Row],[Level 5]]=Transactions[[#This Row],[L5N]],Transactions[[#This Row],[L4N]],IF(Transactions[[#This Row],[Level 5]]=Transactions[[#This Row],[L6N]],Transactions[[#This Row],[L5N]],IF(Transactions[[#This Row],[Level 5]]=Transactions[[#This Row],[L7N]],Transactions[[#This Row],[L6N]],Transactions[[#This Row],[L7N]]))))))))</f>
        <v>Electricity plants - Main activity</v>
      </c>
      <c r="AY374" s="24" t="str">
        <f>IF(Transactions[[#This Row],[Level 6]]=Transactions[[#This Row],[Transaction name]],Transactions[[#This Row],[Transaction name]],IF(Transactions[[#This Row],[Level 6]]=Transactions[[#This Row],[L1N]],Transactions[[#This Row],[Transaction name]],IF(Transactions[[#This Row],[Level 6]]=Transactions[[#This Row],[L2N]],Transactions[[#This Row],[L1N]],IF(Transactions[[#This Row],[Level 6]]=Transactions[[#This Row],[L3N]],Transactions[[#This Row],[L2N]],IF(Transactions[[#This Row],[Level 6]]=Transactions[[#This Row],[L4N]],Transactions[[#This Row],[L3N]],IF(Transactions[[#This Row],[Level 6]]=Transactions[[#This Row],[L5N]],Transactions[[#This Row],[L4N]],IF(Transactions[[#This Row],[Level 6]]=Transactions[[#This Row],[L6N]],Transactions[[#This Row],[L5N]],IF(Transactions[[#This Row],[Level 6]]=Transactions[[#This Row],[L7N]],Transactions[[#This Row],[L6N]],Transactions[[#This Row],[L7N]]))))))))</f>
        <v>Electricity plants - Main activity</v>
      </c>
      <c r="BE374" s="26" t="str">
        <f>_xlfn.XLOOKUP(Transformation[[#This Row],[cfrom]],Commodities[Commodity],Commodities[Commodity code])</f>
        <v>4630</v>
      </c>
      <c r="BF374" s="26" t="str">
        <f>_xlfn.XLOOKUP(Transformation[[#This Row],[tfrom]],Transactions[Transaction name],Transactions[Transaction code])</f>
        <v>014</v>
      </c>
      <c r="BG374" s="26" t="str">
        <f>_xlfn.XLOOKUP(Transformation[[#This Row],[cto]],Commodities[Commodity],Commodities[Commodity code])</f>
        <v>4630</v>
      </c>
      <c r="BH374" s="26" t="str">
        <f>_xlfn.XLOOKUP(Transformation[[#This Row],[tto]],Transactions[Transaction name],Transactions[Transaction code])</f>
        <v>087</v>
      </c>
      <c r="BI374" s="31">
        <v>1</v>
      </c>
      <c r="BJ374" s="22" t="s">
        <v>408</v>
      </c>
      <c r="BK374" s="26" t="str">
        <f>_xlfn.XLOOKUP(Transformation[[#This Row],[Commodity from]],Commodities[Commodity code],Commodities[EnergyCode])</f>
        <v>LP</v>
      </c>
      <c r="BL374" s="22" t="s">
        <v>370</v>
      </c>
      <c r="BM374" s="22" t="s">
        <v>408</v>
      </c>
      <c r="BN374" s="26" t="str">
        <f>_xlfn.XLOOKUP(Transformation[[#This Row],[Commodity to]],Commodities[Commodity code],Commodities[EnergyCode])</f>
        <v>LP</v>
      </c>
      <c r="BO374" s="22" t="s">
        <v>729</v>
      </c>
      <c r="BP374" s="22" t="s">
        <v>1688</v>
      </c>
      <c r="BQ374" s="33" t="str">
        <f>Transformation[[#This Row],[Commodity from]]&amp;Transformation[[#This Row],[Transaction from]]&amp;Transformation[[#This Row],[Commodity to]]&amp;Transformation[[#This Row],[Transaction to]]</f>
        <v>46300144630087</v>
      </c>
      <c r="BR374" s="26" t="str">
        <f>Transformation[[#This Row],[crfomid]]&amp;Transformation[[#This Row],[Transaction from]]&amp;"("&amp;Transformation[[#This Row],[Multiplier]]&amp;") -&gt; "&amp;Transformation[[#This Row],[ctoid]]&amp;Transformation[[#This Row],[Transaction to]]</f>
        <v>LP014(1) -&gt; LP087</v>
      </c>
    </row>
    <row r="375" spans="25:70" x14ac:dyDescent="0.45">
      <c r="Y375" s="5" t="s">
        <v>1151</v>
      </c>
      <c r="Z375" s="7" t="s">
        <v>1143</v>
      </c>
      <c r="AA375" s="4" t="s">
        <v>1368</v>
      </c>
      <c r="AB375" s="19" t="s">
        <v>1594</v>
      </c>
      <c r="AC375" s="24" t="str">
        <f>IFERROR(VLOOKUP(Transactions[[#This Row],[Parent code]],Transactions[[Transaction code]:[Transaction name]],2,0),"")</f>
        <v>Electricity plants - municipal solid waste</v>
      </c>
      <c r="AD375" s="4" t="s">
        <v>189</v>
      </c>
      <c r="AE375" s="4" t="s">
        <v>923</v>
      </c>
      <c r="AF375" s="4" t="s">
        <v>642</v>
      </c>
      <c r="AG375" s="4" t="s">
        <v>1</v>
      </c>
      <c r="AH375" s="4" t="s">
        <v>696</v>
      </c>
      <c r="AI375" s="12" t="s">
        <v>1416</v>
      </c>
      <c r="AK375" s="24" t="str" cm="1">
        <f t="array" ref="AK375">IFERROR(INDEX(Transactions[[Transaction code]:[Transaction name]],_xlfn.XMATCH(Transactions[[#This Row],[Parent code]],Transactions[Transaction name],0),3),Transactions[[#This Row],[Transaction name]])</f>
        <v>Electricity plants - Autoproducer - municipal solid waste</v>
      </c>
      <c r="AL375" s="24" t="str" cm="1">
        <f t="array" ref="AL375">IFERROR(INDEX(Transactions[[Transaction code]:[Transaction name]],_xlfn.XMATCH(INDEX(Transactions[[Transaction name]:[Parent code]],_xlfn.XMATCH(Transactions[[#This Row],[L1N]],Transactions[Transaction name],0),3),Transactions[Transaction code],0),2),Transactions[[#This Row],[L1N]])</f>
        <v>Electricity plants - municipal solid waste</v>
      </c>
      <c r="AM375" s="24" t="str" cm="1">
        <f t="array" ref="AM375">IFERROR(INDEX(Transactions[[Transaction code]:[Transaction name]],_xlfn.XMATCH(INDEX(Transactions[[Transaction name]:[Parent code]],_xlfn.XMATCH(Transactions[[#This Row],[L2N]],Transactions[Transaction name],0),3),Transactions[Transaction code],0),2),Transactions[[#This Row],[L2N]])</f>
        <v>Electricity plants</v>
      </c>
      <c r="AN375" s="24" t="str" cm="1">
        <f t="array" ref="AN375">IFERROR(INDEX(Transactions[[Transaction code]:[Transaction name]],_xlfn.XMATCH(INDEX(Transactions[[Transaction name]:[Parent code]],_xlfn.XMATCH(Transactions[[#This Row],[L3N]],Transactions[Transaction name],0),3),Transactions[Transaction code],0),2),Transactions[[#This Row],[L3N]])</f>
        <v>Electricity, CHP and heat plants (T)</v>
      </c>
      <c r="AO375" s="24" t="str" cm="1">
        <f t="array" ref="AO375">IFERROR(INDEX(Transactions[[Transaction code]:[Transaction name]],_xlfn.XMATCH(INDEX(Transactions[[Transaction name]:[Parent code]],_xlfn.XMATCH(Transactions[[#This Row],[L4N]],Transactions[Transaction name],0),3),Transactions[Transaction code],0),2),Transactions[[#This Row],[L4N]])</f>
        <v>Transformation</v>
      </c>
      <c r="AP375" s="24" t="str" cm="1">
        <f t="array" ref="AP375">IFERROR(INDEX(Transactions[[Transaction code]:[Transaction name]],_xlfn.XMATCH(INDEX(Transactions[[Transaction name]:[Parent code]],_xlfn.XMATCH(Transactions[[#This Row],[L5N]],Transactions[Transaction name],0),3),Transactions[Transaction code],0),2),Transactions[[#This Row],[L5N]])</f>
        <v>Transformation</v>
      </c>
      <c r="AQ375" s="24" t="str" cm="1">
        <f t="array" ref="AQ375">IFERROR(INDEX(Transactions[[Transaction code]:[Transaction name]],_xlfn.XMATCH(INDEX(Transactions[[Transaction name]:[Parent code]],_xlfn.XMATCH(Transactions[[#This Row],[L6N]],Transactions[Transaction name],0),3),Transactions[Transaction code],0),2),Transactions[[#This Row],[L6N]])</f>
        <v>Transformation</v>
      </c>
      <c r="AR375" s="28" t="str">
        <f>IF(Transactions[[#This Row],[L7N]]=Transactions[[#This Row],[L6N]],Transactions[[#This Row],[L7N]],IF(Transactions[[#This Row],[L6N]]=Transactions[[#This Row],[L5N]],Transactions[[#This Row],[L6N]],IF(Transactions[[#This Row],[L5N]]=Transactions[[#This Row],[L4N]],Transactions[[#This Row],[L5N]],IF(Transactions[[#This Row],[L4N]]=Transactions[[#This Row],[L3N]],Transactions[[#This Row],[L4N]],IF(Transactions[[#This Row],[L3N]]=Transactions[[#This Row],[L2N]],Transactions[[#This Row],[L3N]],IF(Transactions[[#This Row],[L2N]]=Transactions[[#This Row],[L1N]],Transactions[[#This Row],[L2N]],IF(Transactions[[#This Row],[L1N]]=Transactions[[#This Row],[Transaction name]],Transactions[[#This Row],[L1N]],Transactions[[#This Row],[Transaction name]])))))))</f>
        <v>Transformation</v>
      </c>
      <c r="AS375" s="24" t="str">
        <f>IF(Transactions[[#This Row],[Level 0]]=Transactions[[#This Row],[Transaction name]],Transactions[[#This Row],[Transaction name]],IF(Transactions[[#This Row],[Level 0]]=Transactions[[#This Row],[L1N]],Transactions[[#This Row],[Transaction name]],IF(Transactions[[#This Row],[Level 0]]=Transactions[[#This Row],[L2N]],Transactions[[#This Row],[L1N]],IF(Transactions[[#This Row],[Level 0]]=Transactions[[#This Row],[L3N]],Transactions[[#This Row],[L2N]],IF(Transactions[[#This Row],[Level 0]]=Transactions[[#This Row],[L4N]],Transactions[[#This Row],[L3N]],IF(Transactions[[#This Row],[Level 0]]=Transactions[[#This Row],[L5N]],Transactions[[#This Row],[L4N]],IF(Transactions[[#This Row],[Level 0]]=Transactions[[#This Row],[L6N]],Transactions[[#This Row],[L5N]],IF(Transactions[[#This Row],[Level 0]]=Transactions[[#This Row],[L7N]],Transactions[[#This Row],[L6N]],Transactions[[#This Row],[L7N]]))))))))</f>
        <v>Electricity, CHP and heat plants (T)</v>
      </c>
      <c r="AT375" s="24" t="str">
        <f>IF(Transactions[[#This Row],[Level 1]]=Transactions[[#This Row],[Transaction name]],Transactions[[#This Row],[Transaction name]],IF(Transactions[[#This Row],[Level 1]]=Transactions[[#This Row],[L1N]],Transactions[[#This Row],[Transaction name]],IF(Transactions[[#This Row],[Level 1]]=Transactions[[#This Row],[L2N]],Transactions[[#This Row],[L1N]],IF(Transactions[[#This Row],[Level 1]]=Transactions[[#This Row],[L3N]],Transactions[[#This Row],[L2N]],IF(Transactions[[#This Row],[Level 1]]=Transactions[[#This Row],[L4N]],Transactions[[#This Row],[L3N]],IF(Transactions[[#This Row],[Level 1]]=Transactions[[#This Row],[L5N]],Transactions[[#This Row],[L4N]],IF(Transactions[[#This Row],[Level 1]]=Transactions[[#This Row],[L6N]],Transactions[[#This Row],[L5N]],IF(Transactions[[#This Row],[Level 1]]=Transactions[[#This Row],[L7N]],Transactions[[#This Row],[L6N]],Transactions[[#This Row],[L7N]]))))))))</f>
        <v>Electricity plants</v>
      </c>
      <c r="AU375" s="24" t="str">
        <f>IF(Transactions[[#This Row],[Level 2]]=Transactions[[#This Row],[Transaction name]],Transactions[[#This Row],[Transaction name]],IF(Transactions[[#This Row],[Level 2]]=Transactions[[#This Row],[L1N]],Transactions[[#This Row],[Transaction name]],IF(Transactions[[#This Row],[Level 2]]=Transactions[[#This Row],[L2N]],Transactions[[#This Row],[L1N]],IF(Transactions[[#This Row],[Level 2]]=Transactions[[#This Row],[L3N]],Transactions[[#This Row],[L2N]],IF(Transactions[[#This Row],[Level 2]]=Transactions[[#This Row],[L4N]],Transactions[[#This Row],[L3N]],IF(Transactions[[#This Row],[Level 2]]=Transactions[[#This Row],[L5N]],Transactions[[#This Row],[L4N]],IF(Transactions[[#This Row],[Level 2]]=Transactions[[#This Row],[L6N]],Transactions[[#This Row],[L5N]],IF(Transactions[[#This Row],[Level 2]]=Transactions[[#This Row],[L7N]],Transactions[[#This Row],[L6N]],Transactions[[#This Row],[L7N]]))))))))</f>
        <v>Electricity plants - municipal solid waste</v>
      </c>
      <c r="AV375" s="24" t="str">
        <f>IF(Transactions[[#This Row],[Level 3]]=Transactions[[#This Row],[Transaction name]],Transactions[[#This Row],[Transaction name]],IF(Transactions[[#This Row],[Level 3]]=Transactions[[#This Row],[L1N]],Transactions[[#This Row],[Transaction name]],IF(Transactions[[#This Row],[Level 3]]=Transactions[[#This Row],[L2N]],Transactions[[#This Row],[L1N]],IF(Transactions[[#This Row],[Level 3]]=Transactions[[#This Row],[L3N]],Transactions[[#This Row],[L2N]],IF(Transactions[[#This Row],[Level 3]]=Transactions[[#This Row],[L4N]],Transactions[[#This Row],[L3N]],IF(Transactions[[#This Row],[Level 3]]=Transactions[[#This Row],[L5N]],Transactions[[#This Row],[L4N]],IF(Transactions[[#This Row],[Level 3]]=Transactions[[#This Row],[L6N]],Transactions[[#This Row],[L5N]],IF(Transactions[[#This Row],[Level 3]]=Transactions[[#This Row],[L7N]],Transactions[[#This Row],[L6N]],Transactions[[#This Row],[L7N]]))))))))</f>
        <v>Electricity plants - Autoproducer - municipal solid waste</v>
      </c>
      <c r="AW375" s="24" t="str">
        <f>IF(Transactions[[#This Row],[Level 4]]=Transactions[[#This Row],[Transaction name]],Transactions[[#This Row],[Transaction name]],IF(Transactions[[#This Row],[Level 4]]=Transactions[[#This Row],[L1N]],Transactions[[#This Row],[Transaction name]],IF(Transactions[[#This Row],[Level 4]]=Transactions[[#This Row],[L2N]],Transactions[[#This Row],[L1N]],IF(Transactions[[#This Row],[Level 4]]=Transactions[[#This Row],[L3N]],Transactions[[#This Row],[L2N]],IF(Transactions[[#This Row],[Level 4]]=Transactions[[#This Row],[L4N]],Transactions[[#This Row],[L3N]],IF(Transactions[[#This Row],[Level 4]]=Transactions[[#This Row],[L5N]],Transactions[[#This Row],[L4N]],IF(Transactions[[#This Row],[Level 4]]=Transactions[[#This Row],[L6N]],Transactions[[#This Row],[L5N]],IF(Transactions[[#This Row],[Level 4]]=Transactions[[#This Row],[L7N]],Transactions[[#This Row],[L6N]],Transactions[[#This Row],[L7N]]))))))))</f>
        <v>Electricity plants - Autoproducer - municipal solid waste</v>
      </c>
      <c r="AX375" s="24" t="str">
        <f>IF(Transactions[[#This Row],[Level 5]]=Transactions[[#This Row],[Transaction name]],Transactions[[#This Row],[Transaction name]],IF(Transactions[[#This Row],[Level 5]]=Transactions[[#This Row],[L1N]],Transactions[[#This Row],[Transaction name]],IF(Transactions[[#This Row],[Level 5]]=Transactions[[#This Row],[L2N]],Transactions[[#This Row],[L1N]],IF(Transactions[[#This Row],[Level 5]]=Transactions[[#This Row],[L3N]],Transactions[[#This Row],[L2N]],IF(Transactions[[#This Row],[Level 5]]=Transactions[[#This Row],[L4N]],Transactions[[#This Row],[L3N]],IF(Transactions[[#This Row],[Level 5]]=Transactions[[#This Row],[L5N]],Transactions[[#This Row],[L4N]],IF(Transactions[[#This Row],[Level 5]]=Transactions[[#This Row],[L6N]],Transactions[[#This Row],[L5N]],IF(Transactions[[#This Row],[Level 5]]=Transactions[[#This Row],[L7N]],Transactions[[#This Row],[L6N]],Transactions[[#This Row],[L7N]]))))))))</f>
        <v>Electricity plants - Autoproducer - municipal solid waste</v>
      </c>
      <c r="AY375" s="24" t="str">
        <f>IF(Transactions[[#This Row],[Level 6]]=Transactions[[#This Row],[Transaction name]],Transactions[[#This Row],[Transaction name]],IF(Transactions[[#This Row],[Level 6]]=Transactions[[#This Row],[L1N]],Transactions[[#This Row],[Transaction name]],IF(Transactions[[#This Row],[Level 6]]=Transactions[[#This Row],[L2N]],Transactions[[#This Row],[L1N]],IF(Transactions[[#This Row],[Level 6]]=Transactions[[#This Row],[L3N]],Transactions[[#This Row],[L2N]],IF(Transactions[[#This Row],[Level 6]]=Transactions[[#This Row],[L4N]],Transactions[[#This Row],[L3N]],IF(Transactions[[#This Row],[Level 6]]=Transactions[[#This Row],[L5N]],Transactions[[#This Row],[L4N]],IF(Transactions[[#This Row],[Level 6]]=Transactions[[#This Row],[L6N]],Transactions[[#This Row],[L5N]],IF(Transactions[[#This Row],[Level 6]]=Transactions[[#This Row],[L7N]],Transactions[[#This Row],[L6N]],Transactions[[#This Row],[L7N]]))))))))</f>
        <v>Electricity plants - Autoproducer - municipal solid waste</v>
      </c>
      <c r="BE375" s="26" t="str">
        <f>_xlfn.XLOOKUP(Transformation[[#This Row],[cfrom]],Commodities[Commodity],Commodities[Commodity code])</f>
        <v>4630</v>
      </c>
      <c r="BF375" s="26" t="str">
        <f>_xlfn.XLOOKUP(Transformation[[#This Row],[tfrom]],Transactions[Transaction name],Transactions[Transaction code])</f>
        <v>014</v>
      </c>
      <c r="BG375" s="26" t="str">
        <f>_xlfn.XLOOKUP(Transformation[[#This Row],[cto]],Commodities[Commodity],Commodities[Commodity code])</f>
        <v>4630</v>
      </c>
      <c r="BH375" s="26" t="str">
        <f>_xlfn.XLOOKUP(Transformation[[#This Row],[tto]],Transactions[Transaction name],Transactions[Transaction code])</f>
        <v>014</v>
      </c>
      <c r="BI375" s="31">
        <v>-1</v>
      </c>
      <c r="BJ375" s="22" t="s">
        <v>408</v>
      </c>
      <c r="BK375" s="26" t="str">
        <f>_xlfn.XLOOKUP(Transformation[[#This Row],[Commodity from]],Commodities[Commodity code],Commodities[EnergyCode])</f>
        <v>LP</v>
      </c>
      <c r="BL375" s="22" t="s">
        <v>370</v>
      </c>
      <c r="BM375" s="22" t="s">
        <v>408</v>
      </c>
      <c r="BN375" s="26" t="str">
        <f>_xlfn.XLOOKUP(Transformation[[#This Row],[Commodity to]],Commodities[Commodity code],Commodities[EnergyCode])</f>
        <v>LP</v>
      </c>
      <c r="BO375" s="22" t="s">
        <v>370</v>
      </c>
      <c r="BP375" s="22" t="s">
        <v>1689</v>
      </c>
      <c r="BQ375" s="33" t="str">
        <f>Transformation[[#This Row],[Commodity from]]&amp;Transformation[[#This Row],[Transaction from]]&amp;Transformation[[#This Row],[Commodity to]]&amp;Transformation[[#This Row],[Transaction to]]</f>
        <v>46300144630014</v>
      </c>
      <c r="BR375" s="26" t="str">
        <f>Transformation[[#This Row],[crfomid]]&amp;Transformation[[#This Row],[Transaction from]]&amp;"("&amp;Transformation[[#This Row],[Multiplier]]&amp;") -&gt; "&amp;Transformation[[#This Row],[ctoid]]&amp;Transformation[[#This Row],[Transaction to]]</f>
        <v>LP014(-1) -&gt; LP014</v>
      </c>
    </row>
    <row r="376" spans="25:70" x14ac:dyDescent="0.45">
      <c r="Y376" s="5" t="s">
        <v>1147</v>
      </c>
      <c r="Z376" s="7" t="s">
        <v>1139</v>
      </c>
      <c r="AA376" s="4" t="s">
        <v>1368</v>
      </c>
      <c r="AB376" s="19" t="s">
        <v>1594</v>
      </c>
      <c r="AC376" s="24" t="str">
        <f>IFERROR(VLOOKUP(Transactions[[#This Row],[Parent code]],Transactions[[Transaction code]:[Transaction name]],2,0),"")</f>
        <v>Electricity plants - municipal solid waste</v>
      </c>
      <c r="AD376" s="4" t="s">
        <v>189</v>
      </c>
      <c r="AE376" s="4" t="s">
        <v>923</v>
      </c>
      <c r="AF376" s="4" t="s">
        <v>642</v>
      </c>
      <c r="AG376" s="4" t="s">
        <v>1</v>
      </c>
      <c r="AH376" s="4" t="s">
        <v>696</v>
      </c>
      <c r="AI376" s="12" t="s">
        <v>1416</v>
      </c>
      <c r="AK376" s="24" t="str" cm="1">
        <f t="array" ref="AK376">IFERROR(INDEX(Transactions[[Transaction code]:[Transaction name]],_xlfn.XMATCH(Transactions[[#This Row],[Parent code]],Transactions[Transaction name],0),3),Transactions[[#This Row],[Transaction name]])</f>
        <v>Electricity plants - Main activity - municipal solid waste</v>
      </c>
      <c r="AL376" s="24" t="str" cm="1">
        <f t="array" ref="AL376">IFERROR(INDEX(Transactions[[Transaction code]:[Transaction name]],_xlfn.XMATCH(INDEX(Transactions[[Transaction name]:[Parent code]],_xlfn.XMATCH(Transactions[[#This Row],[L1N]],Transactions[Transaction name],0),3),Transactions[Transaction code],0),2),Transactions[[#This Row],[L1N]])</f>
        <v>Electricity plants - municipal solid waste</v>
      </c>
      <c r="AM376" s="24" t="str" cm="1">
        <f t="array" ref="AM376">IFERROR(INDEX(Transactions[[Transaction code]:[Transaction name]],_xlfn.XMATCH(INDEX(Transactions[[Transaction name]:[Parent code]],_xlfn.XMATCH(Transactions[[#This Row],[L2N]],Transactions[Transaction name],0),3),Transactions[Transaction code],0),2),Transactions[[#This Row],[L2N]])</f>
        <v>Electricity plants</v>
      </c>
      <c r="AN376" s="24" t="str" cm="1">
        <f t="array" ref="AN376">IFERROR(INDEX(Transactions[[Transaction code]:[Transaction name]],_xlfn.XMATCH(INDEX(Transactions[[Transaction name]:[Parent code]],_xlfn.XMATCH(Transactions[[#This Row],[L3N]],Transactions[Transaction name],0),3),Transactions[Transaction code],0),2),Transactions[[#This Row],[L3N]])</f>
        <v>Electricity, CHP and heat plants (T)</v>
      </c>
      <c r="AO376" s="24" t="str" cm="1">
        <f t="array" ref="AO376">IFERROR(INDEX(Transactions[[Transaction code]:[Transaction name]],_xlfn.XMATCH(INDEX(Transactions[[Transaction name]:[Parent code]],_xlfn.XMATCH(Transactions[[#This Row],[L4N]],Transactions[Transaction name],0),3),Transactions[Transaction code],0),2),Transactions[[#This Row],[L4N]])</f>
        <v>Transformation</v>
      </c>
      <c r="AP376" s="24" t="str" cm="1">
        <f t="array" ref="AP376">IFERROR(INDEX(Transactions[[Transaction code]:[Transaction name]],_xlfn.XMATCH(INDEX(Transactions[[Transaction name]:[Parent code]],_xlfn.XMATCH(Transactions[[#This Row],[L5N]],Transactions[Transaction name],0),3),Transactions[Transaction code],0),2),Transactions[[#This Row],[L5N]])</f>
        <v>Transformation</v>
      </c>
      <c r="AQ376" s="24" t="str" cm="1">
        <f t="array" ref="AQ376">IFERROR(INDEX(Transactions[[Transaction code]:[Transaction name]],_xlfn.XMATCH(INDEX(Transactions[[Transaction name]:[Parent code]],_xlfn.XMATCH(Transactions[[#This Row],[L6N]],Transactions[Transaction name],0),3),Transactions[Transaction code],0),2),Transactions[[#This Row],[L6N]])</f>
        <v>Transformation</v>
      </c>
      <c r="AR376" s="28" t="str">
        <f>IF(Transactions[[#This Row],[L7N]]=Transactions[[#This Row],[L6N]],Transactions[[#This Row],[L7N]],IF(Transactions[[#This Row],[L6N]]=Transactions[[#This Row],[L5N]],Transactions[[#This Row],[L6N]],IF(Transactions[[#This Row],[L5N]]=Transactions[[#This Row],[L4N]],Transactions[[#This Row],[L5N]],IF(Transactions[[#This Row],[L4N]]=Transactions[[#This Row],[L3N]],Transactions[[#This Row],[L4N]],IF(Transactions[[#This Row],[L3N]]=Transactions[[#This Row],[L2N]],Transactions[[#This Row],[L3N]],IF(Transactions[[#This Row],[L2N]]=Transactions[[#This Row],[L1N]],Transactions[[#This Row],[L2N]],IF(Transactions[[#This Row],[L1N]]=Transactions[[#This Row],[Transaction name]],Transactions[[#This Row],[L1N]],Transactions[[#This Row],[Transaction name]])))))))</f>
        <v>Transformation</v>
      </c>
      <c r="AS376" s="24" t="str">
        <f>IF(Transactions[[#This Row],[Level 0]]=Transactions[[#This Row],[Transaction name]],Transactions[[#This Row],[Transaction name]],IF(Transactions[[#This Row],[Level 0]]=Transactions[[#This Row],[L1N]],Transactions[[#This Row],[Transaction name]],IF(Transactions[[#This Row],[Level 0]]=Transactions[[#This Row],[L2N]],Transactions[[#This Row],[L1N]],IF(Transactions[[#This Row],[Level 0]]=Transactions[[#This Row],[L3N]],Transactions[[#This Row],[L2N]],IF(Transactions[[#This Row],[Level 0]]=Transactions[[#This Row],[L4N]],Transactions[[#This Row],[L3N]],IF(Transactions[[#This Row],[Level 0]]=Transactions[[#This Row],[L5N]],Transactions[[#This Row],[L4N]],IF(Transactions[[#This Row],[Level 0]]=Transactions[[#This Row],[L6N]],Transactions[[#This Row],[L5N]],IF(Transactions[[#This Row],[Level 0]]=Transactions[[#This Row],[L7N]],Transactions[[#This Row],[L6N]],Transactions[[#This Row],[L7N]]))))))))</f>
        <v>Electricity, CHP and heat plants (T)</v>
      </c>
      <c r="AT376" s="24" t="str">
        <f>IF(Transactions[[#This Row],[Level 1]]=Transactions[[#This Row],[Transaction name]],Transactions[[#This Row],[Transaction name]],IF(Transactions[[#This Row],[Level 1]]=Transactions[[#This Row],[L1N]],Transactions[[#This Row],[Transaction name]],IF(Transactions[[#This Row],[Level 1]]=Transactions[[#This Row],[L2N]],Transactions[[#This Row],[L1N]],IF(Transactions[[#This Row],[Level 1]]=Transactions[[#This Row],[L3N]],Transactions[[#This Row],[L2N]],IF(Transactions[[#This Row],[Level 1]]=Transactions[[#This Row],[L4N]],Transactions[[#This Row],[L3N]],IF(Transactions[[#This Row],[Level 1]]=Transactions[[#This Row],[L5N]],Transactions[[#This Row],[L4N]],IF(Transactions[[#This Row],[Level 1]]=Transactions[[#This Row],[L6N]],Transactions[[#This Row],[L5N]],IF(Transactions[[#This Row],[Level 1]]=Transactions[[#This Row],[L7N]],Transactions[[#This Row],[L6N]],Transactions[[#This Row],[L7N]]))))))))</f>
        <v>Electricity plants</v>
      </c>
      <c r="AU376" s="24" t="str">
        <f>IF(Transactions[[#This Row],[Level 2]]=Transactions[[#This Row],[Transaction name]],Transactions[[#This Row],[Transaction name]],IF(Transactions[[#This Row],[Level 2]]=Transactions[[#This Row],[L1N]],Transactions[[#This Row],[Transaction name]],IF(Transactions[[#This Row],[Level 2]]=Transactions[[#This Row],[L2N]],Transactions[[#This Row],[L1N]],IF(Transactions[[#This Row],[Level 2]]=Transactions[[#This Row],[L3N]],Transactions[[#This Row],[L2N]],IF(Transactions[[#This Row],[Level 2]]=Transactions[[#This Row],[L4N]],Transactions[[#This Row],[L3N]],IF(Transactions[[#This Row],[Level 2]]=Transactions[[#This Row],[L5N]],Transactions[[#This Row],[L4N]],IF(Transactions[[#This Row],[Level 2]]=Transactions[[#This Row],[L6N]],Transactions[[#This Row],[L5N]],IF(Transactions[[#This Row],[Level 2]]=Transactions[[#This Row],[L7N]],Transactions[[#This Row],[L6N]],Transactions[[#This Row],[L7N]]))))))))</f>
        <v>Electricity plants - municipal solid waste</v>
      </c>
      <c r="AV376" s="24" t="str">
        <f>IF(Transactions[[#This Row],[Level 3]]=Transactions[[#This Row],[Transaction name]],Transactions[[#This Row],[Transaction name]],IF(Transactions[[#This Row],[Level 3]]=Transactions[[#This Row],[L1N]],Transactions[[#This Row],[Transaction name]],IF(Transactions[[#This Row],[Level 3]]=Transactions[[#This Row],[L2N]],Transactions[[#This Row],[L1N]],IF(Transactions[[#This Row],[Level 3]]=Transactions[[#This Row],[L3N]],Transactions[[#This Row],[L2N]],IF(Transactions[[#This Row],[Level 3]]=Transactions[[#This Row],[L4N]],Transactions[[#This Row],[L3N]],IF(Transactions[[#This Row],[Level 3]]=Transactions[[#This Row],[L5N]],Transactions[[#This Row],[L4N]],IF(Transactions[[#This Row],[Level 3]]=Transactions[[#This Row],[L6N]],Transactions[[#This Row],[L5N]],IF(Transactions[[#This Row],[Level 3]]=Transactions[[#This Row],[L7N]],Transactions[[#This Row],[L6N]],Transactions[[#This Row],[L7N]]))))))))</f>
        <v>Electricity plants - Main activity - municipal solid waste</v>
      </c>
      <c r="AW376" s="24" t="str">
        <f>IF(Transactions[[#This Row],[Level 4]]=Transactions[[#This Row],[Transaction name]],Transactions[[#This Row],[Transaction name]],IF(Transactions[[#This Row],[Level 4]]=Transactions[[#This Row],[L1N]],Transactions[[#This Row],[Transaction name]],IF(Transactions[[#This Row],[Level 4]]=Transactions[[#This Row],[L2N]],Transactions[[#This Row],[L1N]],IF(Transactions[[#This Row],[Level 4]]=Transactions[[#This Row],[L3N]],Transactions[[#This Row],[L2N]],IF(Transactions[[#This Row],[Level 4]]=Transactions[[#This Row],[L4N]],Transactions[[#This Row],[L3N]],IF(Transactions[[#This Row],[Level 4]]=Transactions[[#This Row],[L5N]],Transactions[[#This Row],[L4N]],IF(Transactions[[#This Row],[Level 4]]=Transactions[[#This Row],[L6N]],Transactions[[#This Row],[L5N]],IF(Transactions[[#This Row],[Level 4]]=Transactions[[#This Row],[L7N]],Transactions[[#This Row],[L6N]],Transactions[[#This Row],[L7N]]))))))))</f>
        <v>Electricity plants - Main activity - municipal solid waste</v>
      </c>
      <c r="AX376" s="24" t="str">
        <f>IF(Transactions[[#This Row],[Level 5]]=Transactions[[#This Row],[Transaction name]],Transactions[[#This Row],[Transaction name]],IF(Transactions[[#This Row],[Level 5]]=Transactions[[#This Row],[L1N]],Transactions[[#This Row],[Transaction name]],IF(Transactions[[#This Row],[Level 5]]=Transactions[[#This Row],[L2N]],Transactions[[#This Row],[L1N]],IF(Transactions[[#This Row],[Level 5]]=Transactions[[#This Row],[L3N]],Transactions[[#This Row],[L2N]],IF(Transactions[[#This Row],[Level 5]]=Transactions[[#This Row],[L4N]],Transactions[[#This Row],[L3N]],IF(Transactions[[#This Row],[Level 5]]=Transactions[[#This Row],[L5N]],Transactions[[#This Row],[L4N]],IF(Transactions[[#This Row],[Level 5]]=Transactions[[#This Row],[L6N]],Transactions[[#This Row],[L5N]],IF(Transactions[[#This Row],[Level 5]]=Transactions[[#This Row],[L7N]],Transactions[[#This Row],[L6N]],Transactions[[#This Row],[L7N]]))))))))</f>
        <v>Electricity plants - Main activity - municipal solid waste</v>
      </c>
      <c r="AY376" s="24" t="str">
        <f>IF(Transactions[[#This Row],[Level 6]]=Transactions[[#This Row],[Transaction name]],Transactions[[#This Row],[Transaction name]],IF(Transactions[[#This Row],[Level 6]]=Transactions[[#This Row],[L1N]],Transactions[[#This Row],[Transaction name]],IF(Transactions[[#This Row],[Level 6]]=Transactions[[#This Row],[L2N]],Transactions[[#This Row],[L1N]],IF(Transactions[[#This Row],[Level 6]]=Transactions[[#This Row],[L3N]],Transactions[[#This Row],[L2N]],IF(Transactions[[#This Row],[Level 6]]=Transactions[[#This Row],[L4N]],Transactions[[#This Row],[L3N]],IF(Transactions[[#This Row],[Level 6]]=Transactions[[#This Row],[L5N]],Transactions[[#This Row],[L4N]],IF(Transactions[[#This Row],[Level 6]]=Transactions[[#This Row],[L6N]],Transactions[[#This Row],[L5N]],IF(Transactions[[#This Row],[Level 6]]=Transactions[[#This Row],[L7N]],Transactions[[#This Row],[L6N]],Transactions[[#This Row],[L7N]]))))))))</f>
        <v>Electricity plants - Main activity - municipal solid waste</v>
      </c>
      <c r="BE376" s="26" t="str">
        <f>_xlfn.XLOOKUP(Transformation[[#This Row],[cfrom]],Commodities[Commodity],Commodities[Commodity code])</f>
        <v>4692</v>
      </c>
      <c r="BF376" s="26" t="str">
        <f>_xlfn.XLOOKUP(Transformation[[#This Row],[tfrom]],Transactions[Transaction name],Transactions[Transaction code])</f>
        <v>014</v>
      </c>
      <c r="BG376" s="26" t="str">
        <f>_xlfn.XLOOKUP(Transformation[[#This Row],[cto]],Commodities[Commodity],Commodities[Commodity code])</f>
        <v>4692</v>
      </c>
      <c r="BH376" s="26" t="str">
        <f>_xlfn.XLOOKUP(Transformation[[#This Row],[tto]],Transactions[Transaction name],Transactions[Transaction code])</f>
        <v>087</v>
      </c>
      <c r="BI376" s="31">
        <v>1</v>
      </c>
      <c r="BJ376" s="22" t="s">
        <v>360</v>
      </c>
      <c r="BK376" s="26" t="str">
        <f>_xlfn.XLOOKUP(Transformation[[#This Row],[Commodity from]],Commodities[Commodity code],Commodities[EnergyCode])</f>
        <v>LU</v>
      </c>
      <c r="BL376" s="22" t="s">
        <v>370</v>
      </c>
      <c r="BM376" s="22" t="s">
        <v>360</v>
      </c>
      <c r="BN376" s="26" t="str">
        <f>_xlfn.XLOOKUP(Transformation[[#This Row],[Commodity to]],Commodities[Commodity code],Commodities[EnergyCode])</f>
        <v>LU</v>
      </c>
      <c r="BO376" s="22" t="s">
        <v>729</v>
      </c>
      <c r="BP376" s="22" t="s">
        <v>1688</v>
      </c>
      <c r="BQ376" s="33" t="str">
        <f>Transformation[[#This Row],[Commodity from]]&amp;Transformation[[#This Row],[Transaction from]]&amp;Transformation[[#This Row],[Commodity to]]&amp;Transformation[[#This Row],[Transaction to]]</f>
        <v>46920144692087</v>
      </c>
      <c r="BR376" s="26" t="str">
        <f>Transformation[[#This Row],[crfomid]]&amp;Transformation[[#This Row],[Transaction from]]&amp;"("&amp;Transformation[[#This Row],[Multiplier]]&amp;") -&gt; "&amp;Transformation[[#This Row],[ctoid]]&amp;Transformation[[#This Row],[Transaction to]]</f>
        <v>LU014(1) -&gt; LU087</v>
      </c>
    </row>
    <row r="377" spans="25:70" x14ac:dyDescent="0.45">
      <c r="Y377" s="19" t="s">
        <v>1594</v>
      </c>
      <c r="Z377" s="18" t="s">
        <v>1368</v>
      </c>
      <c r="AA377" s="18" t="s">
        <v>1368</v>
      </c>
      <c r="AB377" s="19" t="s">
        <v>1600</v>
      </c>
      <c r="AC377" s="26" t="str">
        <f>IFERROR(VLOOKUP(Transactions[[#This Row],[Parent code]],Transactions[[Transaction code]:[Transaction name]],2,0),"")</f>
        <v>Electricity plants</v>
      </c>
      <c r="AD377" s="18" t="s">
        <v>189</v>
      </c>
      <c r="AE377" s="18" t="s">
        <v>923</v>
      </c>
      <c r="AF377" s="18" t="s">
        <v>642</v>
      </c>
      <c r="AG377" s="18" t="s">
        <v>1</v>
      </c>
      <c r="AH377" s="18" t="s">
        <v>696</v>
      </c>
      <c r="AI377" s="18" t="s">
        <v>1416</v>
      </c>
      <c r="AJ377" s="18"/>
      <c r="AK377" s="26" t="str" cm="1">
        <f t="array" ref="AK377">IFERROR(INDEX(Transactions[[Transaction code]:[Transaction name]],_xlfn.XMATCH(Transactions[[#This Row],[Parent code]],Transactions[Transaction name],0),3),Transactions[[#This Row],[Transaction name]])</f>
        <v>Electricity plants - municipal solid waste</v>
      </c>
      <c r="AL377" s="26" t="str" cm="1">
        <f t="array" ref="AL377">IFERROR(INDEX(Transactions[[Transaction code]:[Transaction name]],_xlfn.XMATCH(INDEX(Transactions[[Transaction name]:[Parent code]],_xlfn.XMATCH(Transactions[[#This Row],[L1N]],Transactions[Transaction name],0),3),Transactions[Transaction code],0),2),Transactions[[#This Row],[L1N]])</f>
        <v>Electricity plants</v>
      </c>
      <c r="AM377" s="26" t="str" cm="1">
        <f t="array" ref="AM377">IFERROR(INDEX(Transactions[[Transaction code]:[Transaction name]],_xlfn.XMATCH(INDEX(Transactions[[Transaction name]:[Parent code]],_xlfn.XMATCH(Transactions[[#This Row],[L2N]],Transactions[Transaction name],0),3),Transactions[Transaction code],0),2),Transactions[[#This Row],[L2N]])</f>
        <v>Electricity, CHP and heat plants (T)</v>
      </c>
      <c r="AN377" s="26" t="str" cm="1">
        <f t="array" ref="AN377">IFERROR(INDEX(Transactions[[Transaction code]:[Transaction name]],_xlfn.XMATCH(INDEX(Transactions[[Transaction name]:[Parent code]],_xlfn.XMATCH(Transactions[[#This Row],[L3N]],Transactions[Transaction name],0),3),Transactions[Transaction code],0),2),Transactions[[#This Row],[L3N]])</f>
        <v>Transformation</v>
      </c>
      <c r="AO377" s="26" t="str" cm="1">
        <f t="array" ref="AO377">IFERROR(INDEX(Transactions[[Transaction code]:[Transaction name]],_xlfn.XMATCH(INDEX(Transactions[[Transaction name]:[Parent code]],_xlfn.XMATCH(Transactions[[#This Row],[L4N]],Transactions[Transaction name],0),3),Transactions[Transaction code],0),2),Transactions[[#This Row],[L4N]])</f>
        <v>Transformation</v>
      </c>
      <c r="AP377" s="26" t="str" cm="1">
        <f t="array" ref="AP377">IFERROR(INDEX(Transactions[[Transaction code]:[Transaction name]],_xlfn.XMATCH(INDEX(Transactions[[Transaction name]:[Parent code]],_xlfn.XMATCH(Transactions[[#This Row],[L5N]],Transactions[Transaction name],0),3),Transactions[Transaction code],0),2),Transactions[[#This Row],[L5N]])</f>
        <v>Transformation</v>
      </c>
      <c r="AQ377" s="26" t="str" cm="1">
        <f t="array" ref="AQ377">IFERROR(INDEX(Transactions[[Transaction code]:[Transaction name]],_xlfn.XMATCH(INDEX(Transactions[[Transaction name]:[Parent code]],_xlfn.XMATCH(Transactions[[#This Row],[L6N]],Transactions[Transaction name],0),3),Transactions[Transaction code],0),2),Transactions[[#This Row],[L6N]])</f>
        <v>Transformation</v>
      </c>
      <c r="AR377" s="29" t="str">
        <f>IF(Transactions[[#This Row],[L7N]]=Transactions[[#This Row],[L6N]],Transactions[[#This Row],[L7N]],IF(Transactions[[#This Row],[L6N]]=Transactions[[#This Row],[L5N]],Transactions[[#This Row],[L6N]],IF(Transactions[[#This Row],[L5N]]=Transactions[[#This Row],[L4N]],Transactions[[#This Row],[L5N]],IF(Transactions[[#This Row],[L4N]]=Transactions[[#This Row],[L3N]],Transactions[[#This Row],[L4N]],IF(Transactions[[#This Row],[L3N]]=Transactions[[#This Row],[L2N]],Transactions[[#This Row],[L3N]],IF(Transactions[[#This Row],[L2N]]=Transactions[[#This Row],[L1N]],Transactions[[#This Row],[L2N]],IF(Transactions[[#This Row],[L1N]]=Transactions[[#This Row],[Transaction name]],Transactions[[#This Row],[L1N]],Transactions[[#This Row],[Transaction name]])))))))</f>
        <v>Transformation</v>
      </c>
      <c r="AS377" s="26" t="str">
        <f>IF(Transactions[[#This Row],[Level 0]]=Transactions[[#This Row],[Transaction name]],Transactions[[#This Row],[Transaction name]],IF(Transactions[[#This Row],[Level 0]]=Transactions[[#This Row],[L1N]],Transactions[[#This Row],[Transaction name]],IF(Transactions[[#This Row],[Level 0]]=Transactions[[#This Row],[L2N]],Transactions[[#This Row],[L1N]],IF(Transactions[[#This Row],[Level 0]]=Transactions[[#This Row],[L3N]],Transactions[[#This Row],[L2N]],IF(Transactions[[#This Row],[Level 0]]=Transactions[[#This Row],[L4N]],Transactions[[#This Row],[L3N]],IF(Transactions[[#This Row],[Level 0]]=Transactions[[#This Row],[L5N]],Transactions[[#This Row],[L4N]],IF(Transactions[[#This Row],[Level 0]]=Transactions[[#This Row],[L6N]],Transactions[[#This Row],[L5N]],IF(Transactions[[#This Row],[Level 0]]=Transactions[[#This Row],[L7N]],Transactions[[#This Row],[L6N]],Transactions[[#This Row],[L7N]]))))))))</f>
        <v>Electricity, CHP and heat plants (T)</v>
      </c>
      <c r="AT377" s="26" t="str">
        <f>IF(Transactions[[#This Row],[Level 1]]=Transactions[[#This Row],[Transaction name]],Transactions[[#This Row],[Transaction name]],IF(Transactions[[#This Row],[Level 1]]=Transactions[[#This Row],[L1N]],Transactions[[#This Row],[Transaction name]],IF(Transactions[[#This Row],[Level 1]]=Transactions[[#This Row],[L2N]],Transactions[[#This Row],[L1N]],IF(Transactions[[#This Row],[Level 1]]=Transactions[[#This Row],[L3N]],Transactions[[#This Row],[L2N]],IF(Transactions[[#This Row],[Level 1]]=Transactions[[#This Row],[L4N]],Transactions[[#This Row],[L3N]],IF(Transactions[[#This Row],[Level 1]]=Transactions[[#This Row],[L5N]],Transactions[[#This Row],[L4N]],IF(Transactions[[#This Row],[Level 1]]=Transactions[[#This Row],[L6N]],Transactions[[#This Row],[L5N]],IF(Transactions[[#This Row],[Level 1]]=Transactions[[#This Row],[L7N]],Transactions[[#This Row],[L6N]],Transactions[[#This Row],[L7N]]))))))))</f>
        <v>Electricity plants</v>
      </c>
      <c r="AU377" s="26" t="str">
        <f>IF(Transactions[[#This Row],[Level 2]]=Transactions[[#This Row],[Transaction name]],Transactions[[#This Row],[Transaction name]],IF(Transactions[[#This Row],[Level 2]]=Transactions[[#This Row],[L1N]],Transactions[[#This Row],[Transaction name]],IF(Transactions[[#This Row],[Level 2]]=Transactions[[#This Row],[L2N]],Transactions[[#This Row],[L1N]],IF(Transactions[[#This Row],[Level 2]]=Transactions[[#This Row],[L3N]],Transactions[[#This Row],[L2N]],IF(Transactions[[#This Row],[Level 2]]=Transactions[[#This Row],[L4N]],Transactions[[#This Row],[L3N]],IF(Transactions[[#This Row],[Level 2]]=Transactions[[#This Row],[L5N]],Transactions[[#This Row],[L4N]],IF(Transactions[[#This Row],[Level 2]]=Transactions[[#This Row],[L6N]],Transactions[[#This Row],[L5N]],IF(Transactions[[#This Row],[Level 2]]=Transactions[[#This Row],[L7N]],Transactions[[#This Row],[L6N]],Transactions[[#This Row],[L7N]]))))))))</f>
        <v>Electricity plants - municipal solid waste</v>
      </c>
      <c r="AV377" s="26" t="str">
        <f>IF(Transactions[[#This Row],[Level 3]]=Transactions[[#This Row],[Transaction name]],Transactions[[#This Row],[Transaction name]],IF(Transactions[[#This Row],[Level 3]]=Transactions[[#This Row],[L1N]],Transactions[[#This Row],[Transaction name]],IF(Transactions[[#This Row],[Level 3]]=Transactions[[#This Row],[L2N]],Transactions[[#This Row],[L1N]],IF(Transactions[[#This Row],[Level 3]]=Transactions[[#This Row],[L3N]],Transactions[[#This Row],[L2N]],IF(Transactions[[#This Row],[Level 3]]=Transactions[[#This Row],[L4N]],Transactions[[#This Row],[L3N]],IF(Transactions[[#This Row],[Level 3]]=Transactions[[#This Row],[L5N]],Transactions[[#This Row],[L4N]],IF(Transactions[[#This Row],[Level 3]]=Transactions[[#This Row],[L6N]],Transactions[[#This Row],[L5N]],IF(Transactions[[#This Row],[Level 3]]=Transactions[[#This Row],[L7N]],Transactions[[#This Row],[L6N]],Transactions[[#This Row],[L7N]]))))))))</f>
        <v>Electricity plants - municipal solid waste</v>
      </c>
      <c r="AW377" s="26" t="str">
        <f>IF(Transactions[[#This Row],[Level 4]]=Transactions[[#This Row],[Transaction name]],Transactions[[#This Row],[Transaction name]],IF(Transactions[[#This Row],[Level 4]]=Transactions[[#This Row],[L1N]],Transactions[[#This Row],[Transaction name]],IF(Transactions[[#This Row],[Level 4]]=Transactions[[#This Row],[L2N]],Transactions[[#This Row],[L1N]],IF(Transactions[[#This Row],[Level 4]]=Transactions[[#This Row],[L3N]],Transactions[[#This Row],[L2N]],IF(Transactions[[#This Row],[Level 4]]=Transactions[[#This Row],[L4N]],Transactions[[#This Row],[L3N]],IF(Transactions[[#This Row],[Level 4]]=Transactions[[#This Row],[L5N]],Transactions[[#This Row],[L4N]],IF(Transactions[[#This Row],[Level 4]]=Transactions[[#This Row],[L6N]],Transactions[[#This Row],[L5N]],IF(Transactions[[#This Row],[Level 4]]=Transactions[[#This Row],[L7N]],Transactions[[#This Row],[L6N]],Transactions[[#This Row],[L7N]]))))))))</f>
        <v>Electricity plants - municipal solid waste</v>
      </c>
      <c r="AX377" s="26" t="str">
        <f>IF(Transactions[[#This Row],[Level 5]]=Transactions[[#This Row],[Transaction name]],Transactions[[#This Row],[Transaction name]],IF(Transactions[[#This Row],[Level 5]]=Transactions[[#This Row],[L1N]],Transactions[[#This Row],[Transaction name]],IF(Transactions[[#This Row],[Level 5]]=Transactions[[#This Row],[L2N]],Transactions[[#This Row],[L1N]],IF(Transactions[[#This Row],[Level 5]]=Transactions[[#This Row],[L3N]],Transactions[[#This Row],[L2N]],IF(Transactions[[#This Row],[Level 5]]=Transactions[[#This Row],[L4N]],Transactions[[#This Row],[L3N]],IF(Transactions[[#This Row],[Level 5]]=Transactions[[#This Row],[L5N]],Transactions[[#This Row],[L4N]],IF(Transactions[[#This Row],[Level 5]]=Transactions[[#This Row],[L6N]],Transactions[[#This Row],[L5N]],IF(Transactions[[#This Row],[Level 5]]=Transactions[[#This Row],[L7N]],Transactions[[#This Row],[L6N]],Transactions[[#This Row],[L7N]]))))))))</f>
        <v>Electricity plants - municipal solid waste</v>
      </c>
      <c r="AY377" s="26" t="str">
        <f>IF(Transactions[[#This Row],[Level 6]]=Transactions[[#This Row],[Transaction name]],Transactions[[#This Row],[Transaction name]],IF(Transactions[[#This Row],[Level 6]]=Transactions[[#This Row],[L1N]],Transactions[[#This Row],[Transaction name]],IF(Transactions[[#This Row],[Level 6]]=Transactions[[#This Row],[L2N]],Transactions[[#This Row],[L1N]],IF(Transactions[[#This Row],[Level 6]]=Transactions[[#This Row],[L3N]],Transactions[[#This Row],[L2N]],IF(Transactions[[#This Row],[Level 6]]=Transactions[[#This Row],[L4N]],Transactions[[#This Row],[L3N]],IF(Transactions[[#This Row],[Level 6]]=Transactions[[#This Row],[L5N]],Transactions[[#This Row],[L4N]],IF(Transactions[[#This Row],[Level 6]]=Transactions[[#This Row],[L6N]],Transactions[[#This Row],[L5N]],IF(Transactions[[#This Row],[Level 6]]=Transactions[[#This Row],[L7N]],Transactions[[#This Row],[L6N]],Transactions[[#This Row],[L7N]]))))))))</f>
        <v>Electricity plants - municipal solid waste</v>
      </c>
      <c r="BE377" s="26" t="str">
        <f>_xlfn.XLOOKUP(Transformation[[#This Row],[cfrom]],Commodities[Commodity],Commodities[Commodity code])</f>
        <v>4692</v>
      </c>
      <c r="BF377" s="26" t="str">
        <f>_xlfn.XLOOKUP(Transformation[[#This Row],[tfrom]],Transactions[Transaction name],Transactions[Transaction code])</f>
        <v>014</v>
      </c>
      <c r="BG377" s="26" t="str">
        <f>_xlfn.XLOOKUP(Transformation[[#This Row],[cto]],Commodities[Commodity],Commodities[Commodity code])</f>
        <v>4692</v>
      </c>
      <c r="BH377" s="26" t="str">
        <f>_xlfn.XLOOKUP(Transformation[[#This Row],[tto]],Transactions[Transaction name],Transactions[Transaction code])</f>
        <v>014</v>
      </c>
      <c r="BI377" s="31">
        <v>-1</v>
      </c>
      <c r="BJ377" s="22" t="s">
        <v>360</v>
      </c>
      <c r="BK377" s="26" t="str">
        <f>_xlfn.XLOOKUP(Transformation[[#This Row],[Commodity from]],Commodities[Commodity code],Commodities[EnergyCode])</f>
        <v>LU</v>
      </c>
      <c r="BL377" s="22" t="s">
        <v>370</v>
      </c>
      <c r="BM377" s="22" t="s">
        <v>360</v>
      </c>
      <c r="BN377" s="26" t="str">
        <f>_xlfn.XLOOKUP(Transformation[[#This Row],[Commodity to]],Commodities[Commodity code],Commodities[EnergyCode])</f>
        <v>LU</v>
      </c>
      <c r="BO377" s="22" t="s">
        <v>370</v>
      </c>
      <c r="BP377" s="22" t="s">
        <v>1689</v>
      </c>
      <c r="BQ377" s="33" t="str">
        <f>Transformation[[#This Row],[Commodity from]]&amp;Transformation[[#This Row],[Transaction from]]&amp;Transformation[[#This Row],[Commodity to]]&amp;Transformation[[#This Row],[Transaction to]]</f>
        <v>46920144692014</v>
      </c>
      <c r="BR377" s="26" t="str">
        <f>Transformation[[#This Row],[crfomid]]&amp;Transformation[[#This Row],[Transaction from]]&amp;"("&amp;Transformation[[#This Row],[Multiplier]]&amp;") -&gt; "&amp;Transformation[[#This Row],[ctoid]]&amp;Transformation[[#This Row],[Transaction to]]</f>
        <v>LU014(-1) -&gt; LU014</v>
      </c>
    </row>
    <row r="378" spans="25:70" x14ac:dyDescent="0.45">
      <c r="Y378" s="5" t="s">
        <v>1289</v>
      </c>
      <c r="Z378" s="7" t="s">
        <v>1238</v>
      </c>
      <c r="AA378" s="4" t="s">
        <v>1404</v>
      </c>
      <c r="AB378" s="19" t="s">
        <v>1596</v>
      </c>
      <c r="AC378" s="24" t="str">
        <f>IFERROR(VLOOKUP(Transactions[[#This Row],[Parent code]],Transactions[[Transaction code]:[Transaction name]],2,0),"")</f>
        <v>Electricity plants - natural gas</v>
      </c>
      <c r="AD378" s="4" t="s">
        <v>189</v>
      </c>
      <c r="AE378" s="4" t="s">
        <v>923</v>
      </c>
      <c r="AF378" s="4" t="s">
        <v>642</v>
      </c>
      <c r="AG378" s="4" t="s">
        <v>1</v>
      </c>
      <c r="AH378" s="4" t="s">
        <v>696</v>
      </c>
      <c r="AI378" s="12" t="s">
        <v>1416</v>
      </c>
      <c r="AK378" s="24" t="str" cm="1">
        <f t="array" ref="AK378">IFERROR(INDEX(Transactions[[Transaction code]:[Transaction name]],_xlfn.XMATCH(Transactions[[#This Row],[Parent code]],Transactions[Transaction name],0),3),Transactions[[#This Row],[Transaction name]])</f>
        <v>Electricity plants - Autoproducer - natural gas</v>
      </c>
      <c r="AL378" s="24" t="str" cm="1">
        <f t="array" ref="AL378">IFERROR(INDEX(Transactions[[Transaction code]:[Transaction name]],_xlfn.XMATCH(INDEX(Transactions[[Transaction name]:[Parent code]],_xlfn.XMATCH(Transactions[[#This Row],[L1N]],Transactions[Transaction name],0),3),Transactions[Transaction code],0),2),Transactions[[#This Row],[L1N]])</f>
        <v>Electricity plants - natural gas</v>
      </c>
      <c r="AM378" s="24" t="str" cm="1">
        <f t="array" ref="AM378">IFERROR(INDEX(Transactions[[Transaction code]:[Transaction name]],_xlfn.XMATCH(INDEX(Transactions[[Transaction name]:[Parent code]],_xlfn.XMATCH(Transactions[[#This Row],[L2N]],Transactions[Transaction name],0),3),Transactions[Transaction code],0),2),Transactions[[#This Row],[L2N]])</f>
        <v>Electricity plants</v>
      </c>
      <c r="AN378" s="24" t="str" cm="1">
        <f t="array" ref="AN378">IFERROR(INDEX(Transactions[[Transaction code]:[Transaction name]],_xlfn.XMATCH(INDEX(Transactions[[Transaction name]:[Parent code]],_xlfn.XMATCH(Transactions[[#This Row],[L3N]],Transactions[Transaction name],0),3),Transactions[Transaction code],0),2),Transactions[[#This Row],[L3N]])</f>
        <v>Electricity, CHP and heat plants (T)</v>
      </c>
      <c r="AO378" s="24" t="str" cm="1">
        <f t="array" ref="AO378">IFERROR(INDEX(Transactions[[Transaction code]:[Transaction name]],_xlfn.XMATCH(INDEX(Transactions[[Transaction name]:[Parent code]],_xlfn.XMATCH(Transactions[[#This Row],[L4N]],Transactions[Transaction name],0),3),Transactions[Transaction code],0),2),Transactions[[#This Row],[L4N]])</f>
        <v>Transformation</v>
      </c>
      <c r="AP378" s="24" t="str" cm="1">
        <f t="array" ref="AP378">IFERROR(INDEX(Transactions[[Transaction code]:[Transaction name]],_xlfn.XMATCH(INDEX(Transactions[[Transaction name]:[Parent code]],_xlfn.XMATCH(Transactions[[#This Row],[L5N]],Transactions[Transaction name],0),3),Transactions[Transaction code],0),2),Transactions[[#This Row],[L5N]])</f>
        <v>Transformation</v>
      </c>
      <c r="AQ378" s="24" t="str" cm="1">
        <f t="array" ref="AQ378">IFERROR(INDEX(Transactions[[Transaction code]:[Transaction name]],_xlfn.XMATCH(INDEX(Transactions[[Transaction name]:[Parent code]],_xlfn.XMATCH(Transactions[[#This Row],[L6N]],Transactions[Transaction name],0),3),Transactions[Transaction code],0),2),Transactions[[#This Row],[L6N]])</f>
        <v>Transformation</v>
      </c>
      <c r="AR378" s="27" t="str">
        <f>IF(Transactions[[#This Row],[L7N]]=Transactions[[#This Row],[L6N]],Transactions[[#This Row],[L7N]],IF(Transactions[[#This Row],[L6N]]=Transactions[[#This Row],[L5N]],Transactions[[#This Row],[L6N]],IF(Transactions[[#This Row],[L5N]]=Transactions[[#This Row],[L4N]],Transactions[[#This Row],[L5N]],IF(Transactions[[#This Row],[L4N]]=Transactions[[#This Row],[L3N]],Transactions[[#This Row],[L4N]],IF(Transactions[[#This Row],[L3N]]=Transactions[[#This Row],[L2N]],Transactions[[#This Row],[L3N]],IF(Transactions[[#This Row],[L2N]]=Transactions[[#This Row],[L1N]],Transactions[[#This Row],[L2N]],IF(Transactions[[#This Row],[L1N]]=Transactions[[#This Row],[Transaction name]],Transactions[[#This Row],[L1N]],Transactions[[#This Row],[Transaction name]])))))))</f>
        <v>Transformation</v>
      </c>
      <c r="AS378" s="24" t="str">
        <f>IF(Transactions[[#This Row],[Level 0]]=Transactions[[#This Row],[Transaction name]],Transactions[[#This Row],[Transaction name]],IF(Transactions[[#This Row],[Level 0]]=Transactions[[#This Row],[L1N]],Transactions[[#This Row],[Transaction name]],IF(Transactions[[#This Row],[Level 0]]=Transactions[[#This Row],[L2N]],Transactions[[#This Row],[L1N]],IF(Transactions[[#This Row],[Level 0]]=Transactions[[#This Row],[L3N]],Transactions[[#This Row],[L2N]],IF(Transactions[[#This Row],[Level 0]]=Transactions[[#This Row],[L4N]],Transactions[[#This Row],[L3N]],IF(Transactions[[#This Row],[Level 0]]=Transactions[[#This Row],[L5N]],Transactions[[#This Row],[L4N]],IF(Transactions[[#This Row],[Level 0]]=Transactions[[#This Row],[L6N]],Transactions[[#This Row],[L5N]],IF(Transactions[[#This Row],[Level 0]]=Transactions[[#This Row],[L7N]],Transactions[[#This Row],[L6N]],Transactions[[#This Row],[L7N]]))))))))</f>
        <v>Electricity, CHP and heat plants (T)</v>
      </c>
      <c r="AT378" s="24" t="str">
        <f>IF(Transactions[[#This Row],[Level 1]]=Transactions[[#This Row],[Transaction name]],Transactions[[#This Row],[Transaction name]],IF(Transactions[[#This Row],[Level 1]]=Transactions[[#This Row],[L1N]],Transactions[[#This Row],[Transaction name]],IF(Transactions[[#This Row],[Level 1]]=Transactions[[#This Row],[L2N]],Transactions[[#This Row],[L1N]],IF(Transactions[[#This Row],[Level 1]]=Transactions[[#This Row],[L3N]],Transactions[[#This Row],[L2N]],IF(Transactions[[#This Row],[Level 1]]=Transactions[[#This Row],[L4N]],Transactions[[#This Row],[L3N]],IF(Transactions[[#This Row],[Level 1]]=Transactions[[#This Row],[L5N]],Transactions[[#This Row],[L4N]],IF(Transactions[[#This Row],[Level 1]]=Transactions[[#This Row],[L6N]],Transactions[[#This Row],[L5N]],IF(Transactions[[#This Row],[Level 1]]=Transactions[[#This Row],[L7N]],Transactions[[#This Row],[L6N]],Transactions[[#This Row],[L7N]]))))))))</f>
        <v>Electricity plants</v>
      </c>
      <c r="AU378" s="24" t="str">
        <f>IF(Transactions[[#This Row],[Level 2]]=Transactions[[#This Row],[Transaction name]],Transactions[[#This Row],[Transaction name]],IF(Transactions[[#This Row],[Level 2]]=Transactions[[#This Row],[L1N]],Transactions[[#This Row],[Transaction name]],IF(Transactions[[#This Row],[Level 2]]=Transactions[[#This Row],[L2N]],Transactions[[#This Row],[L1N]],IF(Transactions[[#This Row],[Level 2]]=Transactions[[#This Row],[L3N]],Transactions[[#This Row],[L2N]],IF(Transactions[[#This Row],[Level 2]]=Transactions[[#This Row],[L4N]],Transactions[[#This Row],[L3N]],IF(Transactions[[#This Row],[Level 2]]=Transactions[[#This Row],[L5N]],Transactions[[#This Row],[L4N]],IF(Transactions[[#This Row],[Level 2]]=Transactions[[#This Row],[L6N]],Transactions[[#This Row],[L5N]],IF(Transactions[[#This Row],[Level 2]]=Transactions[[#This Row],[L7N]],Transactions[[#This Row],[L6N]],Transactions[[#This Row],[L7N]]))))))))</f>
        <v>Electricity plants - natural gas</v>
      </c>
      <c r="AV378" s="24" t="str">
        <f>IF(Transactions[[#This Row],[Level 3]]=Transactions[[#This Row],[Transaction name]],Transactions[[#This Row],[Transaction name]],IF(Transactions[[#This Row],[Level 3]]=Transactions[[#This Row],[L1N]],Transactions[[#This Row],[Transaction name]],IF(Transactions[[#This Row],[Level 3]]=Transactions[[#This Row],[L2N]],Transactions[[#This Row],[L1N]],IF(Transactions[[#This Row],[Level 3]]=Transactions[[#This Row],[L3N]],Transactions[[#This Row],[L2N]],IF(Transactions[[#This Row],[Level 3]]=Transactions[[#This Row],[L4N]],Transactions[[#This Row],[L3N]],IF(Transactions[[#This Row],[Level 3]]=Transactions[[#This Row],[L5N]],Transactions[[#This Row],[L4N]],IF(Transactions[[#This Row],[Level 3]]=Transactions[[#This Row],[L6N]],Transactions[[#This Row],[L5N]],IF(Transactions[[#This Row],[Level 3]]=Transactions[[#This Row],[L7N]],Transactions[[#This Row],[L6N]],Transactions[[#This Row],[L7N]]))))))))</f>
        <v>Electricity plants - Autoproducer - natural gas</v>
      </c>
      <c r="AW378" s="24" t="str">
        <f>IF(Transactions[[#This Row],[Level 4]]=Transactions[[#This Row],[Transaction name]],Transactions[[#This Row],[Transaction name]],IF(Transactions[[#This Row],[Level 4]]=Transactions[[#This Row],[L1N]],Transactions[[#This Row],[Transaction name]],IF(Transactions[[#This Row],[Level 4]]=Transactions[[#This Row],[L2N]],Transactions[[#This Row],[L1N]],IF(Transactions[[#This Row],[Level 4]]=Transactions[[#This Row],[L3N]],Transactions[[#This Row],[L2N]],IF(Transactions[[#This Row],[Level 4]]=Transactions[[#This Row],[L4N]],Transactions[[#This Row],[L3N]],IF(Transactions[[#This Row],[Level 4]]=Transactions[[#This Row],[L5N]],Transactions[[#This Row],[L4N]],IF(Transactions[[#This Row],[Level 4]]=Transactions[[#This Row],[L6N]],Transactions[[#This Row],[L5N]],IF(Transactions[[#This Row],[Level 4]]=Transactions[[#This Row],[L7N]],Transactions[[#This Row],[L6N]],Transactions[[#This Row],[L7N]]))))))))</f>
        <v>Electricity plants - Autoproducer - natural gas</v>
      </c>
      <c r="AX378" s="24" t="str">
        <f>IF(Transactions[[#This Row],[Level 5]]=Transactions[[#This Row],[Transaction name]],Transactions[[#This Row],[Transaction name]],IF(Transactions[[#This Row],[Level 5]]=Transactions[[#This Row],[L1N]],Transactions[[#This Row],[Transaction name]],IF(Transactions[[#This Row],[Level 5]]=Transactions[[#This Row],[L2N]],Transactions[[#This Row],[L1N]],IF(Transactions[[#This Row],[Level 5]]=Transactions[[#This Row],[L3N]],Transactions[[#This Row],[L2N]],IF(Transactions[[#This Row],[Level 5]]=Transactions[[#This Row],[L4N]],Transactions[[#This Row],[L3N]],IF(Transactions[[#This Row],[Level 5]]=Transactions[[#This Row],[L5N]],Transactions[[#This Row],[L4N]],IF(Transactions[[#This Row],[Level 5]]=Transactions[[#This Row],[L6N]],Transactions[[#This Row],[L5N]],IF(Transactions[[#This Row],[Level 5]]=Transactions[[#This Row],[L7N]],Transactions[[#This Row],[L6N]],Transactions[[#This Row],[L7N]]))))))))</f>
        <v>Electricity plants - Autoproducer - natural gas</v>
      </c>
      <c r="AY378" s="24" t="str">
        <f>IF(Transactions[[#This Row],[Level 6]]=Transactions[[#This Row],[Transaction name]],Transactions[[#This Row],[Transaction name]],IF(Transactions[[#This Row],[Level 6]]=Transactions[[#This Row],[L1N]],Transactions[[#This Row],[Transaction name]],IF(Transactions[[#This Row],[Level 6]]=Transactions[[#This Row],[L2N]],Transactions[[#This Row],[L1N]],IF(Transactions[[#This Row],[Level 6]]=Transactions[[#This Row],[L3N]],Transactions[[#This Row],[L2N]],IF(Transactions[[#This Row],[Level 6]]=Transactions[[#This Row],[L4N]],Transactions[[#This Row],[L3N]],IF(Transactions[[#This Row],[Level 6]]=Transactions[[#This Row],[L5N]],Transactions[[#This Row],[L4N]],IF(Transactions[[#This Row],[Level 6]]=Transactions[[#This Row],[L6N]],Transactions[[#This Row],[L5N]],IF(Transactions[[#This Row],[Level 6]]=Transactions[[#This Row],[L7N]],Transactions[[#This Row],[L6N]],Transactions[[#This Row],[L7N]]))))))))</f>
        <v>Electricity plants - Autoproducer - natural gas</v>
      </c>
      <c r="BE378" s="26" t="str">
        <f>_xlfn.XLOOKUP(Transformation[[#This Row],[cfrom]],Commodities[Commodity],Commodities[Commodity code])</f>
        <v>4652</v>
      </c>
      <c r="BF378" s="26" t="str">
        <f>_xlfn.XLOOKUP(Transformation[[#This Row],[tfrom]],Transactions[Transaction name],Transactions[Transaction code])</f>
        <v>014</v>
      </c>
      <c r="BG378" s="26" t="str">
        <f>_xlfn.XLOOKUP(Transformation[[#This Row],[cto]],Commodities[Commodity],Commodities[Commodity code])</f>
        <v>4652</v>
      </c>
      <c r="BH378" s="26" t="str">
        <f>_xlfn.XLOOKUP(Transformation[[#This Row],[tto]],Transactions[Transaction name],Transactions[Transaction code])</f>
        <v>087</v>
      </c>
      <c r="BI378" s="31">
        <v>1</v>
      </c>
      <c r="BJ378" s="22" t="s">
        <v>394</v>
      </c>
      <c r="BK378" s="26" t="str">
        <f>_xlfn.XLOOKUP(Transformation[[#This Row],[Commodity from]],Commodities[Commodity code],Commodities[EnergyCode])</f>
        <v>MO</v>
      </c>
      <c r="BL378" s="22" t="s">
        <v>370</v>
      </c>
      <c r="BM378" s="22" t="s">
        <v>394</v>
      </c>
      <c r="BN378" s="26" t="str">
        <f>_xlfn.XLOOKUP(Transformation[[#This Row],[Commodity to]],Commodities[Commodity code],Commodities[EnergyCode])</f>
        <v>MO</v>
      </c>
      <c r="BO378" s="22" t="s">
        <v>729</v>
      </c>
      <c r="BP378" s="22" t="s">
        <v>1688</v>
      </c>
      <c r="BQ378" s="33" t="str">
        <f>Transformation[[#This Row],[Commodity from]]&amp;Transformation[[#This Row],[Transaction from]]&amp;Transformation[[#This Row],[Commodity to]]&amp;Transformation[[#This Row],[Transaction to]]</f>
        <v>46520144652087</v>
      </c>
      <c r="BR378" s="26" t="str">
        <f>Transformation[[#This Row],[crfomid]]&amp;Transformation[[#This Row],[Transaction from]]&amp;"("&amp;Transformation[[#This Row],[Multiplier]]&amp;") -&gt; "&amp;Transformation[[#This Row],[ctoid]]&amp;Transformation[[#This Row],[Transaction to]]</f>
        <v>MO014(1) -&gt; MO087</v>
      </c>
    </row>
    <row r="379" spans="25:70" x14ac:dyDescent="0.45">
      <c r="Y379" s="5" t="s">
        <v>1285</v>
      </c>
      <c r="Z379" s="7" t="s">
        <v>1234</v>
      </c>
      <c r="AA379" s="4" t="s">
        <v>1404</v>
      </c>
      <c r="AB379" s="19" t="s">
        <v>1596</v>
      </c>
      <c r="AC379" s="24" t="str">
        <f>IFERROR(VLOOKUP(Transactions[[#This Row],[Parent code]],Transactions[[Transaction code]:[Transaction name]],2,0),"")</f>
        <v>Electricity plants - natural gas</v>
      </c>
      <c r="AD379" s="4" t="s">
        <v>189</v>
      </c>
      <c r="AE379" s="4" t="s">
        <v>923</v>
      </c>
      <c r="AF379" s="4" t="s">
        <v>642</v>
      </c>
      <c r="AG379" s="4" t="s">
        <v>1</v>
      </c>
      <c r="AH379" s="4" t="s">
        <v>696</v>
      </c>
      <c r="AI379" s="12" t="s">
        <v>1416</v>
      </c>
      <c r="AK379" s="24" t="str" cm="1">
        <f t="array" ref="AK379">IFERROR(INDEX(Transactions[[Transaction code]:[Transaction name]],_xlfn.XMATCH(Transactions[[#This Row],[Parent code]],Transactions[Transaction name],0),3),Transactions[[#This Row],[Transaction name]])</f>
        <v>Electricity plants - Main activity - natural gas</v>
      </c>
      <c r="AL379" s="24" t="str" cm="1">
        <f t="array" ref="AL379">IFERROR(INDEX(Transactions[[Transaction code]:[Transaction name]],_xlfn.XMATCH(INDEX(Transactions[[Transaction name]:[Parent code]],_xlfn.XMATCH(Transactions[[#This Row],[L1N]],Transactions[Transaction name],0),3),Transactions[Transaction code],0),2),Transactions[[#This Row],[L1N]])</f>
        <v>Electricity plants - natural gas</v>
      </c>
      <c r="AM379" s="24" t="str" cm="1">
        <f t="array" ref="AM379">IFERROR(INDEX(Transactions[[Transaction code]:[Transaction name]],_xlfn.XMATCH(INDEX(Transactions[[Transaction name]:[Parent code]],_xlfn.XMATCH(Transactions[[#This Row],[L2N]],Transactions[Transaction name],0),3),Transactions[Transaction code],0),2),Transactions[[#This Row],[L2N]])</f>
        <v>Electricity plants</v>
      </c>
      <c r="AN379" s="24" t="str" cm="1">
        <f t="array" ref="AN379">IFERROR(INDEX(Transactions[[Transaction code]:[Transaction name]],_xlfn.XMATCH(INDEX(Transactions[[Transaction name]:[Parent code]],_xlfn.XMATCH(Transactions[[#This Row],[L3N]],Transactions[Transaction name],0),3),Transactions[Transaction code],0),2),Transactions[[#This Row],[L3N]])</f>
        <v>Electricity, CHP and heat plants (T)</v>
      </c>
      <c r="AO379" s="24" t="str" cm="1">
        <f t="array" ref="AO379">IFERROR(INDEX(Transactions[[Transaction code]:[Transaction name]],_xlfn.XMATCH(INDEX(Transactions[[Transaction name]:[Parent code]],_xlfn.XMATCH(Transactions[[#This Row],[L4N]],Transactions[Transaction name],0),3),Transactions[Transaction code],0),2),Transactions[[#This Row],[L4N]])</f>
        <v>Transformation</v>
      </c>
      <c r="AP379" s="24" t="str" cm="1">
        <f t="array" ref="AP379">IFERROR(INDEX(Transactions[[Transaction code]:[Transaction name]],_xlfn.XMATCH(INDEX(Transactions[[Transaction name]:[Parent code]],_xlfn.XMATCH(Transactions[[#This Row],[L5N]],Transactions[Transaction name],0),3),Transactions[Transaction code],0),2),Transactions[[#This Row],[L5N]])</f>
        <v>Transformation</v>
      </c>
      <c r="AQ379" s="24" t="str" cm="1">
        <f t="array" ref="AQ379">IFERROR(INDEX(Transactions[[Transaction code]:[Transaction name]],_xlfn.XMATCH(INDEX(Transactions[[Transaction name]:[Parent code]],_xlfn.XMATCH(Transactions[[#This Row],[L6N]],Transactions[Transaction name],0),3),Transactions[Transaction code],0),2),Transactions[[#This Row],[L6N]])</f>
        <v>Transformation</v>
      </c>
      <c r="AR379" s="27" t="str">
        <f>IF(Transactions[[#This Row],[L7N]]=Transactions[[#This Row],[L6N]],Transactions[[#This Row],[L7N]],IF(Transactions[[#This Row],[L6N]]=Transactions[[#This Row],[L5N]],Transactions[[#This Row],[L6N]],IF(Transactions[[#This Row],[L5N]]=Transactions[[#This Row],[L4N]],Transactions[[#This Row],[L5N]],IF(Transactions[[#This Row],[L4N]]=Transactions[[#This Row],[L3N]],Transactions[[#This Row],[L4N]],IF(Transactions[[#This Row],[L3N]]=Transactions[[#This Row],[L2N]],Transactions[[#This Row],[L3N]],IF(Transactions[[#This Row],[L2N]]=Transactions[[#This Row],[L1N]],Transactions[[#This Row],[L2N]],IF(Transactions[[#This Row],[L1N]]=Transactions[[#This Row],[Transaction name]],Transactions[[#This Row],[L1N]],Transactions[[#This Row],[Transaction name]])))))))</f>
        <v>Transformation</v>
      </c>
      <c r="AS379" s="24" t="str">
        <f>IF(Transactions[[#This Row],[Level 0]]=Transactions[[#This Row],[Transaction name]],Transactions[[#This Row],[Transaction name]],IF(Transactions[[#This Row],[Level 0]]=Transactions[[#This Row],[L1N]],Transactions[[#This Row],[Transaction name]],IF(Transactions[[#This Row],[Level 0]]=Transactions[[#This Row],[L2N]],Transactions[[#This Row],[L1N]],IF(Transactions[[#This Row],[Level 0]]=Transactions[[#This Row],[L3N]],Transactions[[#This Row],[L2N]],IF(Transactions[[#This Row],[Level 0]]=Transactions[[#This Row],[L4N]],Transactions[[#This Row],[L3N]],IF(Transactions[[#This Row],[Level 0]]=Transactions[[#This Row],[L5N]],Transactions[[#This Row],[L4N]],IF(Transactions[[#This Row],[Level 0]]=Transactions[[#This Row],[L6N]],Transactions[[#This Row],[L5N]],IF(Transactions[[#This Row],[Level 0]]=Transactions[[#This Row],[L7N]],Transactions[[#This Row],[L6N]],Transactions[[#This Row],[L7N]]))))))))</f>
        <v>Electricity, CHP and heat plants (T)</v>
      </c>
      <c r="AT379" s="24" t="str">
        <f>IF(Transactions[[#This Row],[Level 1]]=Transactions[[#This Row],[Transaction name]],Transactions[[#This Row],[Transaction name]],IF(Transactions[[#This Row],[Level 1]]=Transactions[[#This Row],[L1N]],Transactions[[#This Row],[Transaction name]],IF(Transactions[[#This Row],[Level 1]]=Transactions[[#This Row],[L2N]],Transactions[[#This Row],[L1N]],IF(Transactions[[#This Row],[Level 1]]=Transactions[[#This Row],[L3N]],Transactions[[#This Row],[L2N]],IF(Transactions[[#This Row],[Level 1]]=Transactions[[#This Row],[L4N]],Transactions[[#This Row],[L3N]],IF(Transactions[[#This Row],[Level 1]]=Transactions[[#This Row],[L5N]],Transactions[[#This Row],[L4N]],IF(Transactions[[#This Row],[Level 1]]=Transactions[[#This Row],[L6N]],Transactions[[#This Row],[L5N]],IF(Transactions[[#This Row],[Level 1]]=Transactions[[#This Row],[L7N]],Transactions[[#This Row],[L6N]],Transactions[[#This Row],[L7N]]))))))))</f>
        <v>Electricity plants</v>
      </c>
      <c r="AU379" s="24" t="str">
        <f>IF(Transactions[[#This Row],[Level 2]]=Transactions[[#This Row],[Transaction name]],Transactions[[#This Row],[Transaction name]],IF(Transactions[[#This Row],[Level 2]]=Transactions[[#This Row],[L1N]],Transactions[[#This Row],[Transaction name]],IF(Transactions[[#This Row],[Level 2]]=Transactions[[#This Row],[L2N]],Transactions[[#This Row],[L1N]],IF(Transactions[[#This Row],[Level 2]]=Transactions[[#This Row],[L3N]],Transactions[[#This Row],[L2N]],IF(Transactions[[#This Row],[Level 2]]=Transactions[[#This Row],[L4N]],Transactions[[#This Row],[L3N]],IF(Transactions[[#This Row],[Level 2]]=Transactions[[#This Row],[L5N]],Transactions[[#This Row],[L4N]],IF(Transactions[[#This Row],[Level 2]]=Transactions[[#This Row],[L6N]],Transactions[[#This Row],[L5N]],IF(Transactions[[#This Row],[Level 2]]=Transactions[[#This Row],[L7N]],Transactions[[#This Row],[L6N]],Transactions[[#This Row],[L7N]]))))))))</f>
        <v>Electricity plants - natural gas</v>
      </c>
      <c r="AV379" s="24" t="str">
        <f>IF(Transactions[[#This Row],[Level 3]]=Transactions[[#This Row],[Transaction name]],Transactions[[#This Row],[Transaction name]],IF(Transactions[[#This Row],[Level 3]]=Transactions[[#This Row],[L1N]],Transactions[[#This Row],[Transaction name]],IF(Transactions[[#This Row],[Level 3]]=Transactions[[#This Row],[L2N]],Transactions[[#This Row],[L1N]],IF(Transactions[[#This Row],[Level 3]]=Transactions[[#This Row],[L3N]],Transactions[[#This Row],[L2N]],IF(Transactions[[#This Row],[Level 3]]=Transactions[[#This Row],[L4N]],Transactions[[#This Row],[L3N]],IF(Transactions[[#This Row],[Level 3]]=Transactions[[#This Row],[L5N]],Transactions[[#This Row],[L4N]],IF(Transactions[[#This Row],[Level 3]]=Transactions[[#This Row],[L6N]],Transactions[[#This Row],[L5N]],IF(Transactions[[#This Row],[Level 3]]=Transactions[[#This Row],[L7N]],Transactions[[#This Row],[L6N]],Transactions[[#This Row],[L7N]]))))))))</f>
        <v>Electricity plants - Main activity - natural gas</v>
      </c>
      <c r="AW379" s="24" t="str">
        <f>IF(Transactions[[#This Row],[Level 4]]=Transactions[[#This Row],[Transaction name]],Transactions[[#This Row],[Transaction name]],IF(Transactions[[#This Row],[Level 4]]=Transactions[[#This Row],[L1N]],Transactions[[#This Row],[Transaction name]],IF(Transactions[[#This Row],[Level 4]]=Transactions[[#This Row],[L2N]],Transactions[[#This Row],[L1N]],IF(Transactions[[#This Row],[Level 4]]=Transactions[[#This Row],[L3N]],Transactions[[#This Row],[L2N]],IF(Transactions[[#This Row],[Level 4]]=Transactions[[#This Row],[L4N]],Transactions[[#This Row],[L3N]],IF(Transactions[[#This Row],[Level 4]]=Transactions[[#This Row],[L5N]],Transactions[[#This Row],[L4N]],IF(Transactions[[#This Row],[Level 4]]=Transactions[[#This Row],[L6N]],Transactions[[#This Row],[L5N]],IF(Transactions[[#This Row],[Level 4]]=Transactions[[#This Row],[L7N]],Transactions[[#This Row],[L6N]],Transactions[[#This Row],[L7N]]))))))))</f>
        <v>Electricity plants - Main activity - natural gas</v>
      </c>
      <c r="AX379" s="24" t="str">
        <f>IF(Transactions[[#This Row],[Level 5]]=Transactions[[#This Row],[Transaction name]],Transactions[[#This Row],[Transaction name]],IF(Transactions[[#This Row],[Level 5]]=Transactions[[#This Row],[L1N]],Transactions[[#This Row],[Transaction name]],IF(Transactions[[#This Row],[Level 5]]=Transactions[[#This Row],[L2N]],Transactions[[#This Row],[L1N]],IF(Transactions[[#This Row],[Level 5]]=Transactions[[#This Row],[L3N]],Transactions[[#This Row],[L2N]],IF(Transactions[[#This Row],[Level 5]]=Transactions[[#This Row],[L4N]],Transactions[[#This Row],[L3N]],IF(Transactions[[#This Row],[Level 5]]=Transactions[[#This Row],[L5N]],Transactions[[#This Row],[L4N]],IF(Transactions[[#This Row],[Level 5]]=Transactions[[#This Row],[L6N]],Transactions[[#This Row],[L5N]],IF(Transactions[[#This Row],[Level 5]]=Transactions[[#This Row],[L7N]],Transactions[[#This Row],[L6N]],Transactions[[#This Row],[L7N]]))))))))</f>
        <v>Electricity plants - Main activity - natural gas</v>
      </c>
      <c r="AY379" s="24" t="str">
        <f>IF(Transactions[[#This Row],[Level 6]]=Transactions[[#This Row],[Transaction name]],Transactions[[#This Row],[Transaction name]],IF(Transactions[[#This Row],[Level 6]]=Transactions[[#This Row],[L1N]],Transactions[[#This Row],[Transaction name]],IF(Transactions[[#This Row],[Level 6]]=Transactions[[#This Row],[L2N]],Transactions[[#This Row],[L1N]],IF(Transactions[[#This Row],[Level 6]]=Transactions[[#This Row],[L3N]],Transactions[[#This Row],[L2N]],IF(Transactions[[#This Row],[Level 6]]=Transactions[[#This Row],[L4N]],Transactions[[#This Row],[L3N]],IF(Transactions[[#This Row],[Level 6]]=Transactions[[#This Row],[L5N]],Transactions[[#This Row],[L4N]],IF(Transactions[[#This Row],[Level 6]]=Transactions[[#This Row],[L6N]],Transactions[[#This Row],[L5N]],IF(Transactions[[#This Row],[Level 6]]=Transactions[[#This Row],[L7N]],Transactions[[#This Row],[L6N]],Transactions[[#This Row],[L7N]]))))))))</f>
        <v>Electricity plants - Main activity - natural gas</v>
      </c>
      <c r="BE379" s="26" t="str">
        <f>_xlfn.XLOOKUP(Transformation[[#This Row],[cfrom]],Commodities[Commodity],Commodities[Commodity code])</f>
        <v>4652</v>
      </c>
      <c r="BF379" s="26" t="str">
        <f>_xlfn.XLOOKUP(Transformation[[#This Row],[tfrom]],Transactions[Transaction name],Transactions[Transaction code])</f>
        <v>014</v>
      </c>
      <c r="BG379" s="26" t="str">
        <f>_xlfn.XLOOKUP(Transformation[[#This Row],[cto]],Commodities[Commodity],Commodities[Commodity code])</f>
        <v>4652</v>
      </c>
      <c r="BH379" s="26" t="str">
        <f>_xlfn.XLOOKUP(Transformation[[#This Row],[tto]],Transactions[Transaction name],Transactions[Transaction code])</f>
        <v>014</v>
      </c>
      <c r="BI379" s="31">
        <v>-1</v>
      </c>
      <c r="BJ379" s="22" t="s">
        <v>394</v>
      </c>
      <c r="BK379" s="26" t="str">
        <f>_xlfn.XLOOKUP(Transformation[[#This Row],[Commodity from]],Commodities[Commodity code],Commodities[EnergyCode])</f>
        <v>MO</v>
      </c>
      <c r="BL379" s="22" t="s">
        <v>370</v>
      </c>
      <c r="BM379" s="22" t="s">
        <v>394</v>
      </c>
      <c r="BN379" s="26" t="str">
        <f>_xlfn.XLOOKUP(Transformation[[#This Row],[Commodity to]],Commodities[Commodity code],Commodities[EnergyCode])</f>
        <v>MO</v>
      </c>
      <c r="BO379" s="22" t="s">
        <v>370</v>
      </c>
      <c r="BP379" s="22" t="s">
        <v>1689</v>
      </c>
      <c r="BQ379" s="33" t="str">
        <f>Transformation[[#This Row],[Commodity from]]&amp;Transformation[[#This Row],[Transaction from]]&amp;Transformation[[#This Row],[Commodity to]]&amp;Transformation[[#This Row],[Transaction to]]</f>
        <v>46520144652014</v>
      </c>
      <c r="BR379" s="26" t="str">
        <f>Transformation[[#This Row],[crfomid]]&amp;Transformation[[#This Row],[Transaction from]]&amp;"("&amp;Transformation[[#This Row],[Multiplier]]&amp;") -&gt; "&amp;Transformation[[#This Row],[ctoid]]&amp;Transformation[[#This Row],[Transaction to]]</f>
        <v>MO014(-1) -&gt; MO014</v>
      </c>
    </row>
    <row r="380" spans="25:70" x14ac:dyDescent="0.45">
      <c r="Y380" s="19" t="s">
        <v>1596</v>
      </c>
      <c r="Z380" s="18" t="s">
        <v>1404</v>
      </c>
      <c r="AA380" s="18" t="s">
        <v>1404</v>
      </c>
      <c r="AB380" s="19" t="s">
        <v>1600</v>
      </c>
      <c r="AC380" s="26" t="str">
        <f>IFERROR(VLOOKUP(Transactions[[#This Row],[Parent code]],Transactions[[Transaction code]:[Transaction name]],2,0),"")</f>
        <v>Electricity plants</v>
      </c>
      <c r="AD380" s="18" t="s">
        <v>189</v>
      </c>
      <c r="AE380" s="18" t="s">
        <v>923</v>
      </c>
      <c r="AF380" s="18" t="s">
        <v>642</v>
      </c>
      <c r="AG380" s="18" t="s">
        <v>1</v>
      </c>
      <c r="AH380" s="18" t="s">
        <v>696</v>
      </c>
      <c r="AI380" s="18" t="s">
        <v>1416</v>
      </c>
      <c r="AJ380" s="18"/>
      <c r="AK380" s="26" t="str" cm="1">
        <f t="array" ref="AK380">IFERROR(INDEX(Transactions[[Transaction code]:[Transaction name]],_xlfn.XMATCH(Transactions[[#This Row],[Parent code]],Transactions[Transaction name],0),3),Transactions[[#This Row],[Transaction name]])</f>
        <v>Electricity plants - natural gas</v>
      </c>
      <c r="AL380" s="26" t="str" cm="1">
        <f t="array" ref="AL380">IFERROR(INDEX(Transactions[[Transaction code]:[Transaction name]],_xlfn.XMATCH(INDEX(Transactions[[Transaction name]:[Parent code]],_xlfn.XMATCH(Transactions[[#This Row],[L1N]],Transactions[Transaction name],0),3),Transactions[Transaction code],0),2),Transactions[[#This Row],[L1N]])</f>
        <v>Electricity plants</v>
      </c>
      <c r="AM380" s="26" t="str" cm="1">
        <f t="array" ref="AM380">IFERROR(INDEX(Transactions[[Transaction code]:[Transaction name]],_xlfn.XMATCH(INDEX(Transactions[[Transaction name]:[Parent code]],_xlfn.XMATCH(Transactions[[#This Row],[L2N]],Transactions[Transaction name],0),3),Transactions[Transaction code],0),2),Transactions[[#This Row],[L2N]])</f>
        <v>Electricity, CHP and heat plants (T)</v>
      </c>
      <c r="AN380" s="26" t="str" cm="1">
        <f t="array" ref="AN380">IFERROR(INDEX(Transactions[[Transaction code]:[Transaction name]],_xlfn.XMATCH(INDEX(Transactions[[Transaction name]:[Parent code]],_xlfn.XMATCH(Transactions[[#This Row],[L3N]],Transactions[Transaction name],0),3),Transactions[Transaction code],0),2),Transactions[[#This Row],[L3N]])</f>
        <v>Transformation</v>
      </c>
      <c r="AO380" s="26" t="str" cm="1">
        <f t="array" ref="AO380">IFERROR(INDEX(Transactions[[Transaction code]:[Transaction name]],_xlfn.XMATCH(INDEX(Transactions[[Transaction name]:[Parent code]],_xlfn.XMATCH(Transactions[[#This Row],[L4N]],Transactions[Transaction name],0),3),Transactions[Transaction code],0),2),Transactions[[#This Row],[L4N]])</f>
        <v>Transformation</v>
      </c>
      <c r="AP380" s="26" t="str" cm="1">
        <f t="array" ref="AP380">IFERROR(INDEX(Transactions[[Transaction code]:[Transaction name]],_xlfn.XMATCH(INDEX(Transactions[[Transaction name]:[Parent code]],_xlfn.XMATCH(Transactions[[#This Row],[L5N]],Transactions[Transaction name],0),3),Transactions[Transaction code],0),2),Transactions[[#This Row],[L5N]])</f>
        <v>Transformation</v>
      </c>
      <c r="AQ380" s="26" t="str" cm="1">
        <f t="array" ref="AQ380">IFERROR(INDEX(Transactions[[Transaction code]:[Transaction name]],_xlfn.XMATCH(INDEX(Transactions[[Transaction name]:[Parent code]],_xlfn.XMATCH(Transactions[[#This Row],[L6N]],Transactions[Transaction name],0),3),Transactions[Transaction code],0),2),Transactions[[#This Row],[L6N]])</f>
        <v>Transformation</v>
      </c>
      <c r="AR380" s="30" t="str">
        <f>IF(Transactions[[#This Row],[L7N]]=Transactions[[#This Row],[L6N]],Transactions[[#This Row],[L7N]],IF(Transactions[[#This Row],[L6N]]=Transactions[[#This Row],[L5N]],Transactions[[#This Row],[L6N]],IF(Transactions[[#This Row],[L5N]]=Transactions[[#This Row],[L4N]],Transactions[[#This Row],[L5N]],IF(Transactions[[#This Row],[L4N]]=Transactions[[#This Row],[L3N]],Transactions[[#This Row],[L4N]],IF(Transactions[[#This Row],[L3N]]=Transactions[[#This Row],[L2N]],Transactions[[#This Row],[L3N]],IF(Transactions[[#This Row],[L2N]]=Transactions[[#This Row],[L1N]],Transactions[[#This Row],[L2N]],IF(Transactions[[#This Row],[L1N]]=Transactions[[#This Row],[Transaction name]],Transactions[[#This Row],[L1N]],Transactions[[#This Row],[Transaction name]])))))))</f>
        <v>Transformation</v>
      </c>
      <c r="AS380" s="26" t="str">
        <f>IF(Transactions[[#This Row],[Level 0]]=Transactions[[#This Row],[Transaction name]],Transactions[[#This Row],[Transaction name]],IF(Transactions[[#This Row],[Level 0]]=Transactions[[#This Row],[L1N]],Transactions[[#This Row],[Transaction name]],IF(Transactions[[#This Row],[Level 0]]=Transactions[[#This Row],[L2N]],Transactions[[#This Row],[L1N]],IF(Transactions[[#This Row],[Level 0]]=Transactions[[#This Row],[L3N]],Transactions[[#This Row],[L2N]],IF(Transactions[[#This Row],[Level 0]]=Transactions[[#This Row],[L4N]],Transactions[[#This Row],[L3N]],IF(Transactions[[#This Row],[Level 0]]=Transactions[[#This Row],[L5N]],Transactions[[#This Row],[L4N]],IF(Transactions[[#This Row],[Level 0]]=Transactions[[#This Row],[L6N]],Transactions[[#This Row],[L5N]],IF(Transactions[[#This Row],[Level 0]]=Transactions[[#This Row],[L7N]],Transactions[[#This Row],[L6N]],Transactions[[#This Row],[L7N]]))))))))</f>
        <v>Electricity, CHP and heat plants (T)</v>
      </c>
      <c r="AT380" s="26" t="str">
        <f>IF(Transactions[[#This Row],[Level 1]]=Transactions[[#This Row],[Transaction name]],Transactions[[#This Row],[Transaction name]],IF(Transactions[[#This Row],[Level 1]]=Transactions[[#This Row],[L1N]],Transactions[[#This Row],[Transaction name]],IF(Transactions[[#This Row],[Level 1]]=Transactions[[#This Row],[L2N]],Transactions[[#This Row],[L1N]],IF(Transactions[[#This Row],[Level 1]]=Transactions[[#This Row],[L3N]],Transactions[[#This Row],[L2N]],IF(Transactions[[#This Row],[Level 1]]=Transactions[[#This Row],[L4N]],Transactions[[#This Row],[L3N]],IF(Transactions[[#This Row],[Level 1]]=Transactions[[#This Row],[L5N]],Transactions[[#This Row],[L4N]],IF(Transactions[[#This Row],[Level 1]]=Transactions[[#This Row],[L6N]],Transactions[[#This Row],[L5N]],IF(Transactions[[#This Row],[Level 1]]=Transactions[[#This Row],[L7N]],Transactions[[#This Row],[L6N]],Transactions[[#This Row],[L7N]]))))))))</f>
        <v>Electricity plants</v>
      </c>
      <c r="AU380" s="26" t="str">
        <f>IF(Transactions[[#This Row],[Level 2]]=Transactions[[#This Row],[Transaction name]],Transactions[[#This Row],[Transaction name]],IF(Transactions[[#This Row],[Level 2]]=Transactions[[#This Row],[L1N]],Transactions[[#This Row],[Transaction name]],IF(Transactions[[#This Row],[Level 2]]=Transactions[[#This Row],[L2N]],Transactions[[#This Row],[L1N]],IF(Transactions[[#This Row],[Level 2]]=Transactions[[#This Row],[L3N]],Transactions[[#This Row],[L2N]],IF(Transactions[[#This Row],[Level 2]]=Transactions[[#This Row],[L4N]],Transactions[[#This Row],[L3N]],IF(Transactions[[#This Row],[Level 2]]=Transactions[[#This Row],[L5N]],Transactions[[#This Row],[L4N]],IF(Transactions[[#This Row],[Level 2]]=Transactions[[#This Row],[L6N]],Transactions[[#This Row],[L5N]],IF(Transactions[[#This Row],[Level 2]]=Transactions[[#This Row],[L7N]],Transactions[[#This Row],[L6N]],Transactions[[#This Row],[L7N]]))))))))</f>
        <v>Electricity plants - natural gas</v>
      </c>
      <c r="AV380" s="26" t="str">
        <f>IF(Transactions[[#This Row],[Level 3]]=Transactions[[#This Row],[Transaction name]],Transactions[[#This Row],[Transaction name]],IF(Transactions[[#This Row],[Level 3]]=Transactions[[#This Row],[L1N]],Transactions[[#This Row],[Transaction name]],IF(Transactions[[#This Row],[Level 3]]=Transactions[[#This Row],[L2N]],Transactions[[#This Row],[L1N]],IF(Transactions[[#This Row],[Level 3]]=Transactions[[#This Row],[L3N]],Transactions[[#This Row],[L2N]],IF(Transactions[[#This Row],[Level 3]]=Transactions[[#This Row],[L4N]],Transactions[[#This Row],[L3N]],IF(Transactions[[#This Row],[Level 3]]=Transactions[[#This Row],[L5N]],Transactions[[#This Row],[L4N]],IF(Transactions[[#This Row],[Level 3]]=Transactions[[#This Row],[L6N]],Transactions[[#This Row],[L5N]],IF(Transactions[[#This Row],[Level 3]]=Transactions[[#This Row],[L7N]],Transactions[[#This Row],[L6N]],Transactions[[#This Row],[L7N]]))))))))</f>
        <v>Electricity plants - natural gas</v>
      </c>
      <c r="AW380" s="26" t="str">
        <f>IF(Transactions[[#This Row],[Level 4]]=Transactions[[#This Row],[Transaction name]],Transactions[[#This Row],[Transaction name]],IF(Transactions[[#This Row],[Level 4]]=Transactions[[#This Row],[L1N]],Transactions[[#This Row],[Transaction name]],IF(Transactions[[#This Row],[Level 4]]=Transactions[[#This Row],[L2N]],Transactions[[#This Row],[L1N]],IF(Transactions[[#This Row],[Level 4]]=Transactions[[#This Row],[L3N]],Transactions[[#This Row],[L2N]],IF(Transactions[[#This Row],[Level 4]]=Transactions[[#This Row],[L4N]],Transactions[[#This Row],[L3N]],IF(Transactions[[#This Row],[Level 4]]=Transactions[[#This Row],[L5N]],Transactions[[#This Row],[L4N]],IF(Transactions[[#This Row],[Level 4]]=Transactions[[#This Row],[L6N]],Transactions[[#This Row],[L5N]],IF(Transactions[[#This Row],[Level 4]]=Transactions[[#This Row],[L7N]],Transactions[[#This Row],[L6N]],Transactions[[#This Row],[L7N]]))))))))</f>
        <v>Electricity plants - natural gas</v>
      </c>
      <c r="AX380" s="26" t="str">
        <f>IF(Transactions[[#This Row],[Level 5]]=Transactions[[#This Row],[Transaction name]],Transactions[[#This Row],[Transaction name]],IF(Transactions[[#This Row],[Level 5]]=Transactions[[#This Row],[L1N]],Transactions[[#This Row],[Transaction name]],IF(Transactions[[#This Row],[Level 5]]=Transactions[[#This Row],[L2N]],Transactions[[#This Row],[L1N]],IF(Transactions[[#This Row],[Level 5]]=Transactions[[#This Row],[L3N]],Transactions[[#This Row],[L2N]],IF(Transactions[[#This Row],[Level 5]]=Transactions[[#This Row],[L4N]],Transactions[[#This Row],[L3N]],IF(Transactions[[#This Row],[Level 5]]=Transactions[[#This Row],[L5N]],Transactions[[#This Row],[L4N]],IF(Transactions[[#This Row],[Level 5]]=Transactions[[#This Row],[L6N]],Transactions[[#This Row],[L5N]],IF(Transactions[[#This Row],[Level 5]]=Transactions[[#This Row],[L7N]],Transactions[[#This Row],[L6N]],Transactions[[#This Row],[L7N]]))))))))</f>
        <v>Electricity plants - natural gas</v>
      </c>
      <c r="AY380" s="26" t="str">
        <f>IF(Transactions[[#This Row],[Level 6]]=Transactions[[#This Row],[Transaction name]],Transactions[[#This Row],[Transaction name]],IF(Transactions[[#This Row],[Level 6]]=Transactions[[#This Row],[L1N]],Transactions[[#This Row],[Transaction name]],IF(Transactions[[#This Row],[Level 6]]=Transactions[[#This Row],[L2N]],Transactions[[#This Row],[L1N]],IF(Transactions[[#This Row],[Level 6]]=Transactions[[#This Row],[L3N]],Transactions[[#This Row],[L2N]],IF(Transactions[[#This Row],[Level 6]]=Transactions[[#This Row],[L4N]],Transactions[[#This Row],[L3N]],IF(Transactions[[#This Row],[Level 6]]=Transactions[[#This Row],[L5N]],Transactions[[#This Row],[L4N]],IF(Transactions[[#This Row],[Level 6]]=Transactions[[#This Row],[L6N]],Transactions[[#This Row],[L5N]],IF(Transactions[[#This Row],[Level 6]]=Transactions[[#This Row],[L7N]],Transactions[[#This Row],[L6N]],Transactions[[#This Row],[L7N]]))))))))</f>
        <v>Electricity plants - natural gas</v>
      </c>
      <c r="BE380" s="26" t="str">
        <f>_xlfn.XLOOKUP(Transformation[[#This Row],[cfrom]],Commodities[Commodity],Commodities[Commodity code])</f>
        <v>4640</v>
      </c>
      <c r="BF380" s="26" t="str">
        <f>_xlfn.XLOOKUP(Transformation[[#This Row],[tfrom]],Transactions[Transaction name],Transactions[Transaction code])</f>
        <v>014</v>
      </c>
      <c r="BG380" s="26" t="str">
        <f>_xlfn.XLOOKUP(Transformation[[#This Row],[cto]],Commodities[Commodity],Commodities[Commodity code])</f>
        <v>4640</v>
      </c>
      <c r="BH380" s="26" t="str">
        <f>_xlfn.XLOOKUP(Transformation[[#This Row],[tto]],Transactions[Transaction name],Transactions[Transaction code])</f>
        <v>087</v>
      </c>
      <c r="BI380" s="31">
        <v>1</v>
      </c>
      <c r="BJ380" s="22" t="s">
        <v>405</v>
      </c>
      <c r="BK380" s="26" t="str">
        <f>_xlfn.XLOOKUP(Transformation[[#This Row],[Commodity from]],Commodities[Commodity code],Commodities[EnergyCode])</f>
        <v>NP</v>
      </c>
      <c r="BL380" s="22" t="s">
        <v>370</v>
      </c>
      <c r="BM380" s="22" t="s">
        <v>405</v>
      </c>
      <c r="BN380" s="26" t="str">
        <f>_xlfn.XLOOKUP(Transformation[[#This Row],[Commodity to]],Commodities[Commodity code],Commodities[EnergyCode])</f>
        <v>NP</v>
      </c>
      <c r="BO380" s="22" t="s">
        <v>729</v>
      </c>
      <c r="BP380" s="22" t="s">
        <v>1688</v>
      </c>
      <c r="BQ380" s="33" t="str">
        <f>Transformation[[#This Row],[Commodity from]]&amp;Transformation[[#This Row],[Transaction from]]&amp;Transformation[[#This Row],[Commodity to]]&amp;Transformation[[#This Row],[Transaction to]]</f>
        <v>46400144640087</v>
      </c>
      <c r="BR380" s="26" t="str">
        <f>Transformation[[#This Row],[crfomid]]&amp;Transformation[[#This Row],[Transaction from]]&amp;"("&amp;Transformation[[#This Row],[Multiplier]]&amp;") -&gt; "&amp;Transformation[[#This Row],[ctoid]]&amp;Transformation[[#This Row],[Transaction to]]</f>
        <v>NP014(1) -&gt; NP087</v>
      </c>
    </row>
    <row r="381" spans="25:70" x14ac:dyDescent="0.45">
      <c r="Y381" s="5" t="s">
        <v>240</v>
      </c>
      <c r="Z381" s="7" t="s">
        <v>687</v>
      </c>
      <c r="AA381" s="4" t="s">
        <v>1322</v>
      </c>
      <c r="AB381" s="19" t="s">
        <v>1595</v>
      </c>
      <c r="AC381" s="24" t="str">
        <f>IFERROR(VLOOKUP(Transactions[[#This Row],[Parent code]],Transactions[[Transaction code]:[Transaction name]],2,0),"")</f>
        <v>Electricity plants - Nuclear</v>
      </c>
      <c r="AD381" s="4" t="s">
        <v>189</v>
      </c>
      <c r="AE381" s="4" t="s">
        <v>923</v>
      </c>
      <c r="AF381" s="4" t="s">
        <v>642</v>
      </c>
      <c r="AG381" s="4" t="s">
        <v>1</v>
      </c>
      <c r="AH381" s="4" t="s">
        <v>696</v>
      </c>
      <c r="AK381" s="24" t="str" cm="1">
        <f t="array" ref="AK381">IFERROR(INDEX(Transactions[[Transaction code]:[Transaction name]],_xlfn.XMATCH(Transactions[[#This Row],[Parent code]],Transactions[Transaction name],0),3),Transactions[[#This Row],[Transaction name]])</f>
        <v>Electricity plants - Autoproducer - Nuclear</v>
      </c>
      <c r="AL381" s="24" t="str" cm="1">
        <f t="array" ref="AL381">IFERROR(INDEX(Transactions[[Transaction code]:[Transaction name]],_xlfn.XMATCH(INDEX(Transactions[[Transaction name]:[Parent code]],_xlfn.XMATCH(Transactions[[#This Row],[L1N]],Transactions[Transaction name],0),3),Transactions[Transaction code],0),2),Transactions[[#This Row],[L1N]])</f>
        <v>Electricity plants - Nuclear</v>
      </c>
      <c r="AM381" s="24" t="str" cm="1">
        <f t="array" ref="AM381">IFERROR(INDEX(Transactions[[Transaction code]:[Transaction name]],_xlfn.XMATCH(INDEX(Transactions[[Transaction name]:[Parent code]],_xlfn.XMATCH(Transactions[[#This Row],[L2N]],Transactions[Transaction name],0),3),Transactions[Transaction code],0),2),Transactions[[#This Row],[L2N]])</f>
        <v>Electricity plants</v>
      </c>
      <c r="AN381" s="24" t="str" cm="1">
        <f t="array" ref="AN381">IFERROR(INDEX(Transactions[[Transaction code]:[Transaction name]],_xlfn.XMATCH(INDEX(Transactions[[Transaction name]:[Parent code]],_xlfn.XMATCH(Transactions[[#This Row],[L3N]],Transactions[Transaction name],0),3),Transactions[Transaction code],0),2),Transactions[[#This Row],[L3N]])</f>
        <v>Electricity, CHP and heat plants (T)</v>
      </c>
      <c r="AO381" s="24" t="str" cm="1">
        <f t="array" ref="AO381">IFERROR(INDEX(Transactions[[Transaction code]:[Transaction name]],_xlfn.XMATCH(INDEX(Transactions[[Transaction name]:[Parent code]],_xlfn.XMATCH(Transactions[[#This Row],[L4N]],Transactions[Transaction name],0),3),Transactions[Transaction code],0),2),Transactions[[#This Row],[L4N]])</f>
        <v>Transformation</v>
      </c>
      <c r="AP381" s="24" t="str" cm="1">
        <f t="array" ref="AP381">IFERROR(INDEX(Transactions[[Transaction code]:[Transaction name]],_xlfn.XMATCH(INDEX(Transactions[[Transaction name]:[Parent code]],_xlfn.XMATCH(Transactions[[#This Row],[L5N]],Transactions[Transaction name],0),3),Transactions[Transaction code],0),2),Transactions[[#This Row],[L5N]])</f>
        <v>Transformation</v>
      </c>
      <c r="AQ381" s="24" t="str" cm="1">
        <f t="array" ref="AQ381">IFERROR(INDEX(Transactions[[Transaction code]:[Transaction name]],_xlfn.XMATCH(INDEX(Transactions[[Transaction name]:[Parent code]],_xlfn.XMATCH(Transactions[[#This Row],[L6N]],Transactions[Transaction name],0),3),Transactions[Transaction code],0),2),Transactions[[#This Row],[L6N]])</f>
        <v>Transformation</v>
      </c>
      <c r="AR381" s="27" t="str">
        <f>IF(Transactions[[#This Row],[L7N]]=Transactions[[#This Row],[L6N]],Transactions[[#This Row],[L7N]],IF(Transactions[[#This Row],[L6N]]=Transactions[[#This Row],[L5N]],Transactions[[#This Row],[L6N]],IF(Transactions[[#This Row],[L5N]]=Transactions[[#This Row],[L4N]],Transactions[[#This Row],[L5N]],IF(Transactions[[#This Row],[L4N]]=Transactions[[#This Row],[L3N]],Transactions[[#This Row],[L4N]],IF(Transactions[[#This Row],[L3N]]=Transactions[[#This Row],[L2N]],Transactions[[#This Row],[L3N]],IF(Transactions[[#This Row],[L2N]]=Transactions[[#This Row],[L1N]],Transactions[[#This Row],[L2N]],IF(Transactions[[#This Row],[L1N]]=Transactions[[#This Row],[Transaction name]],Transactions[[#This Row],[L1N]],Transactions[[#This Row],[Transaction name]])))))))</f>
        <v>Transformation</v>
      </c>
      <c r="AS381" s="24" t="str">
        <f>IF(Transactions[[#This Row],[Level 0]]=Transactions[[#This Row],[Transaction name]],Transactions[[#This Row],[Transaction name]],IF(Transactions[[#This Row],[Level 0]]=Transactions[[#This Row],[L1N]],Transactions[[#This Row],[Transaction name]],IF(Transactions[[#This Row],[Level 0]]=Transactions[[#This Row],[L2N]],Transactions[[#This Row],[L1N]],IF(Transactions[[#This Row],[Level 0]]=Transactions[[#This Row],[L3N]],Transactions[[#This Row],[L2N]],IF(Transactions[[#This Row],[Level 0]]=Transactions[[#This Row],[L4N]],Transactions[[#This Row],[L3N]],IF(Transactions[[#This Row],[Level 0]]=Transactions[[#This Row],[L5N]],Transactions[[#This Row],[L4N]],IF(Transactions[[#This Row],[Level 0]]=Transactions[[#This Row],[L6N]],Transactions[[#This Row],[L5N]],IF(Transactions[[#This Row],[Level 0]]=Transactions[[#This Row],[L7N]],Transactions[[#This Row],[L6N]],Transactions[[#This Row],[L7N]]))))))))</f>
        <v>Electricity, CHP and heat plants (T)</v>
      </c>
      <c r="AT381" s="24" t="str">
        <f>IF(Transactions[[#This Row],[Level 1]]=Transactions[[#This Row],[Transaction name]],Transactions[[#This Row],[Transaction name]],IF(Transactions[[#This Row],[Level 1]]=Transactions[[#This Row],[L1N]],Transactions[[#This Row],[Transaction name]],IF(Transactions[[#This Row],[Level 1]]=Transactions[[#This Row],[L2N]],Transactions[[#This Row],[L1N]],IF(Transactions[[#This Row],[Level 1]]=Transactions[[#This Row],[L3N]],Transactions[[#This Row],[L2N]],IF(Transactions[[#This Row],[Level 1]]=Transactions[[#This Row],[L4N]],Transactions[[#This Row],[L3N]],IF(Transactions[[#This Row],[Level 1]]=Transactions[[#This Row],[L5N]],Transactions[[#This Row],[L4N]],IF(Transactions[[#This Row],[Level 1]]=Transactions[[#This Row],[L6N]],Transactions[[#This Row],[L5N]],IF(Transactions[[#This Row],[Level 1]]=Transactions[[#This Row],[L7N]],Transactions[[#This Row],[L6N]],Transactions[[#This Row],[L7N]]))))))))</f>
        <v>Electricity plants</v>
      </c>
      <c r="AU381" s="24" t="str">
        <f>IF(Transactions[[#This Row],[Level 2]]=Transactions[[#This Row],[Transaction name]],Transactions[[#This Row],[Transaction name]],IF(Transactions[[#This Row],[Level 2]]=Transactions[[#This Row],[L1N]],Transactions[[#This Row],[Transaction name]],IF(Transactions[[#This Row],[Level 2]]=Transactions[[#This Row],[L2N]],Transactions[[#This Row],[L1N]],IF(Transactions[[#This Row],[Level 2]]=Transactions[[#This Row],[L3N]],Transactions[[#This Row],[L2N]],IF(Transactions[[#This Row],[Level 2]]=Transactions[[#This Row],[L4N]],Transactions[[#This Row],[L3N]],IF(Transactions[[#This Row],[Level 2]]=Transactions[[#This Row],[L5N]],Transactions[[#This Row],[L4N]],IF(Transactions[[#This Row],[Level 2]]=Transactions[[#This Row],[L6N]],Transactions[[#This Row],[L5N]],IF(Transactions[[#This Row],[Level 2]]=Transactions[[#This Row],[L7N]],Transactions[[#This Row],[L6N]],Transactions[[#This Row],[L7N]]))))))))</f>
        <v>Electricity plants - Nuclear</v>
      </c>
      <c r="AV381" s="24" t="str">
        <f>IF(Transactions[[#This Row],[Level 3]]=Transactions[[#This Row],[Transaction name]],Transactions[[#This Row],[Transaction name]],IF(Transactions[[#This Row],[Level 3]]=Transactions[[#This Row],[L1N]],Transactions[[#This Row],[Transaction name]],IF(Transactions[[#This Row],[Level 3]]=Transactions[[#This Row],[L2N]],Transactions[[#This Row],[L1N]],IF(Transactions[[#This Row],[Level 3]]=Transactions[[#This Row],[L3N]],Transactions[[#This Row],[L2N]],IF(Transactions[[#This Row],[Level 3]]=Transactions[[#This Row],[L4N]],Transactions[[#This Row],[L3N]],IF(Transactions[[#This Row],[Level 3]]=Transactions[[#This Row],[L5N]],Transactions[[#This Row],[L4N]],IF(Transactions[[#This Row],[Level 3]]=Transactions[[#This Row],[L6N]],Transactions[[#This Row],[L5N]],IF(Transactions[[#This Row],[Level 3]]=Transactions[[#This Row],[L7N]],Transactions[[#This Row],[L6N]],Transactions[[#This Row],[L7N]]))))))))</f>
        <v>Electricity plants - Autoproducer - Nuclear</v>
      </c>
      <c r="AW381" s="24" t="str">
        <f>IF(Transactions[[#This Row],[Level 4]]=Transactions[[#This Row],[Transaction name]],Transactions[[#This Row],[Transaction name]],IF(Transactions[[#This Row],[Level 4]]=Transactions[[#This Row],[L1N]],Transactions[[#This Row],[Transaction name]],IF(Transactions[[#This Row],[Level 4]]=Transactions[[#This Row],[L2N]],Transactions[[#This Row],[L1N]],IF(Transactions[[#This Row],[Level 4]]=Transactions[[#This Row],[L3N]],Transactions[[#This Row],[L2N]],IF(Transactions[[#This Row],[Level 4]]=Transactions[[#This Row],[L4N]],Transactions[[#This Row],[L3N]],IF(Transactions[[#This Row],[Level 4]]=Transactions[[#This Row],[L5N]],Transactions[[#This Row],[L4N]],IF(Transactions[[#This Row],[Level 4]]=Transactions[[#This Row],[L6N]],Transactions[[#This Row],[L5N]],IF(Transactions[[#This Row],[Level 4]]=Transactions[[#This Row],[L7N]],Transactions[[#This Row],[L6N]],Transactions[[#This Row],[L7N]]))))))))</f>
        <v>Electricity plants - Autoproducer - Nuclear</v>
      </c>
      <c r="AX381" s="24" t="str">
        <f>IF(Transactions[[#This Row],[Level 5]]=Transactions[[#This Row],[Transaction name]],Transactions[[#This Row],[Transaction name]],IF(Transactions[[#This Row],[Level 5]]=Transactions[[#This Row],[L1N]],Transactions[[#This Row],[Transaction name]],IF(Transactions[[#This Row],[Level 5]]=Transactions[[#This Row],[L2N]],Transactions[[#This Row],[L1N]],IF(Transactions[[#This Row],[Level 5]]=Transactions[[#This Row],[L3N]],Transactions[[#This Row],[L2N]],IF(Transactions[[#This Row],[Level 5]]=Transactions[[#This Row],[L4N]],Transactions[[#This Row],[L3N]],IF(Transactions[[#This Row],[Level 5]]=Transactions[[#This Row],[L5N]],Transactions[[#This Row],[L4N]],IF(Transactions[[#This Row],[Level 5]]=Transactions[[#This Row],[L6N]],Transactions[[#This Row],[L5N]],IF(Transactions[[#This Row],[Level 5]]=Transactions[[#This Row],[L7N]],Transactions[[#This Row],[L6N]],Transactions[[#This Row],[L7N]]))))))))</f>
        <v>Electricity plants - Autoproducer - Nuclear</v>
      </c>
      <c r="AY381" s="24" t="str">
        <f>IF(Transactions[[#This Row],[Level 6]]=Transactions[[#This Row],[Transaction name]],Transactions[[#This Row],[Transaction name]],IF(Transactions[[#This Row],[Level 6]]=Transactions[[#This Row],[L1N]],Transactions[[#This Row],[Transaction name]],IF(Transactions[[#This Row],[Level 6]]=Transactions[[#This Row],[L2N]],Transactions[[#This Row],[L1N]],IF(Transactions[[#This Row],[Level 6]]=Transactions[[#This Row],[L3N]],Transactions[[#This Row],[L2N]],IF(Transactions[[#This Row],[Level 6]]=Transactions[[#This Row],[L4N]],Transactions[[#This Row],[L3N]],IF(Transactions[[#This Row],[Level 6]]=Transactions[[#This Row],[L5N]],Transactions[[#This Row],[L4N]],IF(Transactions[[#This Row],[Level 6]]=Transactions[[#This Row],[L6N]],Transactions[[#This Row],[L5N]],IF(Transactions[[#This Row],[Level 6]]=Transactions[[#This Row],[L7N]],Transactions[[#This Row],[L6N]],Transactions[[#This Row],[L7N]]))))))))</f>
        <v>Electricity plants - Autoproducer - Nuclear</v>
      </c>
      <c r="BE381" s="26" t="str">
        <f>_xlfn.XLOOKUP(Transformation[[#This Row],[cfrom]],Commodities[Commodity],Commodities[Commodity code])</f>
        <v>4640</v>
      </c>
      <c r="BF381" s="26" t="str">
        <f>_xlfn.XLOOKUP(Transformation[[#This Row],[tfrom]],Transactions[Transaction name],Transactions[Transaction code])</f>
        <v>014</v>
      </c>
      <c r="BG381" s="26" t="str">
        <f>_xlfn.XLOOKUP(Transformation[[#This Row],[cto]],Commodities[Commodity],Commodities[Commodity code])</f>
        <v>4640</v>
      </c>
      <c r="BH381" s="26" t="str">
        <f>_xlfn.XLOOKUP(Transformation[[#This Row],[tto]],Transactions[Transaction name],Transactions[Transaction code])</f>
        <v>014</v>
      </c>
      <c r="BI381" s="31">
        <v>-1</v>
      </c>
      <c r="BJ381" s="22" t="s">
        <v>405</v>
      </c>
      <c r="BK381" s="26" t="str">
        <f>_xlfn.XLOOKUP(Transformation[[#This Row],[Commodity from]],Commodities[Commodity code],Commodities[EnergyCode])</f>
        <v>NP</v>
      </c>
      <c r="BL381" s="22" t="s">
        <v>370</v>
      </c>
      <c r="BM381" s="22" t="s">
        <v>405</v>
      </c>
      <c r="BN381" s="26" t="str">
        <f>_xlfn.XLOOKUP(Transformation[[#This Row],[Commodity to]],Commodities[Commodity code],Commodities[EnergyCode])</f>
        <v>NP</v>
      </c>
      <c r="BO381" s="22" t="s">
        <v>370</v>
      </c>
      <c r="BP381" s="22" t="s">
        <v>1689</v>
      </c>
      <c r="BQ381" s="33" t="str">
        <f>Transformation[[#This Row],[Commodity from]]&amp;Transformation[[#This Row],[Transaction from]]&amp;Transformation[[#This Row],[Commodity to]]&amp;Transformation[[#This Row],[Transaction to]]</f>
        <v>46400144640014</v>
      </c>
      <c r="BR381" s="26" t="str">
        <f>Transformation[[#This Row],[crfomid]]&amp;Transformation[[#This Row],[Transaction from]]&amp;"("&amp;Transformation[[#This Row],[Multiplier]]&amp;") -&gt; "&amp;Transformation[[#This Row],[ctoid]]&amp;Transformation[[#This Row],[Transaction to]]</f>
        <v>NP014(-1) -&gt; NP014</v>
      </c>
    </row>
    <row r="382" spans="25:70" x14ac:dyDescent="0.45">
      <c r="Y382" s="5" t="s">
        <v>322</v>
      </c>
      <c r="Z382" s="7" t="s">
        <v>681</v>
      </c>
      <c r="AA382" s="4" t="s">
        <v>1322</v>
      </c>
      <c r="AB382" s="19" t="s">
        <v>1595</v>
      </c>
      <c r="AC382" s="24" t="str">
        <f>IFERROR(VLOOKUP(Transactions[[#This Row],[Parent code]],Transactions[[Transaction code]:[Transaction name]],2,0),"")</f>
        <v>Electricity plants - Nuclear</v>
      </c>
      <c r="AD382" s="4" t="s">
        <v>189</v>
      </c>
      <c r="AE382" s="4" t="s">
        <v>923</v>
      </c>
      <c r="AF382" s="4" t="s">
        <v>642</v>
      </c>
      <c r="AG382" s="4" t="s">
        <v>1</v>
      </c>
      <c r="AH382" s="4" t="s">
        <v>696</v>
      </c>
      <c r="AK382" s="24" t="str" cm="1">
        <f t="array" ref="AK382">IFERROR(INDEX(Transactions[[Transaction code]:[Transaction name]],_xlfn.XMATCH(Transactions[[#This Row],[Parent code]],Transactions[Transaction name],0),3),Transactions[[#This Row],[Transaction name]])</f>
        <v>Electricity plants - Main activity - Nuclear</v>
      </c>
      <c r="AL382" s="24" t="str" cm="1">
        <f t="array" ref="AL382">IFERROR(INDEX(Transactions[[Transaction code]:[Transaction name]],_xlfn.XMATCH(INDEX(Transactions[[Transaction name]:[Parent code]],_xlfn.XMATCH(Transactions[[#This Row],[L1N]],Transactions[Transaction name],0),3),Transactions[Transaction code],0),2),Transactions[[#This Row],[L1N]])</f>
        <v>Electricity plants - Nuclear</v>
      </c>
      <c r="AM382" s="24" t="str" cm="1">
        <f t="array" ref="AM382">IFERROR(INDEX(Transactions[[Transaction code]:[Transaction name]],_xlfn.XMATCH(INDEX(Transactions[[Transaction name]:[Parent code]],_xlfn.XMATCH(Transactions[[#This Row],[L2N]],Transactions[Transaction name],0),3),Transactions[Transaction code],0),2),Transactions[[#This Row],[L2N]])</f>
        <v>Electricity plants</v>
      </c>
      <c r="AN382" s="24" t="str" cm="1">
        <f t="array" ref="AN382">IFERROR(INDEX(Transactions[[Transaction code]:[Transaction name]],_xlfn.XMATCH(INDEX(Transactions[[Transaction name]:[Parent code]],_xlfn.XMATCH(Transactions[[#This Row],[L3N]],Transactions[Transaction name],0),3),Transactions[Transaction code],0),2),Transactions[[#This Row],[L3N]])</f>
        <v>Electricity, CHP and heat plants (T)</v>
      </c>
      <c r="AO382" s="24" t="str" cm="1">
        <f t="array" ref="AO382">IFERROR(INDEX(Transactions[[Transaction code]:[Transaction name]],_xlfn.XMATCH(INDEX(Transactions[[Transaction name]:[Parent code]],_xlfn.XMATCH(Transactions[[#This Row],[L4N]],Transactions[Transaction name],0),3),Transactions[Transaction code],0),2),Transactions[[#This Row],[L4N]])</f>
        <v>Transformation</v>
      </c>
      <c r="AP382" s="24" t="str" cm="1">
        <f t="array" ref="AP382">IFERROR(INDEX(Transactions[[Transaction code]:[Transaction name]],_xlfn.XMATCH(INDEX(Transactions[[Transaction name]:[Parent code]],_xlfn.XMATCH(Transactions[[#This Row],[L5N]],Transactions[Transaction name],0),3),Transactions[Transaction code],0),2),Transactions[[#This Row],[L5N]])</f>
        <v>Transformation</v>
      </c>
      <c r="AQ382" s="24" t="str" cm="1">
        <f t="array" ref="AQ382">IFERROR(INDEX(Transactions[[Transaction code]:[Transaction name]],_xlfn.XMATCH(INDEX(Transactions[[Transaction name]:[Parent code]],_xlfn.XMATCH(Transactions[[#This Row],[L6N]],Transactions[Transaction name],0),3),Transactions[Transaction code],0),2),Transactions[[#This Row],[L6N]])</f>
        <v>Transformation</v>
      </c>
      <c r="AR382" s="27" t="str">
        <f>IF(Transactions[[#This Row],[L7N]]=Transactions[[#This Row],[L6N]],Transactions[[#This Row],[L7N]],IF(Transactions[[#This Row],[L6N]]=Transactions[[#This Row],[L5N]],Transactions[[#This Row],[L6N]],IF(Transactions[[#This Row],[L5N]]=Transactions[[#This Row],[L4N]],Transactions[[#This Row],[L5N]],IF(Transactions[[#This Row],[L4N]]=Transactions[[#This Row],[L3N]],Transactions[[#This Row],[L4N]],IF(Transactions[[#This Row],[L3N]]=Transactions[[#This Row],[L2N]],Transactions[[#This Row],[L3N]],IF(Transactions[[#This Row],[L2N]]=Transactions[[#This Row],[L1N]],Transactions[[#This Row],[L2N]],IF(Transactions[[#This Row],[L1N]]=Transactions[[#This Row],[Transaction name]],Transactions[[#This Row],[L1N]],Transactions[[#This Row],[Transaction name]])))))))</f>
        <v>Transformation</v>
      </c>
      <c r="AS382" s="24" t="str">
        <f>IF(Transactions[[#This Row],[Level 0]]=Transactions[[#This Row],[Transaction name]],Transactions[[#This Row],[Transaction name]],IF(Transactions[[#This Row],[Level 0]]=Transactions[[#This Row],[L1N]],Transactions[[#This Row],[Transaction name]],IF(Transactions[[#This Row],[Level 0]]=Transactions[[#This Row],[L2N]],Transactions[[#This Row],[L1N]],IF(Transactions[[#This Row],[Level 0]]=Transactions[[#This Row],[L3N]],Transactions[[#This Row],[L2N]],IF(Transactions[[#This Row],[Level 0]]=Transactions[[#This Row],[L4N]],Transactions[[#This Row],[L3N]],IF(Transactions[[#This Row],[Level 0]]=Transactions[[#This Row],[L5N]],Transactions[[#This Row],[L4N]],IF(Transactions[[#This Row],[Level 0]]=Transactions[[#This Row],[L6N]],Transactions[[#This Row],[L5N]],IF(Transactions[[#This Row],[Level 0]]=Transactions[[#This Row],[L7N]],Transactions[[#This Row],[L6N]],Transactions[[#This Row],[L7N]]))))))))</f>
        <v>Electricity, CHP and heat plants (T)</v>
      </c>
      <c r="AT382" s="24" t="str">
        <f>IF(Transactions[[#This Row],[Level 1]]=Transactions[[#This Row],[Transaction name]],Transactions[[#This Row],[Transaction name]],IF(Transactions[[#This Row],[Level 1]]=Transactions[[#This Row],[L1N]],Transactions[[#This Row],[Transaction name]],IF(Transactions[[#This Row],[Level 1]]=Transactions[[#This Row],[L2N]],Transactions[[#This Row],[L1N]],IF(Transactions[[#This Row],[Level 1]]=Transactions[[#This Row],[L3N]],Transactions[[#This Row],[L2N]],IF(Transactions[[#This Row],[Level 1]]=Transactions[[#This Row],[L4N]],Transactions[[#This Row],[L3N]],IF(Transactions[[#This Row],[Level 1]]=Transactions[[#This Row],[L5N]],Transactions[[#This Row],[L4N]],IF(Transactions[[#This Row],[Level 1]]=Transactions[[#This Row],[L6N]],Transactions[[#This Row],[L5N]],IF(Transactions[[#This Row],[Level 1]]=Transactions[[#This Row],[L7N]],Transactions[[#This Row],[L6N]],Transactions[[#This Row],[L7N]]))))))))</f>
        <v>Electricity plants</v>
      </c>
      <c r="AU382" s="24" t="str">
        <f>IF(Transactions[[#This Row],[Level 2]]=Transactions[[#This Row],[Transaction name]],Transactions[[#This Row],[Transaction name]],IF(Transactions[[#This Row],[Level 2]]=Transactions[[#This Row],[L1N]],Transactions[[#This Row],[Transaction name]],IF(Transactions[[#This Row],[Level 2]]=Transactions[[#This Row],[L2N]],Transactions[[#This Row],[L1N]],IF(Transactions[[#This Row],[Level 2]]=Transactions[[#This Row],[L3N]],Transactions[[#This Row],[L2N]],IF(Transactions[[#This Row],[Level 2]]=Transactions[[#This Row],[L4N]],Transactions[[#This Row],[L3N]],IF(Transactions[[#This Row],[Level 2]]=Transactions[[#This Row],[L5N]],Transactions[[#This Row],[L4N]],IF(Transactions[[#This Row],[Level 2]]=Transactions[[#This Row],[L6N]],Transactions[[#This Row],[L5N]],IF(Transactions[[#This Row],[Level 2]]=Transactions[[#This Row],[L7N]],Transactions[[#This Row],[L6N]],Transactions[[#This Row],[L7N]]))))))))</f>
        <v>Electricity plants - Nuclear</v>
      </c>
      <c r="AV382" s="24" t="str">
        <f>IF(Transactions[[#This Row],[Level 3]]=Transactions[[#This Row],[Transaction name]],Transactions[[#This Row],[Transaction name]],IF(Transactions[[#This Row],[Level 3]]=Transactions[[#This Row],[L1N]],Transactions[[#This Row],[Transaction name]],IF(Transactions[[#This Row],[Level 3]]=Transactions[[#This Row],[L2N]],Transactions[[#This Row],[L1N]],IF(Transactions[[#This Row],[Level 3]]=Transactions[[#This Row],[L3N]],Transactions[[#This Row],[L2N]],IF(Transactions[[#This Row],[Level 3]]=Transactions[[#This Row],[L4N]],Transactions[[#This Row],[L3N]],IF(Transactions[[#This Row],[Level 3]]=Transactions[[#This Row],[L5N]],Transactions[[#This Row],[L4N]],IF(Transactions[[#This Row],[Level 3]]=Transactions[[#This Row],[L6N]],Transactions[[#This Row],[L5N]],IF(Transactions[[#This Row],[Level 3]]=Transactions[[#This Row],[L7N]],Transactions[[#This Row],[L6N]],Transactions[[#This Row],[L7N]]))))))))</f>
        <v>Electricity plants - Main activity - Nuclear</v>
      </c>
      <c r="AW382" s="24" t="str">
        <f>IF(Transactions[[#This Row],[Level 4]]=Transactions[[#This Row],[Transaction name]],Transactions[[#This Row],[Transaction name]],IF(Transactions[[#This Row],[Level 4]]=Transactions[[#This Row],[L1N]],Transactions[[#This Row],[Transaction name]],IF(Transactions[[#This Row],[Level 4]]=Transactions[[#This Row],[L2N]],Transactions[[#This Row],[L1N]],IF(Transactions[[#This Row],[Level 4]]=Transactions[[#This Row],[L3N]],Transactions[[#This Row],[L2N]],IF(Transactions[[#This Row],[Level 4]]=Transactions[[#This Row],[L4N]],Transactions[[#This Row],[L3N]],IF(Transactions[[#This Row],[Level 4]]=Transactions[[#This Row],[L5N]],Transactions[[#This Row],[L4N]],IF(Transactions[[#This Row],[Level 4]]=Transactions[[#This Row],[L6N]],Transactions[[#This Row],[L5N]],IF(Transactions[[#This Row],[Level 4]]=Transactions[[#This Row],[L7N]],Transactions[[#This Row],[L6N]],Transactions[[#This Row],[L7N]]))))))))</f>
        <v>Electricity plants - Main activity - Nuclear</v>
      </c>
      <c r="AX382" s="24" t="str">
        <f>IF(Transactions[[#This Row],[Level 5]]=Transactions[[#This Row],[Transaction name]],Transactions[[#This Row],[Transaction name]],IF(Transactions[[#This Row],[Level 5]]=Transactions[[#This Row],[L1N]],Transactions[[#This Row],[Transaction name]],IF(Transactions[[#This Row],[Level 5]]=Transactions[[#This Row],[L2N]],Transactions[[#This Row],[L1N]],IF(Transactions[[#This Row],[Level 5]]=Transactions[[#This Row],[L3N]],Transactions[[#This Row],[L2N]],IF(Transactions[[#This Row],[Level 5]]=Transactions[[#This Row],[L4N]],Transactions[[#This Row],[L3N]],IF(Transactions[[#This Row],[Level 5]]=Transactions[[#This Row],[L5N]],Transactions[[#This Row],[L4N]],IF(Transactions[[#This Row],[Level 5]]=Transactions[[#This Row],[L6N]],Transactions[[#This Row],[L5N]],IF(Transactions[[#This Row],[Level 5]]=Transactions[[#This Row],[L7N]],Transactions[[#This Row],[L6N]],Transactions[[#This Row],[L7N]]))))))))</f>
        <v>Electricity plants - Main activity - Nuclear</v>
      </c>
      <c r="AY382" s="24" t="str">
        <f>IF(Transactions[[#This Row],[Level 6]]=Transactions[[#This Row],[Transaction name]],Transactions[[#This Row],[Transaction name]],IF(Transactions[[#This Row],[Level 6]]=Transactions[[#This Row],[L1N]],Transactions[[#This Row],[Transaction name]],IF(Transactions[[#This Row],[Level 6]]=Transactions[[#This Row],[L2N]],Transactions[[#This Row],[L1N]],IF(Transactions[[#This Row],[Level 6]]=Transactions[[#This Row],[L3N]],Transactions[[#This Row],[L2N]],IF(Transactions[[#This Row],[Level 6]]=Transactions[[#This Row],[L4N]],Transactions[[#This Row],[L3N]],IF(Transactions[[#This Row],[Level 6]]=Transactions[[#This Row],[L5N]],Transactions[[#This Row],[L4N]],IF(Transactions[[#This Row],[Level 6]]=Transactions[[#This Row],[L6N]],Transactions[[#This Row],[L5N]],IF(Transactions[[#This Row],[Level 6]]=Transactions[[#This Row],[L7N]],Transactions[[#This Row],[L6N]],Transactions[[#This Row],[L7N]]))))))))</f>
        <v>Electricity plants - Main activity - Nuclear</v>
      </c>
      <c r="BE382" s="26" t="str">
        <f>_xlfn.XLOOKUP(Transformation[[#This Row],[cfrom]],Commodities[Commodity],Commodities[Commodity code])</f>
        <v>4694</v>
      </c>
      <c r="BF382" s="26" t="str">
        <f>_xlfn.XLOOKUP(Transformation[[#This Row],[tfrom]],Transactions[Transaction name],Transactions[Transaction code])</f>
        <v>014</v>
      </c>
      <c r="BG382" s="26" t="str">
        <f>_xlfn.XLOOKUP(Transformation[[#This Row],[cto]],Commodities[Commodity],Commodities[Commodity code])</f>
        <v>4694</v>
      </c>
      <c r="BH382" s="26" t="str">
        <f>_xlfn.XLOOKUP(Transformation[[#This Row],[tto]],Transactions[Transaction name],Transactions[Transaction code])</f>
        <v>087</v>
      </c>
      <c r="BI382" s="31">
        <v>1</v>
      </c>
      <c r="BJ382" s="22" t="s">
        <v>353</v>
      </c>
      <c r="BK382" s="26" t="str">
        <f>_xlfn.XLOOKUP(Transformation[[#This Row],[Commodity from]],Commodities[Commodity code],Commodities[EnergyCode])</f>
        <v>PK</v>
      </c>
      <c r="BL382" s="22" t="s">
        <v>370</v>
      </c>
      <c r="BM382" s="22" t="s">
        <v>353</v>
      </c>
      <c r="BN382" s="26" t="str">
        <f>_xlfn.XLOOKUP(Transformation[[#This Row],[Commodity to]],Commodities[Commodity code],Commodities[EnergyCode])</f>
        <v>PK</v>
      </c>
      <c r="BO382" s="22" t="s">
        <v>729</v>
      </c>
      <c r="BP382" s="22" t="s">
        <v>1688</v>
      </c>
      <c r="BQ382" s="33" t="str">
        <f>Transformation[[#This Row],[Commodity from]]&amp;Transformation[[#This Row],[Transaction from]]&amp;Transformation[[#This Row],[Commodity to]]&amp;Transformation[[#This Row],[Transaction to]]</f>
        <v>46940144694087</v>
      </c>
      <c r="BR382" s="26" t="str">
        <f>Transformation[[#This Row],[crfomid]]&amp;Transformation[[#This Row],[Transaction from]]&amp;"("&amp;Transformation[[#This Row],[Multiplier]]&amp;") -&gt; "&amp;Transformation[[#This Row],[ctoid]]&amp;Transformation[[#This Row],[Transaction to]]</f>
        <v>PK014(1) -&gt; PK087</v>
      </c>
    </row>
    <row r="383" spans="25:70" x14ac:dyDescent="0.45">
      <c r="Y383" s="19" t="s">
        <v>1595</v>
      </c>
      <c r="Z383" s="18" t="s">
        <v>1322</v>
      </c>
      <c r="AA383" s="18" t="s">
        <v>1322</v>
      </c>
      <c r="AB383" s="19" t="s">
        <v>1600</v>
      </c>
      <c r="AC383" s="26" t="str">
        <f>IFERROR(VLOOKUP(Transactions[[#This Row],[Parent code]],Transactions[[Transaction code]:[Transaction name]],2,0),"")</f>
        <v>Electricity plants</v>
      </c>
      <c r="AD383" s="18" t="s">
        <v>189</v>
      </c>
      <c r="AE383" s="18" t="s">
        <v>923</v>
      </c>
      <c r="AF383" s="18" t="s">
        <v>642</v>
      </c>
      <c r="AG383" s="18" t="s">
        <v>1</v>
      </c>
      <c r="AH383" s="18" t="s">
        <v>696</v>
      </c>
      <c r="AI383" s="18"/>
      <c r="AJ383" s="18"/>
      <c r="AK383" s="26" t="str" cm="1">
        <f t="array" ref="AK383">IFERROR(INDEX(Transactions[[Transaction code]:[Transaction name]],_xlfn.XMATCH(Transactions[[#This Row],[Parent code]],Transactions[Transaction name],0),3),Transactions[[#This Row],[Transaction name]])</f>
        <v>Electricity plants - Nuclear</v>
      </c>
      <c r="AL383" s="26" t="str" cm="1">
        <f t="array" ref="AL383">IFERROR(INDEX(Transactions[[Transaction code]:[Transaction name]],_xlfn.XMATCH(INDEX(Transactions[[Transaction name]:[Parent code]],_xlfn.XMATCH(Transactions[[#This Row],[L1N]],Transactions[Transaction name],0),3),Transactions[Transaction code],0),2),Transactions[[#This Row],[L1N]])</f>
        <v>Electricity plants</v>
      </c>
      <c r="AM383" s="26" t="str" cm="1">
        <f t="array" ref="AM383">IFERROR(INDEX(Transactions[[Transaction code]:[Transaction name]],_xlfn.XMATCH(INDEX(Transactions[[Transaction name]:[Parent code]],_xlfn.XMATCH(Transactions[[#This Row],[L2N]],Transactions[Transaction name],0),3),Transactions[Transaction code],0),2),Transactions[[#This Row],[L2N]])</f>
        <v>Electricity, CHP and heat plants (T)</v>
      </c>
      <c r="AN383" s="26" t="str" cm="1">
        <f t="array" ref="AN383">IFERROR(INDEX(Transactions[[Transaction code]:[Transaction name]],_xlfn.XMATCH(INDEX(Transactions[[Transaction name]:[Parent code]],_xlfn.XMATCH(Transactions[[#This Row],[L3N]],Transactions[Transaction name],0),3),Transactions[Transaction code],0),2),Transactions[[#This Row],[L3N]])</f>
        <v>Transformation</v>
      </c>
      <c r="AO383" s="26" t="str" cm="1">
        <f t="array" ref="AO383">IFERROR(INDEX(Transactions[[Transaction code]:[Transaction name]],_xlfn.XMATCH(INDEX(Transactions[[Transaction name]:[Parent code]],_xlfn.XMATCH(Transactions[[#This Row],[L4N]],Transactions[Transaction name],0),3),Transactions[Transaction code],0),2),Transactions[[#This Row],[L4N]])</f>
        <v>Transformation</v>
      </c>
      <c r="AP383" s="26" t="str" cm="1">
        <f t="array" ref="AP383">IFERROR(INDEX(Transactions[[Transaction code]:[Transaction name]],_xlfn.XMATCH(INDEX(Transactions[[Transaction name]:[Parent code]],_xlfn.XMATCH(Transactions[[#This Row],[L5N]],Transactions[Transaction name],0),3),Transactions[Transaction code],0),2),Transactions[[#This Row],[L5N]])</f>
        <v>Transformation</v>
      </c>
      <c r="AQ383" s="26" t="str" cm="1">
        <f t="array" ref="AQ383">IFERROR(INDEX(Transactions[[Transaction code]:[Transaction name]],_xlfn.XMATCH(INDEX(Transactions[[Transaction name]:[Parent code]],_xlfn.XMATCH(Transactions[[#This Row],[L6N]],Transactions[Transaction name],0),3),Transactions[Transaction code],0),2),Transactions[[#This Row],[L6N]])</f>
        <v>Transformation</v>
      </c>
      <c r="AR383" s="29" t="str">
        <f>IF(Transactions[[#This Row],[L7N]]=Transactions[[#This Row],[L6N]],Transactions[[#This Row],[L7N]],IF(Transactions[[#This Row],[L6N]]=Transactions[[#This Row],[L5N]],Transactions[[#This Row],[L6N]],IF(Transactions[[#This Row],[L5N]]=Transactions[[#This Row],[L4N]],Transactions[[#This Row],[L5N]],IF(Transactions[[#This Row],[L4N]]=Transactions[[#This Row],[L3N]],Transactions[[#This Row],[L4N]],IF(Transactions[[#This Row],[L3N]]=Transactions[[#This Row],[L2N]],Transactions[[#This Row],[L3N]],IF(Transactions[[#This Row],[L2N]]=Transactions[[#This Row],[L1N]],Transactions[[#This Row],[L2N]],IF(Transactions[[#This Row],[L1N]]=Transactions[[#This Row],[Transaction name]],Transactions[[#This Row],[L1N]],Transactions[[#This Row],[Transaction name]])))))))</f>
        <v>Transformation</v>
      </c>
      <c r="AS383" s="26" t="str">
        <f>IF(Transactions[[#This Row],[Level 0]]=Transactions[[#This Row],[Transaction name]],Transactions[[#This Row],[Transaction name]],IF(Transactions[[#This Row],[Level 0]]=Transactions[[#This Row],[L1N]],Transactions[[#This Row],[Transaction name]],IF(Transactions[[#This Row],[Level 0]]=Transactions[[#This Row],[L2N]],Transactions[[#This Row],[L1N]],IF(Transactions[[#This Row],[Level 0]]=Transactions[[#This Row],[L3N]],Transactions[[#This Row],[L2N]],IF(Transactions[[#This Row],[Level 0]]=Transactions[[#This Row],[L4N]],Transactions[[#This Row],[L3N]],IF(Transactions[[#This Row],[Level 0]]=Transactions[[#This Row],[L5N]],Transactions[[#This Row],[L4N]],IF(Transactions[[#This Row],[Level 0]]=Transactions[[#This Row],[L6N]],Transactions[[#This Row],[L5N]],IF(Transactions[[#This Row],[Level 0]]=Transactions[[#This Row],[L7N]],Transactions[[#This Row],[L6N]],Transactions[[#This Row],[L7N]]))))))))</f>
        <v>Electricity, CHP and heat plants (T)</v>
      </c>
      <c r="AT383" s="26" t="str">
        <f>IF(Transactions[[#This Row],[Level 1]]=Transactions[[#This Row],[Transaction name]],Transactions[[#This Row],[Transaction name]],IF(Transactions[[#This Row],[Level 1]]=Transactions[[#This Row],[L1N]],Transactions[[#This Row],[Transaction name]],IF(Transactions[[#This Row],[Level 1]]=Transactions[[#This Row],[L2N]],Transactions[[#This Row],[L1N]],IF(Transactions[[#This Row],[Level 1]]=Transactions[[#This Row],[L3N]],Transactions[[#This Row],[L2N]],IF(Transactions[[#This Row],[Level 1]]=Transactions[[#This Row],[L4N]],Transactions[[#This Row],[L3N]],IF(Transactions[[#This Row],[Level 1]]=Transactions[[#This Row],[L5N]],Transactions[[#This Row],[L4N]],IF(Transactions[[#This Row],[Level 1]]=Transactions[[#This Row],[L6N]],Transactions[[#This Row],[L5N]],IF(Transactions[[#This Row],[Level 1]]=Transactions[[#This Row],[L7N]],Transactions[[#This Row],[L6N]],Transactions[[#This Row],[L7N]]))))))))</f>
        <v>Electricity plants</v>
      </c>
      <c r="AU383" s="26" t="str">
        <f>IF(Transactions[[#This Row],[Level 2]]=Transactions[[#This Row],[Transaction name]],Transactions[[#This Row],[Transaction name]],IF(Transactions[[#This Row],[Level 2]]=Transactions[[#This Row],[L1N]],Transactions[[#This Row],[Transaction name]],IF(Transactions[[#This Row],[Level 2]]=Transactions[[#This Row],[L2N]],Transactions[[#This Row],[L1N]],IF(Transactions[[#This Row],[Level 2]]=Transactions[[#This Row],[L3N]],Transactions[[#This Row],[L2N]],IF(Transactions[[#This Row],[Level 2]]=Transactions[[#This Row],[L4N]],Transactions[[#This Row],[L3N]],IF(Transactions[[#This Row],[Level 2]]=Transactions[[#This Row],[L5N]],Transactions[[#This Row],[L4N]],IF(Transactions[[#This Row],[Level 2]]=Transactions[[#This Row],[L6N]],Transactions[[#This Row],[L5N]],IF(Transactions[[#This Row],[Level 2]]=Transactions[[#This Row],[L7N]],Transactions[[#This Row],[L6N]],Transactions[[#This Row],[L7N]]))))))))</f>
        <v>Electricity plants - Nuclear</v>
      </c>
      <c r="AV383" s="26" t="str">
        <f>IF(Transactions[[#This Row],[Level 3]]=Transactions[[#This Row],[Transaction name]],Transactions[[#This Row],[Transaction name]],IF(Transactions[[#This Row],[Level 3]]=Transactions[[#This Row],[L1N]],Transactions[[#This Row],[Transaction name]],IF(Transactions[[#This Row],[Level 3]]=Transactions[[#This Row],[L2N]],Transactions[[#This Row],[L1N]],IF(Transactions[[#This Row],[Level 3]]=Transactions[[#This Row],[L3N]],Transactions[[#This Row],[L2N]],IF(Transactions[[#This Row],[Level 3]]=Transactions[[#This Row],[L4N]],Transactions[[#This Row],[L3N]],IF(Transactions[[#This Row],[Level 3]]=Transactions[[#This Row],[L5N]],Transactions[[#This Row],[L4N]],IF(Transactions[[#This Row],[Level 3]]=Transactions[[#This Row],[L6N]],Transactions[[#This Row],[L5N]],IF(Transactions[[#This Row],[Level 3]]=Transactions[[#This Row],[L7N]],Transactions[[#This Row],[L6N]],Transactions[[#This Row],[L7N]]))))))))</f>
        <v>Electricity plants - Nuclear</v>
      </c>
      <c r="AW383" s="26" t="str">
        <f>IF(Transactions[[#This Row],[Level 4]]=Transactions[[#This Row],[Transaction name]],Transactions[[#This Row],[Transaction name]],IF(Transactions[[#This Row],[Level 4]]=Transactions[[#This Row],[L1N]],Transactions[[#This Row],[Transaction name]],IF(Transactions[[#This Row],[Level 4]]=Transactions[[#This Row],[L2N]],Transactions[[#This Row],[L1N]],IF(Transactions[[#This Row],[Level 4]]=Transactions[[#This Row],[L3N]],Transactions[[#This Row],[L2N]],IF(Transactions[[#This Row],[Level 4]]=Transactions[[#This Row],[L4N]],Transactions[[#This Row],[L3N]],IF(Transactions[[#This Row],[Level 4]]=Transactions[[#This Row],[L5N]],Transactions[[#This Row],[L4N]],IF(Transactions[[#This Row],[Level 4]]=Transactions[[#This Row],[L6N]],Transactions[[#This Row],[L5N]],IF(Transactions[[#This Row],[Level 4]]=Transactions[[#This Row],[L7N]],Transactions[[#This Row],[L6N]],Transactions[[#This Row],[L7N]]))))))))</f>
        <v>Electricity plants - Nuclear</v>
      </c>
      <c r="AX383" s="26" t="str">
        <f>IF(Transactions[[#This Row],[Level 5]]=Transactions[[#This Row],[Transaction name]],Transactions[[#This Row],[Transaction name]],IF(Transactions[[#This Row],[Level 5]]=Transactions[[#This Row],[L1N]],Transactions[[#This Row],[Transaction name]],IF(Transactions[[#This Row],[Level 5]]=Transactions[[#This Row],[L2N]],Transactions[[#This Row],[L1N]],IF(Transactions[[#This Row],[Level 5]]=Transactions[[#This Row],[L3N]],Transactions[[#This Row],[L2N]],IF(Transactions[[#This Row],[Level 5]]=Transactions[[#This Row],[L4N]],Transactions[[#This Row],[L3N]],IF(Transactions[[#This Row],[Level 5]]=Transactions[[#This Row],[L5N]],Transactions[[#This Row],[L4N]],IF(Transactions[[#This Row],[Level 5]]=Transactions[[#This Row],[L6N]],Transactions[[#This Row],[L5N]],IF(Transactions[[#This Row],[Level 5]]=Transactions[[#This Row],[L7N]],Transactions[[#This Row],[L6N]],Transactions[[#This Row],[L7N]]))))))))</f>
        <v>Electricity plants - Nuclear</v>
      </c>
      <c r="AY383" s="26" t="str">
        <f>IF(Transactions[[#This Row],[Level 6]]=Transactions[[#This Row],[Transaction name]],Transactions[[#This Row],[Transaction name]],IF(Transactions[[#This Row],[Level 6]]=Transactions[[#This Row],[L1N]],Transactions[[#This Row],[Transaction name]],IF(Transactions[[#This Row],[Level 6]]=Transactions[[#This Row],[L2N]],Transactions[[#This Row],[L1N]],IF(Transactions[[#This Row],[Level 6]]=Transactions[[#This Row],[L3N]],Transactions[[#This Row],[L2N]],IF(Transactions[[#This Row],[Level 6]]=Transactions[[#This Row],[L4N]],Transactions[[#This Row],[L3N]],IF(Transactions[[#This Row],[Level 6]]=Transactions[[#This Row],[L5N]],Transactions[[#This Row],[L4N]],IF(Transactions[[#This Row],[Level 6]]=Transactions[[#This Row],[L6N]],Transactions[[#This Row],[L5N]],IF(Transactions[[#This Row],[Level 6]]=Transactions[[#This Row],[L7N]],Transactions[[#This Row],[L6N]],Transactions[[#This Row],[L7N]]))))))))</f>
        <v>Electricity plants - Nuclear</v>
      </c>
      <c r="BE383" s="26" t="str">
        <f>_xlfn.XLOOKUP(Transformation[[#This Row],[cfrom]],Commodities[Commodity],Commodities[Commodity code])</f>
        <v>4694</v>
      </c>
      <c r="BF383" s="26" t="str">
        <f>_xlfn.XLOOKUP(Transformation[[#This Row],[tfrom]],Transactions[Transaction name],Transactions[Transaction code])</f>
        <v>014</v>
      </c>
      <c r="BG383" s="26" t="str">
        <f>_xlfn.XLOOKUP(Transformation[[#This Row],[cto]],Commodities[Commodity],Commodities[Commodity code])</f>
        <v>4694</v>
      </c>
      <c r="BH383" s="26" t="str">
        <f>_xlfn.XLOOKUP(Transformation[[#This Row],[tto]],Transactions[Transaction name],Transactions[Transaction code])</f>
        <v>014</v>
      </c>
      <c r="BI383" s="31">
        <v>-1</v>
      </c>
      <c r="BJ383" s="22" t="s">
        <v>353</v>
      </c>
      <c r="BK383" s="26" t="str">
        <f>_xlfn.XLOOKUP(Transformation[[#This Row],[Commodity from]],Commodities[Commodity code],Commodities[EnergyCode])</f>
        <v>PK</v>
      </c>
      <c r="BL383" s="22" t="s">
        <v>370</v>
      </c>
      <c r="BM383" s="22" t="s">
        <v>353</v>
      </c>
      <c r="BN383" s="26" t="str">
        <f>_xlfn.XLOOKUP(Transformation[[#This Row],[Commodity to]],Commodities[Commodity code],Commodities[EnergyCode])</f>
        <v>PK</v>
      </c>
      <c r="BO383" s="22" t="s">
        <v>370</v>
      </c>
      <c r="BP383" s="22" t="s">
        <v>1689</v>
      </c>
      <c r="BQ383" s="33" t="str">
        <f>Transformation[[#This Row],[Commodity from]]&amp;Transformation[[#This Row],[Transaction from]]&amp;Transformation[[#This Row],[Commodity to]]&amp;Transformation[[#This Row],[Transaction to]]</f>
        <v>46940144694014</v>
      </c>
      <c r="BR383" s="26" t="str">
        <f>Transformation[[#This Row],[crfomid]]&amp;Transformation[[#This Row],[Transaction from]]&amp;"("&amp;Transformation[[#This Row],[Multiplier]]&amp;") -&gt; "&amp;Transformation[[#This Row],[ctoid]]&amp;Transformation[[#This Row],[Transaction to]]</f>
        <v>PK014(-1) -&gt; PK014</v>
      </c>
    </row>
    <row r="384" spans="25:70" x14ac:dyDescent="0.45">
      <c r="Y384" s="5" t="s">
        <v>1015</v>
      </c>
      <c r="Z384" s="7" t="s">
        <v>1055</v>
      </c>
      <c r="AA384" s="4" t="s">
        <v>1336</v>
      </c>
      <c r="AB384" s="19" t="s">
        <v>1598</v>
      </c>
      <c r="AC384" s="24" t="str">
        <f>IFERROR(VLOOKUP(Transactions[[#This Row],[Parent code]],Transactions[[Transaction code]:[Transaction name]],2,0),"")</f>
        <v>Electricity plants - other oil products</v>
      </c>
      <c r="AD384" s="4" t="s">
        <v>189</v>
      </c>
      <c r="AE384" s="4" t="s">
        <v>923</v>
      </c>
      <c r="AF384" s="4" t="s">
        <v>642</v>
      </c>
      <c r="AG384" s="4" t="s">
        <v>1</v>
      </c>
      <c r="AH384" s="4" t="s">
        <v>696</v>
      </c>
      <c r="AI384" s="12" t="s">
        <v>1416</v>
      </c>
      <c r="AK384" s="24" t="str" cm="1">
        <f t="array" ref="AK384">IFERROR(INDEX(Transactions[[Transaction code]:[Transaction name]],_xlfn.XMATCH(Transactions[[#This Row],[Parent code]],Transactions[Transaction name],0),3),Transactions[[#This Row],[Transaction name]])</f>
        <v>Electricity plants - Autoproducer - other oil products</v>
      </c>
      <c r="AL384" s="24" t="str" cm="1">
        <f t="array" ref="AL384">IFERROR(INDEX(Transactions[[Transaction code]:[Transaction name]],_xlfn.XMATCH(INDEX(Transactions[[Transaction name]:[Parent code]],_xlfn.XMATCH(Transactions[[#This Row],[L1N]],Transactions[Transaction name],0),3),Transactions[Transaction code],0),2),Transactions[[#This Row],[L1N]])</f>
        <v>Electricity plants - other oil products</v>
      </c>
      <c r="AM384" s="24" t="str" cm="1">
        <f t="array" ref="AM384">IFERROR(INDEX(Transactions[[Transaction code]:[Transaction name]],_xlfn.XMATCH(INDEX(Transactions[[Transaction name]:[Parent code]],_xlfn.XMATCH(Transactions[[#This Row],[L2N]],Transactions[Transaction name],0),3),Transactions[Transaction code],0),2),Transactions[[#This Row],[L2N]])</f>
        <v>Electricity plants</v>
      </c>
      <c r="AN384" s="24" t="str" cm="1">
        <f t="array" ref="AN384">IFERROR(INDEX(Transactions[[Transaction code]:[Transaction name]],_xlfn.XMATCH(INDEX(Transactions[[Transaction name]:[Parent code]],_xlfn.XMATCH(Transactions[[#This Row],[L3N]],Transactions[Transaction name],0),3),Transactions[Transaction code],0),2),Transactions[[#This Row],[L3N]])</f>
        <v>Electricity, CHP and heat plants (T)</v>
      </c>
      <c r="AO384" s="24" t="str" cm="1">
        <f t="array" ref="AO384">IFERROR(INDEX(Transactions[[Transaction code]:[Transaction name]],_xlfn.XMATCH(INDEX(Transactions[[Transaction name]:[Parent code]],_xlfn.XMATCH(Transactions[[#This Row],[L4N]],Transactions[Transaction name],0),3),Transactions[Transaction code],0),2),Transactions[[#This Row],[L4N]])</f>
        <v>Transformation</v>
      </c>
      <c r="AP384" s="24" t="str" cm="1">
        <f t="array" ref="AP384">IFERROR(INDEX(Transactions[[Transaction code]:[Transaction name]],_xlfn.XMATCH(INDEX(Transactions[[Transaction name]:[Parent code]],_xlfn.XMATCH(Transactions[[#This Row],[L5N]],Transactions[Transaction name],0),3),Transactions[Transaction code],0),2),Transactions[[#This Row],[L5N]])</f>
        <v>Transformation</v>
      </c>
      <c r="AQ384" s="24" t="str" cm="1">
        <f t="array" ref="AQ384">IFERROR(INDEX(Transactions[[Transaction code]:[Transaction name]],_xlfn.XMATCH(INDEX(Transactions[[Transaction name]:[Parent code]],_xlfn.XMATCH(Transactions[[#This Row],[L6N]],Transactions[Transaction name],0),3),Transactions[Transaction code],0),2),Transactions[[#This Row],[L6N]])</f>
        <v>Transformation</v>
      </c>
      <c r="AR384" s="28" t="str">
        <f>IF(Transactions[[#This Row],[L7N]]=Transactions[[#This Row],[L6N]],Transactions[[#This Row],[L7N]],IF(Transactions[[#This Row],[L6N]]=Transactions[[#This Row],[L5N]],Transactions[[#This Row],[L6N]],IF(Transactions[[#This Row],[L5N]]=Transactions[[#This Row],[L4N]],Transactions[[#This Row],[L5N]],IF(Transactions[[#This Row],[L4N]]=Transactions[[#This Row],[L3N]],Transactions[[#This Row],[L4N]],IF(Transactions[[#This Row],[L3N]]=Transactions[[#This Row],[L2N]],Transactions[[#This Row],[L3N]],IF(Transactions[[#This Row],[L2N]]=Transactions[[#This Row],[L1N]],Transactions[[#This Row],[L2N]],IF(Transactions[[#This Row],[L1N]]=Transactions[[#This Row],[Transaction name]],Transactions[[#This Row],[L1N]],Transactions[[#This Row],[Transaction name]])))))))</f>
        <v>Transformation</v>
      </c>
      <c r="AS384" s="24" t="str">
        <f>IF(Transactions[[#This Row],[Level 0]]=Transactions[[#This Row],[Transaction name]],Transactions[[#This Row],[Transaction name]],IF(Transactions[[#This Row],[Level 0]]=Transactions[[#This Row],[L1N]],Transactions[[#This Row],[Transaction name]],IF(Transactions[[#This Row],[Level 0]]=Transactions[[#This Row],[L2N]],Transactions[[#This Row],[L1N]],IF(Transactions[[#This Row],[Level 0]]=Transactions[[#This Row],[L3N]],Transactions[[#This Row],[L2N]],IF(Transactions[[#This Row],[Level 0]]=Transactions[[#This Row],[L4N]],Transactions[[#This Row],[L3N]],IF(Transactions[[#This Row],[Level 0]]=Transactions[[#This Row],[L5N]],Transactions[[#This Row],[L4N]],IF(Transactions[[#This Row],[Level 0]]=Transactions[[#This Row],[L6N]],Transactions[[#This Row],[L5N]],IF(Transactions[[#This Row],[Level 0]]=Transactions[[#This Row],[L7N]],Transactions[[#This Row],[L6N]],Transactions[[#This Row],[L7N]]))))))))</f>
        <v>Electricity, CHP and heat plants (T)</v>
      </c>
      <c r="AT384" s="24" t="str">
        <f>IF(Transactions[[#This Row],[Level 1]]=Transactions[[#This Row],[Transaction name]],Transactions[[#This Row],[Transaction name]],IF(Transactions[[#This Row],[Level 1]]=Transactions[[#This Row],[L1N]],Transactions[[#This Row],[Transaction name]],IF(Transactions[[#This Row],[Level 1]]=Transactions[[#This Row],[L2N]],Transactions[[#This Row],[L1N]],IF(Transactions[[#This Row],[Level 1]]=Transactions[[#This Row],[L3N]],Transactions[[#This Row],[L2N]],IF(Transactions[[#This Row],[Level 1]]=Transactions[[#This Row],[L4N]],Transactions[[#This Row],[L3N]],IF(Transactions[[#This Row],[Level 1]]=Transactions[[#This Row],[L5N]],Transactions[[#This Row],[L4N]],IF(Transactions[[#This Row],[Level 1]]=Transactions[[#This Row],[L6N]],Transactions[[#This Row],[L5N]],IF(Transactions[[#This Row],[Level 1]]=Transactions[[#This Row],[L7N]],Transactions[[#This Row],[L6N]],Transactions[[#This Row],[L7N]]))))))))</f>
        <v>Electricity plants</v>
      </c>
      <c r="AU384" s="24" t="str">
        <f>IF(Transactions[[#This Row],[Level 2]]=Transactions[[#This Row],[Transaction name]],Transactions[[#This Row],[Transaction name]],IF(Transactions[[#This Row],[Level 2]]=Transactions[[#This Row],[L1N]],Transactions[[#This Row],[Transaction name]],IF(Transactions[[#This Row],[Level 2]]=Transactions[[#This Row],[L2N]],Transactions[[#This Row],[L1N]],IF(Transactions[[#This Row],[Level 2]]=Transactions[[#This Row],[L3N]],Transactions[[#This Row],[L2N]],IF(Transactions[[#This Row],[Level 2]]=Transactions[[#This Row],[L4N]],Transactions[[#This Row],[L3N]],IF(Transactions[[#This Row],[Level 2]]=Transactions[[#This Row],[L5N]],Transactions[[#This Row],[L4N]],IF(Transactions[[#This Row],[Level 2]]=Transactions[[#This Row],[L6N]],Transactions[[#This Row],[L5N]],IF(Transactions[[#This Row],[Level 2]]=Transactions[[#This Row],[L7N]],Transactions[[#This Row],[L6N]],Transactions[[#This Row],[L7N]]))))))))</f>
        <v>Electricity plants - other oil products</v>
      </c>
      <c r="AV384" s="24" t="str">
        <f>IF(Transactions[[#This Row],[Level 3]]=Transactions[[#This Row],[Transaction name]],Transactions[[#This Row],[Transaction name]],IF(Transactions[[#This Row],[Level 3]]=Transactions[[#This Row],[L1N]],Transactions[[#This Row],[Transaction name]],IF(Transactions[[#This Row],[Level 3]]=Transactions[[#This Row],[L2N]],Transactions[[#This Row],[L1N]],IF(Transactions[[#This Row],[Level 3]]=Transactions[[#This Row],[L3N]],Transactions[[#This Row],[L2N]],IF(Transactions[[#This Row],[Level 3]]=Transactions[[#This Row],[L4N]],Transactions[[#This Row],[L3N]],IF(Transactions[[#This Row],[Level 3]]=Transactions[[#This Row],[L5N]],Transactions[[#This Row],[L4N]],IF(Transactions[[#This Row],[Level 3]]=Transactions[[#This Row],[L6N]],Transactions[[#This Row],[L5N]],IF(Transactions[[#This Row],[Level 3]]=Transactions[[#This Row],[L7N]],Transactions[[#This Row],[L6N]],Transactions[[#This Row],[L7N]]))))))))</f>
        <v>Electricity plants - Autoproducer - other oil products</v>
      </c>
      <c r="AW384" s="24" t="str">
        <f>IF(Transactions[[#This Row],[Level 4]]=Transactions[[#This Row],[Transaction name]],Transactions[[#This Row],[Transaction name]],IF(Transactions[[#This Row],[Level 4]]=Transactions[[#This Row],[L1N]],Transactions[[#This Row],[Transaction name]],IF(Transactions[[#This Row],[Level 4]]=Transactions[[#This Row],[L2N]],Transactions[[#This Row],[L1N]],IF(Transactions[[#This Row],[Level 4]]=Transactions[[#This Row],[L3N]],Transactions[[#This Row],[L2N]],IF(Transactions[[#This Row],[Level 4]]=Transactions[[#This Row],[L4N]],Transactions[[#This Row],[L3N]],IF(Transactions[[#This Row],[Level 4]]=Transactions[[#This Row],[L5N]],Transactions[[#This Row],[L4N]],IF(Transactions[[#This Row],[Level 4]]=Transactions[[#This Row],[L6N]],Transactions[[#This Row],[L5N]],IF(Transactions[[#This Row],[Level 4]]=Transactions[[#This Row],[L7N]],Transactions[[#This Row],[L6N]],Transactions[[#This Row],[L7N]]))))))))</f>
        <v>Electricity plants - Autoproducer - other oil products</v>
      </c>
      <c r="AX384" s="24" t="str">
        <f>IF(Transactions[[#This Row],[Level 5]]=Transactions[[#This Row],[Transaction name]],Transactions[[#This Row],[Transaction name]],IF(Transactions[[#This Row],[Level 5]]=Transactions[[#This Row],[L1N]],Transactions[[#This Row],[Transaction name]],IF(Transactions[[#This Row],[Level 5]]=Transactions[[#This Row],[L2N]],Transactions[[#This Row],[L1N]],IF(Transactions[[#This Row],[Level 5]]=Transactions[[#This Row],[L3N]],Transactions[[#This Row],[L2N]],IF(Transactions[[#This Row],[Level 5]]=Transactions[[#This Row],[L4N]],Transactions[[#This Row],[L3N]],IF(Transactions[[#This Row],[Level 5]]=Transactions[[#This Row],[L5N]],Transactions[[#This Row],[L4N]],IF(Transactions[[#This Row],[Level 5]]=Transactions[[#This Row],[L6N]],Transactions[[#This Row],[L5N]],IF(Transactions[[#This Row],[Level 5]]=Transactions[[#This Row],[L7N]],Transactions[[#This Row],[L6N]],Transactions[[#This Row],[L7N]]))))))))</f>
        <v>Electricity plants - Autoproducer - other oil products</v>
      </c>
      <c r="AY384" s="24" t="str">
        <f>IF(Transactions[[#This Row],[Level 6]]=Transactions[[#This Row],[Transaction name]],Transactions[[#This Row],[Transaction name]],IF(Transactions[[#This Row],[Level 6]]=Transactions[[#This Row],[L1N]],Transactions[[#This Row],[Transaction name]],IF(Transactions[[#This Row],[Level 6]]=Transactions[[#This Row],[L2N]],Transactions[[#This Row],[L1N]],IF(Transactions[[#This Row],[Level 6]]=Transactions[[#This Row],[L3N]],Transactions[[#This Row],[L2N]],IF(Transactions[[#This Row],[Level 6]]=Transactions[[#This Row],[L4N]],Transactions[[#This Row],[L3N]],IF(Transactions[[#This Row],[Level 6]]=Transactions[[#This Row],[L5N]],Transactions[[#This Row],[L4N]],IF(Transactions[[#This Row],[Level 6]]=Transactions[[#This Row],[L6N]],Transactions[[#This Row],[L5N]],IF(Transactions[[#This Row],[Level 6]]=Transactions[[#This Row],[L7N]],Transactions[[#This Row],[L6N]],Transactions[[#This Row],[L7N]]))))))))</f>
        <v>Electricity plants - Autoproducer - other oil products</v>
      </c>
      <c r="BE384" s="26" t="str">
        <f>_xlfn.XLOOKUP(Transformation[[#This Row],[cfrom]],Commodities[Commodity],Commodities[Commodity code])</f>
        <v>4699</v>
      </c>
      <c r="BF384" s="26" t="str">
        <f>_xlfn.XLOOKUP(Transformation[[#This Row],[tfrom]],Transactions[Transaction name],Transactions[Transaction code])</f>
        <v>014</v>
      </c>
      <c r="BG384" s="26" t="str">
        <f>_xlfn.XLOOKUP(Transformation[[#This Row],[cto]],Commodities[Commodity],Commodities[Commodity code])</f>
        <v>4699</v>
      </c>
      <c r="BH384" s="26" t="str">
        <f>_xlfn.XLOOKUP(Transformation[[#This Row],[tto]],Transactions[Transaction name],Transactions[Transaction code])</f>
        <v>087</v>
      </c>
      <c r="BI384" s="31">
        <v>1</v>
      </c>
      <c r="BJ384" s="22" t="s">
        <v>348</v>
      </c>
      <c r="BK384" s="26" t="str">
        <f>_xlfn.XLOOKUP(Transformation[[#This Row],[Commodity from]],Commodities[Commodity code],Commodities[EnergyCode])</f>
        <v>PP</v>
      </c>
      <c r="BL384" s="22" t="s">
        <v>370</v>
      </c>
      <c r="BM384" s="22" t="s">
        <v>348</v>
      </c>
      <c r="BN384" s="26" t="str">
        <f>_xlfn.XLOOKUP(Transformation[[#This Row],[Commodity to]],Commodities[Commodity code],Commodities[EnergyCode])</f>
        <v>PP</v>
      </c>
      <c r="BO384" s="22" t="s">
        <v>729</v>
      </c>
      <c r="BP384" s="22" t="s">
        <v>1688</v>
      </c>
      <c r="BQ384" s="33" t="str">
        <f>Transformation[[#This Row],[Commodity from]]&amp;Transformation[[#This Row],[Transaction from]]&amp;Transformation[[#This Row],[Commodity to]]&amp;Transformation[[#This Row],[Transaction to]]</f>
        <v>46990144699087</v>
      </c>
      <c r="BR384" s="26" t="str">
        <f>Transformation[[#This Row],[crfomid]]&amp;Transformation[[#This Row],[Transaction from]]&amp;"("&amp;Transformation[[#This Row],[Multiplier]]&amp;") -&gt; "&amp;Transformation[[#This Row],[ctoid]]&amp;Transformation[[#This Row],[Transaction to]]</f>
        <v>PP014(1) -&gt; PP087</v>
      </c>
    </row>
    <row r="385" spans="25:70" x14ac:dyDescent="0.45">
      <c r="Y385" s="5" t="s">
        <v>1011</v>
      </c>
      <c r="Z385" s="7" t="s">
        <v>1051</v>
      </c>
      <c r="AA385" s="4" t="s">
        <v>1336</v>
      </c>
      <c r="AB385" s="19" t="s">
        <v>1598</v>
      </c>
      <c r="AC385" s="24" t="str">
        <f>IFERROR(VLOOKUP(Transactions[[#This Row],[Parent code]],Transactions[[Transaction code]:[Transaction name]],2,0),"")</f>
        <v>Electricity plants - other oil products</v>
      </c>
      <c r="AD385" s="4" t="s">
        <v>189</v>
      </c>
      <c r="AE385" s="4" t="s">
        <v>923</v>
      </c>
      <c r="AF385" s="4" t="s">
        <v>642</v>
      </c>
      <c r="AG385" s="4" t="s">
        <v>1</v>
      </c>
      <c r="AH385" s="4" t="s">
        <v>696</v>
      </c>
      <c r="AI385" s="12" t="s">
        <v>1416</v>
      </c>
      <c r="AK385" s="24" t="str" cm="1">
        <f t="array" ref="AK385">IFERROR(INDEX(Transactions[[Transaction code]:[Transaction name]],_xlfn.XMATCH(Transactions[[#This Row],[Parent code]],Transactions[Transaction name],0),3),Transactions[[#This Row],[Transaction name]])</f>
        <v>Electricity plants - Main activity - other oil products</v>
      </c>
      <c r="AL385" s="24" t="str" cm="1">
        <f t="array" ref="AL385">IFERROR(INDEX(Transactions[[Transaction code]:[Transaction name]],_xlfn.XMATCH(INDEX(Transactions[[Transaction name]:[Parent code]],_xlfn.XMATCH(Transactions[[#This Row],[L1N]],Transactions[Transaction name],0),3),Transactions[Transaction code],0),2),Transactions[[#This Row],[L1N]])</f>
        <v>Electricity plants - other oil products</v>
      </c>
      <c r="AM385" s="24" t="str" cm="1">
        <f t="array" ref="AM385">IFERROR(INDEX(Transactions[[Transaction code]:[Transaction name]],_xlfn.XMATCH(INDEX(Transactions[[Transaction name]:[Parent code]],_xlfn.XMATCH(Transactions[[#This Row],[L2N]],Transactions[Transaction name],0),3),Transactions[Transaction code],0),2),Transactions[[#This Row],[L2N]])</f>
        <v>Electricity plants</v>
      </c>
      <c r="AN385" s="24" t="str" cm="1">
        <f t="array" ref="AN385">IFERROR(INDEX(Transactions[[Transaction code]:[Transaction name]],_xlfn.XMATCH(INDEX(Transactions[[Transaction name]:[Parent code]],_xlfn.XMATCH(Transactions[[#This Row],[L3N]],Transactions[Transaction name],0),3),Transactions[Transaction code],0),2),Transactions[[#This Row],[L3N]])</f>
        <v>Electricity, CHP and heat plants (T)</v>
      </c>
      <c r="AO385" s="24" t="str" cm="1">
        <f t="array" ref="AO385">IFERROR(INDEX(Transactions[[Transaction code]:[Transaction name]],_xlfn.XMATCH(INDEX(Transactions[[Transaction name]:[Parent code]],_xlfn.XMATCH(Transactions[[#This Row],[L4N]],Transactions[Transaction name],0),3),Transactions[Transaction code],0),2),Transactions[[#This Row],[L4N]])</f>
        <v>Transformation</v>
      </c>
      <c r="AP385" s="24" t="str" cm="1">
        <f t="array" ref="AP385">IFERROR(INDEX(Transactions[[Transaction code]:[Transaction name]],_xlfn.XMATCH(INDEX(Transactions[[Transaction name]:[Parent code]],_xlfn.XMATCH(Transactions[[#This Row],[L5N]],Transactions[Transaction name],0),3),Transactions[Transaction code],0),2),Transactions[[#This Row],[L5N]])</f>
        <v>Transformation</v>
      </c>
      <c r="AQ385" s="24" t="str" cm="1">
        <f t="array" ref="AQ385">IFERROR(INDEX(Transactions[[Transaction code]:[Transaction name]],_xlfn.XMATCH(INDEX(Transactions[[Transaction name]:[Parent code]],_xlfn.XMATCH(Transactions[[#This Row],[L6N]],Transactions[Transaction name],0),3),Transactions[Transaction code],0),2),Transactions[[#This Row],[L6N]])</f>
        <v>Transformation</v>
      </c>
      <c r="AR385" s="28" t="str">
        <f>IF(Transactions[[#This Row],[L7N]]=Transactions[[#This Row],[L6N]],Transactions[[#This Row],[L7N]],IF(Transactions[[#This Row],[L6N]]=Transactions[[#This Row],[L5N]],Transactions[[#This Row],[L6N]],IF(Transactions[[#This Row],[L5N]]=Transactions[[#This Row],[L4N]],Transactions[[#This Row],[L5N]],IF(Transactions[[#This Row],[L4N]]=Transactions[[#This Row],[L3N]],Transactions[[#This Row],[L4N]],IF(Transactions[[#This Row],[L3N]]=Transactions[[#This Row],[L2N]],Transactions[[#This Row],[L3N]],IF(Transactions[[#This Row],[L2N]]=Transactions[[#This Row],[L1N]],Transactions[[#This Row],[L2N]],IF(Transactions[[#This Row],[L1N]]=Transactions[[#This Row],[Transaction name]],Transactions[[#This Row],[L1N]],Transactions[[#This Row],[Transaction name]])))))))</f>
        <v>Transformation</v>
      </c>
      <c r="AS385" s="24" t="str">
        <f>IF(Transactions[[#This Row],[Level 0]]=Transactions[[#This Row],[Transaction name]],Transactions[[#This Row],[Transaction name]],IF(Transactions[[#This Row],[Level 0]]=Transactions[[#This Row],[L1N]],Transactions[[#This Row],[Transaction name]],IF(Transactions[[#This Row],[Level 0]]=Transactions[[#This Row],[L2N]],Transactions[[#This Row],[L1N]],IF(Transactions[[#This Row],[Level 0]]=Transactions[[#This Row],[L3N]],Transactions[[#This Row],[L2N]],IF(Transactions[[#This Row],[Level 0]]=Transactions[[#This Row],[L4N]],Transactions[[#This Row],[L3N]],IF(Transactions[[#This Row],[Level 0]]=Transactions[[#This Row],[L5N]],Transactions[[#This Row],[L4N]],IF(Transactions[[#This Row],[Level 0]]=Transactions[[#This Row],[L6N]],Transactions[[#This Row],[L5N]],IF(Transactions[[#This Row],[Level 0]]=Transactions[[#This Row],[L7N]],Transactions[[#This Row],[L6N]],Transactions[[#This Row],[L7N]]))))))))</f>
        <v>Electricity, CHP and heat plants (T)</v>
      </c>
      <c r="AT385" s="24" t="str">
        <f>IF(Transactions[[#This Row],[Level 1]]=Transactions[[#This Row],[Transaction name]],Transactions[[#This Row],[Transaction name]],IF(Transactions[[#This Row],[Level 1]]=Transactions[[#This Row],[L1N]],Transactions[[#This Row],[Transaction name]],IF(Transactions[[#This Row],[Level 1]]=Transactions[[#This Row],[L2N]],Transactions[[#This Row],[L1N]],IF(Transactions[[#This Row],[Level 1]]=Transactions[[#This Row],[L3N]],Transactions[[#This Row],[L2N]],IF(Transactions[[#This Row],[Level 1]]=Transactions[[#This Row],[L4N]],Transactions[[#This Row],[L3N]],IF(Transactions[[#This Row],[Level 1]]=Transactions[[#This Row],[L5N]],Transactions[[#This Row],[L4N]],IF(Transactions[[#This Row],[Level 1]]=Transactions[[#This Row],[L6N]],Transactions[[#This Row],[L5N]],IF(Transactions[[#This Row],[Level 1]]=Transactions[[#This Row],[L7N]],Transactions[[#This Row],[L6N]],Transactions[[#This Row],[L7N]]))))))))</f>
        <v>Electricity plants</v>
      </c>
      <c r="AU385" s="24" t="str">
        <f>IF(Transactions[[#This Row],[Level 2]]=Transactions[[#This Row],[Transaction name]],Transactions[[#This Row],[Transaction name]],IF(Transactions[[#This Row],[Level 2]]=Transactions[[#This Row],[L1N]],Transactions[[#This Row],[Transaction name]],IF(Transactions[[#This Row],[Level 2]]=Transactions[[#This Row],[L2N]],Transactions[[#This Row],[L1N]],IF(Transactions[[#This Row],[Level 2]]=Transactions[[#This Row],[L3N]],Transactions[[#This Row],[L2N]],IF(Transactions[[#This Row],[Level 2]]=Transactions[[#This Row],[L4N]],Transactions[[#This Row],[L3N]],IF(Transactions[[#This Row],[Level 2]]=Transactions[[#This Row],[L5N]],Transactions[[#This Row],[L4N]],IF(Transactions[[#This Row],[Level 2]]=Transactions[[#This Row],[L6N]],Transactions[[#This Row],[L5N]],IF(Transactions[[#This Row],[Level 2]]=Transactions[[#This Row],[L7N]],Transactions[[#This Row],[L6N]],Transactions[[#This Row],[L7N]]))))))))</f>
        <v>Electricity plants - other oil products</v>
      </c>
      <c r="AV385" s="24" t="str">
        <f>IF(Transactions[[#This Row],[Level 3]]=Transactions[[#This Row],[Transaction name]],Transactions[[#This Row],[Transaction name]],IF(Transactions[[#This Row],[Level 3]]=Transactions[[#This Row],[L1N]],Transactions[[#This Row],[Transaction name]],IF(Transactions[[#This Row],[Level 3]]=Transactions[[#This Row],[L2N]],Transactions[[#This Row],[L1N]],IF(Transactions[[#This Row],[Level 3]]=Transactions[[#This Row],[L3N]],Transactions[[#This Row],[L2N]],IF(Transactions[[#This Row],[Level 3]]=Transactions[[#This Row],[L4N]],Transactions[[#This Row],[L3N]],IF(Transactions[[#This Row],[Level 3]]=Transactions[[#This Row],[L5N]],Transactions[[#This Row],[L4N]],IF(Transactions[[#This Row],[Level 3]]=Transactions[[#This Row],[L6N]],Transactions[[#This Row],[L5N]],IF(Transactions[[#This Row],[Level 3]]=Transactions[[#This Row],[L7N]],Transactions[[#This Row],[L6N]],Transactions[[#This Row],[L7N]]))))))))</f>
        <v>Electricity plants - Main activity - other oil products</v>
      </c>
      <c r="AW385" s="24" t="str">
        <f>IF(Transactions[[#This Row],[Level 4]]=Transactions[[#This Row],[Transaction name]],Transactions[[#This Row],[Transaction name]],IF(Transactions[[#This Row],[Level 4]]=Transactions[[#This Row],[L1N]],Transactions[[#This Row],[Transaction name]],IF(Transactions[[#This Row],[Level 4]]=Transactions[[#This Row],[L2N]],Transactions[[#This Row],[L1N]],IF(Transactions[[#This Row],[Level 4]]=Transactions[[#This Row],[L3N]],Transactions[[#This Row],[L2N]],IF(Transactions[[#This Row],[Level 4]]=Transactions[[#This Row],[L4N]],Transactions[[#This Row],[L3N]],IF(Transactions[[#This Row],[Level 4]]=Transactions[[#This Row],[L5N]],Transactions[[#This Row],[L4N]],IF(Transactions[[#This Row],[Level 4]]=Transactions[[#This Row],[L6N]],Transactions[[#This Row],[L5N]],IF(Transactions[[#This Row],[Level 4]]=Transactions[[#This Row],[L7N]],Transactions[[#This Row],[L6N]],Transactions[[#This Row],[L7N]]))))))))</f>
        <v>Electricity plants - Main activity - other oil products</v>
      </c>
      <c r="AX385" s="24" t="str">
        <f>IF(Transactions[[#This Row],[Level 5]]=Transactions[[#This Row],[Transaction name]],Transactions[[#This Row],[Transaction name]],IF(Transactions[[#This Row],[Level 5]]=Transactions[[#This Row],[L1N]],Transactions[[#This Row],[Transaction name]],IF(Transactions[[#This Row],[Level 5]]=Transactions[[#This Row],[L2N]],Transactions[[#This Row],[L1N]],IF(Transactions[[#This Row],[Level 5]]=Transactions[[#This Row],[L3N]],Transactions[[#This Row],[L2N]],IF(Transactions[[#This Row],[Level 5]]=Transactions[[#This Row],[L4N]],Transactions[[#This Row],[L3N]],IF(Transactions[[#This Row],[Level 5]]=Transactions[[#This Row],[L5N]],Transactions[[#This Row],[L4N]],IF(Transactions[[#This Row],[Level 5]]=Transactions[[#This Row],[L6N]],Transactions[[#This Row],[L5N]],IF(Transactions[[#This Row],[Level 5]]=Transactions[[#This Row],[L7N]],Transactions[[#This Row],[L6N]],Transactions[[#This Row],[L7N]]))))))))</f>
        <v>Electricity plants - Main activity - other oil products</v>
      </c>
      <c r="AY385" s="24" t="str">
        <f>IF(Transactions[[#This Row],[Level 6]]=Transactions[[#This Row],[Transaction name]],Transactions[[#This Row],[Transaction name]],IF(Transactions[[#This Row],[Level 6]]=Transactions[[#This Row],[L1N]],Transactions[[#This Row],[Transaction name]],IF(Transactions[[#This Row],[Level 6]]=Transactions[[#This Row],[L2N]],Transactions[[#This Row],[L1N]],IF(Transactions[[#This Row],[Level 6]]=Transactions[[#This Row],[L3N]],Transactions[[#This Row],[L2N]],IF(Transactions[[#This Row],[Level 6]]=Transactions[[#This Row],[L4N]],Transactions[[#This Row],[L3N]],IF(Transactions[[#This Row],[Level 6]]=Transactions[[#This Row],[L5N]],Transactions[[#This Row],[L4N]],IF(Transactions[[#This Row],[Level 6]]=Transactions[[#This Row],[L6N]],Transactions[[#This Row],[L5N]],IF(Transactions[[#This Row],[Level 6]]=Transactions[[#This Row],[L7N]],Transactions[[#This Row],[L6N]],Transactions[[#This Row],[L7N]]))))))))</f>
        <v>Electricity plants - Main activity - other oil products</v>
      </c>
      <c r="BE385" s="26" t="str">
        <f>_xlfn.XLOOKUP(Transformation[[#This Row],[cfrom]],Commodities[Commodity],Commodities[Commodity code])</f>
        <v>4699</v>
      </c>
      <c r="BF385" s="26" t="str">
        <f>_xlfn.XLOOKUP(Transformation[[#This Row],[tfrom]],Transactions[Transaction name],Transactions[Transaction code])</f>
        <v>014</v>
      </c>
      <c r="BG385" s="26" t="str">
        <f>_xlfn.XLOOKUP(Transformation[[#This Row],[cto]],Commodities[Commodity],Commodities[Commodity code])</f>
        <v>4699</v>
      </c>
      <c r="BH385" s="26" t="str">
        <f>_xlfn.XLOOKUP(Transformation[[#This Row],[tto]],Transactions[Transaction name],Transactions[Transaction code])</f>
        <v>014</v>
      </c>
      <c r="BI385" s="31">
        <v>-1</v>
      </c>
      <c r="BJ385" s="22" t="s">
        <v>348</v>
      </c>
      <c r="BK385" s="26" t="str">
        <f>_xlfn.XLOOKUP(Transformation[[#This Row],[Commodity from]],Commodities[Commodity code],Commodities[EnergyCode])</f>
        <v>PP</v>
      </c>
      <c r="BL385" s="22" t="s">
        <v>370</v>
      </c>
      <c r="BM385" s="22" t="s">
        <v>348</v>
      </c>
      <c r="BN385" s="26" t="str">
        <f>_xlfn.XLOOKUP(Transformation[[#This Row],[Commodity to]],Commodities[Commodity code],Commodities[EnergyCode])</f>
        <v>PP</v>
      </c>
      <c r="BO385" s="22" t="s">
        <v>370</v>
      </c>
      <c r="BP385" s="22" t="s">
        <v>1689</v>
      </c>
      <c r="BQ385" s="33" t="str">
        <f>Transformation[[#This Row],[Commodity from]]&amp;Transformation[[#This Row],[Transaction from]]&amp;Transformation[[#This Row],[Commodity to]]&amp;Transformation[[#This Row],[Transaction to]]</f>
        <v>46990144699014</v>
      </c>
      <c r="BR385" s="26" t="str">
        <f>Transformation[[#This Row],[crfomid]]&amp;Transformation[[#This Row],[Transaction from]]&amp;"("&amp;Transformation[[#This Row],[Multiplier]]&amp;") -&gt; "&amp;Transformation[[#This Row],[ctoid]]&amp;Transformation[[#This Row],[Transaction to]]</f>
        <v>PP014(-1) -&gt; PP014</v>
      </c>
    </row>
    <row r="386" spans="25:70" x14ac:dyDescent="0.45">
      <c r="Y386" s="19" t="s">
        <v>1598</v>
      </c>
      <c r="Z386" s="18" t="s">
        <v>1336</v>
      </c>
      <c r="AA386" s="18" t="s">
        <v>1336</v>
      </c>
      <c r="AB386" s="19" t="s">
        <v>1600</v>
      </c>
      <c r="AC386" s="26" t="str">
        <f>IFERROR(VLOOKUP(Transactions[[#This Row],[Parent code]],Transactions[[Transaction code]:[Transaction name]],2,0),"")</f>
        <v>Electricity plants</v>
      </c>
      <c r="AD386" s="18" t="s">
        <v>189</v>
      </c>
      <c r="AE386" s="18" t="s">
        <v>923</v>
      </c>
      <c r="AF386" s="18" t="s">
        <v>642</v>
      </c>
      <c r="AG386" s="18" t="s">
        <v>1</v>
      </c>
      <c r="AH386" s="18" t="s">
        <v>696</v>
      </c>
      <c r="AI386" s="18" t="s">
        <v>1416</v>
      </c>
      <c r="AJ386" s="18"/>
      <c r="AK386" s="26" t="str" cm="1">
        <f t="array" ref="AK386">IFERROR(INDEX(Transactions[[Transaction code]:[Transaction name]],_xlfn.XMATCH(Transactions[[#This Row],[Parent code]],Transactions[Transaction name],0),3),Transactions[[#This Row],[Transaction name]])</f>
        <v>Electricity plants - other oil products</v>
      </c>
      <c r="AL386" s="26" t="str" cm="1">
        <f t="array" ref="AL386">IFERROR(INDEX(Transactions[[Transaction code]:[Transaction name]],_xlfn.XMATCH(INDEX(Transactions[[Transaction name]:[Parent code]],_xlfn.XMATCH(Transactions[[#This Row],[L1N]],Transactions[Transaction name],0),3),Transactions[Transaction code],0),2),Transactions[[#This Row],[L1N]])</f>
        <v>Electricity plants</v>
      </c>
      <c r="AM386" s="26" t="str" cm="1">
        <f t="array" ref="AM386">IFERROR(INDEX(Transactions[[Transaction code]:[Transaction name]],_xlfn.XMATCH(INDEX(Transactions[[Transaction name]:[Parent code]],_xlfn.XMATCH(Transactions[[#This Row],[L2N]],Transactions[Transaction name],0),3),Transactions[Transaction code],0),2),Transactions[[#This Row],[L2N]])</f>
        <v>Electricity, CHP and heat plants (T)</v>
      </c>
      <c r="AN386" s="26" t="str" cm="1">
        <f t="array" ref="AN386">IFERROR(INDEX(Transactions[[Transaction code]:[Transaction name]],_xlfn.XMATCH(INDEX(Transactions[[Transaction name]:[Parent code]],_xlfn.XMATCH(Transactions[[#This Row],[L3N]],Transactions[Transaction name],0),3),Transactions[Transaction code],0),2),Transactions[[#This Row],[L3N]])</f>
        <v>Transformation</v>
      </c>
      <c r="AO386" s="26" t="str" cm="1">
        <f t="array" ref="AO386">IFERROR(INDEX(Transactions[[Transaction code]:[Transaction name]],_xlfn.XMATCH(INDEX(Transactions[[Transaction name]:[Parent code]],_xlfn.XMATCH(Transactions[[#This Row],[L4N]],Transactions[Transaction name],0),3),Transactions[Transaction code],0),2),Transactions[[#This Row],[L4N]])</f>
        <v>Transformation</v>
      </c>
      <c r="AP386" s="26" t="str" cm="1">
        <f t="array" ref="AP386">IFERROR(INDEX(Transactions[[Transaction code]:[Transaction name]],_xlfn.XMATCH(INDEX(Transactions[[Transaction name]:[Parent code]],_xlfn.XMATCH(Transactions[[#This Row],[L5N]],Transactions[Transaction name],0),3),Transactions[Transaction code],0),2),Transactions[[#This Row],[L5N]])</f>
        <v>Transformation</v>
      </c>
      <c r="AQ386" s="26" t="str" cm="1">
        <f t="array" ref="AQ386">IFERROR(INDEX(Transactions[[Transaction code]:[Transaction name]],_xlfn.XMATCH(INDEX(Transactions[[Transaction name]:[Parent code]],_xlfn.XMATCH(Transactions[[#This Row],[L6N]],Transactions[Transaction name],0),3),Transactions[Transaction code],0),2),Transactions[[#This Row],[L6N]])</f>
        <v>Transformation</v>
      </c>
      <c r="AR386" s="30" t="str">
        <f>IF(Transactions[[#This Row],[L7N]]=Transactions[[#This Row],[L6N]],Transactions[[#This Row],[L7N]],IF(Transactions[[#This Row],[L6N]]=Transactions[[#This Row],[L5N]],Transactions[[#This Row],[L6N]],IF(Transactions[[#This Row],[L5N]]=Transactions[[#This Row],[L4N]],Transactions[[#This Row],[L5N]],IF(Transactions[[#This Row],[L4N]]=Transactions[[#This Row],[L3N]],Transactions[[#This Row],[L4N]],IF(Transactions[[#This Row],[L3N]]=Transactions[[#This Row],[L2N]],Transactions[[#This Row],[L3N]],IF(Transactions[[#This Row],[L2N]]=Transactions[[#This Row],[L1N]],Transactions[[#This Row],[L2N]],IF(Transactions[[#This Row],[L1N]]=Transactions[[#This Row],[Transaction name]],Transactions[[#This Row],[L1N]],Transactions[[#This Row],[Transaction name]])))))))</f>
        <v>Transformation</v>
      </c>
      <c r="AS386" s="26" t="str">
        <f>IF(Transactions[[#This Row],[Level 0]]=Transactions[[#This Row],[Transaction name]],Transactions[[#This Row],[Transaction name]],IF(Transactions[[#This Row],[Level 0]]=Transactions[[#This Row],[L1N]],Transactions[[#This Row],[Transaction name]],IF(Transactions[[#This Row],[Level 0]]=Transactions[[#This Row],[L2N]],Transactions[[#This Row],[L1N]],IF(Transactions[[#This Row],[Level 0]]=Transactions[[#This Row],[L3N]],Transactions[[#This Row],[L2N]],IF(Transactions[[#This Row],[Level 0]]=Transactions[[#This Row],[L4N]],Transactions[[#This Row],[L3N]],IF(Transactions[[#This Row],[Level 0]]=Transactions[[#This Row],[L5N]],Transactions[[#This Row],[L4N]],IF(Transactions[[#This Row],[Level 0]]=Transactions[[#This Row],[L6N]],Transactions[[#This Row],[L5N]],IF(Transactions[[#This Row],[Level 0]]=Transactions[[#This Row],[L7N]],Transactions[[#This Row],[L6N]],Transactions[[#This Row],[L7N]]))))))))</f>
        <v>Electricity, CHP and heat plants (T)</v>
      </c>
      <c r="AT386" s="26" t="str">
        <f>IF(Transactions[[#This Row],[Level 1]]=Transactions[[#This Row],[Transaction name]],Transactions[[#This Row],[Transaction name]],IF(Transactions[[#This Row],[Level 1]]=Transactions[[#This Row],[L1N]],Transactions[[#This Row],[Transaction name]],IF(Transactions[[#This Row],[Level 1]]=Transactions[[#This Row],[L2N]],Transactions[[#This Row],[L1N]],IF(Transactions[[#This Row],[Level 1]]=Transactions[[#This Row],[L3N]],Transactions[[#This Row],[L2N]],IF(Transactions[[#This Row],[Level 1]]=Transactions[[#This Row],[L4N]],Transactions[[#This Row],[L3N]],IF(Transactions[[#This Row],[Level 1]]=Transactions[[#This Row],[L5N]],Transactions[[#This Row],[L4N]],IF(Transactions[[#This Row],[Level 1]]=Transactions[[#This Row],[L6N]],Transactions[[#This Row],[L5N]],IF(Transactions[[#This Row],[Level 1]]=Transactions[[#This Row],[L7N]],Transactions[[#This Row],[L6N]],Transactions[[#This Row],[L7N]]))))))))</f>
        <v>Electricity plants</v>
      </c>
      <c r="AU386" s="26" t="str">
        <f>IF(Transactions[[#This Row],[Level 2]]=Transactions[[#This Row],[Transaction name]],Transactions[[#This Row],[Transaction name]],IF(Transactions[[#This Row],[Level 2]]=Transactions[[#This Row],[L1N]],Transactions[[#This Row],[Transaction name]],IF(Transactions[[#This Row],[Level 2]]=Transactions[[#This Row],[L2N]],Transactions[[#This Row],[L1N]],IF(Transactions[[#This Row],[Level 2]]=Transactions[[#This Row],[L3N]],Transactions[[#This Row],[L2N]],IF(Transactions[[#This Row],[Level 2]]=Transactions[[#This Row],[L4N]],Transactions[[#This Row],[L3N]],IF(Transactions[[#This Row],[Level 2]]=Transactions[[#This Row],[L5N]],Transactions[[#This Row],[L4N]],IF(Transactions[[#This Row],[Level 2]]=Transactions[[#This Row],[L6N]],Transactions[[#This Row],[L5N]],IF(Transactions[[#This Row],[Level 2]]=Transactions[[#This Row],[L7N]],Transactions[[#This Row],[L6N]],Transactions[[#This Row],[L7N]]))))))))</f>
        <v>Electricity plants - other oil products</v>
      </c>
      <c r="AV386" s="26" t="str">
        <f>IF(Transactions[[#This Row],[Level 3]]=Transactions[[#This Row],[Transaction name]],Transactions[[#This Row],[Transaction name]],IF(Transactions[[#This Row],[Level 3]]=Transactions[[#This Row],[L1N]],Transactions[[#This Row],[Transaction name]],IF(Transactions[[#This Row],[Level 3]]=Transactions[[#This Row],[L2N]],Transactions[[#This Row],[L1N]],IF(Transactions[[#This Row],[Level 3]]=Transactions[[#This Row],[L3N]],Transactions[[#This Row],[L2N]],IF(Transactions[[#This Row],[Level 3]]=Transactions[[#This Row],[L4N]],Transactions[[#This Row],[L3N]],IF(Transactions[[#This Row],[Level 3]]=Transactions[[#This Row],[L5N]],Transactions[[#This Row],[L4N]],IF(Transactions[[#This Row],[Level 3]]=Transactions[[#This Row],[L6N]],Transactions[[#This Row],[L5N]],IF(Transactions[[#This Row],[Level 3]]=Transactions[[#This Row],[L7N]],Transactions[[#This Row],[L6N]],Transactions[[#This Row],[L7N]]))))))))</f>
        <v>Electricity plants - other oil products</v>
      </c>
      <c r="AW386" s="26" t="str">
        <f>IF(Transactions[[#This Row],[Level 4]]=Transactions[[#This Row],[Transaction name]],Transactions[[#This Row],[Transaction name]],IF(Transactions[[#This Row],[Level 4]]=Transactions[[#This Row],[L1N]],Transactions[[#This Row],[Transaction name]],IF(Transactions[[#This Row],[Level 4]]=Transactions[[#This Row],[L2N]],Transactions[[#This Row],[L1N]],IF(Transactions[[#This Row],[Level 4]]=Transactions[[#This Row],[L3N]],Transactions[[#This Row],[L2N]],IF(Transactions[[#This Row],[Level 4]]=Transactions[[#This Row],[L4N]],Transactions[[#This Row],[L3N]],IF(Transactions[[#This Row],[Level 4]]=Transactions[[#This Row],[L5N]],Transactions[[#This Row],[L4N]],IF(Transactions[[#This Row],[Level 4]]=Transactions[[#This Row],[L6N]],Transactions[[#This Row],[L5N]],IF(Transactions[[#This Row],[Level 4]]=Transactions[[#This Row],[L7N]],Transactions[[#This Row],[L6N]],Transactions[[#This Row],[L7N]]))))))))</f>
        <v>Electricity plants - other oil products</v>
      </c>
      <c r="AX386" s="26" t="str">
        <f>IF(Transactions[[#This Row],[Level 5]]=Transactions[[#This Row],[Transaction name]],Transactions[[#This Row],[Transaction name]],IF(Transactions[[#This Row],[Level 5]]=Transactions[[#This Row],[L1N]],Transactions[[#This Row],[Transaction name]],IF(Transactions[[#This Row],[Level 5]]=Transactions[[#This Row],[L2N]],Transactions[[#This Row],[L1N]],IF(Transactions[[#This Row],[Level 5]]=Transactions[[#This Row],[L3N]],Transactions[[#This Row],[L2N]],IF(Transactions[[#This Row],[Level 5]]=Transactions[[#This Row],[L4N]],Transactions[[#This Row],[L3N]],IF(Transactions[[#This Row],[Level 5]]=Transactions[[#This Row],[L5N]],Transactions[[#This Row],[L4N]],IF(Transactions[[#This Row],[Level 5]]=Transactions[[#This Row],[L6N]],Transactions[[#This Row],[L5N]],IF(Transactions[[#This Row],[Level 5]]=Transactions[[#This Row],[L7N]],Transactions[[#This Row],[L6N]],Transactions[[#This Row],[L7N]]))))))))</f>
        <v>Electricity plants - other oil products</v>
      </c>
      <c r="AY386" s="26" t="str">
        <f>IF(Transactions[[#This Row],[Level 6]]=Transactions[[#This Row],[Transaction name]],Transactions[[#This Row],[Transaction name]],IF(Transactions[[#This Row],[Level 6]]=Transactions[[#This Row],[L1N]],Transactions[[#This Row],[Transaction name]],IF(Transactions[[#This Row],[Level 6]]=Transactions[[#This Row],[L2N]],Transactions[[#This Row],[L1N]],IF(Transactions[[#This Row],[Level 6]]=Transactions[[#This Row],[L3N]],Transactions[[#This Row],[L2N]],IF(Transactions[[#This Row],[Level 6]]=Transactions[[#This Row],[L4N]],Transactions[[#This Row],[L3N]],IF(Transactions[[#This Row],[Level 6]]=Transactions[[#This Row],[L5N]],Transactions[[#This Row],[L4N]],IF(Transactions[[#This Row],[Level 6]]=Transactions[[#This Row],[L6N]],Transactions[[#This Row],[L5N]],IF(Transactions[[#This Row],[Level 6]]=Transactions[[#This Row],[L7N]],Transactions[[#This Row],[L6N]],Transactions[[#This Row],[L7N]]))))))))</f>
        <v>Electricity plants - other oil products</v>
      </c>
      <c r="BE386" s="26" t="str">
        <f>_xlfn.XLOOKUP(Transformation[[#This Row],[cfrom]],Commodities[Commodity],Commodities[Commodity code])</f>
        <v>4693</v>
      </c>
      <c r="BF386" s="26" t="str">
        <f>_xlfn.XLOOKUP(Transformation[[#This Row],[tfrom]],Transactions[Transaction name],Transactions[Transaction code])</f>
        <v>014</v>
      </c>
      <c r="BG386" s="26" t="str">
        <f>_xlfn.XLOOKUP(Transformation[[#This Row],[cto]],Commodities[Commodity],Commodities[Commodity code])</f>
        <v>4693</v>
      </c>
      <c r="BH386" s="26" t="str">
        <f>_xlfn.XLOOKUP(Transformation[[#This Row],[tto]],Transactions[Transaction name],Transactions[Transaction code])</f>
        <v>087</v>
      </c>
      <c r="BI386" s="31">
        <v>1</v>
      </c>
      <c r="BJ386" s="22" t="s">
        <v>356</v>
      </c>
      <c r="BK386" s="26" t="str">
        <f>_xlfn.XLOOKUP(Transformation[[#This Row],[Commodity from]],Commodities[Commodity code],Commodities[EnergyCode])</f>
        <v>PW</v>
      </c>
      <c r="BL386" s="22" t="s">
        <v>370</v>
      </c>
      <c r="BM386" s="22" t="s">
        <v>356</v>
      </c>
      <c r="BN386" s="26" t="str">
        <f>_xlfn.XLOOKUP(Transformation[[#This Row],[Commodity to]],Commodities[Commodity code],Commodities[EnergyCode])</f>
        <v>PW</v>
      </c>
      <c r="BO386" s="22" t="s">
        <v>729</v>
      </c>
      <c r="BP386" s="22" t="s">
        <v>1688</v>
      </c>
      <c r="BQ386" s="33" t="str">
        <f>Transformation[[#This Row],[Commodity from]]&amp;Transformation[[#This Row],[Transaction from]]&amp;Transformation[[#This Row],[Commodity to]]&amp;Transformation[[#This Row],[Transaction to]]</f>
        <v>46930144693087</v>
      </c>
      <c r="BR386" s="26" t="str">
        <f>Transformation[[#This Row],[crfomid]]&amp;Transformation[[#This Row],[Transaction from]]&amp;"("&amp;Transformation[[#This Row],[Multiplier]]&amp;") -&gt; "&amp;Transformation[[#This Row],[ctoid]]&amp;Transformation[[#This Row],[Transaction to]]</f>
        <v>PW014(1) -&gt; PW087</v>
      </c>
    </row>
    <row r="387" spans="25:70" x14ac:dyDescent="0.45">
      <c r="Y387" s="5" t="s">
        <v>1135</v>
      </c>
      <c r="Z387" s="7" t="s">
        <v>1127</v>
      </c>
      <c r="AA387" s="4" t="s">
        <v>1364</v>
      </c>
      <c r="AB387" s="19" t="s">
        <v>1581</v>
      </c>
      <c r="AC387" s="24" t="str">
        <f>IFERROR(VLOOKUP(Transactions[[#This Row],[Parent code]],Transactions[[Transaction code]:[Transaction name]],2,0),"")</f>
        <v>Electricity plants - other solid biofuels</v>
      </c>
      <c r="AD387" s="4" t="s">
        <v>189</v>
      </c>
      <c r="AE387" s="4" t="s">
        <v>923</v>
      </c>
      <c r="AF387" s="4" t="s">
        <v>642</v>
      </c>
      <c r="AG387" s="4" t="s">
        <v>1</v>
      </c>
      <c r="AH387" s="4" t="s">
        <v>696</v>
      </c>
      <c r="AI387" s="12" t="s">
        <v>1416</v>
      </c>
      <c r="AK387" s="24" t="str" cm="1">
        <f t="array" ref="AK387">IFERROR(INDEX(Transactions[[Transaction code]:[Transaction name]],_xlfn.XMATCH(Transactions[[#This Row],[Parent code]],Transactions[Transaction name],0),3),Transactions[[#This Row],[Transaction name]])</f>
        <v>Electricity plants - Autoproducer - other solid biofuels</v>
      </c>
      <c r="AL387" s="24" t="str" cm="1">
        <f t="array" ref="AL387">IFERROR(INDEX(Transactions[[Transaction code]:[Transaction name]],_xlfn.XMATCH(INDEX(Transactions[[Transaction name]:[Parent code]],_xlfn.XMATCH(Transactions[[#This Row],[L1N]],Transactions[Transaction name],0),3),Transactions[Transaction code],0),2),Transactions[[#This Row],[L1N]])</f>
        <v>Electricity plants - other solid biofuels</v>
      </c>
      <c r="AM387" s="24" t="str" cm="1">
        <f t="array" ref="AM387">IFERROR(INDEX(Transactions[[Transaction code]:[Transaction name]],_xlfn.XMATCH(INDEX(Transactions[[Transaction name]:[Parent code]],_xlfn.XMATCH(Transactions[[#This Row],[L2N]],Transactions[Transaction name],0),3),Transactions[Transaction code],0),2),Transactions[[#This Row],[L2N]])</f>
        <v>Electricity plants</v>
      </c>
      <c r="AN387" s="24" t="str" cm="1">
        <f t="array" ref="AN387">IFERROR(INDEX(Transactions[[Transaction code]:[Transaction name]],_xlfn.XMATCH(INDEX(Transactions[[Transaction name]:[Parent code]],_xlfn.XMATCH(Transactions[[#This Row],[L3N]],Transactions[Transaction name],0),3),Transactions[Transaction code],0),2),Transactions[[#This Row],[L3N]])</f>
        <v>Electricity, CHP and heat plants (T)</v>
      </c>
      <c r="AO387" s="24" t="str" cm="1">
        <f t="array" ref="AO387">IFERROR(INDEX(Transactions[[Transaction code]:[Transaction name]],_xlfn.XMATCH(INDEX(Transactions[[Transaction name]:[Parent code]],_xlfn.XMATCH(Transactions[[#This Row],[L4N]],Transactions[Transaction name],0),3),Transactions[Transaction code],0),2),Transactions[[#This Row],[L4N]])</f>
        <v>Transformation</v>
      </c>
      <c r="AP387" s="24" t="str" cm="1">
        <f t="array" ref="AP387">IFERROR(INDEX(Transactions[[Transaction code]:[Transaction name]],_xlfn.XMATCH(INDEX(Transactions[[Transaction name]:[Parent code]],_xlfn.XMATCH(Transactions[[#This Row],[L5N]],Transactions[Transaction name],0),3),Transactions[Transaction code],0),2),Transactions[[#This Row],[L5N]])</f>
        <v>Transformation</v>
      </c>
      <c r="AQ387" s="24" t="str" cm="1">
        <f t="array" ref="AQ387">IFERROR(INDEX(Transactions[[Transaction code]:[Transaction name]],_xlfn.XMATCH(INDEX(Transactions[[Transaction name]:[Parent code]],_xlfn.XMATCH(Transactions[[#This Row],[L6N]],Transactions[Transaction name],0),3),Transactions[Transaction code],0),2),Transactions[[#This Row],[L6N]])</f>
        <v>Transformation</v>
      </c>
      <c r="AR387" s="27" t="str">
        <f>IF(Transactions[[#This Row],[L7N]]=Transactions[[#This Row],[L6N]],Transactions[[#This Row],[L7N]],IF(Transactions[[#This Row],[L6N]]=Transactions[[#This Row],[L5N]],Transactions[[#This Row],[L6N]],IF(Transactions[[#This Row],[L5N]]=Transactions[[#This Row],[L4N]],Transactions[[#This Row],[L5N]],IF(Transactions[[#This Row],[L4N]]=Transactions[[#This Row],[L3N]],Transactions[[#This Row],[L4N]],IF(Transactions[[#This Row],[L3N]]=Transactions[[#This Row],[L2N]],Transactions[[#This Row],[L3N]],IF(Transactions[[#This Row],[L2N]]=Transactions[[#This Row],[L1N]],Transactions[[#This Row],[L2N]],IF(Transactions[[#This Row],[L1N]]=Transactions[[#This Row],[Transaction name]],Transactions[[#This Row],[L1N]],Transactions[[#This Row],[Transaction name]])))))))</f>
        <v>Transformation</v>
      </c>
      <c r="AS387" s="24" t="str">
        <f>IF(Transactions[[#This Row],[Level 0]]=Transactions[[#This Row],[Transaction name]],Transactions[[#This Row],[Transaction name]],IF(Transactions[[#This Row],[Level 0]]=Transactions[[#This Row],[L1N]],Transactions[[#This Row],[Transaction name]],IF(Transactions[[#This Row],[Level 0]]=Transactions[[#This Row],[L2N]],Transactions[[#This Row],[L1N]],IF(Transactions[[#This Row],[Level 0]]=Transactions[[#This Row],[L3N]],Transactions[[#This Row],[L2N]],IF(Transactions[[#This Row],[Level 0]]=Transactions[[#This Row],[L4N]],Transactions[[#This Row],[L3N]],IF(Transactions[[#This Row],[Level 0]]=Transactions[[#This Row],[L5N]],Transactions[[#This Row],[L4N]],IF(Transactions[[#This Row],[Level 0]]=Transactions[[#This Row],[L6N]],Transactions[[#This Row],[L5N]],IF(Transactions[[#This Row],[Level 0]]=Transactions[[#This Row],[L7N]],Transactions[[#This Row],[L6N]],Transactions[[#This Row],[L7N]]))))))))</f>
        <v>Electricity, CHP and heat plants (T)</v>
      </c>
      <c r="AT387" s="24" t="str">
        <f>IF(Transactions[[#This Row],[Level 1]]=Transactions[[#This Row],[Transaction name]],Transactions[[#This Row],[Transaction name]],IF(Transactions[[#This Row],[Level 1]]=Transactions[[#This Row],[L1N]],Transactions[[#This Row],[Transaction name]],IF(Transactions[[#This Row],[Level 1]]=Transactions[[#This Row],[L2N]],Transactions[[#This Row],[L1N]],IF(Transactions[[#This Row],[Level 1]]=Transactions[[#This Row],[L3N]],Transactions[[#This Row],[L2N]],IF(Transactions[[#This Row],[Level 1]]=Transactions[[#This Row],[L4N]],Transactions[[#This Row],[L3N]],IF(Transactions[[#This Row],[Level 1]]=Transactions[[#This Row],[L5N]],Transactions[[#This Row],[L4N]],IF(Transactions[[#This Row],[Level 1]]=Transactions[[#This Row],[L6N]],Transactions[[#This Row],[L5N]],IF(Transactions[[#This Row],[Level 1]]=Transactions[[#This Row],[L7N]],Transactions[[#This Row],[L6N]],Transactions[[#This Row],[L7N]]))))))))</f>
        <v>Electricity plants</v>
      </c>
      <c r="AU387" s="24" t="str">
        <f>IF(Transactions[[#This Row],[Level 2]]=Transactions[[#This Row],[Transaction name]],Transactions[[#This Row],[Transaction name]],IF(Transactions[[#This Row],[Level 2]]=Transactions[[#This Row],[L1N]],Transactions[[#This Row],[Transaction name]],IF(Transactions[[#This Row],[Level 2]]=Transactions[[#This Row],[L2N]],Transactions[[#This Row],[L1N]],IF(Transactions[[#This Row],[Level 2]]=Transactions[[#This Row],[L3N]],Transactions[[#This Row],[L2N]],IF(Transactions[[#This Row],[Level 2]]=Transactions[[#This Row],[L4N]],Transactions[[#This Row],[L3N]],IF(Transactions[[#This Row],[Level 2]]=Transactions[[#This Row],[L5N]],Transactions[[#This Row],[L4N]],IF(Transactions[[#This Row],[Level 2]]=Transactions[[#This Row],[L6N]],Transactions[[#This Row],[L5N]],IF(Transactions[[#This Row],[Level 2]]=Transactions[[#This Row],[L7N]],Transactions[[#This Row],[L6N]],Transactions[[#This Row],[L7N]]))))))))</f>
        <v>Electricity plants - other solid biofuels</v>
      </c>
      <c r="AV387" s="24" t="str">
        <f>IF(Transactions[[#This Row],[Level 3]]=Transactions[[#This Row],[Transaction name]],Transactions[[#This Row],[Transaction name]],IF(Transactions[[#This Row],[Level 3]]=Transactions[[#This Row],[L1N]],Transactions[[#This Row],[Transaction name]],IF(Transactions[[#This Row],[Level 3]]=Transactions[[#This Row],[L2N]],Transactions[[#This Row],[L1N]],IF(Transactions[[#This Row],[Level 3]]=Transactions[[#This Row],[L3N]],Transactions[[#This Row],[L2N]],IF(Transactions[[#This Row],[Level 3]]=Transactions[[#This Row],[L4N]],Transactions[[#This Row],[L3N]],IF(Transactions[[#This Row],[Level 3]]=Transactions[[#This Row],[L5N]],Transactions[[#This Row],[L4N]],IF(Transactions[[#This Row],[Level 3]]=Transactions[[#This Row],[L6N]],Transactions[[#This Row],[L5N]],IF(Transactions[[#This Row],[Level 3]]=Transactions[[#This Row],[L7N]],Transactions[[#This Row],[L6N]],Transactions[[#This Row],[L7N]]))))))))</f>
        <v>Electricity plants - Autoproducer - other solid biofuels</v>
      </c>
      <c r="AW387" s="24" t="str">
        <f>IF(Transactions[[#This Row],[Level 4]]=Transactions[[#This Row],[Transaction name]],Transactions[[#This Row],[Transaction name]],IF(Transactions[[#This Row],[Level 4]]=Transactions[[#This Row],[L1N]],Transactions[[#This Row],[Transaction name]],IF(Transactions[[#This Row],[Level 4]]=Transactions[[#This Row],[L2N]],Transactions[[#This Row],[L1N]],IF(Transactions[[#This Row],[Level 4]]=Transactions[[#This Row],[L3N]],Transactions[[#This Row],[L2N]],IF(Transactions[[#This Row],[Level 4]]=Transactions[[#This Row],[L4N]],Transactions[[#This Row],[L3N]],IF(Transactions[[#This Row],[Level 4]]=Transactions[[#This Row],[L5N]],Transactions[[#This Row],[L4N]],IF(Transactions[[#This Row],[Level 4]]=Transactions[[#This Row],[L6N]],Transactions[[#This Row],[L5N]],IF(Transactions[[#This Row],[Level 4]]=Transactions[[#This Row],[L7N]],Transactions[[#This Row],[L6N]],Transactions[[#This Row],[L7N]]))))))))</f>
        <v>Electricity plants - Autoproducer - other solid biofuels</v>
      </c>
      <c r="AX387" s="24" t="str">
        <f>IF(Transactions[[#This Row],[Level 5]]=Transactions[[#This Row],[Transaction name]],Transactions[[#This Row],[Transaction name]],IF(Transactions[[#This Row],[Level 5]]=Transactions[[#This Row],[L1N]],Transactions[[#This Row],[Transaction name]],IF(Transactions[[#This Row],[Level 5]]=Transactions[[#This Row],[L2N]],Transactions[[#This Row],[L1N]],IF(Transactions[[#This Row],[Level 5]]=Transactions[[#This Row],[L3N]],Transactions[[#This Row],[L2N]],IF(Transactions[[#This Row],[Level 5]]=Transactions[[#This Row],[L4N]],Transactions[[#This Row],[L3N]],IF(Transactions[[#This Row],[Level 5]]=Transactions[[#This Row],[L5N]],Transactions[[#This Row],[L4N]],IF(Transactions[[#This Row],[Level 5]]=Transactions[[#This Row],[L6N]],Transactions[[#This Row],[L5N]],IF(Transactions[[#This Row],[Level 5]]=Transactions[[#This Row],[L7N]],Transactions[[#This Row],[L6N]],Transactions[[#This Row],[L7N]]))))))))</f>
        <v>Electricity plants - Autoproducer - other solid biofuels</v>
      </c>
      <c r="AY387" s="24" t="str">
        <f>IF(Transactions[[#This Row],[Level 6]]=Transactions[[#This Row],[Transaction name]],Transactions[[#This Row],[Transaction name]],IF(Transactions[[#This Row],[Level 6]]=Transactions[[#This Row],[L1N]],Transactions[[#This Row],[Transaction name]],IF(Transactions[[#This Row],[Level 6]]=Transactions[[#This Row],[L2N]],Transactions[[#This Row],[L1N]],IF(Transactions[[#This Row],[Level 6]]=Transactions[[#This Row],[L3N]],Transactions[[#This Row],[L2N]],IF(Transactions[[#This Row],[Level 6]]=Transactions[[#This Row],[L4N]],Transactions[[#This Row],[L3N]],IF(Transactions[[#This Row],[Level 6]]=Transactions[[#This Row],[L5N]],Transactions[[#This Row],[L4N]],IF(Transactions[[#This Row],[Level 6]]=Transactions[[#This Row],[L6N]],Transactions[[#This Row],[L5N]],IF(Transactions[[#This Row],[Level 6]]=Transactions[[#This Row],[L7N]],Transactions[[#This Row],[L6N]],Transactions[[#This Row],[L7N]]))))))))</f>
        <v>Electricity plants - Autoproducer - other solid biofuels</v>
      </c>
      <c r="BE387" s="26" t="str">
        <f>_xlfn.XLOOKUP(Transformation[[#This Row],[cfrom]],Commodities[Commodity],Commodities[Commodity code])</f>
        <v>4693</v>
      </c>
      <c r="BF387" s="26" t="str">
        <f>_xlfn.XLOOKUP(Transformation[[#This Row],[tfrom]],Transactions[Transaction name],Transactions[Transaction code])</f>
        <v>014</v>
      </c>
      <c r="BG387" s="26" t="str">
        <f>_xlfn.XLOOKUP(Transformation[[#This Row],[cto]],Commodities[Commodity],Commodities[Commodity code])</f>
        <v>4693</v>
      </c>
      <c r="BH387" s="26" t="str">
        <f>_xlfn.XLOOKUP(Transformation[[#This Row],[tto]],Transactions[Transaction name],Transactions[Transaction code])</f>
        <v>014</v>
      </c>
      <c r="BI387" s="31">
        <v>-1</v>
      </c>
      <c r="BJ387" s="22" t="s">
        <v>356</v>
      </c>
      <c r="BK387" s="26" t="str">
        <f>_xlfn.XLOOKUP(Transformation[[#This Row],[Commodity from]],Commodities[Commodity code],Commodities[EnergyCode])</f>
        <v>PW</v>
      </c>
      <c r="BL387" s="22" t="s">
        <v>370</v>
      </c>
      <c r="BM387" s="22" t="s">
        <v>356</v>
      </c>
      <c r="BN387" s="26" t="str">
        <f>_xlfn.XLOOKUP(Transformation[[#This Row],[Commodity to]],Commodities[Commodity code],Commodities[EnergyCode])</f>
        <v>PW</v>
      </c>
      <c r="BO387" s="22" t="s">
        <v>370</v>
      </c>
      <c r="BP387" s="22" t="s">
        <v>1689</v>
      </c>
      <c r="BQ387" s="33" t="str">
        <f>Transformation[[#This Row],[Commodity from]]&amp;Transformation[[#This Row],[Transaction from]]&amp;Transformation[[#This Row],[Commodity to]]&amp;Transformation[[#This Row],[Transaction to]]</f>
        <v>46930144693014</v>
      </c>
      <c r="BR387" s="26" t="str">
        <f>Transformation[[#This Row],[crfomid]]&amp;Transformation[[#This Row],[Transaction from]]&amp;"("&amp;Transformation[[#This Row],[Multiplier]]&amp;") -&gt; "&amp;Transformation[[#This Row],[ctoid]]&amp;Transformation[[#This Row],[Transaction to]]</f>
        <v>PW014(-1) -&gt; PW014</v>
      </c>
    </row>
    <row r="388" spans="25:70" x14ac:dyDescent="0.45">
      <c r="Y388" s="5" t="s">
        <v>1131</v>
      </c>
      <c r="Z388" s="7" t="s">
        <v>1123</v>
      </c>
      <c r="AA388" s="4" t="s">
        <v>1364</v>
      </c>
      <c r="AB388" s="19" t="s">
        <v>1581</v>
      </c>
      <c r="AC388" s="24" t="str">
        <f>IFERROR(VLOOKUP(Transactions[[#This Row],[Parent code]],Transactions[[Transaction code]:[Transaction name]],2,0),"")</f>
        <v>Electricity plants - other solid biofuels</v>
      </c>
      <c r="AD388" s="4" t="s">
        <v>189</v>
      </c>
      <c r="AE388" s="4" t="s">
        <v>923</v>
      </c>
      <c r="AF388" s="4" t="s">
        <v>642</v>
      </c>
      <c r="AG388" s="4" t="s">
        <v>1</v>
      </c>
      <c r="AH388" s="4" t="s">
        <v>696</v>
      </c>
      <c r="AI388" s="12" t="s">
        <v>1416</v>
      </c>
      <c r="AK388" s="24" t="str" cm="1">
        <f t="array" ref="AK388">IFERROR(INDEX(Transactions[[Transaction code]:[Transaction name]],_xlfn.XMATCH(Transactions[[#This Row],[Parent code]],Transactions[Transaction name],0),3),Transactions[[#This Row],[Transaction name]])</f>
        <v>Electricity plants - Main activity - other solid biofuels</v>
      </c>
      <c r="AL388" s="24" t="str" cm="1">
        <f t="array" ref="AL388">IFERROR(INDEX(Transactions[[Transaction code]:[Transaction name]],_xlfn.XMATCH(INDEX(Transactions[[Transaction name]:[Parent code]],_xlfn.XMATCH(Transactions[[#This Row],[L1N]],Transactions[Transaction name],0),3),Transactions[Transaction code],0),2),Transactions[[#This Row],[L1N]])</f>
        <v>Electricity plants - other solid biofuels</v>
      </c>
      <c r="AM388" s="24" t="str" cm="1">
        <f t="array" ref="AM388">IFERROR(INDEX(Transactions[[Transaction code]:[Transaction name]],_xlfn.XMATCH(INDEX(Transactions[[Transaction name]:[Parent code]],_xlfn.XMATCH(Transactions[[#This Row],[L2N]],Transactions[Transaction name],0),3),Transactions[Transaction code],0),2),Transactions[[#This Row],[L2N]])</f>
        <v>Electricity plants</v>
      </c>
      <c r="AN388" s="24" t="str" cm="1">
        <f t="array" ref="AN388">IFERROR(INDEX(Transactions[[Transaction code]:[Transaction name]],_xlfn.XMATCH(INDEX(Transactions[[Transaction name]:[Parent code]],_xlfn.XMATCH(Transactions[[#This Row],[L3N]],Transactions[Transaction name],0),3),Transactions[Transaction code],0),2),Transactions[[#This Row],[L3N]])</f>
        <v>Electricity, CHP and heat plants (T)</v>
      </c>
      <c r="AO388" s="24" t="str" cm="1">
        <f t="array" ref="AO388">IFERROR(INDEX(Transactions[[Transaction code]:[Transaction name]],_xlfn.XMATCH(INDEX(Transactions[[Transaction name]:[Parent code]],_xlfn.XMATCH(Transactions[[#This Row],[L4N]],Transactions[Transaction name],0),3),Transactions[Transaction code],0),2),Transactions[[#This Row],[L4N]])</f>
        <v>Transformation</v>
      </c>
      <c r="AP388" s="24" t="str" cm="1">
        <f t="array" ref="AP388">IFERROR(INDEX(Transactions[[Transaction code]:[Transaction name]],_xlfn.XMATCH(INDEX(Transactions[[Transaction name]:[Parent code]],_xlfn.XMATCH(Transactions[[#This Row],[L5N]],Transactions[Transaction name],0),3),Transactions[Transaction code],0),2),Transactions[[#This Row],[L5N]])</f>
        <v>Transformation</v>
      </c>
      <c r="AQ388" s="24" t="str" cm="1">
        <f t="array" ref="AQ388">IFERROR(INDEX(Transactions[[Transaction code]:[Transaction name]],_xlfn.XMATCH(INDEX(Transactions[[Transaction name]:[Parent code]],_xlfn.XMATCH(Transactions[[#This Row],[L6N]],Transactions[Transaction name],0),3),Transactions[Transaction code],0),2),Transactions[[#This Row],[L6N]])</f>
        <v>Transformation</v>
      </c>
      <c r="AR388" s="27" t="str">
        <f>IF(Transactions[[#This Row],[L7N]]=Transactions[[#This Row],[L6N]],Transactions[[#This Row],[L7N]],IF(Transactions[[#This Row],[L6N]]=Transactions[[#This Row],[L5N]],Transactions[[#This Row],[L6N]],IF(Transactions[[#This Row],[L5N]]=Transactions[[#This Row],[L4N]],Transactions[[#This Row],[L5N]],IF(Transactions[[#This Row],[L4N]]=Transactions[[#This Row],[L3N]],Transactions[[#This Row],[L4N]],IF(Transactions[[#This Row],[L3N]]=Transactions[[#This Row],[L2N]],Transactions[[#This Row],[L3N]],IF(Transactions[[#This Row],[L2N]]=Transactions[[#This Row],[L1N]],Transactions[[#This Row],[L2N]],IF(Transactions[[#This Row],[L1N]]=Transactions[[#This Row],[Transaction name]],Transactions[[#This Row],[L1N]],Transactions[[#This Row],[Transaction name]])))))))</f>
        <v>Transformation</v>
      </c>
      <c r="AS388" s="24" t="str">
        <f>IF(Transactions[[#This Row],[Level 0]]=Transactions[[#This Row],[Transaction name]],Transactions[[#This Row],[Transaction name]],IF(Transactions[[#This Row],[Level 0]]=Transactions[[#This Row],[L1N]],Transactions[[#This Row],[Transaction name]],IF(Transactions[[#This Row],[Level 0]]=Transactions[[#This Row],[L2N]],Transactions[[#This Row],[L1N]],IF(Transactions[[#This Row],[Level 0]]=Transactions[[#This Row],[L3N]],Transactions[[#This Row],[L2N]],IF(Transactions[[#This Row],[Level 0]]=Transactions[[#This Row],[L4N]],Transactions[[#This Row],[L3N]],IF(Transactions[[#This Row],[Level 0]]=Transactions[[#This Row],[L5N]],Transactions[[#This Row],[L4N]],IF(Transactions[[#This Row],[Level 0]]=Transactions[[#This Row],[L6N]],Transactions[[#This Row],[L5N]],IF(Transactions[[#This Row],[Level 0]]=Transactions[[#This Row],[L7N]],Transactions[[#This Row],[L6N]],Transactions[[#This Row],[L7N]]))))))))</f>
        <v>Electricity, CHP and heat plants (T)</v>
      </c>
      <c r="AT388" s="24" t="str">
        <f>IF(Transactions[[#This Row],[Level 1]]=Transactions[[#This Row],[Transaction name]],Transactions[[#This Row],[Transaction name]],IF(Transactions[[#This Row],[Level 1]]=Transactions[[#This Row],[L1N]],Transactions[[#This Row],[Transaction name]],IF(Transactions[[#This Row],[Level 1]]=Transactions[[#This Row],[L2N]],Transactions[[#This Row],[L1N]],IF(Transactions[[#This Row],[Level 1]]=Transactions[[#This Row],[L3N]],Transactions[[#This Row],[L2N]],IF(Transactions[[#This Row],[Level 1]]=Transactions[[#This Row],[L4N]],Transactions[[#This Row],[L3N]],IF(Transactions[[#This Row],[Level 1]]=Transactions[[#This Row],[L5N]],Transactions[[#This Row],[L4N]],IF(Transactions[[#This Row],[Level 1]]=Transactions[[#This Row],[L6N]],Transactions[[#This Row],[L5N]],IF(Transactions[[#This Row],[Level 1]]=Transactions[[#This Row],[L7N]],Transactions[[#This Row],[L6N]],Transactions[[#This Row],[L7N]]))))))))</f>
        <v>Electricity plants</v>
      </c>
      <c r="AU388" s="24" t="str">
        <f>IF(Transactions[[#This Row],[Level 2]]=Transactions[[#This Row],[Transaction name]],Transactions[[#This Row],[Transaction name]],IF(Transactions[[#This Row],[Level 2]]=Transactions[[#This Row],[L1N]],Transactions[[#This Row],[Transaction name]],IF(Transactions[[#This Row],[Level 2]]=Transactions[[#This Row],[L2N]],Transactions[[#This Row],[L1N]],IF(Transactions[[#This Row],[Level 2]]=Transactions[[#This Row],[L3N]],Transactions[[#This Row],[L2N]],IF(Transactions[[#This Row],[Level 2]]=Transactions[[#This Row],[L4N]],Transactions[[#This Row],[L3N]],IF(Transactions[[#This Row],[Level 2]]=Transactions[[#This Row],[L5N]],Transactions[[#This Row],[L4N]],IF(Transactions[[#This Row],[Level 2]]=Transactions[[#This Row],[L6N]],Transactions[[#This Row],[L5N]],IF(Transactions[[#This Row],[Level 2]]=Transactions[[#This Row],[L7N]],Transactions[[#This Row],[L6N]],Transactions[[#This Row],[L7N]]))))))))</f>
        <v>Electricity plants - other solid biofuels</v>
      </c>
      <c r="AV388" s="24" t="str">
        <f>IF(Transactions[[#This Row],[Level 3]]=Transactions[[#This Row],[Transaction name]],Transactions[[#This Row],[Transaction name]],IF(Transactions[[#This Row],[Level 3]]=Transactions[[#This Row],[L1N]],Transactions[[#This Row],[Transaction name]],IF(Transactions[[#This Row],[Level 3]]=Transactions[[#This Row],[L2N]],Transactions[[#This Row],[L1N]],IF(Transactions[[#This Row],[Level 3]]=Transactions[[#This Row],[L3N]],Transactions[[#This Row],[L2N]],IF(Transactions[[#This Row],[Level 3]]=Transactions[[#This Row],[L4N]],Transactions[[#This Row],[L3N]],IF(Transactions[[#This Row],[Level 3]]=Transactions[[#This Row],[L5N]],Transactions[[#This Row],[L4N]],IF(Transactions[[#This Row],[Level 3]]=Transactions[[#This Row],[L6N]],Transactions[[#This Row],[L5N]],IF(Transactions[[#This Row],[Level 3]]=Transactions[[#This Row],[L7N]],Transactions[[#This Row],[L6N]],Transactions[[#This Row],[L7N]]))))))))</f>
        <v>Electricity plants - Main activity - other solid biofuels</v>
      </c>
      <c r="AW388" s="24" t="str">
        <f>IF(Transactions[[#This Row],[Level 4]]=Transactions[[#This Row],[Transaction name]],Transactions[[#This Row],[Transaction name]],IF(Transactions[[#This Row],[Level 4]]=Transactions[[#This Row],[L1N]],Transactions[[#This Row],[Transaction name]],IF(Transactions[[#This Row],[Level 4]]=Transactions[[#This Row],[L2N]],Transactions[[#This Row],[L1N]],IF(Transactions[[#This Row],[Level 4]]=Transactions[[#This Row],[L3N]],Transactions[[#This Row],[L2N]],IF(Transactions[[#This Row],[Level 4]]=Transactions[[#This Row],[L4N]],Transactions[[#This Row],[L3N]],IF(Transactions[[#This Row],[Level 4]]=Transactions[[#This Row],[L5N]],Transactions[[#This Row],[L4N]],IF(Transactions[[#This Row],[Level 4]]=Transactions[[#This Row],[L6N]],Transactions[[#This Row],[L5N]],IF(Transactions[[#This Row],[Level 4]]=Transactions[[#This Row],[L7N]],Transactions[[#This Row],[L6N]],Transactions[[#This Row],[L7N]]))))))))</f>
        <v>Electricity plants - Main activity - other solid biofuels</v>
      </c>
      <c r="AX388" s="24" t="str">
        <f>IF(Transactions[[#This Row],[Level 5]]=Transactions[[#This Row],[Transaction name]],Transactions[[#This Row],[Transaction name]],IF(Transactions[[#This Row],[Level 5]]=Transactions[[#This Row],[L1N]],Transactions[[#This Row],[Transaction name]],IF(Transactions[[#This Row],[Level 5]]=Transactions[[#This Row],[L2N]],Transactions[[#This Row],[L1N]],IF(Transactions[[#This Row],[Level 5]]=Transactions[[#This Row],[L3N]],Transactions[[#This Row],[L2N]],IF(Transactions[[#This Row],[Level 5]]=Transactions[[#This Row],[L4N]],Transactions[[#This Row],[L3N]],IF(Transactions[[#This Row],[Level 5]]=Transactions[[#This Row],[L5N]],Transactions[[#This Row],[L4N]],IF(Transactions[[#This Row],[Level 5]]=Transactions[[#This Row],[L6N]],Transactions[[#This Row],[L5N]],IF(Transactions[[#This Row],[Level 5]]=Transactions[[#This Row],[L7N]],Transactions[[#This Row],[L6N]],Transactions[[#This Row],[L7N]]))))))))</f>
        <v>Electricity plants - Main activity - other solid biofuels</v>
      </c>
      <c r="AY388" s="24" t="str">
        <f>IF(Transactions[[#This Row],[Level 6]]=Transactions[[#This Row],[Transaction name]],Transactions[[#This Row],[Transaction name]],IF(Transactions[[#This Row],[Level 6]]=Transactions[[#This Row],[L1N]],Transactions[[#This Row],[Transaction name]],IF(Transactions[[#This Row],[Level 6]]=Transactions[[#This Row],[L2N]],Transactions[[#This Row],[L1N]],IF(Transactions[[#This Row],[Level 6]]=Transactions[[#This Row],[L3N]],Transactions[[#This Row],[L2N]],IF(Transactions[[#This Row],[Level 6]]=Transactions[[#This Row],[L4N]],Transactions[[#This Row],[L3N]],IF(Transactions[[#This Row],[Level 6]]=Transactions[[#This Row],[L5N]],Transactions[[#This Row],[L4N]],IF(Transactions[[#This Row],[Level 6]]=Transactions[[#This Row],[L6N]],Transactions[[#This Row],[L5N]],IF(Transactions[[#This Row],[Level 6]]=Transactions[[#This Row],[L7N]],Transactions[[#This Row],[L6N]],Transactions[[#This Row],[L7N]]))))))))</f>
        <v>Electricity plants - Main activity - other solid biofuels</v>
      </c>
      <c r="BE388" s="26" t="str">
        <f>_xlfn.XLOOKUP(Transformation[[#This Row],[cfrom]],Commodities[Commodity],Commodities[Commodity code])</f>
        <v>4680</v>
      </c>
      <c r="BF388" s="26" t="str">
        <f>_xlfn.XLOOKUP(Transformation[[#This Row],[tfrom]],Transactions[Transaction name],Transactions[Transaction code])</f>
        <v>014</v>
      </c>
      <c r="BG388" s="26" t="str">
        <f>_xlfn.XLOOKUP(Transformation[[#This Row],[cto]],Commodities[Commodity],Commodities[Commodity code])</f>
        <v>4680</v>
      </c>
      <c r="BH388" s="26" t="str">
        <f>_xlfn.XLOOKUP(Transformation[[#This Row],[tto]],Transactions[Transaction name],Transactions[Transaction code])</f>
        <v>087</v>
      </c>
      <c r="BI388" s="31">
        <v>1</v>
      </c>
      <c r="BJ388" s="22" t="s">
        <v>368</v>
      </c>
      <c r="BK388" s="26" t="str">
        <f>_xlfn.XLOOKUP(Transformation[[#This Row],[Commodity from]],Commodities[Commodity code],Commodities[EnergyCode])</f>
        <v>RF</v>
      </c>
      <c r="BL388" s="22" t="s">
        <v>370</v>
      </c>
      <c r="BM388" s="22" t="s">
        <v>368</v>
      </c>
      <c r="BN388" s="26" t="str">
        <f>_xlfn.XLOOKUP(Transformation[[#This Row],[Commodity to]],Commodities[Commodity code],Commodities[EnergyCode])</f>
        <v>RF</v>
      </c>
      <c r="BO388" s="22" t="s">
        <v>729</v>
      </c>
      <c r="BP388" s="22" t="s">
        <v>1688</v>
      </c>
      <c r="BQ388" s="33" t="str">
        <f>Transformation[[#This Row],[Commodity from]]&amp;Transformation[[#This Row],[Transaction from]]&amp;Transformation[[#This Row],[Commodity to]]&amp;Transformation[[#This Row],[Transaction to]]</f>
        <v>46800144680087</v>
      </c>
      <c r="BR388" s="26" t="str">
        <f>Transformation[[#This Row],[crfomid]]&amp;Transformation[[#This Row],[Transaction from]]&amp;"("&amp;Transformation[[#This Row],[Multiplier]]&amp;") -&gt; "&amp;Transformation[[#This Row],[ctoid]]&amp;Transformation[[#This Row],[Transaction to]]</f>
        <v>RF014(1) -&gt; RF087</v>
      </c>
    </row>
    <row r="389" spans="25:70" x14ac:dyDescent="0.45">
      <c r="Y389" s="19" t="s">
        <v>1581</v>
      </c>
      <c r="Z389" s="18" t="s">
        <v>1364</v>
      </c>
      <c r="AA389" s="18" t="s">
        <v>1364</v>
      </c>
      <c r="AB389" s="19" t="s">
        <v>1600</v>
      </c>
      <c r="AC389" s="26" t="str">
        <f>IFERROR(VLOOKUP(Transactions[[#This Row],[Parent code]],Transactions[[Transaction code]:[Transaction name]],2,0),"")</f>
        <v>Electricity plants</v>
      </c>
      <c r="AD389" s="18" t="s">
        <v>189</v>
      </c>
      <c r="AE389" s="18" t="s">
        <v>923</v>
      </c>
      <c r="AF389" s="18" t="s">
        <v>642</v>
      </c>
      <c r="AG389" s="18" t="s">
        <v>1</v>
      </c>
      <c r="AH389" s="18" t="s">
        <v>696</v>
      </c>
      <c r="AI389" s="18" t="s">
        <v>1416</v>
      </c>
      <c r="AJ389" s="18"/>
      <c r="AK389" s="26" t="str" cm="1">
        <f t="array" ref="AK389">IFERROR(INDEX(Transactions[[Transaction code]:[Transaction name]],_xlfn.XMATCH(Transactions[[#This Row],[Parent code]],Transactions[Transaction name],0),3),Transactions[[#This Row],[Transaction name]])</f>
        <v>Electricity plants - other solid biofuels</v>
      </c>
      <c r="AL389" s="26" t="str" cm="1">
        <f t="array" ref="AL389">IFERROR(INDEX(Transactions[[Transaction code]:[Transaction name]],_xlfn.XMATCH(INDEX(Transactions[[Transaction name]:[Parent code]],_xlfn.XMATCH(Transactions[[#This Row],[L1N]],Transactions[Transaction name],0),3),Transactions[Transaction code],0),2),Transactions[[#This Row],[L1N]])</f>
        <v>Electricity plants</v>
      </c>
      <c r="AM389" s="26" t="str" cm="1">
        <f t="array" ref="AM389">IFERROR(INDEX(Transactions[[Transaction code]:[Transaction name]],_xlfn.XMATCH(INDEX(Transactions[[Transaction name]:[Parent code]],_xlfn.XMATCH(Transactions[[#This Row],[L2N]],Transactions[Transaction name],0),3),Transactions[Transaction code],0),2),Transactions[[#This Row],[L2N]])</f>
        <v>Electricity, CHP and heat plants (T)</v>
      </c>
      <c r="AN389" s="26" t="str" cm="1">
        <f t="array" ref="AN389">IFERROR(INDEX(Transactions[[Transaction code]:[Transaction name]],_xlfn.XMATCH(INDEX(Transactions[[Transaction name]:[Parent code]],_xlfn.XMATCH(Transactions[[#This Row],[L3N]],Transactions[Transaction name],0),3),Transactions[Transaction code],0),2),Transactions[[#This Row],[L3N]])</f>
        <v>Transformation</v>
      </c>
      <c r="AO389" s="26" t="str" cm="1">
        <f t="array" ref="AO389">IFERROR(INDEX(Transactions[[Transaction code]:[Transaction name]],_xlfn.XMATCH(INDEX(Transactions[[Transaction name]:[Parent code]],_xlfn.XMATCH(Transactions[[#This Row],[L4N]],Transactions[Transaction name],0),3),Transactions[Transaction code],0),2),Transactions[[#This Row],[L4N]])</f>
        <v>Transformation</v>
      </c>
      <c r="AP389" s="26" t="str" cm="1">
        <f t="array" ref="AP389">IFERROR(INDEX(Transactions[[Transaction code]:[Transaction name]],_xlfn.XMATCH(INDEX(Transactions[[Transaction name]:[Parent code]],_xlfn.XMATCH(Transactions[[#This Row],[L5N]],Transactions[Transaction name],0),3),Transactions[Transaction code],0),2),Transactions[[#This Row],[L5N]])</f>
        <v>Transformation</v>
      </c>
      <c r="AQ389" s="26" t="str" cm="1">
        <f t="array" ref="AQ389">IFERROR(INDEX(Transactions[[Transaction code]:[Transaction name]],_xlfn.XMATCH(INDEX(Transactions[[Transaction name]:[Parent code]],_xlfn.XMATCH(Transactions[[#This Row],[L6N]],Transactions[Transaction name],0),3),Transactions[Transaction code],0),2),Transactions[[#This Row],[L6N]])</f>
        <v>Transformation</v>
      </c>
      <c r="AR389" s="30" t="str">
        <f>IF(Transactions[[#This Row],[L7N]]=Transactions[[#This Row],[L6N]],Transactions[[#This Row],[L7N]],IF(Transactions[[#This Row],[L6N]]=Transactions[[#This Row],[L5N]],Transactions[[#This Row],[L6N]],IF(Transactions[[#This Row],[L5N]]=Transactions[[#This Row],[L4N]],Transactions[[#This Row],[L5N]],IF(Transactions[[#This Row],[L4N]]=Transactions[[#This Row],[L3N]],Transactions[[#This Row],[L4N]],IF(Transactions[[#This Row],[L3N]]=Transactions[[#This Row],[L2N]],Transactions[[#This Row],[L3N]],IF(Transactions[[#This Row],[L2N]]=Transactions[[#This Row],[L1N]],Transactions[[#This Row],[L2N]],IF(Transactions[[#This Row],[L1N]]=Transactions[[#This Row],[Transaction name]],Transactions[[#This Row],[L1N]],Transactions[[#This Row],[Transaction name]])))))))</f>
        <v>Transformation</v>
      </c>
      <c r="AS389" s="26" t="str">
        <f>IF(Transactions[[#This Row],[Level 0]]=Transactions[[#This Row],[Transaction name]],Transactions[[#This Row],[Transaction name]],IF(Transactions[[#This Row],[Level 0]]=Transactions[[#This Row],[L1N]],Transactions[[#This Row],[Transaction name]],IF(Transactions[[#This Row],[Level 0]]=Transactions[[#This Row],[L2N]],Transactions[[#This Row],[L1N]],IF(Transactions[[#This Row],[Level 0]]=Transactions[[#This Row],[L3N]],Transactions[[#This Row],[L2N]],IF(Transactions[[#This Row],[Level 0]]=Transactions[[#This Row],[L4N]],Transactions[[#This Row],[L3N]],IF(Transactions[[#This Row],[Level 0]]=Transactions[[#This Row],[L5N]],Transactions[[#This Row],[L4N]],IF(Transactions[[#This Row],[Level 0]]=Transactions[[#This Row],[L6N]],Transactions[[#This Row],[L5N]],IF(Transactions[[#This Row],[Level 0]]=Transactions[[#This Row],[L7N]],Transactions[[#This Row],[L6N]],Transactions[[#This Row],[L7N]]))))))))</f>
        <v>Electricity, CHP and heat plants (T)</v>
      </c>
      <c r="AT389" s="26" t="str">
        <f>IF(Transactions[[#This Row],[Level 1]]=Transactions[[#This Row],[Transaction name]],Transactions[[#This Row],[Transaction name]],IF(Transactions[[#This Row],[Level 1]]=Transactions[[#This Row],[L1N]],Transactions[[#This Row],[Transaction name]],IF(Transactions[[#This Row],[Level 1]]=Transactions[[#This Row],[L2N]],Transactions[[#This Row],[L1N]],IF(Transactions[[#This Row],[Level 1]]=Transactions[[#This Row],[L3N]],Transactions[[#This Row],[L2N]],IF(Transactions[[#This Row],[Level 1]]=Transactions[[#This Row],[L4N]],Transactions[[#This Row],[L3N]],IF(Transactions[[#This Row],[Level 1]]=Transactions[[#This Row],[L5N]],Transactions[[#This Row],[L4N]],IF(Transactions[[#This Row],[Level 1]]=Transactions[[#This Row],[L6N]],Transactions[[#This Row],[L5N]],IF(Transactions[[#This Row],[Level 1]]=Transactions[[#This Row],[L7N]],Transactions[[#This Row],[L6N]],Transactions[[#This Row],[L7N]]))))))))</f>
        <v>Electricity plants</v>
      </c>
      <c r="AU389" s="26" t="str">
        <f>IF(Transactions[[#This Row],[Level 2]]=Transactions[[#This Row],[Transaction name]],Transactions[[#This Row],[Transaction name]],IF(Transactions[[#This Row],[Level 2]]=Transactions[[#This Row],[L1N]],Transactions[[#This Row],[Transaction name]],IF(Transactions[[#This Row],[Level 2]]=Transactions[[#This Row],[L2N]],Transactions[[#This Row],[L1N]],IF(Transactions[[#This Row],[Level 2]]=Transactions[[#This Row],[L3N]],Transactions[[#This Row],[L2N]],IF(Transactions[[#This Row],[Level 2]]=Transactions[[#This Row],[L4N]],Transactions[[#This Row],[L3N]],IF(Transactions[[#This Row],[Level 2]]=Transactions[[#This Row],[L5N]],Transactions[[#This Row],[L4N]],IF(Transactions[[#This Row],[Level 2]]=Transactions[[#This Row],[L6N]],Transactions[[#This Row],[L5N]],IF(Transactions[[#This Row],[Level 2]]=Transactions[[#This Row],[L7N]],Transactions[[#This Row],[L6N]],Transactions[[#This Row],[L7N]]))))))))</f>
        <v>Electricity plants - other solid biofuels</v>
      </c>
      <c r="AV389" s="26" t="str">
        <f>IF(Transactions[[#This Row],[Level 3]]=Transactions[[#This Row],[Transaction name]],Transactions[[#This Row],[Transaction name]],IF(Transactions[[#This Row],[Level 3]]=Transactions[[#This Row],[L1N]],Transactions[[#This Row],[Transaction name]],IF(Transactions[[#This Row],[Level 3]]=Transactions[[#This Row],[L2N]],Transactions[[#This Row],[L1N]],IF(Transactions[[#This Row],[Level 3]]=Transactions[[#This Row],[L3N]],Transactions[[#This Row],[L2N]],IF(Transactions[[#This Row],[Level 3]]=Transactions[[#This Row],[L4N]],Transactions[[#This Row],[L3N]],IF(Transactions[[#This Row],[Level 3]]=Transactions[[#This Row],[L5N]],Transactions[[#This Row],[L4N]],IF(Transactions[[#This Row],[Level 3]]=Transactions[[#This Row],[L6N]],Transactions[[#This Row],[L5N]],IF(Transactions[[#This Row],[Level 3]]=Transactions[[#This Row],[L7N]],Transactions[[#This Row],[L6N]],Transactions[[#This Row],[L7N]]))))))))</f>
        <v>Electricity plants - other solid biofuels</v>
      </c>
      <c r="AW389" s="26" t="str">
        <f>IF(Transactions[[#This Row],[Level 4]]=Transactions[[#This Row],[Transaction name]],Transactions[[#This Row],[Transaction name]],IF(Transactions[[#This Row],[Level 4]]=Transactions[[#This Row],[L1N]],Transactions[[#This Row],[Transaction name]],IF(Transactions[[#This Row],[Level 4]]=Transactions[[#This Row],[L2N]],Transactions[[#This Row],[L1N]],IF(Transactions[[#This Row],[Level 4]]=Transactions[[#This Row],[L3N]],Transactions[[#This Row],[L2N]],IF(Transactions[[#This Row],[Level 4]]=Transactions[[#This Row],[L4N]],Transactions[[#This Row],[L3N]],IF(Transactions[[#This Row],[Level 4]]=Transactions[[#This Row],[L5N]],Transactions[[#This Row],[L4N]],IF(Transactions[[#This Row],[Level 4]]=Transactions[[#This Row],[L6N]],Transactions[[#This Row],[L5N]],IF(Transactions[[#This Row],[Level 4]]=Transactions[[#This Row],[L7N]],Transactions[[#This Row],[L6N]],Transactions[[#This Row],[L7N]]))))))))</f>
        <v>Electricity plants - other solid biofuels</v>
      </c>
      <c r="AX389" s="26" t="str">
        <f>IF(Transactions[[#This Row],[Level 5]]=Transactions[[#This Row],[Transaction name]],Transactions[[#This Row],[Transaction name]],IF(Transactions[[#This Row],[Level 5]]=Transactions[[#This Row],[L1N]],Transactions[[#This Row],[Transaction name]],IF(Transactions[[#This Row],[Level 5]]=Transactions[[#This Row],[L2N]],Transactions[[#This Row],[L1N]],IF(Transactions[[#This Row],[Level 5]]=Transactions[[#This Row],[L3N]],Transactions[[#This Row],[L2N]],IF(Transactions[[#This Row],[Level 5]]=Transactions[[#This Row],[L4N]],Transactions[[#This Row],[L3N]],IF(Transactions[[#This Row],[Level 5]]=Transactions[[#This Row],[L5N]],Transactions[[#This Row],[L4N]],IF(Transactions[[#This Row],[Level 5]]=Transactions[[#This Row],[L6N]],Transactions[[#This Row],[L5N]],IF(Transactions[[#This Row],[Level 5]]=Transactions[[#This Row],[L7N]],Transactions[[#This Row],[L6N]],Transactions[[#This Row],[L7N]]))))))))</f>
        <v>Electricity plants - other solid biofuels</v>
      </c>
      <c r="AY389" s="26" t="str">
        <f>IF(Transactions[[#This Row],[Level 6]]=Transactions[[#This Row],[Transaction name]],Transactions[[#This Row],[Transaction name]],IF(Transactions[[#This Row],[Level 6]]=Transactions[[#This Row],[L1N]],Transactions[[#This Row],[Transaction name]],IF(Transactions[[#This Row],[Level 6]]=Transactions[[#This Row],[L2N]],Transactions[[#This Row],[L1N]],IF(Transactions[[#This Row],[Level 6]]=Transactions[[#This Row],[L3N]],Transactions[[#This Row],[L2N]],IF(Transactions[[#This Row],[Level 6]]=Transactions[[#This Row],[L4N]],Transactions[[#This Row],[L3N]],IF(Transactions[[#This Row],[Level 6]]=Transactions[[#This Row],[L5N]],Transactions[[#This Row],[L4N]],IF(Transactions[[#This Row],[Level 6]]=Transactions[[#This Row],[L6N]],Transactions[[#This Row],[L5N]],IF(Transactions[[#This Row],[Level 6]]=Transactions[[#This Row],[L7N]],Transactions[[#This Row],[L6N]],Transactions[[#This Row],[L7N]]))))))))</f>
        <v>Electricity plants - other solid biofuels</v>
      </c>
      <c r="BE389" s="26" t="str">
        <f>_xlfn.XLOOKUP(Transformation[[#This Row],[cfrom]],Commodities[Commodity],Commodities[Commodity code])</f>
        <v>4680</v>
      </c>
      <c r="BF389" s="26" t="str">
        <f>_xlfn.XLOOKUP(Transformation[[#This Row],[tfrom]],Transactions[Transaction name],Transactions[Transaction code])</f>
        <v>014</v>
      </c>
      <c r="BG389" s="26" t="str">
        <f>_xlfn.XLOOKUP(Transformation[[#This Row],[cto]],Commodities[Commodity],Commodities[Commodity code])</f>
        <v>4680</v>
      </c>
      <c r="BH389" s="26" t="str">
        <f>_xlfn.XLOOKUP(Transformation[[#This Row],[tto]],Transactions[Transaction name],Transactions[Transaction code])</f>
        <v>014</v>
      </c>
      <c r="BI389" s="31">
        <v>-1</v>
      </c>
      <c r="BJ389" s="22" t="s">
        <v>368</v>
      </c>
      <c r="BK389" s="26" t="str">
        <f>_xlfn.XLOOKUP(Transformation[[#This Row],[Commodity from]],Commodities[Commodity code],Commodities[EnergyCode])</f>
        <v>RF</v>
      </c>
      <c r="BL389" s="22" t="s">
        <v>370</v>
      </c>
      <c r="BM389" s="22" t="s">
        <v>368</v>
      </c>
      <c r="BN389" s="26" t="str">
        <f>_xlfn.XLOOKUP(Transformation[[#This Row],[Commodity to]],Commodities[Commodity code],Commodities[EnergyCode])</f>
        <v>RF</v>
      </c>
      <c r="BO389" s="22" t="s">
        <v>370</v>
      </c>
      <c r="BP389" s="22" t="s">
        <v>1689</v>
      </c>
      <c r="BQ389" s="33" t="str">
        <f>Transformation[[#This Row],[Commodity from]]&amp;Transformation[[#This Row],[Transaction from]]&amp;Transformation[[#This Row],[Commodity to]]&amp;Transformation[[#This Row],[Transaction to]]</f>
        <v>46800144680014</v>
      </c>
      <c r="BR389" s="26" t="str">
        <f>Transformation[[#This Row],[crfomid]]&amp;Transformation[[#This Row],[Transaction from]]&amp;"("&amp;Transformation[[#This Row],[Multiplier]]&amp;") -&gt; "&amp;Transformation[[#This Row],[ctoid]]&amp;Transformation[[#This Row],[Transaction to]]</f>
        <v>RF014(-1) -&gt; RF014</v>
      </c>
    </row>
    <row r="390" spans="25:70" x14ac:dyDescent="0.45">
      <c r="Y390" s="5" t="s">
        <v>237</v>
      </c>
      <c r="Z390" s="7" t="s">
        <v>688</v>
      </c>
      <c r="AA390" s="4" t="s">
        <v>1325</v>
      </c>
      <c r="AB390" s="19" t="s">
        <v>1597</v>
      </c>
      <c r="AC390" s="24" t="str">
        <f>IFERROR(VLOOKUP(Transactions[[#This Row],[Parent code]],Transactions[[Transaction code]:[Transaction name]],2,0),"")</f>
        <v>Electricity plants - other sources</v>
      </c>
      <c r="AD390" s="4" t="s">
        <v>189</v>
      </c>
      <c r="AE390" s="4" t="s">
        <v>923</v>
      </c>
      <c r="AF390" s="4" t="s">
        <v>642</v>
      </c>
      <c r="AG390" s="4" t="s">
        <v>1</v>
      </c>
      <c r="AH390" s="4" t="s">
        <v>696</v>
      </c>
      <c r="AK390" s="24" t="str" cm="1">
        <f t="array" ref="AK390">IFERROR(INDEX(Transactions[[Transaction code]:[Transaction name]],_xlfn.XMATCH(Transactions[[#This Row],[Parent code]],Transactions[Transaction name],0),3),Transactions[[#This Row],[Transaction name]])</f>
        <v>Electricity plants - Autoproducer - other sources</v>
      </c>
      <c r="AL390" s="24" t="str" cm="1">
        <f t="array" ref="AL390">IFERROR(INDEX(Transactions[[Transaction code]:[Transaction name]],_xlfn.XMATCH(INDEX(Transactions[[Transaction name]:[Parent code]],_xlfn.XMATCH(Transactions[[#This Row],[L1N]],Transactions[Transaction name],0),3),Transactions[Transaction code],0),2),Transactions[[#This Row],[L1N]])</f>
        <v>Electricity plants - other sources</v>
      </c>
      <c r="AM390" s="24" t="str" cm="1">
        <f t="array" ref="AM390">IFERROR(INDEX(Transactions[[Transaction code]:[Transaction name]],_xlfn.XMATCH(INDEX(Transactions[[Transaction name]:[Parent code]],_xlfn.XMATCH(Transactions[[#This Row],[L2N]],Transactions[Transaction name],0),3),Transactions[Transaction code],0),2),Transactions[[#This Row],[L2N]])</f>
        <v>Electricity plants</v>
      </c>
      <c r="AN390" s="24" t="str" cm="1">
        <f t="array" ref="AN390">IFERROR(INDEX(Transactions[[Transaction code]:[Transaction name]],_xlfn.XMATCH(INDEX(Transactions[[Transaction name]:[Parent code]],_xlfn.XMATCH(Transactions[[#This Row],[L3N]],Transactions[Transaction name],0),3),Transactions[Transaction code],0),2),Transactions[[#This Row],[L3N]])</f>
        <v>Electricity, CHP and heat plants (T)</v>
      </c>
      <c r="AO390" s="24" t="str" cm="1">
        <f t="array" ref="AO390">IFERROR(INDEX(Transactions[[Transaction code]:[Transaction name]],_xlfn.XMATCH(INDEX(Transactions[[Transaction name]:[Parent code]],_xlfn.XMATCH(Transactions[[#This Row],[L4N]],Transactions[Transaction name],0),3),Transactions[Transaction code],0),2),Transactions[[#This Row],[L4N]])</f>
        <v>Transformation</v>
      </c>
      <c r="AP390" s="24" t="str" cm="1">
        <f t="array" ref="AP390">IFERROR(INDEX(Transactions[[Transaction code]:[Transaction name]],_xlfn.XMATCH(INDEX(Transactions[[Transaction name]:[Parent code]],_xlfn.XMATCH(Transactions[[#This Row],[L5N]],Transactions[Transaction name],0),3),Transactions[Transaction code],0),2),Transactions[[#This Row],[L5N]])</f>
        <v>Transformation</v>
      </c>
      <c r="AQ390" s="24" t="str" cm="1">
        <f t="array" ref="AQ390">IFERROR(INDEX(Transactions[[Transaction code]:[Transaction name]],_xlfn.XMATCH(INDEX(Transactions[[Transaction name]:[Parent code]],_xlfn.XMATCH(Transactions[[#This Row],[L6N]],Transactions[Transaction name],0),3),Transactions[Transaction code],0),2),Transactions[[#This Row],[L6N]])</f>
        <v>Transformation</v>
      </c>
      <c r="AR390" s="27" t="str">
        <f>IF(Transactions[[#This Row],[L7N]]=Transactions[[#This Row],[L6N]],Transactions[[#This Row],[L7N]],IF(Transactions[[#This Row],[L6N]]=Transactions[[#This Row],[L5N]],Transactions[[#This Row],[L6N]],IF(Transactions[[#This Row],[L5N]]=Transactions[[#This Row],[L4N]],Transactions[[#This Row],[L5N]],IF(Transactions[[#This Row],[L4N]]=Transactions[[#This Row],[L3N]],Transactions[[#This Row],[L4N]],IF(Transactions[[#This Row],[L3N]]=Transactions[[#This Row],[L2N]],Transactions[[#This Row],[L3N]],IF(Transactions[[#This Row],[L2N]]=Transactions[[#This Row],[L1N]],Transactions[[#This Row],[L2N]],IF(Transactions[[#This Row],[L1N]]=Transactions[[#This Row],[Transaction name]],Transactions[[#This Row],[L1N]],Transactions[[#This Row],[Transaction name]])))))))</f>
        <v>Transformation</v>
      </c>
      <c r="AS390" s="24" t="str">
        <f>IF(Transactions[[#This Row],[Level 0]]=Transactions[[#This Row],[Transaction name]],Transactions[[#This Row],[Transaction name]],IF(Transactions[[#This Row],[Level 0]]=Transactions[[#This Row],[L1N]],Transactions[[#This Row],[Transaction name]],IF(Transactions[[#This Row],[Level 0]]=Transactions[[#This Row],[L2N]],Transactions[[#This Row],[L1N]],IF(Transactions[[#This Row],[Level 0]]=Transactions[[#This Row],[L3N]],Transactions[[#This Row],[L2N]],IF(Transactions[[#This Row],[Level 0]]=Transactions[[#This Row],[L4N]],Transactions[[#This Row],[L3N]],IF(Transactions[[#This Row],[Level 0]]=Transactions[[#This Row],[L5N]],Transactions[[#This Row],[L4N]],IF(Transactions[[#This Row],[Level 0]]=Transactions[[#This Row],[L6N]],Transactions[[#This Row],[L5N]],IF(Transactions[[#This Row],[Level 0]]=Transactions[[#This Row],[L7N]],Transactions[[#This Row],[L6N]],Transactions[[#This Row],[L7N]]))))))))</f>
        <v>Electricity, CHP and heat plants (T)</v>
      </c>
      <c r="AT390" s="24" t="str">
        <f>IF(Transactions[[#This Row],[Level 1]]=Transactions[[#This Row],[Transaction name]],Transactions[[#This Row],[Transaction name]],IF(Transactions[[#This Row],[Level 1]]=Transactions[[#This Row],[L1N]],Transactions[[#This Row],[Transaction name]],IF(Transactions[[#This Row],[Level 1]]=Transactions[[#This Row],[L2N]],Transactions[[#This Row],[L1N]],IF(Transactions[[#This Row],[Level 1]]=Transactions[[#This Row],[L3N]],Transactions[[#This Row],[L2N]],IF(Transactions[[#This Row],[Level 1]]=Transactions[[#This Row],[L4N]],Transactions[[#This Row],[L3N]],IF(Transactions[[#This Row],[Level 1]]=Transactions[[#This Row],[L5N]],Transactions[[#This Row],[L4N]],IF(Transactions[[#This Row],[Level 1]]=Transactions[[#This Row],[L6N]],Transactions[[#This Row],[L5N]],IF(Transactions[[#This Row],[Level 1]]=Transactions[[#This Row],[L7N]],Transactions[[#This Row],[L6N]],Transactions[[#This Row],[L7N]]))))))))</f>
        <v>Electricity plants</v>
      </c>
      <c r="AU390" s="24" t="str">
        <f>IF(Transactions[[#This Row],[Level 2]]=Transactions[[#This Row],[Transaction name]],Transactions[[#This Row],[Transaction name]],IF(Transactions[[#This Row],[Level 2]]=Transactions[[#This Row],[L1N]],Transactions[[#This Row],[Transaction name]],IF(Transactions[[#This Row],[Level 2]]=Transactions[[#This Row],[L2N]],Transactions[[#This Row],[L1N]],IF(Transactions[[#This Row],[Level 2]]=Transactions[[#This Row],[L3N]],Transactions[[#This Row],[L2N]],IF(Transactions[[#This Row],[Level 2]]=Transactions[[#This Row],[L4N]],Transactions[[#This Row],[L3N]],IF(Transactions[[#This Row],[Level 2]]=Transactions[[#This Row],[L5N]],Transactions[[#This Row],[L4N]],IF(Transactions[[#This Row],[Level 2]]=Transactions[[#This Row],[L6N]],Transactions[[#This Row],[L5N]],IF(Transactions[[#This Row],[Level 2]]=Transactions[[#This Row],[L7N]],Transactions[[#This Row],[L6N]],Transactions[[#This Row],[L7N]]))))))))</f>
        <v>Electricity plants - other sources</v>
      </c>
      <c r="AV390" s="24" t="str">
        <f>IF(Transactions[[#This Row],[Level 3]]=Transactions[[#This Row],[Transaction name]],Transactions[[#This Row],[Transaction name]],IF(Transactions[[#This Row],[Level 3]]=Transactions[[#This Row],[L1N]],Transactions[[#This Row],[Transaction name]],IF(Transactions[[#This Row],[Level 3]]=Transactions[[#This Row],[L2N]],Transactions[[#This Row],[L1N]],IF(Transactions[[#This Row],[Level 3]]=Transactions[[#This Row],[L3N]],Transactions[[#This Row],[L2N]],IF(Transactions[[#This Row],[Level 3]]=Transactions[[#This Row],[L4N]],Transactions[[#This Row],[L3N]],IF(Transactions[[#This Row],[Level 3]]=Transactions[[#This Row],[L5N]],Transactions[[#This Row],[L4N]],IF(Transactions[[#This Row],[Level 3]]=Transactions[[#This Row],[L6N]],Transactions[[#This Row],[L5N]],IF(Transactions[[#This Row],[Level 3]]=Transactions[[#This Row],[L7N]],Transactions[[#This Row],[L6N]],Transactions[[#This Row],[L7N]]))))))))</f>
        <v>Electricity plants - Autoproducer - other sources</v>
      </c>
      <c r="AW390" s="24" t="str">
        <f>IF(Transactions[[#This Row],[Level 4]]=Transactions[[#This Row],[Transaction name]],Transactions[[#This Row],[Transaction name]],IF(Transactions[[#This Row],[Level 4]]=Transactions[[#This Row],[L1N]],Transactions[[#This Row],[Transaction name]],IF(Transactions[[#This Row],[Level 4]]=Transactions[[#This Row],[L2N]],Transactions[[#This Row],[L1N]],IF(Transactions[[#This Row],[Level 4]]=Transactions[[#This Row],[L3N]],Transactions[[#This Row],[L2N]],IF(Transactions[[#This Row],[Level 4]]=Transactions[[#This Row],[L4N]],Transactions[[#This Row],[L3N]],IF(Transactions[[#This Row],[Level 4]]=Transactions[[#This Row],[L5N]],Transactions[[#This Row],[L4N]],IF(Transactions[[#This Row],[Level 4]]=Transactions[[#This Row],[L6N]],Transactions[[#This Row],[L5N]],IF(Transactions[[#This Row],[Level 4]]=Transactions[[#This Row],[L7N]],Transactions[[#This Row],[L6N]],Transactions[[#This Row],[L7N]]))))))))</f>
        <v>Electricity plants - Autoproducer - other sources</v>
      </c>
      <c r="AX390" s="24" t="str">
        <f>IF(Transactions[[#This Row],[Level 5]]=Transactions[[#This Row],[Transaction name]],Transactions[[#This Row],[Transaction name]],IF(Transactions[[#This Row],[Level 5]]=Transactions[[#This Row],[L1N]],Transactions[[#This Row],[Transaction name]],IF(Transactions[[#This Row],[Level 5]]=Transactions[[#This Row],[L2N]],Transactions[[#This Row],[L1N]],IF(Transactions[[#This Row],[Level 5]]=Transactions[[#This Row],[L3N]],Transactions[[#This Row],[L2N]],IF(Transactions[[#This Row],[Level 5]]=Transactions[[#This Row],[L4N]],Transactions[[#This Row],[L3N]],IF(Transactions[[#This Row],[Level 5]]=Transactions[[#This Row],[L5N]],Transactions[[#This Row],[L4N]],IF(Transactions[[#This Row],[Level 5]]=Transactions[[#This Row],[L6N]],Transactions[[#This Row],[L5N]],IF(Transactions[[#This Row],[Level 5]]=Transactions[[#This Row],[L7N]],Transactions[[#This Row],[L6N]],Transactions[[#This Row],[L7N]]))))))))</f>
        <v>Electricity plants - Autoproducer - other sources</v>
      </c>
      <c r="AY390" s="24" t="str">
        <f>IF(Transactions[[#This Row],[Level 6]]=Transactions[[#This Row],[Transaction name]],Transactions[[#This Row],[Transaction name]],IF(Transactions[[#This Row],[Level 6]]=Transactions[[#This Row],[L1N]],Transactions[[#This Row],[Transaction name]],IF(Transactions[[#This Row],[Level 6]]=Transactions[[#This Row],[L2N]],Transactions[[#This Row],[L1N]],IF(Transactions[[#This Row],[Level 6]]=Transactions[[#This Row],[L3N]],Transactions[[#This Row],[L2N]],IF(Transactions[[#This Row],[Level 6]]=Transactions[[#This Row],[L4N]],Transactions[[#This Row],[L3N]],IF(Transactions[[#This Row],[Level 6]]=Transactions[[#This Row],[L5N]],Transactions[[#This Row],[L4N]],IF(Transactions[[#This Row],[Level 6]]=Transactions[[#This Row],[L6N]],Transactions[[#This Row],[L5N]],IF(Transactions[[#This Row],[Level 6]]=Transactions[[#This Row],[L7N]],Transactions[[#This Row],[L6N]],Transactions[[#This Row],[L7N]]))))))))</f>
        <v>Electricity plants - Autoproducer - other sources</v>
      </c>
      <c r="BE390" s="26" t="str">
        <f>_xlfn.XLOOKUP(Transformation[[#This Row],[cfrom]],Commodities[Commodity],Commodities[Commodity code])</f>
        <v>4691</v>
      </c>
      <c r="BF390" s="26" t="str">
        <f>_xlfn.XLOOKUP(Transformation[[#This Row],[tfrom]],Transactions[Transaction name],Transactions[Transaction code])</f>
        <v>014</v>
      </c>
      <c r="BG390" s="26" t="str">
        <f>_xlfn.XLOOKUP(Transformation[[#This Row],[cto]],Commodities[Commodity],Commodities[Commodity code])</f>
        <v>4691</v>
      </c>
      <c r="BH390" s="26" t="str">
        <f>_xlfn.XLOOKUP(Transformation[[#This Row],[tto]],Transactions[Transaction name],Transactions[Transaction code])</f>
        <v>087</v>
      </c>
      <c r="BI390" s="31">
        <v>1</v>
      </c>
      <c r="BJ390" s="22" t="s">
        <v>363</v>
      </c>
      <c r="BK390" s="26" t="str">
        <f>_xlfn.XLOOKUP(Transformation[[#This Row],[Commodity from]],Commodities[Commodity code],Commodities[EnergyCode])</f>
        <v>WS</v>
      </c>
      <c r="BL390" s="22" t="s">
        <v>370</v>
      </c>
      <c r="BM390" s="22" t="s">
        <v>363</v>
      </c>
      <c r="BN390" s="26" t="str">
        <f>_xlfn.XLOOKUP(Transformation[[#This Row],[Commodity to]],Commodities[Commodity code],Commodities[EnergyCode])</f>
        <v>WS</v>
      </c>
      <c r="BO390" s="22" t="s">
        <v>729</v>
      </c>
      <c r="BP390" s="22" t="s">
        <v>1688</v>
      </c>
      <c r="BQ390" s="33" t="str">
        <f>Transformation[[#This Row],[Commodity from]]&amp;Transformation[[#This Row],[Transaction from]]&amp;Transformation[[#This Row],[Commodity to]]&amp;Transformation[[#This Row],[Transaction to]]</f>
        <v>46910144691087</v>
      </c>
      <c r="BR390" s="26" t="str">
        <f>Transformation[[#This Row],[crfomid]]&amp;Transformation[[#This Row],[Transaction from]]&amp;"("&amp;Transformation[[#This Row],[Multiplier]]&amp;") -&gt; "&amp;Transformation[[#This Row],[ctoid]]&amp;Transformation[[#This Row],[Transaction to]]</f>
        <v>WS014(1) -&gt; WS087</v>
      </c>
    </row>
    <row r="391" spans="25:70" x14ac:dyDescent="0.45">
      <c r="Y391" s="5" t="s">
        <v>311</v>
      </c>
      <c r="Z391" s="7" t="s">
        <v>682</v>
      </c>
      <c r="AA391" s="4" t="s">
        <v>1325</v>
      </c>
      <c r="AB391" s="19" t="s">
        <v>1597</v>
      </c>
      <c r="AC391" s="24" t="str">
        <f>IFERROR(VLOOKUP(Transactions[[#This Row],[Parent code]],Transactions[[Transaction code]:[Transaction name]],2,0),"")</f>
        <v>Electricity plants - other sources</v>
      </c>
      <c r="AD391" s="4" t="s">
        <v>189</v>
      </c>
      <c r="AE391" s="4" t="s">
        <v>923</v>
      </c>
      <c r="AF391" s="4" t="s">
        <v>642</v>
      </c>
      <c r="AG391" s="4" t="s">
        <v>1</v>
      </c>
      <c r="AH391" s="4" t="s">
        <v>696</v>
      </c>
      <c r="AK391" s="24" t="str" cm="1">
        <f t="array" ref="AK391">IFERROR(INDEX(Transactions[[Transaction code]:[Transaction name]],_xlfn.XMATCH(Transactions[[#This Row],[Parent code]],Transactions[Transaction name],0),3),Transactions[[#This Row],[Transaction name]])</f>
        <v>Electricity plants - Main activity - other sources</v>
      </c>
      <c r="AL391" s="24" t="str" cm="1">
        <f t="array" ref="AL391">IFERROR(INDEX(Transactions[[Transaction code]:[Transaction name]],_xlfn.XMATCH(INDEX(Transactions[[Transaction name]:[Parent code]],_xlfn.XMATCH(Transactions[[#This Row],[L1N]],Transactions[Transaction name],0),3),Transactions[Transaction code],0),2),Transactions[[#This Row],[L1N]])</f>
        <v>Electricity plants - other sources</v>
      </c>
      <c r="AM391" s="24" t="str" cm="1">
        <f t="array" ref="AM391">IFERROR(INDEX(Transactions[[Transaction code]:[Transaction name]],_xlfn.XMATCH(INDEX(Transactions[[Transaction name]:[Parent code]],_xlfn.XMATCH(Transactions[[#This Row],[L2N]],Transactions[Transaction name],0),3),Transactions[Transaction code],0),2),Transactions[[#This Row],[L2N]])</f>
        <v>Electricity plants</v>
      </c>
      <c r="AN391" s="24" t="str" cm="1">
        <f t="array" ref="AN391">IFERROR(INDEX(Transactions[[Transaction code]:[Transaction name]],_xlfn.XMATCH(INDEX(Transactions[[Transaction name]:[Parent code]],_xlfn.XMATCH(Transactions[[#This Row],[L3N]],Transactions[Transaction name],0),3),Transactions[Transaction code],0),2),Transactions[[#This Row],[L3N]])</f>
        <v>Electricity, CHP and heat plants (T)</v>
      </c>
      <c r="AO391" s="24" t="str" cm="1">
        <f t="array" ref="AO391">IFERROR(INDEX(Transactions[[Transaction code]:[Transaction name]],_xlfn.XMATCH(INDEX(Transactions[[Transaction name]:[Parent code]],_xlfn.XMATCH(Transactions[[#This Row],[L4N]],Transactions[Transaction name],0),3),Transactions[Transaction code],0),2),Transactions[[#This Row],[L4N]])</f>
        <v>Transformation</v>
      </c>
      <c r="AP391" s="24" t="str" cm="1">
        <f t="array" ref="AP391">IFERROR(INDEX(Transactions[[Transaction code]:[Transaction name]],_xlfn.XMATCH(INDEX(Transactions[[Transaction name]:[Parent code]],_xlfn.XMATCH(Transactions[[#This Row],[L5N]],Transactions[Transaction name],0),3),Transactions[Transaction code],0),2),Transactions[[#This Row],[L5N]])</f>
        <v>Transformation</v>
      </c>
      <c r="AQ391" s="24" t="str" cm="1">
        <f t="array" ref="AQ391">IFERROR(INDEX(Transactions[[Transaction code]:[Transaction name]],_xlfn.XMATCH(INDEX(Transactions[[Transaction name]:[Parent code]],_xlfn.XMATCH(Transactions[[#This Row],[L6N]],Transactions[Transaction name],0),3),Transactions[Transaction code],0),2),Transactions[[#This Row],[L6N]])</f>
        <v>Transformation</v>
      </c>
      <c r="AR391" s="28" t="str">
        <f>IF(Transactions[[#This Row],[L7N]]=Transactions[[#This Row],[L6N]],Transactions[[#This Row],[L7N]],IF(Transactions[[#This Row],[L6N]]=Transactions[[#This Row],[L5N]],Transactions[[#This Row],[L6N]],IF(Transactions[[#This Row],[L5N]]=Transactions[[#This Row],[L4N]],Transactions[[#This Row],[L5N]],IF(Transactions[[#This Row],[L4N]]=Transactions[[#This Row],[L3N]],Transactions[[#This Row],[L4N]],IF(Transactions[[#This Row],[L3N]]=Transactions[[#This Row],[L2N]],Transactions[[#This Row],[L3N]],IF(Transactions[[#This Row],[L2N]]=Transactions[[#This Row],[L1N]],Transactions[[#This Row],[L2N]],IF(Transactions[[#This Row],[L1N]]=Transactions[[#This Row],[Transaction name]],Transactions[[#This Row],[L1N]],Transactions[[#This Row],[Transaction name]])))))))</f>
        <v>Transformation</v>
      </c>
      <c r="AS391" s="24" t="str">
        <f>IF(Transactions[[#This Row],[Level 0]]=Transactions[[#This Row],[Transaction name]],Transactions[[#This Row],[Transaction name]],IF(Transactions[[#This Row],[Level 0]]=Transactions[[#This Row],[L1N]],Transactions[[#This Row],[Transaction name]],IF(Transactions[[#This Row],[Level 0]]=Transactions[[#This Row],[L2N]],Transactions[[#This Row],[L1N]],IF(Transactions[[#This Row],[Level 0]]=Transactions[[#This Row],[L3N]],Transactions[[#This Row],[L2N]],IF(Transactions[[#This Row],[Level 0]]=Transactions[[#This Row],[L4N]],Transactions[[#This Row],[L3N]],IF(Transactions[[#This Row],[Level 0]]=Transactions[[#This Row],[L5N]],Transactions[[#This Row],[L4N]],IF(Transactions[[#This Row],[Level 0]]=Transactions[[#This Row],[L6N]],Transactions[[#This Row],[L5N]],IF(Transactions[[#This Row],[Level 0]]=Transactions[[#This Row],[L7N]],Transactions[[#This Row],[L6N]],Transactions[[#This Row],[L7N]]))))))))</f>
        <v>Electricity, CHP and heat plants (T)</v>
      </c>
      <c r="AT391" s="24" t="str">
        <f>IF(Transactions[[#This Row],[Level 1]]=Transactions[[#This Row],[Transaction name]],Transactions[[#This Row],[Transaction name]],IF(Transactions[[#This Row],[Level 1]]=Transactions[[#This Row],[L1N]],Transactions[[#This Row],[Transaction name]],IF(Transactions[[#This Row],[Level 1]]=Transactions[[#This Row],[L2N]],Transactions[[#This Row],[L1N]],IF(Transactions[[#This Row],[Level 1]]=Transactions[[#This Row],[L3N]],Transactions[[#This Row],[L2N]],IF(Transactions[[#This Row],[Level 1]]=Transactions[[#This Row],[L4N]],Transactions[[#This Row],[L3N]],IF(Transactions[[#This Row],[Level 1]]=Transactions[[#This Row],[L5N]],Transactions[[#This Row],[L4N]],IF(Transactions[[#This Row],[Level 1]]=Transactions[[#This Row],[L6N]],Transactions[[#This Row],[L5N]],IF(Transactions[[#This Row],[Level 1]]=Transactions[[#This Row],[L7N]],Transactions[[#This Row],[L6N]],Transactions[[#This Row],[L7N]]))))))))</f>
        <v>Electricity plants</v>
      </c>
      <c r="AU391" s="24" t="str">
        <f>IF(Transactions[[#This Row],[Level 2]]=Transactions[[#This Row],[Transaction name]],Transactions[[#This Row],[Transaction name]],IF(Transactions[[#This Row],[Level 2]]=Transactions[[#This Row],[L1N]],Transactions[[#This Row],[Transaction name]],IF(Transactions[[#This Row],[Level 2]]=Transactions[[#This Row],[L2N]],Transactions[[#This Row],[L1N]],IF(Transactions[[#This Row],[Level 2]]=Transactions[[#This Row],[L3N]],Transactions[[#This Row],[L2N]],IF(Transactions[[#This Row],[Level 2]]=Transactions[[#This Row],[L4N]],Transactions[[#This Row],[L3N]],IF(Transactions[[#This Row],[Level 2]]=Transactions[[#This Row],[L5N]],Transactions[[#This Row],[L4N]],IF(Transactions[[#This Row],[Level 2]]=Transactions[[#This Row],[L6N]],Transactions[[#This Row],[L5N]],IF(Transactions[[#This Row],[Level 2]]=Transactions[[#This Row],[L7N]],Transactions[[#This Row],[L6N]],Transactions[[#This Row],[L7N]]))))))))</f>
        <v>Electricity plants - other sources</v>
      </c>
      <c r="AV391" s="24" t="str">
        <f>IF(Transactions[[#This Row],[Level 3]]=Transactions[[#This Row],[Transaction name]],Transactions[[#This Row],[Transaction name]],IF(Transactions[[#This Row],[Level 3]]=Transactions[[#This Row],[L1N]],Transactions[[#This Row],[Transaction name]],IF(Transactions[[#This Row],[Level 3]]=Transactions[[#This Row],[L2N]],Transactions[[#This Row],[L1N]],IF(Transactions[[#This Row],[Level 3]]=Transactions[[#This Row],[L3N]],Transactions[[#This Row],[L2N]],IF(Transactions[[#This Row],[Level 3]]=Transactions[[#This Row],[L4N]],Transactions[[#This Row],[L3N]],IF(Transactions[[#This Row],[Level 3]]=Transactions[[#This Row],[L5N]],Transactions[[#This Row],[L4N]],IF(Transactions[[#This Row],[Level 3]]=Transactions[[#This Row],[L6N]],Transactions[[#This Row],[L5N]],IF(Transactions[[#This Row],[Level 3]]=Transactions[[#This Row],[L7N]],Transactions[[#This Row],[L6N]],Transactions[[#This Row],[L7N]]))))))))</f>
        <v>Electricity plants - Main activity - other sources</v>
      </c>
      <c r="AW391" s="24" t="str">
        <f>IF(Transactions[[#This Row],[Level 4]]=Transactions[[#This Row],[Transaction name]],Transactions[[#This Row],[Transaction name]],IF(Transactions[[#This Row],[Level 4]]=Transactions[[#This Row],[L1N]],Transactions[[#This Row],[Transaction name]],IF(Transactions[[#This Row],[Level 4]]=Transactions[[#This Row],[L2N]],Transactions[[#This Row],[L1N]],IF(Transactions[[#This Row],[Level 4]]=Transactions[[#This Row],[L3N]],Transactions[[#This Row],[L2N]],IF(Transactions[[#This Row],[Level 4]]=Transactions[[#This Row],[L4N]],Transactions[[#This Row],[L3N]],IF(Transactions[[#This Row],[Level 4]]=Transactions[[#This Row],[L5N]],Transactions[[#This Row],[L4N]],IF(Transactions[[#This Row],[Level 4]]=Transactions[[#This Row],[L6N]],Transactions[[#This Row],[L5N]],IF(Transactions[[#This Row],[Level 4]]=Transactions[[#This Row],[L7N]],Transactions[[#This Row],[L6N]],Transactions[[#This Row],[L7N]]))))))))</f>
        <v>Electricity plants - Main activity - other sources</v>
      </c>
      <c r="AX391" s="24" t="str">
        <f>IF(Transactions[[#This Row],[Level 5]]=Transactions[[#This Row],[Transaction name]],Transactions[[#This Row],[Transaction name]],IF(Transactions[[#This Row],[Level 5]]=Transactions[[#This Row],[L1N]],Transactions[[#This Row],[Transaction name]],IF(Transactions[[#This Row],[Level 5]]=Transactions[[#This Row],[L2N]],Transactions[[#This Row],[L1N]],IF(Transactions[[#This Row],[Level 5]]=Transactions[[#This Row],[L3N]],Transactions[[#This Row],[L2N]],IF(Transactions[[#This Row],[Level 5]]=Transactions[[#This Row],[L4N]],Transactions[[#This Row],[L3N]],IF(Transactions[[#This Row],[Level 5]]=Transactions[[#This Row],[L5N]],Transactions[[#This Row],[L4N]],IF(Transactions[[#This Row],[Level 5]]=Transactions[[#This Row],[L6N]],Transactions[[#This Row],[L5N]],IF(Transactions[[#This Row],[Level 5]]=Transactions[[#This Row],[L7N]],Transactions[[#This Row],[L6N]],Transactions[[#This Row],[L7N]]))))))))</f>
        <v>Electricity plants - Main activity - other sources</v>
      </c>
      <c r="AY391" s="24" t="str">
        <f>IF(Transactions[[#This Row],[Level 6]]=Transactions[[#This Row],[Transaction name]],Transactions[[#This Row],[Transaction name]],IF(Transactions[[#This Row],[Level 6]]=Transactions[[#This Row],[L1N]],Transactions[[#This Row],[Transaction name]],IF(Transactions[[#This Row],[Level 6]]=Transactions[[#This Row],[L2N]],Transactions[[#This Row],[L1N]],IF(Transactions[[#This Row],[Level 6]]=Transactions[[#This Row],[L3N]],Transactions[[#This Row],[L2N]],IF(Transactions[[#This Row],[Level 6]]=Transactions[[#This Row],[L4N]],Transactions[[#This Row],[L3N]],IF(Transactions[[#This Row],[Level 6]]=Transactions[[#This Row],[L5N]],Transactions[[#This Row],[L4N]],IF(Transactions[[#This Row],[Level 6]]=Transactions[[#This Row],[L6N]],Transactions[[#This Row],[L5N]],IF(Transactions[[#This Row],[Level 6]]=Transactions[[#This Row],[L7N]],Transactions[[#This Row],[L6N]],Transactions[[#This Row],[L7N]]))))))))</f>
        <v>Electricity plants - Main activity - other sources</v>
      </c>
      <c r="BE391" s="26" t="str">
        <f>_xlfn.XLOOKUP(Transformation[[#This Row],[cfrom]],Commodities[Commodity],Commodities[Commodity code])</f>
        <v>4691</v>
      </c>
      <c r="BF391" s="26" t="str">
        <f>_xlfn.XLOOKUP(Transformation[[#This Row],[tfrom]],Transactions[Transaction name],Transactions[Transaction code])</f>
        <v>014</v>
      </c>
      <c r="BG391" s="26" t="str">
        <f>_xlfn.XLOOKUP(Transformation[[#This Row],[cto]],Commodities[Commodity],Commodities[Commodity code])</f>
        <v>4691</v>
      </c>
      <c r="BH391" s="26" t="str">
        <f>_xlfn.XLOOKUP(Transformation[[#This Row],[tto]],Transactions[Transaction name],Transactions[Transaction code])</f>
        <v>014</v>
      </c>
      <c r="BI391" s="31">
        <v>-1</v>
      </c>
      <c r="BJ391" s="22" t="s">
        <v>363</v>
      </c>
      <c r="BK391" s="26" t="str">
        <f>_xlfn.XLOOKUP(Transformation[[#This Row],[Commodity from]],Commodities[Commodity code],Commodities[EnergyCode])</f>
        <v>WS</v>
      </c>
      <c r="BL391" s="22" t="s">
        <v>370</v>
      </c>
      <c r="BM391" s="22" t="s">
        <v>363</v>
      </c>
      <c r="BN391" s="26" t="str">
        <f>_xlfn.XLOOKUP(Transformation[[#This Row],[Commodity to]],Commodities[Commodity code],Commodities[EnergyCode])</f>
        <v>WS</v>
      </c>
      <c r="BO391" s="22" t="s">
        <v>370</v>
      </c>
      <c r="BP391" s="22" t="s">
        <v>1689</v>
      </c>
      <c r="BQ391" s="33" t="str">
        <f>Transformation[[#This Row],[Commodity from]]&amp;Transformation[[#This Row],[Transaction from]]&amp;Transformation[[#This Row],[Commodity to]]&amp;Transformation[[#This Row],[Transaction to]]</f>
        <v>46910144691014</v>
      </c>
      <c r="BR391" s="26" t="str">
        <f>Transformation[[#This Row],[crfomid]]&amp;Transformation[[#This Row],[Transaction from]]&amp;"("&amp;Transformation[[#This Row],[Multiplier]]&amp;") -&gt; "&amp;Transformation[[#This Row],[ctoid]]&amp;Transformation[[#This Row],[Transaction to]]</f>
        <v>WS014(-1) -&gt; WS014</v>
      </c>
    </row>
    <row r="392" spans="25:70" x14ac:dyDescent="0.45">
      <c r="Y392" s="19" t="s">
        <v>1597</v>
      </c>
      <c r="Z392" s="18" t="s">
        <v>1325</v>
      </c>
      <c r="AA392" s="18" t="s">
        <v>1325</v>
      </c>
      <c r="AB392" s="19" t="s">
        <v>1600</v>
      </c>
      <c r="AC392" s="26" t="str">
        <f>IFERROR(VLOOKUP(Transactions[[#This Row],[Parent code]],Transactions[[Transaction code]:[Transaction name]],2,0),"")</f>
        <v>Electricity plants</v>
      </c>
      <c r="AD392" s="18" t="s">
        <v>189</v>
      </c>
      <c r="AE392" s="18" t="s">
        <v>923</v>
      </c>
      <c r="AF392" s="18" t="s">
        <v>642</v>
      </c>
      <c r="AG392" s="18" t="s">
        <v>1</v>
      </c>
      <c r="AH392" s="18" t="s">
        <v>696</v>
      </c>
      <c r="AI392" s="18"/>
      <c r="AJ392" s="18"/>
      <c r="AK392" s="26" t="str" cm="1">
        <f t="array" ref="AK392">IFERROR(INDEX(Transactions[[Transaction code]:[Transaction name]],_xlfn.XMATCH(Transactions[[#This Row],[Parent code]],Transactions[Transaction name],0),3),Transactions[[#This Row],[Transaction name]])</f>
        <v>Electricity plants - other sources</v>
      </c>
      <c r="AL392" s="26" t="str" cm="1">
        <f t="array" ref="AL392">IFERROR(INDEX(Transactions[[Transaction code]:[Transaction name]],_xlfn.XMATCH(INDEX(Transactions[[Transaction name]:[Parent code]],_xlfn.XMATCH(Transactions[[#This Row],[L1N]],Transactions[Transaction name],0),3),Transactions[Transaction code],0),2),Transactions[[#This Row],[L1N]])</f>
        <v>Electricity plants</v>
      </c>
      <c r="AM392" s="26" t="str" cm="1">
        <f t="array" ref="AM392">IFERROR(INDEX(Transactions[[Transaction code]:[Transaction name]],_xlfn.XMATCH(INDEX(Transactions[[Transaction name]:[Parent code]],_xlfn.XMATCH(Transactions[[#This Row],[L2N]],Transactions[Transaction name],0),3),Transactions[Transaction code],0),2),Transactions[[#This Row],[L2N]])</f>
        <v>Electricity, CHP and heat plants (T)</v>
      </c>
      <c r="AN392" s="26" t="str" cm="1">
        <f t="array" ref="AN392">IFERROR(INDEX(Transactions[[Transaction code]:[Transaction name]],_xlfn.XMATCH(INDEX(Transactions[[Transaction name]:[Parent code]],_xlfn.XMATCH(Transactions[[#This Row],[L3N]],Transactions[Transaction name],0),3),Transactions[Transaction code],0),2),Transactions[[#This Row],[L3N]])</f>
        <v>Transformation</v>
      </c>
      <c r="AO392" s="26" t="str" cm="1">
        <f t="array" ref="AO392">IFERROR(INDEX(Transactions[[Transaction code]:[Transaction name]],_xlfn.XMATCH(INDEX(Transactions[[Transaction name]:[Parent code]],_xlfn.XMATCH(Transactions[[#This Row],[L4N]],Transactions[Transaction name],0),3),Transactions[Transaction code],0),2),Transactions[[#This Row],[L4N]])</f>
        <v>Transformation</v>
      </c>
      <c r="AP392" s="26" t="str" cm="1">
        <f t="array" ref="AP392">IFERROR(INDEX(Transactions[[Transaction code]:[Transaction name]],_xlfn.XMATCH(INDEX(Transactions[[Transaction name]:[Parent code]],_xlfn.XMATCH(Transactions[[#This Row],[L5N]],Transactions[Transaction name],0),3),Transactions[Transaction code],0),2),Transactions[[#This Row],[L5N]])</f>
        <v>Transformation</v>
      </c>
      <c r="AQ392" s="26" t="str" cm="1">
        <f t="array" ref="AQ392">IFERROR(INDEX(Transactions[[Transaction code]:[Transaction name]],_xlfn.XMATCH(INDEX(Transactions[[Transaction name]:[Parent code]],_xlfn.XMATCH(Transactions[[#This Row],[L6N]],Transactions[Transaction name],0),3),Transactions[Transaction code],0),2),Transactions[[#This Row],[L6N]])</f>
        <v>Transformation</v>
      </c>
      <c r="AR392" s="29" t="str">
        <f>IF(Transactions[[#This Row],[L7N]]=Transactions[[#This Row],[L6N]],Transactions[[#This Row],[L7N]],IF(Transactions[[#This Row],[L6N]]=Transactions[[#This Row],[L5N]],Transactions[[#This Row],[L6N]],IF(Transactions[[#This Row],[L5N]]=Transactions[[#This Row],[L4N]],Transactions[[#This Row],[L5N]],IF(Transactions[[#This Row],[L4N]]=Transactions[[#This Row],[L3N]],Transactions[[#This Row],[L4N]],IF(Transactions[[#This Row],[L3N]]=Transactions[[#This Row],[L2N]],Transactions[[#This Row],[L3N]],IF(Transactions[[#This Row],[L2N]]=Transactions[[#This Row],[L1N]],Transactions[[#This Row],[L2N]],IF(Transactions[[#This Row],[L1N]]=Transactions[[#This Row],[Transaction name]],Transactions[[#This Row],[L1N]],Transactions[[#This Row],[Transaction name]])))))))</f>
        <v>Transformation</v>
      </c>
      <c r="AS392" s="26" t="str">
        <f>IF(Transactions[[#This Row],[Level 0]]=Transactions[[#This Row],[Transaction name]],Transactions[[#This Row],[Transaction name]],IF(Transactions[[#This Row],[Level 0]]=Transactions[[#This Row],[L1N]],Transactions[[#This Row],[Transaction name]],IF(Transactions[[#This Row],[Level 0]]=Transactions[[#This Row],[L2N]],Transactions[[#This Row],[L1N]],IF(Transactions[[#This Row],[Level 0]]=Transactions[[#This Row],[L3N]],Transactions[[#This Row],[L2N]],IF(Transactions[[#This Row],[Level 0]]=Transactions[[#This Row],[L4N]],Transactions[[#This Row],[L3N]],IF(Transactions[[#This Row],[Level 0]]=Transactions[[#This Row],[L5N]],Transactions[[#This Row],[L4N]],IF(Transactions[[#This Row],[Level 0]]=Transactions[[#This Row],[L6N]],Transactions[[#This Row],[L5N]],IF(Transactions[[#This Row],[Level 0]]=Transactions[[#This Row],[L7N]],Transactions[[#This Row],[L6N]],Transactions[[#This Row],[L7N]]))))))))</f>
        <v>Electricity, CHP and heat plants (T)</v>
      </c>
      <c r="AT392" s="26" t="str">
        <f>IF(Transactions[[#This Row],[Level 1]]=Transactions[[#This Row],[Transaction name]],Transactions[[#This Row],[Transaction name]],IF(Transactions[[#This Row],[Level 1]]=Transactions[[#This Row],[L1N]],Transactions[[#This Row],[Transaction name]],IF(Transactions[[#This Row],[Level 1]]=Transactions[[#This Row],[L2N]],Transactions[[#This Row],[L1N]],IF(Transactions[[#This Row],[Level 1]]=Transactions[[#This Row],[L3N]],Transactions[[#This Row],[L2N]],IF(Transactions[[#This Row],[Level 1]]=Transactions[[#This Row],[L4N]],Transactions[[#This Row],[L3N]],IF(Transactions[[#This Row],[Level 1]]=Transactions[[#This Row],[L5N]],Transactions[[#This Row],[L4N]],IF(Transactions[[#This Row],[Level 1]]=Transactions[[#This Row],[L6N]],Transactions[[#This Row],[L5N]],IF(Transactions[[#This Row],[Level 1]]=Transactions[[#This Row],[L7N]],Transactions[[#This Row],[L6N]],Transactions[[#This Row],[L7N]]))))))))</f>
        <v>Electricity plants</v>
      </c>
      <c r="AU392" s="26" t="str">
        <f>IF(Transactions[[#This Row],[Level 2]]=Transactions[[#This Row],[Transaction name]],Transactions[[#This Row],[Transaction name]],IF(Transactions[[#This Row],[Level 2]]=Transactions[[#This Row],[L1N]],Transactions[[#This Row],[Transaction name]],IF(Transactions[[#This Row],[Level 2]]=Transactions[[#This Row],[L2N]],Transactions[[#This Row],[L1N]],IF(Transactions[[#This Row],[Level 2]]=Transactions[[#This Row],[L3N]],Transactions[[#This Row],[L2N]],IF(Transactions[[#This Row],[Level 2]]=Transactions[[#This Row],[L4N]],Transactions[[#This Row],[L3N]],IF(Transactions[[#This Row],[Level 2]]=Transactions[[#This Row],[L5N]],Transactions[[#This Row],[L4N]],IF(Transactions[[#This Row],[Level 2]]=Transactions[[#This Row],[L6N]],Transactions[[#This Row],[L5N]],IF(Transactions[[#This Row],[Level 2]]=Transactions[[#This Row],[L7N]],Transactions[[#This Row],[L6N]],Transactions[[#This Row],[L7N]]))))))))</f>
        <v>Electricity plants - other sources</v>
      </c>
      <c r="AV392" s="26" t="str">
        <f>IF(Transactions[[#This Row],[Level 3]]=Transactions[[#This Row],[Transaction name]],Transactions[[#This Row],[Transaction name]],IF(Transactions[[#This Row],[Level 3]]=Transactions[[#This Row],[L1N]],Transactions[[#This Row],[Transaction name]],IF(Transactions[[#This Row],[Level 3]]=Transactions[[#This Row],[L2N]],Transactions[[#This Row],[L1N]],IF(Transactions[[#This Row],[Level 3]]=Transactions[[#This Row],[L3N]],Transactions[[#This Row],[L2N]],IF(Transactions[[#This Row],[Level 3]]=Transactions[[#This Row],[L4N]],Transactions[[#This Row],[L3N]],IF(Transactions[[#This Row],[Level 3]]=Transactions[[#This Row],[L5N]],Transactions[[#This Row],[L4N]],IF(Transactions[[#This Row],[Level 3]]=Transactions[[#This Row],[L6N]],Transactions[[#This Row],[L5N]],IF(Transactions[[#This Row],[Level 3]]=Transactions[[#This Row],[L7N]],Transactions[[#This Row],[L6N]],Transactions[[#This Row],[L7N]]))))))))</f>
        <v>Electricity plants - other sources</v>
      </c>
      <c r="AW392" s="26" t="str">
        <f>IF(Transactions[[#This Row],[Level 4]]=Transactions[[#This Row],[Transaction name]],Transactions[[#This Row],[Transaction name]],IF(Transactions[[#This Row],[Level 4]]=Transactions[[#This Row],[L1N]],Transactions[[#This Row],[Transaction name]],IF(Transactions[[#This Row],[Level 4]]=Transactions[[#This Row],[L2N]],Transactions[[#This Row],[L1N]],IF(Transactions[[#This Row],[Level 4]]=Transactions[[#This Row],[L3N]],Transactions[[#This Row],[L2N]],IF(Transactions[[#This Row],[Level 4]]=Transactions[[#This Row],[L4N]],Transactions[[#This Row],[L3N]],IF(Transactions[[#This Row],[Level 4]]=Transactions[[#This Row],[L5N]],Transactions[[#This Row],[L4N]],IF(Transactions[[#This Row],[Level 4]]=Transactions[[#This Row],[L6N]],Transactions[[#This Row],[L5N]],IF(Transactions[[#This Row],[Level 4]]=Transactions[[#This Row],[L7N]],Transactions[[#This Row],[L6N]],Transactions[[#This Row],[L7N]]))))))))</f>
        <v>Electricity plants - other sources</v>
      </c>
      <c r="AX392" s="26" t="str">
        <f>IF(Transactions[[#This Row],[Level 5]]=Transactions[[#This Row],[Transaction name]],Transactions[[#This Row],[Transaction name]],IF(Transactions[[#This Row],[Level 5]]=Transactions[[#This Row],[L1N]],Transactions[[#This Row],[Transaction name]],IF(Transactions[[#This Row],[Level 5]]=Transactions[[#This Row],[L2N]],Transactions[[#This Row],[L1N]],IF(Transactions[[#This Row],[Level 5]]=Transactions[[#This Row],[L3N]],Transactions[[#This Row],[L2N]],IF(Transactions[[#This Row],[Level 5]]=Transactions[[#This Row],[L4N]],Transactions[[#This Row],[L3N]],IF(Transactions[[#This Row],[Level 5]]=Transactions[[#This Row],[L5N]],Transactions[[#This Row],[L4N]],IF(Transactions[[#This Row],[Level 5]]=Transactions[[#This Row],[L6N]],Transactions[[#This Row],[L5N]],IF(Transactions[[#This Row],[Level 5]]=Transactions[[#This Row],[L7N]],Transactions[[#This Row],[L6N]],Transactions[[#This Row],[L7N]]))))))))</f>
        <v>Electricity plants - other sources</v>
      </c>
      <c r="AY392" s="26" t="str">
        <f>IF(Transactions[[#This Row],[Level 6]]=Transactions[[#This Row],[Transaction name]],Transactions[[#This Row],[Transaction name]],IF(Transactions[[#This Row],[Level 6]]=Transactions[[#This Row],[L1N]],Transactions[[#This Row],[Transaction name]],IF(Transactions[[#This Row],[Level 6]]=Transactions[[#This Row],[L2N]],Transactions[[#This Row],[L1N]],IF(Transactions[[#This Row],[Level 6]]=Transactions[[#This Row],[L3N]],Transactions[[#This Row],[L2N]],IF(Transactions[[#This Row],[Level 6]]=Transactions[[#This Row],[L4N]],Transactions[[#This Row],[L3N]],IF(Transactions[[#This Row],[Level 6]]=Transactions[[#This Row],[L5N]],Transactions[[#This Row],[L4N]],IF(Transactions[[#This Row],[Level 6]]=Transactions[[#This Row],[L6N]],Transactions[[#This Row],[L5N]],IF(Transactions[[#This Row],[Level 6]]=Transactions[[#This Row],[L7N]],Transactions[[#This Row],[L6N]],Transactions[[#This Row],[L7N]]))))))))</f>
        <v>Electricity plants - other sources</v>
      </c>
      <c r="BE392" s="26" t="str">
        <f>_xlfn.XLOOKUP(Transformation[[#This Row],[cfrom]],Commodities[Commodity],Commodities[Commodity code])</f>
        <v>0312</v>
      </c>
      <c r="BF392" s="26" t="str">
        <f>_xlfn.XLOOKUP(Transformation[[#This Row],[tfrom]],Transactions[Transaction name],Transactions[Transaction code])</f>
        <v>01</v>
      </c>
      <c r="BG392" s="26" t="str">
        <f>_xlfn.XLOOKUP(Transformation[[#This Row],[cto]],Commodities[Commodity],Commodities[Commodity code])</f>
        <v>0312</v>
      </c>
      <c r="BH392" s="26" t="str">
        <f>_xlfn.XLOOKUP(Transformation[[#This Row],[tto]],Transactions[Transaction name],Transactions[Transaction code])</f>
        <v>01</v>
      </c>
      <c r="BI392" s="32">
        <v>-1</v>
      </c>
      <c r="BJ392" s="22" t="s">
        <v>497</v>
      </c>
      <c r="BK392" s="26" t="str">
        <f>_xlfn.XLOOKUP(Transformation[[#This Row],[Commodity from]],Commodities[Commodity code],Commodities[EnergyCode])</f>
        <v>GK</v>
      </c>
      <c r="BL392" s="22" t="s">
        <v>383</v>
      </c>
      <c r="BM392" s="22" t="s">
        <v>497</v>
      </c>
      <c r="BN392" s="26" t="str">
        <f>_xlfn.XLOOKUP(Transformation[[#This Row],[Commodity to]],Commodities[Commodity code],Commodities[EnergyCode])</f>
        <v>GK</v>
      </c>
      <c r="BO392" s="22" t="s">
        <v>383</v>
      </c>
      <c r="BP392" s="22" t="s">
        <v>1633</v>
      </c>
      <c r="BQ392" s="33" t="str">
        <f>Transformation[[#This Row],[Commodity from]]&amp;Transformation[[#This Row],[Transaction from]]&amp;Transformation[[#This Row],[Commodity to]]&amp;Transformation[[#This Row],[Transaction to]]</f>
        <v>031201031201</v>
      </c>
      <c r="BR392" s="26" t="str">
        <f>Transformation[[#This Row],[crfomid]]&amp;Transformation[[#This Row],[Transaction from]]&amp;"("&amp;Transformation[[#This Row],[Multiplier]]&amp;") -&gt; "&amp;Transformation[[#This Row],[ctoid]]&amp;Transformation[[#This Row],[Transaction to]]</f>
        <v>GK01(-1) -&gt; GK01</v>
      </c>
    </row>
    <row r="393" spans="25:70" x14ac:dyDescent="0.45">
      <c r="Y393" s="5" t="s">
        <v>1268</v>
      </c>
      <c r="Z393" s="7" t="s">
        <v>1206</v>
      </c>
      <c r="AA393" s="4" t="s">
        <v>1392</v>
      </c>
      <c r="AB393" s="19" t="s">
        <v>1601</v>
      </c>
      <c r="AC393" s="24" t="str">
        <f>IFERROR(VLOOKUP(Transactions[[#This Row],[Parent code]],Transactions[[Transaction code]:[Transaction name]],2,0),"")</f>
        <v>Electricity plants - peat</v>
      </c>
      <c r="AD393" s="4" t="s">
        <v>189</v>
      </c>
      <c r="AE393" s="4" t="s">
        <v>923</v>
      </c>
      <c r="AF393" s="4" t="s">
        <v>642</v>
      </c>
      <c r="AG393" s="4" t="s">
        <v>1</v>
      </c>
      <c r="AH393" s="4" t="s">
        <v>696</v>
      </c>
      <c r="AI393" s="12" t="s">
        <v>1416</v>
      </c>
      <c r="AK393" s="24" t="str" cm="1">
        <f t="array" ref="AK393">IFERROR(INDEX(Transactions[[Transaction code]:[Transaction name]],_xlfn.XMATCH(Transactions[[#This Row],[Parent code]],Transactions[Transaction name],0),3),Transactions[[#This Row],[Transaction name]])</f>
        <v>Electricity plants - Autoproducer - peat</v>
      </c>
      <c r="AL393" s="24" t="str" cm="1">
        <f t="array" ref="AL393">IFERROR(INDEX(Transactions[[Transaction code]:[Transaction name]],_xlfn.XMATCH(INDEX(Transactions[[Transaction name]:[Parent code]],_xlfn.XMATCH(Transactions[[#This Row],[L1N]],Transactions[Transaction name],0),3),Transactions[Transaction code],0),2),Transactions[[#This Row],[L1N]])</f>
        <v>Electricity plants - peat</v>
      </c>
      <c r="AM393" s="24" t="str" cm="1">
        <f t="array" ref="AM393">IFERROR(INDEX(Transactions[[Transaction code]:[Transaction name]],_xlfn.XMATCH(INDEX(Transactions[[Transaction name]:[Parent code]],_xlfn.XMATCH(Transactions[[#This Row],[L2N]],Transactions[Transaction name],0),3),Transactions[Transaction code],0),2),Transactions[[#This Row],[L2N]])</f>
        <v>Electricity plants</v>
      </c>
      <c r="AN393" s="24" t="str" cm="1">
        <f t="array" ref="AN393">IFERROR(INDEX(Transactions[[Transaction code]:[Transaction name]],_xlfn.XMATCH(INDEX(Transactions[[Transaction name]:[Parent code]],_xlfn.XMATCH(Transactions[[#This Row],[L3N]],Transactions[Transaction name],0),3),Transactions[Transaction code],0),2),Transactions[[#This Row],[L3N]])</f>
        <v>Electricity, CHP and heat plants (T)</v>
      </c>
      <c r="AO393" s="24" t="str" cm="1">
        <f t="array" ref="AO393">IFERROR(INDEX(Transactions[[Transaction code]:[Transaction name]],_xlfn.XMATCH(INDEX(Transactions[[Transaction name]:[Parent code]],_xlfn.XMATCH(Transactions[[#This Row],[L4N]],Transactions[Transaction name],0),3),Transactions[Transaction code],0),2),Transactions[[#This Row],[L4N]])</f>
        <v>Transformation</v>
      </c>
      <c r="AP393" s="24" t="str" cm="1">
        <f t="array" ref="AP393">IFERROR(INDEX(Transactions[[Transaction code]:[Transaction name]],_xlfn.XMATCH(INDEX(Transactions[[Transaction name]:[Parent code]],_xlfn.XMATCH(Transactions[[#This Row],[L5N]],Transactions[Transaction name],0),3),Transactions[Transaction code],0),2),Transactions[[#This Row],[L5N]])</f>
        <v>Transformation</v>
      </c>
      <c r="AQ393" s="24" t="str" cm="1">
        <f t="array" ref="AQ393">IFERROR(INDEX(Transactions[[Transaction code]:[Transaction name]],_xlfn.XMATCH(INDEX(Transactions[[Transaction name]:[Parent code]],_xlfn.XMATCH(Transactions[[#This Row],[L6N]],Transactions[Transaction name],0),3),Transactions[Transaction code],0),2),Transactions[[#This Row],[L6N]])</f>
        <v>Transformation</v>
      </c>
      <c r="AR393" s="28" t="str">
        <f>IF(Transactions[[#This Row],[L7N]]=Transactions[[#This Row],[L6N]],Transactions[[#This Row],[L7N]],IF(Transactions[[#This Row],[L6N]]=Transactions[[#This Row],[L5N]],Transactions[[#This Row],[L6N]],IF(Transactions[[#This Row],[L5N]]=Transactions[[#This Row],[L4N]],Transactions[[#This Row],[L5N]],IF(Transactions[[#This Row],[L4N]]=Transactions[[#This Row],[L3N]],Transactions[[#This Row],[L4N]],IF(Transactions[[#This Row],[L3N]]=Transactions[[#This Row],[L2N]],Transactions[[#This Row],[L3N]],IF(Transactions[[#This Row],[L2N]]=Transactions[[#This Row],[L1N]],Transactions[[#This Row],[L2N]],IF(Transactions[[#This Row],[L1N]]=Transactions[[#This Row],[Transaction name]],Transactions[[#This Row],[L1N]],Transactions[[#This Row],[Transaction name]])))))))</f>
        <v>Transformation</v>
      </c>
      <c r="AS393" s="24" t="str">
        <f>IF(Transactions[[#This Row],[Level 0]]=Transactions[[#This Row],[Transaction name]],Transactions[[#This Row],[Transaction name]],IF(Transactions[[#This Row],[Level 0]]=Transactions[[#This Row],[L1N]],Transactions[[#This Row],[Transaction name]],IF(Transactions[[#This Row],[Level 0]]=Transactions[[#This Row],[L2N]],Transactions[[#This Row],[L1N]],IF(Transactions[[#This Row],[Level 0]]=Transactions[[#This Row],[L3N]],Transactions[[#This Row],[L2N]],IF(Transactions[[#This Row],[Level 0]]=Transactions[[#This Row],[L4N]],Transactions[[#This Row],[L3N]],IF(Transactions[[#This Row],[Level 0]]=Transactions[[#This Row],[L5N]],Transactions[[#This Row],[L4N]],IF(Transactions[[#This Row],[Level 0]]=Transactions[[#This Row],[L6N]],Transactions[[#This Row],[L5N]],IF(Transactions[[#This Row],[Level 0]]=Transactions[[#This Row],[L7N]],Transactions[[#This Row],[L6N]],Transactions[[#This Row],[L7N]]))))))))</f>
        <v>Electricity, CHP and heat plants (T)</v>
      </c>
      <c r="AT393" s="24" t="str">
        <f>IF(Transactions[[#This Row],[Level 1]]=Transactions[[#This Row],[Transaction name]],Transactions[[#This Row],[Transaction name]],IF(Transactions[[#This Row],[Level 1]]=Transactions[[#This Row],[L1N]],Transactions[[#This Row],[Transaction name]],IF(Transactions[[#This Row],[Level 1]]=Transactions[[#This Row],[L2N]],Transactions[[#This Row],[L1N]],IF(Transactions[[#This Row],[Level 1]]=Transactions[[#This Row],[L3N]],Transactions[[#This Row],[L2N]],IF(Transactions[[#This Row],[Level 1]]=Transactions[[#This Row],[L4N]],Transactions[[#This Row],[L3N]],IF(Transactions[[#This Row],[Level 1]]=Transactions[[#This Row],[L5N]],Transactions[[#This Row],[L4N]],IF(Transactions[[#This Row],[Level 1]]=Transactions[[#This Row],[L6N]],Transactions[[#This Row],[L5N]],IF(Transactions[[#This Row],[Level 1]]=Transactions[[#This Row],[L7N]],Transactions[[#This Row],[L6N]],Transactions[[#This Row],[L7N]]))))))))</f>
        <v>Electricity plants</v>
      </c>
      <c r="AU393" s="24" t="str">
        <f>IF(Transactions[[#This Row],[Level 2]]=Transactions[[#This Row],[Transaction name]],Transactions[[#This Row],[Transaction name]],IF(Transactions[[#This Row],[Level 2]]=Transactions[[#This Row],[L1N]],Transactions[[#This Row],[Transaction name]],IF(Transactions[[#This Row],[Level 2]]=Transactions[[#This Row],[L2N]],Transactions[[#This Row],[L1N]],IF(Transactions[[#This Row],[Level 2]]=Transactions[[#This Row],[L3N]],Transactions[[#This Row],[L2N]],IF(Transactions[[#This Row],[Level 2]]=Transactions[[#This Row],[L4N]],Transactions[[#This Row],[L3N]],IF(Transactions[[#This Row],[Level 2]]=Transactions[[#This Row],[L5N]],Transactions[[#This Row],[L4N]],IF(Transactions[[#This Row],[Level 2]]=Transactions[[#This Row],[L6N]],Transactions[[#This Row],[L5N]],IF(Transactions[[#This Row],[Level 2]]=Transactions[[#This Row],[L7N]],Transactions[[#This Row],[L6N]],Transactions[[#This Row],[L7N]]))))))))</f>
        <v>Electricity plants - peat</v>
      </c>
      <c r="AV393" s="24" t="str">
        <f>IF(Transactions[[#This Row],[Level 3]]=Transactions[[#This Row],[Transaction name]],Transactions[[#This Row],[Transaction name]],IF(Transactions[[#This Row],[Level 3]]=Transactions[[#This Row],[L1N]],Transactions[[#This Row],[Transaction name]],IF(Transactions[[#This Row],[Level 3]]=Transactions[[#This Row],[L2N]],Transactions[[#This Row],[L1N]],IF(Transactions[[#This Row],[Level 3]]=Transactions[[#This Row],[L3N]],Transactions[[#This Row],[L2N]],IF(Transactions[[#This Row],[Level 3]]=Transactions[[#This Row],[L4N]],Transactions[[#This Row],[L3N]],IF(Transactions[[#This Row],[Level 3]]=Transactions[[#This Row],[L5N]],Transactions[[#This Row],[L4N]],IF(Transactions[[#This Row],[Level 3]]=Transactions[[#This Row],[L6N]],Transactions[[#This Row],[L5N]],IF(Transactions[[#This Row],[Level 3]]=Transactions[[#This Row],[L7N]],Transactions[[#This Row],[L6N]],Transactions[[#This Row],[L7N]]))))))))</f>
        <v>Electricity plants - Autoproducer - peat</v>
      </c>
      <c r="AW393" s="24" t="str">
        <f>IF(Transactions[[#This Row],[Level 4]]=Transactions[[#This Row],[Transaction name]],Transactions[[#This Row],[Transaction name]],IF(Transactions[[#This Row],[Level 4]]=Transactions[[#This Row],[L1N]],Transactions[[#This Row],[Transaction name]],IF(Transactions[[#This Row],[Level 4]]=Transactions[[#This Row],[L2N]],Transactions[[#This Row],[L1N]],IF(Transactions[[#This Row],[Level 4]]=Transactions[[#This Row],[L3N]],Transactions[[#This Row],[L2N]],IF(Transactions[[#This Row],[Level 4]]=Transactions[[#This Row],[L4N]],Transactions[[#This Row],[L3N]],IF(Transactions[[#This Row],[Level 4]]=Transactions[[#This Row],[L5N]],Transactions[[#This Row],[L4N]],IF(Transactions[[#This Row],[Level 4]]=Transactions[[#This Row],[L6N]],Transactions[[#This Row],[L5N]],IF(Transactions[[#This Row],[Level 4]]=Transactions[[#This Row],[L7N]],Transactions[[#This Row],[L6N]],Transactions[[#This Row],[L7N]]))))))))</f>
        <v>Electricity plants - Autoproducer - peat</v>
      </c>
      <c r="AX393" s="24" t="str">
        <f>IF(Transactions[[#This Row],[Level 5]]=Transactions[[#This Row],[Transaction name]],Transactions[[#This Row],[Transaction name]],IF(Transactions[[#This Row],[Level 5]]=Transactions[[#This Row],[L1N]],Transactions[[#This Row],[Transaction name]],IF(Transactions[[#This Row],[Level 5]]=Transactions[[#This Row],[L2N]],Transactions[[#This Row],[L1N]],IF(Transactions[[#This Row],[Level 5]]=Transactions[[#This Row],[L3N]],Transactions[[#This Row],[L2N]],IF(Transactions[[#This Row],[Level 5]]=Transactions[[#This Row],[L4N]],Transactions[[#This Row],[L3N]],IF(Transactions[[#This Row],[Level 5]]=Transactions[[#This Row],[L5N]],Transactions[[#This Row],[L4N]],IF(Transactions[[#This Row],[Level 5]]=Transactions[[#This Row],[L6N]],Transactions[[#This Row],[L5N]],IF(Transactions[[#This Row],[Level 5]]=Transactions[[#This Row],[L7N]],Transactions[[#This Row],[L6N]],Transactions[[#This Row],[L7N]]))))))))</f>
        <v>Electricity plants - Autoproducer - peat</v>
      </c>
      <c r="AY393" s="24" t="str">
        <f>IF(Transactions[[#This Row],[Level 6]]=Transactions[[#This Row],[Transaction name]],Transactions[[#This Row],[Transaction name]],IF(Transactions[[#This Row],[Level 6]]=Transactions[[#This Row],[L1N]],Transactions[[#This Row],[Transaction name]],IF(Transactions[[#This Row],[Level 6]]=Transactions[[#This Row],[L2N]],Transactions[[#This Row],[L1N]],IF(Transactions[[#This Row],[Level 6]]=Transactions[[#This Row],[L3N]],Transactions[[#This Row],[L2N]],IF(Transactions[[#This Row],[Level 6]]=Transactions[[#This Row],[L4N]],Transactions[[#This Row],[L3N]],IF(Transactions[[#This Row],[Level 6]]=Transactions[[#This Row],[L5N]],Transactions[[#This Row],[L4N]],IF(Transactions[[#This Row],[Level 6]]=Transactions[[#This Row],[L6N]],Transactions[[#This Row],[L5N]],IF(Transactions[[#This Row],[Level 6]]=Transactions[[#This Row],[L7N]],Transactions[[#This Row],[L6N]],Transactions[[#This Row],[L7N]]))))))))</f>
        <v>Electricity plants - Autoproducer - peat</v>
      </c>
      <c r="BE393" s="26" t="str">
        <f>_xlfn.XLOOKUP(Transformation[[#This Row],[cfrom]],Commodities[Commodity],Commodities[Commodity code])</f>
        <v>0312</v>
      </c>
      <c r="BF393" s="26" t="str">
        <f>_xlfn.XLOOKUP(Transformation[[#This Row],[tfrom]],Transactions[Transaction name],Transactions[Transaction code])</f>
        <v>01</v>
      </c>
      <c r="BG393" s="26" t="str">
        <f>_xlfn.XLOOKUP(Transformation[[#This Row],[cto]],Commodities[Commodity],Commodities[Commodity code])</f>
        <v>0312</v>
      </c>
      <c r="BH393" s="26" t="str">
        <f>_xlfn.XLOOKUP(Transformation[[#This Row],[tto]],Transactions[Transaction name],Transactions[Transaction code])</f>
        <v>081</v>
      </c>
      <c r="BI393" s="32">
        <v>1</v>
      </c>
      <c r="BJ393" s="22" t="s">
        <v>497</v>
      </c>
      <c r="BK393" s="26" t="str">
        <f>_xlfn.XLOOKUP(Transformation[[#This Row],[Commodity from]],Commodities[Commodity code],Commodities[EnergyCode])</f>
        <v>GK</v>
      </c>
      <c r="BL393" s="22" t="s">
        <v>383</v>
      </c>
      <c r="BM393" s="22" t="s">
        <v>497</v>
      </c>
      <c r="BN393" s="26" t="str">
        <f>_xlfn.XLOOKUP(Transformation[[#This Row],[Commodity to]],Commodities[Commodity code],Commodities[EnergyCode])</f>
        <v>GK</v>
      </c>
      <c r="BO393" s="22" t="s">
        <v>721</v>
      </c>
      <c r="BP393" s="22" t="s">
        <v>1653</v>
      </c>
      <c r="BQ393" s="33" t="str">
        <f>Transformation[[#This Row],[Commodity from]]&amp;Transformation[[#This Row],[Transaction from]]&amp;Transformation[[#This Row],[Commodity to]]&amp;Transformation[[#This Row],[Transaction to]]</f>
        <v>0312010312081</v>
      </c>
      <c r="BR393" s="26" t="str">
        <f>Transformation[[#This Row],[crfomid]]&amp;Transformation[[#This Row],[Transaction from]]&amp;"("&amp;Transformation[[#This Row],[Multiplier]]&amp;") -&gt; "&amp;Transformation[[#This Row],[ctoid]]&amp;Transformation[[#This Row],[Transaction to]]</f>
        <v>GK01(1) -&gt; GK081</v>
      </c>
    </row>
    <row r="394" spans="25:70" x14ac:dyDescent="0.45">
      <c r="Y394" s="5" t="s">
        <v>1264</v>
      </c>
      <c r="Z394" s="7" t="s">
        <v>1202</v>
      </c>
      <c r="AA394" s="4" t="s">
        <v>1392</v>
      </c>
      <c r="AB394" s="19" t="s">
        <v>1601</v>
      </c>
      <c r="AC394" s="24" t="str">
        <f>IFERROR(VLOOKUP(Transactions[[#This Row],[Parent code]],Transactions[[Transaction code]:[Transaction name]],2,0),"")</f>
        <v>Electricity plants - peat</v>
      </c>
      <c r="AD394" s="4" t="s">
        <v>189</v>
      </c>
      <c r="AE394" s="4" t="s">
        <v>923</v>
      </c>
      <c r="AF394" s="4" t="s">
        <v>642</v>
      </c>
      <c r="AG394" s="4" t="s">
        <v>1</v>
      </c>
      <c r="AH394" s="4" t="s">
        <v>696</v>
      </c>
      <c r="AI394" s="12" t="s">
        <v>1416</v>
      </c>
      <c r="AK394" s="24" t="str" cm="1">
        <f t="array" ref="AK394">IFERROR(INDEX(Transactions[[Transaction code]:[Transaction name]],_xlfn.XMATCH(Transactions[[#This Row],[Parent code]],Transactions[Transaction name],0),3),Transactions[[#This Row],[Transaction name]])</f>
        <v>Electricity plants - Main activity - peat</v>
      </c>
      <c r="AL394" s="24" t="str" cm="1">
        <f t="array" ref="AL394">IFERROR(INDEX(Transactions[[Transaction code]:[Transaction name]],_xlfn.XMATCH(INDEX(Transactions[[Transaction name]:[Parent code]],_xlfn.XMATCH(Transactions[[#This Row],[L1N]],Transactions[Transaction name],0),3),Transactions[Transaction code],0),2),Transactions[[#This Row],[L1N]])</f>
        <v>Electricity plants - peat</v>
      </c>
      <c r="AM394" s="24" t="str" cm="1">
        <f t="array" ref="AM394">IFERROR(INDEX(Transactions[[Transaction code]:[Transaction name]],_xlfn.XMATCH(INDEX(Transactions[[Transaction name]:[Parent code]],_xlfn.XMATCH(Transactions[[#This Row],[L2N]],Transactions[Transaction name],0),3),Transactions[Transaction code],0),2),Transactions[[#This Row],[L2N]])</f>
        <v>Electricity plants</v>
      </c>
      <c r="AN394" s="24" t="str" cm="1">
        <f t="array" ref="AN394">IFERROR(INDEX(Transactions[[Transaction code]:[Transaction name]],_xlfn.XMATCH(INDEX(Transactions[[Transaction name]:[Parent code]],_xlfn.XMATCH(Transactions[[#This Row],[L3N]],Transactions[Transaction name],0),3),Transactions[Transaction code],0),2),Transactions[[#This Row],[L3N]])</f>
        <v>Electricity, CHP and heat plants (T)</v>
      </c>
      <c r="AO394" s="24" t="str" cm="1">
        <f t="array" ref="AO394">IFERROR(INDEX(Transactions[[Transaction code]:[Transaction name]],_xlfn.XMATCH(INDEX(Transactions[[Transaction name]:[Parent code]],_xlfn.XMATCH(Transactions[[#This Row],[L4N]],Transactions[Transaction name],0),3),Transactions[Transaction code],0),2),Transactions[[#This Row],[L4N]])</f>
        <v>Transformation</v>
      </c>
      <c r="AP394" s="24" t="str" cm="1">
        <f t="array" ref="AP394">IFERROR(INDEX(Transactions[[Transaction code]:[Transaction name]],_xlfn.XMATCH(INDEX(Transactions[[Transaction name]:[Parent code]],_xlfn.XMATCH(Transactions[[#This Row],[L5N]],Transactions[Transaction name],0),3),Transactions[Transaction code],0),2),Transactions[[#This Row],[L5N]])</f>
        <v>Transformation</v>
      </c>
      <c r="AQ394" s="24" t="str" cm="1">
        <f t="array" ref="AQ394">IFERROR(INDEX(Transactions[[Transaction code]:[Transaction name]],_xlfn.XMATCH(INDEX(Transactions[[Transaction name]:[Parent code]],_xlfn.XMATCH(Transactions[[#This Row],[L6N]],Transactions[Transaction name],0),3),Transactions[Transaction code],0),2),Transactions[[#This Row],[L6N]])</f>
        <v>Transformation</v>
      </c>
      <c r="AR394" s="27" t="str">
        <f>IF(Transactions[[#This Row],[L7N]]=Transactions[[#This Row],[L6N]],Transactions[[#This Row],[L7N]],IF(Transactions[[#This Row],[L6N]]=Transactions[[#This Row],[L5N]],Transactions[[#This Row],[L6N]],IF(Transactions[[#This Row],[L5N]]=Transactions[[#This Row],[L4N]],Transactions[[#This Row],[L5N]],IF(Transactions[[#This Row],[L4N]]=Transactions[[#This Row],[L3N]],Transactions[[#This Row],[L4N]],IF(Transactions[[#This Row],[L3N]]=Transactions[[#This Row],[L2N]],Transactions[[#This Row],[L3N]],IF(Transactions[[#This Row],[L2N]]=Transactions[[#This Row],[L1N]],Transactions[[#This Row],[L2N]],IF(Transactions[[#This Row],[L1N]]=Transactions[[#This Row],[Transaction name]],Transactions[[#This Row],[L1N]],Transactions[[#This Row],[Transaction name]])))))))</f>
        <v>Transformation</v>
      </c>
      <c r="AS394" s="24" t="str">
        <f>IF(Transactions[[#This Row],[Level 0]]=Transactions[[#This Row],[Transaction name]],Transactions[[#This Row],[Transaction name]],IF(Transactions[[#This Row],[Level 0]]=Transactions[[#This Row],[L1N]],Transactions[[#This Row],[Transaction name]],IF(Transactions[[#This Row],[Level 0]]=Transactions[[#This Row],[L2N]],Transactions[[#This Row],[L1N]],IF(Transactions[[#This Row],[Level 0]]=Transactions[[#This Row],[L3N]],Transactions[[#This Row],[L2N]],IF(Transactions[[#This Row],[Level 0]]=Transactions[[#This Row],[L4N]],Transactions[[#This Row],[L3N]],IF(Transactions[[#This Row],[Level 0]]=Transactions[[#This Row],[L5N]],Transactions[[#This Row],[L4N]],IF(Transactions[[#This Row],[Level 0]]=Transactions[[#This Row],[L6N]],Transactions[[#This Row],[L5N]],IF(Transactions[[#This Row],[Level 0]]=Transactions[[#This Row],[L7N]],Transactions[[#This Row],[L6N]],Transactions[[#This Row],[L7N]]))))))))</f>
        <v>Electricity, CHP and heat plants (T)</v>
      </c>
      <c r="AT394" s="24" t="str">
        <f>IF(Transactions[[#This Row],[Level 1]]=Transactions[[#This Row],[Transaction name]],Transactions[[#This Row],[Transaction name]],IF(Transactions[[#This Row],[Level 1]]=Transactions[[#This Row],[L1N]],Transactions[[#This Row],[Transaction name]],IF(Transactions[[#This Row],[Level 1]]=Transactions[[#This Row],[L2N]],Transactions[[#This Row],[L1N]],IF(Transactions[[#This Row],[Level 1]]=Transactions[[#This Row],[L3N]],Transactions[[#This Row],[L2N]],IF(Transactions[[#This Row],[Level 1]]=Transactions[[#This Row],[L4N]],Transactions[[#This Row],[L3N]],IF(Transactions[[#This Row],[Level 1]]=Transactions[[#This Row],[L5N]],Transactions[[#This Row],[L4N]],IF(Transactions[[#This Row],[Level 1]]=Transactions[[#This Row],[L6N]],Transactions[[#This Row],[L5N]],IF(Transactions[[#This Row],[Level 1]]=Transactions[[#This Row],[L7N]],Transactions[[#This Row],[L6N]],Transactions[[#This Row],[L7N]]))))))))</f>
        <v>Electricity plants</v>
      </c>
      <c r="AU394" s="24" t="str">
        <f>IF(Transactions[[#This Row],[Level 2]]=Transactions[[#This Row],[Transaction name]],Transactions[[#This Row],[Transaction name]],IF(Transactions[[#This Row],[Level 2]]=Transactions[[#This Row],[L1N]],Transactions[[#This Row],[Transaction name]],IF(Transactions[[#This Row],[Level 2]]=Transactions[[#This Row],[L2N]],Transactions[[#This Row],[L1N]],IF(Transactions[[#This Row],[Level 2]]=Transactions[[#This Row],[L3N]],Transactions[[#This Row],[L2N]],IF(Transactions[[#This Row],[Level 2]]=Transactions[[#This Row],[L4N]],Transactions[[#This Row],[L3N]],IF(Transactions[[#This Row],[Level 2]]=Transactions[[#This Row],[L5N]],Transactions[[#This Row],[L4N]],IF(Transactions[[#This Row],[Level 2]]=Transactions[[#This Row],[L6N]],Transactions[[#This Row],[L5N]],IF(Transactions[[#This Row],[Level 2]]=Transactions[[#This Row],[L7N]],Transactions[[#This Row],[L6N]],Transactions[[#This Row],[L7N]]))))))))</f>
        <v>Electricity plants - peat</v>
      </c>
      <c r="AV394" s="24" t="str">
        <f>IF(Transactions[[#This Row],[Level 3]]=Transactions[[#This Row],[Transaction name]],Transactions[[#This Row],[Transaction name]],IF(Transactions[[#This Row],[Level 3]]=Transactions[[#This Row],[L1N]],Transactions[[#This Row],[Transaction name]],IF(Transactions[[#This Row],[Level 3]]=Transactions[[#This Row],[L2N]],Transactions[[#This Row],[L1N]],IF(Transactions[[#This Row],[Level 3]]=Transactions[[#This Row],[L3N]],Transactions[[#This Row],[L2N]],IF(Transactions[[#This Row],[Level 3]]=Transactions[[#This Row],[L4N]],Transactions[[#This Row],[L3N]],IF(Transactions[[#This Row],[Level 3]]=Transactions[[#This Row],[L5N]],Transactions[[#This Row],[L4N]],IF(Transactions[[#This Row],[Level 3]]=Transactions[[#This Row],[L6N]],Transactions[[#This Row],[L5N]],IF(Transactions[[#This Row],[Level 3]]=Transactions[[#This Row],[L7N]],Transactions[[#This Row],[L6N]],Transactions[[#This Row],[L7N]]))))))))</f>
        <v>Electricity plants - Main activity - peat</v>
      </c>
      <c r="AW394" s="24" t="str">
        <f>IF(Transactions[[#This Row],[Level 4]]=Transactions[[#This Row],[Transaction name]],Transactions[[#This Row],[Transaction name]],IF(Transactions[[#This Row],[Level 4]]=Transactions[[#This Row],[L1N]],Transactions[[#This Row],[Transaction name]],IF(Transactions[[#This Row],[Level 4]]=Transactions[[#This Row],[L2N]],Transactions[[#This Row],[L1N]],IF(Transactions[[#This Row],[Level 4]]=Transactions[[#This Row],[L3N]],Transactions[[#This Row],[L2N]],IF(Transactions[[#This Row],[Level 4]]=Transactions[[#This Row],[L4N]],Transactions[[#This Row],[L3N]],IF(Transactions[[#This Row],[Level 4]]=Transactions[[#This Row],[L5N]],Transactions[[#This Row],[L4N]],IF(Transactions[[#This Row],[Level 4]]=Transactions[[#This Row],[L6N]],Transactions[[#This Row],[L5N]],IF(Transactions[[#This Row],[Level 4]]=Transactions[[#This Row],[L7N]],Transactions[[#This Row],[L6N]],Transactions[[#This Row],[L7N]]))))))))</f>
        <v>Electricity plants - Main activity - peat</v>
      </c>
      <c r="AX394" s="24" t="str">
        <f>IF(Transactions[[#This Row],[Level 5]]=Transactions[[#This Row],[Transaction name]],Transactions[[#This Row],[Transaction name]],IF(Transactions[[#This Row],[Level 5]]=Transactions[[#This Row],[L1N]],Transactions[[#This Row],[Transaction name]],IF(Transactions[[#This Row],[Level 5]]=Transactions[[#This Row],[L2N]],Transactions[[#This Row],[L1N]],IF(Transactions[[#This Row],[Level 5]]=Transactions[[#This Row],[L3N]],Transactions[[#This Row],[L2N]],IF(Transactions[[#This Row],[Level 5]]=Transactions[[#This Row],[L4N]],Transactions[[#This Row],[L3N]],IF(Transactions[[#This Row],[Level 5]]=Transactions[[#This Row],[L5N]],Transactions[[#This Row],[L4N]],IF(Transactions[[#This Row],[Level 5]]=Transactions[[#This Row],[L6N]],Transactions[[#This Row],[L5N]],IF(Transactions[[#This Row],[Level 5]]=Transactions[[#This Row],[L7N]],Transactions[[#This Row],[L6N]],Transactions[[#This Row],[L7N]]))))))))</f>
        <v>Electricity plants - Main activity - peat</v>
      </c>
      <c r="AY394" s="24" t="str">
        <f>IF(Transactions[[#This Row],[Level 6]]=Transactions[[#This Row],[Transaction name]],Transactions[[#This Row],[Transaction name]],IF(Transactions[[#This Row],[Level 6]]=Transactions[[#This Row],[L1N]],Transactions[[#This Row],[Transaction name]],IF(Transactions[[#This Row],[Level 6]]=Transactions[[#This Row],[L2N]],Transactions[[#This Row],[L1N]],IF(Transactions[[#This Row],[Level 6]]=Transactions[[#This Row],[L3N]],Transactions[[#This Row],[L2N]],IF(Transactions[[#This Row],[Level 6]]=Transactions[[#This Row],[L4N]],Transactions[[#This Row],[L3N]],IF(Transactions[[#This Row],[Level 6]]=Transactions[[#This Row],[L5N]],Transactions[[#This Row],[L4N]],IF(Transactions[[#This Row],[Level 6]]=Transactions[[#This Row],[L6N]],Transactions[[#This Row],[L5N]],IF(Transactions[[#This Row],[Level 6]]=Transactions[[#This Row],[L7N]],Transactions[[#This Row],[L6N]],Transactions[[#This Row],[L7N]]))))))))</f>
        <v>Electricity plants - Main activity - peat</v>
      </c>
      <c r="BE394" s="26" t="str">
        <f>_xlfn.XLOOKUP(Transformation[[#This Row],[cfrom]],Commodities[Commodity],Commodities[Commodity code])</f>
        <v>0312</v>
      </c>
      <c r="BF394" s="26" t="str">
        <f>_xlfn.XLOOKUP(Transformation[[#This Row],[tfrom]],Transactions[Transaction name],Transactions[Transaction code])</f>
        <v>022</v>
      </c>
      <c r="BG394" s="26" t="str">
        <f>_xlfn.XLOOKUP(Transformation[[#This Row],[cto]],Commodities[Commodity],Commodities[Commodity code])</f>
        <v>0312</v>
      </c>
      <c r="BH394" s="26" t="str">
        <f>_xlfn.XLOOKUP(Transformation[[#This Row],[tto]],Transactions[Transaction name],Transactions[Transaction code])</f>
        <v>081</v>
      </c>
      <c r="BI394" s="31">
        <v>1</v>
      </c>
      <c r="BJ394" s="22" t="s">
        <v>497</v>
      </c>
      <c r="BK394" s="26" t="str">
        <f>_xlfn.XLOOKUP(Transformation[[#This Row],[Commodity from]],Commodities[Commodity code],Commodities[EnergyCode])</f>
        <v>GK</v>
      </c>
      <c r="BL394" s="22" t="s">
        <v>205</v>
      </c>
      <c r="BM394" s="22" t="s">
        <v>497</v>
      </c>
      <c r="BN394" s="26" t="str">
        <f>_xlfn.XLOOKUP(Transformation[[#This Row],[Commodity to]],Commodities[Commodity code],Commodities[EnergyCode])</f>
        <v>GK</v>
      </c>
      <c r="BO394" s="22" t="s">
        <v>721</v>
      </c>
      <c r="BP394" s="22" t="s">
        <v>1651</v>
      </c>
      <c r="BQ394" s="33" t="str">
        <f>Transformation[[#This Row],[Commodity from]]&amp;Transformation[[#This Row],[Transaction from]]&amp;Transformation[[#This Row],[Commodity to]]&amp;Transformation[[#This Row],[Transaction to]]</f>
        <v>03120220312081</v>
      </c>
      <c r="BR394" s="26" t="str">
        <f>Transformation[[#This Row],[crfomid]]&amp;Transformation[[#This Row],[Transaction from]]&amp;"("&amp;Transformation[[#This Row],[Multiplier]]&amp;") -&gt; "&amp;Transformation[[#This Row],[ctoid]]&amp;Transformation[[#This Row],[Transaction to]]</f>
        <v>GK022(1) -&gt; GK081</v>
      </c>
    </row>
    <row r="395" spans="25:70" x14ac:dyDescent="0.45">
      <c r="Y395" s="19" t="s">
        <v>1601</v>
      </c>
      <c r="Z395" s="18" t="s">
        <v>1392</v>
      </c>
      <c r="AA395" s="18" t="s">
        <v>1392</v>
      </c>
      <c r="AB395" s="19" t="s">
        <v>1600</v>
      </c>
      <c r="AC395" s="26" t="str">
        <f>IFERROR(VLOOKUP(Transactions[[#This Row],[Parent code]],Transactions[[Transaction code]:[Transaction name]],2,0),"")</f>
        <v>Electricity plants</v>
      </c>
      <c r="AD395" s="18" t="s">
        <v>189</v>
      </c>
      <c r="AE395" s="18" t="s">
        <v>923</v>
      </c>
      <c r="AF395" s="18" t="s">
        <v>642</v>
      </c>
      <c r="AG395" s="18" t="s">
        <v>1</v>
      </c>
      <c r="AH395" s="18" t="s">
        <v>696</v>
      </c>
      <c r="AI395" s="18" t="s">
        <v>1416</v>
      </c>
      <c r="AJ395" s="18"/>
      <c r="AK395" s="26" t="str" cm="1">
        <f t="array" ref="AK395">IFERROR(INDEX(Transactions[[Transaction code]:[Transaction name]],_xlfn.XMATCH(Transactions[[#This Row],[Parent code]],Transactions[Transaction name],0),3),Transactions[[#This Row],[Transaction name]])</f>
        <v>Electricity plants - peat</v>
      </c>
      <c r="AL395" s="26" t="str" cm="1">
        <f t="array" ref="AL395">IFERROR(INDEX(Transactions[[Transaction code]:[Transaction name]],_xlfn.XMATCH(INDEX(Transactions[[Transaction name]:[Parent code]],_xlfn.XMATCH(Transactions[[#This Row],[L1N]],Transactions[Transaction name],0),3),Transactions[Transaction code],0),2),Transactions[[#This Row],[L1N]])</f>
        <v>Electricity plants</v>
      </c>
      <c r="AM395" s="26" t="str" cm="1">
        <f t="array" ref="AM395">IFERROR(INDEX(Transactions[[Transaction code]:[Transaction name]],_xlfn.XMATCH(INDEX(Transactions[[Transaction name]:[Parent code]],_xlfn.XMATCH(Transactions[[#This Row],[L2N]],Transactions[Transaction name],0),3),Transactions[Transaction code],0),2),Transactions[[#This Row],[L2N]])</f>
        <v>Electricity, CHP and heat plants (T)</v>
      </c>
      <c r="AN395" s="26" t="str" cm="1">
        <f t="array" ref="AN395">IFERROR(INDEX(Transactions[[Transaction code]:[Transaction name]],_xlfn.XMATCH(INDEX(Transactions[[Transaction name]:[Parent code]],_xlfn.XMATCH(Transactions[[#This Row],[L3N]],Transactions[Transaction name],0),3),Transactions[Transaction code],0),2),Transactions[[#This Row],[L3N]])</f>
        <v>Transformation</v>
      </c>
      <c r="AO395" s="26" t="str" cm="1">
        <f t="array" ref="AO395">IFERROR(INDEX(Transactions[[Transaction code]:[Transaction name]],_xlfn.XMATCH(INDEX(Transactions[[Transaction name]:[Parent code]],_xlfn.XMATCH(Transactions[[#This Row],[L4N]],Transactions[Transaction name],0),3),Transactions[Transaction code],0),2),Transactions[[#This Row],[L4N]])</f>
        <v>Transformation</v>
      </c>
      <c r="AP395" s="26" t="str" cm="1">
        <f t="array" ref="AP395">IFERROR(INDEX(Transactions[[Transaction code]:[Transaction name]],_xlfn.XMATCH(INDEX(Transactions[[Transaction name]:[Parent code]],_xlfn.XMATCH(Transactions[[#This Row],[L5N]],Transactions[Transaction name],0),3),Transactions[Transaction code],0),2),Transactions[[#This Row],[L5N]])</f>
        <v>Transformation</v>
      </c>
      <c r="AQ395" s="26" t="str" cm="1">
        <f t="array" ref="AQ395">IFERROR(INDEX(Transactions[[Transaction code]:[Transaction name]],_xlfn.XMATCH(INDEX(Transactions[[Transaction name]:[Parent code]],_xlfn.XMATCH(Transactions[[#This Row],[L6N]],Transactions[Transaction name],0),3),Transactions[Transaction code],0),2),Transactions[[#This Row],[L6N]])</f>
        <v>Transformation</v>
      </c>
      <c r="AR395" s="30" t="str">
        <f>IF(Transactions[[#This Row],[L7N]]=Transactions[[#This Row],[L6N]],Transactions[[#This Row],[L7N]],IF(Transactions[[#This Row],[L6N]]=Transactions[[#This Row],[L5N]],Transactions[[#This Row],[L6N]],IF(Transactions[[#This Row],[L5N]]=Transactions[[#This Row],[L4N]],Transactions[[#This Row],[L5N]],IF(Transactions[[#This Row],[L4N]]=Transactions[[#This Row],[L3N]],Transactions[[#This Row],[L4N]],IF(Transactions[[#This Row],[L3N]]=Transactions[[#This Row],[L2N]],Transactions[[#This Row],[L3N]],IF(Transactions[[#This Row],[L2N]]=Transactions[[#This Row],[L1N]],Transactions[[#This Row],[L2N]],IF(Transactions[[#This Row],[L1N]]=Transactions[[#This Row],[Transaction name]],Transactions[[#This Row],[L1N]],Transactions[[#This Row],[Transaction name]])))))))</f>
        <v>Transformation</v>
      </c>
      <c r="AS395" s="26" t="str">
        <f>IF(Transactions[[#This Row],[Level 0]]=Transactions[[#This Row],[Transaction name]],Transactions[[#This Row],[Transaction name]],IF(Transactions[[#This Row],[Level 0]]=Transactions[[#This Row],[L1N]],Transactions[[#This Row],[Transaction name]],IF(Transactions[[#This Row],[Level 0]]=Transactions[[#This Row],[L2N]],Transactions[[#This Row],[L1N]],IF(Transactions[[#This Row],[Level 0]]=Transactions[[#This Row],[L3N]],Transactions[[#This Row],[L2N]],IF(Transactions[[#This Row],[Level 0]]=Transactions[[#This Row],[L4N]],Transactions[[#This Row],[L3N]],IF(Transactions[[#This Row],[Level 0]]=Transactions[[#This Row],[L5N]],Transactions[[#This Row],[L4N]],IF(Transactions[[#This Row],[Level 0]]=Transactions[[#This Row],[L6N]],Transactions[[#This Row],[L5N]],IF(Transactions[[#This Row],[Level 0]]=Transactions[[#This Row],[L7N]],Transactions[[#This Row],[L6N]],Transactions[[#This Row],[L7N]]))))))))</f>
        <v>Electricity, CHP and heat plants (T)</v>
      </c>
      <c r="AT395" s="26" t="str">
        <f>IF(Transactions[[#This Row],[Level 1]]=Transactions[[#This Row],[Transaction name]],Transactions[[#This Row],[Transaction name]],IF(Transactions[[#This Row],[Level 1]]=Transactions[[#This Row],[L1N]],Transactions[[#This Row],[Transaction name]],IF(Transactions[[#This Row],[Level 1]]=Transactions[[#This Row],[L2N]],Transactions[[#This Row],[L1N]],IF(Transactions[[#This Row],[Level 1]]=Transactions[[#This Row],[L3N]],Transactions[[#This Row],[L2N]],IF(Transactions[[#This Row],[Level 1]]=Transactions[[#This Row],[L4N]],Transactions[[#This Row],[L3N]],IF(Transactions[[#This Row],[Level 1]]=Transactions[[#This Row],[L5N]],Transactions[[#This Row],[L4N]],IF(Transactions[[#This Row],[Level 1]]=Transactions[[#This Row],[L6N]],Transactions[[#This Row],[L5N]],IF(Transactions[[#This Row],[Level 1]]=Transactions[[#This Row],[L7N]],Transactions[[#This Row],[L6N]],Transactions[[#This Row],[L7N]]))))))))</f>
        <v>Electricity plants</v>
      </c>
      <c r="AU395" s="26" t="str">
        <f>IF(Transactions[[#This Row],[Level 2]]=Transactions[[#This Row],[Transaction name]],Transactions[[#This Row],[Transaction name]],IF(Transactions[[#This Row],[Level 2]]=Transactions[[#This Row],[L1N]],Transactions[[#This Row],[Transaction name]],IF(Transactions[[#This Row],[Level 2]]=Transactions[[#This Row],[L2N]],Transactions[[#This Row],[L1N]],IF(Transactions[[#This Row],[Level 2]]=Transactions[[#This Row],[L3N]],Transactions[[#This Row],[L2N]],IF(Transactions[[#This Row],[Level 2]]=Transactions[[#This Row],[L4N]],Transactions[[#This Row],[L3N]],IF(Transactions[[#This Row],[Level 2]]=Transactions[[#This Row],[L5N]],Transactions[[#This Row],[L4N]],IF(Transactions[[#This Row],[Level 2]]=Transactions[[#This Row],[L6N]],Transactions[[#This Row],[L5N]],IF(Transactions[[#This Row],[Level 2]]=Transactions[[#This Row],[L7N]],Transactions[[#This Row],[L6N]],Transactions[[#This Row],[L7N]]))))))))</f>
        <v>Electricity plants - peat</v>
      </c>
      <c r="AV395" s="26" t="str">
        <f>IF(Transactions[[#This Row],[Level 3]]=Transactions[[#This Row],[Transaction name]],Transactions[[#This Row],[Transaction name]],IF(Transactions[[#This Row],[Level 3]]=Transactions[[#This Row],[L1N]],Transactions[[#This Row],[Transaction name]],IF(Transactions[[#This Row],[Level 3]]=Transactions[[#This Row],[L2N]],Transactions[[#This Row],[L1N]],IF(Transactions[[#This Row],[Level 3]]=Transactions[[#This Row],[L3N]],Transactions[[#This Row],[L2N]],IF(Transactions[[#This Row],[Level 3]]=Transactions[[#This Row],[L4N]],Transactions[[#This Row],[L3N]],IF(Transactions[[#This Row],[Level 3]]=Transactions[[#This Row],[L5N]],Transactions[[#This Row],[L4N]],IF(Transactions[[#This Row],[Level 3]]=Transactions[[#This Row],[L6N]],Transactions[[#This Row],[L5N]],IF(Transactions[[#This Row],[Level 3]]=Transactions[[#This Row],[L7N]],Transactions[[#This Row],[L6N]],Transactions[[#This Row],[L7N]]))))))))</f>
        <v>Electricity plants - peat</v>
      </c>
      <c r="AW395" s="26" t="str">
        <f>IF(Transactions[[#This Row],[Level 4]]=Transactions[[#This Row],[Transaction name]],Transactions[[#This Row],[Transaction name]],IF(Transactions[[#This Row],[Level 4]]=Transactions[[#This Row],[L1N]],Transactions[[#This Row],[Transaction name]],IF(Transactions[[#This Row],[Level 4]]=Transactions[[#This Row],[L2N]],Transactions[[#This Row],[L1N]],IF(Transactions[[#This Row],[Level 4]]=Transactions[[#This Row],[L3N]],Transactions[[#This Row],[L2N]],IF(Transactions[[#This Row],[Level 4]]=Transactions[[#This Row],[L4N]],Transactions[[#This Row],[L3N]],IF(Transactions[[#This Row],[Level 4]]=Transactions[[#This Row],[L5N]],Transactions[[#This Row],[L4N]],IF(Transactions[[#This Row],[Level 4]]=Transactions[[#This Row],[L6N]],Transactions[[#This Row],[L5N]],IF(Transactions[[#This Row],[Level 4]]=Transactions[[#This Row],[L7N]],Transactions[[#This Row],[L6N]],Transactions[[#This Row],[L7N]]))))))))</f>
        <v>Electricity plants - peat</v>
      </c>
      <c r="AX395" s="26" t="str">
        <f>IF(Transactions[[#This Row],[Level 5]]=Transactions[[#This Row],[Transaction name]],Transactions[[#This Row],[Transaction name]],IF(Transactions[[#This Row],[Level 5]]=Transactions[[#This Row],[L1N]],Transactions[[#This Row],[Transaction name]],IF(Transactions[[#This Row],[Level 5]]=Transactions[[#This Row],[L2N]],Transactions[[#This Row],[L1N]],IF(Transactions[[#This Row],[Level 5]]=Transactions[[#This Row],[L3N]],Transactions[[#This Row],[L2N]],IF(Transactions[[#This Row],[Level 5]]=Transactions[[#This Row],[L4N]],Transactions[[#This Row],[L3N]],IF(Transactions[[#This Row],[Level 5]]=Transactions[[#This Row],[L5N]],Transactions[[#This Row],[L4N]],IF(Transactions[[#This Row],[Level 5]]=Transactions[[#This Row],[L6N]],Transactions[[#This Row],[L5N]],IF(Transactions[[#This Row],[Level 5]]=Transactions[[#This Row],[L7N]],Transactions[[#This Row],[L6N]],Transactions[[#This Row],[L7N]]))))))))</f>
        <v>Electricity plants - peat</v>
      </c>
      <c r="AY395" s="26" t="str">
        <f>IF(Transactions[[#This Row],[Level 6]]=Transactions[[#This Row],[Transaction name]],Transactions[[#This Row],[Transaction name]],IF(Transactions[[#This Row],[Level 6]]=Transactions[[#This Row],[L1N]],Transactions[[#This Row],[Transaction name]],IF(Transactions[[#This Row],[Level 6]]=Transactions[[#This Row],[L2N]],Transactions[[#This Row],[L1N]],IF(Transactions[[#This Row],[Level 6]]=Transactions[[#This Row],[L3N]],Transactions[[#This Row],[L2N]],IF(Transactions[[#This Row],[Level 6]]=Transactions[[#This Row],[L4N]],Transactions[[#This Row],[L3N]],IF(Transactions[[#This Row],[Level 6]]=Transactions[[#This Row],[L5N]],Transactions[[#This Row],[L4N]],IF(Transactions[[#This Row],[Level 6]]=Transactions[[#This Row],[L6N]],Transactions[[#This Row],[L5N]],IF(Transactions[[#This Row],[Level 6]]=Transactions[[#This Row],[L7N]],Transactions[[#This Row],[L6N]],Transactions[[#This Row],[L7N]]))))))))</f>
        <v>Electricity plants - peat</v>
      </c>
      <c r="BE395" s="26" t="str">
        <f>_xlfn.XLOOKUP(Transformation[[#This Row],[cfrom]],Commodities[Commodity],Commodities[Commodity code])</f>
        <v>0312</v>
      </c>
      <c r="BF395" s="26" t="str">
        <f>_xlfn.XLOOKUP(Transformation[[#This Row],[tfrom]],Transactions[Transaction name],Transactions[Transaction code])</f>
        <v>022</v>
      </c>
      <c r="BG395" s="26" t="str">
        <f>_xlfn.XLOOKUP(Transformation[[#This Row],[cto]],Commodities[Commodity],Commodities[Commodity code])</f>
        <v>0312</v>
      </c>
      <c r="BH395" s="26" t="str">
        <f>_xlfn.XLOOKUP(Transformation[[#This Row],[tto]],Transactions[Transaction name],Transactions[Transaction code])</f>
        <v>022</v>
      </c>
      <c r="BI395" s="31">
        <v>-1</v>
      </c>
      <c r="BJ395" s="22" t="s">
        <v>497</v>
      </c>
      <c r="BK395" s="26" t="str">
        <f>_xlfn.XLOOKUP(Transformation[[#This Row],[Commodity from]],Commodities[Commodity code],Commodities[EnergyCode])</f>
        <v>GK</v>
      </c>
      <c r="BL395" s="22" t="s">
        <v>205</v>
      </c>
      <c r="BM395" s="22" t="s">
        <v>497</v>
      </c>
      <c r="BN395" s="26" t="str">
        <f>_xlfn.XLOOKUP(Transformation[[#This Row],[Commodity to]],Commodities[Commodity code],Commodities[EnergyCode])</f>
        <v>GK</v>
      </c>
      <c r="BO395" s="22" t="s">
        <v>205</v>
      </c>
      <c r="BP395" s="22" t="s">
        <v>1639</v>
      </c>
      <c r="BQ395" s="33" t="str">
        <f>Transformation[[#This Row],[Commodity from]]&amp;Transformation[[#This Row],[Transaction from]]&amp;Transformation[[#This Row],[Commodity to]]&amp;Transformation[[#This Row],[Transaction to]]</f>
        <v>03120220312022</v>
      </c>
      <c r="BR395" s="26" t="str">
        <f>Transformation[[#This Row],[crfomid]]&amp;Transformation[[#This Row],[Transaction from]]&amp;"("&amp;Transformation[[#This Row],[Multiplier]]&amp;") -&gt; "&amp;Transformation[[#This Row],[ctoid]]&amp;Transformation[[#This Row],[Transaction to]]</f>
        <v>GK022(-1) -&gt; GK022</v>
      </c>
    </row>
    <row r="396" spans="25:70" x14ac:dyDescent="0.45">
      <c r="Y396" s="5" t="s">
        <v>234</v>
      </c>
      <c r="Z396" s="7" t="s">
        <v>801</v>
      </c>
      <c r="AA396" s="4" t="s">
        <v>1327</v>
      </c>
      <c r="AB396" s="21" t="s">
        <v>1599</v>
      </c>
      <c r="AC396" s="24" t="str">
        <f>IFERROR(VLOOKUP(Transactions[[#This Row],[Parent code]],Transactions[[Transaction code]:[Transaction name]],2,0),"")</f>
        <v>Electricity plants - Pumped hydro</v>
      </c>
      <c r="AD396" s="4" t="s">
        <v>189</v>
      </c>
      <c r="AE396" s="4" t="s">
        <v>923</v>
      </c>
      <c r="AF396" s="4" t="s">
        <v>642</v>
      </c>
      <c r="AG396" s="4" t="s">
        <v>1</v>
      </c>
      <c r="AH396" s="4" t="s">
        <v>696</v>
      </c>
      <c r="AJ396" s="4" t="s">
        <v>0</v>
      </c>
      <c r="AK396" s="24" t="str" cm="1">
        <f t="array" ref="AK396">IFERROR(INDEX(Transactions[[Transaction code]:[Transaction name]],_xlfn.XMATCH(Transactions[[#This Row],[Parent code]],Transactions[Transaction name],0),3),Transactions[[#This Row],[Transaction name]])</f>
        <v>Electricity plants - Autoproducer - Pumped hydro</v>
      </c>
      <c r="AL396" s="24" t="str" cm="1">
        <f t="array" ref="AL396">IFERROR(INDEX(Transactions[[Transaction code]:[Transaction name]],_xlfn.XMATCH(INDEX(Transactions[[Transaction name]:[Parent code]],_xlfn.XMATCH(Transactions[[#This Row],[L1N]],Transactions[Transaction name],0),3),Transactions[Transaction code],0),2),Transactions[[#This Row],[L1N]])</f>
        <v>Electricity plants - Pumped hydro</v>
      </c>
      <c r="AM396" s="24" t="str" cm="1">
        <f t="array" ref="AM396">IFERROR(INDEX(Transactions[[Transaction code]:[Transaction name]],_xlfn.XMATCH(INDEX(Transactions[[Transaction name]:[Parent code]],_xlfn.XMATCH(Transactions[[#This Row],[L2N]],Transactions[Transaction name],0),3),Transactions[Transaction code],0),2),Transactions[[#This Row],[L2N]])</f>
        <v>Electricity plants</v>
      </c>
      <c r="AN396" s="24" t="str" cm="1">
        <f t="array" ref="AN396">IFERROR(INDEX(Transactions[[Transaction code]:[Transaction name]],_xlfn.XMATCH(INDEX(Transactions[[Transaction name]:[Parent code]],_xlfn.XMATCH(Transactions[[#This Row],[L3N]],Transactions[Transaction name],0),3),Transactions[Transaction code],0),2),Transactions[[#This Row],[L3N]])</f>
        <v>Electricity, CHP and heat plants (T)</v>
      </c>
      <c r="AO396" s="24" t="str" cm="1">
        <f t="array" ref="AO396">IFERROR(INDEX(Transactions[[Transaction code]:[Transaction name]],_xlfn.XMATCH(INDEX(Transactions[[Transaction name]:[Parent code]],_xlfn.XMATCH(Transactions[[#This Row],[L4N]],Transactions[Transaction name],0),3),Transactions[Transaction code],0),2),Transactions[[#This Row],[L4N]])</f>
        <v>Transformation</v>
      </c>
      <c r="AP396" s="24" t="str" cm="1">
        <f t="array" ref="AP396">IFERROR(INDEX(Transactions[[Transaction code]:[Transaction name]],_xlfn.XMATCH(INDEX(Transactions[[Transaction name]:[Parent code]],_xlfn.XMATCH(Transactions[[#This Row],[L5N]],Transactions[Transaction name],0),3),Transactions[Transaction code],0),2),Transactions[[#This Row],[L5N]])</f>
        <v>Transformation</v>
      </c>
      <c r="AQ396" s="24" t="str" cm="1">
        <f t="array" ref="AQ396">IFERROR(INDEX(Transactions[[Transaction code]:[Transaction name]],_xlfn.XMATCH(INDEX(Transactions[[Transaction name]:[Parent code]],_xlfn.XMATCH(Transactions[[#This Row],[L6N]],Transactions[Transaction name],0),3),Transactions[Transaction code],0),2),Transactions[[#This Row],[L6N]])</f>
        <v>Transformation</v>
      </c>
      <c r="AR396" s="27" t="str">
        <f>IF(Transactions[[#This Row],[L7N]]=Transactions[[#This Row],[L6N]],Transactions[[#This Row],[L7N]],IF(Transactions[[#This Row],[L6N]]=Transactions[[#This Row],[L5N]],Transactions[[#This Row],[L6N]],IF(Transactions[[#This Row],[L5N]]=Transactions[[#This Row],[L4N]],Transactions[[#This Row],[L5N]],IF(Transactions[[#This Row],[L4N]]=Transactions[[#This Row],[L3N]],Transactions[[#This Row],[L4N]],IF(Transactions[[#This Row],[L3N]]=Transactions[[#This Row],[L2N]],Transactions[[#This Row],[L3N]],IF(Transactions[[#This Row],[L2N]]=Transactions[[#This Row],[L1N]],Transactions[[#This Row],[L2N]],IF(Transactions[[#This Row],[L1N]]=Transactions[[#This Row],[Transaction name]],Transactions[[#This Row],[L1N]],Transactions[[#This Row],[Transaction name]])))))))</f>
        <v>Transformation</v>
      </c>
      <c r="AS396" s="24" t="str">
        <f>IF(Transactions[[#This Row],[Level 0]]=Transactions[[#This Row],[Transaction name]],Transactions[[#This Row],[Transaction name]],IF(Transactions[[#This Row],[Level 0]]=Transactions[[#This Row],[L1N]],Transactions[[#This Row],[Transaction name]],IF(Transactions[[#This Row],[Level 0]]=Transactions[[#This Row],[L2N]],Transactions[[#This Row],[L1N]],IF(Transactions[[#This Row],[Level 0]]=Transactions[[#This Row],[L3N]],Transactions[[#This Row],[L2N]],IF(Transactions[[#This Row],[Level 0]]=Transactions[[#This Row],[L4N]],Transactions[[#This Row],[L3N]],IF(Transactions[[#This Row],[Level 0]]=Transactions[[#This Row],[L5N]],Transactions[[#This Row],[L4N]],IF(Transactions[[#This Row],[Level 0]]=Transactions[[#This Row],[L6N]],Transactions[[#This Row],[L5N]],IF(Transactions[[#This Row],[Level 0]]=Transactions[[#This Row],[L7N]],Transactions[[#This Row],[L6N]],Transactions[[#This Row],[L7N]]))))))))</f>
        <v>Electricity, CHP and heat plants (T)</v>
      </c>
      <c r="AT396" s="24" t="str">
        <f>IF(Transactions[[#This Row],[Level 1]]=Transactions[[#This Row],[Transaction name]],Transactions[[#This Row],[Transaction name]],IF(Transactions[[#This Row],[Level 1]]=Transactions[[#This Row],[L1N]],Transactions[[#This Row],[Transaction name]],IF(Transactions[[#This Row],[Level 1]]=Transactions[[#This Row],[L2N]],Transactions[[#This Row],[L1N]],IF(Transactions[[#This Row],[Level 1]]=Transactions[[#This Row],[L3N]],Transactions[[#This Row],[L2N]],IF(Transactions[[#This Row],[Level 1]]=Transactions[[#This Row],[L4N]],Transactions[[#This Row],[L3N]],IF(Transactions[[#This Row],[Level 1]]=Transactions[[#This Row],[L5N]],Transactions[[#This Row],[L4N]],IF(Transactions[[#This Row],[Level 1]]=Transactions[[#This Row],[L6N]],Transactions[[#This Row],[L5N]],IF(Transactions[[#This Row],[Level 1]]=Transactions[[#This Row],[L7N]],Transactions[[#This Row],[L6N]],Transactions[[#This Row],[L7N]]))))))))</f>
        <v>Electricity plants</v>
      </c>
      <c r="AU396" s="24" t="str">
        <f>IF(Transactions[[#This Row],[Level 2]]=Transactions[[#This Row],[Transaction name]],Transactions[[#This Row],[Transaction name]],IF(Transactions[[#This Row],[Level 2]]=Transactions[[#This Row],[L1N]],Transactions[[#This Row],[Transaction name]],IF(Transactions[[#This Row],[Level 2]]=Transactions[[#This Row],[L2N]],Transactions[[#This Row],[L1N]],IF(Transactions[[#This Row],[Level 2]]=Transactions[[#This Row],[L3N]],Transactions[[#This Row],[L2N]],IF(Transactions[[#This Row],[Level 2]]=Transactions[[#This Row],[L4N]],Transactions[[#This Row],[L3N]],IF(Transactions[[#This Row],[Level 2]]=Transactions[[#This Row],[L5N]],Transactions[[#This Row],[L4N]],IF(Transactions[[#This Row],[Level 2]]=Transactions[[#This Row],[L6N]],Transactions[[#This Row],[L5N]],IF(Transactions[[#This Row],[Level 2]]=Transactions[[#This Row],[L7N]],Transactions[[#This Row],[L6N]],Transactions[[#This Row],[L7N]]))))))))</f>
        <v>Electricity plants - Pumped hydro</v>
      </c>
      <c r="AV396" s="24" t="str">
        <f>IF(Transactions[[#This Row],[Level 3]]=Transactions[[#This Row],[Transaction name]],Transactions[[#This Row],[Transaction name]],IF(Transactions[[#This Row],[Level 3]]=Transactions[[#This Row],[L1N]],Transactions[[#This Row],[Transaction name]],IF(Transactions[[#This Row],[Level 3]]=Transactions[[#This Row],[L2N]],Transactions[[#This Row],[L1N]],IF(Transactions[[#This Row],[Level 3]]=Transactions[[#This Row],[L3N]],Transactions[[#This Row],[L2N]],IF(Transactions[[#This Row],[Level 3]]=Transactions[[#This Row],[L4N]],Transactions[[#This Row],[L3N]],IF(Transactions[[#This Row],[Level 3]]=Transactions[[#This Row],[L5N]],Transactions[[#This Row],[L4N]],IF(Transactions[[#This Row],[Level 3]]=Transactions[[#This Row],[L6N]],Transactions[[#This Row],[L5N]],IF(Transactions[[#This Row],[Level 3]]=Transactions[[#This Row],[L7N]],Transactions[[#This Row],[L6N]],Transactions[[#This Row],[L7N]]))))))))</f>
        <v>Electricity plants - Autoproducer - Pumped hydro</v>
      </c>
      <c r="AW396" s="24" t="str">
        <f>IF(Transactions[[#This Row],[Level 4]]=Transactions[[#This Row],[Transaction name]],Transactions[[#This Row],[Transaction name]],IF(Transactions[[#This Row],[Level 4]]=Transactions[[#This Row],[L1N]],Transactions[[#This Row],[Transaction name]],IF(Transactions[[#This Row],[Level 4]]=Transactions[[#This Row],[L2N]],Transactions[[#This Row],[L1N]],IF(Transactions[[#This Row],[Level 4]]=Transactions[[#This Row],[L3N]],Transactions[[#This Row],[L2N]],IF(Transactions[[#This Row],[Level 4]]=Transactions[[#This Row],[L4N]],Transactions[[#This Row],[L3N]],IF(Transactions[[#This Row],[Level 4]]=Transactions[[#This Row],[L5N]],Transactions[[#This Row],[L4N]],IF(Transactions[[#This Row],[Level 4]]=Transactions[[#This Row],[L6N]],Transactions[[#This Row],[L5N]],IF(Transactions[[#This Row],[Level 4]]=Transactions[[#This Row],[L7N]],Transactions[[#This Row],[L6N]],Transactions[[#This Row],[L7N]]))))))))</f>
        <v>Electricity plants - Autoproducer - Pumped hydro</v>
      </c>
      <c r="AX396" s="24" t="str">
        <f>IF(Transactions[[#This Row],[Level 5]]=Transactions[[#This Row],[Transaction name]],Transactions[[#This Row],[Transaction name]],IF(Transactions[[#This Row],[Level 5]]=Transactions[[#This Row],[L1N]],Transactions[[#This Row],[Transaction name]],IF(Transactions[[#This Row],[Level 5]]=Transactions[[#This Row],[L2N]],Transactions[[#This Row],[L1N]],IF(Transactions[[#This Row],[Level 5]]=Transactions[[#This Row],[L3N]],Transactions[[#This Row],[L2N]],IF(Transactions[[#This Row],[Level 5]]=Transactions[[#This Row],[L4N]],Transactions[[#This Row],[L3N]],IF(Transactions[[#This Row],[Level 5]]=Transactions[[#This Row],[L5N]],Transactions[[#This Row],[L4N]],IF(Transactions[[#This Row],[Level 5]]=Transactions[[#This Row],[L6N]],Transactions[[#This Row],[L5N]],IF(Transactions[[#This Row],[Level 5]]=Transactions[[#This Row],[L7N]],Transactions[[#This Row],[L6N]],Transactions[[#This Row],[L7N]]))))))))</f>
        <v>Electricity plants - Autoproducer - Pumped hydro</v>
      </c>
      <c r="AY396" s="24" t="str">
        <f>IF(Transactions[[#This Row],[Level 6]]=Transactions[[#This Row],[Transaction name]],Transactions[[#This Row],[Transaction name]],IF(Transactions[[#This Row],[Level 6]]=Transactions[[#This Row],[L1N]],Transactions[[#This Row],[Transaction name]],IF(Transactions[[#This Row],[Level 6]]=Transactions[[#This Row],[L2N]],Transactions[[#This Row],[L1N]],IF(Transactions[[#This Row],[Level 6]]=Transactions[[#This Row],[L3N]],Transactions[[#This Row],[L2N]],IF(Transactions[[#This Row],[Level 6]]=Transactions[[#This Row],[L4N]],Transactions[[#This Row],[L3N]],IF(Transactions[[#This Row],[Level 6]]=Transactions[[#This Row],[L5N]],Transactions[[#This Row],[L4N]],IF(Transactions[[#This Row],[Level 6]]=Transactions[[#This Row],[L6N]],Transactions[[#This Row],[L5N]],IF(Transactions[[#This Row],[Level 6]]=Transactions[[#This Row],[L7N]],Transactions[[#This Row],[L6N]],Transactions[[#This Row],[L7N]]))))))))</f>
        <v>Electricity plants - Autoproducer - Pumped hydro</v>
      </c>
      <c r="BE396" s="26" t="str">
        <f>_xlfn.XLOOKUP(Transformation[[#This Row],[cfrom]],Commodities[Commodity],Commodities[Commodity code])</f>
        <v>8000T</v>
      </c>
      <c r="BF396" s="26" t="str">
        <f>_xlfn.XLOOKUP(Transformation[[#This Row],[tfrom]],Transactions[Transaction name],Transactions[Transaction code])</f>
        <v>01</v>
      </c>
      <c r="BG396" s="26" t="str">
        <f>_xlfn.XLOOKUP(Transformation[[#This Row],[cto]],Commodities[Commodity],Commodities[Commodity code])</f>
        <v>8000T</v>
      </c>
      <c r="BH396" s="26" t="str">
        <f>_xlfn.XLOOKUP(Transformation[[#This Row],[tto]],Transactions[Transaction name],Transactions[Transaction code])</f>
        <v>01</v>
      </c>
      <c r="BI396" s="32">
        <v>-1</v>
      </c>
      <c r="BJ396" s="22" t="s">
        <v>260</v>
      </c>
      <c r="BK396" s="26" t="str">
        <f>_xlfn.XLOOKUP(Transformation[[#This Row],[Commodity from]],Commodities[Commodity code],Commodities[EnergyCode])</f>
        <v>HF</v>
      </c>
      <c r="BL396" s="22" t="s">
        <v>383</v>
      </c>
      <c r="BM396" s="22" t="s">
        <v>260</v>
      </c>
      <c r="BN396" s="26" t="str">
        <f>_xlfn.XLOOKUP(Transformation[[#This Row],[Commodity to]],Commodities[Commodity code],Commodities[EnergyCode])</f>
        <v>HF</v>
      </c>
      <c r="BO396" s="22" t="s">
        <v>383</v>
      </c>
      <c r="BP396" s="22" t="s">
        <v>1633</v>
      </c>
      <c r="BQ396" s="33" t="str">
        <f>Transformation[[#This Row],[Commodity from]]&amp;Transformation[[#This Row],[Transaction from]]&amp;Transformation[[#This Row],[Commodity to]]&amp;Transformation[[#This Row],[Transaction to]]</f>
        <v>8000T018000T01</v>
      </c>
      <c r="BR396" s="26" t="str">
        <f>Transformation[[#This Row],[crfomid]]&amp;Transformation[[#This Row],[Transaction from]]&amp;"("&amp;Transformation[[#This Row],[Multiplier]]&amp;") -&gt; "&amp;Transformation[[#This Row],[ctoid]]&amp;Transformation[[#This Row],[Transaction to]]</f>
        <v>HF01(-1) -&gt; HF01</v>
      </c>
    </row>
    <row r="397" spans="25:70" x14ac:dyDescent="0.45">
      <c r="Y397" s="5" t="s">
        <v>304</v>
      </c>
      <c r="Z397" s="7" t="s">
        <v>1413</v>
      </c>
      <c r="AA397" s="18" t="s">
        <v>1327</v>
      </c>
      <c r="AB397" s="21" t="s">
        <v>1599</v>
      </c>
      <c r="AC397" s="24" t="str">
        <f>IFERROR(VLOOKUP(Transactions[[#This Row],[Parent code]],Transactions[[Transaction code]:[Transaction name]],2,0),"")</f>
        <v>Electricity plants - Pumped hydro</v>
      </c>
      <c r="AD397" s="4" t="s">
        <v>189</v>
      </c>
      <c r="AE397" s="4" t="s">
        <v>923</v>
      </c>
      <c r="AF397" s="4" t="s">
        <v>642</v>
      </c>
      <c r="AG397" s="4" t="s">
        <v>1</v>
      </c>
      <c r="AH397" s="4" t="s">
        <v>696</v>
      </c>
      <c r="AJ397" s="4" t="s">
        <v>0</v>
      </c>
      <c r="AK397" s="24" t="str" cm="1">
        <f t="array" ref="AK397">IFERROR(INDEX(Transactions[[Transaction code]:[Transaction name]],_xlfn.XMATCH(Transactions[[#This Row],[Parent code]],Transactions[Transaction name],0),3),Transactions[[#This Row],[Transaction name]])</f>
        <v>Electricity plants - Main activity - Pumped hydro</v>
      </c>
      <c r="AL397" s="24" t="str" cm="1">
        <f t="array" ref="AL397">IFERROR(INDEX(Transactions[[Transaction code]:[Transaction name]],_xlfn.XMATCH(INDEX(Transactions[[Transaction name]:[Parent code]],_xlfn.XMATCH(Transactions[[#This Row],[L1N]],Transactions[Transaction name],0),3),Transactions[Transaction code],0),2),Transactions[[#This Row],[L1N]])</f>
        <v>Electricity plants - Pumped hydro</v>
      </c>
      <c r="AM397" s="24" t="str" cm="1">
        <f t="array" ref="AM397">IFERROR(INDEX(Transactions[[Transaction code]:[Transaction name]],_xlfn.XMATCH(INDEX(Transactions[[Transaction name]:[Parent code]],_xlfn.XMATCH(Transactions[[#This Row],[L2N]],Transactions[Transaction name],0),3),Transactions[Transaction code],0),2),Transactions[[#This Row],[L2N]])</f>
        <v>Electricity plants</v>
      </c>
      <c r="AN397" s="24" t="str" cm="1">
        <f t="array" ref="AN397">IFERROR(INDEX(Transactions[[Transaction code]:[Transaction name]],_xlfn.XMATCH(INDEX(Transactions[[Transaction name]:[Parent code]],_xlfn.XMATCH(Transactions[[#This Row],[L3N]],Transactions[Transaction name],0),3),Transactions[Transaction code],0),2),Transactions[[#This Row],[L3N]])</f>
        <v>Electricity, CHP and heat plants (T)</v>
      </c>
      <c r="AO397" s="24" t="str" cm="1">
        <f t="array" ref="AO397">IFERROR(INDEX(Transactions[[Transaction code]:[Transaction name]],_xlfn.XMATCH(INDEX(Transactions[[Transaction name]:[Parent code]],_xlfn.XMATCH(Transactions[[#This Row],[L4N]],Transactions[Transaction name],0),3),Transactions[Transaction code],0),2),Transactions[[#This Row],[L4N]])</f>
        <v>Transformation</v>
      </c>
      <c r="AP397" s="24" t="str" cm="1">
        <f t="array" ref="AP397">IFERROR(INDEX(Transactions[[Transaction code]:[Transaction name]],_xlfn.XMATCH(INDEX(Transactions[[Transaction name]:[Parent code]],_xlfn.XMATCH(Transactions[[#This Row],[L5N]],Transactions[Transaction name],0),3),Transactions[Transaction code],0),2),Transactions[[#This Row],[L5N]])</f>
        <v>Transformation</v>
      </c>
      <c r="AQ397" s="24" t="str" cm="1">
        <f t="array" ref="AQ397">IFERROR(INDEX(Transactions[[Transaction code]:[Transaction name]],_xlfn.XMATCH(INDEX(Transactions[[Transaction name]:[Parent code]],_xlfn.XMATCH(Transactions[[#This Row],[L6N]],Transactions[Transaction name],0),3),Transactions[Transaction code],0),2),Transactions[[#This Row],[L6N]])</f>
        <v>Transformation</v>
      </c>
      <c r="AR397" s="27" t="str">
        <f>IF(Transactions[[#This Row],[L7N]]=Transactions[[#This Row],[L6N]],Transactions[[#This Row],[L7N]],IF(Transactions[[#This Row],[L6N]]=Transactions[[#This Row],[L5N]],Transactions[[#This Row],[L6N]],IF(Transactions[[#This Row],[L5N]]=Transactions[[#This Row],[L4N]],Transactions[[#This Row],[L5N]],IF(Transactions[[#This Row],[L4N]]=Transactions[[#This Row],[L3N]],Transactions[[#This Row],[L4N]],IF(Transactions[[#This Row],[L3N]]=Transactions[[#This Row],[L2N]],Transactions[[#This Row],[L3N]],IF(Transactions[[#This Row],[L2N]]=Transactions[[#This Row],[L1N]],Transactions[[#This Row],[L2N]],IF(Transactions[[#This Row],[L1N]]=Transactions[[#This Row],[Transaction name]],Transactions[[#This Row],[L1N]],Transactions[[#This Row],[Transaction name]])))))))</f>
        <v>Transformation</v>
      </c>
      <c r="AS397" s="24" t="str">
        <f>IF(Transactions[[#This Row],[Level 0]]=Transactions[[#This Row],[Transaction name]],Transactions[[#This Row],[Transaction name]],IF(Transactions[[#This Row],[Level 0]]=Transactions[[#This Row],[L1N]],Transactions[[#This Row],[Transaction name]],IF(Transactions[[#This Row],[Level 0]]=Transactions[[#This Row],[L2N]],Transactions[[#This Row],[L1N]],IF(Transactions[[#This Row],[Level 0]]=Transactions[[#This Row],[L3N]],Transactions[[#This Row],[L2N]],IF(Transactions[[#This Row],[Level 0]]=Transactions[[#This Row],[L4N]],Transactions[[#This Row],[L3N]],IF(Transactions[[#This Row],[Level 0]]=Transactions[[#This Row],[L5N]],Transactions[[#This Row],[L4N]],IF(Transactions[[#This Row],[Level 0]]=Transactions[[#This Row],[L6N]],Transactions[[#This Row],[L5N]],IF(Transactions[[#This Row],[Level 0]]=Transactions[[#This Row],[L7N]],Transactions[[#This Row],[L6N]],Transactions[[#This Row],[L7N]]))))))))</f>
        <v>Electricity, CHP and heat plants (T)</v>
      </c>
      <c r="AT397" s="24" t="str">
        <f>IF(Transactions[[#This Row],[Level 1]]=Transactions[[#This Row],[Transaction name]],Transactions[[#This Row],[Transaction name]],IF(Transactions[[#This Row],[Level 1]]=Transactions[[#This Row],[L1N]],Transactions[[#This Row],[Transaction name]],IF(Transactions[[#This Row],[Level 1]]=Transactions[[#This Row],[L2N]],Transactions[[#This Row],[L1N]],IF(Transactions[[#This Row],[Level 1]]=Transactions[[#This Row],[L3N]],Transactions[[#This Row],[L2N]],IF(Transactions[[#This Row],[Level 1]]=Transactions[[#This Row],[L4N]],Transactions[[#This Row],[L3N]],IF(Transactions[[#This Row],[Level 1]]=Transactions[[#This Row],[L5N]],Transactions[[#This Row],[L4N]],IF(Transactions[[#This Row],[Level 1]]=Transactions[[#This Row],[L6N]],Transactions[[#This Row],[L5N]],IF(Transactions[[#This Row],[Level 1]]=Transactions[[#This Row],[L7N]],Transactions[[#This Row],[L6N]],Transactions[[#This Row],[L7N]]))))))))</f>
        <v>Electricity plants</v>
      </c>
      <c r="AU397" s="24" t="str">
        <f>IF(Transactions[[#This Row],[Level 2]]=Transactions[[#This Row],[Transaction name]],Transactions[[#This Row],[Transaction name]],IF(Transactions[[#This Row],[Level 2]]=Transactions[[#This Row],[L1N]],Transactions[[#This Row],[Transaction name]],IF(Transactions[[#This Row],[Level 2]]=Transactions[[#This Row],[L2N]],Transactions[[#This Row],[L1N]],IF(Transactions[[#This Row],[Level 2]]=Transactions[[#This Row],[L3N]],Transactions[[#This Row],[L2N]],IF(Transactions[[#This Row],[Level 2]]=Transactions[[#This Row],[L4N]],Transactions[[#This Row],[L3N]],IF(Transactions[[#This Row],[Level 2]]=Transactions[[#This Row],[L5N]],Transactions[[#This Row],[L4N]],IF(Transactions[[#This Row],[Level 2]]=Transactions[[#This Row],[L6N]],Transactions[[#This Row],[L5N]],IF(Transactions[[#This Row],[Level 2]]=Transactions[[#This Row],[L7N]],Transactions[[#This Row],[L6N]],Transactions[[#This Row],[L7N]]))))))))</f>
        <v>Electricity plants - Pumped hydro</v>
      </c>
      <c r="AV397" s="24" t="str">
        <f>IF(Transactions[[#This Row],[Level 3]]=Transactions[[#This Row],[Transaction name]],Transactions[[#This Row],[Transaction name]],IF(Transactions[[#This Row],[Level 3]]=Transactions[[#This Row],[L1N]],Transactions[[#This Row],[Transaction name]],IF(Transactions[[#This Row],[Level 3]]=Transactions[[#This Row],[L2N]],Transactions[[#This Row],[L1N]],IF(Transactions[[#This Row],[Level 3]]=Transactions[[#This Row],[L3N]],Transactions[[#This Row],[L2N]],IF(Transactions[[#This Row],[Level 3]]=Transactions[[#This Row],[L4N]],Transactions[[#This Row],[L3N]],IF(Transactions[[#This Row],[Level 3]]=Transactions[[#This Row],[L5N]],Transactions[[#This Row],[L4N]],IF(Transactions[[#This Row],[Level 3]]=Transactions[[#This Row],[L6N]],Transactions[[#This Row],[L5N]],IF(Transactions[[#This Row],[Level 3]]=Transactions[[#This Row],[L7N]],Transactions[[#This Row],[L6N]],Transactions[[#This Row],[L7N]]))))))))</f>
        <v>Electricity plants - Main activity - Pumped hydro</v>
      </c>
      <c r="AW397" s="24" t="str">
        <f>IF(Transactions[[#This Row],[Level 4]]=Transactions[[#This Row],[Transaction name]],Transactions[[#This Row],[Transaction name]],IF(Transactions[[#This Row],[Level 4]]=Transactions[[#This Row],[L1N]],Transactions[[#This Row],[Transaction name]],IF(Transactions[[#This Row],[Level 4]]=Transactions[[#This Row],[L2N]],Transactions[[#This Row],[L1N]],IF(Transactions[[#This Row],[Level 4]]=Transactions[[#This Row],[L3N]],Transactions[[#This Row],[L2N]],IF(Transactions[[#This Row],[Level 4]]=Transactions[[#This Row],[L4N]],Transactions[[#This Row],[L3N]],IF(Transactions[[#This Row],[Level 4]]=Transactions[[#This Row],[L5N]],Transactions[[#This Row],[L4N]],IF(Transactions[[#This Row],[Level 4]]=Transactions[[#This Row],[L6N]],Transactions[[#This Row],[L5N]],IF(Transactions[[#This Row],[Level 4]]=Transactions[[#This Row],[L7N]],Transactions[[#This Row],[L6N]],Transactions[[#This Row],[L7N]]))))))))</f>
        <v>Electricity plants - Main activity - Pumped hydro</v>
      </c>
      <c r="AX397" s="24" t="str">
        <f>IF(Transactions[[#This Row],[Level 5]]=Transactions[[#This Row],[Transaction name]],Transactions[[#This Row],[Transaction name]],IF(Transactions[[#This Row],[Level 5]]=Transactions[[#This Row],[L1N]],Transactions[[#This Row],[Transaction name]],IF(Transactions[[#This Row],[Level 5]]=Transactions[[#This Row],[L2N]],Transactions[[#This Row],[L1N]],IF(Transactions[[#This Row],[Level 5]]=Transactions[[#This Row],[L3N]],Transactions[[#This Row],[L2N]],IF(Transactions[[#This Row],[Level 5]]=Transactions[[#This Row],[L4N]],Transactions[[#This Row],[L3N]],IF(Transactions[[#This Row],[Level 5]]=Transactions[[#This Row],[L5N]],Transactions[[#This Row],[L4N]],IF(Transactions[[#This Row],[Level 5]]=Transactions[[#This Row],[L6N]],Transactions[[#This Row],[L5N]],IF(Transactions[[#This Row],[Level 5]]=Transactions[[#This Row],[L7N]],Transactions[[#This Row],[L6N]],Transactions[[#This Row],[L7N]]))))))))</f>
        <v>Electricity plants - Main activity - Pumped hydro</v>
      </c>
      <c r="AY397" s="24" t="str">
        <f>IF(Transactions[[#This Row],[Level 6]]=Transactions[[#This Row],[Transaction name]],Transactions[[#This Row],[Transaction name]],IF(Transactions[[#This Row],[Level 6]]=Transactions[[#This Row],[L1N]],Transactions[[#This Row],[Transaction name]],IF(Transactions[[#This Row],[Level 6]]=Transactions[[#This Row],[L2N]],Transactions[[#This Row],[L1N]],IF(Transactions[[#This Row],[Level 6]]=Transactions[[#This Row],[L3N]],Transactions[[#This Row],[L2N]],IF(Transactions[[#This Row],[Level 6]]=Transactions[[#This Row],[L4N]],Transactions[[#This Row],[L3N]],IF(Transactions[[#This Row],[Level 6]]=Transactions[[#This Row],[L5N]],Transactions[[#This Row],[L4N]],IF(Transactions[[#This Row],[Level 6]]=Transactions[[#This Row],[L6N]],Transactions[[#This Row],[L5N]],IF(Transactions[[#This Row],[Level 6]]=Transactions[[#This Row],[L7N]],Transactions[[#This Row],[L6N]],Transactions[[#This Row],[L7N]]))))))))</f>
        <v>Electricity plants - Main activity - Pumped hydro</v>
      </c>
      <c r="BE397" s="26" t="str">
        <f>_xlfn.XLOOKUP(Transformation[[#This Row],[cfrom]],Commodities[Commodity],Commodities[Commodity code])</f>
        <v>4661</v>
      </c>
      <c r="BF397" s="26" t="str">
        <f>_xlfn.XLOOKUP(Transformation[[#This Row],[tfrom]],Transactions[Transaction name],Transactions[Transaction code])</f>
        <v>01</v>
      </c>
      <c r="BG397" s="26" t="str">
        <f>_xlfn.XLOOKUP(Transformation[[#This Row],[cto]],Commodities[Commodity],Commodities[Commodity code])</f>
        <v>4661</v>
      </c>
      <c r="BH397" s="26" t="str">
        <f>_xlfn.XLOOKUP(Transformation[[#This Row],[tto]],Transactions[Transaction name],Transactions[Transaction code])</f>
        <v>01</v>
      </c>
      <c r="BI397" s="32">
        <v>-1</v>
      </c>
      <c r="BJ397" s="22" t="s">
        <v>381</v>
      </c>
      <c r="BK397" s="26" t="str">
        <f>_xlfn.XLOOKUP(Transformation[[#This Row],[Commodity from]],Commodities[Commodity code],Commodities[EnergyCode])</f>
        <v>JF</v>
      </c>
      <c r="BL397" s="22" t="s">
        <v>383</v>
      </c>
      <c r="BM397" s="22" t="s">
        <v>381</v>
      </c>
      <c r="BN397" s="26" t="str">
        <f>_xlfn.XLOOKUP(Transformation[[#This Row],[Commodity to]],Commodities[Commodity code],Commodities[EnergyCode])</f>
        <v>JF</v>
      </c>
      <c r="BO397" s="22" t="s">
        <v>383</v>
      </c>
      <c r="BP397" s="22" t="s">
        <v>1633</v>
      </c>
      <c r="BQ397" s="33" t="str">
        <f>Transformation[[#This Row],[Commodity from]]&amp;Transformation[[#This Row],[Transaction from]]&amp;Transformation[[#This Row],[Commodity to]]&amp;Transformation[[#This Row],[Transaction to]]</f>
        <v>466101466101</v>
      </c>
      <c r="BR397" s="26" t="str">
        <f>Transformation[[#This Row],[crfomid]]&amp;Transformation[[#This Row],[Transaction from]]&amp;"("&amp;Transformation[[#This Row],[Multiplier]]&amp;") -&gt; "&amp;Transformation[[#This Row],[ctoid]]&amp;Transformation[[#This Row],[Transaction to]]</f>
        <v>JF01(-1) -&gt; JF01</v>
      </c>
    </row>
    <row r="398" spans="25:70" x14ac:dyDescent="0.45">
      <c r="Y398" s="19" t="s">
        <v>1599</v>
      </c>
      <c r="Z398" s="18" t="s">
        <v>1327</v>
      </c>
      <c r="AA398" s="18" t="s">
        <v>1327</v>
      </c>
      <c r="AB398" s="19" t="s">
        <v>1600</v>
      </c>
      <c r="AC398" s="26" t="str">
        <f>IFERROR(VLOOKUP(Transactions[[#This Row],[Parent code]],Transactions[[Transaction code]:[Transaction name]],2,0),"")</f>
        <v>Electricity plants</v>
      </c>
      <c r="AD398" s="18" t="s">
        <v>189</v>
      </c>
      <c r="AE398" s="18" t="s">
        <v>923</v>
      </c>
      <c r="AF398" s="18" t="s">
        <v>642</v>
      </c>
      <c r="AG398" s="18" t="s">
        <v>1</v>
      </c>
      <c r="AH398" s="18" t="s">
        <v>696</v>
      </c>
      <c r="AI398" s="18"/>
      <c r="AJ398" s="18" t="s">
        <v>0</v>
      </c>
      <c r="AK398" s="26" t="str" cm="1">
        <f t="array" ref="AK398">IFERROR(INDEX(Transactions[[Transaction code]:[Transaction name]],_xlfn.XMATCH(Transactions[[#This Row],[Parent code]],Transactions[Transaction name],0),3),Transactions[[#This Row],[Transaction name]])</f>
        <v>Electricity plants - Pumped hydro</v>
      </c>
      <c r="AL398" s="26" t="str" cm="1">
        <f t="array" ref="AL398">IFERROR(INDEX(Transactions[[Transaction code]:[Transaction name]],_xlfn.XMATCH(INDEX(Transactions[[Transaction name]:[Parent code]],_xlfn.XMATCH(Transactions[[#This Row],[L1N]],Transactions[Transaction name],0),3),Transactions[Transaction code],0),2),Transactions[[#This Row],[L1N]])</f>
        <v>Electricity plants</v>
      </c>
      <c r="AM398" s="26" t="str" cm="1">
        <f t="array" ref="AM398">IFERROR(INDEX(Transactions[[Transaction code]:[Transaction name]],_xlfn.XMATCH(INDEX(Transactions[[Transaction name]:[Parent code]],_xlfn.XMATCH(Transactions[[#This Row],[L2N]],Transactions[Transaction name],0),3),Transactions[Transaction code],0),2),Transactions[[#This Row],[L2N]])</f>
        <v>Electricity, CHP and heat plants (T)</v>
      </c>
      <c r="AN398" s="26" t="str" cm="1">
        <f t="array" ref="AN398">IFERROR(INDEX(Transactions[[Transaction code]:[Transaction name]],_xlfn.XMATCH(INDEX(Transactions[[Transaction name]:[Parent code]],_xlfn.XMATCH(Transactions[[#This Row],[L3N]],Transactions[Transaction name],0),3),Transactions[Transaction code],0),2),Transactions[[#This Row],[L3N]])</f>
        <v>Transformation</v>
      </c>
      <c r="AO398" s="26" t="str" cm="1">
        <f t="array" ref="AO398">IFERROR(INDEX(Transactions[[Transaction code]:[Transaction name]],_xlfn.XMATCH(INDEX(Transactions[[Transaction name]:[Parent code]],_xlfn.XMATCH(Transactions[[#This Row],[L4N]],Transactions[Transaction name],0),3),Transactions[Transaction code],0),2),Transactions[[#This Row],[L4N]])</f>
        <v>Transformation</v>
      </c>
      <c r="AP398" s="26" t="str" cm="1">
        <f t="array" ref="AP398">IFERROR(INDEX(Transactions[[Transaction code]:[Transaction name]],_xlfn.XMATCH(INDEX(Transactions[[Transaction name]:[Parent code]],_xlfn.XMATCH(Transactions[[#This Row],[L5N]],Transactions[Transaction name],0),3),Transactions[Transaction code],0),2),Transactions[[#This Row],[L5N]])</f>
        <v>Transformation</v>
      </c>
      <c r="AQ398" s="26" t="str" cm="1">
        <f t="array" ref="AQ398">IFERROR(INDEX(Transactions[[Transaction code]:[Transaction name]],_xlfn.XMATCH(INDEX(Transactions[[Transaction name]:[Parent code]],_xlfn.XMATCH(Transactions[[#This Row],[L6N]],Transactions[Transaction name],0),3),Transactions[Transaction code],0),2),Transactions[[#This Row],[L6N]])</f>
        <v>Transformation</v>
      </c>
      <c r="AR398" s="30" t="str">
        <f>IF(Transactions[[#This Row],[L7N]]=Transactions[[#This Row],[L6N]],Transactions[[#This Row],[L7N]],IF(Transactions[[#This Row],[L6N]]=Transactions[[#This Row],[L5N]],Transactions[[#This Row],[L6N]],IF(Transactions[[#This Row],[L5N]]=Transactions[[#This Row],[L4N]],Transactions[[#This Row],[L5N]],IF(Transactions[[#This Row],[L4N]]=Transactions[[#This Row],[L3N]],Transactions[[#This Row],[L4N]],IF(Transactions[[#This Row],[L3N]]=Transactions[[#This Row],[L2N]],Transactions[[#This Row],[L3N]],IF(Transactions[[#This Row],[L2N]]=Transactions[[#This Row],[L1N]],Transactions[[#This Row],[L2N]],IF(Transactions[[#This Row],[L1N]]=Transactions[[#This Row],[Transaction name]],Transactions[[#This Row],[L1N]],Transactions[[#This Row],[Transaction name]])))))))</f>
        <v>Transformation</v>
      </c>
      <c r="AS398" s="26" t="str">
        <f>IF(Transactions[[#This Row],[Level 0]]=Transactions[[#This Row],[Transaction name]],Transactions[[#This Row],[Transaction name]],IF(Transactions[[#This Row],[Level 0]]=Transactions[[#This Row],[L1N]],Transactions[[#This Row],[Transaction name]],IF(Transactions[[#This Row],[Level 0]]=Transactions[[#This Row],[L2N]],Transactions[[#This Row],[L1N]],IF(Transactions[[#This Row],[Level 0]]=Transactions[[#This Row],[L3N]],Transactions[[#This Row],[L2N]],IF(Transactions[[#This Row],[Level 0]]=Transactions[[#This Row],[L4N]],Transactions[[#This Row],[L3N]],IF(Transactions[[#This Row],[Level 0]]=Transactions[[#This Row],[L5N]],Transactions[[#This Row],[L4N]],IF(Transactions[[#This Row],[Level 0]]=Transactions[[#This Row],[L6N]],Transactions[[#This Row],[L5N]],IF(Transactions[[#This Row],[Level 0]]=Transactions[[#This Row],[L7N]],Transactions[[#This Row],[L6N]],Transactions[[#This Row],[L7N]]))))))))</f>
        <v>Electricity, CHP and heat plants (T)</v>
      </c>
      <c r="AT398" s="26" t="str">
        <f>IF(Transactions[[#This Row],[Level 1]]=Transactions[[#This Row],[Transaction name]],Transactions[[#This Row],[Transaction name]],IF(Transactions[[#This Row],[Level 1]]=Transactions[[#This Row],[L1N]],Transactions[[#This Row],[Transaction name]],IF(Transactions[[#This Row],[Level 1]]=Transactions[[#This Row],[L2N]],Transactions[[#This Row],[L1N]],IF(Transactions[[#This Row],[Level 1]]=Transactions[[#This Row],[L3N]],Transactions[[#This Row],[L2N]],IF(Transactions[[#This Row],[Level 1]]=Transactions[[#This Row],[L4N]],Transactions[[#This Row],[L3N]],IF(Transactions[[#This Row],[Level 1]]=Transactions[[#This Row],[L5N]],Transactions[[#This Row],[L4N]],IF(Transactions[[#This Row],[Level 1]]=Transactions[[#This Row],[L6N]],Transactions[[#This Row],[L5N]],IF(Transactions[[#This Row],[Level 1]]=Transactions[[#This Row],[L7N]],Transactions[[#This Row],[L6N]],Transactions[[#This Row],[L7N]]))))))))</f>
        <v>Electricity plants</v>
      </c>
      <c r="AU398" s="26" t="str">
        <f>IF(Transactions[[#This Row],[Level 2]]=Transactions[[#This Row],[Transaction name]],Transactions[[#This Row],[Transaction name]],IF(Transactions[[#This Row],[Level 2]]=Transactions[[#This Row],[L1N]],Transactions[[#This Row],[Transaction name]],IF(Transactions[[#This Row],[Level 2]]=Transactions[[#This Row],[L2N]],Transactions[[#This Row],[L1N]],IF(Transactions[[#This Row],[Level 2]]=Transactions[[#This Row],[L3N]],Transactions[[#This Row],[L2N]],IF(Transactions[[#This Row],[Level 2]]=Transactions[[#This Row],[L4N]],Transactions[[#This Row],[L3N]],IF(Transactions[[#This Row],[Level 2]]=Transactions[[#This Row],[L5N]],Transactions[[#This Row],[L4N]],IF(Transactions[[#This Row],[Level 2]]=Transactions[[#This Row],[L6N]],Transactions[[#This Row],[L5N]],IF(Transactions[[#This Row],[Level 2]]=Transactions[[#This Row],[L7N]],Transactions[[#This Row],[L6N]],Transactions[[#This Row],[L7N]]))))))))</f>
        <v>Electricity plants - Pumped hydro</v>
      </c>
      <c r="AV398" s="26" t="str">
        <f>IF(Transactions[[#This Row],[Level 3]]=Transactions[[#This Row],[Transaction name]],Transactions[[#This Row],[Transaction name]],IF(Transactions[[#This Row],[Level 3]]=Transactions[[#This Row],[L1N]],Transactions[[#This Row],[Transaction name]],IF(Transactions[[#This Row],[Level 3]]=Transactions[[#This Row],[L2N]],Transactions[[#This Row],[L1N]],IF(Transactions[[#This Row],[Level 3]]=Transactions[[#This Row],[L3N]],Transactions[[#This Row],[L2N]],IF(Transactions[[#This Row],[Level 3]]=Transactions[[#This Row],[L4N]],Transactions[[#This Row],[L3N]],IF(Transactions[[#This Row],[Level 3]]=Transactions[[#This Row],[L5N]],Transactions[[#This Row],[L4N]],IF(Transactions[[#This Row],[Level 3]]=Transactions[[#This Row],[L6N]],Transactions[[#This Row],[L5N]],IF(Transactions[[#This Row],[Level 3]]=Transactions[[#This Row],[L7N]],Transactions[[#This Row],[L6N]],Transactions[[#This Row],[L7N]]))))))))</f>
        <v>Electricity plants - Pumped hydro</v>
      </c>
      <c r="AW398" s="26" t="str">
        <f>IF(Transactions[[#This Row],[Level 4]]=Transactions[[#This Row],[Transaction name]],Transactions[[#This Row],[Transaction name]],IF(Transactions[[#This Row],[Level 4]]=Transactions[[#This Row],[L1N]],Transactions[[#This Row],[Transaction name]],IF(Transactions[[#This Row],[Level 4]]=Transactions[[#This Row],[L2N]],Transactions[[#This Row],[L1N]],IF(Transactions[[#This Row],[Level 4]]=Transactions[[#This Row],[L3N]],Transactions[[#This Row],[L2N]],IF(Transactions[[#This Row],[Level 4]]=Transactions[[#This Row],[L4N]],Transactions[[#This Row],[L3N]],IF(Transactions[[#This Row],[Level 4]]=Transactions[[#This Row],[L5N]],Transactions[[#This Row],[L4N]],IF(Transactions[[#This Row],[Level 4]]=Transactions[[#This Row],[L6N]],Transactions[[#This Row],[L5N]],IF(Transactions[[#This Row],[Level 4]]=Transactions[[#This Row],[L7N]],Transactions[[#This Row],[L6N]],Transactions[[#This Row],[L7N]]))))))))</f>
        <v>Electricity plants - Pumped hydro</v>
      </c>
      <c r="AX398" s="26" t="str">
        <f>IF(Transactions[[#This Row],[Level 5]]=Transactions[[#This Row],[Transaction name]],Transactions[[#This Row],[Transaction name]],IF(Transactions[[#This Row],[Level 5]]=Transactions[[#This Row],[L1N]],Transactions[[#This Row],[Transaction name]],IF(Transactions[[#This Row],[Level 5]]=Transactions[[#This Row],[L2N]],Transactions[[#This Row],[L1N]],IF(Transactions[[#This Row],[Level 5]]=Transactions[[#This Row],[L3N]],Transactions[[#This Row],[L2N]],IF(Transactions[[#This Row],[Level 5]]=Transactions[[#This Row],[L4N]],Transactions[[#This Row],[L3N]],IF(Transactions[[#This Row],[Level 5]]=Transactions[[#This Row],[L5N]],Transactions[[#This Row],[L4N]],IF(Transactions[[#This Row],[Level 5]]=Transactions[[#This Row],[L6N]],Transactions[[#This Row],[L5N]],IF(Transactions[[#This Row],[Level 5]]=Transactions[[#This Row],[L7N]],Transactions[[#This Row],[L6N]],Transactions[[#This Row],[L7N]]))))))))</f>
        <v>Electricity plants - Pumped hydro</v>
      </c>
      <c r="AY398" s="26" t="str">
        <f>IF(Transactions[[#This Row],[Level 6]]=Transactions[[#This Row],[Transaction name]],Transactions[[#This Row],[Transaction name]],IF(Transactions[[#This Row],[Level 6]]=Transactions[[#This Row],[L1N]],Transactions[[#This Row],[Transaction name]],IF(Transactions[[#This Row],[Level 6]]=Transactions[[#This Row],[L2N]],Transactions[[#This Row],[L1N]],IF(Transactions[[#This Row],[Level 6]]=Transactions[[#This Row],[L3N]],Transactions[[#This Row],[L2N]],IF(Transactions[[#This Row],[Level 6]]=Transactions[[#This Row],[L4N]],Transactions[[#This Row],[L3N]],IF(Transactions[[#This Row],[Level 6]]=Transactions[[#This Row],[L5N]],Transactions[[#This Row],[L4N]],IF(Transactions[[#This Row],[Level 6]]=Transactions[[#This Row],[L6N]],Transactions[[#This Row],[L5N]],IF(Transactions[[#This Row],[Level 6]]=Transactions[[#This Row],[L7N]],Transactions[[#This Row],[L6N]],Transactions[[#This Row],[L7N]]))))))))</f>
        <v>Electricity plants - Pumped hydro</v>
      </c>
      <c r="BE398" s="26" t="str">
        <f>_xlfn.XLOOKUP(Transformation[[#This Row],[cfrom]],Commodities[Commodity],Commodities[Commodity code])</f>
        <v>4661</v>
      </c>
      <c r="BF398" s="26" t="str">
        <f>_xlfn.XLOOKUP(Transformation[[#This Row],[tfrom]],Transactions[Transaction name],Transactions[Transaction code])</f>
        <v>022</v>
      </c>
      <c r="BG398" s="26" t="str">
        <f>_xlfn.XLOOKUP(Transformation[[#This Row],[cto]],Commodities[Commodity],Commodities[Commodity code])</f>
        <v>4661</v>
      </c>
      <c r="BH398" s="26" t="str">
        <f>_xlfn.XLOOKUP(Transformation[[#This Row],[tto]],Transactions[Transaction name],Transactions[Transaction code])</f>
        <v>022</v>
      </c>
      <c r="BI398" s="32">
        <v>-1</v>
      </c>
      <c r="BJ398" s="22" t="s">
        <v>381</v>
      </c>
      <c r="BK398" s="26" t="str">
        <f>_xlfn.XLOOKUP(Transformation[[#This Row],[Commodity from]],Commodities[Commodity code],Commodities[EnergyCode])</f>
        <v>JF</v>
      </c>
      <c r="BL398" s="22" t="s">
        <v>205</v>
      </c>
      <c r="BM398" s="22" t="s">
        <v>381</v>
      </c>
      <c r="BN398" s="26" t="str">
        <f>_xlfn.XLOOKUP(Transformation[[#This Row],[Commodity to]],Commodities[Commodity code],Commodities[EnergyCode])</f>
        <v>JF</v>
      </c>
      <c r="BO398" s="22" t="s">
        <v>205</v>
      </c>
      <c r="BP398" s="22" t="s">
        <v>1639</v>
      </c>
      <c r="BQ398" s="33" t="str">
        <f>Transformation[[#This Row],[Commodity from]]&amp;Transformation[[#This Row],[Transaction from]]&amp;Transformation[[#This Row],[Commodity to]]&amp;Transformation[[#This Row],[Transaction to]]</f>
        <v>46610224661022</v>
      </c>
      <c r="BR398" s="26" t="str">
        <f>Transformation[[#This Row],[crfomid]]&amp;Transformation[[#This Row],[Transaction from]]&amp;"("&amp;Transformation[[#This Row],[Multiplier]]&amp;") -&gt; "&amp;Transformation[[#This Row],[ctoid]]&amp;Transformation[[#This Row],[Transaction to]]</f>
        <v>JF022(-1) -&gt; JF022</v>
      </c>
    </row>
    <row r="399" spans="25:70" x14ac:dyDescent="0.45">
      <c r="Y399" s="5" t="s">
        <v>1261</v>
      </c>
      <c r="Z399" s="7" t="s">
        <v>1198</v>
      </c>
      <c r="AA399" s="4" t="s">
        <v>1388</v>
      </c>
      <c r="AB399" s="19" t="s">
        <v>1602</v>
      </c>
      <c r="AC399" s="24" t="str">
        <f>IFERROR(VLOOKUP(Transactions[[#This Row],[Parent code]],Transactions[[Transaction code]:[Transaction name]],2,0),"")</f>
        <v>Electricity plants - shale</v>
      </c>
      <c r="AD399" s="4" t="s">
        <v>189</v>
      </c>
      <c r="AE399" s="4" t="s">
        <v>923</v>
      </c>
      <c r="AF399" s="4" t="s">
        <v>642</v>
      </c>
      <c r="AG399" s="4" t="s">
        <v>1</v>
      </c>
      <c r="AH399" s="4" t="s">
        <v>696</v>
      </c>
      <c r="AI399" s="12" t="s">
        <v>1416</v>
      </c>
      <c r="AK399" s="24" t="str" cm="1">
        <f t="array" ref="AK399">IFERROR(INDEX(Transactions[[Transaction code]:[Transaction name]],_xlfn.XMATCH(Transactions[[#This Row],[Parent code]],Transactions[Transaction name],0),3),Transactions[[#This Row],[Transaction name]])</f>
        <v>Electricity plants - Autoproducer - shale</v>
      </c>
      <c r="AL399" s="24" t="str" cm="1">
        <f t="array" ref="AL399">IFERROR(INDEX(Transactions[[Transaction code]:[Transaction name]],_xlfn.XMATCH(INDEX(Transactions[[Transaction name]:[Parent code]],_xlfn.XMATCH(Transactions[[#This Row],[L1N]],Transactions[Transaction name],0),3),Transactions[Transaction code],0),2),Transactions[[#This Row],[L1N]])</f>
        <v>Electricity plants - shale</v>
      </c>
      <c r="AM399" s="24" t="str" cm="1">
        <f t="array" ref="AM399">IFERROR(INDEX(Transactions[[Transaction code]:[Transaction name]],_xlfn.XMATCH(INDEX(Transactions[[Transaction name]:[Parent code]],_xlfn.XMATCH(Transactions[[#This Row],[L2N]],Transactions[Transaction name],0),3),Transactions[Transaction code],0),2),Transactions[[#This Row],[L2N]])</f>
        <v>Electricity plants</v>
      </c>
      <c r="AN399" s="24" t="str" cm="1">
        <f t="array" ref="AN399">IFERROR(INDEX(Transactions[[Transaction code]:[Transaction name]],_xlfn.XMATCH(INDEX(Transactions[[Transaction name]:[Parent code]],_xlfn.XMATCH(Transactions[[#This Row],[L3N]],Transactions[Transaction name],0),3),Transactions[Transaction code],0),2),Transactions[[#This Row],[L3N]])</f>
        <v>Electricity, CHP and heat plants (T)</v>
      </c>
      <c r="AO399" s="24" t="str" cm="1">
        <f t="array" ref="AO399">IFERROR(INDEX(Transactions[[Transaction code]:[Transaction name]],_xlfn.XMATCH(INDEX(Transactions[[Transaction name]:[Parent code]],_xlfn.XMATCH(Transactions[[#This Row],[L4N]],Transactions[Transaction name],0),3),Transactions[Transaction code],0),2),Transactions[[#This Row],[L4N]])</f>
        <v>Transformation</v>
      </c>
      <c r="AP399" s="24" t="str" cm="1">
        <f t="array" ref="AP399">IFERROR(INDEX(Transactions[[Transaction code]:[Transaction name]],_xlfn.XMATCH(INDEX(Transactions[[Transaction name]:[Parent code]],_xlfn.XMATCH(Transactions[[#This Row],[L5N]],Transactions[Transaction name],0),3),Transactions[Transaction code],0),2),Transactions[[#This Row],[L5N]])</f>
        <v>Transformation</v>
      </c>
      <c r="AQ399" s="24" t="str" cm="1">
        <f t="array" ref="AQ399">IFERROR(INDEX(Transactions[[Transaction code]:[Transaction name]],_xlfn.XMATCH(INDEX(Transactions[[Transaction name]:[Parent code]],_xlfn.XMATCH(Transactions[[#This Row],[L6N]],Transactions[Transaction name],0),3),Transactions[Transaction code],0),2),Transactions[[#This Row],[L6N]])</f>
        <v>Transformation</v>
      </c>
      <c r="AR399" s="28" t="str">
        <f>IF(Transactions[[#This Row],[L7N]]=Transactions[[#This Row],[L6N]],Transactions[[#This Row],[L7N]],IF(Transactions[[#This Row],[L6N]]=Transactions[[#This Row],[L5N]],Transactions[[#This Row],[L6N]],IF(Transactions[[#This Row],[L5N]]=Transactions[[#This Row],[L4N]],Transactions[[#This Row],[L5N]],IF(Transactions[[#This Row],[L4N]]=Transactions[[#This Row],[L3N]],Transactions[[#This Row],[L4N]],IF(Transactions[[#This Row],[L3N]]=Transactions[[#This Row],[L2N]],Transactions[[#This Row],[L3N]],IF(Transactions[[#This Row],[L2N]]=Transactions[[#This Row],[L1N]],Transactions[[#This Row],[L2N]],IF(Transactions[[#This Row],[L1N]]=Transactions[[#This Row],[Transaction name]],Transactions[[#This Row],[L1N]],Transactions[[#This Row],[Transaction name]])))))))</f>
        <v>Transformation</v>
      </c>
      <c r="AS399" s="24" t="str">
        <f>IF(Transactions[[#This Row],[Level 0]]=Transactions[[#This Row],[Transaction name]],Transactions[[#This Row],[Transaction name]],IF(Transactions[[#This Row],[Level 0]]=Transactions[[#This Row],[L1N]],Transactions[[#This Row],[Transaction name]],IF(Transactions[[#This Row],[Level 0]]=Transactions[[#This Row],[L2N]],Transactions[[#This Row],[L1N]],IF(Transactions[[#This Row],[Level 0]]=Transactions[[#This Row],[L3N]],Transactions[[#This Row],[L2N]],IF(Transactions[[#This Row],[Level 0]]=Transactions[[#This Row],[L4N]],Transactions[[#This Row],[L3N]],IF(Transactions[[#This Row],[Level 0]]=Transactions[[#This Row],[L5N]],Transactions[[#This Row],[L4N]],IF(Transactions[[#This Row],[Level 0]]=Transactions[[#This Row],[L6N]],Transactions[[#This Row],[L5N]],IF(Transactions[[#This Row],[Level 0]]=Transactions[[#This Row],[L7N]],Transactions[[#This Row],[L6N]],Transactions[[#This Row],[L7N]]))))))))</f>
        <v>Electricity, CHP and heat plants (T)</v>
      </c>
      <c r="AT399" s="24" t="str">
        <f>IF(Transactions[[#This Row],[Level 1]]=Transactions[[#This Row],[Transaction name]],Transactions[[#This Row],[Transaction name]],IF(Transactions[[#This Row],[Level 1]]=Transactions[[#This Row],[L1N]],Transactions[[#This Row],[Transaction name]],IF(Transactions[[#This Row],[Level 1]]=Transactions[[#This Row],[L2N]],Transactions[[#This Row],[L1N]],IF(Transactions[[#This Row],[Level 1]]=Transactions[[#This Row],[L3N]],Transactions[[#This Row],[L2N]],IF(Transactions[[#This Row],[Level 1]]=Transactions[[#This Row],[L4N]],Transactions[[#This Row],[L3N]],IF(Transactions[[#This Row],[Level 1]]=Transactions[[#This Row],[L5N]],Transactions[[#This Row],[L4N]],IF(Transactions[[#This Row],[Level 1]]=Transactions[[#This Row],[L6N]],Transactions[[#This Row],[L5N]],IF(Transactions[[#This Row],[Level 1]]=Transactions[[#This Row],[L7N]],Transactions[[#This Row],[L6N]],Transactions[[#This Row],[L7N]]))))))))</f>
        <v>Electricity plants</v>
      </c>
      <c r="AU399" s="24" t="str">
        <f>IF(Transactions[[#This Row],[Level 2]]=Transactions[[#This Row],[Transaction name]],Transactions[[#This Row],[Transaction name]],IF(Transactions[[#This Row],[Level 2]]=Transactions[[#This Row],[L1N]],Transactions[[#This Row],[Transaction name]],IF(Transactions[[#This Row],[Level 2]]=Transactions[[#This Row],[L2N]],Transactions[[#This Row],[L1N]],IF(Transactions[[#This Row],[Level 2]]=Transactions[[#This Row],[L3N]],Transactions[[#This Row],[L2N]],IF(Transactions[[#This Row],[Level 2]]=Transactions[[#This Row],[L4N]],Transactions[[#This Row],[L3N]],IF(Transactions[[#This Row],[Level 2]]=Transactions[[#This Row],[L5N]],Transactions[[#This Row],[L4N]],IF(Transactions[[#This Row],[Level 2]]=Transactions[[#This Row],[L6N]],Transactions[[#This Row],[L5N]],IF(Transactions[[#This Row],[Level 2]]=Transactions[[#This Row],[L7N]],Transactions[[#This Row],[L6N]],Transactions[[#This Row],[L7N]]))))))))</f>
        <v>Electricity plants - shale</v>
      </c>
      <c r="AV399" s="24" t="str">
        <f>IF(Transactions[[#This Row],[Level 3]]=Transactions[[#This Row],[Transaction name]],Transactions[[#This Row],[Transaction name]],IF(Transactions[[#This Row],[Level 3]]=Transactions[[#This Row],[L1N]],Transactions[[#This Row],[Transaction name]],IF(Transactions[[#This Row],[Level 3]]=Transactions[[#This Row],[L2N]],Transactions[[#This Row],[L1N]],IF(Transactions[[#This Row],[Level 3]]=Transactions[[#This Row],[L3N]],Transactions[[#This Row],[L2N]],IF(Transactions[[#This Row],[Level 3]]=Transactions[[#This Row],[L4N]],Transactions[[#This Row],[L3N]],IF(Transactions[[#This Row],[Level 3]]=Transactions[[#This Row],[L5N]],Transactions[[#This Row],[L4N]],IF(Transactions[[#This Row],[Level 3]]=Transactions[[#This Row],[L6N]],Transactions[[#This Row],[L5N]],IF(Transactions[[#This Row],[Level 3]]=Transactions[[#This Row],[L7N]],Transactions[[#This Row],[L6N]],Transactions[[#This Row],[L7N]]))))))))</f>
        <v>Electricity plants - Autoproducer - shale</v>
      </c>
      <c r="AW399" s="24" t="str">
        <f>IF(Transactions[[#This Row],[Level 4]]=Transactions[[#This Row],[Transaction name]],Transactions[[#This Row],[Transaction name]],IF(Transactions[[#This Row],[Level 4]]=Transactions[[#This Row],[L1N]],Transactions[[#This Row],[Transaction name]],IF(Transactions[[#This Row],[Level 4]]=Transactions[[#This Row],[L2N]],Transactions[[#This Row],[L1N]],IF(Transactions[[#This Row],[Level 4]]=Transactions[[#This Row],[L3N]],Transactions[[#This Row],[L2N]],IF(Transactions[[#This Row],[Level 4]]=Transactions[[#This Row],[L4N]],Transactions[[#This Row],[L3N]],IF(Transactions[[#This Row],[Level 4]]=Transactions[[#This Row],[L5N]],Transactions[[#This Row],[L4N]],IF(Transactions[[#This Row],[Level 4]]=Transactions[[#This Row],[L6N]],Transactions[[#This Row],[L5N]],IF(Transactions[[#This Row],[Level 4]]=Transactions[[#This Row],[L7N]],Transactions[[#This Row],[L6N]],Transactions[[#This Row],[L7N]]))))))))</f>
        <v>Electricity plants - Autoproducer - shale</v>
      </c>
      <c r="AX399" s="24" t="str">
        <f>IF(Transactions[[#This Row],[Level 5]]=Transactions[[#This Row],[Transaction name]],Transactions[[#This Row],[Transaction name]],IF(Transactions[[#This Row],[Level 5]]=Transactions[[#This Row],[L1N]],Transactions[[#This Row],[Transaction name]],IF(Transactions[[#This Row],[Level 5]]=Transactions[[#This Row],[L2N]],Transactions[[#This Row],[L1N]],IF(Transactions[[#This Row],[Level 5]]=Transactions[[#This Row],[L3N]],Transactions[[#This Row],[L2N]],IF(Transactions[[#This Row],[Level 5]]=Transactions[[#This Row],[L4N]],Transactions[[#This Row],[L3N]],IF(Transactions[[#This Row],[Level 5]]=Transactions[[#This Row],[L5N]],Transactions[[#This Row],[L4N]],IF(Transactions[[#This Row],[Level 5]]=Transactions[[#This Row],[L6N]],Transactions[[#This Row],[L5N]],IF(Transactions[[#This Row],[Level 5]]=Transactions[[#This Row],[L7N]],Transactions[[#This Row],[L6N]],Transactions[[#This Row],[L7N]]))))))))</f>
        <v>Electricity plants - Autoproducer - shale</v>
      </c>
      <c r="AY399" s="24" t="str">
        <f>IF(Transactions[[#This Row],[Level 6]]=Transactions[[#This Row],[Transaction name]],Transactions[[#This Row],[Transaction name]],IF(Transactions[[#This Row],[Level 6]]=Transactions[[#This Row],[L1N]],Transactions[[#This Row],[Transaction name]],IF(Transactions[[#This Row],[Level 6]]=Transactions[[#This Row],[L2N]],Transactions[[#This Row],[L1N]],IF(Transactions[[#This Row],[Level 6]]=Transactions[[#This Row],[L3N]],Transactions[[#This Row],[L2N]],IF(Transactions[[#This Row],[Level 6]]=Transactions[[#This Row],[L4N]],Transactions[[#This Row],[L3N]],IF(Transactions[[#This Row],[Level 6]]=Transactions[[#This Row],[L5N]],Transactions[[#This Row],[L4N]],IF(Transactions[[#This Row],[Level 6]]=Transactions[[#This Row],[L6N]],Transactions[[#This Row],[L5N]],IF(Transactions[[#This Row],[Level 6]]=Transactions[[#This Row],[L7N]],Transactions[[#This Row],[L6N]],Transactions[[#This Row],[L7N]]))))))))</f>
        <v>Electricity plants - Autoproducer - shale</v>
      </c>
      <c r="BE399" s="26" t="str">
        <f>_xlfn.XLOOKUP(Transformation[[#This Row],[cfrom]],Commodities[Commodity],Commodities[Commodity code])</f>
        <v>4661</v>
      </c>
      <c r="BF399" s="26" t="str">
        <f>_xlfn.XLOOKUP(Transformation[[#This Row],[tfrom]],Transactions[Transaction name],Transactions[Transaction code])</f>
        <v>022</v>
      </c>
      <c r="BG399" s="26" t="str">
        <f>_xlfn.XLOOKUP(Transformation[[#This Row],[cto]],Commodities[Commodity],Commodities[Commodity code])</f>
        <v>4661</v>
      </c>
      <c r="BH399" s="26" t="str">
        <f>_xlfn.XLOOKUP(Transformation[[#This Row],[tto]],Transactions[Transaction name],Transactions[Transaction code])</f>
        <v>013</v>
      </c>
      <c r="BI399" s="31">
        <v>1</v>
      </c>
      <c r="BJ399" s="22" t="s">
        <v>381</v>
      </c>
      <c r="BK399" s="26" t="str">
        <f>_xlfn.XLOOKUP(Transformation[[#This Row],[Commodity from]],Commodities[Commodity code],Commodities[EnergyCode])</f>
        <v>JF</v>
      </c>
      <c r="BL399" s="22" t="s">
        <v>205</v>
      </c>
      <c r="BM399" s="22" t="s">
        <v>381</v>
      </c>
      <c r="BN399" s="26" t="str">
        <f>_xlfn.XLOOKUP(Transformation[[#This Row],[Commodity to]],Commodities[Commodity code],Commodities[EnergyCode])</f>
        <v>JF</v>
      </c>
      <c r="BO399" s="22" t="s">
        <v>374</v>
      </c>
      <c r="BP399" s="22" t="s">
        <v>1694</v>
      </c>
      <c r="BQ399" s="33" t="str">
        <f>Transformation[[#This Row],[Commodity from]]&amp;Transformation[[#This Row],[Transaction from]]&amp;Transformation[[#This Row],[Commodity to]]&amp;Transformation[[#This Row],[Transaction to]]</f>
        <v>46610224661013</v>
      </c>
      <c r="BR399" s="26" t="str">
        <f>Transformation[[#This Row],[crfomid]]&amp;Transformation[[#This Row],[Transaction from]]&amp;"("&amp;Transformation[[#This Row],[Multiplier]]&amp;") -&gt; "&amp;Transformation[[#This Row],[ctoid]]&amp;Transformation[[#This Row],[Transaction to]]</f>
        <v>JF022(1) -&gt; JF013</v>
      </c>
    </row>
    <row r="400" spans="25:70" x14ac:dyDescent="0.45">
      <c r="Y400" s="5" t="s">
        <v>1257</v>
      </c>
      <c r="Z400" s="7" t="s">
        <v>1194</v>
      </c>
      <c r="AA400" s="4" t="s">
        <v>1388</v>
      </c>
      <c r="AB400" s="19" t="s">
        <v>1602</v>
      </c>
      <c r="AC400" s="24" t="str">
        <f>IFERROR(VLOOKUP(Transactions[[#This Row],[Parent code]],Transactions[[Transaction code]:[Transaction name]],2,0),"")</f>
        <v>Electricity plants - shale</v>
      </c>
      <c r="AD400" s="4" t="s">
        <v>189</v>
      </c>
      <c r="AE400" s="4" t="s">
        <v>923</v>
      </c>
      <c r="AF400" s="4" t="s">
        <v>642</v>
      </c>
      <c r="AG400" s="4" t="s">
        <v>1</v>
      </c>
      <c r="AH400" s="4" t="s">
        <v>696</v>
      </c>
      <c r="AI400" s="12" t="s">
        <v>1416</v>
      </c>
      <c r="AK400" s="24" t="str" cm="1">
        <f t="array" ref="AK400">IFERROR(INDEX(Transactions[[Transaction code]:[Transaction name]],_xlfn.XMATCH(Transactions[[#This Row],[Parent code]],Transactions[Transaction name],0),3),Transactions[[#This Row],[Transaction name]])</f>
        <v>Electricity plants - Main activity - shale</v>
      </c>
      <c r="AL400" s="24" t="str" cm="1">
        <f t="array" ref="AL400">IFERROR(INDEX(Transactions[[Transaction code]:[Transaction name]],_xlfn.XMATCH(INDEX(Transactions[[Transaction name]:[Parent code]],_xlfn.XMATCH(Transactions[[#This Row],[L1N]],Transactions[Transaction name],0),3),Transactions[Transaction code],0),2),Transactions[[#This Row],[L1N]])</f>
        <v>Electricity plants - shale</v>
      </c>
      <c r="AM400" s="24" t="str" cm="1">
        <f t="array" ref="AM400">IFERROR(INDEX(Transactions[[Transaction code]:[Transaction name]],_xlfn.XMATCH(INDEX(Transactions[[Transaction name]:[Parent code]],_xlfn.XMATCH(Transactions[[#This Row],[L2N]],Transactions[Transaction name],0),3),Transactions[Transaction code],0),2),Transactions[[#This Row],[L2N]])</f>
        <v>Electricity plants</v>
      </c>
      <c r="AN400" s="24" t="str" cm="1">
        <f t="array" ref="AN400">IFERROR(INDEX(Transactions[[Transaction code]:[Transaction name]],_xlfn.XMATCH(INDEX(Transactions[[Transaction name]:[Parent code]],_xlfn.XMATCH(Transactions[[#This Row],[L3N]],Transactions[Transaction name],0),3),Transactions[Transaction code],0),2),Transactions[[#This Row],[L3N]])</f>
        <v>Electricity, CHP and heat plants (T)</v>
      </c>
      <c r="AO400" s="24" t="str" cm="1">
        <f t="array" ref="AO400">IFERROR(INDEX(Transactions[[Transaction code]:[Transaction name]],_xlfn.XMATCH(INDEX(Transactions[[Transaction name]:[Parent code]],_xlfn.XMATCH(Transactions[[#This Row],[L4N]],Transactions[Transaction name],0),3),Transactions[Transaction code],0),2),Transactions[[#This Row],[L4N]])</f>
        <v>Transformation</v>
      </c>
      <c r="AP400" s="24" t="str" cm="1">
        <f t="array" ref="AP400">IFERROR(INDEX(Transactions[[Transaction code]:[Transaction name]],_xlfn.XMATCH(INDEX(Transactions[[Transaction name]:[Parent code]],_xlfn.XMATCH(Transactions[[#This Row],[L5N]],Transactions[Transaction name],0),3),Transactions[Transaction code],0),2),Transactions[[#This Row],[L5N]])</f>
        <v>Transformation</v>
      </c>
      <c r="AQ400" s="24" t="str" cm="1">
        <f t="array" ref="AQ400">IFERROR(INDEX(Transactions[[Transaction code]:[Transaction name]],_xlfn.XMATCH(INDEX(Transactions[[Transaction name]:[Parent code]],_xlfn.XMATCH(Transactions[[#This Row],[L6N]],Transactions[Transaction name],0),3),Transactions[Transaction code],0),2),Transactions[[#This Row],[L6N]])</f>
        <v>Transformation</v>
      </c>
      <c r="AR400" s="28" t="str">
        <f>IF(Transactions[[#This Row],[L7N]]=Transactions[[#This Row],[L6N]],Transactions[[#This Row],[L7N]],IF(Transactions[[#This Row],[L6N]]=Transactions[[#This Row],[L5N]],Transactions[[#This Row],[L6N]],IF(Transactions[[#This Row],[L5N]]=Transactions[[#This Row],[L4N]],Transactions[[#This Row],[L5N]],IF(Transactions[[#This Row],[L4N]]=Transactions[[#This Row],[L3N]],Transactions[[#This Row],[L4N]],IF(Transactions[[#This Row],[L3N]]=Transactions[[#This Row],[L2N]],Transactions[[#This Row],[L3N]],IF(Transactions[[#This Row],[L2N]]=Transactions[[#This Row],[L1N]],Transactions[[#This Row],[L2N]],IF(Transactions[[#This Row],[L1N]]=Transactions[[#This Row],[Transaction name]],Transactions[[#This Row],[L1N]],Transactions[[#This Row],[Transaction name]])))))))</f>
        <v>Transformation</v>
      </c>
      <c r="AS400" s="24" t="str">
        <f>IF(Transactions[[#This Row],[Level 0]]=Transactions[[#This Row],[Transaction name]],Transactions[[#This Row],[Transaction name]],IF(Transactions[[#This Row],[Level 0]]=Transactions[[#This Row],[L1N]],Transactions[[#This Row],[Transaction name]],IF(Transactions[[#This Row],[Level 0]]=Transactions[[#This Row],[L2N]],Transactions[[#This Row],[L1N]],IF(Transactions[[#This Row],[Level 0]]=Transactions[[#This Row],[L3N]],Transactions[[#This Row],[L2N]],IF(Transactions[[#This Row],[Level 0]]=Transactions[[#This Row],[L4N]],Transactions[[#This Row],[L3N]],IF(Transactions[[#This Row],[Level 0]]=Transactions[[#This Row],[L5N]],Transactions[[#This Row],[L4N]],IF(Transactions[[#This Row],[Level 0]]=Transactions[[#This Row],[L6N]],Transactions[[#This Row],[L5N]],IF(Transactions[[#This Row],[Level 0]]=Transactions[[#This Row],[L7N]],Transactions[[#This Row],[L6N]],Transactions[[#This Row],[L7N]]))))))))</f>
        <v>Electricity, CHP and heat plants (T)</v>
      </c>
      <c r="AT400" s="24" t="str">
        <f>IF(Transactions[[#This Row],[Level 1]]=Transactions[[#This Row],[Transaction name]],Transactions[[#This Row],[Transaction name]],IF(Transactions[[#This Row],[Level 1]]=Transactions[[#This Row],[L1N]],Transactions[[#This Row],[Transaction name]],IF(Transactions[[#This Row],[Level 1]]=Transactions[[#This Row],[L2N]],Transactions[[#This Row],[L1N]],IF(Transactions[[#This Row],[Level 1]]=Transactions[[#This Row],[L3N]],Transactions[[#This Row],[L2N]],IF(Transactions[[#This Row],[Level 1]]=Transactions[[#This Row],[L4N]],Transactions[[#This Row],[L3N]],IF(Transactions[[#This Row],[Level 1]]=Transactions[[#This Row],[L5N]],Transactions[[#This Row],[L4N]],IF(Transactions[[#This Row],[Level 1]]=Transactions[[#This Row],[L6N]],Transactions[[#This Row],[L5N]],IF(Transactions[[#This Row],[Level 1]]=Transactions[[#This Row],[L7N]],Transactions[[#This Row],[L6N]],Transactions[[#This Row],[L7N]]))))))))</f>
        <v>Electricity plants</v>
      </c>
      <c r="AU400" s="24" t="str">
        <f>IF(Transactions[[#This Row],[Level 2]]=Transactions[[#This Row],[Transaction name]],Transactions[[#This Row],[Transaction name]],IF(Transactions[[#This Row],[Level 2]]=Transactions[[#This Row],[L1N]],Transactions[[#This Row],[Transaction name]],IF(Transactions[[#This Row],[Level 2]]=Transactions[[#This Row],[L2N]],Transactions[[#This Row],[L1N]],IF(Transactions[[#This Row],[Level 2]]=Transactions[[#This Row],[L3N]],Transactions[[#This Row],[L2N]],IF(Transactions[[#This Row],[Level 2]]=Transactions[[#This Row],[L4N]],Transactions[[#This Row],[L3N]],IF(Transactions[[#This Row],[Level 2]]=Transactions[[#This Row],[L5N]],Transactions[[#This Row],[L4N]],IF(Transactions[[#This Row],[Level 2]]=Transactions[[#This Row],[L6N]],Transactions[[#This Row],[L5N]],IF(Transactions[[#This Row],[Level 2]]=Transactions[[#This Row],[L7N]],Transactions[[#This Row],[L6N]],Transactions[[#This Row],[L7N]]))))))))</f>
        <v>Electricity plants - shale</v>
      </c>
      <c r="AV400" s="24" t="str">
        <f>IF(Transactions[[#This Row],[Level 3]]=Transactions[[#This Row],[Transaction name]],Transactions[[#This Row],[Transaction name]],IF(Transactions[[#This Row],[Level 3]]=Transactions[[#This Row],[L1N]],Transactions[[#This Row],[Transaction name]],IF(Transactions[[#This Row],[Level 3]]=Transactions[[#This Row],[L2N]],Transactions[[#This Row],[L1N]],IF(Transactions[[#This Row],[Level 3]]=Transactions[[#This Row],[L3N]],Transactions[[#This Row],[L2N]],IF(Transactions[[#This Row],[Level 3]]=Transactions[[#This Row],[L4N]],Transactions[[#This Row],[L3N]],IF(Transactions[[#This Row],[Level 3]]=Transactions[[#This Row],[L5N]],Transactions[[#This Row],[L4N]],IF(Transactions[[#This Row],[Level 3]]=Transactions[[#This Row],[L6N]],Transactions[[#This Row],[L5N]],IF(Transactions[[#This Row],[Level 3]]=Transactions[[#This Row],[L7N]],Transactions[[#This Row],[L6N]],Transactions[[#This Row],[L7N]]))))))))</f>
        <v>Electricity plants - Main activity - shale</v>
      </c>
      <c r="AW400" s="24" t="str">
        <f>IF(Transactions[[#This Row],[Level 4]]=Transactions[[#This Row],[Transaction name]],Transactions[[#This Row],[Transaction name]],IF(Transactions[[#This Row],[Level 4]]=Transactions[[#This Row],[L1N]],Transactions[[#This Row],[Transaction name]],IF(Transactions[[#This Row],[Level 4]]=Transactions[[#This Row],[L2N]],Transactions[[#This Row],[L1N]],IF(Transactions[[#This Row],[Level 4]]=Transactions[[#This Row],[L3N]],Transactions[[#This Row],[L2N]],IF(Transactions[[#This Row],[Level 4]]=Transactions[[#This Row],[L4N]],Transactions[[#This Row],[L3N]],IF(Transactions[[#This Row],[Level 4]]=Transactions[[#This Row],[L5N]],Transactions[[#This Row],[L4N]],IF(Transactions[[#This Row],[Level 4]]=Transactions[[#This Row],[L6N]],Transactions[[#This Row],[L5N]],IF(Transactions[[#This Row],[Level 4]]=Transactions[[#This Row],[L7N]],Transactions[[#This Row],[L6N]],Transactions[[#This Row],[L7N]]))))))))</f>
        <v>Electricity plants - Main activity - shale</v>
      </c>
      <c r="AX400" s="24" t="str">
        <f>IF(Transactions[[#This Row],[Level 5]]=Transactions[[#This Row],[Transaction name]],Transactions[[#This Row],[Transaction name]],IF(Transactions[[#This Row],[Level 5]]=Transactions[[#This Row],[L1N]],Transactions[[#This Row],[Transaction name]],IF(Transactions[[#This Row],[Level 5]]=Transactions[[#This Row],[L2N]],Transactions[[#This Row],[L1N]],IF(Transactions[[#This Row],[Level 5]]=Transactions[[#This Row],[L3N]],Transactions[[#This Row],[L2N]],IF(Transactions[[#This Row],[Level 5]]=Transactions[[#This Row],[L4N]],Transactions[[#This Row],[L3N]],IF(Transactions[[#This Row],[Level 5]]=Transactions[[#This Row],[L5N]],Transactions[[#This Row],[L4N]],IF(Transactions[[#This Row],[Level 5]]=Transactions[[#This Row],[L6N]],Transactions[[#This Row],[L5N]],IF(Transactions[[#This Row],[Level 5]]=Transactions[[#This Row],[L7N]],Transactions[[#This Row],[L6N]],Transactions[[#This Row],[L7N]]))))))))</f>
        <v>Electricity plants - Main activity - shale</v>
      </c>
      <c r="AY400" s="24" t="str">
        <f>IF(Transactions[[#This Row],[Level 6]]=Transactions[[#This Row],[Transaction name]],Transactions[[#This Row],[Transaction name]],IF(Transactions[[#This Row],[Level 6]]=Transactions[[#This Row],[L1N]],Transactions[[#This Row],[Transaction name]],IF(Transactions[[#This Row],[Level 6]]=Transactions[[#This Row],[L2N]],Transactions[[#This Row],[L1N]],IF(Transactions[[#This Row],[Level 6]]=Transactions[[#This Row],[L3N]],Transactions[[#This Row],[L2N]],IF(Transactions[[#This Row],[Level 6]]=Transactions[[#This Row],[L4N]],Transactions[[#This Row],[L3N]],IF(Transactions[[#This Row],[Level 6]]=Transactions[[#This Row],[L5N]],Transactions[[#This Row],[L4N]],IF(Transactions[[#This Row],[Level 6]]=Transactions[[#This Row],[L6N]],Transactions[[#This Row],[L5N]],IF(Transactions[[#This Row],[Level 6]]=Transactions[[#This Row],[L7N]],Transactions[[#This Row],[L6N]],Transactions[[#This Row],[L7N]]))))))))</f>
        <v>Electricity plants - Main activity - shale</v>
      </c>
      <c r="BE400" s="26" t="str">
        <f>_xlfn.XLOOKUP(Transformation[[#This Row],[cfrom]],Commodities[Commodity],Commodities[Commodity code])</f>
        <v>4669</v>
      </c>
      <c r="BF400" s="26" t="str">
        <f>_xlfn.XLOOKUP(Transformation[[#This Row],[tfrom]],Transactions[Transaction name],Transactions[Transaction code])</f>
        <v>01</v>
      </c>
      <c r="BG400" s="26" t="str">
        <f>_xlfn.XLOOKUP(Transformation[[#This Row],[cto]],Commodities[Commodity],Commodities[Commodity code])</f>
        <v>4669</v>
      </c>
      <c r="BH400" s="26" t="str">
        <f>_xlfn.XLOOKUP(Transformation[[#This Row],[tto]],Transactions[Transaction name],Transactions[Transaction code])</f>
        <v>01</v>
      </c>
      <c r="BI400" s="32">
        <v>-1</v>
      </c>
      <c r="BJ400" s="22" t="s">
        <v>377</v>
      </c>
      <c r="BK400" s="26" t="str">
        <f>_xlfn.XLOOKUP(Transformation[[#This Row],[Commodity from]],Commodities[Commodity code],Commodities[EnergyCode])</f>
        <v>KR</v>
      </c>
      <c r="BL400" s="22" t="s">
        <v>383</v>
      </c>
      <c r="BM400" s="22" t="s">
        <v>377</v>
      </c>
      <c r="BN400" s="26" t="str">
        <f>_xlfn.XLOOKUP(Transformation[[#This Row],[Commodity to]],Commodities[Commodity code],Commodities[EnergyCode])</f>
        <v>KR</v>
      </c>
      <c r="BO400" s="22" t="s">
        <v>383</v>
      </c>
      <c r="BP400" s="22" t="s">
        <v>1633</v>
      </c>
      <c r="BQ400" s="33" t="str">
        <f>Transformation[[#This Row],[Commodity from]]&amp;Transformation[[#This Row],[Transaction from]]&amp;Transformation[[#This Row],[Commodity to]]&amp;Transformation[[#This Row],[Transaction to]]</f>
        <v>466901466901</v>
      </c>
      <c r="BR400" s="26" t="str">
        <f>Transformation[[#This Row],[crfomid]]&amp;Transformation[[#This Row],[Transaction from]]&amp;"("&amp;Transformation[[#This Row],[Multiplier]]&amp;") -&gt; "&amp;Transformation[[#This Row],[ctoid]]&amp;Transformation[[#This Row],[Transaction to]]</f>
        <v>KR01(-1) -&gt; KR01</v>
      </c>
    </row>
    <row r="401" spans="25:70" x14ac:dyDescent="0.45">
      <c r="Y401" s="19" t="s">
        <v>1602</v>
      </c>
      <c r="Z401" s="18" t="s">
        <v>1388</v>
      </c>
      <c r="AA401" s="18" t="s">
        <v>1388</v>
      </c>
      <c r="AB401" s="19" t="s">
        <v>1600</v>
      </c>
      <c r="AC401" s="26" t="str">
        <f>IFERROR(VLOOKUP(Transactions[[#This Row],[Parent code]],Transactions[[Transaction code]:[Transaction name]],2,0),"")</f>
        <v>Electricity plants</v>
      </c>
      <c r="AD401" s="18" t="s">
        <v>189</v>
      </c>
      <c r="AE401" s="18" t="s">
        <v>923</v>
      </c>
      <c r="AF401" s="18" t="s">
        <v>642</v>
      </c>
      <c r="AG401" s="18" t="s">
        <v>1</v>
      </c>
      <c r="AH401" s="18" t="s">
        <v>696</v>
      </c>
      <c r="AI401" s="18" t="s">
        <v>1416</v>
      </c>
      <c r="AJ401" s="18"/>
      <c r="AK401" s="26" t="str" cm="1">
        <f t="array" ref="AK401">IFERROR(INDEX(Transactions[[Transaction code]:[Transaction name]],_xlfn.XMATCH(Transactions[[#This Row],[Parent code]],Transactions[Transaction name],0),3),Transactions[[#This Row],[Transaction name]])</f>
        <v>Electricity plants - shale</v>
      </c>
      <c r="AL401" s="26" t="str" cm="1">
        <f t="array" ref="AL401">IFERROR(INDEX(Transactions[[Transaction code]:[Transaction name]],_xlfn.XMATCH(INDEX(Transactions[[Transaction name]:[Parent code]],_xlfn.XMATCH(Transactions[[#This Row],[L1N]],Transactions[Transaction name],0),3),Transactions[Transaction code],0),2),Transactions[[#This Row],[L1N]])</f>
        <v>Electricity plants</v>
      </c>
      <c r="AM401" s="26" t="str" cm="1">
        <f t="array" ref="AM401">IFERROR(INDEX(Transactions[[Transaction code]:[Transaction name]],_xlfn.XMATCH(INDEX(Transactions[[Transaction name]:[Parent code]],_xlfn.XMATCH(Transactions[[#This Row],[L2N]],Transactions[Transaction name],0),3),Transactions[Transaction code],0),2),Transactions[[#This Row],[L2N]])</f>
        <v>Electricity, CHP and heat plants (T)</v>
      </c>
      <c r="AN401" s="26" t="str" cm="1">
        <f t="array" ref="AN401">IFERROR(INDEX(Transactions[[Transaction code]:[Transaction name]],_xlfn.XMATCH(INDEX(Transactions[[Transaction name]:[Parent code]],_xlfn.XMATCH(Transactions[[#This Row],[L3N]],Transactions[Transaction name],0),3),Transactions[Transaction code],0),2),Transactions[[#This Row],[L3N]])</f>
        <v>Transformation</v>
      </c>
      <c r="AO401" s="26" t="str" cm="1">
        <f t="array" ref="AO401">IFERROR(INDEX(Transactions[[Transaction code]:[Transaction name]],_xlfn.XMATCH(INDEX(Transactions[[Transaction name]:[Parent code]],_xlfn.XMATCH(Transactions[[#This Row],[L4N]],Transactions[Transaction name],0),3),Transactions[Transaction code],0),2),Transactions[[#This Row],[L4N]])</f>
        <v>Transformation</v>
      </c>
      <c r="AP401" s="26" t="str" cm="1">
        <f t="array" ref="AP401">IFERROR(INDEX(Transactions[[Transaction code]:[Transaction name]],_xlfn.XMATCH(INDEX(Transactions[[Transaction name]:[Parent code]],_xlfn.XMATCH(Transactions[[#This Row],[L5N]],Transactions[Transaction name],0),3),Transactions[Transaction code],0),2),Transactions[[#This Row],[L5N]])</f>
        <v>Transformation</v>
      </c>
      <c r="AQ401" s="26" t="str" cm="1">
        <f t="array" ref="AQ401">IFERROR(INDEX(Transactions[[Transaction code]:[Transaction name]],_xlfn.XMATCH(INDEX(Transactions[[Transaction name]:[Parent code]],_xlfn.XMATCH(Transactions[[#This Row],[L6N]],Transactions[Transaction name],0),3),Transactions[Transaction code],0),2),Transactions[[#This Row],[L6N]])</f>
        <v>Transformation</v>
      </c>
      <c r="AR401" s="29" t="str">
        <f>IF(Transactions[[#This Row],[L7N]]=Transactions[[#This Row],[L6N]],Transactions[[#This Row],[L7N]],IF(Transactions[[#This Row],[L6N]]=Transactions[[#This Row],[L5N]],Transactions[[#This Row],[L6N]],IF(Transactions[[#This Row],[L5N]]=Transactions[[#This Row],[L4N]],Transactions[[#This Row],[L5N]],IF(Transactions[[#This Row],[L4N]]=Transactions[[#This Row],[L3N]],Transactions[[#This Row],[L4N]],IF(Transactions[[#This Row],[L3N]]=Transactions[[#This Row],[L2N]],Transactions[[#This Row],[L3N]],IF(Transactions[[#This Row],[L2N]]=Transactions[[#This Row],[L1N]],Transactions[[#This Row],[L2N]],IF(Transactions[[#This Row],[L1N]]=Transactions[[#This Row],[Transaction name]],Transactions[[#This Row],[L1N]],Transactions[[#This Row],[Transaction name]])))))))</f>
        <v>Transformation</v>
      </c>
      <c r="AS401" s="26" t="str">
        <f>IF(Transactions[[#This Row],[Level 0]]=Transactions[[#This Row],[Transaction name]],Transactions[[#This Row],[Transaction name]],IF(Transactions[[#This Row],[Level 0]]=Transactions[[#This Row],[L1N]],Transactions[[#This Row],[Transaction name]],IF(Transactions[[#This Row],[Level 0]]=Transactions[[#This Row],[L2N]],Transactions[[#This Row],[L1N]],IF(Transactions[[#This Row],[Level 0]]=Transactions[[#This Row],[L3N]],Transactions[[#This Row],[L2N]],IF(Transactions[[#This Row],[Level 0]]=Transactions[[#This Row],[L4N]],Transactions[[#This Row],[L3N]],IF(Transactions[[#This Row],[Level 0]]=Transactions[[#This Row],[L5N]],Transactions[[#This Row],[L4N]],IF(Transactions[[#This Row],[Level 0]]=Transactions[[#This Row],[L6N]],Transactions[[#This Row],[L5N]],IF(Transactions[[#This Row],[Level 0]]=Transactions[[#This Row],[L7N]],Transactions[[#This Row],[L6N]],Transactions[[#This Row],[L7N]]))))))))</f>
        <v>Electricity, CHP and heat plants (T)</v>
      </c>
      <c r="AT401" s="26" t="str">
        <f>IF(Transactions[[#This Row],[Level 1]]=Transactions[[#This Row],[Transaction name]],Transactions[[#This Row],[Transaction name]],IF(Transactions[[#This Row],[Level 1]]=Transactions[[#This Row],[L1N]],Transactions[[#This Row],[Transaction name]],IF(Transactions[[#This Row],[Level 1]]=Transactions[[#This Row],[L2N]],Transactions[[#This Row],[L1N]],IF(Transactions[[#This Row],[Level 1]]=Transactions[[#This Row],[L3N]],Transactions[[#This Row],[L2N]],IF(Transactions[[#This Row],[Level 1]]=Transactions[[#This Row],[L4N]],Transactions[[#This Row],[L3N]],IF(Transactions[[#This Row],[Level 1]]=Transactions[[#This Row],[L5N]],Transactions[[#This Row],[L4N]],IF(Transactions[[#This Row],[Level 1]]=Transactions[[#This Row],[L6N]],Transactions[[#This Row],[L5N]],IF(Transactions[[#This Row],[Level 1]]=Transactions[[#This Row],[L7N]],Transactions[[#This Row],[L6N]],Transactions[[#This Row],[L7N]]))))))))</f>
        <v>Electricity plants</v>
      </c>
      <c r="AU401" s="26" t="str">
        <f>IF(Transactions[[#This Row],[Level 2]]=Transactions[[#This Row],[Transaction name]],Transactions[[#This Row],[Transaction name]],IF(Transactions[[#This Row],[Level 2]]=Transactions[[#This Row],[L1N]],Transactions[[#This Row],[Transaction name]],IF(Transactions[[#This Row],[Level 2]]=Transactions[[#This Row],[L2N]],Transactions[[#This Row],[L1N]],IF(Transactions[[#This Row],[Level 2]]=Transactions[[#This Row],[L3N]],Transactions[[#This Row],[L2N]],IF(Transactions[[#This Row],[Level 2]]=Transactions[[#This Row],[L4N]],Transactions[[#This Row],[L3N]],IF(Transactions[[#This Row],[Level 2]]=Transactions[[#This Row],[L5N]],Transactions[[#This Row],[L4N]],IF(Transactions[[#This Row],[Level 2]]=Transactions[[#This Row],[L6N]],Transactions[[#This Row],[L5N]],IF(Transactions[[#This Row],[Level 2]]=Transactions[[#This Row],[L7N]],Transactions[[#This Row],[L6N]],Transactions[[#This Row],[L7N]]))))))))</f>
        <v>Electricity plants - shale</v>
      </c>
      <c r="AV401" s="26" t="str">
        <f>IF(Transactions[[#This Row],[Level 3]]=Transactions[[#This Row],[Transaction name]],Transactions[[#This Row],[Transaction name]],IF(Transactions[[#This Row],[Level 3]]=Transactions[[#This Row],[L1N]],Transactions[[#This Row],[Transaction name]],IF(Transactions[[#This Row],[Level 3]]=Transactions[[#This Row],[L2N]],Transactions[[#This Row],[L1N]],IF(Transactions[[#This Row],[Level 3]]=Transactions[[#This Row],[L3N]],Transactions[[#This Row],[L2N]],IF(Transactions[[#This Row],[Level 3]]=Transactions[[#This Row],[L4N]],Transactions[[#This Row],[L3N]],IF(Transactions[[#This Row],[Level 3]]=Transactions[[#This Row],[L5N]],Transactions[[#This Row],[L4N]],IF(Transactions[[#This Row],[Level 3]]=Transactions[[#This Row],[L6N]],Transactions[[#This Row],[L5N]],IF(Transactions[[#This Row],[Level 3]]=Transactions[[#This Row],[L7N]],Transactions[[#This Row],[L6N]],Transactions[[#This Row],[L7N]]))))))))</f>
        <v>Electricity plants - shale</v>
      </c>
      <c r="AW401" s="26" t="str">
        <f>IF(Transactions[[#This Row],[Level 4]]=Transactions[[#This Row],[Transaction name]],Transactions[[#This Row],[Transaction name]],IF(Transactions[[#This Row],[Level 4]]=Transactions[[#This Row],[L1N]],Transactions[[#This Row],[Transaction name]],IF(Transactions[[#This Row],[Level 4]]=Transactions[[#This Row],[L2N]],Transactions[[#This Row],[L1N]],IF(Transactions[[#This Row],[Level 4]]=Transactions[[#This Row],[L3N]],Transactions[[#This Row],[L2N]],IF(Transactions[[#This Row],[Level 4]]=Transactions[[#This Row],[L4N]],Transactions[[#This Row],[L3N]],IF(Transactions[[#This Row],[Level 4]]=Transactions[[#This Row],[L5N]],Transactions[[#This Row],[L4N]],IF(Transactions[[#This Row],[Level 4]]=Transactions[[#This Row],[L6N]],Transactions[[#This Row],[L5N]],IF(Transactions[[#This Row],[Level 4]]=Transactions[[#This Row],[L7N]],Transactions[[#This Row],[L6N]],Transactions[[#This Row],[L7N]]))))))))</f>
        <v>Electricity plants - shale</v>
      </c>
      <c r="AX401" s="26" t="str">
        <f>IF(Transactions[[#This Row],[Level 5]]=Transactions[[#This Row],[Transaction name]],Transactions[[#This Row],[Transaction name]],IF(Transactions[[#This Row],[Level 5]]=Transactions[[#This Row],[L1N]],Transactions[[#This Row],[Transaction name]],IF(Transactions[[#This Row],[Level 5]]=Transactions[[#This Row],[L2N]],Transactions[[#This Row],[L1N]],IF(Transactions[[#This Row],[Level 5]]=Transactions[[#This Row],[L3N]],Transactions[[#This Row],[L2N]],IF(Transactions[[#This Row],[Level 5]]=Transactions[[#This Row],[L4N]],Transactions[[#This Row],[L3N]],IF(Transactions[[#This Row],[Level 5]]=Transactions[[#This Row],[L5N]],Transactions[[#This Row],[L4N]],IF(Transactions[[#This Row],[Level 5]]=Transactions[[#This Row],[L6N]],Transactions[[#This Row],[L5N]],IF(Transactions[[#This Row],[Level 5]]=Transactions[[#This Row],[L7N]],Transactions[[#This Row],[L6N]],Transactions[[#This Row],[L7N]]))))))))</f>
        <v>Electricity plants - shale</v>
      </c>
      <c r="AY401" s="26" t="str">
        <f>IF(Transactions[[#This Row],[Level 6]]=Transactions[[#This Row],[Transaction name]],Transactions[[#This Row],[Transaction name]],IF(Transactions[[#This Row],[Level 6]]=Transactions[[#This Row],[L1N]],Transactions[[#This Row],[Transaction name]],IF(Transactions[[#This Row],[Level 6]]=Transactions[[#This Row],[L2N]],Transactions[[#This Row],[L1N]],IF(Transactions[[#This Row],[Level 6]]=Transactions[[#This Row],[L3N]],Transactions[[#This Row],[L2N]],IF(Transactions[[#This Row],[Level 6]]=Transactions[[#This Row],[L4N]],Transactions[[#This Row],[L3N]],IF(Transactions[[#This Row],[Level 6]]=Transactions[[#This Row],[L5N]],Transactions[[#This Row],[L4N]],IF(Transactions[[#This Row],[Level 6]]=Transactions[[#This Row],[L6N]],Transactions[[#This Row],[L5N]],IF(Transactions[[#This Row],[Level 6]]=Transactions[[#This Row],[L7N]],Transactions[[#This Row],[L6N]],Transactions[[#This Row],[L7N]]))))))))</f>
        <v>Electricity plants - shale</v>
      </c>
      <c r="BE401" s="26" t="str">
        <f>_xlfn.XLOOKUP(Transformation[[#This Row],[cfrom]],Commodities[Commodity],Commodities[Commodity code])</f>
        <v>4669</v>
      </c>
      <c r="BF401" s="26" t="str">
        <f>_xlfn.XLOOKUP(Transformation[[#This Row],[tfrom]],Transactions[Transaction name],Transactions[Transaction code])</f>
        <v>022</v>
      </c>
      <c r="BG401" s="26" t="str">
        <f>_xlfn.XLOOKUP(Transformation[[#This Row],[cto]],Commodities[Commodity],Commodities[Commodity code])</f>
        <v>4669</v>
      </c>
      <c r="BH401" s="26" t="str">
        <f>_xlfn.XLOOKUP(Transformation[[#This Row],[tto]],Transactions[Transaction name],Transactions[Transaction code])</f>
        <v>022</v>
      </c>
      <c r="BI401" s="32">
        <v>-1</v>
      </c>
      <c r="BJ401" s="22" t="s">
        <v>377</v>
      </c>
      <c r="BK401" s="26" t="str">
        <f>_xlfn.XLOOKUP(Transformation[[#This Row],[Commodity from]],Commodities[Commodity code],Commodities[EnergyCode])</f>
        <v>KR</v>
      </c>
      <c r="BL401" s="22" t="s">
        <v>205</v>
      </c>
      <c r="BM401" s="22" t="s">
        <v>377</v>
      </c>
      <c r="BN401" s="26" t="str">
        <f>_xlfn.XLOOKUP(Transformation[[#This Row],[Commodity to]],Commodities[Commodity code],Commodities[EnergyCode])</f>
        <v>KR</v>
      </c>
      <c r="BO401" s="22" t="s">
        <v>205</v>
      </c>
      <c r="BP401" s="22" t="s">
        <v>1639</v>
      </c>
      <c r="BQ401" s="33" t="str">
        <f>Transformation[[#This Row],[Commodity from]]&amp;Transformation[[#This Row],[Transaction from]]&amp;Transformation[[#This Row],[Commodity to]]&amp;Transformation[[#This Row],[Transaction to]]</f>
        <v>46690224669022</v>
      </c>
      <c r="BR401" s="26" t="str">
        <f>Transformation[[#This Row],[crfomid]]&amp;Transformation[[#This Row],[Transaction from]]&amp;"("&amp;Transformation[[#This Row],[Multiplier]]&amp;") -&gt; "&amp;Transformation[[#This Row],[ctoid]]&amp;Transformation[[#This Row],[Transaction to]]</f>
        <v>KR022(-1) -&gt; KR022</v>
      </c>
    </row>
    <row r="402" spans="25:70" x14ac:dyDescent="0.45">
      <c r="Y402" s="5" t="s">
        <v>231</v>
      </c>
      <c r="Z402" s="20" t="s">
        <v>1303</v>
      </c>
      <c r="AA402" s="18" t="s">
        <v>1408</v>
      </c>
      <c r="AB402" s="19" t="s">
        <v>1664</v>
      </c>
      <c r="AC402" s="24" t="str">
        <f>IFERROR(VLOOKUP(Transactions[[#This Row],[Parent code]],Transactions[[Transaction code]:[Transaction name]],2,0),"")</f>
        <v>Electricity plants - Solar CSP</v>
      </c>
      <c r="AD402" s="4" t="s">
        <v>189</v>
      </c>
      <c r="AE402" s="4" t="s">
        <v>923</v>
      </c>
      <c r="AF402" s="4" t="s">
        <v>642</v>
      </c>
      <c r="AG402" s="4" t="s">
        <v>1</v>
      </c>
      <c r="AH402" s="4" t="s">
        <v>696</v>
      </c>
      <c r="AK402" s="24" t="str" cm="1">
        <f t="array" ref="AK402">IFERROR(INDEX(Transactions[[Transaction code]:[Transaction name]],_xlfn.XMATCH(Transactions[[#This Row],[Parent code]],Transactions[Transaction name],0),3),Transactions[[#This Row],[Transaction name]])</f>
        <v>Electricity plants - Autoproducer - Solar CSP</v>
      </c>
      <c r="AL402" s="24" t="str" cm="1">
        <f t="array" ref="AL402">IFERROR(INDEX(Transactions[[Transaction code]:[Transaction name]],_xlfn.XMATCH(INDEX(Transactions[[Transaction name]:[Parent code]],_xlfn.XMATCH(Transactions[[#This Row],[L1N]],Transactions[Transaction name],0),3),Transactions[Transaction code],0),2),Transactions[[#This Row],[L1N]])</f>
        <v>Electricity plants - Solar CSP</v>
      </c>
      <c r="AM402" s="24" t="str" cm="1">
        <f t="array" ref="AM402">IFERROR(INDEX(Transactions[[Transaction code]:[Transaction name]],_xlfn.XMATCH(INDEX(Transactions[[Transaction name]:[Parent code]],_xlfn.XMATCH(Transactions[[#This Row],[L2N]],Transactions[Transaction name],0),3),Transactions[Transaction code],0),2),Transactions[[#This Row],[L2N]])</f>
        <v>Electricity plants</v>
      </c>
      <c r="AN402" s="24" t="str" cm="1">
        <f t="array" ref="AN402">IFERROR(INDEX(Transactions[[Transaction code]:[Transaction name]],_xlfn.XMATCH(INDEX(Transactions[[Transaction name]:[Parent code]],_xlfn.XMATCH(Transactions[[#This Row],[L3N]],Transactions[Transaction name],0),3),Transactions[Transaction code],0),2),Transactions[[#This Row],[L3N]])</f>
        <v>Electricity, CHP and heat plants (T)</v>
      </c>
      <c r="AO402" s="24" t="str" cm="1">
        <f t="array" ref="AO402">IFERROR(INDEX(Transactions[[Transaction code]:[Transaction name]],_xlfn.XMATCH(INDEX(Transactions[[Transaction name]:[Parent code]],_xlfn.XMATCH(Transactions[[#This Row],[L4N]],Transactions[Transaction name],0),3),Transactions[Transaction code],0),2),Transactions[[#This Row],[L4N]])</f>
        <v>Transformation</v>
      </c>
      <c r="AP402" s="24" t="str" cm="1">
        <f t="array" ref="AP402">IFERROR(INDEX(Transactions[[Transaction code]:[Transaction name]],_xlfn.XMATCH(INDEX(Transactions[[Transaction name]:[Parent code]],_xlfn.XMATCH(Transactions[[#This Row],[L5N]],Transactions[Transaction name],0),3),Transactions[Transaction code],0),2),Transactions[[#This Row],[L5N]])</f>
        <v>Transformation</v>
      </c>
      <c r="AQ402" s="24" t="str" cm="1">
        <f t="array" ref="AQ402">IFERROR(INDEX(Transactions[[Transaction code]:[Transaction name]],_xlfn.XMATCH(INDEX(Transactions[[Transaction name]:[Parent code]],_xlfn.XMATCH(Transactions[[#This Row],[L6N]],Transactions[Transaction name],0),3),Transactions[Transaction code],0),2),Transactions[[#This Row],[L6N]])</f>
        <v>Transformation</v>
      </c>
      <c r="AR402" s="27" t="str">
        <f>IF(Transactions[[#This Row],[L7N]]=Transactions[[#This Row],[L6N]],Transactions[[#This Row],[L7N]],IF(Transactions[[#This Row],[L6N]]=Transactions[[#This Row],[L5N]],Transactions[[#This Row],[L6N]],IF(Transactions[[#This Row],[L5N]]=Transactions[[#This Row],[L4N]],Transactions[[#This Row],[L5N]],IF(Transactions[[#This Row],[L4N]]=Transactions[[#This Row],[L3N]],Transactions[[#This Row],[L4N]],IF(Transactions[[#This Row],[L3N]]=Transactions[[#This Row],[L2N]],Transactions[[#This Row],[L3N]],IF(Transactions[[#This Row],[L2N]]=Transactions[[#This Row],[L1N]],Transactions[[#This Row],[L2N]],IF(Transactions[[#This Row],[L1N]]=Transactions[[#This Row],[Transaction name]],Transactions[[#This Row],[L1N]],Transactions[[#This Row],[Transaction name]])))))))</f>
        <v>Transformation</v>
      </c>
      <c r="AS402" s="24" t="str">
        <f>IF(Transactions[[#This Row],[Level 0]]=Transactions[[#This Row],[Transaction name]],Transactions[[#This Row],[Transaction name]],IF(Transactions[[#This Row],[Level 0]]=Transactions[[#This Row],[L1N]],Transactions[[#This Row],[Transaction name]],IF(Transactions[[#This Row],[Level 0]]=Transactions[[#This Row],[L2N]],Transactions[[#This Row],[L1N]],IF(Transactions[[#This Row],[Level 0]]=Transactions[[#This Row],[L3N]],Transactions[[#This Row],[L2N]],IF(Transactions[[#This Row],[Level 0]]=Transactions[[#This Row],[L4N]],Transactions[[#This Row],[L3N]],IF(Transactions[[#This Row],[Level 0]]=Transactions[[#This Row],[L5N]],Transactions[[#This Row],[L4N]],IF(Transactions[[#This Row],[Level 0]]=Transactions[[#This Row],[L6N]],Transactions[[#This Row],[L5N]],IF(Transactions[[#This Row],[Level 0]]=Transactions[[#This Row],[L7N]],Transactions[[#This Row],[L6N]],Transactions[[#This Row],[L7N]]))))))))</f>
        <v>Electricity, CHP and heat plants (T)</v>
      </c>
      <c r="AT402" s="24" t="str">
        <f>IF(Transactions[[#This Row],[Level 1]]=Transactions[[#This Row],[Transaction name]],Transactions[[#This Row],[Transaction name]],IF(Transactions[[#This Row],[Level 1]]=Transactions[[#This Row],[L1N]],Transactions[[#This Row],[Transaction name]],IF(Transactions[[#This Row],[Level 1]]=Transactions[[#This Row],[L2N]],Transactions[[#This Row],[L1N]],IF(Transactions[[#This Row],[Level 1]]=Transactions[[#This Row],[L3N]],Transactions[[#This Row],[L2N]],IF(Transactions[[#This Row],[Level 1]]=Transactions[[#This Row],[L4N]],Transactions[[#This Row],[L3N]],IF(Transactions[[#This Row],[Level 1]]=Transactions[[#This Row],[L5N]],Transactions[[#This Row],[L4N]],IF(Transactions[[#This Row],[Level 1]]=Transactions[[#This Row],[L6N]],Transactions[[#This Row],[L5N]],IF(Transactions[[#This Row],[Level 1]]=Transactions[[#This Row],[L7N]],Transactions[[#This Row],[L6N]],Transactions[[#This Row],[L7N]]))))))))</f>
        <v>Electricity plants</v>
      </c>
      <c r="AU402" s="24" t="str">
        <f>IF(Transactions[[#This Row],[Level 2]]=Transactions[[#This Row],[Transaction name]],Transactions[[#This Row],[Transaction name]],IF(Transactions[[#This Row],[Level 2]]=Transactions[[#This Row],[L1N]],Transactions[[#This Row],[Transaction name]],IF(Transactions[[#This Row],[Level 2]]=Transactions[[#This Row],[L2N]],Transactions[[#This Row],[L1N]],IF(Transactions[[#This Row],[Level 2]]=Transactions[[#This Row],[L3N]],Transactions[[#This Row],[L2N]],IF(Transactions[[#This Row],[Level 2]]=Transactions[[#This Row],[L4N]],Transactions[[#This Row],[L3N]],IF(Transactions[[#This Row],[Level 2]]=Transactions[[#This Row],[L5N]],Transactions[[#This Row],[L4N]],IF(Transactions[[#This Row],[Level 2]]=Transactions[[#This Row],[L6N]],Transactions[[#This Row],[L5N]],IF(Transactions[[#This Row],[Level 2]]=Transactions[[#This Row],[L7N]],Transactions[[#This Row],[L6N]],Transactions[[#This Row],[L7N]]))))))))</f>
        <v>Electricity plants - Solar CSP</v>
      </c>
      <c r="AV402" s="24" t="str">
        <f>IF(Transactions[[#This Row],[Level 3]]=Transactions[[#This Row],[Transaction name]],Transactions[[#This Row],[Transaction name]],IF(Transactions[[#This Row],[Level 3]]=Transactions[[#This Row],[L1N]],Transactions[[#This Row],[Transaction name]],IF(Transactions[[#This Row],[Level 3]]=Transactions[[#This Row],[L2N]],Transactions[[#This Row],[L1N]],IF(Transactions[[#This Row],[Level 3]]=Transactions[[#This Row],[L3N]],Transactions[[#This Row],[L2N]],IF(Transactions[[#This Row],[Level 3]]=Transactions[[#This Row],[L4N]],Transactions[[#This Row],[L3N]],IF(Transactions[[#This Row],[Level 3]]=Transactions[[#This Row],[L5N]],Transactions[[#This Row],[L4N]],IF(Transactions[[#This Row],[Level 3]]=Transactions[[#This Row],[L6N]],Transactions[[#This Row],[L5N]],IF(Transactions[[#This Row],[Level 3]]=Transactions[[#This Row],[L7N]],Transactions[[#This Row],[L6N]],Transactions[[#This Row],[L7N]]))))))))</f>
        <v>Electricity plants - Autoproducer - Solar CSP</v>
      </c>
      <c r="AW402" s="24" t="str">
        <f>IF(Transactions[[#This Row],[Level 4]]=Transactions[[#This Row],[Transaction name]],Transactions[[#This Row],[Transaction name]],IF(Transactions[[#This Row],[Level 4]]=Transactions[[#This Row],[L1N]],Transactions[[#This Row],[Transaction name]],IF(Transactions[[#This Row],[Level 4]]=Transactions[[#This Row],[L2N]],Transactions[[#This Row],[L1N]],IF(Transactions[[#This Row],[Level 4]]=Transactions[[#This Row],[L3N]],Transactions[[#This Row],[L2N]],IF(Transactions[[#This Row],[Level 4]]=Transactions[[#This Row],[L4N]],Transactions[[#This Row],[L3N]],IF(Transactions[[#This Row],[Level 4]]=Transactions[[#This Row],[L5N]],Transactions[[#This Row],[L4N]],IF(Transactions[[#This Row],[Level 4]]=Transactions[[#This Row],[L6N]],Transactions[[#This Row],[L5N]],IF(Transactions[[#This Row],[Level 4]]=Transactions[[#This Row],[L7N]],Transactions[[#This Row],[L6N]],Transactions[[#This Row],[L7N]]))))))))</f>
        <v>Electricity plants - Autoproducer - Solar CSP</v>
      </c>
      <c r="AX402" s="24" t="str">
        <f>IF(Transactions[[#This Row],[Level 5]]=Transactions[[#This Row],[Transaction name]],Transactions[[#This Row],[Transaction name]],IF(Transactions[[#This Row],[Level 5]]=Transactions[[#This Row],[L1N]],Transactions[[#This Row],[Transaction name]],IF(Transactions[[#This Row],[Level 5]]=Transactions[[#This Row],[L2N]],Transactions[[#This Row],[L1N]],IF(Transactions[[#This Row],[Level 5]]=Transactions[[#This Row],[L3N]],Transactions[[#This Row],[L2N]],IF(Transactions[[#This Row],[Level 5]]=Transactions[[#This Row],[L4N]],Transactions[[#This Row],[L3N]],IF(Transactions[[#This Row],[Level 5]]=Transactions[[#This Row],[L5N]],Transactions[[#This Row],[L4N]],IF(Transactions[[#This Row],[Level 5]]=Transactions[[#This Row],[L6N]],Transactions[[#This Row],[L5N]],IF(Transactions[[#This Row],[Level 5]]=Transactions[[#This Row],[L7N]],Transactions[[#This Row],[L6N]],Transactions[[#This Row],[L7N]]))))))))</f>
        <v>Electricity plants - Autoproducer - Solar CSP</v>
      </c>
      <c r="AY402" s="24" t="str">
        <f>IF(Transactions[[#This Row],[Level 6]]=Transactions[[#This Row],[Transaction name]],Transactions[[#This Row],[Transaction name]],IF(Transactions[[#This Row],[Level 6]]=Transactions[[#This Row],[L1N]],Transactions[[#This Row],[Transaction name]],IF(Transactions[[#This Row],[Level 6]]=Transactions[[#This Row],[L2N]],Transactions[[#This Row],[L1N]],IF(Transactions[[#This Row],[Level 6]]=Transactions[[#This Row],[L3N]],Transactions[[#This Row],[L2N]],IF(Transactions[[#This Row],[Level 6]]=Transactions[[#This Row],[L4N]],Transactions[[#This Row],[L3N]],IF(Transactions[[#This Row],[Level 6]]=Transactions[[#This Row],[L5N]],Transactions[[#This Row],[L4N]],IF(Transactions[[#This Row],[Level 6]]=Transactions[[#This Row],[L6N]],Transactions[[#This Row],[L5N]],IF(Transactions[[#This Row],[Level 6]]=Transactions[[#This Row],[L7N]],Transactions[[#This Row],[L6N]],Transactions[[#This Row],[L7N]]))))))))</f>
        <v>Electricity plants - Autoproducer - Solar CSP</v>
      </c>
      <c r="BE402" s="26" t="str">
        <f>_xlfn.XLOOKUP(Transformation[[#This Row],[cfrom]],Commodities[Commodity],Commodities[Commodity code])</f>
        <v>4669</v>
      </c>
      <c r="BF402" s="26" t="str">
        <f>_xlfn.XLOOKUP(Transformation[[#This Row],[tfrom]],Transactions[Transaction name],Transactions[Transaction code])</f>
        <v>022</v>
      </c>
      <c r="BG402" s="26" t="str">
        <f>_xlfn.XLOOKUP(Transformation[[#This Row],[cto]],Commodities[Commodity],Commodities[Commodity code])</f>
        <v>4669</v>
      </c>
      <c r="BH402" s="26" t="str">
        <f>_xlfn.XLOOKUP(Transformation[[#This Row],[tto]],Transactions[Transaction name],Transactions[Transaction code])</f>
        <v>013</v>
      </c>
      <c r="BI402" s="31">
        <v>1</v>
      </c>
      <c r="BJ402" s="22" t="s">
        <v>377</v>
      </c>
      <c r="BK402" s="26" t="str">
        <f>_xlfn.XLOOKUP(Transformation[[#This Row],[Commodity from]],Commodities[Commodity code],Commodities[EnergyCode])</f>
        <v>KR</v>
      </c>
      <c r="BL402" s="22" t="s">
        <v>205</v>
      </c>
      <c r="BM402" s="22" t="s">
        <v>377</v>
      </c>
      <c r="BN402" s="26" t="str">
        <f>_xlfn.XLOOKUP(Transformation[[#This Row],[Commodity to]],Commodities[Commodity code],Commodities[EnergyCode])</f>
        <v>KR</v>
      </c>
      <c r="BO402" s="22" t="s">
        <v>374</v>
      </c>
      <c r="BP402" s="22" t="s">
        <v>1694</v>
      </c>
      <c r="BQ402" s="33" t="str">
        <f>Transformation[[#This Row],[Commodity from]]&amp;Transformation[[#This Row],[Transaction from]]&amp;Transformation[[#This Row],[Commodity to]]&amp;Transformation[[#This Row],[Transaction to]]</f>
        <v>46690224669013</v>
      </c>
      <c r="BR402" s="26" t="str">
        <f>Transformation[[#This Row],[crfomid]]&amp;Transformation[[#This Row],[Transaction from]]&amp;"("&amp;Transformation[[#This Row],[Multiplier]]&amp;") -&gt; "&amp;Transformation[[#This Row],[ctoid]]&amp;Transformation[[#This Row],[Transaction to]]</f>
        <v>KR022(1) -&gt; KR013</v>
      </c>
    </row>
    <row r="403" spans="25:70" x14ac:dyDescent="0.45">
      <c r="Y403" s="5" t="s">
        <v>294</v>
      </c>
      <c r="Z403" s="20" t="s">
        <v>1299</v>
      </c>
      <c r="AA403" s="18" t="s">
        <v>1408</v>
      </c>
      <c r="AB403" s="19" t="s">
        <v>1664</v>
      </c>
      <c r="AC403" s="24" t="str">
        <f>IFERROR(VLOOKUP(Transactions[[#This Row],[Parent code]],Transactions[[Transaction code]:[Transaction name]],2,0),"")</f>
        <v>Electricity plants - Solar CSP</v>
      </c>
      <c r="AD403" s="4" t="s">
        <v>189</v>
      </c>
      <c r="AE403" s="4" t="s">
        <v>923</v>
      </c>
      <c r="AF403" s="4" t="s">
        <v>642</v>
      </c>
      <c r="AG403" s="4" t="s">
        <v>1</v>
      </c>
      <c r="AH403" s="4" t="s">
        <v>696</v>
      </c>
      <c r="AK403" s="24" t="str" cm="1">
        <f t="array" ref="AK403">IFERROR(INDEX(Transactions[[Transaction code]:[Transaction name]],_xlfn.XMATCH(Transactions[[#This Row],[Parent code]],Transactions[Transaction name],0),3),Transactions[[#This Row],[Transaction name]])</f>
        <v>Electricity plants - Main activity - Solar CSP</v>
      </c>
      <c r="AL403" s="24" t="str" cm="1">
        <f t="array" ref="AL403">IFERROR(INDEX(Transactions[[Transaction code]:[Transaction name]],_xlfn.XMATCH(INDEX(Transactions[[Transaction name]:[Parent code]],_xlfn.XMATCH(Transactions[[#This Row],[L1N]],Transactions[Transaction name],0),3),Transactions[Transaction code],0),2),Transactions[[#This Row],[L1N]])</f>
        <v>Electricity plants - Solar CSP</v>
      </c>
      <c r="AM403" s="24" t="str" cm="1">
        <f t="array" ref="AM403">IFERROR(INDEX(Transactions[[Transaction code]:[Transaction name]],_xlfn.XMATCH(INDEX(Transactions[[Transaction name]:[Parent code]],_xlfn.XMATCH(Transactions[[#This Row],[L2N]],Transactions[Transaction name],0),3),Transactions[Transaction code],0),2),Transactions[[#This Row],[L2N]])</f>
        <v>Electricity plants</v>
      </c>
      <c r="AN403" s="24" t="str" cm="1">
        <f t="array" ref="AN403">IFERROR(INDEX(Transactions[[Transaction code]:[Transaction name]],_xlfn.XMATCH(INDEX(Transactions[[Transaction name]:[Parent code]],_xlfn.XMATCH(Transactions[[#This Row],[L3N]],Transactions[Transaction name],0),3),Transactions[Transaction code],0),2),Transactions[[#This Row],[L3N]])</f>
        <v>Electricity, CHP and heat plants (T)</v>
      </c>
      <c r="AO403" s="24" t="str" cm="1">
        <f t="array" ref="AO403">IFERROR(INDEX(Transactions[[Transaction code]:[Transaction name]],_xlfn.XMATCH(INDEX(Transactions[[Transaction name]:[Parent code]],_xlfn.XMATCH(Transactions[[#This Row],[L4N]],Transactions[Transaction name],0),3),Transactions[Transaction code],0),2),Transactions[[#This Row],[L4N]])</f>
        <v>Transformation</v>
      </c>
      <c r="AP403" s="24" t="str" cm="1">
        <f t="array" ref="AP403">IFERROR(INDEX(Transactions[[Transaction code]:[Transaction name]],_xlfn.XMATCH(INDEX(Transactions[[Transaction name]:[Parent code]],_xlfn.XMATCH(Transactions[[#This Row],[L5N]],Transactions[Transaction name],0),3),Transactions[Transaction code],0),2),Transactions[[#This Row],[L5N]])</f>
        <v>Transformation</v>
      </c>
      <c r="AQ403" s="24" t="str" cm="1">
        <f t="array" ref="AQ403">IFERROR(INDEX(Transactions[[Transaction code]:[Transaction name]],_xlfn.XMATCH(INDEX(Transactions[[Transaction name]:[Parent code]],_xlfn.XMATCH(Transactions[[#This Row],[L6N]],Transactions[Transaction name],0),3),Transactions[Transaction code],0),2),Transactions[[#This Row],[L6N]])</f>
        <v>Transformation</v>
      </c>
      <c r="AR403" s="27" t="str">
        <f>IF(Transactions[[#This Row],[L7N]]=Transactions[[#This Row],[L6N]],Transactions[[#This Row],[L7N]],IF(Transactions[[#This Row],[L6N]]=Transactions[[#This Row],[L5N]],Transactions[[#This Row],[L6N]],IF(Transactions[[#This Row],[L5N]]=Transactions[[#This Row],[L4N]],Transactions[[#This Row],[L5N]],IF(Transactions[[#This Row],[L4N]]=Transactions[[#This Row],[L3N]],Transactions[[#This Row],[L4N]],IF(Transactions[[#This Row],[L3N]]=Transactions[[#This Row],[L2N]],Transactions[[#This Row],[L3N]],IF(Transactions[[#This Row],[L2N]]=Transactions[[#This Row],[L1N]],Transactions[[#This Row],[L2N]],IF(Transactions[[#This Row],[L1N]]=Transactions[[#This Row],[Transaction name]],Transactions[[#This Row],[L1N]],Transactions[[#This Row],[Transaction name]])))))))</f>
        <v>Transformation</v>
      </c>
      <c r="AS403" s="24" t="str">
        <f>IF(Transactions[[#This Row],[Level 0]]=Transactions[[#This Row],[Transaction name]],Transactions[[#This Row],[Transaction name]],IF(Transactions[[#This Row],[Level 0]]=Transactions[[#This Row],[L1N]],Transactions[[#This Row],[Transaction name]],IF(Transactions[[#This Row],[Level 0]]=Transactions[[#This Row],[L2N]],Transactions[[#This Row],[L1N]],IF(Transactions[[#This Row],[Level 0]]=Transactions[[#This Row],[L3N]],Transactions[[#This Row],[L2N]],IF(Transactions[[#This Row],[Level 0]]=Transactions[[#This Row],[L4N]],Transactions[[#This Row],[L3N]],IF(Transactions[[#This Row],[Level 0]]=Transactions[[#This Row],[L5N]],Transactions[[#This Row],[L4N]],IF(Transactions[[#This Row],[Level 0]]=Transactions[[#This Row],[L6N]],Transactions[[#This Row],[L5N]],IF(Transactions[[#This Row],[Level 0]]=Transactions[[#This Row],[L7N]],Transactions[[#This Row],[L6N]],Transactions[[#This Row],[L7N]]))))))))</f>
        <v>Electricity, CHP and heat plants (T)</v>
      </c>
      <c r="AT403" s="24" t="str">
        <f>IF(Transactions[[#This Row],[Level 1]]=Transactions[[#This Row],[Transaction name]],Transactions[[#This Row],[Transaction name]],IF(Transactions[[#This Row],[Level 1]]=Transactions[[#This Row],[L1N]],Transactions[[#This Row],[Transaction name]],IF(Transactions[[#This Row],[Level 1]]=Transactions[[#This Row],[L2N]],Transactions[[#This Row],[L1N]],IF(Transactions[[#This Row],[Level 1]]=Transactions[[#This Row],[L3N]],Transactions[[#This Row],[L2N]],IF(Transactions[[#This Row],[Level 1]]=Transactions[[#This Row],[L4N]],Transactions[[#This Row],[L3N]],IF(Transactions[[#This Row],[Level 1]]=Transactions[[#This Row],[L5N]],Transactions[[#This Row],[L4N]],IF(Transactions[[#This Row],[Level 1]]=Transactions[[#This Row],[L6N]],Transactions[[#This Row],[L5N]],IF(Transactions[[#This Row],[Level 1]]=Transactions[[#This Row],[L7N]],Transactions[[#This Row],[L6N]],Transactions[[#This Row],[L7N]]))))))))</f>
        <v>Electricity plants</v>
      </c>
      <c r="AU403" s="24" t="str">
        <f>IF(Transactions[[#This Row],[Level 2]]=Transactions[[#This Row],[Transaction name]],Transactions[[#This Row],[Transaction name]],IF(Transactions[[#This Row],[Level 2]]=Transactions[[#This Row],[L1N]],Transactions[[#This Row],[Transaction name]],IF(Transactions[[#This Row],[Level 2]]=Transactions[[#This Row],[L2N]],Transactions[[#This Row],[L1N]],IF(Transactions[[#This Row],[Level 2]]=Transactions[[#This Row],[L3N]],Transactions[[#This Row],[L2N]],IF(Transactions[[#This Row],[Level 2]]=Transactions[[#This Row],[L4N]],Transactions[[#This Row],[L3N]],IF(Transactions[[#This Row],[Level 2]]=Transactions[[#This Row],[L5N]],Transactions[[#This Row],[L4N]],IF(Transactions[[#This Row],[Level 2]]=Transactions[[#This Row],[L6N]],Transactions[[#This Row],[L5N]],IF(Transactions[[#This Row],[Level 2]]=Transactions[[#This Row],[L7N]],Transactions[[#This Row],[L6N]],Transactions[[#This Row],[L7N]]))))))))</f>
        <v>Electricity plants - Solar CSP</v>
      </c>
      <c r="AV403" s="24" t="str">
        <f>IF(Transactions[[#This Row],[Level 3]]=Transactions[[#This Row],[Transaction name]],Transactions[[#This Row],[Transaction name]],IF(Transactions[[#This Row],[Level 3]]=Transactions[[#This Row],[L1N]],Transactions[[#This Row],[Transaction name]],IF(Transactions[[#This Row],[Level 3]]=Transactions[[#This Row],[L2N]],Transactions[[#This Row],[L1N]],IF(Transactions[[#This Row],[Level 3]]=Transactions[[#This Row],[L3N]],Transactions[[#This Row],[L2N]],IF(Transactions[[#This Row],[Level 3]]=Transactions[[#This Row],[L4N]],Transactions[[#This Row],[L3N]],IF(Transactions[[#This Row],[Level 3]]=Transactions[[#This Row],[L5N]],Transactions[[#This Row],[L4N]],IF(Transactions[[#This Row],[Level 3]]=Transactions[[#This Row],[L6N]],Transactions[[#This Row],[L5N]],IF(Transactions[[#This Row],[Level 3]]=Transactions[[#This Row],[L7N]],Transactions[[#This Row],[L6N]],Transactions[[#This Row],[L7N]]))))))))</f>
        <v>Electricity plants - Main activity - Solar CSP</v>
      </c>
      <c r="AW403" s="24" t="str">
        <f>IF(Transactions[[#This Row],[Level 4]]=Transactions[[#This Row],[Transaction name]],Transactions[[#This Row],[Transaction name]],IF(Transactions[[#This Row],[Level 4]]=Transactions[[#This Row],[L1N]],Transactions[[#This Row],[Transaction name]],IF(Transactions[[#This Row],[Level 4]]=Transactions[[#This Row],[L2N]],Transactions[[#This Row],[L1N]],IF(Transactions[[#This Row],[Level 4]]=Transactions[[#This Row],[L3N]],Transactions[[#This Row],[L2N]],IF(Transactions[[#This Row],[Level 4]]=Transactions[[#This Row],[L4N]],Transactions[[#This Row],[L3N]],IF(Transactions[[#This Row],[Level 4]]=Transactions[[#This Row],[L5N]],Transactions[[#This Row],[L4N]],IF(Transactions[[#This Row],[Level 4]]=Transactions[[#This Row],[L6N]],Transactions[[#This Row],[L5N]],IF(Transactions[[#This Row],[Level 4]]=Transactions[[#This Row],[L7N]],Transactions[[#This Row],[L6N]],Transactions[[#This Row],[L7N]]))))))))</f>
        <v>Electricity plants - Main activity - Solar CSP</v>
      </c>
      <c r="AX403" s="24" t="str">
        <f>IF(Transactions[[#This Row],[Level 5]]=Transactions[[#This Row],[Transaction name]],Transactions[[#This Row],[Transaction name]],IF(Transactions[[#This Row],[Level 5]]=Transactions[[#This Row],[L1N]],Transactions[[#This Row],[Transaction name]],IF(Transactions[[#This Row],[Level 5]]=Transactions[[#This Row],[L2N]],Transactions[[#This Row],[L1N]],IF(Transactions[[#This Row],[Level 5]]=Transactions[[#This Row],[L3N]],Transactions[[#This Row],[L2N]],IF(Transactions[[#This Row],[Level 5]]=Transactions[[#This Row],[L4N]],Transactions[[#This Row],[L3N]],IF(Transactions[[#This Row],[Level 5]]=Transactions[[#This Row],[L5N]],Transactions[[#This Row],[L4N]],IF(Transactions[[#This Row],[Level 5]]=Transactions[[#This Row],[L6N]],Transactions[[#This Row],[L5N]],IF(Transactions[[#This Row],[Level 5]]=Transactions[[#This Row],[L7N]],Transactions[[#This Row],[L6N]],Transactions[[#This Row],[L7N]]))))))))</f>
        <v>Electricity plants - Main activity - Solar CSP</v>
      </c>
      <c r="AY403" s="24" t="str">
        <f>IF(Transactions[[#This Row],[Level 6]]=Transactions[[#This Row],[Transaction name]],Transactions[[#This Row],[Transaction name]],IF(Transactions[[#This Row],[Level 6]]=Transactions[[#This Row],[L1N]],Transactions[[#This Row],[Transaction name]],IF(Transactions[[#This Row],[Level 6]]=Transactions[[#This Row],[L2N]],Transactions[[#This Row],[L1N]],IF(Transactions[[#This Row],[Level 6]]=Transactions[[#This Row],[L3N]],Transactions[[#This Row],[L2N]],IF(Transactions[[#This Row],[Level 6]]=Transactions[[#This Row],[L4N]],Transactions[[#This Row],[L3N]],IF(Transactions[[#This Row],[Level 6]]=Transactions[[#This Row],[L5N]],Transactions[[#This Row],[L4N]],IF(Transactions[[#This Row],[Level 6]]=Transactions[[#This Row],[L6N]],Transactions[[#This Row],[L5N]],IF(Transactions[[#This Row],[Level 6]]=Transactions[[#This Row],[L7N]],Transactions[[#This Row],[L6N]],Transactions[[#This Row],[L7N]]))))))))</f>
        <v>Electricity plants - Main activity - Solar CSP</v>
      </c>
      <c r="BE403" s="26" t="str">
        <f>_xlfn.XLOOKUP(Transformation[[#This Row],[cfrom]],Commodities[Commodity],Commodities[Commodity code])</f>
        <v>4630</v>
      </c>
      <c r="BF403" s="26" t="str">
        <f>_xlfn.XLOOKUP(Transformation[[#This Row],[tfrom]],Transactions[Transaction name],Transactions[Transaction code])</f>
        <v>01</v>
      </c>
      <c r="BG403" s="26" t="str">
        <f>_xlfn.XLOOKUP(Transformation[[#This Row],[cto]],Commodities[Commodity],Commodities[Commodity code])</f>
        <v>4630</v>
      </c>
      <c r="BH403" s="26" t="str">
        <f>_xlfn.XLOOKUP(Transformation[[#This Row],[tto]],Transactions[Transaction name],Transactions[Transaction code])</f>
        <v>01</v>
      </c>
      <c r="BI403" s="32">
        <v>-1</v>
      </c>
      <c r="BJ403" s="22" t="s">
        <v>408</v>
      </c>
      <c r="BK403" s="26" t="str">
        <f>_xlfn.XLOOKUP(Transformation[[#This Row],[Commodity from]],Commodities[Commodity code],Commodities[EnergyCode])</f>
        <v>LP</v>
      </c>
      <c r="BL403" s="22" t="s">
        <v>383</v>
      </c>
      <c r="BM403" s="22" t="s">
        <v>408</v>
      </c>
      <c r="BN403" s="26" t="str">
        <f>_xlfn.XLOOKUP(Transformation[[#This Row],[Commodity to]],Commodities[Commodity code],Commodities[EnergyCode])</f>
        <v>LP</v>
      </c>
      <c r="BO403" s="22" t="s">
        <v>383</v>
      </c>
      <c r="BP403" s="22" t="s">
        <v>1633</v>
      </c>
      <c r="BQ403" s="33" t="str">
        <f>Transformation[[#This Row],[Commodity from]]&amp;Transformation[[#This Row],[Transaction from]]&amp;Transformation[[#This Row],[Commodity to]]&amp;Transformation[[#This Row],[Transaction to]]</f>
        <v>463001463001</v>
      </c>
      <c r="BR403" s="26" t="str">
        <f>Transformation[[#This Row],[crfomid]]&amp;Transformation[[#This Row],[Transaction from]]&amp;"("&amp;Transformation[[#This Row],[Multiplier]]&amp;") -&gt; "&amp;Transformation[[#This Row],[ctoid]]&amp;Transformation[[#This Row],[Transaction to]]</f>
        <v>LP01(-1) -&gt; LP01</v>
      </c>
    </row>
    <row r="404" spans="25:70" x14ac:dyDescent="0.45">
      <c r="Y404" s="19" t="s">
        <v>1664</v>
      </c>
      <c r="Z404" s="18" t="s">
        <v>1408</v>
      </c>
      <c r="AA404" s="18" t="s">
        <v>1408</v>
      </c>
      <c r="AB404" s="19" t="s">
        <v>1600</v>
      </c>
      <c r="AC404" s="26" t="str">
        <f>IFERROR(VLOOKUP(Transactions[[#This Row],[Parent code]],Transactions[[Transaction code]:[Transaction name]],2,0),"")</f>
        <v>Electricity plants</v>
      </c>
      <c r="AD404" s="18" t="s">
        <v>189</v>
      </c>
      <c r="AE404" s="18" t="s">
        <v>923</v>
      </c>
      <c r="AF404" s="18" t="s">
        <v>642</v>
      </c>
      <c r="AG404" s="18" t="s">
        <v>1</v>
      </c>
      <c r="AH404" s="18" t="s">
        <v>696</v>
      </c>
      <c r="AI404" s="18"/>
      <c r="AJ404" s="18"/>
      <c r="AK404" s="26" t="str" cm="1">
        <f t="array" ref="AK404">IFERROR(INDEX(Transactions[[Transaction code]:[Transaction name]],_xlfn.XMATCH(Transactions[[#This Row],[Parent code]],Transactions[Transaction name],0),3),Transactions[[#This Row],[Transaction name]])</f>
        <v>Electricity plants - Solar CSP</v>
      </c>
      <c r="AL404" s="26" t="str" cm="1">
        <f t="array" ref="AL404">IFERROR(INDEX(Transactions[[Transaction code]:[Transaction name]],_xlfn.XMATCH(INDEX(Transactions[[Transaction name]:[Parent code]],_xlfn.XMATCH(Transactions[[#This Row],[L1N]],Transactions[Transaction name],0),3),Transactions[Transaction code],0),2),Transactions[[#This Row],[L1N]])</f>
        <v>Electricity plants</v>
      </c>
      <c r="AM404" s="26" t="str" cm="1">
        <f t="array" ref="AM404">IFERROR(INDEX(Transactions[[Transaction code]:[Transaction name]],_xlfn.XMATCH(INDEX(Transactions[[Transaction name]:[Parent code]],_xlfn.XMATCH(Transactions[[#This Row],[L2N]],Transactions[Transaction name],0),3),Transactions[Transaction code],0),2),Transactions[[#This Row],[L2N]])</f>
        <v>Electricity, CHP and heat plants (T)</v>
      </c>
      <c r="AN404" s="26" t="str" cm="1">
        <f t="array" ref="AN404">IFERROR(INDEX(Transactions[[Transaction code]:[Transaction name]],_xlfn.XMATCH(INDEX(Transactions[[Transaction name]:[Parent code]],_xlfn.XMATCH(Transactions[[#This Row],[L3N]],Transactions[Transaction name],0),3),Transactions[Transaction code],0),2),Transactions[[#This Row],[L3N]])</f>
        <v>Transformation</v>
      </c>
      <c r="AO404" s="26" t="str" cm="1">
        <f t="array" ref="AO404">IFERROR(INDEX(Transactions[[Transaction code]:[Transaction name]],_xlfn.XMATCH(INDEX(Transactions[[Transaction name]:[Parent code]],_xlfn.XMATCH(Transactions[[#This Row],[L4N]],Transactions[Transaction name],0),3),Transactions[Transaction code],0),2),Transactions[[#This Row],[L4N]])</f>
        <v>Transformation</v>
      </c>
      <c r="AP404" s="26" t="str" cm="1">
        <f t="array" ref="AP404">IFERROR(INDEX(Transactions[[Transaction code]:[Transaction name]],_xlfn.XMATCH(INDEX(Transactions[[Transaction name]:[Parent code]],_xlfn.XMATCH(Transactions[[#This Row],[L5N]],Transactions[Transaction name],0),3),Transactions[Transaction code],0),2),Transactions[[#This Row],[L5N]])</f>
        <v>Transformation</v>
      </c>
      <c r="AQ404" s="26" t="str" cm="1">
        <f t="array" ref="AQ404">IFERROR(INDEX(Transactions[[Transaction code]:[Transaction name]],_xlfn.XMATCH(INDEX(Transactions[[Transaction name]:[Parent code]],_xlfn.XMATCH(Transactions[[#This Row],[L6N]],Transactions[Transaction name],0),3),Transactions[Transaction code],0),2),Transactions[[#This Row],[L6N]])</f>
        <v>Transformation</v>
      </c>
      <c r="AR404" s="30" t="str">
        <f>IF(Transactions[[#This Row],[L7N]]=Transactions[[#This Row],[L6N]],Transactions[[#This Row],[L7N]],IF(Transactions[[#This Row],[L6N]]=Transactions[[#This Row],[L5N]],Transactions[[#This Row],[L6N]],IF(Transactions[[#This Row],[L5N]]=Transactions[[#This Row],[L4N]],Transactions[[#This Row],[L5N]],IF(Transactions[[#This Row],[L4N]]=Transactions[[#This Row],[L3N]],Transactions[[#This Row],[L4N]],IF(Transactions[[#This Row],[L3N]]=Transactions[[#This Row],[L2N]],Transactions[[#This Row],[L3N]],IF(Transactions[[#This Row],[L2N]]=Transactions[[#This Row],[L1N]],Transactions[[#This Row],[L2N]],IF(Transactions[[#This Row],[L1N]]=Transactions[[#This Row],[Transaction name]],Transactions[[#This Row],[L1N]],Transactions[[#This Row],[Transaction name]])))))))</f>
        <v>Transformation</v>
      </c>
      <c r="AS404" s="26" t="str">
        <f>IF(Transactions[[#This Row],[Level 0]]=Transactions[[#This Row],[Transaction name]],Transactions[[#This Row],[Transaction name]],IF(Transactions[[#This Row],[Level 0]]=Transactions[[#This Row],[L1N]],Transactions[[#This Row],[Transaction name]],IF(Transactions[[#This Row],[Level 0]]=Transactions[[#This Row],[L2N]],Transactions[[#This Row],[L1N]],IF(Transactions[[#This Row],[Level 0]]=Transactions[[#This Row],[L3N]],Transactions[[#This Row],[L2N]],IF(Transactions[[#This Row],[Level 0]]=Transactions[[#This Row],[L4N]],Transactions[[#This Row],[L3N]],IF(Transactions[[#This Row],[Level 0]]=Transactions[[#This Row],[L5N]],Transactions[[#This Row],[L4N]],IF(Transactions[[#This Row],[Level 0]]=Transactions[[#This Row],[L6N]],Transactions[[#This Row],[L5N]],IF(Transactions[[#This Row],[Level 0]]=Transactions[[#This Row],[L7N]],Transactions[[#This Row],[L6N]],Transactions[[#This Row],[L7N]]))))))))</f>
        <v>Electricity, CHP and heat plants (T)</v>
      </c>
      <c r="AT404" s="26" t="str">
        <f>IF(Transactions[[#This Row],[Level 1]]=Transactions[[#This Row],[Transaction name]],Transactions[[#This Row],[Transaction name]],IF(Transactions[[#This Row],[Level 1]]=Transactions[[#This Row],[L1N]],Transactions[[#This Row],[Transaction name]],IF(Transactions[[#This Row],[Level 1]]=Transactions[[#This Row],[L2N]],Transactions[[#This Row],[L1N]],IF(Transactions[[#This Row],[Level 1]]=Transactions[[#This Row],[L3N]],Transactions[[#This Row],[L2N]],IF(Transactions[[#This Row],[Level 1]]=Transactions[[#This Row],[L4N]],Transactions[[#This Row],[L3N]],IF(Transactions[[#This Row],[Level 1]]=Transactions[[#This Row],[L5N]],Transactions[[#This Row],[L4N]],IF(Transactions[[#This Row],[Level 1]]=Transactions[[#This Row],[L6N]],Transactions[[#This Row],[L5N]],IF(Transactions[[#This Row],[Level 1]]=Transactions[[#This Row],[L7N]],Transactions[[#This Row],[L6N]],Transactions[[#This Row],[L7N]]))))))))</f>
        <v>Electricity plants</v>
      </c>
      <c r="AU404" s="26" t="str">
        <f>IF(Transactions[[#This Row],[Level 2]]=Transactions[[#This Row],[Transaction name]],Transactions[[#This Row],[Transaction name]],IF(Transactions[[#This Row],[Level 2]]=Transactions[[#This Row],[L1N]],Transactions[[#This Row],[Transaction name]],IF(Transactions[[#This Row],[Level 2]]=Transactions[[#This Row],[L2N]],Transactions[[#This Row],[L1N]],IF(Transactions[[#This Row],[Level 2]]=Transactions[[#This Row],[L3N]],Transactions[[#This Row],[L2N]],IF(Transactions[[#This Row],[Level 2]]=Transactions[[#This Row],[L4N]],Transactions[[#This Row],[L3N]],IF(Transactions[[#This Row],[Level 2]]=Transactions[[#This Row],[L5N]],Transactions[[#This Row],[L4N]],IF(Transactions[[#This Row],[Level 2]]=Transactions[[#This Row],[L6N]],Transactions[[#This Row],[L5N]],IF(Transactions[[#This Row],[Level 2]]=Transactions[[#This Row],[L7N]],Transactions[[#This Row],[L6N]],Transactions[[#This Row],[L7N]]))))))))</f>
        <v>Electricity plants - Solar CSP</v>
      </c>
      <c r="AV404" s="26" t="str">
        <f>IF(Transactions[[#This Row],[Level 3]]=Transactions[[#This Row],[Transaction name]],Transactions[[#This Row],[Transaction name]],IF(Transactions[[#This Row],[Level 3]]=Transactions[[#This Row],[L1N]],Transactions[[#This Row],[Transaction name]],IF(Transactions[[#This Row],[Level 3]]=Transactions[[#This Row],[L2N]],Transactions[[#This Row],[L1N]],IF(Transactions[[#This Row],[Level 3]]=Transactions[[#This Row],[L3N]],Transactions[[#This Row],[L2N]],IF(Transactions[[#This Row],[Level 3]]=Transactions[[#This Row],[L4N]],Transactions[[#This Row],[L3N]],IF(Transactions[[#This Row],[Level 3]]=Transactions[[#This Row],[L5N]],Transactions[[#This Row],[L4N]],IF(Transactions[[#This Row],[Level 3]]=Transactions[[#This Row],[L6N]],Transactions[[#This Row],[L5N]],IF(Transactions[[#This Row],[Level 3]]=Transactions[[#This Row],[L7N]],Transactions[[#This Row],[L6N]],Transactions[[#This Row],[L7N]]))))))))</f>
        <v>Electricity plants - Solar CSP</v>
      </c>
      <c r="AW404" s="26" t="str">
        <f>IF(Transactions[[#This Row],[Level 4]]=Transactions[[#This Row],[Transaction name]],Transactions[[#This Row],[Transaction name]],IF(Transactions[[#This Row],[Level 4]]=Transactions[[#This Row],[L1N]],Transactions[[#This Row],[Transaction name]],IF(Transactions[[#This Row],[Level 4]]=Transactions[[#This Row],[L2N]],Transactions[[#This Row],[L1N]],IF(Transactions[[#This Row],[Level 4]]=Transactions[[#This Row],[L3N]],Transactions[[#This Row],[L2N]],IF(Transactions[[#This Row],[Level 4]]=Transactions[[#This Row],[L4N]],Transactions[[#This Row],[L3N]],IF(Transactions[[#This Row],[Level 4]]=Transactions[[#This Row],[L5N]],Transactions[[#This Row],[L4N]],IF(Transactions[[#This Row],[Level 4]]=Transactions[[#This Row],[L6N]],Transactions[[#This Row],[L5N]],IF(Transactions[[#This Row],[Level 4]]=Transactions[[#This Row],[L7N]],Transactions[[#This Row],[L6N]],Transactions[[#This Row],[L7N]]))))))))</f>
        <v>Electricity plants - Solar CSP</v>
      </c>
      <c r="AX404" s="26" t="str">
        <f>IF(Transactions[[#This Row],[Level 5]]=Transactions[[#This Row],[Transaction name]],Transactions[[#This Row],[Transaction name]],IF(Transactions[[#This Row],[Level 5]]=Transactions[[#This Row],[L1N]],Transactions[[#This Row],[Transaction name]],IF(Transactions[[#This Row],[Level 5]]=Transactions[[#This Row],[L2N]],Transactions[[#This Row],[L1N]],IF(Transactions[[#This Row],[Level 5]]=Transactions[[#This Row],[L3N]],Transactions[[#This Row],[L2N]],IF(Transactions[[#This Row],[Level 5]]=Transactions[[#This Row],[L4N]],Transactions[[#This Row],[L3N]],IF(Transactions[[#This Row],[Level 5]]=Transactions[[#This Row],[L5N]],Transactions[[#This Row],[L4N]],IF(Transactions[[#This Row],[Level 5]]=Transactions[[#This Row],[L6N]],Transactions[[#This Row],[L5N]],IF(Transactions[[#This Row],[Level 5]]=Transactions[[#This Row],[L7N]],Transactions[[#This Row],[L6N]],Transactions[[#This Row],[L7N]]))))))))</f>
        <v>Electricity plants - Solar CSP</v>
      </c>
      <c r="AY404" s="26" t="str">
        <f>IF(Transactions[[#This Row],[Level 6]]=Transactions[[#This Row],[Transaction name]],Transactions[[#This Row],[Transaction name]],IF(Transactions[[#This Row],[Level 6]]=Transactions[[#This Row],[L1N]],Transactions[[#This Row],[Transaction name]],IF(Transactions[[#This Row],[Level 6]]=Transactions[[#This Row],[L2N]],Transactions[[#This Row],[L1N]],IF(Transactions[[#This Row],[Level 6]]=Transactions[[#This Row],[L3N]],Transactions[[#This Row],[L2N]],IF(Transactions[[#This Row],[Level 6]]=Transactions[[#This Row],[L4N]],Transactions[[#This Row],[L3N]],IF(Transactions[[#This Row],[Level 6]]=Transactions[[#This Row],[L5N]],Transactions[[#This Row],[L4N]],IF(Transactions[[#This Row],[Level 6]]=Transactions[[#This Row],[L6N]],Transactions[[#This Row],[L5N]],IF(Transactions[[#This Row],[Level 6]]=Transactions[[#This Row],[L7N]],Transactions[[#This Row],[L6N]],Transactions[[#This Row],[L7N]]))))))))</f>
        <v>Electricity plants - Solar CSP</v>
      </c>
      <c r="BE404" s="26" t="str">
        <f>_xlfn.XLOOKUP(Transformation[[#This Row],[cfrom]],Commodities[Commodity],Commodities[Commodity code])</f>
        <v>4630</v>
      </c>
      <c r="BF404" s="26" t="str">
        <f>_xlfn.XLOOKUP(Transformation[[#This Row],[tfrom]],Transactions[Transaction name],Transactions[Transaction code])</f>
        <v>022</v>
      </c>
      <c r="BG404" s="26" t="str">
        <f>_xlfn.XLOOKUP(Transformation[[#This Row],[cto]],Commodities[Commodity],Commodities[Commodity code])</f>
        <v>4630</v>
      </c>
      <c r="BH404" s="26" t="str">
        <f>_xlfn.XLOOKUP(Transformation[[#This Row],[tto]],Transactions[Transaction name],Transactions[Transaction code])</f>
        <v>022</v>
      </c>
      <c r="BI404" s="32">
        <v>-1</v>
      </c>
      <c r="BJ404" s="22" t="s">
        <v>408</v>
      </c>
      <c r="BK404" s="26" t="str">
        <f>_xlfn.XLOOKUP(Transformation[[#This Row],[Commodity from]],Commodities[Commodity code],Commodities[EnergyCode])</f>
        <v>LP</v>
      </c>
      <c r="BL404" s="22" t="s">
        <v>205</v>
      </c>
      <c r="BM404" s="22" t="s">
        <v>408</v>
      </c>
      <c r="BN404" s="26" t="str">
        <f>_xlfn.XLOOKUP(Transformation[[#This Row],[Commodity to]],Commodities[Commodity code],Commodities[EnergyCode])</f>
        <v>LP</v>
      </c>
      <c r="BO404" s="22" t="s">
        <v>205</v>
      </c>
      <c r="BP404" s="22" t="s">
        <v>1639</v>
      </c>
      <c r="BQ404" s="33" t="str">
        <f>Transformation[[#This Row],[Commodity from]]&amp;Transformation[[#This Row],[Transaction from]]&amp;Transformation[[#This Row],[Commodity to]]&amp;Transformation[[#This Row],[Transaction to]]</f>
        <v>46300224630022</v>
      </c>
      <c r="BR404" s="26" t="str">
        <f>Transformation[[#This Row],[crfomid]]&amp;Transformation[[#This Row],[Transaction from]]&amp;"("&amp;Transformation[[#This Row],[Multiplier]]&amp;") -&gt; "&amp;Transformation[[#This Row],[ctoid]]&amp;Transformation[[#This Row],[Transaction to]]</f>
        <v>LP022(-1) -&gt; LP022</v>
      </c>
    </row>
    <row r="405" spans="25:70" x14ac:dyDescent="0.45">
      <c r="Y405" s="5" t="s">
        <v>232</v>
      </c>
      <c r="Z405" s="7" t="s">
        <v>802</v>
      </c>
      <c r="AA405" s="4" t="s">
        <v>1329</v>
      </c>
      <c r="AB405" s="19" t="s">
        <v>1603</v>
      </c>
      <c r="AC405" s="24" t="str">
        <f>IFERROR(VLOOKUP(Transactions[[#This Row],[Parent code]],Transactions[[Transaction code]:[Transaction name]],2,0),"")</f>
        <v>Electricity plants - Solar PV</v>
      </c>
      <c r="AD405" s="4" t="s">
        <v>189</v>
      </c>
      <c r="AE405" s="4" t="s">
        <v>923</v>
      </c>
      <c r="AF405" s="4" t="s">
        <v>642</v>
      </c>
      <c r="AG405" s="4" t="s">
        <v>1</v>
      </c>
      <c r="AH405" s="4" t="s">
        <v>696</v>
      </c>
      <c r="AJ405" s="4" t="s">
        <v>0</v>
      </c>
      <c r="AK405" s="24" t="str" cm="1">
        <f t="array" ref="AK405">IFERROR(INDEX(Transactions[[Transaction code]:[Transaction name]],_xlfn.XMATCH(Transactions[[#This Row],[Parent code]],Transactions[Transaction name],0),3),Transactions[[#This Row],[Transaction name]])</f>
        <v>Electricity plants - Autoproducer - Solar PV</v>
      </c>
      <c r="AL405" s="24" t="str" cm="1">
        <f t="array" ref="AL405">IFERROR(INDEX(Transactions[[Transaction code]:[Transaction name]],_xlfn.XMATCH(INDEX(Transactions[[Transaction name]:[Parent code]],_xlfn.XMATCH(Transactions[[#This Row],[L1N]],Transactions[Transaction name],0),3),Transactions[Transaction code],0),2),Transactions[[#This Row],[L1N]])</f>
        <v>Electricity plants - Solar PV</v>
      </c>
      <c r="AM405" s="24" t="str" cm="1">
        <f t="array" ref="AM405">IFERROR(INDEX(Transactions[[Transaction code]:[Transaction name]],_xlfn.XMATCH(INDEX(Transactions[[Transaction name]:[Parent code]],_xlfn.XMATCH(Transactions[[#This Row],[L2N]],Transactions[Transaction name],0),3),Transactions[Transaction code],0),2),Transactions[[#This Row],[L2N]])</f>
        <v>Electricity plants</v>
      </c>
      <c r="AN405" s="24" t="str" cm="1">
        <f t="array" ref="AN405">IFERROR(INDEX(Transactions[[Transaction code]:[Transaction name]],_xlfn.XMATCH(INDEX(Transactions[[Transaction name]:[Parent code]],_xlfn.XMATCH(Transactions[[#This Row],[L3N]],Transactions[Transaction name],0),3),Transactions[Transaction code],0),2),Transactions[[#This Row],[L3N]])</f>
        <v>Electricity, CHP and heat plants (T)</v>
      </c>
      <c r="AO405" s="24" t="str" cm="1">
        <f t="array" ref="AO405">IFERROR(INDEX(Transactions[[Transaction code]:[Transaction name]],_xlfn.XMATCH(INDEX(Transactions[[Transaction name]:[Parent code]],_xlfn.XMATCH(Transactions[[#This Row],[L4N]],Transactions[Transaction name],0),3),Transactions[Transaction code],0),2),Transactions[[#This Row],[L4N]])</f>
        <v>Transformation</v>
      </c>
      <c r="AP405" s="24" t="str" cm="1">
        <f t="array" ref="AP405">IFERROR(INDEX(Transactions[[Transaction code]:[Transaction name]],_xlfn.XMATCH(INDEX(Transactions[[Transaction name]:[Parent code]],_xlfn.XMATCH(Transactions[[#This Row],[L5N]],Transactions[Transaction name],0),3),Transactions[Transaction code],0),2),Transactions[[#This Row],[L5N]])</f>
        <v>Transformation</v>
      </c>
      <c r="AQ405" s="24" t="str" cm="1">
        <f t="array" ref="AQ405">IFERROR(INDEX(Transactions[[Transaction code]:[Transaction name]],_xlfn.XMATCH(INDEX(Transactions[[Transaction name]:[Parent code]],_xlfn.XMATCH(Transactions[[#This Row],[L6N]],Transactions[Transaction name],0),3),Transactions[Transaction code],0),2),Transactions[[#This Row],[L6N]])</f>
        <v>Transformation</v>
      </c>
      <c r="AR405" s="27" t="str">
        <f>IF(Transactions[[#This Row],[L7N]]=Transactions[[#This Row],[L6N]],Transactions[[#This Row],[L7N]],IF(Transactions[[#This Row],[L6N]]=Transactions[[#This Row],[L5N]],Transactions[[#This Row],[L6N]],IF(Transactions[[#This Row],[L5N]]=Transactions[[#This Row],[L4N]],Transactions[[#This Row],[L5N]],IF(Transactions[[#This Row],[L4N]]=Transactions[[#This Row],[L3N]],Transactions[[#This Row],[L4N]],IF(Transactions[[#This Row],[L3N]]=Transactions[[#This Row],[L2N]],Transactions[[#This Row],[L3N]],IF(Transactions[[#This Row],[L2N]]=Transactions[[#This Row],[L1N]],Transactions[[#This Row],[L2N]],IF(Transactions[[#This Row],[L1N]]=Transactions[[#This Row],[Transaction name]],Transactions[[#This Row],[L1N]],Transactions[[#This Row],[Transaction name]])))))))</f>
        <v>Transformation</v>
      </c>
      <c r="AS405" s="24" t="str">
        <f>IF(Transactions[[#This Row],[Level 0]]=Transactions[[#This Row],[Transaction name]],Transactions[[#This Row],[Transaction name]],IF(Transactions[[#This Row],[Level 0]]=Transactions[[#This Row],[L1N]],Transactions[[#This Row],[Transaction name]],IF(Transactions[[#This Row],[Level 0]]=Transactions[[#This Row],[L2N]],Transactions[[#This Row],[L1N]],IF(Transactions[[#This Row],[Level 0]]=Transactions[[#This Row],[L3N]],Transactions[[#This Row],[L2N]],IF(Transactions[[#This Row],[Level 0]]=Transactions[[#This Row],[L4N]],Transactions[[#This Row],[L3N]],IF(Transactions[[#This Row],[Level 0]]=Transactions[[#This Row],[L5N]],Transactions[[#This Row],[L4N]],IF(Transactions[[#This Row],[Level 0]]=Transactions[[#This Row],[L6N]],Transactions[[#This Row],[L5N]],IF(Transactions[[#This Row],[Level 0]]=Transactions[[#This Row],[L7N]],Transactions[[#This Row],[L6N]],Transactions[[#This Row],[L7N]]))))))))</f>
        <v>Electricity, CHP and heat plants (T)</v>
      </c>
      <c r="AT405" s="24" t="str">
        <f>IF(Transactions[[#This Row],[Level 1]]=Transactions[[#This Row],[Transaction name]],Transactions[[#This Row],[Transaction name]],IF(Transactions[[#This Row],[Level 1]]=Transactions[[#This Row],[L1N]],Transactions[[#This Row],[Transaction name]],IF(Transactions[[#This Row],[Level 1]]=Transactions[[#This Row],[L2N]],Transactions[[#This Row],[L1N]],IF(Transactions[[#This Row],[Level 1]]=Transactions[[#This Row],[L3N]],Transactions[[#This Row],[L2N]],IF(Transactions[[#This Row],[Level 1]]=Transactions[[#This Row],[L4N]],Transactions[[#This Row],[L3N]],IF(Transactions[[#This Row],[Level 1]]=Transactions[[#This Row],[L5N]],Transactions[[#This Row],[L4N]],IF(Transactions[[#This Row],[Level 1]]=Transactions[[#This Row],[L6N]],Transactions[[#This Row],[L5N]],IF(Transactions[[#This Row],[Level 1]]=Transactions[[#This Row],[L7N]],Transactions[[#This Row],[L6N]],Transactions[[#This Row],[L7N]]))))))))</f>
        <v>Electricity plants</v>
      </c>
      <c r="AU405" s="24" t="str">
        <f>IF(Transactions[[#This Row],[Level 2]]=Transactions[[#This Row],[Transaction name]],Transactions[[#This Row],[Transaction name]],IF(Transactions[[#This Row],[Level 2]]=Transactions[[#This Row],[L1N]],Transactions[[#This Row],[Transaction name]],IF(Transactions[[#This Row],[Level 2]]=Transactions[[#This Row],[L2N]],Transactions[[#This Row],[L1N]],IF(Transactions[[#This Row],[Level 2]]=Transactions[[#This Row],[L3N]],Transactions[[#This Row],[L2N]],IF(Transactions[[#This Row],[Level 2]]=Transactions[[#This Row],[L4N]],Transactions[[#This Row],[L3N]],IF(Transactions[[#This Row],[Level 2]]=Transactions[[#This Row],[L5N]],Transactions[[#This Row],[L4N]],IF(Transactions[[#This Row],[Level 2]]=Transactions[[#This Row],[L6N]],Transactions[[#This Row],[L5N]],IF(Transactions[[#This Row],[Level 2]]=Transactions[[#This Row],[L7N]],Transactions[[#This Row],[L6N]],Transactions[[#This Row],[L7N]]))))))))</f>
        <v>Electricity plants - Solar PV</v>
      </c>
      <c r="AV405" s="24" t="str">
        <f>IF(Transactions[[#This Row],[Level 3]]=Transactions[[#This Row],[Transaction name]],Transactions[[#This Row],[Transaction name]],IF(Transactions[[#This Row],[Level 3]]=Transactions[[#This Row],[L1N]],Transactions[[#This Row],[Transaction name]],IF(Transactions[[#This Row],[Level 3]]=Transactions[[#This Row],[L2N]],Transactions[[#This Row],[L1N]],IF(Transactions[[#This Row],[Level 3]]=Transactions[[#This Row],[L3N]],Transactions[[#This Row],[L2N]],IF(Transactions[[#This Row],[Level 3]]=Transactions[[#This Row],[L4N]],Transactions[[#This Row],[L3N]],IF(Transactions[[#This Row],[Level 3]]=Transactions[[#This Row],[L5N]],Transactions[[#This Row],[L4N]],IF(Transactions[[#This Row],[Level 3]]=Transactions[[#This Row],[L6N]],Transactions[[#This Row],[L5N]],IF(Transactions[[#This Row],[Level 3]]=Transactions[[#This Row],[L7N]],Transactions[[#This Row],[L6N]],Transactions[[#This Row],[L7N]]))))))))</f>
        <v>Electricity plants - Autoproducer - Solar PV</v>
      </c>
      <c r="AW405" s="24" t="str">
        <f>IF(Transactions[[#This Row],[Level 4]]=Transactions[[#This Row],[Transaction name]],Transactions[[#This Row],[Transaction name]],IF(Transactions[[#This Row],[Level 4]]=Transactions[[#This Row],[L1N]],Transactions[[#This Row],[Transaction name]],IF(Transactions[[#This Row],[Level 4]]=Transactions[[#This Row],[L2N]],Transactions[[#This Row],[L1N]],IF(Transactions[[#This Row],[Level 4]]=Transactions[[#This Row],[L3N]],Transactions[[#This Row],[L2N]],IF(Transactions[[#This Row],[Level 4]]=Transactions[[#This Row],[L4N]],Transactions[[#This Row],[L3N]],IF(Transactions[[#This Row],[Level 4]]=Transactions[[#This Row],[L5N]],Transactions[[#This Row],[L4N]],IF(Transactions[[#This Row],[Level 4]]=Transactions[[#This Row],[L6N]],Transactions[[#This Row],[L5N]],IF(Transactions[[#This Row],[Level 4]]=Transactions[[#This Row],[L7N]],Transactions[[#This Row],[L6N]],Transactions[[#This Row],[L7N]]))))))))</f>
        <v>Electricity plants - Autoproducer - Solar PV</v>
      </c>
      <c r="AX405" s="24" t="str">
        <f>IF(Transactions[[#This Row],[Level 5]]=Transactions[[#This Row],[Transaction name]],Transactions[[#This Row],[Transaction name]],IF(Transactions[[#This Row],[Level 5]]=Transactions[[#This Row],[L1N]],Transactions[[#This Row],[Transaction name]],IF(Transactions[[#This Row],[Level 5]]=Transactions[[#This Row],[L2N]],Transactions[[#This Row],[L1N]],IF(Transactions[[#This Row],[Level 5]]=Transactions[[#This Row],[L3N]],Transactions[[#This Row],[L2N]],IF(Transactions[[#This Row],[Level 5]]=Transactions[[#This Row],[L4N]],Transactions[[#This Row],[L3N]],IF(Transactions[[#This Row],[Level 5]]=Transactions[[#This Row],[L5N]],Transactions[[#This Row],[L4N]],IF(Transactions[[#This Row],[Level 5]]=Transactions[[#This Row],[L6N]],Transactions[[#This Row],[L5N]],IF(Transactions[[#This Row],[Level 5]]=Transactions[[#This Row],[L7N]],Transactions[[#This Row],[L6N]],Transactions[[#This Row],[L7N]]))))))))</f>
        <v>Electricity plants - Autoproducer - Solar PV</v>
      </c>
      <c r="AY405" s="24" t="str">
        <f>IF(Transactions[[#This Row],[Level 6]]=Transactions[[#This Row],[Transaction name]],Transactions[[#This Row],[Transaction name]],IF(Transactions[[#This Row],[Level 6]]=Transactions[[#This Row],[L1N]],Transactions[[#This Row],[Transaction name]],IF(Transactions[[#This Row],[Level 6]]=Transactions[[#This Row],[L2N]],Transactions[[#This Row],[L1N]],IF(Transactions[[#This Row],[Level 6]]=Transactions[[#This Row],[L3N]],Transactions[[#This Row],[L2N]],IF(Transactions[[#This Row],[Level 6]]=Transactions[[#This Row],[L4N]],Transactions[[#This Row],[L3N]],IF(Transactions[[#This Row],[Level 6]]=Transactions[[#This Row],[L5N]],Transactions[[#This Row],[L4N]],IF(Transactions[[#This Row],[Level 6]]=Transactions[[#This Row],[L6N]],Transactions[[#This Row],[L5N]],IF(Transactions[[#This Row],[Level 6]]=Transactions[[#This Row],[L7N]],Transactions[[#This Row],[L6N]],Transactions[[#This Row],[L7N]]))))))))</f>
        <v>Electricity plants - Autoproducer - Solar PV</v>
      </c>
      <c r="BE405" s="26" t="str">
        <f>_xlfn.XLOOKUP(Transformation[[#This Row],[cfrom]],Commodities[Commodity],Commodities[Commodity code])</f>
        <v>4630</v>
      </c>
      <c r="BF405" s="26" t="str">
        <f>_xlfn.XLOOKUP(Transformation[[#This Row],[tfrom]],Transactions[Transaction name],Transactions[Transaction code])</f>
        <v>022</v>
      </c>
      <c r="BG405" s="26" t="str">
        <f>_xlfn.XLOOKUP(Transformation[[#This Row],[cto]],Commodities[Commodity],Commodities[Commodity code])</f>
        <v>4630</v>
      </c>
      <c r="BH405" s="26" t="str">
        <f>_xlfn.XLOOKUP(Transformation[[#This Row],[tto]],Transactions[Transaction name],Transactions[Transaction code])</f>
        <v>087</v>
      </c>
      <c r="BI405" s="31">
        <v>1</v>
      </c>
      <c r="BJ405" s="22" t="s">
        <v>408</v>
      </c>
      <c r="BK405" s="26" t="str">
        <f>_xlfn.XLOOKUP(Transformation[[#This Row],[Commodity from]],Commodities[Commodity code],Commodities[EnergyCode])</f>
        <v>LP</v>
      </c>
      <c r="BL405" s="22" t="s">
        <v>205</v>
      </c>
      <c r="BM405" s="22" t="s">
        <v>408</v>
      </c>
      <c r="BN405" s="26" t="str">
        <f>_xlfn.XLOOKUP(Transformation[[#This Row],[Commodity to]],Commodities[Commodity code],Commodities[EnergyCode])</f>
        <v>LP</v>
      </c>
      <c r="BO405" s="22" t="s">
        <v>729</v>
      </c>
      <c r="BP405" s="22" t="s">
        <v>1638</v>
      </c>
      <c r="BQ405" s="33" t="str">
        <f>Transformation[[#This Row],[Commodity from]]&amp;Transformation[[#This Row],[Transaction from]]&amp;Transformation[[#This Row],[Commodity to]]&amp;Transformation[[#This Row],[Transaction to]]</f>
        <v>46300224630087</v>
      </c>
      <c r="BR405" s="26" t="str">
        <f>Transformation[[#This Row],[crfomid]]&amp;Transformation[[#This Row],[Transaction from]]&amp;"("&amp;Transformation[[#This Row],[Multiplier]]&amp;") -&gt; "&amp;Transformation[[#This Row],[ctoid]]&amp;Transformation[[#This Row],[Transaction to]]</f>
        <v>LP022(1) -&gt; LP087</v>
      </c>
    </row>
    <row r="406" spans="25:70" x14ac:dyDescent="0.45">
      <c r="Y406" s="5" t="s">
        <v>296</v>
      </c>
      <c r="Z406" s="7" t="s">
        <v>809</v>
      </c>
      <c r="AA406" s="4" t="s">
        <v>1329</v>
      </c>
      <c r="AB406" s="19" t="s">
        <v>1603</v>
      </c>
      <c r="AC406" s="24" t="str">
        <f>IFERROR(VLOOKUP(Transactions[[#This Row],[Parent code]],Transactions[[Transaction code]:[Transaction name]],2,0),"")</f>
        <v>Electricity plants - Solar PV</v>
      </c>
      <c r="AD406" s="4" t="s">
        <v>189</v>
      </c>
      <c r="AE406" s="4" t="s">
        <v>923</v>
      </c>
      <c r="AF406" s="4" t="s">
        <v>642</v>
      </c>
      <c r="AG406" s="4" t="s">
        <v>1</v>
      </c>
      <c r="AH406" s="4" t="s">
        <v>696</v>
      </c>
      <c r="AJ406" s="4" t="s">
        <v>0</v>
      </c>
      <c r="AK406" s="24" t="str" cm="1">
        <f t="array" ref="AK406">IFERROR(INDEX(Transactions[[Transaction code]:[Transaction name]],_xlfn.XMATCH(Transactions[[#This Row],[Parent code]],Transactions[Transaction name],0),3),Transactions[[#This Row],[Transaction name]])</f>
        <v>Electricity plants - Main activity - Solar PV</v>
      </c>
      <c r="AL406" s="24" t="str" cm="1">
        <f t="array" ref="AL406">IFERROR(INDEX(Transactions[[Transaction code]:[Transaction name]],_xlfn.XMATCH(INDEX(Transactions[[Transaction name]:[Parent code]],_xlfn.XMATCH(Transactions[[#This Row],[L1N]],Transactions[Transaction name],0),3),Transactions[Transaction code],0),2),Transactions[[#This Row],[L1N]])</f>
        <v>Electricity plants - Solar PV</v>
      </c>
      <c r="AM406" s="24" t="str" cm="1">
        <f t="array" ref="AM406">IFERROR(INDEX(Transactions[[Transaction code]:[Transaction name]],_xlfn.XMATCH(INDEX(Transactions[[Transaction name]:[Parent code]],_xlfn.XMATCH(Transactions[[#This Row],[L2N]],Transactions[Transaction name],0),3),Transactions[Transaction code],0),2),Transactions[[#This Row],[L2N]])</f>
        <v>Electricity plants</v>
      </c>
      <c r="AN406" s="24" t="str" cm="1">
        <f t="array" ref="AN406">IFERROR(INDEX(Transactions[[Transaction code]:[Transaction name]],_xlfn.XMATCH(INDEX(Transactions[[Transaction name]:[Parent code]],_xlfn.XMATCH(Transactions[[#This Row],[L3N]],Transactions[Transaction name],0),3),Transactions[Transaction code],0),2),Transactions[[#This Row],[L3N]])</f>
        <v>Electricity, CHP and heat plants (T)</v>
      </c>
      <c r="AO406" s="24" t="str" cm="1">
        <f t="array" ref="AO406">IFERROR(INDEX(Transactions[[Transaction code]:[Transaction name]],_xlfn.XMATCH(INDEX(Transactions[[Transaction name]:[Parent code]],_xlfn.XMATCH(Transactions[[#This Row],[L4N]],Transactions[Transaction name],0),3),Transactions[Transaction code],0),2),Transactions[[#This Row],[L4N]])</f>
        <v>Transformation</v>
      </c>
      <c r="AP406" s="24" t="str" cm="1">
        <f t="array" ref="AP406">IFERROR(INDEX(Transactions[[Transaction code]:[Transaction name]],_xlfn.XMATCH(INDEX(Transactions[[Transaction name]:[Parent code]],_xlfn.XMATCH(Transactions[[#This Row],[L5N]],Transactions[Transaction name],0),3),Transactions[Transaction code],0),2),Transactions[[#This Row],[L5N]])</f>
        <v>Transformation</v>
      </c>
      <c r="AQ406" s="24" t="str" cm="1">
        <f t="array" ref="AQ406">IFERROR(INDEX(Transactions[[Transaction code]:[Transaction name]],_xlfn.XMATCH(INDEX(Transactions[[Transaction name]:[Parent code]],_xlfn.XMATCH(Transactions[[#This Row],[L6N]],Transactions[Transaction name],0),3),Transactions[Transaction code],0),2),Transactions[[#This Row],[L6N]])</f>
        <v>Transformation</v>
      </c>
      <c r="AR406" s="27" t="str">
        <f>IF(Transactions[[#This Row],[L7N]]=Transactions[[#This Row],[L6N]],Transactions[[#This Row],[L7N]],IF(Transactions[[#This Row],[L6N]]=Transactions[[#This Row],[L5N]],Transactions[[#This Row],[L6N]],IF(Transactions[[#This Row],[L5N]]=Transactions[[#This Row],[L4N]],Transactions[[#This Row],[L5N]],IF(Transactions[[#This Row],[L4N]]=Transactions[[#This Row],[L3N]],Transactions[[#This Row],[L4N]],IF(Transactions[[#This Row],[L3N]]=Transactions[[#This Row],[L2N]],Transactions[[#This Row],[L3N]],IF(Transactions[[#This Row],[L2N]]=Transactions[[#This Row],[L1N]],Transactions[[#This Row],[L2N]],IF(Transactions[[#This Row],[L1N]]=Transactions[[#This Row],[Transaction name]],Transactions[[#This Row],[L1N]],Transactions[[#This Row],[Transaction name]])))))))</f>
        <v>Transformation</v>
      </c>
      <c r="AS406" s="24" t="str">
        <f>IF(Transactions[[#This Row],[Level 0]]=Transactions[[#This Row],[Transaction name]],Transactions[[#This Row],[Transaction name]],IF(Transactions[[#This Row],[Level 0]]=Transactions[[#This Row],[L1N]],Transactions[[#This Row],[Transaction name]],IF(Transactions[[#This Row],[Level 0]]=Transactions[[#This Row],[L2N]],Transactions[[#This Row],[L1N]],IF(Transactions[[#This Row],[Level 0]]=Transactions[[#This Row],[L3N]],Transactions[[#This Row],[L2N]],IF(Transactions[[#This Row],[Level 0]]=Transactions[[#This Row],[L4N]],Transactions[[#This Row],[L3N]],IF(Transactions[[#This Row],[Level 0]]=Transactions[[#This Row],[L5N]],Transactions[[#This Row],[L4N]],IF(Transactions[[#This Row],[Level 0]]=Transactions[[#This Row],[L6N]],Transactions[[#This Row],[L5N]],IF(Transactions[[#This Row],[Level 0]]=Transactions[[#This Row],[L7N]],Transactions[[#This Row],[L6N]],Transactions[[#This Row],[L7N]]))))))))</f>
        <v>Electricity, CHP and heat plants (T)</v>
      </c>
      <c r="AT406" s="24" t="str">
        <f>IF(Transactions[[#This Row],[Level 1]]=Transactions[[#This Row],[Transaction name]],Transactions[[#This Row],[Transaction name]],IF(Transactions[[#This Row],[Level 1]]=Transactions[[#This Row],[L1N]],Transactions[[#This Row],[Transaction name]],IF(Transactions[[#This Row],[Level 1]]=Transactions[[#This Row],[L2N]],Transactions[[#This Row],[L1N]],IF(Transactions[[#This Row],[Level 1]]=Transactions[[#This Row],[L3N]],Transactions[[#This Row],[L2N]],IF(Transactions[[#This Row],[Level 1]]=Transactions[[#This Row],[L4N]],Transactions[[#This Row],[L3N]],IF(Transactions[[#This Row],[Level 1]]=Transactions[[#This Row],[L5N]],Transactions[[#This Row],[L4N]],IF(Transactions[[#This Row],[Level 1]]=Transactions[[#This Row],[L6N]],Transactions[[#This Row],[L5N]],IF(Transactions[[#This Row],[Level 1]]=Transactions[[#This Row],[L7N]],Transactions[[#This Row],[L6N]],Transactions[[#This Row],[L7N]]))))))))</f>
        <v>Electricity plants</v>
      </c>
      <c r="AU406" s="24" t="str">
        <f>IF(Transactions[[#This Row],[Level 2]]=Transactions[[#This Row],[Transaction name]],Transactions[[#This Row],[Transaction name]],IF(Transactions[[#This Row],[Level 2]]=Transactions[[#This Row],[L1N]],Transactions[[#This Row],[Transaction name]],IF(Transactions[[#This Row],[Level 2]]=Transactions[[#This Row],[L2N]],Transactions[[#This Row],[L1N]],IF(Transactions[[#This Row],[Level 2]]=Transactions[[#This Row],[L3N]],Transactions[[#This Row],[L2N]],IF(Transactions[[#This Row],[Level 2]]=Transactions[[#This Row],[L4N]],Transactions[[#This Row],[L3N]],IF(Transactions[[#This Row],[Level 2]]=Transactions[[#This Row],[L5N]],Transactions[[#This Row],[L4N]],IF(Transactions[[#This Row],[Level 2]]=Transactions[[#This Row],[L6N]],Transactions[[#This Row],[L5N]],IF(Transactions[[#This Row],[Level 2]]=Transactions[[#This Row],[L7N]],Transactions[[#This Row],[L6N]],Transactions[[#This Row],[L7N]]))))))))</f>
        <v>Electricity plants - Solar PV</v>
      </c>
      <c r="AV406" s="24" t="str">
        <f>IF(Transactions[[#This Row],[Level 3]]=Transactions[[#This Row],[Transaction name]],Transactions[[#This Row],[Transaction name]],IF(Transactions[[#This Row],[Level 3]]=Transactions[[#This Row],[L1N]],Transactions[[#This Row],[Transaction name]],IF(Transactions[[#This Row],[Level 3]]=Transactions[[#This Row],[L2N]],Transactions[[#This Row],[L1N]],IF(Transactions[[#This Row],[Level 3]]=Transactions[[#This Row],[L3N]],Transactions[[#This Row],[L2N]],IF(Transactions[[#This Row],[Level 3]]=Transactions[[#This Row],[L4N]],Transactions[[#This Row],[L3N]],IF(Transactions[[#This Row],[Level 3]]=Transactions[[#This Row],[L5N]],Transactions[[#This Row],[L4N]],IF(Transactions[[#This Row],[Level 3]]=Transactions[[#This Row],[L6N]],Transactions[[#This Row],[L5N]],IF(Transactions[[#This Row],[Level 3]]=Transactions[[#This Row],[L7N]],Transactions[[#This Row],[L6N]],Transactions[[#This Row],[L7N]]))))))))</f>
        <v>Electricity plants - Main activity - Solar PV</v>
      </c>
      <c r="AW406" s="24" t="str">
        <f>IF(Transactions[[#This Row],[Level 4]]=Transactions[[#This Row],[Transaction name]],Transactions[[#This Row],[Transaction name]],IF(Transactions[[#This Row],[Level 4]]=Transactions[[#This Row],[L1N]],Transactions[[#This Row],[Transaction name]],IF(Transactions[[#This Row],[Level 4]]=Transactions[[#This Row],[L2N]],Transactions[[#This Row],[L1N]],IF(Transactions[[#This Row],[Level 4]]=Transactions[[#This Row],[L3N]],Transactions[[#This Row],[L2N]],IF(Transactions[[#This Row],[Level 4]]=Transactions[[#This Row],[L4N]],Transactions[[#This Row],[L3N]],IF(Transactions[[#This Row],[Level 4]]=Transactions[[#This Row],[L5N]],Transactions[[#This Row],[L4N]],IF(Transactions[[#This Row],[Level 4]]=Transactions[[#This Row],[L6N]],Transactions[[#This Row],[L5N]],IF(Transactions[[#This Row],[Level 4]]=Transactions[[#This Row],[L7N]],Transactions[[#This Row],[L6N]],Transactions[[#This Row],[L7N]]))))))))</f>
        <v>Electricity plants - Main activity - Solar PV</v>
      </c>
      <c r="AX406" s="24" t="str">
        <f>IF(Transactions[[#This Row],[Level 5]]=Transactions[[#This Row],[Transaction name]],Transactions[[#This Row],[Transaction name]],IF(Transactions[[#This Row],[Level 5]]=Transactions[[#This Row],[L1N]],Transactions[[#This Row],[Transaction name]],IF(Transactions[[#This Row],[Level 5]]=Transactions[[#This Row],[L2N]],Transactions[[#This Row],[L1N]],IF(Transactions[[#This Row],[Level 5]]=Transactions[[#This Row],[L3N]],Transactions[[#This Row],[L2N]],IF(Transactions[[#This Row],[Level 5]]=Transactions[[#This Row],[L4N]],Transactions[[#This Row],[L3N]],IF(Transactions[[#This Row],[Level 5]]=Transactions[[#This Row],[L5N]],Transactions[[#This Row],[L4N]],IF(Transactions[[#This Row],[Level 5]]=Transactions[[#This Row],[L6N]],Transactions[[#This Row],[L5N]],IF(Transactions[[#This Row],[Level 5]]=Transactions[[#This Row],[L7N]],Transactions[[#This Row],[L6N]],Transactions[[#This Row],[L7N]]))))))))</f>
        <v>Electricity plants - Main activity - Solar PV</v>
      </c>
      <c r="AY406" s="24" t="str">
        <f>IF(Transactions[[#This Row],[Level 6]]=Transactions[[#This Row],[Transaction name]],Transactions[[#This Row],[Transaction name]],IF(Transactions[[#This Row],[Level 6]]=Transactions[[#This Row],[L1N]],Transactions[[#This Row],[Transaction name]],IF(Transactions[[#This Row],[Level 6]]=Transactions[[#This Row],[L2N]],Transactions[[#This Row],[L1N]],IF(Transactions[[#This Row],[Level 6]]=Transactions[[#This Row],[L3N]],Transactions[[#This Row],[L2N]],IF(Transactions[[#This Row],[Level 6]]=Transactions[[#This Row],[L4N]],Transactions[[#This Row],[L3N]],IF(Transactions[[#This Row],[Level 6]]=Transactions[[#This Row],[L5N]],Transactions[[#This Row],[L4N]],IF(Transactions[[#This Row],[Level 6]]=Transactions[[#This Row],[L6N]],Transactions[[#This Row],[L5N]],IF(Transactions[[#This Row],[Level 6]]=Transactions[[#This Row],[L7N]],Transactions[[#This Row],[L6N]],Transactions[[#This Row],[L7N]]))))))))</f>
        <v>Electricity plants - Main activity - Solar PV</v>
      </c>
      <c r="BE406" s="26" t="str">
        <f>_xlfn.XLOOKUP(Transformation[[#This Row],[cfrom]],Commodities[Commodity],Commodities[Commodity code])</f>
        <v>4692</v>
      </c>
      <c r="BF406" s="26" t="str">
        <f>_xlfn.XLOOKUP(Transformation[[#This Row],[tfrom]],Transactions[Transaction name],Transactions[Transaction code])</f>
        <v>01</v>
      </c>
      <c r="BG406" s="26" t="str">
        <f>_xlfn.XLOOKUP(Transformation[[#This Row],[cto]],Commodities[Commodity],Commodities[Commodity code])</f>
        <v>4692</v>
      </c>
      <c r="BH406" s="26" t="str">
        <f>_xlfn.XLOOKUP(Transformation[[#This Row],[tto]],Transactions[Transaction name],Transactions[Transaction code])</f>
        <v>01</v>
      </c>
      <c r="BI406" s="32">
        <v>-1</v>
      </c>
      <c r="BJ406" s="22" t="s">
        <v>360</v>
      </c>
      <c r="BK406" s="26" t="str">
        <f>_xlfn.XLOOKUP(Transformation[[#This Row],[Commodity from]],Commodities[Commodity code],Commodities[EnergyCode])</f>
        <v>LU</v>
      </c>
      <c r="BL406" s="22" t="s">
        <v>383</v>
      </c>
      <c r="BM406" s="22" t="s">
        <v>360</v>
      </c>
      <c r="BN406" s="26" t="str">
        <f>_xlfn.XLOOKUP(Transformation[[#This Row],[Commodity to]],Commodities[Commodity code],Commodities[EnergyCode])</f>
        <v>LU</v>
      </c>
      <c r="BO406" s="22" t="s">
        <v>383</v>
      </c>
      <c r="BP406" s="22" t="s">
        <v>1633</v>
      </c>
      <c r="BQ406" s="33" t="str">
        <f>Transformation[[#This Row],[Commodity from]]&amp;Transformation[[#This Row],[Transaction from]]&amp;Transformation[[#This Row],[Commodity to]]&amp;Transformation[[#This Row],[Transaction to]]</f>
        <v>469201469201</v>
      </c>
      <c r="BR406" s="26" t="str">
        <f>Transformation[[#This Row],[crfomid]]&amp;Transformation[[#This Row],[Transaction from]]&amp;"("&amp;Transformation[[#This Row],[Multiplier]]&amp;") -&gt; "&amp;Transformation[[#This Row],[ctoid]]&amp;Transformation[[#This Row],[Transaction to]]</f>
        <v>LU01(-1) -&gt; LU01</v>
      </c>
    </row>
    <row r="407" spans="25:70" x14ac:dyDescent="0.45">
      <c r="Y407" s="19" t="s">
        <v>1603</v>
      </c>
      <c r="Z407" s="18" t="s">
        <v>1329</v>
      </c>
      <c r="AA407" s="18" t="s">
        <v>1329</v>
      </c>
      <c r="AB407" s="19" t="s">
        <v>1600</v>
      </c>
      <c r="AC407" s="26" t="str">
        <f>IFERROR(VLOOKUP(Transactions[[#This Row],[Parent code]],Transactions[[Transaction code]:[Transaction name]],2,0),"")</f>
        <v>Electricity plants</v>
      </c>
      <c r="AD407" s="18" t="s">
        <v>189</v>
      </c>
      <c r="AE407" s="18" t="s">
        <v>923</v>
      </c>
      <c r="AF407" s="18" t="s">
        <v>642</v>
      </c>
      <c r="AG407" s="18" t="s">
        <v>1</v>
      </c>
      <c r="AH407" s="18" t="s">
        <v>696</v>
      </c>
      <c r="AI407" s="18"/>
      <c r="AJ407" s="18" t="s">
        <v>0</v>
      </c>
      <c r="AK407" s="26" t="str" cm="1">
        <f t="array" ref="AK407">IFERROR(INDEX(Transactions[[Transaction code]:[Transaction name]],_xlfn.XMATCH(Transactions[[#This Row],[Parent code]],Transactions[Transaction name],0),3),Transactions[[#This Row],[Transaction name]])</f>
        <v>Electricity plants - Solar PV</v>
      </c>
      <c r="AL407" s="26" t="str" cm="1">
        <f t="array" ref="AL407">IFERROR(INDEX(Transactions[[Transaction code]:[Transaction name]],_xlfn.XMATCH(INDEX(Transactions[[Transaction name]:[Parent code]],_xlfn.XMATCH(Transactions[[#This Row],[L1N]],Transactions[Transaction name],0),3),Transactions[Transaction code],0),2),Transactions[[#This Row],[L1N]])</f>
        <v>Electricity plants</v>
      </c>
      <c r="AM407" s="26" t="str" cm="1">
        <f t="array" ref="AM407">IFERROR(INDEX(Transactions[[Transaction code]:[Transaction name]],_xlfn.XMATCH(INDEX(Transactions[[Transaction name]:[Parent code]],_xlfn.XMATCH(Transactions[[#This Row],[L2N]],Transactions[Transaction name],0),3),Transactions[Transaction code],0),2),Transactions[[#This Row],[L2N]])</f>
        <v>Electricity, CHP and heat plants (T)</v>
      </c>
      <c r="AN407" s="26" t="str" cm="1">
        <f t="array" ref="AN407">IFERROR(INDEX(Transactions[[Transaction code]:[Transaction name]],_xlfn.XMATCH(INDEX(Transactions[[Transaction name]:[Parent code]],_xlfn.XMATCH(Transactions[[#This Row],[L3N]],Transactions[Transaction name],0),3),Transactions[Transaction code],0),2),Transactions[[#This Row],[L3N]])</f>
        <v>Transformation</v>
      </c>
      <c r="AO407" s="26" t="str" cm="1">
        <f t="array" ref="AO407">IFERROR(INDEX(Transactions[[Transaction code]:[Transaction name]],_xlfn.XMATCH(INDEX(Transactions[[Transaction name]:[Parent code]],_xlfn.XMATCH(Transactions[[#This Row],[L4N]],Transactions[Transaction name],0),3),Transactions[Transaction code],0),2),Transactions[[#This Row],[L4N]])</f>
        <v>Transformation</v>
      </c>
      <c r="AP407" s="26" t="str" cm="1">
        <f t="array" ref="AP407">IFERROR(INDEX(Transactions[[Transaction code]:[Transaction name]],_xlfn.XMATCH(INDEX(Transactions[[Transaction name]:[Parent code]],_xlfn.XMATCH(Transactions[[#This Row],[L5N]],Transactions[Transaction name],0),3),Transactions[Transaction code],0),2),Transactions[[#This Row],[L5N]])</f>
        <v>Transformation</v>
      </c>
      <c r="AQ407" s="26" t="str" cm="1">
        <f t="array" ref="AQ407">IFERROR(INDEX(Transactions[[Transaction code]:[Transaction name]],_xlfn.XMATCH(INDEX(Transactions[[Transaction name]:[Parent code]],_xlfn.XMATCH(Transactions[[#This Row],[L6N]],Transactions[Transaction name],0),3),Transactions[Transaction code],0),2),Transactions[[#This Row],[L6N]])</f>
        <v>Transformation</v>
      </c>
      <c r="AR407" s="29" t="str">
        <f>IF(Transactions[[#This Row],[L7N]]=Transactions[[#This Row],[L6N]],Transactions[[#This Row],[L7N]],IF(Transactions[[#This Row],[L6N]]=Transactions[[#This Row],[L5N]],Transactions[[#This Row],[L6N]],IF(Transactions[[#This Row],[L5N]]=Transactions[[#This Row],[L4N]],Transactions[[#This Row],[L5N]],IF(Transactions[[#This Row],[L4N]]=Transactions[[#This Row],[L3N]],Transactions[[#This Row],[L4N]],IF(Transactions[[#This Row],[L3N]]=Transactions[[#This Row],[L2N]],Transactions[[#This Row],[L3N]],IF(Transactions[[#This Row],[L2N]]=Transactions[[#This Row],[L1N]],Transactions[[#This Row],[L2N]],IF(Transactions[[#This Row],[L1N]]=Transactions[[#This Row],[Transaction name]],Transactions[[#This Row],[L1N]],Transactions[[#This Row],[Transaction name]])))))))</f>
        <v>Transformation</v>
      </c>
      <c r="AS407" s="26" t="str">
        <f>IF(Transactions[[#This Row],[Level 0]]=Transactions[[#This Row],[Transaction name]],Transactions[[#This Row],[Transaction name]],IF(Transactions[[#This Row],[Level 0]]=Transactions[[#This Row],[L1N]],Transactions[[#This Row],[Transaction name]],IF(Transactions[[#This Row],[Level 0]]=Transactions[[#This Row],[L2N]],Transactions[[#This Row],[L1N]],IF(Transactions[[#This Row],[Level 0]]=Transactions[[#This Row],[L3N]],Transactions[[#This Row],[L2N]],IF(Transactions[[#This Row],[Level 0]]=Transactions[[#This Row],[L4N]],Transactions[[#This Row],[L3N]],IF(Transactions[[#This Row],[Level 0]]=Transactions[[#This Row],[L5N]],Transactions[[#This Row],[L4N]],IF(Transactions[[#This Row],[Level 0]]=Transactions[[#This Row],[L6N]],Transactions[[#This Row],[L5N]],IF(Transactions[[#This Row],[Level 0]]=Transactions[[#This Row],[L7N]],Transactions[[#This Row],[L6N]],Transactions[[#This Row],[L7N]]))))))))</f>
        <v>Electricity, CHP and heat plants (T)</v>
      </c>
      <c r="AT407" s="26" t="str">
        <f>IF(Transactions[[#This Row],[Level 1]]=Transactions[[#This Row],[Transaction name]],Transactions[[#This Row],[Transaction name]],IF(Transactions[[#This Row],[Level 1]]=Transactions[[#This Row],[L1N]],Transactions[[#This Row],[Transaction name]],IF(Transactions[[#This Row],[Level 1]]=Transactions[[#This Row],[L2N]],Transactions[[#This Row],[L1N]],IF(Transactions[[#This Row],[Level 1]]=Transactions[[#This Row],[L3N]],Transactions[[#This Row],[L2N]],IF(Transactions[[#This Row],[Level 1]]=Transactions[[#This Row],[L4N]],Transactions[[#This Row],[L3N]],IF(Transactions[[#This Row],[Level 1]]=Transactions[[#This Row],[L5N]],Transactions[[#This Row],[L4N]],IF(Transactions[[#This Row],[Level 1]]=Transactions[[#This Row],[L6N]],Transactions[[#This Row],[L5N]],IF(Transactions[[#This Row],[Level 1]]=Transactions[[#This Row],[L7N]],Transactions[[#This Row],[L6N]],Transactions[[#This Row],[L7N]]))))))))</f>
        <v>Electricity plants</v>
      </c>
      <c r="AU407" s="26" t="str">
        <f>IF(Transactions[[#This Row],[Level 2]]=Transactions[[#This Row],[Transaction name]],Transactions[[#This Row],[Transaction name]],IF(Transactions[[#This Row],[Level 2]]=Transactions[[#This Row],[L1N]],Transactions[[#This Row],[Transaction name]],IF(Transactions[[#This Row],[Level 2]]=Transactions[[#This Row],[L2N]],Transactions[[#This Row],[L1N]],IF(Transactions[[#This Row],[Level 2]]=Transactions[[#This Row],[L3N]],Transactions[[#This Row],[L2N]],IF(Transactions[[#This Row],[Level 2]]=Transactions[[#This Row],[L4N]],Transactions[[#This Row],[L3N]],IF(Transactions[[#This Row],[Level 2]]=Transactions[[#This Row],[L5N]],Transactions[[#This Row],[L4N]],IF(Transactions[[#This Row],[Level 2]]=Transactions[[#This Row],[L6N]],Transactions[[#This Row],[L5N]],IF(Transactions[[#This Row],[Level 2]]=Transactions[[#This Row],[L7N]],Transactions[[#This Row],[L6N]],Transactions[[#This Row],[L7N]]))))))))</f>
        <v>Electricity plants - Solar PV</v>
      </c>
      <c r="AV407" s="26" t="str">
        <f>IF(Transactions[[#This Row],[Level 3]]=Transactions[[#This Row],[Transaction name]],Transactions[[#This Row],[Transaction name]],IF(Transactions[[#This Row],[Level 3]]=Transactions[[#This Row],[L1N]],Transactions[[#This Row],[Transaction name]],IF(Transactions[[#This Row],[Level 3]]=Transactions[[#This Row],[L2N]],Transactions[[#This Row],[L1N]],IF(Transactions[[#This Row],[Level 3]]=Transactions[[#This Row],[L3N]],Transactions[[#This Row],[L2N]],IF(Transactions[[#This Row],[Level 3]]=Transactions[[#This Row],[L4N]],Transactions[[#This Row],[L3N]],IF(Transactions[[#This Row],[Level 3]]=Transactions[[#This Row],[L5N]],Transactions[[#This Row],[L4N]],IF(Transactions[[#This Row],[Level 3]]=Transactions[[#This Row],[L6N]],Transactions[[#This Row],[L5N]],IF(Transactions[[#This Row],[Level 3]]=Transactions[[#This Row],[L7N]],Transactions[[#This Row],[L6N]],Transactions[[#This Row],[L7N]]))))))))</f>
        <v>Electricity plants - Solar PV</v>
      </c>
      <c r="AW407" s="26" t="str">
        <f>IF(Transactions[[#This Row],[Level 4]]=Transactions[[#This Row],[Transaction name]],Transactions[[#This Row],[Transaction name]],IF(Transactions[[#This Row],[Level 4]]=Transactions[[#This Row],[L1N]],Transactions[[#This Row],[Transaction name]],IF(Transactions[[#This Row],[Level 4]]=Transactions[[#This Row],[L2N]],Transactions[[#This Row],[L1N]],IF(Transactions[[#This Row],[Level 4]]=Transactions[[#This Row],[L3N]],Transactions[[#This Row],[L2N]],IF(Transactions[[#This Row],[Level 4]]=Transactions[[#This Row],[L4N]],Transactions[[#This Row],[L3N]],IF(Transactions[[#This Row],[Level 4]]=Transactions[[#This Row],[L5N]],Transactions[[#This Row],[L4N]],IF(Transactions[[#This Row],[Level 4]]=Transactions[[#This Row],[L6N]],Transactions[[#This Row],[L5N]],IF(Transactions[[#This Row],[Level 4]]=Transactions[[#This Row],[L7N]],Transactions[[#This Row],[L6N]],Transactions[[#This Row],[L7N]]))))))))</f>
        <v>Electricity plants - Solar PV</v>
      </c>
      <c r="AX407" s="26" t="str">
        <f>IF(Transactions[[#This Row],[Level 5]]=Transactions[[#This Row],[Transaction name]],Transactions[[#This Row],[Transaction name]],IF(Transactions[[#This Row],[Level 5]]=Transactions[[#This Row],[L1N]],Transactions[[#This Row],[Transaction name]],IF(Transactions[[#This Row],[Level 5]]=Transactions[[#This Row],[L2N]],Transactions[[#This Row],[L1N]],IF(Transactions[[#This Row],[Level 5]]=Transactions[[#This Row],[L3N]],Transactions[[#This Row],[L2N]],IF(Transactions[[#This Row],[Level 5]]=Transactions[[#This Row],[L4N]],Transactions[[#This Row],[L3N]],IF(Transactions[[#This Row],[Level 5]]=Transactions[[#This Row],[L5N]],Transactions[[#This Row],[L4N]],IF(Transactions[[#This Row],[Level 5]]=Transactions[[#This Row],[L6N]],Transactions[[#This Row],[L5N]],IF(Transactions[[#This Row],[Level 5]]=Transactions[[#This Row],[L7N]],Transactions[[#This Row],[L6N]],Transactions[[#This Row],[L7N]]))))))))</f>
        <v>Electricity plants - Solar PV</v>
      </c>
      <c r="AY407" s="26" t="str">
        <f>IF(Transactions[[#This Row],[Level 6]]=Transactions[[#This Row],[Transaction name]],Transactions[[#This Row],[Transaction name]],IF(Transactions[[#This Row],[Level 6]]=Transactions[[#This Row],[L1N]],Transactions[[#This Row],[Transaction name]],IF(Transactions[[#This Row],[Level 6]]=Transactions[[#This Row],[L2N]],Transactions[[#This Row],[L1N]],IF(Transactions[[#This Row],[Level 6]]=Transactions[[#This Row],[L3N]],Transactions[[#This Row],[L2N]],IF(Transactions[[#This Row],[Level 6]]=Transactions[[#This Row],[L4N]],Transactions[[#This Row],[L3N]],IF(Transactions[[#This Row],[Level 6]]=Transactions[[#This Row],[L5N]],Transactions[[#This Row],[L4N]],IF(Transactions[[#This Row],[Level 6]]=Transactions[[#This Row],[L6N]],Transactions[[#This Row],[L5N]],IF(Transactions[[#This Row],[Level 6]]=Transactions[[#This Row],[L7N]],Transactions[[#This Row],[L6N]],Transactions[[#This Row],[L7N]]))))))))</f>
        <v>Electricity plants - Solar PV</v>
      </c>
      <c r="BE407" s="26" t="str">
        <f>_xlfn.XLOOKUP(Transformation[[#This Row],[cfrom]],Commodities[Commodity],Commodities[Commodity code])</f>
        <v>4692</v>
      </c>
      <c r="BF407" s="26" t="str">
        <f>_xlfn.XLOOKUP(Transformation[[#This Row],[tfrom]],Transactions[Transaction name],Transactions[Transaction code])</f>
        <v>022</v>
      </c>
      <c r="BG407" s="26" t="str">
        <f>_xlfn.XLOOKUP(Transformation[[#This Row],[cto]],Commodities[Commodity],Commodities[Commodity code])</f>
        <v>4692</v>
      </c>
      <c r="BH407" s="26" t="str">
        <f>_xlfn.XLOOKUP(Transformation[[#This Row],[tto]],Transactions[Transaction name],Transactions[Transaction code])</f>
        <v>022</v>
      </c>
      <c r="BI407" s="32">
        <v>-1</v>
      </c>
      <c r="BJ407" s="22" t="s">
        <v>360</v>
      </c>
      <c r="BK407" s="26" t="str">
        <f>_xlfn.XLOOKUP(Transformation[[#This Row],[Commodity from]],Commodities[Commodity code],Commodities[EnergyCode])</f>
        <v>LU</v>
      </c>
      <c r="BL407" s="22" t="s">
        <v>205</v>
      </c>
      <c r="BM407" s="22" t="s">
        <v>360</v>
      </c>
      <c r="BN407" s="26" t="str">
        <f>_xlfn.XLOOKUP(Transformation[[#This Row],[Commodity to]],Commodities[Commodity code],Commodities[EnergyCode])</f>
        <v>LU</v>
      </c>
      <c r="BO407" s="22" t="s">
        <v>205</v>
      </c>
      <c r="BP407" s="22" t="s">
        <v>1639</v>
      </c>
      <c r="BQ407" s="33" t="str">
        <f>Transformation[[#This Row],[Commodity from]]&amp;Transformation[[#This Row],[Transaction from]]&amp;Transformation[[#This Row],[Commodity to]]&amp;Transformation[[#This Row],[Transaction to]]</f>
        <v>46920224692022</v>
      </c>
      <c r="BR407" s="26" t="str">
        <f>Transformation[[#This Row],[crfomid]]&amp;Transformation[[#This Row],[Transaction from]]&amp;"("&amp;Transformation[[#This Row],[Multiplier]]&amp;") -&gt; "&amp;Transformation[[#This Row],[ctoid]]&amp;Transformation[[#This Row],[Transaction to]]</f>
        <v>LU022(-1) -&gt; LU022</v>
      </c>
    </row>
    <row r="408" spans="25:70" x14ac:dyDescent="0.45">
      <c r="Y408" s="5" t="s">
        <v>1275</v>
      </c>
      <c r="Z408" s="7" t="s">
        <v>1214</v>
      </c>
      <c r="AA408" s="4" t="s">
        <v>1396</v>
      </c>
      <c r="AB408" s="19" t="s">
        <v>1586</v>
      </c>
      <c r="AC408" s="24" t="str">
        <f>IFERROR(VLOOKUP(Transactions[[#This Row],[Parent code]],Transactions[[Transaction code]:[Transaction name]],2,0),"")</f>
        <v>Electricity plants - solid coal products</v>
      </c>
      <c r="AD408" s="4" t="s">
        <v>189</v>
      </c>
      <c r="AE408" s="4" t="s">
        <v>923</v>
      </c>
      <c r="AF408" s="4" t="s">
        <v>642</v>
      </c>
      <c r="AG408" s="4" t="s">
        <v>1</v>
      </c>
      <c r="AH408" s="4" t="s">
        <v>696</v>
      </c>
      <c r="AI408" s="12" t="s">
        <v>1416</v>
      </c>
      <c r="AK408" s="24" t="str" cm="1">
        <f t="array" ref="AK408">IFERROR(INDEX(Transactions[[Transaction code]:[Transaction name]],_xlfn.XMATCH(Transactions[[#This Row],[Parent code]],Transactions[Transaction name],0),3),Transactions[[#This Row],[Transaction name]])</f>
        <v>Electricity plants - Autoproducer - solid coal products</v>
      </c>
      <c r="AL408" s="24" t="str" cm="1">
        <f t="array" ref="AL408">IFERROR(INDEX(Transactions[[Transaction code]:[Transaction name]],_xlfn.XMATCH(INDEX(Transactions[[Transaction name]:[Parent code]],_xlfn.XMATCH(Transactions[[#This Row],[L1N]],Transactions[Transaction name],0),3),Transactions[Transaction code],0),2),Transactions[[#This Row],[L1N]])</f>
        <v>Electricity plants - solid coal products</v>
      </c>
      <c r="AM408" s="24" t="str" cm="1">
        <f t="array" ref="AM408">IFERROR(INDEX(Transactions[[Transaction code]:[Transaction name]],_xlfn.XMATCH(INDEX(Transactions[[Transaction name]:[Parent code]],_xlfn.XMATCH(Transactions[[#This Row],[L2N]],Transactions[Transaction name],0),3),Transactions[Transaction code],0),2),Transactions[[#This Row],[L2N]])</f>
        <v>Electricity plants</v>
      </c>
      <c r="AN408" s="24" t="str" cm="1">
        <f t="array" ref="AN408">IFERROR(INDEX(Transactions[[Transaction code]:[Transaction name]],_xlfn.XMATCH(INDEX(Transactions[[Transaction name]:[Parent code]],_xlfn.XMATCH(Transactions[[#This Row],[L3N]],Transactions[Transaction name],0),3),Transactions[Transaction code],0),2),Transactions[[#This Row],[L3N]])</f>
        <v>Electricity, CHP and heat plants (T)</v>
      </c>
      <c r="AO408" s="24" t="str" cm="1">
        <f t="array" ref="AO408">IFERROR(INDEX(Transactions[[Transaction code]:[Transaction name]],_xlfn.XMATCH(INDEX(Transactions[[Transaction name]:[Parent code]],_xlfn.XMATCH(Transactions[[#This Row],[L4N]],Transactions[Transaction name],0),3),Transactions[Transaction code],0),2),Transactions[[#This Row],[L4N]])</f>
        <v>Transformation</v>
      </c>
      <c r="AP408" s="24" t="str" cm="1">
        <f t="array" ref="AP408">IFERROR(INDEX(Transactions[[Transaction code]:[Transaction name]],_xlfn.XMATCH(INDEX(Transactions[[Transaction name]:[Parent code]],_xlfn.XMATCH(Transactions[[#This Row],[L5N]],Transactions[Transaction name],0),3),Transactions[Transaction code],0),2),Transactions[[#This Row],[L5N]])</f>
        <v>Transformation</v>
      </c>
      <c r="AQ408" s="24" t="str" cm="1">
        <f t="array" ref="AQ408">IFERROR(INDEX(Transactions[[Transaction code]:[Transaction name]],_xlfn.XMATCH(INDEX(Transactions[[Transaction name]:[Parent code]],_xlfn.XMATCH(Transactions[[#This Row],[L6N]],Transactions[Transaction name],0),3),Transactions[Transaction code],0),2),Transactions[[#This Row],[L6N]])</f>
        <v>Transformation</v>
      </c>
      <c r="AR408" s="28" t="str">
        <f>IF(Transactions[[#This Row],[L7N]]=Transactions[[#This Row],[L6N]],Transactions[[#This Row],[L7N]],IF(Transactions[[#This Row],[L6N]]=Transactions[[#This Row],[L5N]],Transactions[[#This Row],[L6N]],IF(Transactions[[#This Row],[L5N]]=Transactions[[#This Row],[L4N]],Transactions[[#This Row],[L5N]],IF(Transactions[[#This Row],[L4N]]=Transactions[[#This Row],[L3N]],Transactions[[#This Row],[L4N]],IF(Transactions[[#This Row],[L3N]]=Transactions[[#This Row],[L2N]],Transactions[[#This Row],[L3N]],IF(Transactions[[#This Row],[L2N]]=Transactions[[#This Row],[L1N]],Transactions[[#This Row],[L2N]],IF(Transactions[[#This Row],[L1N]]=Transactions[[#This Row],[Transaction name]],Transactions[[#This Row],[L1N]],Transactions[[#This Row],[Transaction name]])))))))</f>
        <v>Transformation</v>
      </c>
      <c r="AS408" s="24" t="str">
        <f>IF(Transactions[[#This Row],[Level 0]]=Transactions[[#This Row],[Transaction name]],Transactions[[#This Row],[Transaction name]],IF(Transactions[[#This Row],[Level 0]]=Transactions[[#This Row],[L1N]],Transactions[[#This Row],[Transaction name]],IF(Transactions[[#This Row],[Level 0]]=Transactions[[#This Row],[L2N]],Transactions[[#This Row],[L1N]],IF(Transactions[[#This Row],[Level 0]]=Transactions[[#This Row],[L3N]],Transactions[[#This Row],[L2N]],IF(Transactions[[#This Row],[Level 0]]=Transactions[[#This Row],[L4N]],Transactions[[#This Row],[L3N]],IF(Transactions[[#This Row],[Level 0]]=Transactions[[#This Row],[L5N]],Transactions[[#This Row],[L4N]],IF(Transactions[[#This Row],[Level 0]]=Transactions[[#This Row],[L6N]],Transactions[[#This Row],[L5N]],IF(Transactions[[#This Row],[Level 0]]=Transactions[[#This Row],[L7N]],Transactions[[#This Row],[L6N]],Transactions[[#This Row],[L7N]]))))))))</f>
        <v>Electricity, CHP and heat plants (T)</v>
      </c>
      <c r="AT408" s="24" t="str">
        <f>IF(Transactions[[#This Row],[Level 1]]=Transactions[[#This Row],[Transaction name]],Transactions[[#This Row],[Transaction name]],IF(Transactions[[#This Row],[Level 1]]=Transactions[[#This Row],[L1N]],Transactions[[#This Row],[Transaction name]],IF(Transactions[[#This Row],[Level 1]]=Transactions[[#This Row],[L2N]],Transactions[[#This Row],[L1N]],IF(Transactions[[#This Row],[Level 1]]=Transactions[[#This Row],[L3N]],Transactions[[#This Row],[L2N]],IF(Transactions[[#This Row],[Level 1]]=Transactions[[#This Row],[L4N]],Transactions[[#This Row],[L3N]],IF(Transactions[[#This Row],[Level 1]]=Transactions[[#This Row],[L5N]],Transactions[[#This Row],[L4N]],IF(Transactions[[#This Row],[Level 1]]=Transactions[[#This Row],[L6N]],Transactions[[#This Row],[L5N]],IF(Transactions[[#This Row],[Level 1]]=Transactions[[#This Row],[L7N]],Transactions[[#This Row],[L6N]],Transactions[[#This Row],[L7N]]))))))))</f>
        <v>Electricity plants</v>
      </c>
      <c r="AU408" s="24" t="str">
        <f>IF(Transactions[[#This Row],[Level 2]]=Transactions[[#This Row],[Transaction name]],Transactions[[#This Row],[Transaction name]],IF(Transactions[[#This Row],[Level 2]]=Transactions[[#This Row],[L1N]],Transactions[[#This Row],[Transaction name]],IF(Transactions[[#This Row],[Level 2]]=Transactions[[#This Row],[L2N]],Transactions[[#This Row],[L1N]],IF(Transactions[[#This Row],[Level 2]]=Transactions[[#This Row],[L3N]],Transactions[[#This Row],[L2N]],IF(Transactions[[#This Row],[Level 2]]=Transactions[[#This Row],[L4N]],Transactions[[#This Row],[L3N]],IF(Transactions[[#This Row],[Level 2]]=Transactions[[#This Row],[L5N]],Transactions[[#This Row],[L4N]],IF(Transactions[[#This Row],[Level 2]]=Transactions[[#This Row],[L6N]],Transactions[[#This Row],[L5N]],IF(Transactions[[#This Row],[Level 2]]=Transactions[[#This Row],[L7N]],Transactions[[#This Row],[L6N]],Transactions[[#This Row],[L7N]]))))))))</f>
        <v>Electricity plants - solid coal products</v>
      </c>
      <c r="AV408" s="24" t="str">
        <f>IF(Transactions[[#This Row],[Level 3]]=Transactions[[#This Row],[Transaction name]],Transactions[[#This Row],[Transaction name]],IF(Transactions[[#This Row],[Level 3]]=Transactions[[#This Row],[L1N]],Transactions[[#This Row],[Transaction name]],IF(Transactions[[#This Row],[Level 3]]=Transactions[[#This Row],[L2N]],Transactions[[#This Row],[L1N]],IF(Transactions[[#This Row],[Level 3]]=Transactions[[#This Row],[L3N]],Transactions[[#This Row],[L2N]],IF(Transactions[[#This Row],[Level 3]]=Transactions[[#This Row],[L4N]],Transactions[[#This Row],[L3N]],IF(Transactions[[#This Row],[Level 3]]=Transactions[[#This Row],[L5N]],Transactions[[#This Row],[L4N]],IF(Transactions[[#This Row],[Level 3]]=Transactions[[#This Row],[L6N]],Transactions[[#This Row],[L5N]],IF(Transactions[[#This Row],[Level 3]]=Transactions[[#This Row],[L7N]],Transactions[[#This Row],[L6N]],Transactions[[#This Row],[L7N]]))))))))</f>
        <v>Electricity plants - Autoproducer - solid coal products</v>
      </c>
      <c r="AW408" s="24" t="str">
        <f>IF(Transactions[[#This Row],[Level 4]]=Transactions[[#This Row],[Transaction name]],Transactions[[#This Row],[Transaction name]],IF(Transactions[[#This Row],[Level 4]]=Transactions[[#This Row],[L1N]],Transactions[[#This Row],[Transaction name]],IF(Transactions[[#This Row],[Level 4]]=Transactions[[#This Row],[L2N]],Transactions[[#This Row],[L1N]],IF(Transactions[[#This Row],[Level 4]]=Transactions[[#This Row],[L3N]],Transactions[[#This Row],[L2N]],IF(Transactions[[#This Row],[Level 4]]=Transactions[[#This Row],[L4N]],Transactions[[#This Row],[L3N]],IF(Transactions[[#This Row],[Level 4]]=Transactions[[#This Row],[L5N]],Transactions[[#This Row],[L4N]],IF(Transactions[[#This Row],[Level 4]]=Transactions[[#This Row],[L6N]],Transactions[[#This Row],[L5N]],IF(Transactions[[#This Row],[Level 4]]=Transactions[[#This Row],[L7N]],Transactions[[#This Row],[L6N]],Transactions[[#This Row],[L7N]]))))))))</f>
        <v>Electricity plants - Autoproducer - solid coal products</v>
      </c>
      <c r="AX408" s="24" t="str">
        <f>IF(Transactions[[#This Row],[Level 5]]=Transactions[[#This Row],[Transaction name]],Transactions[[#This Row],[Transaction name]],IF(Transactions[[#This Row],[Level 5]]=Transactions[[#This Row],[L1N]],Transactions[[#This Row],[Transaction name]],IF(Transactions[[#This Row],[Level 5]]=Transactions[[#This Row],[L2N]],Transactions[[#This Row],[L1N]],IF(Transactions[[#This Row],[Level 5]]=Transactions[[#This Row],[L3N]],Transactions[[#This Row],[L2N]],IF(Transactions[[#This Row],[Level 5]]=Transactions[[#This Row],[L4N]],Transactions[[#This Row],[L3N]],IF(Transactions[[#This Row],[Level 5]]=Transactions[[#This Row],[L5N]],Transactions[[#This Row],[L4N]],IF(Transactions[[#This Row],[Level 5]]=Transactions[[#This Row],[L6N]],Transactions[[#This Row],[L5N]],IF(Transactions[[#This Row],[Level 5]]=Transactions[[#This Row],[L7N]],Transactions[[#This Row],[L6N]],Transactions[[#This Row],[L7N]]))))))))</f>
        <v>Electricity plants - Autoproducer - solid coal products</v>
      </c>
      <c r="AY408" s="24" t="str">
        <f>IF(Transactions[[#This Row],[Level 6]]=Transactions[[#This Row],[Transaction name]],Transactions[[#This Row],[Transaction name]],IF(Transactions[[#This Row],[Level 6]]=Transactions[[#This Row],[L1N]],Transactions[[#This Row],[Transaction name]],IF(Transactions[[#This Row],[Level 6]]=Transactions[[#This Row],[L2N]],Transactions[[#This Row],[L1N]],IF(Transactions[[#This Row],[Level 6]]=Transactions[[#This Row],[L3N]],Transactions[[#This Row],[L2N]],IF(Transactions[[#This Row],[Level 6]]=Transactions[[#This Row],[L4N]],Transactions[[#This Row],[L3N]],IF(Transactions[[#This Row],[Level 6]]=Transactions[[#This Row],[L5N]],Transactions[[#This Row],[L4N]],IF(Transactions[[#This Row],[Level 6]]=Transactions[[#This Row],[L6N]],Transactions[[#This Row],[L5N]],IF(Transactions[[#This Row],[Level 6]]=Transactions[[#This Row],[L7N]],Transactions[[#This Row],[L6N]],Transactions[[#This Row],[L7N]]))))))))</f>
        <v>Electricity plants - Autoproducer - solid coal products</v>
      </c>
      <c r="BE408" s="26" t="str">
        <f>_xlfn.XLOOKUP(Transformation[[#This Row],[cfrom]],Commodities[Commodity],Commodities[Commodity code])</f>
        <v>4692</v>
      </c>
      <c r="BF408" s="26" t="str">
        <f>_xlfn.XLOOKUP(Transformation[[#This Row],[tfrom]],Transactions[Transaction name],Transactions[Transaction code])</f>
        <v>022</v>
      </c>
      <c r="BG408" s="26" t="str">
        <f>_xlfn.XLOOKUP(Transformation[[#This Row],[cto]],Commodities[Commodity],Commodities[Commodity code])</f>
        <v>4692</v>
      </c>
      <c r="BH408" s="26" t="str">
        <f>_xlfn.XLOOKUP(Transformation[[#This Row],[tto]],Transactions[Transaction name],Transactions[Transaction code])</f>
        <v>013</v>
      </c>
      <c r="BI408" s="31">
        <v>1</v>
      </c>
      <c r="BJ408" s="22" t="s">
        <v>360</v>
      </c>
      <c r="BK408" s="26" t="str">
        <f>_xlfn.XLOOKUP(Transformation[[#This Row],[Commodity from]],Commodities[Commodity code],Commodities[EnergyCode])</f>
        <v>LU</v>
      </c>
      <c r="BL408" s="22" t="s">
        <v>205</v>
      </c>
      <c r="BM408" s="22" t="s">
        <v>360</v>
      </c>
      <c r="BN408" s="26" t="str">
        <f>_xlfn.XLOOKUP(Transformation[[#This Row],[Commodity to]],Commodities[Commodity code],Commodities[EnergyCode])</f>
        <v>LU</v>
      </c>
      <c r="BO408" s="22" t="s">
        <v>374</v>
      </c>
      <c r="BP408" s="22" t="s">
        <v>1694</v>
      </c>
      <c r="BQ408" s="33" t="str">
        <f>Transformation[[#This Row],[Commodity from]]&amp;Transformation[[#This Row],[Transaction from]]&amp;Transformation[[#This Row],[Commodity to]]&amp;Transformation[[#This Row],[Transaction to]]</f>
        <v>46920224692013</v>
      </c>
      <c r="BR408" s="26" t="str">
        <f>Transformation[[#This Row],[crfomid]]&amp;Transformation[[#This Row],[Transaction from]]&amp;"("&amp;Transformation[[#This Row],[Multiplier]]&amp;") -&gt; "&amp;Transformation[[#This Row],[ctoid]]&amp;Transformation[[#This Row],[Transaction to]]</f>
        <v>LU022(1) -&gt; LU013</v>
      </c>
    </row>
    <row r="409" spans="25:70" x14ac:dyDescent="0.45">
      <c r="Y409" s="5" t="s">
        <v>1271</v>
      </c>
      <c r="Z409" s="7" t="s">
        <v>1210</v>
      </c>
      <c r="AA409" s="4" t="s">
        <v>1396</v>
      </c>
      <c r="AB409" s="19" t="s">
        <v>1586</v>
      </c>
      <c r="AC409" s="24" t="str">
        <f>IFERROR(VLOOKUP(Transactions[[#This Row],[Parent code]],Transactions[[Transaction code]:[Transaction name]],2,0),"")</f>
        <v>Electricity plants - solid coal products</v>
      </c>
      <c r="AD409" s="4" t="s">
        <v>189</v>
      </c>
      <c r="AE409" s="4" t="s">
        <v>923</v>
      </c>
      <c r="AF409" s="4" t="s">
        <v>642</v>
      </c>
      <c r="AG409" s="4" t="s">
        <v>1</v>
      </c>
      <c r="AH409" s="4" t="s">
        <v>696</v>
      </c>
      <c r="AI409" s="12" t="s">
        <v>1416</v>
      </c>
      <c r="AK409" s="24" t="str" cm="1">
        <f t="array" ref="AK409">IFERROR(INDEX(Transactions[[Transaction code]:[Transaction name]],_xlfn.XMATCH(Transactions[[#This Row],[Parent code]],Transactions[Transaction name],0),3),Transactions[[#This Row],[Transaction name]])</f>
        <v>Electricity plants - Main activity - solid coal products</v>
      </c>
      <c r="AL409" s="24" t="str" cm="1">
        <f t="array" ref="AL409">IFERROR(INDEX(Transactions[[Transaction code]:[Transaction name]],_xlfn.XMATCH(INDEX(Transactions[[Transaction name]:[Parent code]],_xlfn.XMATCH(Transactions[[#This Row],[L1N]],Transactions[Transaction name],0),3),Transactions[Transaction code],0),2),Transactions[[#This Row],[L1N]])</f>
        <v>Electricity plants - solid coal products</v>
      </c>
      <c r="AM409" s="24" t="str" cm="1">
        <f t="array" ref="AM409">IFERROR(INDEX(Transactions[[Transaction code]:[Transaction name]],_xlfn.XMATCH(INDEX(Transactions[[Transaction name]:[Parent code]],_xlfn.XMATCH(Transactions[[#This Row],[L2N]],Transactions[Transaction name],0),3),Transactions[Transaction code],0),2),Transactions[[#This Row],[L2N]])</f>
        <v>Electricity plants</v>
      </c>
      <c r="AN409" s="24" t="str" cm="1">
        <f t="array" ref="AN409">IFERROR(INDEX(Transactions[[Transaction code]:[Transaction name]],_xlfn.XMATCH(INDEX(Transactions[[Transaction name]:[Parent code]],_xlfn.XMATCH(Transactions[[#This Row],[L3N]],Transactions[Transaction name],0),3),Transactions[Transaction code],0),2),Transactions[[#This Row],[L3N]])</f>
        <v>Electricity, CHP and heat plants (T)</v>
      </c>
      <c r="AO409" s="24" t="str" cm="1">
        <f t="array" ref="AO409">IFERROR(INDEX(Transactions[[Transaction code]:[Transaction name]],_xlfn.XMATCH(INDEX(Transactions[[Transaction name]:[Parent code]],_xlfn.XMATCH(Transactions[[#This Row],[L4N]],Transactions[Transaction name],0),3),Transactions[Transaction code],0),2),Transactions[[#This Row],[L4N]])</f>
        <v>Transformation</v>
      </c>
      <c r="AP409" s="24" t="str" cm="1">
        <f t="array" ref="AP409">IFERROR(INDEX(Transactions[[Transaction code]:[Transaction name]],_xlfn.XMATCH(INDEX(Transactions[[Transaction name]:[Parent code]],_xlfn.XMATCH(Transactions[[#This Row],[L5N]],Transactions[Transaction name],0),3),Transactions[Transaction code],0),2),Transactions[[#This Row],[L5N]])</f>
        <v>Transformation</v>
      </c>
      <c r="AQ409" s="24" t="str" cm="1">
        <f t="array" ref="AQ409">IFERROR(INDEX(Transactions[[Transaction code]:[Transaction name]],_xlfn.XMATCH(INDEX(Transactions[[Transaction name]:[Parent code]],_xlfn.XMATCH(Transactions[[#This Row],[L6N]],Transactions[Transaction name],0),3),Transactions[Transaction code],0),2),Transactions[[#This Row],[L6N]])</f>
        <v>Transformation</v>
      </c>
      <c r="AR409" s="28" t="str">
        <f>IF(Transactions[[#This Row],[L7N]]=Transactions[[#This Row],[L6N]],Transactions[[#This Row],[L7N]],IF(Transactions[[#This Row],[L6N]]=Transactions[[#This Row],[L5N]],Transactions[[#This Row],[L6N]],IF(Transactions[[#This Row],[L5N]]=Transactions[[#This Row],[L4N]],Transactions[[#This Row],[L5N]],IF(Transactions[[#This Row],[L4N]]=Transactions[[#This Row],[L3N]],Transactions[[#This Row],[L4N]],IF(Transactions[[#This Row],[L3N]]=Transactions[[#This Row],[L2N]],Transactions[[#This Row],[L3N]],IF(Transactions[[#This Row],[L2N]]=Transactions[[#This Row],[L1N]],Transactions[[#This Row],[L2N]],IF(Transactions[[#This Row],[L1N]]=Transactions[[#This Row],[Transaction name]],Transactions[[#This Row],[L1N]],Transactions[[#This Row],[Transaction name]])))))))</f>
        <v>Transformation</v>
      </c>
      <c r="AS409" s="24" t="str">
        <f>IF(Transactions[[#This Row],[Level 0]]=Transactions[[#This Row],[Transaction name]],Transactions[[#This Row],[Transaction name]],IF(Transactions[[#This Row],[Level 0]]=Transactions[[#This Row],[L1N]],Transactions[[#This Row],[Transaction name]],IF(Transactions[[#This Row],[Level 0]]=Transactions[[#This Row],[L2N]],Transactions[[#This Row],[L1N]],IF(Transactions[[#This Row],[Level 0]]=Transactions[[#This Row],[L3N]],Transactions[[#This Row],[L2N]],IF(Transactions[[#This Row],[Level 0]]=Transactions[[#This Row],[L4N]],Transactions[[#This Row],[L3N]],IF(Transactions[[#This Row],[Level 0]]=Transactions[[#This Row],[L5N]],Transactions[[#This Row],[L4N]],IF(Transactions[[#This Row],[Level 0]]=Transactions[[#This Row],[L6N]],Transactions[[#This Row],[L5N]],IF(Transactions[[#This Row],[Level 0]]=Transactions[[#This Row],[L7N]],Transactions[[#This Row],[L6N]],Transactions[[#This Row],[L7N]]))))))))</f>
        <v>Electricity, CHP and heat plants (T)</v>
      </c>
      <c r="AT409" s="24" t="str">
        <f>IF(Transactions[[#This Row],[Level 1]]=Transactions[[#This Row],[Transaction name]],Transactions[[#This Row],[Transaction name]],IF(Transactions[[#This Row],[Level 1]]=Transactions[[#This Row],[L1N]],Transactions[[#This Row],[Transaction name]],IF(Transactions[[#This Row],[Level 1]]=Transactions[[#This Row],[L2N]],Transactions[[#This Row],[L1N]],IF(Transactions[[#This Row],[Level 1]]=Transactions[[#This Row],[L3N]],Transactions[[#This Row],[L2N]],IF(Transactions[[#This Row],[Level 1]]=Transactions[[#This Row],[L4N]],Transactions[[#This Row],[L3N]],IF(Transactions[[#This Row],[Level 1]]=Transactions[[#This Row],[L5N]],Transactions[[#This Row],[L4N]],IF(Transactions[[#This Row],[Level 1]]=Transactions[[#This Row],[L6N]],Transactions[[#This Row],[L5N]],IF(Transactions[[#This Row],[Level 1]]=Transactions[[#This Row],[L7N]],Transactions[[#This Row],[L6N]],Transactions[[#This Row],[L7N]]))))))))</f>
        <v>Electricity plants</v>
      </c>
      <c r="AU409" s="24" t="str">
        <f>IF(Transactions[[#This Row],[Level 2]]=Transactions[[#This Row],[Transaction name]],Transactions[[#This Row],[Transaction name]],IF(Transactions[[#This Row],[Level 2]]=Transactions[[#This Row],[L1N]],Transactions[[#This Row],[Transaction name]],IF(Transactions[[#This Row],[Level 2]]=Transactions[[#This Row],[L2N]],Transactions[[#This Row],[L1N]],IF(Transactions[[#This Row],[Level 2]]=Transactions[[#This Row],[L3N]],Transactions[[#This Row],[L2N]],IF(Transactions[[#This Row],[Level 2]]=Transactions[[#This Row],[L4N]],Transactions[[#This Row],[L3N]],IF(Transactions[[#This Row],[Level 2]]=Transactions[[#This Row],[L5N]],Transactions[[#This Row],[L4N]],IF(Transactions[[#This Row],[Level 2]]=Transactions[[#This Row],[L6N]],Transactions[[#This Row],[L5N]],IF(Transactions[[#This Row],[Level 2]]=Transactions[[#This Row],[L7N]],Transactions[[#This Row],[L6N]],Transactions[[#This Row],[L7N]]))))))))</f>
        <v>Electricity plants - solid coal products</v>
      </c>
      <c r="AV409" s="24" t="str">
        <f>IF(Transactions[[#This Row],[Level 3]]=Transactions[[#This Row],[Transaction name]],Transactions[[#This Row],[Transaction name]],IF(Transactions[[#This Row],[Level 3]]=Transactions[[#This Row],[L1N]],Transactions[[#This Row],[Transaction name]],IF(Transactions[[#This Row],[Level 3]]=Transactions[[#This Row],[L2N]],Transactions[[#This Row],[L1N]],IF(Transactions[[#This Row],[Level 3]]=Transactions[[#This Row],[L3N]],Transactions[[#This Row],[L2N]],IF(Transactions[[#This Row],[Level 3]]=Transactions[[#This Row],[L4N]],Transactions[[#This Row],[L3N]],IF(Transactions[[#This Row],[Level 3]]=Transactions[[#This Row],[L5N]],Transactions[[#This Row],[L4N]],IF(Transactions[[#This Row],[Level 3]]=Transactions[[#This Row],[L6N]],Transactions[[#This Row],[L5N]],IF(Transactions[[#This Row],[Level 3]]=Transactions[[#This Row],[L7N]],Transactions[[#This Row],[L6N]],Transactions[[#This Row],[L7N]]))))))))</f>
        <v>Electricity plants - Main activity - solid coal products</v>
      </c>
      <c r="AW409" s="24" t="str">
        <f>IF(Transactions[[#This Row],[Level 4]]=Transactions[[#This Row],[Transaction name]],Transactions[[#This Row],[Transaction name]],IF(Transactions[[#This Row],[Level 4]]=Transactions[[#This Row],[L1N]],Transactions[[#This Row],[Transaction name]],IF(Transactions[[#This Row],[Level 4]]=Transactions[[#This Row],[L2N]],Transactions[[#This Row],[L1N]],IF(Transactions[[#This Row],[Level 4]]=Transactions[[#This Row],[L3N]],Transactions[[#This Row],[L2N]],IF(Transactions[[#This Row],[Level 4]]=Transactions[[#This Row],[L4N]],Transactions[[#This Row],[L3N]],IF(Transactions[[#This Row],[Level 4]]=Transactions[[#This Row],[L5N]],Transactions[[#This Row],[L4N]],IF(Transactions[[#This Row],[Level 4]]=Transactions[[#This Row],[L6N]],Transactions[[#This Row],[L5N]],IF(Transactions[[#This Row],[Level 4]]=Transactions[[#This Row],[L7N]],Transactions[[#This Row],[L6N]],Transactions[[#This Row],[L7N]]))))))))</f>
        <v>Electricity plants - Main activity - solid coal products</v>
      </c>
      <c r="AX409" s="24" t="str">
        <f>IF(Transactions[[#This Row],[Level 5]]=Transactions[[#This Row],[Transaction name]],Transactions[[#This Row],[Transaction name]],IF(Transactions[[#This Row],[Level 5]]=Transactions[[#This Row],[L1N]],Transactions[[#This Row],[Transaction name]],IF(Transactions[[#This Row],[Level 5]]=Transactions[[#This Row],[L2N]],Transactions[[#This Row],[L1N]],IF(Transactions[[#This Row],[Level 5]]=Transactions[[#This Row],[L3N]],Transactions[[#This Row],[L2N]],IF(Transactions[[#This Row],[Level 5]]=Transactions[[#This Row],[L4N]],Transactions[[#This Row],[L3N]],IF(Transactions[[#This Row],[Level 5]]=Transactions[[#This Row],[L5N]],Transactions[[#This Row],[L4N]],IF(Transactions[[#This Row],[Level 5]]=Transactions[[#This Row],[L6N]],Transactions[[#This Row],[L5N]],IF(Transactions[[#This Row],[Level 5]]=Transactions[[#This Row],[L7N]],Transactions[[#This Row],[L6N]],Transactions[[#This Row],[L7N]]))))))))</f>
        <v>Electricity plants - Main activity - solid coal products</v>
      </c>
      <c r="AY409" s="24" t="str">
        <f>IF(Transactions[[#This Row],[Level 6]]=Transactions[[#This Row],[Transaction name]],Transactions[[#This Row],[Transaction name]],IF(Transactions[[#This Row],[Level 6]]=Transactions[[#This Row],[L1N]],Transactions[[#This Row],[Transaction name]],IF(Transactions[[#This Row],[Level 6]]=Transactions[[#This Row],[L2N]],Transactions[[#This Row],[L1N]],IF(Transactions[[#This Row],[Level 6]]=Transactions[[#This Row],[L3N]],Transactions[[#This Row],[L2N]],IF(Transactions[[#This Row],[Level 6]]=Transactions[[#This Row],[L4N]],Transactions[[#This Row],[L3N]],IF(Transactions[[#This Row],[Level 6]]=Transactions[[#This Row],[L5N]],Transactions[[#This Row],[L4N]],IF(Transactions[[#This Row],[Level 6]]=Transactions[[#This Row],[L6N]],Transactions[[#This Row],[L5N]],IF(Transactions[[#This Row],[Level 6]]=Transactions[[#This Row],[L7N]],Transactions[[#This Row],[L6N]],Transactions[[#This Row],[L7N]]))))))))</f>
        <v>Electricity plants - Main activity - solid coal products</v>
      </c>
      <c r="BE409" s="26" t="str">
        <f>_xlfn.XLOOKUP(Transformation[[#This Row],[cfrom]],Commodities[Commodity],Commodities[Commodity code])</f>
        <v>4652</v>
      </c>
      <c r="BF409" s="26" t="str">
        <f>_xlfn.XLOOKUP(Transformation[[#This Row],[tfrom]],Transactions[Transaction name],Transactions[Transaction code])</f>
        <v>01</v>
      </c>
      <c r="BG409" s="26" t="str">
        <f>_xlfn.XLOOKUP(Transformation[[#This Row],[cto]],Commodities[Commodity],Commodities[Commodity code])</f>
        <v>4652</v>
      </c>
      <c r="BH409" s="26" t="str">
        <f>_xlfn.XLOOKUP(Transformation[[#This Row],[tto]],Transactions[Transaction name],Transactions[Transaction code])</f>
        <v>01</v>
      </c>
      <c r="BI409" s="32">
        <v>-1</v>
      </c>
      <c r="BJ409" s="22" t="s">
        <v>394</v>
      </c>
      <c r="BK409" s="26" t="str">
        <f>_xlfn.XLOOKUP(Transformation[[#This Row],[Commodity from]],Commodities[Commodity code],Commodities[EnergyCode])</f>
        <v>MO</v>
      </c>
      <c r="BL409" s="22" t="s">
        <v>383</v>
      </c>
      <c r="BM409" s="22" t="s">
        <v>394</v>
      </c>
      <c r="BN409" s="26" t="str">
        <f>_xlfn.XLOOKUP(Transformation[[#This Row],[Commodity to]],Commodities[Commodity code],Commodities[EnergyCode])</f>
        <v>MO</v>
      </c>
      <c r="BO409" s="22" t="s">
        <v>383</v>
      </c>
      <c r="BP409" s="22" t="s">
        <v>1633</v>
      </c>
      <c r="BQ409" s="33" t="str">
        <f>Transformation[[#This Row],[Commodity from]]&amp;Transformation[[#This Row],[Transaction from]]&amp;Transformation[[#This Row],[Commodity to]]&amp;Transformation[[#This Row],[Transaction to]]</f>
        <v>465201465201</v>
      </c>
      <c r="BR409" s="26" t="str">
        <f>Transformation[[#This Row],[crfomid]]&amp;Transformation[[#This Row],[Transaction from]]&amp;"("&amp;Transformation[[#This Row],[Multiplier]]&amp;") -&gt; "&amp;Transformation[[#This Row],[ctoid]]&amp;Transformation[[#This Row],[Transaction to]]</f>
        <v>MO01(-1) -&gt; MO01</v>
      </c>
    </row>
    <row r="410" spans="25:70" x14ac:dyDescent="0.45">
      <c r="Y410" s="19" t="s">
        <v>1586</v>
      </c>
      <c r="Z410" s="18" t="s">
        <v>1396</v>
      </c>
      <c r="AA410" s="18" t="s">
        <v>1396</v>
      </c>
      <c r="AB410" s="19" t="s">
        <v>1600</v>
      </c>
      <c r="AC410" s="26" t="str">
        <f>IFERROR(VLOOKUP(Transactions[[#This Row],[Parent code]],Transactions[[Transaction code]:[Transaction name]],2,0),"")</f>
        <v>Electricity plants</v>
      </c>
      <c r="AD410" s="18" t="s">
        <v>189</v>
      </c>
      <c r="AE410" s="18" t="s">
        <v>923</v>
      </c>
      <c r="AF410" s="18" t="s">
        <v>642</v>
      </c>
      <c r="AG410" s="18" t="s">
        <v>1</v>
      </c>
      <c r="AH410" s="18" t="s">
        <v>696</v>
      </c>
      <c r="AI410" s="18" t="s">
        <v>1416</v>
      </c>
      <c r="AJ410" s="18"/>
      <c r="AK410" s="26" t="str" cm="1">
        <f t="array" ref="AK410">IFERROR(INDEX(Transactions[[Transaction code]:[Transaction name]],_xlfn.XMATCH(Transactions[[#This Row],[Parent code]],Transactions[Transaction name],0),3),Transactions[[#This Row],[Transaction name]])</f>
        <v>Electricity plants - solid coal products</v>
      </c>
      <c r="AL410" s="26" t="str" cm="1">
        <f t="array" ref="AL410">IFERROR(INDEX(Transactions[[Transaction code]:[Transaction name]],_xlfn.XMATCH(INDEX(Transactions[[Transaction name]:[Parent code]],_xlfn.XMATCH(Transactions[[#This Row],[L1N]],Transactions[Transaction name],0),3),Transactions[Transaction code],0),2),Transactions[[#This Row],[L1N]])</f>
        <v>Electricity plants</v>
      </c>
      <c r="AM410" s="26" t="str" cm="1">
        <f t="array" ref="AM410">IFERROR(INDEX(Transactions[[Transaction code]:[Transaction name]],_xlfn.XMATCH(INDEX(Transactions[[Transaction name]:[Parent code]],_xlfn.XMATCH(Transactions[[#This Row],[L2N]],Transactions[Transaction name],0),3),Transactions[Transaction code],0),2),Transactions[[#This Row],[L2N]])</f>
        <v>Electricity, CHP and heat plants (T)</v>
      </c>
      <c r="AN410" s="26" t="str" cm="1">
        <f t="array" ref="AN410">IFERROR(INDEX(Transactions[[Transaction code]:[Transaction name]],_xlfn.XMATCH(INDEX(Transactions[[Transaction name]:[Parent code]],_xlfn.XMATCH(Transactions[[#This Row],[L3N]],Transactions[Transaction name],0),3),Transactions[Transaction code],0),2),Transactions[[#This Row],[L3N]])</f>
        <v>Transformation</v>
      </c>
      <c r="AO410" s="26" t="str" cm="1">
        <f t="array" ref="AO410">IFERROR(INDEX(Transactions[[Transaction code]:[Transaction name]],_xlfn.XMATCH(INDEX(Transactions[[Transaction name]:[Parent code]],_xlfn.XMATCH(Transactions[[#This Row],[L4N]],Transactions[Transaction name],0),3),Transactions[Transaction code],0),2),Transactions[[#This Row],[L4N]])</f>
        <v>Transformation</v>
      </c>
      <c r="AP410" s="26" t="str" cm="1">
        <f t="array" ref="AP410">IFERROR(INDEX(Transactions[[Transaction code]:[Transaction name]],_xlfn.XMATCH(INDEX(Transactions[[Transaction name]:[Parent code]],_xlfn.XMATCH(Transactions[[#This Row],[L5N]],Transactions[Transaction name],0),3),Transactions[Transaction code],0),2),Transactions[[#This Row],[L5N]])</f>
        <v>Transformation</v>
      </c>
      <c r="AQ410" s="26" t="str" cm="1">
        <f t="array" ref="AQ410">IFERROR(INDEX(Transactions[[Transaction code]:[Transaction name]],_xlfn.XMATCH(INDEX(Transactions[[Transaction name]:[Parent code]],_xlfn.XMATCH(Transactions[[#This Row],[L6N]],Transactions[Transaction name],0),3),Transactions[Transaction code],0),2),Transactions[[#This Row],[L6N]])</f>
        <v>Transformation</v>
      </c>
      <c r="AR410" s="30" t="str">
        <f>IF(Transactions[[#This Row],[L7N]]=Transactions[[#This Row],[L6N]],Transactions[[#This Row],[L7N]],IF(Transactions[[#This Row],[L6N]]=Transactions[[#This Row],[L5N]],Transactions[[#This Row],[L6N]],IF(Transactions[[#This Row],[L5N]]=Transactions[[#This Row],[L4N]],Transactions[[#This Row],[L5N]],IF(Transactions[[#This Row],[L4N]]=Transactions[[#This Row],[L3N]],Transactions[[#This Row],[L4N]],IF(Transactions[[#This Row],[L3N]]=Transactions[[#This Row],[L2N]],Transactions[[#This Row],[L3N]],IF(Transactions[[#This Row],[L2N]]=Transactions[[#This Row],[L1N]],Transactions[[#This Row],[L2N]],IF(Transactions[[#This Row],[L1N]]=Transactions[[#This Row],[Transaction name]],Transactions[[#This Row],[L1N]],Transactions[[#This Row],[Transaction name]])))))))</f>
        <v>Transformation</v>
      </c>
      <c r="AS410" s="26" t="str">
        <f>IF(Transactions[[#This Row],[Level 0]]=Transactions[[#This Row],[Transaction name]],Transactions[[#This Row],[Transaction name]],IF(Transactions[[#This Row],[Level 0]]=Transactions[[#This Row],[L1N]],Transactions[[#This Row],[Transaction name]],IF(Transactions[[#This Row],[Level 0]]=Transactions[[#This Row],[L2N]],Transactions[[#This Row],[L1N]],IF(Transactions[[#This Row],[Level 0]]=Transactions[[#This Row],[L3N]],Transactions[[#This Row],[L2N]],IF(Transactions[[#This Row],[Level 0]]=Transactions[[#This Row],[L4N]],Transactions[[#This Row],[L3N]],IF(Transactions[[#This Row],[Level 0]]=Transactions[[#This Row],[L5N]],Transactions[[#This Row],[L4N]],IF(Transactions[[#This Row],[Level 0]]=Transactions[[#This Row],[L6N]],Transactions[[#This Row],[L5N]],IF(Transactions[[#This Row],[Level 0]]=Transactions[[#This Row],[L7N]],Transactions[[#This Row],[L6N]],Transactions[[#This Row],[L7N]]))))))))</f>
        <v>Electricity, CHP and heat plants (T)</v>
      </c>
      <c r="AT410" s="26" t="str">
        <f>IF(Transactions[[#This Row],[Level 1]]=Transactions[[#This Row],[Transaction name]],Transactions[[#This Row],[Transaction name]],IF(Transactions[[#This Row],[Level 1]]=Transactions[[#This Row],[L1N]],Transactions[[#This Row],[Transaction name]],IF(Transactions[[#This Row],[Level 1]]=Transactions[[#This Row],[L2N]],Transactions[[#This Row],[L1N]],IF(Transactions[[#This Row],[Level 1]]=Transactions[[#This Row],[L3N]],Transactions[[#This Row],[L2N]],IF(Transactions[[#This Row],[Level 1]]=Transactions[[#This Row],[L4N]],Transactions[[#This Row],[L3N]],IF(Transactions[[#This Row],[Level 1]]=Transactions[[#This Row],[L5N]],Transactions[[#This Row],[L4N]],IF(Transactions[[#This Row],[Level 1]]=Transactions[[#This Row],[L6N]],Transactions[[#This Row],[L5N]],IF(Transactions[[#This Row],[Level 1]]=Transactions[[#This Row],[L7N]],Transactions[[#This Row],[L6N]],Transactions[[#This Row],[L7N]]))))))))</f>
        <v>Electricity plants</v>
      </c>
      <c r="AU410" s="26" t="str">
        <f>IF(Transactions[[#This Row],[Level 2]]=Transactions[[#This Row],[Transaction name]],Transactions[[#This Row],[Transaction name]],IF(Transactions[[#This Row],[Level 2]]=Transactions[[#This Row],[L1N]],Transactions[[#This Row],[Transaction name]],IF(Transactions[[#This Row],[Level 2]]=Transactions[[#This Row],[L2N]],Transactions[[#This Row],[L1N]],IF(Transactions[[#This Row],[Level 2]]=Transactions[[#This Row],[L3N]],Transactions[[#This Row],[L2N]],IF(Transactions[[#This Row],[Level 2]]=Transactions[[#This Row],[L4N]],Transactions[[#This Row],[L3N]],IF(Transactions[[#This Row],[Level 2]]=Transactions[[#This Row],[L5N]],Transactions[[#This Row],[L4N]],IF(Transactions[[#This Row],[Level 2]]=Transactions[[#This Row],[L6N]],Transactions[[#This Row],[L5N]],IF(Transactions[[#This Row],[Level 2]]=Transactions[[#This Row],[L7N]],Transactions[[#This Row],[L6N]],Transactions[[#This Row],[L7N]]))))))))</f>
        <v>Electricity plants - solid coal products</v>
      </c>
      <c r="AV410" s="26" t="str">
        <f>IF(Transactions[[#This Row],[Level 3]]=Transactions[[#This Row],[Transaction name]],Transactions[[#This Row],[Transaction name]],IF(Transactions[[#This Row],[Level 3]]=Transactions[[#This Row],[L1N]],Transactions[[#This Row],[Transaction name]],IF(Transactions[[#This Row],[Level 3]]=Transactions[[#This Row],[L2N]],Transactions[[#This Row],[L1N]],IF(Transactions[[#This Row],[Level 3]]=Transactions[[#This Row],[L3N]],Transactions[[#This Row],[L2N]],IF(Transactions[[#This Row],[Level 3]]=Transactions[[#This Row],[L4N]],Transactions[[#This Row],[L3N]],IF(Transactions[[#This Row],[Level 3]]=Transactions[[#This Row],[L5N]],Transactions[[#This Row],[L4N]],IF(Transactions[[#This Row],[Level 3]]=Transactions[[#This Row],[L6N]],Transactions[[#This Row],[L5N]],IF(Transactions[[#This Row],[Level 3]]=Transactions[[#This Row],[L7N]],Transactions[[#This Row],[L6N]],Transactions[[#This Row],[L7N]]))))))))</f>
        <v>Electricity plants - solid coal products</v>
      </c>
      <c r="AW410" s="26" t="str">
        <f>IF(Transactions[[#This Row],[Level 4]]=Transactions[[#This Row],[Transaction name]],Transactions[[#This Row],[Transaction name]],IF(Transactions[[#This Row],[Level 4]]=Transactions[[#This Row],[L1N]],Transactions[[#This Row],[Transaction name]],IF(Transactions[[#This Row],[Level 4]]=Transactions[[#This Row],[L2N]],Transactions[[#This Row],[L1N]],IF(Transactions[[#This Row],[Level 4]]=Transactions[[#This Row],[L3N]],Transactions[[#This Row],[L2N]],IF(Transactions[[#This Row],[Level 4]]=Transactions[[#This Row],[L4N]],Transactions[[#This Row],[L3N]],IF(Transactions[[#This Row],[Level 4]]=Transactions[[#This Row],[L5N]],Transactions[[#This Row],[L4N]],IF(Transactions[[#This Row],[Level 4]]=Transactions[[#This Row],[L6N]],Transactions[[#This Row],[L5N]],IF(Transactions[[#This Row],[Level 4]]=Transactions[[#This Row],[L7N]],Transactions[[#This Row],[L6N]],Transactions[[#This Row],[L7N]]))))))))</f>
        <v>Electricity plants - solid coal products</v>
      </c>
      <c r="AX410" s="26" t="str">
        <f>IF(Transactions[[#This Row],[Level 5]]=Transactions[[#This Row],[Transaction name]],Transactions[[#This Row],[Transaction name]],IF(Transactions[[#This Row],[Level 5]]=Transactions[[#This Row],[L1N]],Transactions[[#This Row],[Transaction name]],IF(Transactions[[#This Row],[Level 5]]=Transactions[[#This Row],[L2N]],Transactions[[#This Row],[L1N]],IF(Transactions[[#This Row],[Level 5]]=Transactions[[#This Row],[L3N]],Transactions[[#This Row],[L2N]],IF(Transactions[[#This Row],[Level 5]]=Transactions[[#This Row],[L4N]],Transactions[[#This Row],[L3N]],IF(Transactions[[#This Row],[Level 5]]=Transactions[[#This Row],[L5N]],Transactions[[#This Row],[L4N]],IF(Transactions[[#This Row],[Level 5]]=Transactions[[#This Row],[L6N]],Transactions[[#This Row],[L5N]],IF(Transactions[[#This Row],[Level 5]]=Transactions[[#This Row],[L7N]],Transactions[[#This Row],[L6N]],Transactions[[#This Row],[L7N]]))))))))</f>
        <v>Electricity plants - solid coal products</v>
      </c>
      <c r="AY410" s="26" t="str">
        <f>IF(Transactions[[#This Row],[Level 6]]=Transactions[[#This Row],[Transaction name]],Transactions[[#This Row],[Transaction name]],IF(Transactions[[#This Row],[Level 6]]=Transactions[[#This Row],[L1N]],Transactions[[#This Row],[Transaction name]],IF(Transactions[[#This Row],[Level 6]]=Transactions[[#This Row],[L2N]],Transactions[[#This Row],[L1N]],IF(Transactions[[#This Row],[Level 6]]=Transactions[[#This Row],[L3N]],Transactions[[#This Row],[L2N]],IF(Transactions[[#This Row],[Level 6]]=Transactions[[#This Row],[L4N]],Transactions[[#This Row],[L3N]],IF(Transactions[[#This Row],[Level 6]]=Transactions[[#This Row],[L5N]],Transactions[[#This Row],[L4N]],IF(Transactions[[#This Row],[Level 6]]=Transactions[[#This Row],[L6N]],Transactions[[#This Row],[L5N]],IF(Transactions[[#This Row],[Level 6]]=Transactions[[#This Row],[L7N]],Transactions[[#This Row],[L6N]],Transactions[[#This Row],[L7N]]))))))))</f>
        <v>Electricity plants - solid coal products</v>
      </c>
      <c r="BE410" s="26" t="str">
        <f>_xlfn.XLOOKUP(Transformation[[#This Row],[cfrom]],Commodities[Commodity],Commodities[Commodity code])</f>
        <v>4652</v>
      </c>
      <c r="BF410" s="26" t="str">
        <f>_xlfn.XLOOKUP(Transformation[[#This Row],[tfrom]],Transactions[Transaction name],Transactions[Transaction code])</f>
        <v>022</v>
      </c>
      <c r="BG410" s="26" t="str">
        <f>_xlfn.XLOOKUP(Transformation[[#This Row],[cto]],Commodities[Commodity],Commodities[Commodity code])</f>
        <v>4652</v>
      </c>
      <c r="BH410" s="26" t="str">
        <f>_xlfn.XLOOKUP(Transformation[[#This Row],[tto]],Transactions[Transaction name],Transactions[Transaction code])</f>
        <v>022</v>
      </c>
      <c r="BI410" s="11">
        <v>-1</v>
      </c>
      <c r="BJ410" s="4" t="s">
        <v>394</v>
      </c>
      <c r="BK410" s="24" t="str">
        <f>_xlfn.XLOOKUP(Transformation[[#This Row],[Commodity from]],Commodities[Commodity code],Commodities[EnergyCode])</f>
        <v>MO</v>
      </c>
      <c r="BL410" s="4" t="s">
        <v>205</v>
      </c>
      <c r="BM410" s="4" t="s">
        <v>394</v>
      </c>
      <c r="BN410" s="24" t="str">
        <f>_xlfn.XLOOKUP(Transformation[[#This Row],[Commodity to]],Commodities[Commodity code],Commodities[EnergyCode])</f>
        <v>MO</v>
      </c>
      <c r="BO410" s="4" t="s">
        <v>205</v>
      </c>
      <c r="BP410" s="22" t="s">
        <v>1639</v>
      </c>
      <c r="BQ410" s="33" t="str">
        <f>Transformation[[#This Row],[Commodity from]]&amp;Transformation[[#This Row],[Transaction from]]&amp;Transformation[[#This Row],[Commodity to]]&amp;Transformation[[#This Row],[Transaction to]]</f>
        <v>46520224652022</v>
      </c>
      <c r="BR410" s="26" t="str">
        <f>Transformation[[#This Row],[crfomid]]&amp;Transformation[[#This Row],[Transaction from]]&amp;"("&amp;Transformation[[#This Row],[Multiplier]]&amp;") -&gt; "&amp;Transformation[[#This Row],[ctoid]]&amp;Transformation[[#This Row],[Transaction to]]</f>
        <v>MO022(-1) -&gt; MO022</v>
      </c>
    </row>
    <row r="411" spans="25:70" x14ac:dyDescent="0.45">
      <c r="Y411" s="5" t="s">
        <v>229</v>
      </c>
      <c r="Z411" s="4" t="s">
        <v>811</v>
      </c>
      <c r="AA411" s="4" t="s">
        <v>1330</v>
      </c>
      <c r="AB411" s="19" t="s">
        <v>1604</v>
      </c>
      <c r="AC411" s="24" t="str">
        <f>IFERROR(VLOOKUP(Transactions[[#This Row],[Parent code]],Transactions[[Transaction code]:[Transaction name]],2,0),"")</f>
        <v>Electricity plants - Tide, wave and marine</v>
      </c>
      <c r="AD411" s="4" t="s">
        <v>189</v>
      </c>
      <c r="AE411" s="4" t="s">
        <v>923</v>
      </c>
      <c r="AF411" s="4" t="s">
        <v>642</v>
      </c>
      <c r="AG411" s="4" t="s">
        <v>1</v>
      </c>
      <c r="AH411" s="4" t="s">
        <v>696</v>
      </c>
      <c r="AJ411" s="4" t="s">
        <v>0</v>
      </c>
      <c r="AK411" s="24" t="str" cm="1">
        <f t="array" ref="AK411">IFERROR(INDEX(Transactions[[Transaction code]:[Transaction name]],_xlfn.XMATCH(Transactions[[#This Row],[Parent code]],Transactions[Transaction name],0),3),Transactions[[#This Row],[Transaction name]])</f>
        <v>Electricity plants - Autoproducer - Tide, wave and marine</v>
      </c>
      <c r="AL411" s="24" t="str" cm="1">
        <f t="array" ref="AL411">IFERROR(INDEX(Transactions[[Transaction code]:[Transaction name]],_xlfn.XMATCH(INDEX(Transactions[[Transaction name]:[Parent code]],_xlfn.XMATCH(Transactions[[#This Row],[L1N]],Transactions[Transaction name],0),3),Transactions[Transaction code],0),2),Transactions[[#This Row],[L1N]])</f>
        <v>Electricity plants - Tide, wave and marine</v>
      </c>
      <c r="AM411" s="24" t="str" cm="1">
        <f t="array" ref="AM411">IFERROR(INDEX(Transactions[[Transaction code]:[Transaction name]],_xlfn.XMATCH(INDEX(Transactions[[Transaction name]:[Parent code]],_xlfn.XMATCH(Transactions[[#This Row],[L2N]],Transactions[Transaction name],0),3),Transactions[Transaction code],0),2),Transactions[[#This Row],[L2N]])</f>
        <v>Electricity plants</v>
      </c>
      <c r="AN411" s="24" t="str" cm="1">
        <f t="array" ref="AN411">IFERROR(INDEX(Transactions[[Transaction code]:[Transaction name]],_xlfn.XMATCH(INDEX(Transactions[[Transaction name]:[Parent code]],_xlfn.XMATCH(Transactions[[#This Row],[L3N]],Transactions[Transaction name],0),3),Transactions[Transaction code],0),2),Transactions[[#This Row],[L3N]])</f>
        <v>Electricity, CHP and heat plants (T)</v>
      </c>
      <c r="AO411" s="24" t="str" cm="1">
        <f t="array" ref="AO411">IFERROR(INDEX(Transactions[[Transaction code]:[Transaction name]],_xlfn.XMATCH(INDEX(Transactions[[Transaction name]:[Parent code]],_xlfn.XMATCH(Transactions[[#This Row],[L4N]],Transactions[Transaction name],0),3),Transactions[Transaction code],0),2),Transactions[[#This Row],[L4N]])</f>
        <v>Transformation</v>
      </c>
      <c r="AP411" s="24" t="str" cm="1">
        <f t="array" ref="AP411">IFERROR(INDEX(Transactions[[Transaction code]:[Transaction name]],_xlfn.XMATCH(INDEX(Transactions[[Transaction name]:[Parent code]],_xlfn.XMATCH(Transactions[[#This Row],[L5N]],Transactions[Transaction name],0),3),Transactions[Transaction code],0),2),Transactions[[#This Row],[L5N]])</f>
        <v>Transformation</v>
      </c>
      <c r="AQ411" s="24" t="str" cm="1">
        <f t="array" ref="AQ411">IFERROR(INDEX(Transactions[[Transaction code]:[Transaction name]],_xlfn.XMATCH(INDEX(Transactions[[Transaction name]:[Parent code]],_xlfn.XMATCH(Transactions[[#This Row],[L6N]],Transactions[Transaction name],0),3),Transactions[Transaction code],0),2),Transactions[[#This Row],[L6N]])</f>
        <v>Transformation</v>
      </c>
      <c r="AR411" s="27" t="str">
        <f>IF(Transactions[[#This Row],[L7N]]=Transactions[[#This Row],[L6N]],Transactions[[#This Row],[L7N]],IF(Transactions[[#This Row],[L6N]]=Transactions[[#This Row],[L5N]],Transactions[[#This Row],[L6N]],IF(Transactions[[#This Row],[L5N]]=Transactions[[#This Row],[L4N]],Transactions[[#This Row],[L5N]],IF(Transactions[[#This Row],[L4N]]=Transactions[[#This Row],[L3N]],Transactions[[#This Row],[L4N]],IF(Transactions[[#This Row],[L3N]]=Transactions[[#This Row],[L2N]],Transactions[[#This Row],[L3N]],IF(Transactions[[#This Row],[L2N]]=Transactions[[#This Row],[L1N]],Transactions[[#This Row],[L2N]],IF(Transactions[[#This Row],[L1N]]=Transactions[[#This Row],[Transaction name]],Transactions[[#This Row],[L1N]],Transactions[[#This Row],[Transaction name]])))))))</f>
        <v>Transformation</v>
      </c>
      <c r="AS411" s="24" t="str">
        <f>IF(Transactions[[#This Row],[Level 0]]=Transactions[[#This Row],[Transaction name]],Transactions[[#This Row],[Transaction name]],IF(Transactions[[#This Row],[Level 0]]=Transactions[[#This Row],[L1N]],Transactions[[#This Row],[Transaction name]],IF(Transactions[[#This Row],[Level 0]]=Transactions[[#This Row],[L2N]],Transactions[[#This Row],[L1N]],IF(Transactions[[#This Row],[Level 0]]=Transactions[[#This Row],[L3N]],Transactions[[#This Row],[L2N]],IF(Transactions[[#This Row],[Level 0]]=Transactions[[#This Row],[L4N]],Transactions[[#This Row],[L3N]],IF(Transactions[[#This Row],[Level 0]]=Transactions[[#This Row],[L5N]],Transactions[[#This Row],[L4N]],IF(Transactions[[#This Row],[Level 0]]=Transactions[[#This Row],[L6N]],Transactions[[#This Row],[L5N]],IF(Transactions[[#This Row],[Level 0]]=Transactions[[#This Row],[L7N]],Transactions[[#This Row],[L6N]],Transactions[[#This Row],[L7N]]))))))))</f>
        <v>Electricity, CHP and heat plants (T)</v>
      </c>
      <c r="AT411" s="24" t="str">
        <f>IF(Transactions[[#This Row],[Level 1]]=Transactions[[#This Row],[Transaction name]],Transactions[[#This Row],[Transaction name]],IF(Transactions[[#This Row],[Level 1]]=Transactions[[#This Row],[L1N]],Transactions[[#This Row],[Transaction name]],IF(Transactions[[#This Row],[Level 1]]=Transactions[[#This Row],[L2N]],Transactions[[#This Row],[L1N]],IF(Transactions[[#This Row],[Level 1]]=Transactions[[#This Row],[L3N]],Transactions[[#This Row],[L2N]],IF(Transactions[[#This Row],[Level 1]]=Transactions[[#This Row],[L4N]],Transactions[[#This Row],[L3N]],IF(Transactions[[#This Row],[Level 1]]=Transactions[[#This Row],[L5N]],Transactions[[#This Row],[L4N]],IF(Transactions[[#This Row],[Level 1]]=Transactions[[#This Row],[L6N]],Transactions[[#This Row],[L5N]],IF(Transactions[[#This Row],[Level 1]]=Transactions[[#This Row],[L7N]],Transactions[[#This Row],[L6N]],Transactions[[#This Row],[L7N]]))))))))</f>
        <v>Electricity plants</v>
      </c>
      <c r="AU411" s="24" t="str">
        <f>IF(Transactions[[#This Row],[Level 2]]=Transactions[[#This Row],[Transaction name]],Transactions[[#This Row],[Transaction name]],IF(Transactions[[#This Row],[Level 2]]=Transactions[[#This Row],[L1N]],Transactions[[#This Row],[Transaction name]],IF(Transactions[[#This Row],[Level 2]]=Transactions[[#This Row],[L2N]],Transactions[[#This Row],[L1N]],IF(Transactions[[#This Row],[Level 2]]=Transactions[[#This Row],[L3N]],Transactions[[#This Row],[L2N]],IF(Transactions[[#This Row],[Level 2]]=Transactions[[#This Row],[L4N]],Transactions[[#This Row],[L3N]],IF(Transactions[[#This Row],[Level 2]]=Transactions[[#This Row],[L5N]],Transactions[[#This Row],[L4N]],IF(Transactions[[#This Row],[Level 2]]=Transactions[[#This Row],[L6N]],Transactions[[#This Row],[L5N]],IF(Transactions[[#This Row],[Level 2]]=Transactions[[#This Row],[L7N]],Transactions[[#This Row],[L6N]],Transactions[[#This Row],[L7N]]))))))))</f>
        <v>Electricity plants - Tide, wave and marine</v>
      </c>
      <c r="AV411" s="24" t="str">
        <f>IF(Transactions[[#This Row],[Level 3]]=Transactions[[#This Row],[Transaction name]],Transactions[[#This Row],[Transaction name]],IF(Transactions[[#This Row],[Level 3]]=Transactions[[#This Row],[L1N]],Transactions[[#This Row],[Transaction name]],IF(Transactions[[#This Row],[Level 3]]=Transactions[[#This Row],[L2N]],Transactions[[#This Row],[L1N]],IF(Transactions[[#This Row],[Level 3]]=Transactions[[#This Row],[L3N]],Transactions[[#This Row],[L2N]],IF(Transactions[[#This Row],[Level 3]]=Transactions[[#This Row],[L4N]],Transactions[[#This Row],[L3N]],IF(Transactions[[#This Row],[Level 3]]=Transactions[[#This Row],[L5N]],Transactions[[#This Row],[L4N]],IF(Transactions[[#This Row],[Level 3]]=Transactions[[#This Row],[L6N]],Transactions[[#This Row],[L5N]],IF(Transactions[[#This Row],[Level 3]]=Transactions[[#This Row],[L7N]],Transactions[[#This Row],[L6N]],Transactions[[#This Row],[L7N]]))))))))</f>
        <v>Electricity plants - Autoproducer - Tide, wave and marine</v>
      </c>
      <c r="AW411" s="24" t="str">
        <f>IF(Transactions[[#This Row],[Level 4]]=Transactions[[#This Row],[Transaction name]],Transactions[[#This Row],[Transaction name]],IF(Transactions[[#This Row],[Level 4]]=Transactions[[#This Row],[L1N]],Transactions[[#This Row],[Transaction name]],IF(Transactions[[#This Row],[Level 4]]=Transactions[[#This Row],[L2N]],Transactions[[#This Row],[L1N]],IF(Transactions[[#This Row],[Level 4]]=Transactions[[#This Row],[L3N]],Transactions[[#This Row],[L2N]],IF(Transactions[[#This Row],[Level 4]]=Transactions[[#This Row],[L4N]],Transactions[[#This Row],[L3N]],IF(Transactions[[#This Row],[Level 4]]=Transactions[[#This Row],[L5N]],Transactions[[#This Row],[L4N]],IF(Transactions[[#This Row],[Level 4]]=Transactions[[#This Row],[L6N]],Transactions[[#This Row],[L5N]],IF(Transactions[[#This Row],[Level 4]]=Transactions[[#This Row],[L7N]],Transactions[[#This Row],[L6N]],Transactions[[#This Row],[L7N]]))))))))</f>
        <v>Electricity plants - Autoproducer - Tide, wave and marine</v>
      </c>
      <c r="AX411" s="24" t="str">
        <f>IF(Transactions[[#This Row],[Level 5]]=Transactions[[#This Row],[Transaction name]],Transactions[[#This Row],[Transaction name]],IF(Transactions[[#This Row],[Level 5]]=Transactions[[#This Row],[L1N]],Transactions[[#This Row],[Transaction name]],IF(Transactions[[#This Row],[Level 5]]=Transactions[[#This Row],[L2N]],Transactions[[#This Row],[L1N]],IF(Transactions[[#This Row],[Level 5]]=Transactions[[#This Row],[L3N]],Transactions[[#This Row],[L2N]],IF(Transactions[[#This Row],[Level 5]]=Transactions[[#This Row],[L4N]],Transactions[[#This Row],[L3N]],IF(Transactions[[#This Row],[Level 5]]=Transactions[[#This Row],[L5N]],Transactions[[#This Row],[L4N]],IF(Transactions[[#This Row],[Level 5]]=Transactions[[#This Row],[L6N]],Transactions[[#This Row],[L5N]],IF(Transactions[[#This Row],[Level 5]]=Transactions[[#This Row],[L7N]],Transactions[[#This Row],[L6N]],Transactions[[#This Row],[L7N]]))))))))</f>
        <v>Electricity plants - Autoproducer - Tide, wave and marine</v>
      </c>
      <c r="AY411" s="24" t="str">
        <f>IF(Transactions[[#This Row],[Level 6]]=Transactions[[#This Row],[Transaction name]],Transactions[[#This Row],[Transaction name]],IF(Transactions[[#This Row],[Level 6]]=Transactions[[#This Row],[L1N]],Transactions[[#This Row],[Transaction name]],IF(Transactions[[#This Row],[Level 6]]=Transactions[[#This Row],[L2N]],Transactions[[#This Row],[L1N]],IF(Transactions[[#This Row],[Level 6]]=Transactions[[#This Row],[L3N]],Transactions[[#This Row],[L2N]],IF(Transactions[[#This Row],[Level 6]]=Transactions[[#This Row],[L4N]],Transactions[[#This Row],[L3N]],IF(Transactions[[#This Row],[Level 6]]=Transactions[[#This Row],[L5N]],Transactions[[#This Row],[L4N]],IF(Transactions[[#This Row],[Level 6]]=Transactions[[#This Row],[L6N]],Transactions[[#This Row],[L5N]],IF(Transactions[[#This Row],[Level 6]]=Transactions[[#This Row],[L7N]],Transactions[[#This Row],[L6N]],Transactions[[#This Row],[L7N]]))))))))</f>
        <v>Electricity plants - Autoproducer - Tide, wave and marine</v>
      </c>
      <c r="BE411" s="26" t="str">
        <f>_xlfn.XLOOKUP(Transformation[[#This Row],[cfrom]],Commodities[Commodity],Commodities[Commodity code])</f>
        <v>4652</v>
      </c>
      <c r="BF411" s="26" t="str">
        <f>_xlfn.XLOOKUP(Transformation[[#This Row],[tfrom]],Transactions[Transaction name],Transactions[Transaction code])</f>
        <v>022</v>
      </c>
      <c r="BG411" s="26" t="str">
        <f>_xlfn.XLOOKUP(Transformation[[#This Row],[cto]],Commodities[Commodity],Commodities[Commodity code])</f>
        <v>4652</v>
      </c>
      <c r="BH411" s="26" t="str">
        <f>_xlfn.XLOOKUP(Transformation[[#This Row],[tto]],Transactions[Transaction name],Transactions[Transaction code])</f>
        <v>013</v>
      </c>
      <c r="BI411" s="31">
        <v>1</v>
      </c>
      <c r="BJ411" s="22" t="s">
        <v>394</v>
      </c>
      <c r="BK411" s="26" t="str">
        <f>_xlfn.XLOOKUP(Transformation[[#This Row],[Commodity from]],Commodities[Commodity code],Commodities[EnergyCode])</f>
        <v>MO</v>
      </c>
      <c r="BL411" s="22" t="s">
        <v>205</v>
      </c>
      <c r="BM411" s="22" t="s">
        <v>394</v>
      </c>
      <c r="BN411" s="26" t="str">
        <f>_xlfn.XLOOKUP(Transformation[[#This Row],[Commodity to]],Commodities[Commodity code],Commodities[EnergyCode])</f>
        <v>MO</v>
      </c>
      <c r="BO411" s="22" t="s">
        <v>374</v>
      </c>
      <c r="BP411" s="22" t="s">
        <v>1694</v>
      </c>
      <c r="BQ411" s="33" t="str">
        <f>Transformation[[#This Row],[Commodity from]]&amp;Transformation[[#This Row],[Transaction from]]&amp;Transformation[[#This Row],[Commodity to]]&amp;Transformation[[#This Row],[Transaction to]]</f>
        <v>46520224652013</v>
      </c>
      <c r="BR411" s="26" t="str">
        <f>Transformation[[#This Row],[crfomid]]&amp;Transformation[[#This Row],[Transaction from]]&amp;"("&amp;Transformation[[#This Row],[Multiplier]]&amp;") -&gt; "&amp;Transformation[[#This Row],[ctoid]]&amp;Transformation[[#This Row],[Transaction to]]</f>
        <v>MO022(1) -&gt; MO013</v>
      </c>
    </row>
    <row r="412" spans="25:70" x14ac:dyDescent="0.45">
      <c r="Y412" s="5" t="s">
        <v>290</v>
      </c>
      <c r="Z412" s="4" t="s">
        <v>805</v>
      </c>
      <c r="AA412" s="4" t="s">
        <v>1330</v>
      </c>
      <c r="AB412" s="19" t="s">
        <v>1604</v>
      </c>
      <c r="AC412" s="24" t="str">
        <f>IFERROR(VLOOKUP(Transactions[[#This Row],[Parent code]],Transactions[[Transaction code]:[Transaction name]],2,0),"")</f>
        <v>Electricity plants - Tide, wave and marine</v>
      </c>
      <c r="AD412" s="4" t="s">
        <v>189</v>
      </c>
      <c r="AE412" s="4" t="s">
        <v>923</v>
      </c>
      <c r="AF412" s="4" t="s">
        <v>642</v>
      </c>
      <c r="AG412" s="4" t="s">
        <v>1</v>
      </c>
      <c r="AH412" s="4" t="s">
        <v>696</v>
      </c>
      <c r="AJ412" s="4" t="s">
        <v>0</v>
      </c>
      <c r="AK412" s="24" t="str" cm="1">
        <f t="array" ref="AK412">IFERROR(INDEX(Transactions[[Transaction code]:[Transaction name]],_xlfn.XMATCH(Transactions[[#This Row],[Parent code]],Transactions[Transaction name],0),3),Transactions[[#This Row],[Transaction name]])</f>
        <v>Electricity plants - Main activity - Tide, wave and marine</v>
      </c>
      <c r="AL412" s="24" t="str" cm="1">
        <f t="array" ref="AL412">IFERROR(INDEX(Transactions[[Transaction code]:[Transaction name]],_xlfn.XMATCH(INDEX(Transactions[[Transaction name]:[Parent code]],_xlfn.XMATCH(Transactions[[#This Row],[L1N]],Transactions[Transaction name],0),3),Transactions[Transaction code],0),2),Transactions[[#This Row],[L1N]])</f>
        <v>Electricity plants - Tide, wave and marine</v>
      </c>
      <c r="AM412" s="24" t="str" cm="1">
        <f t="array" ref="AM412">IFERROR(INDEX(Transactions[[Transaction code]:[Transaction name]],_xlfn.XMATCH(INDEX(Transactions[[Transaction name]:[Parent code]],_xlfn.XMATCH(Transactions[[#This Row],[L2N]],Transactions[Transaction name],0),3),Transactions[Transaction code],0),2),Transactions[[#This Row],[L2N]])</f>
        <v>Electricity plants</v>
      </c>
      <c r="AN412" s="24" t="str" cm="1">
        <f t="array" ref="AN412">IFERROR(INDEX(Transactions[[Transaction code]:[Transaction name]],_xlfn.XMATCH(INDEX(Transactions[[Transaction name]:[Parent code]],_xlfn.XMATCH(Transactions[[#This Row],[L3N]],Transactions[Transaction name],0),3),Transactions[Transaction code],0),2),Transactions[[#This Row],[L3N]])</f>
        <v>Electricity, CHP and heat plants (T)</v>
      </c>
      <c r="AO412" s="24" t="str" cm="1">
        <f t="array" ref="AO412">IFERROR(INDEX(Transactions[[Transaction code]:[Transaction name]],_xlfn.XMATCH(INDEX(Transactions[[Transaction name]:[Parent code]],_xlfn.XMATCH(Transactions[[#This Row],[L4N]],Transactions[Transaction name],0),3),Transactions[Transaction code],0),2),Transactions[[#This Row],[L4N]])</f>
        <v>Transformation</v>
      </c>
      <c r="AP412" s="24" t="str" cm="1">
        <f t="array" ref="AP412">IFERROR(INDEX(Transactions[[Transaction code]:[Transaction name]],_xlfn.XMATCH(INDEX(Transactions[[Transaction name]:[Parent code]],_xlfn.XMATCH(Transactions[[#This Row],[L5N]],Transactions[Transaction name],0),3),Transactions[Transaction code],0),2),Transactions[[#This Row],[L5N]])</f>
        <v>Transformation</v>
      </c>
      <c r="AQ412" s="24" t="str" cm="1">
        <f t="array" ref="AQ412">IFERROR(INDEX(Transactions[[Transaction code]:[Transaction name]],_xlfn.XMATCH(INDEX(Transactions[[Transaction name]:[Parent code]],_xlfn.XMATCH(Transactions[[#This Row],[L6N]],Transactions[Transaction name],0),3),Transactions[Transaction code],0),2),Transactions[[#This Row],[L6N]])</f>
        <v>Transformation</v>
      </c>
      <c r="AR412" s="27" t="str">
        <f>IF(Transactions[[#This Row],[L7N]]=Transactions[[#This Row],[L6N]],Transactions[[#This Row],[L7N]],IF(Transactions[[#This Row],[L6N]]=Transactions[[#This Row],[L5N]],Transactions[[#This Row],[L6N]],IF(Transactions[[#This Row],[L5N]]=Transactions[[#This Row],[L4N]],Transactions[[#This Row],[L5N]],IF(Transactions[[#This Row],[L4N]]=Transactions[[#This Row],[L3N]],Transactions[[#This Row],[L4N]],IF(Transactions[[#This Row],[L3N]]=Transactions[[#This Row],[L2N]],Transactions[[#This Row],[L3N]],IF(Transactions[[#This Row],[L2N]]=Transactions[[#This Row],[L1N]],Transactions[[#This Row],[L2N]],IF(Transactions[[#This Row],[L1N]]=Transactions[[#This Row],[Transaction name]],Transactions[[#This Row],[L1N]],Transactions[[#This Row],[Transaction name]])))))))</f>
        <v>Transformation</v>
      </c>
      <c r="AS412" s="24" t="str">
        <f>IF(Transactions[[#This Row],[Level 0]]=Transactions[[#This Row],[Transaction name]],Transactions[[#This Row],[Transaction name]],IF(Transactions[[#This Row],[Level 0]]=Transactions[[#This Row],[L1N]],Transactions[[#This Row],[Transaction name]],IF(Transactions[[#This Row],[Level 0]]=Transactions[[#This Row],[L2N]],Transactions[[#This Row],[L1N]],IF(Transactions[[#This Row],[Level 0]]=Transactions[[#This Row],[L3N]],Transactions[[#This Row],[L2N]],IF(Transactions[[#This Row],[Level 0]]=Transactions[[#This Row],[L4N]],Transactions[[#This Row],[L3N]],IF(Transactions[[#This Row],[Level 0]]=Transactions[[#This Row],[L5N]],Transactions[[#This Row],[L4N]],IF(Transactions[[#This Row],[Level 0]]=Transactions[[#This Row],[L6N]],Transactions[[#This Row],[L5N]],IF(Transactions[[#This Row],[Level 0]]=Transactions[[#This Row],[L7N]],Transactions[[#This Row],[L6N]],Transactions[[#This Row],[L7N]]))))))))</f>
        <v>Electricity, CHP and heat plants (T)</v>
      </c>
      <c r="AT412" s="24" t="str">
        <f>IF(Transactions[[#This Row],[Level 1]]=Transactions[[#This Row],[Transaction name]],Transactions[[#This Row],[Transaction name]],IF(Transactions[[#This Row],[Level 1]]=Transactions[[#This Row],[L1N]],Transactions[[#This Row],[Transaction name]],IF(Transactions[[#This Row],[Level 1]]=Transactions[[#This Row],[L2N]],Transactions[[#This Row],[L1N]],IF(Transactions[[#This Row],[Level 1]]=Transactions[[#This Row],[L3N]],Transactions[[#This Row],[L2N]],IF(Transactions[[#This Row],[Level 1]]=Transactions[[#This Row],[L4N]],Transactions[[#This Row],[L3N]],IF(Transactions[[#This Row],[Level 1]]=Transactions[[#This Row],[L5N]],Transactions[[#This Row],[L4N]],IF(Transactions[[#This Row],[Level 1]]=Transactions[[#This Row],[L6N]],Transactions[[#This Row],[L5N]],IF(Transactions[[#This Row],[Level 1]]=Transactions[[#This Row],[L7N]],Transactions[[#This Row],[L6N]],Transactions[[#This Row],[L7N]]))))))))</f>
        <v>Electricity plants</v>
      </c>
      <c r="AU412" s="24" t="str">
        <f>IF(Transactions[[#This Row],[Level 2]]=Transactions[[#This Row],[Transaction name]],Transactions[[#This Row],[Transaction name]],IF(Transactions[[#This Row],[Level 2]]=Transactions[[#This Row],[L1N]],Transactions[[#This Row],[Transaction name]],IF(Transactions[[#This Row],[Level 2]]=Transactions[[#This Row],[L2N]],Transactions[[#This Row],[L1N]],IF(Transactions[[#This Row],[Level 2]]=Transactions[[#This Row],[L3N]],Transactions[[#This Row],[L2N]],IF(Transactions[[#This Row],[Level 2]]=Transactions[[#This Row],[L4N]],Transactions[[#This Row],[L3N]],IF(Transactions[[#This Row],[Level 2]]=Transactions[[#This Row],[L5N]],Transactions[[#This Row],[L4N]],IF(Transactions[[#This Row],[Level 2]]=Transactions[[#This Row],[L6N]],Transactions[[#This Row],[L5N]],IF(Transactions[[#This Row],[Level 2]]=Transactions[[#This Row],[L7N]],Transactions[[#This Row],[L6N]],Transactions[[#This Row],[L7N]]))))))))</f>
        <v>Electricity plants - Tide, wave and marine</v>
      </c>
      <c r="AV412" s="24" t="str">
        <f>IF(Transactions[[#This Row],[Level 3]]=Transactions[[#This Row],[Transaction name]],Transactions[[#This Row],[Transaction name]],IF(Transactions[[#This Row],[Level 3]]=Transactions[[#This Row],[L1N]],Transactions[[#This Row],[Transaction name]],IF(Transactions[[#This Row],[Level 3]]=Transactions[[#This Row],[L2N]],Transactions[[#This Row],[L1N]],IF(Transactions[[#This Row],[Level 3]]=Transactions[[#This Row],[L3N]],Transactions[[#This Row],[L2N]],IF(Transactions[[#This Row],[Level 3]]=Transactions[[#This Row],[L4N]],Transactions[[#This Row],[L3N]],IF(Transactions[[#This Row],[Level 3]]=Transactions[[#This Row],[L5N]],Transactions[[#This Row],[L4N]],IF(Transactions[[#This Row],[Level 3]]=Transactions[[#This Row],[L6N]],Transactions[[#This Row],[L5N]],IF(Transactions[[#This Row],[Level 3]]=Transactions[[#This Row],[L7N]],Transactions[[#This Row],[L6N]],Transactions[[#This Row],[L7N]]))))))))</f>
        <v>Electricity plants - Main activity - Tide, wave and marine</v>
      </c>
      <c r="AW412" s="24" t="str">
        <f>IF(Transactions[[#This Row],[Level 4]]=Transactions[[#This Row],[Transaction name]],Transactions[[#This Row],[Transaction name]],IF(Transactions[[#This Row],[Level 4]]=Transactions[[#This Row],[L1N]],Transactions[[#This Row],[Transaction name]],IF(Transactions[[#This Row],[Level 4]]=Transactions[[#This Row],[L2N]],Transactions[[#This Row],[L1N]],IF(Transactions[[#This Row],[Level 4]]=Transactions[[#This Row],[L3N]],Transactions[[#This Row],[L2N]],IF(Transactions[[#This Row],[Level 4]]=Transactions[[#This Row],[L4N]],Transactions[[#This Row],[L3N]],IF(Transactions[[#This Row],[Level 4]]=Transactions[[#This Row],[L5N]],Transactions[[#This Row],[L4N]],IF(Transactions[[#This Row],[Level 4]]=Transactions[[#This Row],[L6N]],Transactions[[#This Row],[L5N]],IF(Transactions[[#This Row],[Level 4]]=Transactions[[#This Row],[L7N]],Transactions[[#This Row],[L6N]],Transactions[[#This Row],[L7N]]))))))))</f>
        <v>Electricity plants - Main activity - Tide, wave and marine</v>
      </c>
      <c r="AX412" s="24" t="str">
        <f>IF(Transactions[[#This Row],[Level 5]]=Transactions[[#This Row],[Transaction name]],Transactions[[#This Row],[Transaction name]],IF(Transactions[[#This Row],[Level 5]]=Transactions[[#This Row],[L1N]],Transactions[[#This Row],[Transaction name]],IF(Transactions[[#This Row],[Level 5]]=Transactions[[#This Row],[L2N]],Transactions[[#This Row],[L1N]],IF(Transactions[[#This Row],[Level 5]]=Transactions[[#This Row],[L3N]],Transactions[[#This Row],[L2N]],IF(Transactions[[#This Row],[Level 5]]=Transactions[[#This Row],[L4N]],Transactions[[#This Row],[L3N]],IF(Transactions[[#This Row],[Level 5]]=Transactions[[#This Row],[L5N]],Transactions[[#This Row],[L4N]],IF(Transactions[[#This Row],[Level 5]]=Transactions[[#This Row],[L6N]],Transactions[[#This Row],[L5N]],IF(Transactions[[#This Row],[Level 5]]=Transactions[[#This Row],[L7N]],Transactions[[#This Row],[L6N]],Transactions[[#This Row],[L7N]]))))))))</f>
        <v>Electricity plants - Main activity - Tide, wave and marine</v>
      </c>
      <c r="AY412" s="24" t="str">
        <f>IF(Transactions[[#This Row],[Level 6]]=Transactions[[#This Row],[Transaction name]],Transactions[[#This Row],[Transaction name]],IF(Transactions[[#This Row],[Level 6]]=Transactions[[#This Row],[L1N]],Transactions[[#This Row],[Transaction name]],IF(Transactions[[#This Row],[Level 6]]=Transactions[[#This Row],[L2N]],Transactions[[#This Row],[L1N]],IF(Transactions[[#This Row],[Level 6]]=Transactions[[#This Row],[L3N]],Transactions[[#This Row],[L2N]],IF(Transactions[[#This Row],[Level 6]]=Transactions[[#This Row],[L4N]],Transactions[[#This Row],[L3N]],IF(Transactions[[#This Row],[Level 6]]=Transactions[[#This Row],[L5N]],Transactions[[#This Row],[L4N]],IF(Transactions[[#This Row],[Level 6]]=Transactions[[#This Row],[L6N]],Transactions[[#This Row],[L5N]],IF(Transactions[[#This Row],[Level 6]]=Transactions[[#This Row],[L7N]],Transactions[[#This Row],[L6N]],Transactions[[#This Row],[L7N]]))))))))</f>
        <v>Electricity plants - Main activity - Tide, wave and marine</v>
      </c>
      <c r="BE412" s="26" t="str">
        <f>_xlfn.XLOOKUP(Transformation[[#This Row],[cfrom]],Commodities[Commodity],Commodities[Commodity code])</f>
        <v>3000</v>
      </c>
      <c r="BF412" s="26" t="str">
        <f>_xlfn.XLOOKUP(Transformation[[#This Row],[tfrom]],Transactions[Transaction name],Transactions[Transaction code])</f>
        <v>022</v>
      </c>
      <c r="BG412" s="26" t="str">
        <f>_xlfn.XLOOKUP(Transformation[[#This Row],[cto]],Commodities[Commodity],Commodities[Commodity code])</f>
        <v>3000</v>
      </c>
      <c r="BH412" s="26" t="str">
        <f>_xlfn.XLOOKUP(Transformation[[#This Row],[tto]],Transactions[Transaction name],Transactions[Transaction code])</f>
        <v>022</v>
      </c>
      <c r="BI412" s="32">
        <v>-1</v>
      </c>
      <c r="BJ412" s="22" t="s">
        <v>446</v>
      </c>
      <c r="BK412" s="26" t="str">
        <f>_xlfn.XLOOKUP(Transformation[[#This Row],[Commodity from]],Commodities[Commodity code],Commodities[EnergyCode])</f>
        <v>NG</v>
      </c>
      <c r="BL412" s="22" t="s">
        <v>205</v>
      </c>
      <c r="BM412" s="22" t="s">
        <v>446</v>
      </c>
      <c r="BN412" s="26" t="str">
        <f>_xlfn.XLOOKUP(Transformation[[#This Row],[Commodity to]],Commodities[Commodity code],Commodities[EnergyCode])</f>
        <v>NG</v>
      </c>
      <c r="BO412" s="22" t="s">
        <v>205</v>
      </c>
      <c r="BP412" s="22" t="s">
        <v>1639</v>
      </c>
      <c r="BQ412" s="33" t="str">
        <f>Transformation[[#This Row],[Commodity from]]&amp;Transformation[[#This Row],[Transaction from]]&amp;Transformation[[#This Row],[Commodity to]]&amp;Transformation[[#This Row],[Transaction to]]</f>
        <v>30000223000022</v>
      </c>
      <c r="BR412" s="26" t="str">
        <f>Transformation[[#This Row],[crfomid]]&amp;Transformation[[#This Row],[Transaction from]]&amp;"("&amp;Transformation[[#This Row],[Multiplier]]&amp;") -&gt; "&amp;Transformation[[#This Row],[ctoid]]&amp;Transformation[[#This Row],[Transaction to]]</f>
        <v>NG022(-1) -&gt; NG022</v>
      </c>
    </row>
    <row r="413" spans="25:70" x14ac:dyDescent="0.45">
      <c r="Y413" s="19" t="s">
        <v>1604</v>
      </c>
      <c r="Z413" s="18" t="s">
        <v>1330</v>
      </c>
      <c r="AA413" s="18" t="s">
        <v>1330</v>
      </c>
      <c r="AB413" s="19" t="s">
        <v>1600</v>
      </c>
      <c r="AC413" s="26" t="str">
        <f>IFERROR(VLOOKUP(Transactions[[#This Row],[Parent code]],Transactions[[Transaction code]:[Transaction name]],2,0),"")</f>
        <v>Electricity plants</v>
      </c>
      <c r="AD413" s="18" t="s">
        <v>189</v>
      </c>
      <c r="AE413" s="18" t="s">
        <v>923</v>
      </c>
      <c r="AF413" s="18" t="s">
        <v>642</v>
      </c>
      <c r="AG413" s="18" t="s">
        <v>1</v>
      </c>
      <c r="AH413" s="18" t="s">
        <v>696</v>
      </c>
      <c r="AI413" s="18"/>
      <c r="AJ413" s="18" t="s">
        <v>0</v>
      </c>
      <c r="AK413" s="26" t="str" cm="1">
        <f t="array" ref="AK413">IFERROR(INDEX(Transactions[[Transaction code]:[Transaction name]],_xlfn.XMATCH(Transactions[[#This Row],[Parent code]],Transactions[Transaction name],0),3),Transactions[[#This Row],[Transaction name]])</f>
        <v>Electricity plants - Tide, wave and marine</v>
      </c>
      <c r="AL413" s="26" t="str" cm="1">
        <f t="array" ref="AL413">IFERROR(INDEX(Transactions[[Transaction code]:[Transaction name]],_xlfn.XMATCH(INDEX(Transactions[[Transaction name]:[Parent code]],_xlfn.XMATCH(Transactions[[#This Row],[L1N]],Transactions[Transaction name],0),3),Transactions[Transaction code],0),2),Transactions[[#This Row],[L1N]])</f>
        <v>Electricity plants</v>
      </c>
      <c r="AM413" s="26" t="str" cm="1">
        <f t="array" ref="AM413">IFERROR(INDEX(Transactions[[Transaction code]:[Transaction name]],_xlfn.XMATCH(INDEX(Transactions[[Transaction name]:[Parent code]],_xlfn.XMATCH(Transactions[[#This Row],[L2N]],Transactions[Transaction name],0),3),Transactions[Transaction code],0),2),Transactions[[#This Row],[L2N]])</f>
        <v>Electricity, CHP and heat plants (T)</v>
      </c>
      <c r="AN413" s="26" t="str" cm="1">
        <f t="array" ref="AN413">IFERROR(INDEX(Transactions[[Transaction code]:[Transaction name]],_xlfn.XMATCH(INDEX(Transactions[[Transaction name]:[Parent code]],_xlfn.XMATCH(Transactions[[#This Row],[L3N]],Transactions[Transaction name],0),3),Transactions[Transaction code],0),2),Transactions[[#This Row],[L3N]])</f>
        <v>Transformation</v>
      </c>
      <c r="AO413" s="26" t="str" cm="1">
        <f t="array" ref="AO413">IFERROR(INDEX(Transactions[[Transaction code]:[Transaction name]],_xlfn.XMATCH(INDEX(Transactions[[Transaction name]:[Parent code]],_xlfn.XMATCH(Transactions[[#This Row],[L4N]],Transactions[Transaction name],0),3),Transactions[Transaction code],0),2),Transactions[[#This Row],[L4N]])</f>
        <v>Transformation</v>
      </c>
      <c r="AP413" s="26" t="str" cm="1">
        <f t="array" ref="AP413">IFERROR(INDEX(Transactions[[Transaction code]:[Transaction name]],_xlfn.XMATCH(INDEX(Transactions[[Transaction name]:[Parent code]],_xlfn.XMATCH(Transactions[[#This Row],[L5N]],Transactions[Transaction name],0),3),Transactions[Transaction code],0),2),Transactions[[#This Row],[L5N]])</f>
        <v>Transformation</v>
      </c>
      <c r="AQ413" s="26" t="str" cm="1">
        <f t="array" ref="AQ413">IFERROR(INDEX(Transactions[[Transaction code]:[Transaction name]],_xlfn.XMATCH(INDEX(Transactions[[Transaction name]:[Parent code]],_xlfn.XMATCH(Transactions[[#This Row],[L6N]],Transactions[Transaction name],0),3),Transactions[Transaction code],0),2),Transactions[[#This Row],[L6N]])</f>
        <v>Transformation</v>
      </c>
      <c r="AR413" s="30" t="str">
        <f>IF(Transactions[[#This Row],[L7N]]=Transactions[[#This Row],[L6N]],Transactions[[#This Row],[L7N]],IF(Transactions[[#This Row],[L6N]]=Transactions[[#This Row],[L5N]],Transactions[[#This Row],[L6N]],IF(Transactions[[#This Row],[L5N]]=Transactions[[#This Row],[L4N]],Transactions[[#This Row],[L5N]],IF(Transactions[[#This Row],[L4N]]=Transactions[[#This Row],[L3N]],Transactions[[#This Row],[L4N]],IF(Transactions[[#This Row],[L3N]]=Transactions[[#This Row],[L2N]],Transactions[[#This Row],[L3N]],IF(Transactions[[#This Row],[L2N]]=Transactions[[#This Row],[L1N]],Transactions[[#This Row],[L2N]],IF(Transactions[[#This Row],[L1N]]=Transactions[[#This Row],[Transaction name]],Transactions[[#This Row],[L1N]],Transactions[[#This Row],[Transaction name]])))))))</f>
        <v>Transformation</v>
      </c>
      <c r="AS413" s="26" t="str">
        <f>IF(Transactions[[#This Row],[Level 0]]=Transactions[[#This Row],[Transaction name]],Transactions[[#This Row],[Transaction name]],IF(Transactions[[#This Row],[Level 0]]=Transactions[[#This Row],[L1N]],Transactions[[#This Row],[Transaction name]],IF(Transactions[[#This Row],[Level 0]]=Transactions[[#This Row],[L2N]],Transactions[[#This Row],[L1N]],IF(Transactions[[#This Row],[Level 0]]=Transactions[[#This Row],[L3N]],Transactions[[#This Row],[L2N]],IF(Transactions[[#This Row],[Level 0]]=Transactions[[#This Row],[L4N]],Transactions[[#This Row],[L3N]],IF(Transactions[[#This Row],[Level 0]]=Transactions[[#This Row],[L5N]],Transactions[[#This Row],[L4N]],IF(Transactions[[#This Row],[Level 0]]=Transactions[[#This Row],[L6N]],Transactions[[#This Row],[L5N]],IF(Transactions[[#This Row],[Level 0]]=Transactions[[#This Row],[L7N]],Transactions[[#This Row],[L6N]],Transactions[[#This Row],[L7N]]))))))))</f>
        <v>Electricity, CHP and heat plants (T)</v>
      </c>
      <c r="AT413" s="26" t="str">
        <f>IF(Transactions[[#This Row],[Level 1]]=Transactions[[#This Row],[Transaction name]],Transactions[[#This Row],[Transaction name]],IF(Transactions[[#This Row],[Level 1]]=Transactions[[#This Row],[L1N]],Transactions[[#This Row],[Transaction name]],IF(Transactions[[#This Row],[Level 1]]=Transactions[[#This Row],[L2N]],Transactions[[#This Row],[L1N]],IF(Transactions[[#This Row],[Level 1]]=Transactions[[#This Row],[L3N]],Transactions[[#This Row],[L2N]],IF(Transactions[[#This Row],[Level 1]]=Transactions[[#This Row],[L4N]],Transactions[[#This Row],[L3N]],IF(Transactions[[#This Row],[Level 1]]=Transactions[[#This Row],[L5N]],Transactions[[#This Row],[L4N]],IF(Transactions[[#This Row],[Level 1]]=Transactions[[#This Row],[L6N]],Transactions[[#This Row],[L5N]],IF(Transactions[[#This Row],[Level 1]]=Transactions[[#This Row],[L7N]],Transactions[[#This Row],[L6N]],Transactions[[#This Row],[L7N]]))))))))</f>
        <v>Electricity plants</v>
      </c>
      <c r="AU413" s="26" t="str">
        <f>IF(Transactions[[#This Row],[Level 2]]=Transactions[[#This Row],[Transaction name]],Transactions[[#This Row],[Transaction name]],IF(Transactions[[#This Row],[Level 2]]=Transactions[[#This Row],[L1N]],Transactions[[#This Row],[Transaction name]],IF(Transactions[[#This Row],[Level 2]]=Transactions[[#This Row],[L2N]],Transactions[[#This Row],[L1N]],IF(Transactions[[#This Row],[Level 2]]=Transactions[[#This Row],[L3N]],Transactions[[#This Row],[L2N]],IF(Transactions[[#This Row],[Level 2]]=Transactions[[#This Row],[L4N]],Transactions[[#This Row],[L3N]],IF(Transactions[[#This Row],[Level 2]]=Transactions[[#This Row],[L5N]],Transactions[[#This Row],[L4N]],IF(Transactions[[#This Row],[Level 2]]=Transactions[[#This Row],[L6N]],Transactions[[#This Row],[L5N]],IF(Transactions[[#This Row],[Level 2]]=Transactions[[#This Row],[L7N]],Transactions[[#This Row],[L6N]],Transactions[[#This Row],[L7N]]))))))))</f>
        <v>Electricity plants - Tide, wave and marine</v>
      </c>
      <c r="AV413" s="26" t="str">
        <f>IF(Transactions[[#This Row],[Level 3]]=Transactions[[#This Row],[Transaction name]],Transactions[[#This Row],[Transaction name]],IF(Transactions[[#This Row],[Level 3]]=Transactions[[#This Row],[L1N]],Transactions[[#This Row],[Transaction name]],IF(Transactions[[#This Row],[Level 3]]=Transactions[[#This Row],[L2N]],Transactions[[#This Row],[L1N]],IF(Transactions[[#This Row],[Level 3]]=Transactions[[#This Row],[L3N]],Transactions[[#This Row],[L2N]],IF(Transactions[[#This Row],[Level 3]]=Transactions[[#This Row],[L4N]],Transactions[[#This Row],[L3N]],IF(Transactions[[#This Row],[Level 3]]=Transactions[[#This Row],[L5N]],Transactions[[#This Row],[L4N]],IF(Transactions[[#This Row],[Level 3]]=Transactions[[#This Row],[L6N]],Transactions[[#This Row],[L5N]],IF(Transactions[[#This Row],[Level 3]]=Transactions[[#This Row],[L7N]],Transactions[[#This Row],[L6N]],Transactions[[#This Row],[L7N]]))))))))</f>
        <v>Electricity plants - Tide, wave and marine</v>
      </c>
      <c r="AW413" s="26" t="str">
        <f>IF(Transactions[[#This Row],[Level 4]]=Transactions[[#This Row],[Transaction name]],Transactions[[#This Row],[Transaction name]],IF(Transactions[[#This Row],[Level 4]]=Transactions[[#This Row],[L1N]],Transactions[[#This Row],[Transaction name]],IF(Transactions[[#This Row],[Level 4]]=Transactions[[#This Row],[L2N]],Transactions[[#This Row],[L1N]],IF(Transactions[[#This Row],[Level 4]]=Transactions[[#This Row],[L3N]],Transactions[[#This Row],[L2N]],IF(Transactions[[#This Row],[Level 4]]=Transactions[[#This Row],[L4N]],Transactions[[#This Row],[L3N]],IF(Transactions[[#This Row],[Level 4]]=Transactions[[#This Row],[L5N]],Transactions[[#This Row],[L4N]],IF(Transactions[[#This Row],[Level 4]]=Transactions[[#This Row],[L6N]],Transactions[[#This Row],[L5N]],IF(Transactions[[#This Row],[Level 4]]=Transactions[[#This Row],[L7N]],Transactions[[#This Row],[L6N]],Transactions[[#This Row],[L7N]]))))))))</f>
        <v>Electricity plants - Tide, wave and marine</v>
      </c>
      <c r="AX413" s="26" t="str">
        <f>IF(Transactions[[#This Row],[Level 5]]=Transactions[[#This Row],[Transaction name]],Transactions[[#This Row],[Transaction name]],IF(Transactions[[#This Row],[Level 5]]=Transactions[[#This Row],[L1N]],Transactions[[#This Row],[Transaction name]],IF(Transactions[[#This Row],[Level 5]]=Transactions[[#This Row],[L2N]],Transactions[[#This Row],[L1N]],IF(Transactions[[#This Row],[Level 5]]=Transactions[[#This Row],[L3N]],Transactions[[#This Row],[L2N]],IF(Transactions[[#This Row],[Level 5]]=Transactions[[#This Row],[L4N]],Transactions[[#This Row],[L3N]],IF(Transactions[[#This Row],[Level 5]]=Transactions[[#This Row],[L5N]],Transactions[[#This Row],[L4N]],IF(Transactions[[#This Row],[Level 5]]=Transactions[[#This Row],[L6N]],Transactions[[#This Row],[L5N]],IF(Transactions[[#This Row],[Level 5]]=Transactions[[#This Row],[L7N]],Transactions[[#This Row],[L6N]],Transactions[[#This Row],[L7N]]))))))))</f>
        <v>Electricity plants - Tide, wave and marine</v>
      </c>
      <c r="AY413" s="26" t="str">
        <f>IF(Transactions[[#This Row],[Level 6]]=Transactions[[#This Row],[Transaction name]],Transactions[[#This Row],[Transaction name]],IF(Transactions[[#This Row],[Level 6]]=Transactions[[#This Row],[L1N]],Transactions[[#This Row],[Transaction name]],IF(Transactions[[#This Row],[Level 6]]=Transactions[[#This Row],[L2N]],Transactions[[#This Row],[L1N]],IF(Transactions[[#This Row],[Level 6]]=Transactions[[#This Row],[L3N]],Transactions[[#This Row],[L2N]],IF(Transactions[[#This Row],[Level 6]]=Transactions[[#This Row],[L4N]],Transactions[[#This Row],[L3N]],IF(Transactions[[#This Row],[Level 6]]=Transactions[[#This Row],[L5N]],Transactions[[#This Row],[L4N]],IF(Transactions[[#This Row],[Level 6]]=Transactions[[#This Row],[L6N]],Transactions[[#This Row],[L5N]],IF(Transactions[[#This Row],[Level 6]]=Transactions[[#This Row],[L7N]],Transactions[[#This Row],[L6N]],Transactions[[#This Row],[L7N]]))))))))</f>
        <v>Electricity plants - Tide, wave and marine</v>
      </c>
      <c r="BE413" s="26" t="str">
        <f>_xlfn.XLOOKUP(Transformation[[#This Row],[cfrom]],Commodities[Commodity],Commodities[Commodity code])</f>
        <v>3000</v>
      </c>
      <c r="BF413" s="26" t="str">
        <f>_xlfn.XLOOKUP(Transformation[[#This Row],[tfrom]],Transactions[Transaction name],Transactions[Transaction code])</f>
        <v>022</v>
      </c>
      <c r="BG413" s="26" t="str">
        <f>_xlfn.XLOOKUP(Transformation[[#This Row],[cto]],Commodities[Commodity],Commodities[Commodity code])</f>
        <v>3000</v>
      </c>
      <c r="BH413" s="26" t="str">
        <f>_xlfn.XLOOKUP(Transformation[[#This Row],[tto]],Transactions[Transaction name],Transactions[Transaction code])</f>
        <v>087</v>
      </c>
      <c r="BI413" s="32">
        <v>1</v>
      </c>
      <c r="BJ413" s="22" t="s">
        <v>446</v>
      </c>
      <c r="BK413" s="26" t="str">
        <f>_xlfn.XLOOKUP(Transformation[[#This Row],[Commodity from]],Commodities[Commodity code],Commodities[EnergyCode])</f>
        <v>NG</v>
      </c>
      <c r="BL413" s="22" t="s">
        <v>205</v>
      </c>
      <c r="BM413" s="22" t="s">
        <v>446</v>
      </c>
      <c r="BN413" s="26" t="str">
        <f>_xlfn.XLOOKUP(Transformation[[#This Row],[Commodity to]],Commodities[Commodity code],Commodities[EnergyCode])</f>
        <v>NG</v>
      </c>
      <c r="BO413" s="22" t="s">
        <v>729</v>
      </c>
      <c r="BP413" s="22" t="s">
        <v>1647</v>
      </c>
      <c r="BQ413" s="33" t="str">
        <f>Transformation[[#This Row],[Commodity from]]&amp;Transformation[[#This Row],[Transaction from]]&amp;Transformation[[#This Row],[Commodity to]]&amp;Transformation[[#This Row],[Transaction to]]</f>
        <v>30000223000087</v>
      </c>
      <c r="BR413" s="26" t="str">
        <f>Transformation[[#This Row],[crfomid]]&amp;Transformation[[#This Row],[Transaction from]]&amp;"("&amp;Transformation[[#This Row],[Multiplier]]&amp;") -&gt; "&amp;Transformation[[#This Row],[ctoid]]&amp;Transformation[[#This Row],[Transaction to]]</f>
        <v>NG022(1) -&gt; NG087</v>
      </c>
    </row>
    <row r="414" spans="25:70" x14ac:dyDescent="0.45">
      <c r="Y414" s="5" t="s">
        <v>228</v>
      </c>
      <c r="Z414" s="4" t="s">
        <v>812</v>
      </c>
      <c r="AA414" s="4" t="s">
        <v>1331</v>
      </c>
      <c r="AB414" s="19" t="s">
        <v>1605</v>
      </c>
      <c r="AC414" s="24" t="str">
        <f>IFERROR(VLOOKUP(Transactions[[#This Row],[Parent code]],Transactions[[Transaction code]:[Transaction name]],2,0),"")</f>
        <v>Electricity plants - Wind</v>
      </c>
      <c r="AD414" s="4" t="s">
        <v>189</v>
      </c>
      <c r="AE414" s="4" t="s">
        <v>923</v>
      </c>
      <c r="AF414" s="4" t="s">
        <v>642</v>
      </c>
      <c r="AG414" s="4" t="s">
        <v>1</v>
      </c>
      <c r="AH414" s="4" t="s">
        <v>696</v>
      </c>
      <c r="AJ414" s="4" t="s">
        <v>0</v>
      </c>
      <c r="AK414" s="24" t="str" cm="1">
        <f t="array" ref="AK414">IFERROR(INDEX(Transactions[[Transaction code]:[Transaction name]],_xlfn.XMATCH(Transactions[[#This Row],[Parent code]],Transactions[Transaction name],0),3),Transactions[[#This Row],[Transaction name]])</f>
        <v>Electricity plants - Autoproducer - Wind</v>
      </c>
      <c r="AL414" s="24" t="str" cm="1">
        <f t="array" ref="AL414">IFERROR(INDEX(Transactions[[Transaction code]:[Transaction name]],_xlfn.XMATCH(INDEX(Transactions[[Transaction name]:[Parent code]],_xlfn.XMATCH(Transactions[[#This Row],[L1N]],Transactions[Transaction name],0),3),Transactions[Transaction code],0),2),Transactions[[#This Row],[L1N]])</f>
        <v>Electricity plants - Wind</v>
      </c>
      <c r="AM414" s="24" t="str" cm="1">
        <f t="array" ref="AM414">IFERROR(INDEX(Transactions[[Transaction code]:[Transaction name]],_xlfn.XMATCH(INDEX(Transactions[[Transaction name]:[Parent code]],_xlfn.XMATCH(Transactions[[#This Row],[L2N]],Transactions[Transaction name],0),3),Transactions[Transaction code],0),2),Transactions[[#This Row],[L2N]])</f>
        <v>Electricity plants</v>
      </c>
      <c r="AN414" s="24" t="str" cm="1">
        <f t="array" ref="AN414">IFERROR(INDEX(Transactions[[Transaction code]:[Transaction name]],_xlfn.XMATCH(INDEX(Transactions[[Transaction name]:[Parent code]],_xlfn.XMATCH(Transactions[[#This Row],[L3N]],Transactions[Transaction name],0),3),Transactions[Transaction code],0),2),Transactions[[#This Row],[L3N]])</f>
        <v>Electricity, CHP and heat plants (T)</v>
      </c>
      <c r="AO414" s="24" t="str" cm="1">
        <f t="array" ref="AO414">IFERROR(INDEX(Transactions[[Transaction code]:[Transaction name]],_xlfn.XMATCH(INDEX(Transactions[[Transaction name]:[Parent code]],_xlfn.XMATCH(Transactions[[#This Row],[L4N]],Transactions[Transaction name],0),3),Transactions[Transaction code],0),2),Transactions[[#This Row],[L4N]])</f>
        <v>Transformation</v>
      </c>
      <c r="AP414" s="24" t="str" cm="1">
        <f t="array" ref="AP414">IFERROR(INDEX(Transactions[[Transaction code]:[Transaction name]],_xlfn.XMATCH(INDEX(Transactions[[Transaction name]:[Parent code]],_xlfn.XMATCH(Transactions[[#This Row],[L5N]],Transactions[Transaction name],0),3),Transactions[Transaction code],0),2),Transactions[[#This Row],[L5N]])</f>
        <v>Transformation</v>
      </c>
      <c r="AQ414" s="24" t="str" cm="1">
        <f t="array" ref="AQ414">IFERROR(INDEX(Transactions[[Transaction code]:[Transaction name]],_xlfn.XMATCH(INDEX(Transactions[[Transaction name]:[Parent code]],_xlfn.XMATCH(Transactions[[#This Row],[L6N]],Transactions[Transaction name],0),3),Transactions[Transaction code],0),2),Transactions[[#This Row],[L6N]])</f>
        <v>Transformation</v>
      </c>
      <c r="AR414" s="27" t="str">
        <f>IF(Transactions[[#This Row],[L7N]]=Transactions[[#This Row],[L6N]],Transactions[[#This Row],[L7N]],IF(Transactions[[#This Row],[L6N]]=Transactions[[#This Row],[L5N]],Transactions[[#This Row],[L6N]],IF(Transactions[[#This Row],[L5N]]=Transactions[[#This Row],[L4N]],Transactions[[#This Row],[L5N]],IF(Transactions[[#This Row],[L4N]]=Transactions[[#This Row],[L3N]],Transactions[[#This Row],[L4N]],IF(Transactions[[#This Row],[L3N]]=Transactions[[#This Row],[L2N]],Transactions[[#This Row],[L3N]],IF(Transactions[[#This Row],[L2N]]=Transactions[[#This Row],[L1N]],Transactions[[#This Row],[L2N]],IF(Transactions[[#This Row],[L1N]]=Transactions[[#This Row],[Transaction name]],Transactions[[#This Row],[L1N]],Transactions[[#This Row],[Transaction name]])))))))</f>
        <v>Transformation</v>
      </c>
      <c r="AS414" s="24" t="str">
        <f>IF(Transactions[[#This Row],[Level 0]]=Transactions[[#This Row],[Transaction name]],Transactions[[#This Row],[Transaction name]],IF(Transactions[[#This Row],[Level 0]]=Transactions[[#This Row],[L1N]],Transactions[[#This Row],[Transaction name]],IF(Transactions[[#This Row],[Level 0]]=Transactions[[#This Row],[L2N]],Transactions[[#This Row],[L1N]],IF(Transactions[[#This Row],[Level 0]]=Transactions[[#This Row],[L3N]],Transactions[[#This Row],[L2N]],IF(Transactions[[#This Row],[Level 0]]=Transactions[[#This Row],[L4N]],Transactions[[#This Row],[L3N]],IF(Transactions[[#This Row],[Level 0]]=Transactions[[#This Row],[L5N]],Transactions[[#This Row],[L4N]],IF(Transactions[[#This Row],[Level 0]]=Transactions[[#This Row],[L6N]],Transactions[[#This Row],[L5N]],IF(Transactions[[#This Row],[Level 0]]=Transactions[[#This Row],[L7N]],Transactions[[#This Row],[L6N]],Transactions[[#This Row],[L7N]]))))))))</f>
        <v>Electricity, CHP and heat plants (T)</v>
      </c>
      <c r="AT414" s="24" t="str">
        <f>IF(Transactions[[#This Row],[Level 1]]=Transactions[[#This Row],[Transaction name]],Transactions[[#This Row],[Transaction name]],IF(Transactions[[#This Row],[Level 1]]=Transactions[[#This Row],[L1N]],Transactions[[#This Row],[Transaction name]],IF(Transactions[[#This Row],[Level 1]]=Transactions[[#This Row],[L2N]],Transactions[[#This Row],[L1N]],IF(Transactions[[#This Row],[Level 1]]=Transactions[[#This Row],[L3N]],Transactions[[#This Row],[L2N]],IF(Transactions[[#This Row],[Level 1]]=Transactions[[#This Row],[L4N]],Transactions[[#This Row],[L3N]],IF(Transactions[[#This Row],[Level 1]]=Transactions[[#This Row],[L5N]],Transactions[[#This Row],[L4N]],IF(Transactions[[#This Row],[Level 1]]=Transactions[[#This Row],[L6N]],Transactions[[#This Row],[L5N]],IF(Transactions[[#This Row],[Level 1]]=Transactions[[#This Row],[L7N]],Transactions[[#This Row],[L6N]],Transactions[[#This Row],[L7N]]))))))))</f>
        <v>Electricity plants</v>
      </c>
      <c r="AU414" s="24" t="str">
        <f>IF(Transactions[[#This Row],[Level 2]]=Transactions[[#This Row],[Transaction name]],Transactions[[#This Row],[Transaction name]],IF(Transactions[[#This Row],[Level 2]]=Transactions[[#This Row],[L1N]],Transactions[[#This Row],[Transaction name]],IF(Transactions[[#This Row],[Level 2]]=Transactions[[#This Row],[L2N]],Transactions[[#This Row],[L1N]],IF(Transactions[[#This Row],[Level 2]]=Transactions[[#This Row],[L3N]],Transactions[[#This Row],[L2N]],IF(Transactions[[#This Row],[Level 2]]=Transactions[[#This Row],[L4N]],Transactions[[#This Row],[L3N]],IF(Transactions[[#This Row],[Level 2]]=Transactions[[#This Row],[L5N]],Transactions[[#This Row],[L4N]],IF(Transactions[[#This Row],[Level 2]]=Transactions[[#This Row],[L6N]],Transactions[[#This Row],[L5N]],IF(Transactions[[#This Row],[Level 2]]=Transactions[[#This Row],[L7N]],Transactions[[#This Row],[L6N]],Transactions[[#This Row],[L7N]]))))))))</f>
        <v>Electricity plants - Wind</v>
      </c>
      <c r="AV414" s="24" t="str">
        <f>IF(Transactions[[#This Row],[Level 3]]=Transactions[[#This Row],[Transaction name]],Transactions[[#This Row],[Transaction name]],IF(Transactions[[#This Row],[Level 3]]=Transactions[[#This Row],[L1N]],Transactions[[#This Row],[Transaction name]],IF(Transactions[[#This Row],[Level 3]]=Transactions[[#This Row],[L2N]],Transactions[[#This Row],[L1N]],IF(Transactions[[#This Row],[Level 3]]=Transactions[[#This Row],[L3N]],Transactions[[#This Row],[L2N]],IF(Transactions[[#This Row],[Level 3]]=Transactions[[#This Row],[L4N]],Transactions[[#This Row],[L3N]],IF(Transactions[[#This Row],[Level 3]]=Transactions[[#This Row],[L5N]],Transactions[[#This Row],[L4N]],IF(Transactions[[#This Row],[Level 3]]=Transactions[[#This Row],[L6N]],Transactions[[#This Row],[L5N]],IF(Transactions[[#This Row],[Level 3]]=Transactions[[#This Row],[L7N]],Transactions[[#This Row],[L6N]],Transactions[[#This Row],[L7N]]))))))))</f>
        <v>Electricity plants - Autoproducer - Wind</v>
      </c>
      <c r="AW414" s="24" t="str">
        <f>IF(Transactions[[#This Row],[Level 4]]=Transactions[[#This Row],[Transaction name]],Transactions[[#This Row],[Transaction name]],IF(Transactions[[#This Row],[Level 4]]=Transactions[[#This Row],[L1N]],Transactions[[#This Row],[Transaction name]],IF(Transactions[[#This Row],[Level 4]]=Transactions[[#This Row],[L2N]],Transactions[[#This Row],[L1N]],IF(Transactions[[#This Row],[Level 4]]=Transactions[[#This Row],[L3N]],Transactions[[#This Row],[L2N]],IF(Transactions[[#This Row],[Level 4]]=Transactions[[#This Row],[L4N]],Transactions[[#This Row],[L3N]],IF(Transactions[[#This Row],[Level 4]]=Transactions[[#This Row],[L5N]],Transactions[[#This Row],[L4N]],IF(Transactions[[#This Row],[Level 4]]=Transactions[[#This Row],[L6N]],Transactions[[#This Row],[L5N]],IF(Transactions[[#This Row],[Level 4]]=Transactions[[#This Row],[L7N]],Transactions[[#This Row],[L6N]],Transactions[[#This Row],[L7N]]))))))))</f>
        <v>Electricity plants - Autoproducer - Wind</v>
      </c>
      <c r="AX414" s="24" t="str">
        <f>IF(Transactions[[#This Row],[Level 5]]=Transactions[[#This Row],[Transaction name]],Transactions[[#This Row],[Transaction name]],IF(Transactions[[#This Row],[Level 5]]=Transactions[[#This Row],[L1N]],Transactions[[#This Row],[Transaction name]],IF(Transactions[[#This Row],[Level 5]]=Transactions[[#This Row],[L2N]],Transactions[[#This Row],[L1N]],IF(Transactions[[#This Row],[Level 5]]=Transactions[[#This Row],[L3N]],Transactions[[#This Row],[L2N]],IF(Transactions[[#This Row],[Level 5]]=Transactions[[#This Row],[L4N]],Transactions[[#This Row],[L3N]],IF(Transactions[[#This Row],[Level 5]]=Transactions[[#This Row],[L5N]],Transactions[[#This Row],[L4N]],IF(Transactions[[#This Row],[Level 5]]=Transactions[[#This Row],[L6N]],Transactions[[#This Row],[L5N]],IF(Transactions[[#This Row],[Level 5]]=Transactions[[#This Row],[L7N]],Transactions[[#This Row],[L6N]],Transactions[[#This Row],[L7N]]))))))))</f>
        <v>Electricity plants - Autoproducer - Wind</v>
      </c>
      <c r="AY414" s="24" t="str">
        <f>IF(Transactions[[#This Row],[Level 6]]=Transactions[[#This Row],[Transaction name]],Transactions[[#This Row],[Transaction name]],IF(Transactions[[#This Row],[Level 6]]=Transactions[[#This Row],[L1N]],Transactions[[#This Row],[Transaction name]],IF(Transactions[[#This Row],[Level 6]]=Transactions[[#This Row],[L2N]],Transactions[[#This Row],[L1N]],IF(Transactions[[#This Row],[Level 6]]=Transactions[[#This Row],[L3N]],Transactions[[#This Row],[L2N]],IF(Transactions[[#This Row],[Level 6]]=Transactions[[#This Row],[L4N]],Transactions[[#This Row],[L3N]],IF(Transactions[[#This Row],[Level 6]]=Transactions[[#This Row],[L5N]],Transactions[[#This Row],[L4N]],IF(Transactions[[#This Row],[Level 6]]=Transactions[[#This Row],[L6N]],Transactions[[#This Row],[L5N]],IF(Transactions[[#This Row],[Level 6]]=Transactions[[#This Row],[L7N]],Transactions[[#This Row],[L6N]],Transactions[[#This Row],[L7N]]))))))))</f>
        <v>Electricity plants - Autoproducer - Wind</v>
      </c>
      <c r="BE414" s="26" t="str">
        <f>_xlfn.XLOOKUP(Transformation[[#This Row],[cfrom]],Commodities[Commodity],Commodities[Commodity code])</f>
        <v>4640</v>
      </c>
      <c r="BF414" s="26" t="str">
        <f>_xlfn.XLOOKUP(Transformation[[#This Row],[tfrom]],Transactions[Transaction name],Transactions[Transaction code])</f>
        <v>01</v>
      </c>
      <c r="BG414" s="26" t="str">
        <f>_xlfn.XLOOKUP(Transformation[[#This Row],[cto]],Commodities[Commodity],Commodities[Commodity code])</f>
        <v>4640</v>
      </c>
      <c r="BH414" s="26" t="str">
        <f>_xlfn.XLOOKUP(Transformation[[#This Row],[tto]],Transactions[Transaction name],Transactions[Transaction code])</f>
        <v>01</v>
      </c>
      <c r="BI414" s="32">
        <v>-1</v>
      </c>
      <c r="BJ414" s="22" t="s">
        <v>405</v>
      </c>
      <c r="BK414" s="26" t="str">
        <f>_xlfn.XLOOKUP(Transformation[[#This Row],[Commodity from]],Commodities[Commodity code],Commodities[EnergyCode])</f>
        <v>NP</v>
      </c>
      <c r="BL414" s="22" t="s">
        <v>383</v>
      </c>
      <c r="BM414" s="22" t="s">
        <v>405</v>
      </c>
      <c r="BN414" s="26" t="str">
        <f>_xlfn.XLOOKUP(Transformation[[#This Row],[Commodity to]],Commodities[Commodity code],Commodities[EnergyCode])</f>
        <v>NP</v>
      </c>
      <c r="BO414" s="22" t="s">
        <v>383</v>
      </c>
      <c r="BP414" s="22" t="s">
        <v>1633</v>
      </c>
      <c r="BQ414" s="33" t="str">
        <f>Transformation[[#This Row],[Commodity from]]&amp;Transformation[[#This Row],[Transaction from]]&amp;Transformation[[#This Row],[Commodity to]]&amp;Transformation[[#This Row],[Transaction to]]</f>
        <v>464001464001</v>
      </c>
      <c r="BR414" s="26" t="str">
        <f>Transformation[[#This Row],[crfomid]]&amp;Transformation[[#This Row],[Transaction from]]&amp;"("&amp;Transformation[[#This Row],[Multiplier]]&amp;") -&gt; "&amp;Transformation[[#This Row],[ctoid]]&amp;Transformation[[#This Row],[Transaction to]]</f>
        <v>NP01(-1) -&gt; NP01</v>
      </c>
    </row>
    <row r="415" spans="25:70" x14ac:dyDescent="0.45">
      <c r="Y415" s="5" t="s">
        <v>286</v>
      </c>
      <c r="Z415" s="4" t="s">
        <v>806</v>
      </c>
      <c r="AA415" s="4" t="s">
        <v>1331</v>
      </c>
      <c r="AB415" s="19" t="s">
        <v>1605</v>
      </c>
      <c r="AC415" s="24" t="str">
        <f>IFERROR(VLOOKUP(Transactions[[#This Row],[Parent code]],Transactions[[Transaction code]:[Transaction name]],2,0),"")</f>
        <v>Electricity plants - Wind</v>
      </c>
      <c r="AD415" s="4" t="s">
        <v>189</v>
      </c>
      <c r="AE415" s="4" t="s">
        <v>923</v>
      </c>
      <c r="AF415" s="4" t="s">
        <v>642</v>
      </c>
      <c r="AG415" s="4" t="s">
        <v>1</v>
      </c>
      <c r="AH415" s="4" t="s">
        <v>696</v>
      </c>
      <c r="AJ415" s="4" t="s">
        <v>0</v>
      </c>
      <c r="AK415" s="24" t="str" cm="1">
        <f t="array" ref="AK415">IFERROR(INDEX(Transactions[[Transaction code]:[Transaction name]],_xlfn.XMATCH(Transactions[[#This Row],[Parent code]],Transactions[Transaction name],0),3),Transactions[[#This Row],[Transaction name]])</f>
        <v>Electricity plants - Main activity - Wind</v>
      </c>
      <c r="AL415" s="24" t="str" cm="1">
        <f t="array" ref="AL415">IFERROR(INDEX(Transactions[[Transaction code]:[Transaction name]],_xlfn.XMATCH(INDEX(Transactions[[Transaction name]:[Parent code]],_xlfn.XMATCH(Transactions[[#This Row],[L1N]],Transactions[Transaction name],0),3),Transactions[Transaction code],0),2),Transactions[[#This Row],[L1N]])</f>
        <v>Electricity plants - Wind</v>
      </c>
      <c r="AM415" s="24" t="str" cm="1">
        <f t="array" ref="AM415">IFERROR(INDEX(Transactions[[Transaction code]:[Transaction name]],_xlfn.XMATCH(INDEX(Transactions[[Transaction name]:[Parent code]],_xlfn.XMATCH(Transactions[[#This Row],[L2N]],Transactions[Transaction name],0),3),Transactions[Transaction code],0),2),Transactions[[#This Row],[L2N]])</f>
        <v>Electricity plants</v>
      </c>
      <c r="AN415" s="24" t="str" cm="1">
        <f t="array" ref="AN415">IFERROR(INDEX(Transactions[[Transaction code]:[Transaction name]],_xlfn.XMATCH(INDEX(Transactions[[Transaction name]:[Parent code]],_xlfn.XMATCH(Transactions[[#This Row],[L3N]],Transactions[Transaction name],0),3),Transactions[Transaction code],0),2),Transactions[[#This Row],[L3N]])</f>
        <v>Electricity, CHP and heat plants (T)</v>
      </c>
      <c r="AO415" s="24" t="str" cm="1">
        <f t="array" ref="AO415">IFERROR(INDEX(Transactions[[Transaction code]:[Transaction name]],_xlfn.XMATCH(INDEX(Transactions[[Transaction name]:[Parent code]],_xlfn.XMATCH(Transactions[[#This Row],[L4N]],Transactions[Transaction name],0),3),Transactions[Transaction code],0),2),Transactions[[#This Row],[L4N]])</f>
        <v>Transformation</v>
      </c>
      <c r="AP415" s="24" t="str" cm="1">
        <f t="array" ref="AP415">IFERROR(INDEX(Transactions[[Transaction code]:[Transaction name]],_xlfn.XMATCH(INDEX(Transactions[[Transaction name]:[Parent code]],_xlfn.XMATCH(Transactions[[#This Row],[L5N]],Transactions[Transaction name],0),3),Transactions[Transaction code],0),2),Transactions[[#This Row],[L5N]])</f>
        <v>Transformation</v>
      </c>
      <c r="AQ415" s="24" t="str" cm="1">
        <f t="array" ref="AQ415">IFERROR(INDEX(Transactions[[Transaction code]:[Transaction name]],_xlfn.XMATCH(INDEX(Transactions[[Transaction name]:[Parent code]],_xlfn.XMATCH(Transactions[[#This Row],[L6N]],Transactions[Transaction name],0),3),Transactions[Transaction code],0),2),Transactions[[#This Row],[L6N]])</f>
        <v>Transformation</v>
      </c>
      <c r="AR415" s="28" t="str">
        <f>IF(Transactions[[#This Row],[L7N]]=Transactions[[#This Row],[L6N]],Transactions[[#This Row],[L7N]],IF(Transactions[[#This Row],[L6N]]=Transactions[[#This Row],[L5N]],Transactions[[#This Row],[L6N]],IF(Transactions[[#This Row],[L5N]]=Transactions[[#This Row],[L4N]],Transactions[[#This Row],[L5N]],IF(Transactions[[#This Row],[L4N]]=Transactions[[#This Row],[L3N]],Transactions[[#This Row],[L4N]],IF(Transactions[[#This Row],[L3N]]=Transactions[[#This Row],[L2N]],Transactions[[#This Row],[L3N]],IF(Transactions[[#This Row],[L2N]]=Transactions[[#This Row],[L1N]],Transactions[[#This Row],[L2N]],IF(Transactions[[#This Row],[L1N]]=Transactions[[#This Row],[Transaction name]],Transactions[[#This Row],[L1N]],Transactions[[#This Row],[Transaction name]])))))))</f>
        <v>Transformation</v>
      </c>
      <c r="AS415" s="24" t="str">
        <f>IF(Transactions[[#This Row],[Level 0]]=Transactions[[#This Row],[Transaction name]],Transactions[[#This Row],[Transaction name]],IF(Transactions[[#This Row],[Level 0]]=Transactions[[#This Row],[L1N]],Transactions[[#This Row],[Transaction name]],IF(Transactions[[#This Row],[Level 0]]=Transactions[[#This Row],[L2N]],Transactions[[#This Row],[L1N]],IF(Transactions[[#This Row],[Level 0]]=Transactions[[#This Row],[L3N]],Transactions[[#This Row],[L2N]],IF(Transactions[[#This Row],[Level 0]]=Transactions[[#This Row],[L4N]],Transactions[[#This Row],[L3N]],IF(Transactions[[#This Row],[Level 0]]=Transactions[[#This Row],[L5N]],Transactions[[#This Row],[L4N]],IF(Transactions[[#This Row],[Level 0]]=Transactions[[#This Row],[L6N]],Transactions[[#This Row],[L5N]],IF(Transactions[[#This Row],[Level 0]]=Transactions[[#This Row],[L7N]],Transactions[[#This Row],[L6N]],Transactions[[#This Row],[L7N]]))))))))</f>
        <v>Electricity, CHP and heat plants (T)</v>
      </c>
      <c r="AT415" s="24" t="str">
        <f>IF(Transactions[[#This Row],[Level 1]]=Transactions[[#This Row],[Transaction name]],Transactions[[#This Row],[Transaction name]],IF(Transactions[[#This Row],[Level 1]]=Transactions[[#This Row],[L1N]],Transactions[[#This Row],[Transaction name]],IF(Transactions[[#This Row],[Level 1]]=Transactions[[#This Row],[L2N]],Transactions[[#This Row],[L1N]],IF(Transactions[[#This Row],[Level 1]]=Transactions[[#This Row],[L3N]],Transactions[[#This Row],[L2N]],IF(Transactions[[#This Row],[Level 1]]=Transactions[[#This Row],[L4N]],Transactions[[#This Row],[L3N]],IF(Transactions[[#This Row],[Level 1]]=Transactions[[#This Row],[L5N]],Transactions[[#This Row],[L4N]],IF(Transactions[[#This Row],[Level 1]]=Transactions[[#This Row],[L6N]],Transactions[[#This Row],[L5N]],IF(Transactions[[#This Row],[Level 1]]=Transactions[[#This Row],[L7N]],Transactions[[#This Row],[L6N]],Transactions[[#This Row],[L7N]]))))))))</f>
        <v>Electricity plants</v>
      </c>
      <c r="AU415" s="24" t="str">
        <f>IF(Transactions[[#This Row],[Level 2]]=Transactions[[#This Row],[Transaction name]],Transactions[[#This Row],[Transaction name]],IF(Transactions[[#This Row],[Level 2]]=Transactions[[#This Row],[L1N]],Transactions[[#This Row],[Transaction name]],IF(Transactions[[#This Row],[Level 2]]=Transactions[[#This Row],[L2N]],Transactions[[#This Row],[L1N]],IF(Transactions[[#This Row],[Level 2]]=Transactions[[#This Row],[L3N]],Transactions[[#This Row],[L2N]],IF(Transactions[[#This Row],[Level 2]]=Transactions[[#This Row],[L4N]],Transactions[[#This Row],[L3N]],IF(Transactions[[#This Row],[Level 2]]=Transactions[[#This Row],[L5N]],Transactions[[#This Row],[L4N]],IF(Transactions[[#This Row],[Level 2]]=Transactions[[#This Row],[L6N]],Transactions[[#This Row],[L5N]],IF(Transactions[[#This Row],[Level 2]]=Transactions[[#This Row],[L7N]],Transactions[[#This Row],[L6N]],Transactions[[#This Row],[L7N]]))))))))</f>
        <v>Electricity plants - Wind</v>
      </c>
      <c r="AV415" s="24" t="str">
        <f>IF(Transactions[[#This Row],[Level 3]]=Transactions[[#This Row],[Transaction name]],Transactions[[#This Row],[Transaction name]],IF(Transactions[[#This Row],[Level 3]]=Transactions[[#This Row],[L1N]],Transactions[[#This Row],[Transaction name]],IF(Transactions[[#This Row],[Level 3]]=Transactions[[#This Row],[L2N]],Transactions[[#This Row],[L1N]],IF(Transactions[[#This Row],[Level 3]]=Transactions[[#This Row],[L3N]],Transactions[[#This Row],[L2N]],IF(Transactions[[#This Row],[Level 3]]=Transactions[[#This Row],[L4N]],Transactions[[#This Row],[L3N]],IF(Transactions[[#This Row],[Level 3]]=Transactions[[#This Row],[L5N]],Transactions[[#This Row],[L4N]],IF(Transactions[[#This Row],[Level 3]]=Transactions[[#This Row],[L6N]],Transactions[[#This Row],[L5N]],IF(Transactions[[#This Row],[Level 3]]=Transactions[[#This Row],[L7N]],Transactions[[#This Row],[L6N]],Transactions[[#This Row],[L7N]]))))))))</f>
        <v>Electricity plants - Main activity - Wind</v>
      </c>
      <c r="AW415" s="24" t="str">
        <f>IF(Transactions[[#This Row],[Level 4]]=Transactions[[#This Row],[Transaction name]],Transactions[[#This Row],[Transaction name]],IF(Transactions[[#This Row],[Level 4]]=Transactions[[#This Row],[L1N]],Transactions[[#This Row],[Transaction name]],IF(Transactions[[#This Row],[Level 4]]=Transactions[[#This Row],[L2N]],Transactions[[#This Row],[L1N]],IF(Transactions[[#This Row],[Level 4]]=Transactions[[#This Row],[L3N]],Transactions[[#This Row],[L2N]],IF(Transactions[[#This Row],[Level 4]]=Transactions[[#This Row],[L4N]],Transactions[[#This Row],[L3N]],IF(Transactions[[#This Row],[Level 4]]=Transactions[[#This Row],[L5N]],Transactions[[#This Row],[L4N]],IF(Transactions[[#This Row],[Level 4]]=Transactions[[#This Row],[L6N]],Transactions[[#This Row],[L5N]],IF(Transactions[[#This Row],[Level 4]]=Transactions[[#This Row],[L7N]],Transactions[[#This Row],[L6N]],Transactions[[#This Row],[L7N]]))))))))</f>
        <v>Electricity plants - Main activity - Wind</v>
      </c>
      <c r="AX415" s="24" t="str">
        <f>IF(Transactions[[#This Row],[Level 5]]=Transactions[[#This Row],[Transaction name]],Transactions[[#This Row],[Transaction name]],IF(Transactions[[#This Row],[Level 5]]=Transactions[[#This Row],[L1N]],Transactions[[#This Row],[Transaction name]],IF(Transactions[[#This Row],[Level 5]]=Transactions[[#This Row],[L2N]],Transactions[[#This Row],[L1N]],IF(Transactions[[#This Row],[Level 5]]=Transactions[[#This Row],[L3N]],Transactions[[#This Row],[L2N]],IF(Transactions[[#This Row],[Level 5]]=Transactions[[#This Row],[L4N]],Transactions[[#This Row],[L3N]],IF(Transactions[[#This Row],[Level 5]]=Transactions[[#This Row],[L5N]],Transactions[[#This Row],[L4N]],IF(Transactions[[#This Row],[Level 5]]=Transactions[[#This Row],[L6N]],Transactions[[#This Row],[L5N]],IF(Transactions[[#This Row],[Level 5]]=Transactions[[#This Row],[L7N]],Transactions[[#This Row],[L6N]],Transactions[[#This Row],[L7N]]))))))))</f>
        <v>Electricity plants - Main activity - Wind</v>
      </c>
      <c r="AY415" s="24" t="str">
        <f>IF(Transactions[[#This Row],[Level 6]]=Transactions[[#This Row],[Transaction name]],Transactions[[#This Row],[Transaction name]],IF(Transactions[[#This Row],[Level 6]]=Transactions[[#This Row],[L1N]],Transactions[[#This Row],[Transaction name]],IF(Transactions[[#This Row],[Level 6]]=Transactions[[#This Row],[L2N]],Transactions[[#This Row],[L1N]],IF(Transactions[[#This Row],[Level 6]]=Transactions[[#This Row],[L3N]],Transactions[[#This Row],[L2N]],IF(Transactions[[#This Row],[Level 6]]=Transactions[[#This Row],[L4N]],Transactions[[#This Row],[L3N]],IF(Transactions[[#This Row],[Level 6]]=Transactions[[#This Row],[L5N]],Transactions[[#This Row],[L4N]],IF(Transactions[[#This Row],[Level 6]]=Transactions[[#This Row],[L6N]],Transactions[[#This Row],[L5N]],IF(Transactions[[#This Row],[Level 6]]=Transactions[[#This Row],[L7N]],Transactions[[#This Row],[L6N]],Transactions[[#This Row],[L7N]]))))))))</f>
        <v>Electricity plants - Main activity - Wind</v>
      </c>
      <c r="BE415" s="26" t="str">
        <f>_xlfn.XLOOKUP(Transformation[[#This Row],[cfrom]],Commodities[Commodity],Commodities[Commodity code])</f>
        <v>4640</v>
      </c>
      <c r="BF415" s="26" t="str">
        <f>_xlfn.XLOOKUP(Transformation[[#This Row],[tfrom]],Transactions[Transaction name],Transactions[Transaction code])</f>
        <v>022</v>
      </c>
      <c r="BG415" s="26" t="str">
        <f>_xlfn.XLOOKUP(Transformation[[#This Row],[cto]],Commodities[Commodity],Commodities[Commodity code])</f>
        <v>4640</v>
      </c>
      <c r="BH415" s="26" t="str">
        <f>_xlfn.XLOOKUP(Transformation[[#This Row],[tto]],Transactions[Transaction name],Transactions[Transaction code])</f>
        <v>022</v>
      </c>
      <c r="BI415" s="32">
        <v>-1</v>
      </c>
      <c r="BJ415" s="22" t="s">
        <v>405</v>
      </c>
      <c r="BK415" s="26" t="str">
        <f>_xlfn.XLOOKUP(Transformation[[#This Row],[Commodity from]],Commodities[Commodity code],Commodities[EnergyCode])</f>
        <v>NP</v>
      </c>
      <c r="BL415" s="22" t="s">
        <v>205</v>
      </c>
      <c r="BM415" s="22" t="s">
        <v>405</v>
      </c>
      <c r="BN415" s="26" t="str">
        <f>_xlfn.XLOOKUP(Transformation[[#This Row],[Commodity to]],Commodities[Commodity code],Commodities[EnergyCode])</f>
        <v>NP</v>
      </c>
      <c r="BO415" s="22" t="s">
        <v>205</v>
      </c>
      <c r="BP415" s="22" t="s">
        <v>1639</v>
      </c>
      <c r="BQ415" s="33" t="str">
        <f>Transformation[[#This Row],[Commodity from]]&amp;Transformation[[#This Row],[Transaction from]]&amp;Transformation[[#This Row],[Commodity to]]&amp;Transformation[[#This Row],[Transaction to]]</f>
        <v>46400224640022</v>
      </c>
      <c r="BR415" s="26" t="str">
        <f>Transformation[[#This Row],[crfomid]]&amp;Transformation[[#This Row],[Transaction from]]&amp;"("&amp;Transformation[[#This Row],[Multiplier]]&amp;") -&gt; "&amp;Transformation[[#This Row],[ctoid]]&amp;Transformation[[#This Row],[Transaction to]]</f>
        <v>NP022(-1) -&gt; NP022</v>
      </c>
    </row>
    <row r="416" spans="25:70" x14ac:dyDescent="0.45">
      <c r="Y416" s="19" t="s">
        <v>1605</v>
      </c>
      <c r="Z416" s="18" t="s">
        <v>1331</v>
      </c>
      <c r="AA416" s="18" t="s">
        <v>1331</v>
      </c>
      <c r="AB416" s="19" t="s">
        <v>1600</v>
      </c>
      <c r="AC416" s="26" t="str">
        <f>IFERROR(VLOOKUP(Transactions[[#This Row],[Parent code]],Transactions[[Transaction code]:[Transaction name]],2,0),"")</f>
        <v>Electricity plants</v>
      </c>
      <c r="AD416" s="18" t="s">
        <v>189</v>
      </c>
      <c r="AE416" s="18" t="s">
        <v>923</v>
      </c>
      <c r="AF416" s="18" t="s">
        <v>642</v>
      </c>
      <c r="AG416" s="18" t="s">
        <v>1</v>
      </c>
      <c r="AH416" s="18" t="s">
        <v>696</v>
      </c>
      <c r="AI416" s="18"/>
      <c r="AJ416" s="18" t="s">
        <v>0</v>
      </c>
      <c r="AK416" s="26" t="str" cm="1">
        <f t="array" ref="AK416">IFERROR(INDEX(Transactions[[Transaction code]:[Transaction name]],_xlfn.XMATCH(Transactions[[#This Row],[Parent code]],Transactions[Transaction name],0),3),Transactions[[#This Row],[Transaction name]])</f>
        <v>Electricity plants - Wind</v>
      </c>
      <c r="AL416" s="26" t="str" cm="1">
        <f t="array" ref="AL416">IFERROR(INDEX(Transactions[[Transaction code]:[Transaction name]],_xlfn.XMATCH(INDEX(Transactions[[Transaction name]:[Parent code]],_xlfn.XMATCH(Transactions[[#This Row],[L1N]],Transactions[Transaction name],0),3),Transactions[Transaction code],0),2),Transactions[[#This Row],[L1N]])</f>
        <v>Electricity plants</v>
      </c>
      <c r="AM416" s="26" t="str" cm="1">
        <f t="array" ref="AM416">IFERROR(INDEX(Transactions[[Transaction code]:[Transaction name]],_xlfn.XMATCH(INDEX(Transactions[[Transaction name]:[Parent code]],_xlfn.XMATCH(Transactions[[#This Row],[L2N]],Transactions[Transaction name],0),3),Transactions[Transaction code],0),2),Transactions[[#This Row],[L2N]])</f>
        <v>Electricity, CHP and heat plants (T)</v>
      </c>
      <c r="AN416" s="26" t="str" cm="1">
        <f t="array" ref="AN416">IFERROR(INDEX(Transactions[[Transaction code]:[Transaction name]],_xlfn.XMATCH(INDEX(Transactions[[Transaction name]:[Parent code]],_xlfn.XMATCH(Transactions[[#This Row],[L3N]],Transactions[Transaction name],0),3),Transactions[Transaction code],0),2),Transactions[[#This Row],[L3N]])</f>
        <v>Transformation</v>
      </c>
      <c r="AO416" s="26" t="str" cm="1">
        <f t="array" ref="AO416">IFERROR(INDEX(Transactions[[Transaction code]:[Transaction name]],_xlfn.XMATCH(INDEX(Transactions[[Transaction name]:[Parent code]],_xlfn.XMATCH(Transactions[[#This Row],[L4N]],Transactions[Transaction name],0),3),Transactions[Transaction code],0),2),Transactions[[#This Row],[L4N]])</f>
        <v>Transformation</v>
      </c>
      <c r="AP416" s="26" t="str" cm="1">
        <f t="array" ref="AP416">IFERROR(INDEX(Transactions[[Transaction code]:[Transaction name]],_xlfn.XMATCH(INDEX(Transactions[[Transaction name]:[Parent code]],_xlfn.XMATCH(Transactions[[#This Row],[L5N]],Transactions[Transaction name],0),3),Transactions[Transaction code],0),2),Transactions[[#This Row],[L5N]])</f>
        <v>Transformation</v>
      </c>
      <c r="AQ416" s="26" t="str" cm="1">
        <f t="array" ref="AQ416">IFERROR(INDEX(Transactions[[Transaction code]:[Transaction name]],_xlfn.XMATCH(INDEX(Transactions[[Transaction name]:[Parent code]],_xlfn.XMATCH(Transactions[[#This Row],[L6N]],Transactions[Transaction name],0),3),Transactions[Transaction code],0),2),Transactions[[#This Row],[L6N]])</f>
        <v>Transformation</v>
      </c>
      <c r="AR416" s="29" t="str">
        <f>IF(Transactions[[#This Row],[L7N]]=Transactions[[#This Row],[L6N]],Transactions[[#This Row],[L7N]],IF(Transactions[[#This Row],[L6N]]=Transactions[[#This Row],[L5N]],Transactions[[#This Row],[L6N]],IF(Transactions[[#This Row],[L5N]]=Transactions[[#This Row],[L4N]],Transactions[[#This Row],[L5N]],IF(Transactions[[#This Row],[L4N]]=Transactions[[#This Row],[L3N]],Transactions[[#This Row],[L4N]],IF(Transactions[[#This Row],[L3N]]=Transactions[[#This Row],[L2N]],Transactions[[#This Row],[L3N]],IF(Transactions[[#This Row],[L2N]]=Transactions[[#This Row],[L1N]],Transactions[[#This Row],[L2N]],IF(Transactions[[#This Row],[L1N]]=Transactions[[#This Row],[Transaction name]],Transactions[[#This Row],[L1N]],Transactions[[#This Row],[Transaction name]])))))))</f>
        <v>Transformation</v>
      </c>
      <c r="AS416" s="26" t="str">
        <f>IF(Transactions[[#This Row],[Level 0]]=Transactions[[#This Row],[Transaction name]],Transactions[[#This Row],[Transaction name]],IF(Transactions[[#This Row],[Level 0]]=Transactions[[#This Row],[L1N]],Transactions[[#This Row],[Transaction name]],IF(Transactions[[#This Row],[Level 0]]=Transactions[[#This Row],[L2N]],Transactions[[#This Row],[L1N]],IF(Transactions[[#This Row],[Level 0]]=Transactions[[#This Row],[L3N]],Transactions[[#This Row],[L2N]],IF(Transactions[[#This Row],[Level 0]]=Transactions[[#This Row],[L4N]],Transactions[[#This Row],[L3N]],IF(Transactions[[#This Row],[Level 0]]=Transactions[[#This Row],[L5N]],Transactions[[#This Row],[L4N]],IF(Transactions[[#This Row],[Level 0]]=Transactions[[#This Row],[L6N]],Transactions[[#This Row],[L5N]],IF(Transactions[[#This Row],[Level 0]]=Transactions[[#This Row],[L7N]],Transactions[[#This Row],[L6N]],Transactions[[#This Row],[L7N]]))))))))</f>
        <v>Electricity, CHP and heat plants (T)</v>
      </c>
      <c r="AT416" s="26" t="str">
        <f>IF(Transactions[[#This Row],[Level 1]]=Transactions[[#This Row],[Transaction name]],Transactions[[#This Row],[Transaction name]],IF(Transactions[[#This Row],[Level 1]]=Transactions[[#This Row],[L1N]],Transactions[[#This Row],[Transaction name]],IF(Transactions[[#This Row],[Level 1]]=Transactions[[#This Row],[L2N]],Transactions[[#This Row],[L1N]],IF(Transactions[[#This Row],[Level 1]]=Transactions[[#This Row],[L3N]],Transactions[[#This Row],[L2N]],IF(Transactions[[#This Row],[Level 1]]=Transactions[[#This Row],[L4N]],Transactions[[#This Row],[L3N]],IF(Transactions[[#This Row],[Level 1]]=Transactions[[#This Row],[L5N]],Transactions[[#This Row],[L4N]],IF(Transactions[[#This Row],[Level 1]]=Transactions[[#This Row],[L6N]],Transactions[[#This Row],[L5N]],IF(Transactions[[#This Row],[Level 1]]=Transactions[[#This Row],[L7N]],Transactions[[#This Row],[L6N]],Transactions[[#This Row],[L7N]]))))))))</f>
        <v>Electricity plants</v>
      </c>
      <c r="AU416" s="26" t="str">
        <f>IF(Transactions[[#This Row],[Level 2]]=Transactions[[#This Row],[Transaction name]],Transactions[[#This Row],[Transaction name]],IF(Transactions[[#This Row],[Level 2]]=Transactions[[#This Row],[L1N]],Transactions[[#This Row],[Transaction name]],IF(Transactions[[#This Row],[Level 2]]=Transactions[[#This Row],[L2N]],Transactions[[#This Row],[L1N]],IF(Transactions[[#This Row],[Level 2]]=Transactions[[#This Row],[L3N]],Transactions[[#This Row],[L2N]],IF(Transactions[[#This Row],[Level 2]]=Transactions[[#This Row],[L4N]],Transactions[[#This Row],[L3N]],IF(Transactions[[#This Row],[Level 2]]=Transactions[[#This Row],[L5N]],Transactions[[#This Row],[L4N]],IF(Transactions[[#This Row],[Level 2]]=Transactions[[#This Row],[L6N]],Transactions[[#This Row],[L5N]],IF(Transactions[[#This Row],[Level 2]]=Transactions[[#This Row],[L7N]],Transactions[[#This Row],[L6N]],Transactions[[#This Row],[L7N]]))))))))</f>
        <v>Electricity plants - Wind</v>
      </c>
      <c r="AV416" s="26" t="str">
        <f>IF(Transactions[[#This Row],[Level 3]]=Transactions[[#This Row],[Transaction name]],Transactions[[#This Row],[Transaction name]],IF(Transactions[[#This Row],[Level 3]]=Transactions[[#This Row],[L1N]],Transactions[[#This Row],[Transaction name]],IF(Transactions[[#This Row],[Level 3]]=Transactions[[#This Row],[L2N]],Transactions[[#This Row],[L1N]],IF(Transactions[[#This Row],[Level 3]]=Transactions[[#This Row],[L3N]],Transactions[[#This Row],[L2N]],IF(Transactions[[#This Row],[Level 3]]=Transactions[[#This Row],[L4N]],Transactions[[#This Row],[L3N]],IF(Transactions[[#This Row],[Level 3]]=Transactions[[#This Row],[L5N]],Transactions[[#This Row],[L4N]],IF(Transactions[[#This Row],[Level 3]]=Transactions[[#This Row],[L6N]],Transactions[[#This Row],[L5N]],IF(Transactions[[#This Row],[Level 3]]=Transactions[[#This Row],[L7N]],Transactions[[#This Row],[L6N]],Transactions[[#This Row],[L7N]]))))))))</f>
        <v>Electricity plants - Wind</v>
      </c>
      <c r="AW416" s="26" t="str">
        <f>IF(Transactions[[#This Row],[Level 4]]=Transactions[[#This Row],[Transaction name]],Transactions[[#This Row],[Transaction name]],IF(Transactions[[#This Row],[Level 4]]=Transactions[[#This Row],[L1N]],Transactions[[#This Row],[Transaction name]],IF(Transactions[[#This Row],[Level 4]]=Transactions[[#This Row],[L2N]],Transactions[[#This Row],[L1N]],IF(Transactions[[#This Row],[Level 4]]=Transactions[[#This Row],[L3N]],Transactions[[#This Row],[L2N]],IF(Transactions[[#This Row],[Level 4]]=Transactions[[#This Row],[L4N]],Transactions[[#This Row],[L3N]],IF(Transactions[[#This Row],[Level 4]]=Transactions[[#This Row],[L5N]],Transactions[[#This Row],[L4N]],IF(Transactions[[#This Row],[Level 4]]=Transactions[[#This Row],[L6N]],Transactions[[#This Row],[L5N]],IF(Transactions[[#This Row],[Level 4]]=Transactions[[#This Row],[L7N]],Transactions[[#This Row],[L6N]],Transactions[[#This Row],[L7N]]))))))))</f>
        <v>Electricity plants - Wind</v>
      </c>
      <c r="AX416" s="26" t="str">
        <f>IF(Transactions[[#This Row],[Level 5]]=Transactions[[#This Row],[Transaction name]],Transactions[[#This Row],[Transaction name]],IF(Transactions[[#This Row],[Level 5]]=Transactions[[#This Row],[L1N]],Transactions[[#This Row],[Transaction name]],IF(Transactions[[#This Row],[Level 5]]=Transactions[[#This Row],[L2N]],Transactions[[#This Row],[L1N]],IF(Transactions[[#This Row],[Level 5]]=Transactions[[#This Row],[L3N]],Transactions[[#This Row],[L2N]],IF(Transactions[[#This Row],[Level 5]]=Transactions[[#This Row],[L4N]],Transactions[[#This Row],[L3N]],IF(Transactions[[#This Row],[Level 5]]=Transactions[[#This Row],[L5N]],Transactions[[#This Row],[L4N]],IF(Transactions[[#This Row],[Level 5]]=Transactions[[#This Row],[L6N]],Transactions[[#This Row],[L5N]],IF(Transactions[[#This Row],[Level 5]]=Transactions[[#This Row],[L7N]],Transactions[[#This Row],[L6N]],Transactions[[#This Row],[L7N]]))))))))</f>
        <v>Electricity plants - Wind</v>
      </c>
      <c r="AY416" s="26" t="str">
        <f>IF(Transactions[[#This Row],[Level 6]]=Transactions[[#This Row],[Transaction name]],Transactions[[#This Row],[Transaction name]],IF(Transactions[[#This Row],[Level 6]]=Transactions[[#This Row],[L1N]],Transactions[[#This Row],[Transaction name]],IF(Transactions[[#This Row],[Level 6]]=Transactions[[#This Row],[L2N]],Transactions[[#This Row],[L1N]],IF(Transactions[[#This Row],[Level 6]]=Transactions[[#This Row],[L3N]],Transactions[[#This Row],[L2N]],IF(Transactions[[#This Row],[Level 6]]=Transactions[[#This Row],[L4N]],Transactions[[#This Row],[L3N]],IF(Transactions[[#This Row],[Level 6]]=Transactions[[#This Row],[L5N]],Transactions[[#This Row],[L4N]],IF(Transactions[[#This Row],[Level 6]]=Transactions[[#This Row],[L6N]],Transactions[[#This Row],[L5N]],IF(Transactions[[#This Row],[Level 6]]=Transactions[[#This Row],[L7N]],Transactions[[#This Row],[L6N]],Transactions[[#This Row],[L7N]]))))))))</f>
        <v>Electricity plants - Wind</v>
      </c>
      <c r="BE416" s="26" t="str">
        <f>_xlfn.XLOOKUP(Transformation[[#This Row],[cfrom]],Commodities[Commodity],Commodities[Commodity code])</f>
        <v>4640</v>
      </c>
      <c r="BF416" s="26" t="str">
        <f>_xlfn.XLOOKUP(Transformation[[#This Row],[tfrom]],Transactions[Transaction name],Transactions[Transaction code])</f>
        <v>022</v>
      </c>
      <c r="BG416" s="26" t="str">
        <f>_xlfn.XLOOKUP(Transformation[[#This Row],[cto]],Commodities[Commodity],Commodities[Commodity code])</f>
        <v>4640</v>
      </c>
      <c r="BH416" s="26" t="str">
        <f>_xlfn.XLOOKUP(Transformation[[#This Row],[tto]],Transactions[Transaction name],Transactions[Transaction code])</f>
        <v>013</v>
      </c>
      <c r="BI416" s="31">
        <v>1</v>
      </c>
      <c r="BJ416" s="22" t="s">
        <v>405</v>
      </c>
      <c r="BK416" s="26" t="str">
        <f>_xlfn.XLOOKUP(Transformation[[#This Row],[Commodity from]],Commodities[Commodity code],Commodities[EnergyCode])</f>
        <v>NP</v>
      </c>
      <c r="BL416" s="22" t="s">
        <v>205</v>
      </c>
      <c r="BM416" s="22" t="s">
        <v>405</v>
      </c>
      <c r="BN416" s="26" t="str">
        <f>_xlfn.XLOOKUP(Transformation[[#This Row],[Commodity to]],Commodities[Commodity code],Commodities[EnergyCode])</f>
        <v>NP</v>
      </c>
      <c r="BO416" s="22" t="s">
        <v>374</v>
      </c>
      <c r="BP416" s="22" t="s">
        <v>1694</v>
      </c>
      <c r="BQ416" s="33" t="str">
        <f>Transformation[[#This Row],[Commodity from]]&amp;Transformation[[#This Row],[Transaction from]]&amp;Transformation[[#This Row],[Commodity to]]&amp;Transformation[[#This Row],[Transaction to]]</f>
        <v>46400224640013</v>
      </c>
      <c r="BR416" s="26" t="str">
        <f>Transformation[[#This Row],[crfomid]]&amp;Transformation[[#This Row],[Transaction from]]&amp;"("&amp;Transformation[[#This Row],[Multiplier]]&amp;") -&gt; "&amp;Transformation[[#This Row],[ctoid]]&amp;Transformation[[#This Row],[Transaction to]]</f>
        <v>NP022(1) -&gt; NP013</v>
      </c>
    </row>
    <row r="417" spans="25:70" x14ac:dyDescent="0.45">
      <c r="Y417" s="5" t="s">
        <v>1111</v>
      </c>
      <c r="Z417" s="7" t="s">
        <v>1119</v>
      </c>
      <c r="AA417" s="4" t="s">
        <v>1360</v>
      </c>
      <c r="AB417" s="19" t="s">
        <v>1606</v>
      </c>
      <c r="AC417" s="24" t="str">
        <f>IFERROR(VLOOKUP(Transactions[[#This Row],[Parent code]],Transactions[[Transaction code]:[Transaction name]],2,0),"")</f>
        <v>Electricity plants - wood</v>
      </c>
      <c r="AD417" s="4" t="s">
        <v>189</v>
      </c>
      <c r="AE417" s="4" t="s">
        <v>923</v>
      </c>
      <c r="AF417" s="4" t="s">
        <v>642</v>
      </c>
      <c r="AG417" s="4" t="s">
        <v>1</v>
      </c>
      <c r="AH417" s="4" t="s">
        <v>696</v>
      </c>
      <c r="AI417" s="12" t="s">
        <v>1416</v>
      </c>
      <c r="AK417" s="24" t="str" cm="1">
        <f t="array" ref="AK417">IFERROR(INDEX(Transactions[[Transaction code]:[Transaction name]],_xlfn.XMATCH(Transactions[[#This Row],[Parent code]],Transactions[Transaction name],0),3),Transactions[[#This Row],[Transaction name]])</f>
        <v>Electricity plants - Autoproducer - wood</v>
      </c>
      <c r="AL417" s="24" t="str" cm="1">
        <f t="array" ref="AL417">IFERROR(INDEX(Transactions[[Transaction code]:[Transaction name]],_xlfn.XMATCH(INDEX(Transactions[[Transaction name]:[Parent code]],_xlfn.XMATCH(Transactions[[#This Row],[L1N]],Transactions[Transaction name],0),3),Transactions[Transaction code],0),2),Transactions[[#This Row],[L1N]])</f>
        <v>Electricity plants - wood</v>
      </c>
      <c r="AM417" s="24" t="str" cm="1">
        <f t="array" ref="AM417">IFERROR(INDEX(Transactions[[Transaction code]:[Transaction name]],_xlfn.XMATCH(INDEX(Transactions[[Transaction name]:[Parent code]],_xlfn.XMATCH(Transactions[[#This Row],[L2N]],Transactions[Transaction name],0),3),Transactions[Transaction code],0),2),Transactions[[#This Row],[L2N]])</f>
        <v>Electricity plants</v>
      </c>
      <c r="AN417" s="24" t="str" cm="1">
        <f t="array" ref="AN417">IFERROR(INDEX(Transactions[[Transaction code]:[Transaction name]],_xlfn.XMATCH(INDEX(Transactions[[Transaction name]:[Parent code]],_xlfn.XMATCH(Transactions[[#This Row],[L3N]],Transactions[Transaction name],0),3),Transactions[Transaction code],0),2),Transactions[[#This Row],[L3N]])</f>
        <v>Electricity, CHP and heat plants (T)</v>
      </c>
      <c r="AO417" s="24" t="str" cm="1">
        <f t="array" ref="AO417">IFERROR(INDEX(Transactions[[Transaction code]:[Transaction name]],_xlfn.XMATCH(INDEX(Transactions[[Transaction name]:[Parent code]],_xlfn.XMATCH(Transactions[[#This Row],[L4N]],Transactions[Transaction name],0),3),Transactions[Transaction code],0),2),Transactions[[#This Row],[L4N]])</f>
        <v>Transformation</v>
      </c>
      <c r="AP417" s="24" t="str" cm="1">
        <f t="array" ref="AP417">IFERROR(INDEX(Transactions[[Transaction code]:[Transaction name]],_xlfn.XMATCH(INDEX(Transactions[[Transaction name]:[Parent code]],_xlfn.XMATCH(Transactions[[#This Row],[L5N]],Transactions[Transaction name],0),3),Transactions[Transaction code],0),2),Transactions[[#This Row],[L5N]])</f>
        <v>Transformation</v>
      </c>
      <c r="AQ417" s="24" t="str" cm="1">
        <f t="array" ref="AQ417">IFERROR(INDEX(Transactions[[Transaction code]:[Transaction name]],_xlfn.XMATCH(INDEX(Transactions[[Transaction name]:[Parent code]],_xlfn.XMATCH(Transactions[[#This Row],[L6N]],Transactions[Transaction name],0),3),Transactions[Transaction code],0),2),Transactions[[#This Row],[L6N]])</f>
        <v>Transformation</v>
      </c>
      <c r="AR417" s="28" t="str">
        <f>IF(Transactions[[#This Row],[L7N]]=Transactions[[#This Row],[L6N]],Transactions[[#This Row],[L7N]],IF(Transactions[[#This Row],[L6N]]=Transactions[[#This Row],[L5N]],Transactions[[#This Row],[L6N]],IF(Transactions[[#This Row],[L5N]]=Transactions[[#This Row],[L4N]],Transactions[[#This Row],[L5N]],IF(Transactions[[#This Row],[L4N]]=Transactions[[#This Row],[L3N]],Transactions[[#This Row],[L4N]],IF(Transactions[[#This Row],[L3N]]=Transactions[[#This Row],[L2N]],Transactions[[#This Row],[L3N]],IF(Transactions[[#This Row],[L2N]]=Transactions[[#This Row],[L1N]],Transactions[[#This Row],[L2N]],IF(Transactions[[#This Row],[L1N]]=Transactions[[#This Row],[Transaction name]],Transactions[[#This Row],[L1N]],Transactions[[#This Row],[Transaction name]])))))))</f>
        <v>Transformation</v>
      </c>
      <c r="AS417" s="24" t="str">
        <f>IF(Transactions[[#This Row],[Level 0]]=Transactions[[#This Row],[Transaction name]],Transactions[[#This Row],[Transaction name]],IF(Transactions[[#This Row],[Level 0]]=Transactions[[#This Row],[L1N]],Transactions[[#This Row],[Transaction name]],IF(Transactions[[#This Row],[Level 0]]=Transactions[[#This Row],[L2N]],Transactions[[#This Row],[L1N]],IF(Transactions[[#This Row],[Level 0]]=Transactions[[#This Row],[L3N]],Transactions[[#This Row],[L2N]],IF(Transactions[[#This Row],[Level 0]]=Transactions[[#This Row],[L4N]],Transactions[[#This Row],[L3N]],IF(Transactions[[#This Row],[Level 0]]=Transactions[[#This Row],[L5N]],Transactions[[#This Row],[L4N]],IF(Transactions[[#This Row],[Level 0]]=Transactions[[#This Row],[L6N]],Transactions[[#This Row],[L5N]],IF(Transactions[[#This Row],[Level 0]]=Transactions[[#This Row],[L7N]],Transactions[[#This Row],[L6N]],Transactions[[#This Row],[L7N]]))))))))</f>
        <v>Electricity, CHP and heat plants (T)</v>
      </c>
      <c r="AT417" s="24" t="str">
        <f>IF(Transactions[[#This Row],[Level 1]]=Transactions[[#This Row],[Transaction name]],Transactions[[#This Row],[Transaction name]],IF(Transactions[[#This Row],[Level 1]]=Transactions[[#This Row],[L1N]],Transactions[[#This Row],[Transaction name]],IF(Transactions[[#This Row],[Level 1]]=Transactions[[#This Row],[L2N]],Transactions[[#This Row],[L1N]],IF(Transactions[[#This Row],[Level 1]]=Transactions[[#This Row],[L3N]],Transactions[[#This Row],[L2N]],IF(Transactions[[#This Row],[Level 1]]=Transactions[[#This Row],[L4N]],Transactions[[#This Row],[L3N]],IF(Transactions[[#This Row],[Level 1]]=Transactions[[#This Row],[L5N]],Transactions[[#This Row],[L4N]],IF(Transactions[[#This Row],[Level 1]]=Transactions[[#This Row],[L6N]],Transactions[[#This Row],[L5N]],IF(Transactions[[#This Row],[Level 1]]=Transactions[[#This Row],[L7N]],Transactions[[#This Row],[L6N]],Transactions[[#This Row],[L7N]]))))))))</f>
        <v>Electricity plants</v>
      </c>
      <c r="AU417" s="24" t="str">
        <f>IF(Transactions[[#This Row],[Level 2]]=Transactions[[#This Row],[Transaction name]],Transactions[[#This Row],[Transaction name]],IF(Transactions[[#This Row],[Level 2]]=Transactions[[#This Row],[L1N]],Transactions[[#This Row],[Transaction name]],IF(Transactions[[#This Row],[Level 2]]=Transactions[[#This Row],[L2N]],Transactions[[#This Row],[L1N]],IF(Transactions[[#This Row],[Level 2]]=Transactions[[#This Row],[L3N]],Transactions[[#This Row],[L2N]],IF(Transactions[[#This Row],[Level 2]]=Transactions[[#This Row],[L4N]],Transactions[[#This Row],[L3N]],IF(Transactions[[#This Row],[Level 2]]=Transactions[[#This Row],[L5N]],Transactions[[#This Row],[L4N]],IF(Transactions[[#This Row],[Level 2]]=Transactions[[#This Row],[L6N]],Transactions[[#This Row],[L5N]],IF(Transactions[[#This Row],[Level 2]]=Transactions[[#This Row],[L7N]],Transactions[[#This Row],[L6N]],Transactions[[#This Row],[L7N]]))))))))</f>
        <v>Electricity plants - wood</v>
      </c>
      <c r="AV417" s="24" t="str">
        <f>IF(Transactions[[#This Row],[Level 3]]=Transactions[[#This Row],[Transaction name]],Transactions[[#This Row],[Transaction name]],IF(Transactions[[#This Row],[Level 3]]=Transactions[[#This Row],[L1N]],Transactions[[#This Row],[Transaction name]],IF(Transactions[[#This Row],[Level 3]]=Transactions[[#This Row],[L2N]],Transactions[[#This Row],[L1N]],IF(Transactions[[#This Row],[Level 3]]=Transactions[[#This Row],[L3N]],Transactions[[#This Row],[L2N]],IF(Transactions[[#This Row],[Level 3]]=Transactions[[#This Row],[L4N]],Transactions[[#This Row],[L3N]],IF(Transactions[[#This Row],[Level 3]]=Transactions[[#This Row],[L5N]],Transactions[[#This Row],[L4N]],IF(Transactions[[#This Row],[Level 3]]=Transactions[[#This Row],[L6N]],Transactions[[#This Row],[L5N]],IF(Transactions[[#This Row],[Level 3]]=Transactions[[#This Row],[L7N]],Transactions[[#This Row],[L6N]],Transactions[[#This Row],[L7N]]))))))))</f>
        <v>Electricity plants - Autoproducer - wood</v>
      </c>
      <c r="AW417" s="24" t="str">
        <f>IF(Transactions[[#This Row],[Level 4]]=Transactions[[#This Row],[Transaction name]],Transactions[[#This Row],[Transaction name]],IF(Transactions[[#This Row],[Level 4]]=Transactions[[#This Row],[L1N]],Transactions[[#This Row],[Transaction name]],IF(Transactions[[#This Row],[Level 4]]=Transactions[[#This Row],[L2N]],Transactions[[#This Row],[L1N]],IF(Transactions[[#This Row],[Level 4]]=Transactions[[#This Row],[L3N]],Transactions[[#This Row],[L2N]],IF(Transactions[[#This Row],[Level 4]]=Transactions[[#This Row],[L4N]],Transactions[[#This Row],[L3N]],IF(Transactions[[#This Row],[Level 4]]=Transactions[[#This Row],[L5N]],Transactions[[#This Row],[L4N]],IF(Transactions[[#This Row],[Level 4]]=Transactions[[#This Row],[L6N]],Transactions[[#This Row],[L5N]],IF(Transactions[[#This Row],[Level 4]]=Transactions[[#This Row],[L7N]],Transactions[[#This Row],[L6N]],Transactions[[#This Row],[L7N]]))))))))</f>
        <v>Electricity plants - Autoproducer - wood</v>
      </c>
      <c r="AX417" s="24" t="str">
        <f>IF(Transactions[[#This Row],[Level 5]]=Transactions[[#This Row],[Transaction name]],Transactions[[#This Row],[Transaction name]],IF(Transactions[[#This Row],[Level 5]]=Transactions[[#This Row],[L1N]],Transactions[[#This Row],[Transaction name]],IF(Transactions[[#This Row],[Level 5]]=Transactions[[#This Row],[L2N]],Transactions[[#This Row],[L1N]],IF(Transactions[[#This Row],[Level 5]]=Transactions[[#This Row],[L3N]],Transactions[[#This Row],[L2N]],IF(Transactions[[#This Row],[Level 5]]=Transactions[[#This Row],[L4N]],Transactions[[#This Row],[L3N]],IF(Transactions[[#This Row],[Level 5]]=Transactions[[#This Row],[L5N]],Transactions[[#This Row],[L4N]],IF(Transactions[[#This Row],[Level 5]]=Transactions[[#This Row],[L6N]],Transactions[[#This Row],[L5N]],IF(Transactions[[#This Row],[Level 5]]=Transactions[[#This Row],[L7N]],Transactions[[#This Row],[L6N]],Transactions[[#This Row],[L7N]]))))))))</f>
        <v>Electricity plants - Autoproducer - wood</v>
      </c>
      <c r="AY417" s="24" t="str">
        <f>IF(Transactions[[#This Row],[Level 6]]=Transactions[[#This Row],[Transaction name]],Transactions[[#This Row],[Transaction name]],IF(Transactions[[#This Row],[Level 6]]=Transactions[[#This Row],[L1N]],Transactions[[#This Row],[Transaction name]],IF(Transactions[[#This Row],[Level 6]]=Transactions[[#This Row],[L2N]],Transactions[[#This Row],[L1N]],IF(Transactions[[#This Row],[Level 6]]=Transactions[[#This Row],[L3N]],Transactions[[#This Row],[L2N]],IF(Transactions[[#This Row],[Level 6]]=Transactions[[#This Row],[L4N]],Transactions[[#This Row],[L3N]],IF(Transactions[[#This Row],[Level 6]]=Transactions[[#This Row],[L5N]],Transactions[[#This Row],[L4N]],IF(Transactions[[#This Row],[Level 6]]=Transactions[[#This Row],[L6N]],Transactions[[#This Row],[L5N]],IF(Transactions[[#This Row],[Level 6]]=Transactions[[#This Row],[L7N]],Transactions[[#This Row],[L6N]],Transactions[[#This Row],[L7N]]))))))))</f>
        <v>Electricity plants - Autoproducer - wood</v>
      </c>
      <c r="BE417" s="26" t="str">
        <f>_xlfn.XLOOKUP(Transformation[[#This Row],[cfrom]],Commodities[Commodity],Commodities[Commodity code])</f>
        <v>0350</v>
      </c>
      <c r="BF417" s="26" t="str">
        <f>_xlfn.XLOOKUP(Transformation[[#This Row],[tfrom]],Transactions[Transaction name],Transactions[Transaction code])</f>
        <v>01</v>
      </c>
      <c r="BG417" s="26" t="str">
        <f>_xlfn.XLOOKUP(Transformation[[#This Row],[cto]],Commodities[Commodity],Commodities[Commodity code])</f>
        <v>0350</v>
      </c>
      <c r="BH417" s="26" t="str">
        <f>_xlfn.XLOOKUP(Transformation[[#This Row],[tto]],Transactions[Transaction name],Transactions[Transaction code])</f>
        <v>081</v>
      </c>
      <c r="BI417" s="32">
        <v>1</v>
      </c>
      <c r="BJ417" s="22" t="s">
        <v>487</v>
      </c>
      <c r="BK417" s="26" t="str">
        <f>_xlfn.XLOOKUP(Transformation[[#This Row],[Commodity from]],Commodities[Commodity code],Commodities[EnergyCode])</f>
        <v>OG</v>
      </c>
      <c r="BL417" s="22" t="s">
        <v>383</v>
      </c>
      <c r="BM417" s="22" t="s">
        <v>487</v>
      </c>
      <c r="BN417" s="26" t="str">
        <f>_xlfn.XLOOKUP(Transformation[[#This Row],[Commodity to]],Commodities[Commodity code],Commodities[EnergyCode])</f>
        <v>OG</v>
      </c>
      <c r="BO417" s="22" t="s">
        <v>721</v>
      </c>
      <c r="BP417" s="22" t="s">
        <v>1634</v>
      </c>
      <c r="BQ417" s="33" t="str">
        <f>Transformation[[#This Row],[Commodity from]]&amp;Transformation[[#This Row],[Transaction from]]&amp;Transformation[[#This Row],[Commodity to]]&amp;Transformation[[#This Row],[Transaction to]]</f>
        <v>0350010350081</v>
      </c>
      <c r="BR417" s="26" t="str">
        <f>Transformation[[#This Row],[crfomid]]&amp;Transformation[[#This Row],[Transaction from]]&amp;"("&amp;Transformation[[#This Row],[Multiplier]]&amp;") -&gt; "&amp;Transformation[[#This Row],[ctoid]]&amp;Transformation[[#This Row],[Transaction to]]</f>
        <v>OG01(1) -&gt; OG081</v>
      </c>
    </row>
    <row r="418" spans="25:70" x14ac:dyDescent="0.45">
      <c r="Y418" s="5" t="s">
        <v>1107</v>
      </c>
      <c r="Z418" s="7" t="s">
        <v>1115</v>
      </c>
      <c r="AA418" s="4" t="s">
        <v>1360</v>
      </c>
      <c r="AB418" s="19" t="s">
        <v>1606</v>
      </c>
      <c r="AC418" s="24" t="str">
        <f>IFERROR(VLOOKUP(Transactions[[#This Row],[Parent code]],Transactions[[Transaction code]:[Transaction name]],2,0),"")</f>
        <v>Electricity plants - wood</v>
      </c>
      <c r="AD418" s="4" t="s">
        <v>189</v>
      </c>
      <c r="AE418" s="4" t="s">
        <v>923</v>
      </c>
      <c r="AF418" s="4" t="s">
        <v>642</v>
      </c>
      <c r="AG418" s="4" t="s">
        <v>1</v>
      </c>
      <c r="AH418" s="4" t="s">
        <v>696</v>
      </c>
      <c r="AI418" s="12" t="s">
        <v>1416</v>
      </c>
      <c r="AK418" s="24" t="str" cm="1">
        <f t="array" ref="AK418">IFERROR(INDEX(Transactions[[Transaction code]:[Transaction name]],_xlfn.XMATCH(Transactions[[#This Row],[Parent code]],Transactions[Transaction name],0),3),Transactions[[#This Row],[Transaction name]])</f>
        <v>Electricity plants - Main activity - wood</v>
      </c>
      <c r="AL418" s="24" t="str" cm="1">
        <f t="array" ref="AL418">IFERROR(INDEX(Transactions[[Transaction code]:[Transaction name]],_xlfn.XMATCH(INDEX(Transactions[[Transaction name]:[Parent code]],_xlfn.XMATCH(Transactions[[#This Row],[L1N]],Transactions[Transaction name],0),3),Transactions[Transaction code],0),2),Transactions[[#This Row],[L1N]])</f>
        <v>Electricity plants - wood</v>
      </c>
      <c r="AM418" s="24" t="str" cm="1">
        <f t="array" ref="AM418">IFERROR(INDEX(Transactions[[Transaction code]:[Transaction name]],_xlfn.XMATCH(INDEX(Transactions[[Transaction name]:[Parent code]],_xlfn.XMATCH(Transactions[[#This Row],[L2N]],Transactions[Transaction name],0),3),Transactions[Transaction code],0),2),Transactions[[#This Row],[L2N]])</f>
        <v>Electricity plants</v>
      </c>
      <c r="AN418" s="24" t="str" cm="1">
        <f t="array" ref="AN418">IFERROR(INDEX(Transactions[[Transaction code]:[Transaction name]],_xlfn.XMATCH(INDEX(Transactions[[Transaction name]:[Parent code]],_xlfn.XMATCH(Transactions[[#This Row],[L3N]],Transactions[Transaction name],0),3),Transactions[Transaction code],0),2),Transactions[[#This Row],[L3N]])</f>
        <v>Electricity, CHP and heat plants (T)</v>
      </c>
      <c r="AO418" s="24" t="str" cm="1">
        <f t="array" ref="AO418">IFERROR(INDEX(Transactions[[Transaction code]:[Transaction name]],_xlfn.XMATCH(INDEX(Transactions[[Transaction name]:[Parent code]],_xlfn.XMATCH(Transactions[[#This Row],[L4N]],Transactions[Transaction name],0),3),Transactions[Transaction code],0),2),Transactions[[#This Row],[L4N]])</f>
        <v>Transformation</v>
      </c>
      <c r="AP418" s="24" t="str" cm="1">
        <f t="array" ref="AP418">IFERROR(INDEX(Transactions[[Transaction code]:[Transaction name]],_xlfn.XMATCH(INDEX(Transactions[[Transaction name]:[Parent code]],_xlfn.XMATCH(Transactions[[#This Row],[L5N]],Transactions[Transaction name],0),3),Transactions[Transaction code],0),2),Transactions[[#This Row],[L5N]])</f>
        <v>Transformation</v>
      </c>
      <c r="AQ418" s="24" t="str" cm="1">
        <f t="array" ref="AQ418">IFERROR(INDEX(Transactions[[Transaction code]:[Transaction name]],_xlfn.XMATCH(INDEX(Transactions[[Transaction name]:[Parent code]],_xlfn.XMATCH(Transactions[[#This Row],[L6N]],Transactions[Transaction name],0),3),Transactions[Transaction code],0),2),Transactions[[#This Row],[L6N]])</f>
        <v>Transformation</v>
      </c>
      <c r="AR418" s="27" t="str">
        <f>IF(Transactions[[#This Row],[L7N]]=Transactions[[#This Row],[L6N]],Transactions[[#This Row],[L7N]],IF(Transactions[[#This Row],[L6N]]=Transactions[[#This Row],[L5N]],Transactions[[#This Row],[L6N]],IF(Transactions[[#This Row],[L5N]]=Transactions[[#This Row],[L4N]],Transactions[[#This Row],[L5N]],IF(Transactions[[#This Row],[L4N]]=Transactions[[#This Row],[L3N]],Transactions[[#This Row],[L4N]],IF(Transactions[[#This Row],[L3N]]=Transactions[[#This Row],[L2N]],Transactions[[#This Row],[L3N]],IF(Transactions[[#This Row],[L2N]]=Transactions[[#This Row],[L1N]],Transactions[[#This Row],[L2N]],IF(Transactions[[#This Row],[L1N]]=Transactions[[#This Row],[Transaction name]],Transactions[[#This Row],[L1N]],Transactions[[#This Row],[Transaction name]])))))))</f>
        <v>Transformation</v>
      </c>
      <c r="AS418" s="24" t="str">
        <f>IF(Transactions[[#This Row],[Level 0]]=Transactions[[#This Row],[Transaction name]],Transactions[[#This Row],[Transaction name]],IF(Transactions[[#This Row],[Level 0]]=Transactions[[#This Row],[L1N]],Transactions[[#This Row],[Transaction name]],IF(Transactions[[#This Row],[Level 0]]=Transactions[[#This Row],[L2N]],Transactions[[#This Row],[L1N]],IF(Transactions[[#This Row],[Level 0]]=Transactions[[#This Row],[L3N]],Transactions[[#This Row],[L2N]],IF(Transactions[[#This Row],[Level 0]]=Transactions[[#This Row],[L4N]],Transactions[[#This Row],[L3N]],IF(Transactions[[#This Row],[Level 0]]=Transactions[[#This Row],[L5N]],Transactions[[#This Row],[L4N]],IF(Transactions[[#This Row],[Level 0]]=Transactions[[#This Row],[L6N]],Transactions[[#This Row],[L5N]],IF(Transactions[[#This Row],[Level 0]]=Transactions[[#This Row],[L7N]],Transactions[[#This Row],[L6N]],Transactions[[#This Row],[L7N]]))))))))</f>
        <v>Electricity, CHP and heat plants (T)</v>
      </c>
      <c r="AT418" s="24" t="str">
        <f>IF(Transactions[[#This Row],[Level 1]]=Transactions[[#This Row],[Transaction name]],Transactions[[#This Row],[Transaction name]],IF(Transactions[[#This Row],[Level 1]]=Transactions[[#This Row],[L1N]],Transactions[[#This Row],[Transaction name]],IF(Transactions[[#This Row],[Level 1]]=Transactions[[#This Row],[L2N]],Transactions[[#This Row],[L1N]],IF(Transactions[[#This Row],[Level 1]]=Transactions[[#This Row],[L3N]],Transactions[[#This Row],[L2N]],IF(Transactions[[#This Row],[Level 1]]=Transactions[[#This Row],[L4N]],Transactions[[#This Row],[L3N]],IF(Transactions[[#This Row],[Level 1]]=Transactions[[#This Row],[L5N]],Transactions[[#This Row],[L4N]],IF(Transactions[[#This Row],[Level 1]]=Transactions[[#This Row],[L6N]],Transactions[[#This Row],[L5N]],IF(Transactions[[#This Row],[Level 1]]=Transactions[[#This Row],[L7N]],Transactions[[#This Row],[L6N]],Transactions[[#This Row],[L7N]]))))))))</f>
        <v>Electricity plants</v>
      </c>
      <c r="AU418" s="24" t="str">
        <f>IF(Transactions[[#This Row],[Level 2]]=Transactions[[#This Row],[Transaction name]],Transactions[[#This Row],[Transaction name]],IF(Transactions[[#This Row],[Level 2]]=Transactions[[#This Row],[L1N]],Transactions[[#This Row],[Transaction name]],IF(Transactions[[#This Row],[Level 2]]=Transactions[[#This Row],[L2N]],Transactions[[#This Row],[L1N]],IF(Transactions[[#This Row],[Level 2]]=Transactions[[#This Row],[L3N]],Transactions[[#This Row],[L2N]],IF(Transactions[[#This Row],[Level 2]]=Transactions[[#This Row],[L4N]],Transactions[[#This Row],[L3N]],IF(Transactions[[#This Row],[Level 2]]=Transactions[[#This Row],[L5N]],Transactions[[#This Row],[L4N]],IF(Transactions[[#This Row],[Level 2]]=Transactions[[#This Row],[L6N]],Transactions[[#This Row],[L5N]],IF(Transactions[[#This Row],[Level 2]]=Transactions[[#This Row],[L7N]],Transactions[[#This Row],[L6N]],Transactions[[#This Row],[L7N]]))))))))</f>
        <v>Electricity plants - wood</v>
      </c>
      <c r="AV418" s="24" t="str">
        <f>IF(Transactions[[#This Row],[Level 3]]=Transactions[[#This Row],[Transaction name]],Transactions[[#This Row],[Transaction name]],IF(Transactions[[#This Row],[Level 3]]=Transactions[[#This Row],[L1N]],Transactions[[#This Row],[Transaction name]],IF(Transactions[[#This Row],[Level 3]]=Transactions[[#This Row],[L2N]],Transactions[[#This Row],[L1N]],IF(Transactions[[#This Row],[Level 3]]=Transactions[[#This Row],[L3N]],Transactions[[#This Row],[L2N]],IF(Transactions[[#This Row],[Level 3]]=Transactions[[#This Row],[L4N]],Transactions[[#This Row],[L3N]],IF(Transactions[[#This Row],[Level 3]]=Transactions[[#This Row],[L5N]],Transactions[[#This Row],[L4N]],IF(Transactions[[#This Row],[Level 3]]=Transactions[[#This Row],[L6N]],Transactions[[#This Row],[L5N]],IF(Transactions[[#This Row],[Level 3]]=Transactions[[#This Row],[L7N]],Transactions[[#This Row],[L6N]],Transactions[[#This Row],[L7N]]))))))))</f>
        <v>Electricity plants - Main activity - wood</v>
      </c>
      <c r="AW418" s="24" t="str">
        <f>IF(Transactions[[#This Row],[Level 4]]=Transactions[[#This Row],[Transaction name]],Transactions[[#This Row],[Transaction name]],IF(Transactions[[#This Row],[Level 4]]=Transactions[[#This Row],[L1N]],Transactions[[#This Row],[Transaction name]],IF(Transactions[[#This Row],[Level 4]]=Transactions[[#This Row],[L2N]],Transactions[[#This Row],[L1N]],IF(Transactions[[#This Row],[Level 4]]=Transactions[[#This Row],[L3N]],Transactions[[#This Row],[L2N]],IF(Transactions[[#This Row],[Level 4]]=Transactions[[#This Row],[L4N]],Transactions[[#This Row],[L3N]],IF(Transactions[[#This Row],[Level 4]]=Transactions[[#This Row],[L5N]],Transactions[[#This Row],[L4N]],IF(Transactions[[#This Row],[Level 4]]=Transactions[[#This Row],[L6N]],Transactions[[#This Row],[L5N]],IF(Transactions[[#This Row],[Level 4]]=Transactions[[#This Row],[L7N]],Transactions[[#This Row],[L6N]],Transactions[[#This Row],[L7N]]))))))))</f>
        <v>Electricity plants - Main activity - wood</v>
      </c>
      <c r="AX418" s="24" t="str">
        <f>IF(Transactions[[#This Row],[Level 5]]=Transactions[[#This Row],[Transaction name]],Transactions[[#This Row],[Transaction name]],IF(Transactions[[#This Row],[Level 5]]=Transactions[[#This Row],[L1N]],Transactions[[#This Row],[Transaction name]],IF(Transactions[[#This Row],[Level 5]]=Transactions[[#This Row],[L2N]],Transactions[[#This Row],[L1N]],IF(Transactions[[#This Row],[Level 5]]=Transactions[[#This Row],[L3N]],Transactions[[#This Row],[L2N]],IF(Transactions[[#This Row],[Level 5]]=Transactions[[#This Row],[L4N]],Transactions[[#This Row],[L3N]],IF(Transactions[[#This Row],[Level 5]]=Transactions[[#This Row],[L5N]],Transactions[[#This Row],[L4N]],IF(Transactions[[#This Row],[Level 5]]=Transactions[[#This Row],[L6N]],Transactions[[#This Row],[L5N]],IF(Transactions[[#This Row],[Level 5]]=Transactions[[#This Row],[L7N]],Transactions[[#This Row],[L6N]],Transactions[[#This Row],[L7N]]))))))))</f>
        <v>Electricity plants - Main activity - wood</v>
      </c>
      <c r="AY418" s="24" t="str">
        <f>IF(Transactions[[#This Row],[Level 6]]=Transactions[[#This Row],[Transaction name]],Transactions[[#This Row],[Transaction name]],IF(Transactions[[#This Row],[Level 6]]=Transactions[[#This Row],[L1N]],Transactions[[#This Row],[Transaction name]],IF(Transactions[[#This Row],[Level 6]]=Transactions[[#This Row],[L2N]],Transactions[[#This Row],[L1N]],IF(Transactions[[#This Row],[Level 6]]=Transactions[[#This Row],[L3N]],Transactions[[#This Row],[L2N]],IF(Transactions[[#This Row],[Level 6]]=Transactions[[#This Row],[L4N]],Transactions[[#This Row],[L3N]],IF(Transactions[[#This Row],[Level 6]]=Transactions[[#This Row],[L5N]],Transactions[[#This Row],[L4N]],IF(Transactions[[#This Row],[Level 6]]=Transactions[[#This Row],[L6N]],Transactions[[#This Row],[L5N]],IF(Transactions[[#This Row],[Level 6]]=Transactions[[#This Row],[L7N]],Transactions[[#This Row],[L6N]],Transactions[[#This Row],[L7N]]))))))))</f>
        <v>Electricity plants - Main activity - wood</v>
      </c>
      <c r="BE418" s="26" t="str">
        <f>_xlfn.XLOOKUP(Transformation[[#This Row],[cfrom]],Commodities[Commodity],Commodities[Commodity code])</f>
        <v>0350</v>
      </c>
      <c r="BF418" s="26" t="str">
        <f>_xlfn.XLOOKUP(Transformation[[#This Row],[tfrom]],Transactions[Transaction name],Transactions[Transaction code])</f>
        <v>01</v>
      </c>
      <c r="BG418" s="26" t="str">
        <f>_xlfn.XLOOKUP(Transformation[[#This Row],[cto]],Commodities[Commodity],Commodities[Commodity code])</f>
        <v>0350</v>
      </c>
      <c r="BH418" s="26" t="str">
        <f>_xlfn.XLOOKUP(Transformation[[#This Row],[tto]],Transactions[Transaction name],Transactions[Transaction code])</f>
        <v>01</v>
      </c>
      <c r="BI418" s="32">
        <v>-1</v>
      </c>
      <c r="BJ418" s="22" t="s">
        <v>487</v>
      </c>
      <c r="BK418" s="26" t="str">
        <f>_xlfn.XLOOKUP(Transformation[[#This Row],[Commodity from]],Commodities[Commodity code],Commodities[EnergyCode])</f>
        <v>OG</v>
      </c>
      <c r="BL418" s="22" t="s">
        <v>383</v>
      </c>
      <c r="BM418" s="22" t="s">
        <v>487</v>
      </c>
      <c r="BN418" s="26" t="str">
        <f>_xlfn.XLOOKUP(Transformation[[#This Row],[Commodity to]],Commodities[Commodity code],Commodities[EnergyCode])</f>
        <v>OG</v>
      </c>
      <c r="BO418" s="22" t="s">
        <v>383</v>
      </c>
      <c r="BP418" s="22" t="s">
        <v>1633</v>
      </c>
      <c r="BQ418" s="33" t="str">
        <f>Transformation[[#This Row],[Commodity from]]&amp;Transformation[[#This Row],[Transaction from]]&amp;Transformation[[#This Row],[Commodity to]]&amp;Transformation[[#This Row],[Transaction to]]</f>
        <v>035001035001</v>
      </c>
      <c r="BR418" s="26" t="str">
        <f>Transformation[[#This Row],[crfomid]]&amp;Transformation[[#This Row],[Transaction from]]&amp;"("&amp;Transformation[[#This Row],[Multiplier]]&amp;") -&gt; "&amp;Transformation[[#This Row],[ctoid]]&amp;Transformation[[#This Row],[Transaction to]]</f>
        <v>OG01(-1) -&gt; OG01</v>
      </c>
    </row>
    <row r="419" spans="25:70" x14ac:dyDescent="0.45">
      <c r="Y419" s="19" t="s">
        <v>1606</v>
      </c>
      <c r="Z419" s="18" t="s">
        <v>1360</v>
      </c>
      <c r="AA419" s="18" t="s">
        <v>1360</v>
      </c>
      <c r="AB419" s="19" t="s">
        <v>1600</v>
      </c>
      <c r="AC419" s="26" t="str">
        <f>IFERROR(VLOOKUP(Transactions[[#This Row],[Parent code]],Transactions[[Transaction code]:[Transaction name]],2,0),"")</f>
        <v>Electricity plants</v>
      </c>
      <c r="AD419" s="18" t="s">
        <v>189</v>
      </c>
      <c r="AE419" s="18" t="s">
        <v>923</v>
      </c>
      <c r="AF419" s="18" t="s">
        <v>642</v>
      </c>
      <c r="AG419" s="18" t="s">
        <v>1</v>
      </c>
      <c r="AH419" s="18" t="s">
        <v>696</v>
      </c>
      <c r="AI419" s="18" t="s">
        <v>1416</v>
      </c>
      <c r="AJ419" s="18"/>
      <c r="AK419" s="26" t="str" cm="1">
        <f t="array" ref="AK419">IFERROR(INDEX(Transactions[[Transaction code]:[Transaction name]],_xlfn.XMATCH(Transactions[[#This Row],[Parent code]],Transactions[Transaction name],0),3),Transactions[[#This Row],[Transaction name]])</f>
        <v>Electricity plants - wood</v>
      </c>
      <c r="AL419" s="26" t="str" cm="1">
        <f t="array" ref="AL419">IFERROR(INDEX(Transactions[[Transaction code]:[Transaction name]],_xlfn.XMATCH(INDEX(Transactions[[Transaction name]:[Parent code]],_xlfn.XMATCH(Transactions[[#This Row],[L1N]],Transactions[Transaction name],0),3),Transactions[Transaction code],0),2),Transactions[[#This Row],[L1N]])</f>
        <v>Electricity plants</v>
      </c>
      <c r="AM419" s="26" t="str" cm="1">
        <f t="array" ref="AM419">IFERROR(INDEX(Transactions[[Transaction code]:[Transaction name]],_xlfn.XMATCH(INDEX(Transactions[[Transaction name]:[Parent code]],_xlfn.XMATCH(Transactions[[#This Row],[L2N]],Transactions[Transaction name],0),3),Transactions[Transaction code],0),2),Transactions[[#This Row],[L2N]])</f>
        <v>Electricity, CHP and heat plants (T)</v>
      </c>
      <c r="AN419" s="26" t="str" cm="1">
        <f t="array" ref="AN419">IFERROR(INDEX(Transactions[[Transaction code]:[Transaction name]],_xlfn.XMATCH(INDEX(Transactions[[Transaction name]:[Parent code]],_xlfn.XMATCH(Transactions[[#This Row],[L3N]],Transactions[Transaction name],0),3),Transactions[Transaction code],0),2),Transactions[[#This Row],[L3N]])</f>
        <v>Transformation</v>
      </c>
      <c r="AO419" s="26" t="str" cm="1">
        <f t="array" ref="AO419">IFERROR(INDEX(Transactions[[Transaction code]:[Transaction name]],_xlfn.XMATCH(INDEX(Transactions[[Transaction name]:[Parent code]],_xlfn.XMATCH(Transactions[[#This Row],[L4N]],Transactions[Transaction name],0),3),Transactions[Transaction code],0),2),Transactions[[#This Row],[L4N]])</f>
        <v>Transformation</v>
      </c>
      <c r="AP419" s="26" t="str" cm="1">
        <f t="array" ref="AP419">IFERROR(INDEX(Transactions[[Transaction code]:[Transaction name]],_xlfn.XMATCH(INDEX(Transactions[[Transaction name]:[Parent code]],_xlfn.XMATCH(Transactions[[#This Row],[L5N]],Transactions[Transaction name],0),3),Transactions[Transaction code],0),2),Transactions[[#This Row],[L5N]])</f>
        <v>Transformation</v>
      </c>
      <c r="AQ419" s="26" t="str" cm="1">
        <f t="array" ref="AQ419">IFERROR(INDEX(Transactions[[Transaction code]:[Transaction name]],_xlfn.XMATCH(INDEX(Transactions[[Transaction name]:[Parent code]],_xlfn.XMATCH(Transactions[[#This Row],[L6N]],Transactions[Transaction name],0),3),Transactions[Transaction code],0),2),Transactions[[#This Row],[L6N]])</f>
        <v>Transformation</v>
      </c>
      <c r="AR419" s="30" t="str">
        <f>IF(Transactions[[#This Row],[L7N]]=Transactions[[#This Row],[L6N]],Transactions[[#This Row],[L7N]],IF(Transactions[[#This Row],[L6N]]=Transactions[[#This Row],[L5N]],Transactions[[#This Row],[L6N]],IF(Transactions[[#This Row],[L5N]]=Transactions[[#This Row],[L4N]],Transactions[[#This Row],[L5N]],IF(Transactions[[#This Row],[L4N]]=Transactions[[#This Row],[L3N]],Transactions[[#This Row],[L4N]],IF(Transactions[[#This Row],[L3N]]=Transactions[[#This Row],[L2N]],Transactions[[#This Row],[L3N]],IF(Transactions[[#This Row],[L2N]]=Transactions[[#This Row],[L1N]],Transactions[[#This Row],[L2N]],IF(Transactions[[#This Row],[L1N]]=Transactions[[#This Row],[Transaction name]],Transactions[[#This Row],[L1N]],Transactions[[#This Row],[Transaction name]])))))))</f>
        <v>Transformation</v>
      </c>
      <c r="AS419" s="26" t="str">
        <f>IF(Transactions[[#This Row],[Level 0]]=Transactions[[#This Row],[Transaction name]],Transactions[[#This Row],[Transaction name]],IF(Transactions[[#This Row],[Level 0]]=Transactions[[#This Row],[L1N]],Transactions[[#This Row],[Transaction name]],IF(Transactions[[#This Row],[Level 0]]=Transactions[[#This Row],[L2N]],Transactions[[#This Row],[L1N]],IF(Transactions[[#This Row],[Level 0]]=Transactions[[#This Row],[L3N]],Transactions[[#This Row],[L2N]],IF(Transactions[[#This Row],[Level 0]]=Transactions[[#This Row],[L4N]],Transactions[[#This Row],[L3N]],IF(Transactions[[#This Row],[Level 0]]=Transactions[[#This Row],[L5N]],Transactions[[#This Row],[L4N]],IF(Transactions[[#This Row],[Level 0]]=Transactions[[#This Row],[L6N]],Transactions[[#This Row],[L5N]],IF(Transactions[[#This Row],[Level 0]]=Transactions[[#This Row],[L7N]],Transactions[[#This Row],[L6N]],Transactions[[#This Row],[L7N]]))))))))</f>
        <v>Electricity, CHP and heat plants (T)</v>
      </c>
      <c r="AT419" s="26" t="str">
        <f>IF(Transactions[[#This Row],[Level 1]]=Transactions[[#This Row],[Transaction name]],Transactions[[#This Row],[Transaction name]],IF(Transactions[[#This Row],[Level 1]]=Transactions[[#This Row],[L1N]],Transactions[[#This Row],[Transaction name]],IF(Transactions[[#This Row],[Level 1]]=Transactions[[#This Row],[L2N]],Transactions[[#This Row],[L1N]],IF(Transactions[[#This Row],[Level 1]]=Transactions[[#This Row],[L3N]],Transactions[[#This Row],[L2N]],IF(Transactions[[#This Row],[Level 1]]=Transactions[[#This Row],[L4N]],Transactions[[#This Row],[L3N]],IF(Transactions[[#This Row],[Level 1]]=Transactions[[#This Row],[L5N]],Transactions[[#This Row],[L4N]],IF(Transactions[[#This Row],[Level 1]]=Transactions[[#This Row],[L6N]],Transactions[[#This Row],[L5N]],IF(Transactions[[#This Row],[Level 1]]=Transactions[[#This Row],[L7N]],Transactions[[#This Row],[L6N]],Transactions[[#This Row],[L7N]]))))))))</f>
        <v>Electricity plants</v>
      </c>
      <c r="AU419" s="26" t="str">
        <f>IF(Transactions[[#This Row],[Level 2]]=Transactions[[#This Row],[Transaction name]],Transactions[[#This Row],[Transaction name]],IF(Transactions[[#This Row],[Level 2]]=Transactions[[#This Row],[L1N]],Transactions[[#This Row],[Transaction name]],IF(Transactions[[#This Row],[Level 2]]=Transactions[[#This Row],[L2N]],Transactions[[#This Row],[L1N]],IF(Transactions[[#This Row],[Level 2]]=Transactions[[#This Row],[L3N]],Transactions[[#This Row],[L2N]],IF(Transactions[[#This Row],[Level 2]]=Transactions[[#This Row],[L4N]],Transactions[[#This Row],[L3N]],IF(Transactions[[#This Row],[Level 2]]=Transactions[[#This Row],[L5N]],Transactions[[#This Row],[L4N]],IF(Transactions[[#This Row],[Level 2]]=Transactions[[#This Row],[L6N]],Transactions[[#This Row],[L5N]],IF(Transactions[[#This Row],[Level 2]]=Transactions[[#This Row],[L7N]],Transactions[[#This Row],[L6N]],Transactions[[#This Row],[L7N]]))))))))</f>
        <v>Electricity plants - wood</v>
      </c>
      <c r="AV419" s="26" t="str">
        <f>IF(Transactions[[#This Row],[Level 3]]=Transactions[[#This Row],[Transaction name]],Transactions[[#This Row],[Transaction name]],IF(Transactions[[#This Row],[Level 3]]=Transactions[[#This Row],[L1N]],Transactions[[#This Row],[Transaction name]],IF(Transactions[[#This Row],[Level 3]]=Transactions[[#This Row],[L2N]],Transactions[[#This Row],[L1N]],IF(Transactions[[#This Row],[Level 3]]=Transactions[[#This Row],[L3N]],Transactions[[#This Row],[L2N]],IF(Transactions[[#This Row],[Level 3]]=Transactions[[#This Row],[L4N]],Transactions[[#This Row],[L3N]],IF(Transactions[[#This Row],[Level 3]]=Transactions[[#This Row],[L5N]],Transactions[[#This Row],[L4N]],IF(Transactions[[#This Row],[Level 3]]=Transactions[[#This Row],[L6N]],Transactions[[#This Row],[L5N]],IF(Transactions[[#This Row],[Level 3]]=Transactions[[#This Row],[L7N]],Transactions[[#This Row],[L6N]],Transactions[[#This Row],[L7N]]))))))))</f>
        <v>Electricity plants - wood</v>
      </c>
      <c r="AW419" s="26" t="str">
        <f>IF(Transactions[[#This Row],[Level 4]]=Transactions[[#This Row],[Transaction name]],Transactions[[#This Row],[Transaction name]],IF(Transactions[[#This Row],[Level 4]]=Transactions[[#This Row],[L1N]],Transactions[[#This Row],[Transaction name]],IF(Transactions[[#This Row],[Level 4]]=Transactions[[#This Row],[L2N]],Transactions[[#This Row],[L1N]],IF(Transactions[[#This Row],[Level 4]]=Transactions[[#This Row],[L3N]],Transactions[[#This Row],[L2N]],IF(Transactions[[#This Row],[Level 4]]=Transactions[[#This Row],[L4N]],Transactions[[#This Row],[L3N]],IF(Transactions[[#This Row],[Level 4]]=Transactions[[#This Row],[L5N]],Transactions[[#This Row],[L4N]],IF(Transactions[[#This Row],[Level 4]]=Transactions[[#This Row],[L6N]],Transactions[[#This Row],[L5N]],IF(Transactions[[#This Row],[Level 4]]=Transactions[[#This Row],[L7N]],Transactions[[#This Row],[L6N]],Transactions[[#This Row],[L7N]]))))))))</f>
        <v>Electricity plants - wood</v>
      </c>
      <c r="AX419" s="26" t="str">
        <f>IF(Transactions[[#This Row],[Level 5]]=Transactions[[#This Row],[Transaction name]],Transactions[[#This Row],[Transaction name]],IF(Transactions[[#This Row],[Level 5]]=Transactions[[#This Row],[L1N]],Transactions[[#This Row],[Transaction name]],IF(Transactions[[#This Row],[Level 5]]=Transactions[[#This Row],[L2N]],Transactions[[#This Row],[L1N]],IF(Transactions[[#This Row],[Level 5]]=Transactions[[#This Row],[L3N]],Transactions[[#This Row],[L2N]],IF(Transactions[[#This Row],[Level 5]]=Transactions[[#This Row],[L4N]],Transactions[[#This Row],[L3N]],IF(Transactions[[#This Row],[Level 5]]=Transactions[[#This Row],[L5N]],Transactions[[#This Row],[L4N]],IF(Transactions[[#This Row],[Level 5]]=Transactions[[#This Row],[L6N]],Transactions[[#This Row],[L5N]],IF(Transactions[[#This Row],[Level 5]]=Transactions[[#This Row],[L7N]],Transactions[[#This Row],[L6N]],Transactions[[#This Row],[L7N]]))))))))</f>
        <v>Electricity plants - wood</v>
      </c>
      <c r="AY419" s="26" t="str">
        <f>IF(Transactions[[#This Row],[Level 6]]=Transactions[[#This Row],[Transaction name]],Transactions[[#This Row],[Transaction name]],IF(Transactions[[#This Row],[Level 6]]=Transactions[[#This Row],[L1N]],Transactions[[#This Row],[Transaction name]],IF(Transactions[[#This Row],[Level 6]]=Transactions[[#This Row],[L2N]],Transactions[[#This Row],[L1N]],IF(Transactions[[#This Row],[Level 6]]=Transactions[[#This Row],[L3N]],Transactions[[#This Row],[L2N]],IF(Transactions[[#This Row],[Level 6]]=Transactions[[#This Row],[L4N]],Transactions[[#This Row],[L3N]],IF(Transactions[[#This Row],[Level 6]]=Transactions[[#This Row],[L5N]],Transactions[[#This Row],[L4N]],IF(Transactions[[#This Row],[Level 6]]=Transactions[[#This Row],[L6N]],Transactions[[#This Row],[L5N]],IF(Transactions[[#This Row],[Level 6]]=Transactions[[#This Row],[L7N]],Transactions[[#This Row],[L6N]],Transactions[[#This Row],[L7N]]))))))))</f>
        <v>Electricity plants - wood</v>
      </c>
      <c r="BE419" s="26" t="str">
        <f>_xlfn.XLOOKUP(Transformation[[#This Row],[cfrom]],Commodities[Commodity],Commodities[Commodity code])</f>
        <v>0350</v>
      </c>
      <c r="BF419" s="26" t="str">
        <f>_xlfn.XLOOKUP(Transformation[[#This Row],[tfrom]],Transactions[Transaction name],Transactions[Transaction code])</f>
        <v>022</v>
      </c>
      <c r="BG419" s="26" t="str">
        <f>_xlfn.XLOOKUP(Transformation[[#This Row],[cto]],Commodities[Commodity],Commodities[Commodity code])</f>
        <v>0350</v>
      </c>
      <c r="BH419" s="26" t="str">
        <f>_xlfn.XLOOKUP(Transformation[[#This Row],[tto]],Transactions[Transaction name],Transactions[Transaction code])</f>
        <v>081</v>
      </c>
      <c r="BI419" s="31">
        <v>1</v>
      </c>
      <c r="BJ419" s="22" t="s">
        <v>487</v>
      </c>
      <c r="BK419" s="26" t="str">
        <f>_xlfn.XLOOKUP(Transformation[[#This Row],[Commodity from]],Commodities[Commodity code],Commodities[EnergyCode])</f>
        <v>OG</v>
      </c>
      <c r="BL419" s="22" t="s">
        <v>205</v>
      </c>
      <c r="BM419" s="22" t="s">
        <v>487</v>
      </c>
      <c r="BN419" s="26" t="str">
        <f>_xlfn.XLOOKUP(Transformation[[#This Row],[Commodity to]],Commodities[Commodity code],Commodities[EnergyCode])</f>
        <v>OG</v>
      </c>
      <c r="BO419" s="22" t="s">
        <v>721</v>
      </c>
      <c r="BP419" s="22" t="s">
        <v>1651</v>
      </c>
      <c r="BQ419" s="33" t="str">
        <f>Transformation[[#This Row],[Commodity from]]&amp;Transformation[[#This Row],[Transaction from]]&amp;Transformation[[#This Row],[Commodity to]]&amp;Transformation[[#This Row],[Transaction to]]</f>
        <v>03500220350081</v>
      </c>
      <c r="BR419" s="26" t="str">
        <f>Transformation[[#This Row],[crfomid]]&amp;Transformation[[#This Row],[Transaction from]]&amp;"("&amp;Transformation[[#This Row],[Multiplier]]&amp;") -&gt; "&amp;Transformation[[#This Row],[ctoid]]&amp;Transformation[[#This Row],[Transaction to]]</f>
        <v>OG022(1) -&gt; OG081</v>
      </c>
    </row>
    <row r="420" spans="25:70" x14ac:dyDescent="0.45">
      <c r="Y420" s="5" t="s">
        <v>171</v>
      </c>
      <c r="Z420" s="4" t="s">
        <v>730</v>
      </c>
      <c r="AA420" s="4" t="s">
        <v>730</v>
      </c>
      <c r="AB420" s="6" t="s">
        <v>164</v>
      </c>
      <c r="AC420" s="24" t="str">
        <f>IFERROR(VLOOKUP(Transactions[[#This Row],[Parent code]],Transactions[[Transaction code]:[Transaction name]],2,0),"")</f>
        <v>Transformation</v>
      </c>
      <c r="AD420" s="4" t="s">
        <v>189</v>
      </c>
      <c r="AE420" s="4" t="s">
        <v>959</v>
      </c>
      <c r="AF420" s="4" t="s">
        <v>642</v>
      </c>
      <c r="AG420" s="4" t="s">
        <v>1</v>
      </c>
      <c r="AH420" s="4" t="s">
        <v>695</v>
      </c>
      <c r="AJ420" s="4" t="s">
        <v>0</v>
      </c>
      <c r="AK420" s="24" t="str" cm="1">
        <f t="array" ref="AK420">IFERROR(INDEX(Transactions[[Transaction code]:[Transaction name]],_xlfn.XMATCH(Transactions[[#This Row],[Parent code]],Transactions[Transaction name],0),3),Transactions[[#This Row],[Transaction name]])</f>
        <v>Electricity, CHP and heat plants (T)</v>
      </c>
      <c r="AL420" s="24" t="str" cm="1">
        <f t="array" ref="AL420">IFERROR(INDEX(Transactions[[Transaction code]:[Transaction name]],_xlfn.XMATCH(INDEX(Transactions[[Transaction name]:[Parent code]],_xlfn.XMATCH(Transactions[[#This Row],[L1N]],Transactions[Transaction name],0),3),Transactions[Transaction code],0),2),Transactions[[#This Row],[L1N]])</f>
        <v>Transformation</v>
      </c>
      <c r="AM420" s="24" t="str" cm="1">
        <f t="array" ref="AM420">IFERROR(INDEX(Transactions[[Transaction code]:[Transaction name]],_xlfn.XMATCH(INDEX(Transactions[[Transaction name]:[Parent code]],_xlfn.XMATCH(Transactions[[#This Row],[L2N]],Transactions[Transaction name],0),3),Transactions[Transaction code],0),2),Transactions[[#This Row],[L2N]])</f>
        <v>Transformation</v>
      </c>
      <c r="AN420" s="24" t="str" cm="1">
        <f t="array" ref="AN420">IFERROR(INDEX(Transactions[[Transaction code]:[Transaction name]],_xlfn.XMATCH(INDEX(Transactions[[Transaction name]:[Parent code]],_xlfn.XMATCH(Transactions[[#This Row],[L3N]],Transactions[Transaction name],0),3),Transactions[Transaction code],0),2),Transactions[[#This Row],[L3N]])</f>
        <v>Transformation</v>
      </c>
      <c r="AO420" s="24" t="str" cm="1">
        <f t="array" ref="AO420">IFERROR(INDEX(Transactions[[Transaction code]:[Transaction name]],_xlfn.XMATCH(INDEX(Transactions[[Transaction name]:[Parent code]],_xlfn.XMATCH(Transactions[[#This Row],[L4N]],Transactions[Transaction name],0),3),Transactions[Transaction code],0),2),Transactions[[#This Row],[L4N]])</f>
        <v>Transformation</v>
      </c>
      <c r="AP420" s="24" t="str" cm="1">
        <f t="array" ref="AP420">IFERROR(INDEX(Transactions[[Transaction code]:[Transaction name]],_xlfn.XMATCH(INDEX(Transactions[[Transaction name]:[Parent code]],_xlfn.XMATCH(Transactions[[#This Row],[L5N]],Transactions[Transaction name],0),3),Transactions[Transaction code],0),2),Transactions[[#This Row],[L5N]])</f>
        <v>Transformation</v>
      </c>
      <c r="AQ420" s="24" t="str" cm="1">
        <f t="array" ref="AQ420">IFERROR(INDEX(Transactions[[Transaction code]:[Transaction name]],_xlfn.XMATCH(INDEX(Transactions[[Transaction name]:[Parent code]],_xlfn.XMATCH(Transactions[[#This Row],[L6N]],Transactions[Transaction name],0),3),Transactions[Transaction code],0),2),Transactions[[#This Row],[L6N]])</f>
        <v>Transformation</v>
      </c>
      <c r="AR420" s="27" t="str">
        <f>IF(Transactions[[#This Row],[L7N]]=Transactions[[#This Row],[L6N]],Transactions[[#This Row],[L7N]],IF(Transactions[[#This Row],[L6N]]=Transactions[[#This Row],[L5N]],Transactions[[#This Row],[L6N]],IF(Transactions[[#This Row],[L5N]]=Transactions[[#This Row],[L4N]],Transactions[[#This Row],[L5N]],IF(Transactions[[#This Row],[L4N]]=Transactions[[#This Row],[L3N]],Transactions[[#This Row],[L4N]],IF(Transactions[[#This Row],[L3N]]=Transactions[[#This Row],[L2N]],Transactions[[#This Row],[L3N]],IF(Transactions[[#This Row],[L2N]]=Transactions[[#This Row],[L1N]],Transactions[[#This Row],[L2N]],IF(Transactions[[#This Row],[L1N]]=Transactions[[#This Row],[Transaction name]],Transactions[[#This Row],[L1N]],Transactions[[#This Row],[Transaction name]])))))))</f>
        <v>Transformation</v>
      </c>
      <c r="AS420" s="24" t="str">
        <f>IF(Transactions[[#This Row],[Level 0]]=Transactions[[#This Row],[Transaction name]],Transactions[[#This Row],[Transaction name]],IF(Transactions[[#This Row],[Level 0]]=Transactions[[#This Row],[L1N]],Transactions[[#This Row],[Transaction name]],IF(Transactions[[#This Row],[Level 0]]=Transactions[[#This Row],[L2N]],Transactions[[#This Row],[L1N]],IF(Transactions[[#This Row],[Level 0]]=Transactions[[#This Row],[L3N]],Transactions[[#This Row],[L2N]],IF(Transactions[[#This Row],[Level 0]]=Transactions[[#This Row],[L4N]],Transactions[[#This Row],[L3N]],IF(Transactions[[#This Row],[Level 0]]=Transactions[[#This Row],[L5N]],Transactions[[#This Row],[L4N]],IF(Transactions[[#This Row],[Level 0]]=Transactions[[#This Row],[L6N]],Transactions[[#This Row],[L5N]],IF(Transactions[[#This Row],[Level 0]]=Transactions[[#This Row],[L7N]],Transactions[[#This Row],[L6N]],Transactions[[#This Row],[L7N]]))))))))</f>
        <v>Electricity, CHP and heat plants (T)</v>
      </c>
      <c r="AT420" s="24" t="str">
        <f>IF(Transactions[[#This Row],[Level 1]]=Transactions[[#This Row],[Transaction name]],Transactions[[#This Row],[Transaction name]],IF(Transactions[[#This Row],[Level 1]]=Transactions[[#This Row],[L1N]],Transactions[[#This Row],[Transaction name]],IF(Transactions[[#This Row],[Level 1]]=Transactions[[#This Row],[L2N]],Transactions[[#This Row],[L1N]],IF(Transactions[[#This Row],[Level 1]]=Transactions[[#This Row],[L3N]],Transactions[[#This Row],[L2N]],IF(Transactions[[#This Row],[Level 1]]=Transactions[[#This Row],[L4N]],Transactions[[#This Row],[L3N]],IF(Transactions[[#This Row],[Level 1]]=Transactions[[#This Row],[L5N]],Transactions[[#This Row],[L4N]],IF(Transactions[[#This Row],[Level 1]]=Transactions[[#This Row],[L6N]],Transactions[[#This Row],[L5N]],IF(Transactions[[#This Row],[Level 1]]=Transactions[[#This Row],[L7N]],Transactions[[#This Row],[L6N]],Transactions[[#This Row],[L7N]]))))))))</f>
        <v>Electricity, CHP and heat plants (T)</v>
      </c>
      <c r="AU420" s="24" t="str">
        <f>IF(Transactions[[#This Row],[Level 2]]=Transactions[[#This Row],[Transaction name]],Transactions[[#This Row],[Transaction name]],IF(Transactions[[#This Row],[Level 2]]=Transactions[[#This Row],[L1N]],Transactions[[#This Row],[Transaction name]],IF(Transactions[[#This Row],[Level 2]]=Transactions[[#This Row],[L2N]],Transactions[[#This Row],[L1N]],IF(Transactions[[#This Row],[Level 2]]=Transactions[[#This Row],[L3N]],Transactions[[#This Row],[L2N]],IF(Transactions[[#This Row],[Level 2]]=Transactions[[#This Row],[L4N]],Transactions[[#This Row],[L3N]],IF(Transactions[[#This Row],[Level 2]]=Transactions[[#This Row],[L5N]],Transactions[[#This Row],[L4N]],IF(Transactions[[#This Row],[Level 2]]=Transactions[[#This Row],[L6N]],Transactions[[#This Row],[L5N]],IF(Transactions[[#This Row],[Level 2]]=Transactions[[#This Row],[L7N]],Transactions[[#This Row],[L6N]],Transactions[[#This Row],[L7N]]))))))))</f>
        <v>Electricity, CHP and heat plants (T)</v>
      </c>
      <c r="AV420" s="24" t="str">
        <f>IF(Transactions[[#This Row],[Level 3]]=Transactions[[#This Row],[Transaction name]],Transactions[[#This Row],[Transaction name]],IF(Transactions[[#This Row],[Level 3]]=Transactions[[#This Row],[L1N]],Transactions[[#This Row],[Transaction name]],IF(Transactions[[#This Row],[Level 3]]=Transactions[[#This Row],[L2N]],Transactions[[#This Row],[L1N]],IF(Transactions[[#This Row],[Level 3]]=Transactions[[#This Row],[L3N]],Transactions[[#This Row],[L2N]],IF(Transactions[[#This Row],[Level 3]]=Transactions[[#This Row],[L4N]],Transactions[[#This Row],[L3N]],IF(Transactions[[#This Row],[Level 3]]=Transactions[[#This Row],[L5N]],Transactions[[#This Row],[L4N]],IF(Transactions[[#This Row],[Level 3]]=Transactions[[#This Row],[L6N]],Transactions[[#This Row],[L5N]],IF(Transactions[[#This Row],[Level 3]]=Transactions[[#This Row],[L7N]],Transactions[[#This Row],[L6N]],Transactions[[#This Row],[L7N]]))))))))</f>
        <v>Electricity, CHP and heat plants (T)</v>
      </c>
      <c r="AW420" s="24" t="str">
        <f>IF(Transactions[[#This Row],[Level 4]]=Transactions[[#This Row],[Transaction name]],Transactions[[#This Row],[Transaction name]],IF(Transactions[[#This Row],[Level 4]]=Transactions[[#This Row],[L1N]],Transactions[[#This Row],[Transaction name]],IF(Transactions[[#This Row],[Level 4]]=Transactions[[#This Row],[L2N]],Transactions[[#This Row],[L1N]],IF(Transactions[[#This Row],[Level 4]]=Transactions[[#This Row],[L3N]],Transactions[[#This Row],[L2N]],IF(Transactions[[#This Row],[Level 4]]=Transactions[[#This Row],[L4N]],Transactions[[#This Row],[L3N]],IF(Transactions[[#This Row],[Level 4]]=Transactions[[#This Row],[L5N]],Transactions[[#This Row],[L4N]],IF(Transactions[[#This Row],[Level 4]]=Transactions[[#This Row],[L6N]],Transactions[[#This Row],[L5N]],IF(Transactions[[#This Row],[Level 4]]=Transactions[[#This Row],[L7N]],Transactions[[#This Row],[L6N]],Transactions[[#This Row],[L7N]]))))))))</f>
        <v>Electricity, CHP and heat plants (T)</v>
      </c>
      <c r="AX420" s="24" t="str">
        <f>IF(Transactions[[#This Row],[Level 5]]=Transactions[[#This Row],[Transaction name]],Transactions[[#This Row],[Transaction name]],IF(Transactions[[#This Row],[Level 5]]=Transactions[[#This Row],[L1N]],Transactions[[#This Row],[Transaction name]],IF(Transactions[[#This Row],[Level 5]]=Transactions[[#This Row],[L2N]],Transactions[[#This Row],[L1N]],IF(Transactions[[#This Row],[Level 5]]=Transactions[[#This Row],[L3N]],Transactions[[#This Row],[L2N]],IF(Transactions[[#This Row],[Level 5]]=Transactions[[#This Row],[L4N]],Transactions[[#This Row],[L3N]],IF(Transactions[[#This Row],[Level 5]]=Transactions[[#This Row],[L5N]],Transactions[[#This Row],[L4N]],IF(Transactions[[#This Row],[Level 5]]=Transactions[[#This Row],[L6N]],Transactions[[#This Row],[L5N]],IF(Transactions[[#This Row],[Level 5]]=Transactions[[#This Row],[L7N]],Transactions[[#This Row],[L6N]],Transactions[[#This Row],[L7N]]))))))))</f>
        <v>Electricity, CHP and heat plants (T)</v>
      </c>
      <c r="AY420" s="24" t="str">
        <f>IF(Transactions[[#This Row],[Level 6]]=Transactions[[#This Row],[Transaction name]],Transactions[[#This Row],[Transaction name]],IF(Transactions[[#This Row],[Level 6]]=Transactions[[#This Row],[L1N]],Transactions[[#This Row],[Transaction name]],IF(Transactions[[#This Row],[Level 6]]=Transactions[[#This Row],[L2N]],Transactions[[#This Row],[L1N]],IF(Transactions[[#This Row],[Level 6]]=Transactions[[#This Row],[L3N]],Transactions[[#This Row],[L2N]],IF(Transactions[[#This Row],[Level 6]]=Transactions[[#This Row],[L4N]],Transactions[[#This Row],[L3N]],IF(Transactions[[#This Row],[Level 6]]=Transactions[[#This Row],[L5N]],Transactions[[#This Row],[L4N]],IF(Transactions[[#This Row],[Level 6]]=Transactions[[#This Row],[L6N]],Transactions[[#This Row],[L5N]],IF(Transactions[[#This Row],[Level 6]]=Transactions[[#This Row],[L7N]],Transactions[[#This Row],[L6N]],Transactions[[#This Row],[L7N]]))))))))</f>
        <v>Electricity, CHP and heat plants (T)</v>
      </c>
      <c r="BE420" s="26" t="str">
        <f>_xlfn.XLOOKUP(Transformation[[#This Row],[cfrom]],Commodities[Commodity],Commodities[Commodity code])</f>
        <v>0350</v>
      </c>
      <c r="BF420" s="26" t="str">
        <f>_xlfn.XLOOKUP(Transformation[[#This Row],[tfrom]],Transactions[Transaction name],Transactions[Transaction code])</f>
        <v>022</v>
      </c>
      <c r="BG420" s="26" t="str">
        <f>_xlfn.XLOOKUP(Transformation[[#This Row],[cto]],Commodities[Commodity],Commodities[Commodity code])</f>
        <v>0350</v>
      </c>
      <c r="BH420" s="26" t="str">
        <f>_xlfn.XLOOKUP(Transformation[[#This Row],[tto]],Transactions[Transaction name],Transactions[Transaction code])</f>
        <v>022</v>
      </c>
      <c r="BI420" s="32">
        <v>-1</v>
      </c>
      <c r="BJ420" s="22" t="s">
        <v>487</v>
      </c>
      <c r="BK420" s="26" t="str">
        <f>_xlfn.XLOOKUP(Transformation[[#This Row],[Commodity from]],Commodities[Commodity code],Commodities[EnergyCode])</f>
        <v>OG</v>
      </c>
      <c r="BL420" s="22" t="s">
        <v>205</v>
      </c>
      <c r="BM420" s="22" t="s">
        <v>487</v>
      </c>
      <c r="BN420" s="26" t="str">
        <f>_xlfn.XLOOKUP(Transformation[[#This Row],[Commodity to]],Commodities[Commodity code],Commodities[EnergyCode])</f>
        <v>OG</v>
      </c>
      <c r="BO420" s="22" t="s">
        <v>205</v>
      </c>
      <c r="BP420" s="22" t="s">
        <v>1639</v>
      </c>
      <c r="BQ420" s="33" t="str">
        <f>Transformation[[#This Row],[Commodity from]]&amp;Transformation[[#This Row],[Transaction from]]&amp;Transformation[[#This Row],[Commodity to]]&amp;Transformation[[#This Row],[Transaction to]]</f>
        <v>03500220350022</v>
      </c>
      <c r="BR420" s="26" t="str">
        <f>Transformation[[#This Row],[crfomid]]&amp;Transformation[[#This Row],[Transaction from]]&amp;"("&amp;Transformation[[#This Row],[Multiplier]]&amp;") -&gt; "&amp;Transformation[[#This Row],[ctoid]]&amp;Transformation[[#This Row],[Transaction to]]</f>
        <v>OG022(-1) -&gt; OG022</v>
      </c>
    </row>
    <row r="421" spans="25:70" x14ac:dyDescent="0.45">
      <c r="Y421" s="19" t="s">
        <v>1499</v>
      </c>
      <c r="Z421" s="18" t="s">
        <v>1519</v>
      </c>
      <c r="AA421" s="18" t="s">
        <v>1519</v>
      </c>
      <c r="AB421" s="18" t="s">
        <v>171</v>
      </c>
      <c r="AC421" s="26" t="str">
        <f>IFERROR(VLOOKUP(Transactions[[#This Row],[Parent code]],Transactions[[Transaction code]:[Transaction name]],2,0),"")</f>
        <v>Electricity, CHP and heat plants (T)</v>
      </c>
      <c r="AD421" s="18" t="s">
        <v>189</v>
      </c>
      <c r="AE421" s="18" t="s">
        <v>959</v>
      </c>
      <c r="AF421" s="18" t="s">
        <v>642</v>
      </c>
      <c r="AG421" s="18" t="s">
        <v>1</v>
      </c>
      <c r="AH421" s="18" t="s">
        <v>696</v>
      </c>
      <c r="AI421" s="18" t="s">
        <v>1416</v>
      </c>
      <c r="AJ421" s="18" t="s">
        <v>0</v>
      </c>
      <c r="AK421" s="26" t="str" cm="1">
        <f t="array" ref="AK421">IFERROR(INDEX(Transactions[[Transaction code]:[Transaction name]],_xlfn.XMATCH(Transactions[[#This Row],[Parent code]],Transactions[Transaction name],0),3),Transactions[[#This Row],[Transaction name]])</f>
        <v>Energy plants - bagasse</v>
      </c>
      <c r="AL421" s="26" t="str" cm="1">
        <f t="array" ref="AL421">IFERROR(INDEX(Transactions[[Transaction code]:[Transaction name]],_xlfn.XMATCH(INDEX(Transactions[[Transaction name]:[Parent code]],_xlfn.XMATCH(Transactions[[#This Row],[L1N]],Transactions[Transaction name],0),3),Transactions[Transaction code],0),2),Transactions[[#This Row],[L1N]])</f>
        <v>Electricity, CHP and heat plants (T)</v>
      </c>
      <c r="AM421" s="26" t="str" cm="1">
        <f t="array" ref="AM421">IFERROR(INDEX(Transactions[[Transaction code]:[Transaction name]],_xlfn.XMATCH(INDEX(Transactions[[Transaction name]:[Parent code]],_xlfn.XMATCH(Transactions[[#This Row],[L2N]],Transactions[Transaction name],0),3),Transactions[Transaction code],0),2),Transactions[[#This Row],[L2N]])</f>
        <v>Transformation</v>
      </c>
      <c r="AN421" s="26" t="str" cm="1">
        <f t="array" ref="AN421">IFERROR(INDEX(Transactions[[Transaction code]:[Transaction name]],_xlfn.XMATCH(INDEX(Transactions[[Transaction name]:[Parent code]],_xlfn.XMATCH(Transactions[[#This Row],[L3N]],Transactions[Transaction name],0),3),Transactions[Transaction code],0),2),Transactions[[#This Row],[L3N]])</f>
        <v>Transformation</v>
      </c>
      <c r="AO421" s="26" t="str" cm="1">
        <f t="array" ref="AO421">IFERROR(INDEX(Transactions[[Transaction code]:[Transaction name]],_xlfn.XMATCH(INDEX(Transactions[[Transaction name]:[Parent code]],_xlfn.XMATCH(Transactions[[#This Row],[L4N]],Transactions[Transaction name],0),3),Transactions[Transaction code],0),2),Transactions[[#This Row],[L4N]])</f>
        <v>Transformation</v>
      </c>
      <c r="AP421" s="26" t="str" cm="1">
        <f t="array" ref="AP421">IFERROR(INDEX(Transactions[[Transaction code]:[Transaction name]],_xlfn.XMATCH(INDEX(Transactions[[Transaction name]:[Parent code]],_xlfn.XMATCH(Transactions[[#This Row],[L5N]],Transactions[Transaction name],0),3),Transactions[Transaction code],0),2),Transactions[[#This Row],[L5N]])</f>
        <v>Transformation</v>
      </c>
      <c r="AQ421" s="26" t="str" cm="1">
        <f t="array" ref="AQ421">IFERROR(INDEX(Transactions[[Transaction code]:[Transaction name]],_xlfn.XMATCH(INDEX(Transactions[[Transaction name]:[Parent code]],_xlfn.XMATCH(Transactions[[#This Row],[L6N]],Transactions[Transaction name],0),3),Transactions[Transaction code],0),2),Transactions[[#This Row],[L6N]])</f>
        <v>Transformation</v>
      </c>
      <c r="AR421" s="30" t="str">
        <f>IF(Transactions[[#This Row],[L7N]]=Transactions[[#This Row],[L6N]],Transactions[[#This Row],[L7N]],IF(Transactions[[#This Row],[L6N]]=Transactions[[#This Row],[L5N]],Transactions[[#This Row],[L6N]],IF(Transactions[[#This Row],[L5N]]=Transactions[[#This Row],[L4N]],Transactions[[#This Row],[L5N]],IF(Transactions[[#This Row],[L4N]]=Transactions[[#This Row],[L3N]],Transactions[[#This Row],[L4N]],IF(Transactions[[#This Row],[L3N]]=Transactions[[#This Row],[L2N]],Transactions[[#This Row],[L3N]],IF(Transactions[[#This Row],[L2N]]=Transactions[[#This Row],[L1N]],Transactions[[#This Row],[L2N]],IF(Transactions[[#This Row],[L1N]]=Transactions[[#This Row],[Transaction name]],Transactions[[#This Row],[L1N]],Transactions[[#This Row],[Transaction name]])))))))</f>
        <v>Transformation</v>
      </c>
      <c r="AS421" s="26" t="str">
        <f>IF(Transactions[[#This Row],[Level 0]]=Transactions[[#This Row],[Transaction name]],Transactions[[#This Row],[Transaction name]],IF(Transactions[[#This Row],[Level 0]]=Transactions[[#This Row],[L1N]],Transactions[[#This Row],[Transaction name]],IF(Transactions[[#This Row],[Level 0]]=Transactions[[#This Row],[L2N]],Transactions[[#This Row],[L1N]],IF(Transactions[[#This Row],[Level 0]]=Transactions[[#This Row],[L3N]],Transactions[[#This Row],[L2N]],IF(Transactions[[#This Row],[Level 0]]=Transactions[[#This Row],[L4N]],Transactions[[#This Row],[L3N]],IF(Transactions[[#This Row],[Level 0]]=Transactions[[#This Row],[L5N]],Transactions[[#This Row],[L4N]],IF(Transactions[[#This Row],[Level 0]]=Transactions[[#This Row],[L6N]],Transactions[[#This Row],[L5N]],IF(Transactions[[#This Row],[Level 0]]=Transactions[[#This Row],[L7N]],Transactions[[#This Row],[L6N]],Transactions[[#This Row],[L7N]]))))))))</f>
        <v>Electricity, CHP and heat plants (T)</v>
      </c>
      <c r="AT421" s="26" t="str">
        <f>IF(Transactions[[#This Row],[Level 1]]=Transactions[[#This Row],[Transaction name]],Transactions[[#This Row],[Transaction name]],IF(Transactions[[#This Row],[Level 1]]=Transactions[[#This Row],[L1N]],Transactions[[#This Row],[Transaction name]],IF(Transactions[[#This Row],[Level 1]]=Transactions[[#This Row],[L2N]],Transactions[[#This Row],[L1N]],IF(Transactions[[#This Row],[Level 1]]=Transactions[[#This Row],[L3N]],Transactions[[#This Row],[L2N]],IF(Transactions[[#This Row],[Level 1]]=Transactions[[#This Row],[L4N]],Transactions[[#This Row],[L3N]],IF(Transactions[[#This Row],[Level 1]]=Transactions[[#This Row],[L5N]],Transactions[[#This Row],[L4N]],IF(Transactions[[#This Row],[Level 1]]=Transactions[[#This Row],[L6N]],Transactions[[#This Row],[L5N]],IF(Transactions[[#This Row],[Level 1]]=Transactions[[#This Row],[L7N]],Transactions[[#This Row],[L6N]],Transactions[[#This Row],[L7N]]))))))))</f>
        <v>Energy plants - bagasse</v>
      </c>
      <c r="AU421" s="26" t="str">
        <f>IF(Transactions[[#This Row],[Level 2]]=Transactions[[#This Row],[Transaction name]],Transactions[[#This Row],[Transaction name]],IF(Transactions[[#This Row],[Level 2]]=Transactions[[#This Row],[L1N]],Transactions[[#This Row],[Transaction name]],IF(Transactions[[#This Row],[Level 2]]=Transactions[[#This Row],[L2N]],Transactions[[#This Row],[L1N]],IF(Transactions[[#This Row],[Level 2]]=Transactions[[#This Row],[L3N]],Transactions[[#This Row],[L2N]],IF(Transactions[[#This Row],[Level 2]]=Transactions[[#This Row],[L4N]],Transactions[[#This Row],[L3N]],IF(Transactions[[#This Row],[Level 2]]=Transactions[[#This Row],[L5N]],Transactions[[#This Row],[L4N]],IF(Transactions[[#This Row],[Level 2]]=Transactions[[#This Row],[L6N]],Transactions[[#This Row],[L5N]],IF(Transactions[[#This Row],[Level 2]]=Transactions[[#This Row],[L7N]],Transactions[[#This Row],[L6N]],Transactions[[#This Row],[L7N]]))))))))</f>
        <v>Energy plants - bagasse</v>
      </c>
      <c r="AV421" s="26" t="str">
        <f>IF(Transactions[[#This Row],[Level 3]]=Transactions[[#This Row],[Transaction name]],Transactions[[#This Row],[Transaction name]],IF(Transactions[[#This Row],[Level 3]]=Transactions[[#This Row],[L1N]],Transactions[[#This Row],[Transaction name]],IF(Transactions[[#This Row],[Level 3]]=Transactions[[#This Row],[L2N]],Transactions[[#This Row],[L1N]],IF(Transactions[[#This Row],[Level 3]]=Transactions[[#This Row],[L3N]],Transactions[[#This Row],[L2N]],IF(Transactions[[#This Row],[Level 3]]=Transactions[[#This Row],[L4N]],Transactions[[#This Row],[L3N]],IF(Transactions[[#This Row],[Level 3]]=Transactions[[#This Row],[L5N]],Transactions[[#This Row],[L4N]],IF(Transactions[[#This Row],[Level 3]]=Transactions[[#This Row],[L6N]],Transactions[[#This Row],[L5N]],IF(Transactions[[#This Row],[Level 3]]=Transactions[[#This Row],[L7N]],Transactions[[#This Row],[L6N]],Transactions[[#This Row],[L7N]]))))))))</f>
        <v>Energy plants - bagasse</v>
      </c>
      <c r="AW421" s="26" t="str">
        <f>IF(Transactions[[#This Row],[Level 4]]=Transactions[[#This Row],[Transaction name]],Transactions[[#This Row],[Transaction name]],IF(Transactions[[#This Row],[Level 4]]=Transactions[[#This Row],[L1N]],Transactions[[#This Row],[Transaction name]],IF(Transactions[[#This Row],[Level 4]]=Transactions[[#This Row],[L2N]],Transactions[[#This Row],[L1N]],IF(Transactions[[#This Row],[Level 4]]=Transactions[[#This Row],[L3N]],Transactions[[#This Row],[L2N]],IF(Transactions[[#This Row],[Level 4]]=Transactions[[#This Row],[L4N]],Transactions[[#This Row],[L3N]],IF(Transactions[[#This Row],[Level 4]]=Transactions[[#This Row],[L5N]],Transactions[[#This Row],[L4N]],IF(Transactions[[#This Row],[Level 4]]=Transactions[[#This Row],[L6N]],Transactions[[#This Row],[L5N]],IF(Transactions[[#This Row],[Level 4]]=Transactions[[#This Row],[L7N]],Transactions[[#This Row],[L6N]],Transactions[[#This Row],[L7N]]))))))))</f>
        <v>Energy plants - bagasse</v>
      </c>
      <c r="AX421" s="26" t="str">
        <f>IF(Transactions[[#This Row],[Level 5]]=Transactions[[#This Row],[Transaction name]],Transactions[[#This Row],[Transaction name]],IF(Transactions[[#This Row],[Level 5]]=Transactions[[#This Row],[L1N]],Transactions[[#This Row],[Transaction name]],IF(Transactions[[#This Row],[Level 5]]=Transactions[[#This Row],[L2N]],Transactions[[#This Row],[L1N]],IF(Transactions[[#This Row],[Level 5]]=Transactions[[#This Row],[L3N]],Transactions[[#This Row],[L2N]],IF(Transactions[[#This Row],[Level 5]]=Transactions[[#This Row],[L4N]],Transactions[[#This Row],[L3N]],IF(Transactions[[#This Row],[Level 5]]=Transactions[[#This Row],[L5N]],Transactions[[#This Row],[L4N]],IF(Transactions[[#This Row],[Level 5]]=Transactions[[#This Row],[L6N]],Transactions[[#This Row],[L5N]],IF(Transactions[[#This Row],[Level 5]]=Transactions[[#This Row],[L7N]],Transactions[[#This Row],[L6N]],Transactions[[#This Row],[L7N]]))))))))</f>
        <v>Energy plants - bagasse</v>
      </c>
      <c r="AY421" s="26" t="str">
        <f>IF(Transactions[[#This Row],[Level 6]]=Transactions[[#This Row],[Transaction name]],Transactions[[#This Row],[Transaction name]],IF(Transactions[[#This Row],[Level 6]]=Transactions[[#This Row],[L1N]],Transactions[[#This Row],[Transaction name]],IF(Transactions[[#This Row],[Level 6]]=Transactions[[#This Row],[L2N]],Transactions[[#This Row],[L1N]],IF(Transactions[[#This Row],[Level 6]]=Transactions[[#This Row],[L3N]],Transactions[[#This Row],[L2N]],IF(Transactions[[#This Row],[Level 6]]=Transactions[[#This Row],[L4N]],Transactions[[#This Row],[L3N]],IF(Transactions[[#This Row],[Level 6]]=Transactions[[#This Row],[L5N]],Transactions[[#This Row],[L4N]],IF(Transactions[[#This Row],[Level 6]]=Transactions[[#This Row],[L6N]],Transactions[[#This Row],[L5N]],IF(Transactions[[#This Row],[Level 6]]=Transactions[[#This Row],[L7N]],Transactions[[#This Row],[L6N]],Transactions[[#This Row],[L7N]]))))))))</f>
        <v>Energy plants - bagasse</v>
      </c>
      <c r="BE421" s="26" t="str">
        <f>_xlfn.XLOOKUP(Transformation[[#This Row],[cfrom]],Commodities[Commodity],Commodities[Commodity code])</f>
        <v>4500</v>
      </c>
      <c r="BF421" s="26" t="str">
        <f>_xlfn.XLOOKUP(Transformation[[#This Row],[tfrom]],Transactions[Transaction name],Transactions[Transaction code])</f>
        <v>022</v>
      </c>
      <c r="BG421" s="26" t="str">
        <f>_xlfn.XLOOKUP(Transformation[[#This Row],[cto]],Commodities[Commodity],Commodities[Commodity code])</f>
        <v>4500</v>
      </c>
      <c r="BH421" s="26" t="str">
        <f>_xlfn.XLOOKUP(Transformation[[#This Row],[tto]],Transactions[Transaction name],Transactions[Transaction code])</f>
        <v>022</v>
      </c>
      <c r="BI421" s="32">
        <v>-1</v>
      </c>
      <c r="BJ421" s="22" t="s">
        <v>424</v>
      </c>
      <c r="BK421" s="26" t="str">
        <f>_xlfn.XLOOKUP(Transformation[[#This Row],[Commodity from]],Commodities[Commodity code],Commodities[EnergyCode])</f>
        <v>OH</v>
      </c>
      <c r="BL421" s="22" t="s">
        <v>205</v>
      </c>
      <c r="BM421" s="22" t="s">
        <v>424</v>
      </c>
      <c r="BN421" s="26" t="str">
        <f>_xlfn.XLOOKUP(Transformation[[#This Row],[Commodity to]],Commodities[Commodity code],Commodities[EnergyCode])</f>
        <v>OH</v>
      </c>
      <c r="BO421" s="22" t="s">
        <v>205</v>
      </c>
      <c r="BP421" s="22" t="s">
        <v>1639</v>
      </c>
      <c r="BQ421" s="33" t="str">
        <f>Transformation[[#This Row],[Commodity from]]&amp;Transformation[[#This Row],[Transaction from]]&amp;Transformation[[#This Row],[Commodity to]]&amp;Transformation[[#This Row],[Transaction to]]</f>
        <v>45000224500022</v>
      </c>
      <c r="BR421" s="26" t="str">
        <f>Transformation[[#This Row],[crfomid]]&amp;Transformation[[#This Row],[Transaction from]]&amp;"("&amp;Transformation[[#This Row],[Multiplier]]&amp;") -&gt; "&amp;Transformation[[#This Row],[ctoid]]&amp;Transformation[[#This Row],[Transaction to]]</f>
        <v>OH022(-1) -&gt; OH022</v>
      </c>
    </row>
    <row r="422" spans="25:70" x14ac:dyDescent="0.45">
      <c r="Y422" s="19" t="s">
        <v>1500</v>
      </c>
      <c r="Z422" s="18" t="s">
        <v>1520</v>
      </c>
      <c r="AA422" s="18" t="s">
        <v>1520</v>
      </c>
      <c r="AB422" s="18" t="s">
        <v>171</v>
      </c>
      <c r="AC422" s="26" t="str">
        <f>IFERROR(VLOOKUP(Transactions[[#This Row],[Parent code]],Transactions[[Transaction code]:[Transaction name]],2,0),"")</f>
        <v>Electricity, CHP and heat plants (T)</v>
      </c>
      <c r="AD422" s="18" t="s">
        <v>189</v>
      </c>
      <c r="AE422" s="18" t="s">
        <v>959</v>
      </c>
      <c r="AF422" s="18" t="s">
        <v>642</v>
      </c>
      <c r="AG422" s="18" t="s">
        <v>1</v>
      </c>
      <c r="AH422" s="18" t="s">
        <v>696</v>
      </c>
      <c r="AI422" s="18" t="s">
        <v>1416</v>
      </c>
      <c r="AJ422" s="18" t="s">
        <v>0</v>
      </c>
      <c r="AK422" s="26" t="str" cm="1">
        <f t="array" ref="AK422">IFERROR(INDEX(Transactions[[Transaction code]:[Transaction name]],_xlfn.XMATCH(Transactions[[#This Row],[Parent code]],Transactions[Transaction name],0),3),Transactions[[#This Row],[Transaction name]])</f>
        <v>Energy plants - biogases</v>
      </c>
      <c r="AL422" s="26" t="str" cm="1">
        <f t="array" ref="AL422">IFERROR(INDEX(Transactions[[Transaction code]:[Transaction name]],_xlfn.XMATCH(INDEX(Transactions[[Transaction name]:[Parent code]],_xlfn.XMATCH(Transactions[[#This Row],[L1N]],Transactions[Transaction name],0),3),Transactions[Transaction code],0),2),Transactions[[#This Row],[L1N]])</f>
        <v>Electricity, CHP and heat plants (T)</v>
      </c>
      <c r="AM422" s="26" t="str" cm="1">
        <f t="array" ref="AM422">IFERROR(INDEX(Transactions[[Transaction code]:[Transaction name]],_xlfn.XMATCH(INDEX(Transactions[[Transaction name]:[Parent code]],_xlfn.XMATCH(Transactions[[#This Row],[L2N]],Transactions[Transaction name],0),3),Transactions[Transaction code],0),2),Transactions[[#This Row],[L2N]])</f>
        <v>Transformation</v>
      </c>
      <c r="AN422" s="26" t="str" cm="1">
        <f t="array" ref="AN422">IFERROR(INDEX(Transactions[[Transaction code]:[Transaction name]],_xlfn.XMATCH(INDEX(Transactions[[Transaction name]:[Parent code]],_xlfn.XMATCH(Transactions[[#This Row],[L3N]],Transactions[Transaction name],0),3),Transactions[Transaction code],0),2),Transactions[[#This Row],[L3N]])</f>
        <v>Transformation</v>
      </c>
      <c r="AO422" s="26" t="str" cm="1">
        <f t="array" ref="AO422">IFERROR(INDEX(Transactions[[Transaction code]:[Transaction name]],_xlfn.XMATCH(INDEX(Transactions[[Transaction name]:[Parent code]],_xlfn.XMATCH(Transactions[[#This Row],[L4N]],Transactions[Transaction name],0),3),Transactions[Transaction code],0),2),Transactions[[#This Row],[L4N]])</f>
        <v>Transformation</v>
      </c>
      <c r="AP422" s="26" t="str" cm="1">
        <f t="array" ref="AP422">IFERROR(INDEX(Transactions[[Transaction code]:[Transaction name]],_xlfn.XMATCH(INDEX(Transactions[[Transaction name]:[Parent code]],_xlfn.XMATCH(Transactions[[#This Row],[L5N]],Transactions[Transaction name],0),3),Transactions[Transaction code],0),2),Transactions[[#This Row],[L5N]])</f>
        <v>Transformation</v>
      </c>
      <c r="AQ422" s="26" t="str" cm="1">
        <f t="array" ref="AQ422">IFERROR(INDEX(Transactions[[Transaction code]:[Transaction name]],_xlfn.XMATCH(INDEX(Transactions[[Transaction name]:[Parent code]],_xlfn.XMATCH(Transactions[[#This Row],[L6N]],Transactions[Transaction name],0),3),Transactions[Transaction code],0),2),Transactions[[#This Row],[L6N]])</f>
        <v>Transformation</v>
      </c>
      <c r="AR422" s="30" t="str">
        <f>IF(Transactions[[#This Row],[L7N]]=Transactions[[#This Row],[L6N]],Transactions[[#This Row],[L7N]],IF(Transactions[[#This Row],[L6N]]=Transactions[[#This Row],[L5N]],Transactions[[#This Row],[L6N]],IF(Transactions[[#This Row],[L5N]]=Transactions[[#This Row],[L4N]],Transactions[[#This Row],[L5N]],IF(Transactions[[#This Row],[L4N]]=Transactions[[#This Row],[L3N]],Transactions[[#This Row],[L4N]],IF(Transactions[[#This Row],[L3N]]=Transactions[[#This Row],[L2N]],Transactions[[#This Row],[L3N]],IF(Transactions[[#This Row],[L2N]]=Transactions[[#This Row],[L1N]],Transactions[[#This Row],[L2N]],IF(Transactions[[#This Row],[L1N]]=Transactions[[#This Row],[Transaction name]],Transactions[[#This Row],[L1N]],Transactions[[#This Row],[Transaction name]])))))))</f>
        <v>Transformation</v>
      </c>
      <c r="AS422" s="26" t="str">
        <f>IF(Transactions[[#This Row],[Level 0]]=Transactions[[#This Row],[Transaction name]],Transactions[[#This Row],[Transaction name]],IF(Transactions[[#This Row],[Level 0]]=Transactions[[#This Row],[L1N]],Transactions[[#This Row],[Transaction name]],IF(Transactions[[#This Row],[Level 0]]=Transactions[[#This Row],[L2N]],Transactions[[#This Row],[L1N]],IF(Transactions[[#This Row],[Level 0]]=Transactions[[#This Row],[L3N]],Transactions[[#This Row],[L2N]],IF(Transactions[[#This Row],[Level 0]]=Transactions[[#This Row],[L4N]],Transactions[[#This Row],[L3N]],IF(Transactions[[#This Row],[Level 0]]=Transactions[[#This Row],[L5N]],Transactions[[#This Row],[L4N]],IF(Transactions[[#This Row],[Level 0]]=Transactions[[#This Row],[L6N]],Transactions[[#This Row],[L5N]],IF(Transactions[[#This Row],[Level 0]]=Transactions[[#This Row],[L7N]],Transactions[[#This Row],[L6N]],Transactions[[#This Row],[L7N]]))))))))</f>
        <v>Electricity, CHP and heat plants (T)</v>
      </c>
      <c r="AT422" s="26" t="str">
        <f>IF(Transactions[[#This Row],[Level 1]]=Transactions[[#This Row],[Transaction name]],Transactions[[#This Row],[Transaction name]],IF(Transactions[[#This Row],[Level 1]]=Transactions[[#This Row],[L1N]],Transactions[[#This Row],[Transaction name]],IF(Transactions[[#This Row],[Level 1]]=Transactions[[#This Row],[L2N]],Transactions[[#This Row],[L1N]],IF(Transactions[[#This Row],[Level 1]]=Transactions[[#This Row],[L3N]],Transactions[[#This Row],[L2N]],IF(Transactions[[#This Row],[Level 1]]=Transactions[[#This Row],[L4N]],Transactions[[#This Row],[L3N]],IF(Transactions[[#This Row],[Level 1]]=Transactions[[#This Row],[L5N]],Transactions[[#This Row],[L4N]],IF(Transactions[[#This Row],[Level 1]]=Transactions[[#This Row],[L6N]],Transactions[[#This Row],[L5N]],IF(Transactions[[#This Row],[Level 1]]=Transactions[[#This Row],[L7N]],Transactions[[#This Row],[L6N]],Transactions[[#This Row],[L7N]]))))))))</f>
        <v>Energy plants - biogases</v>
      </c>
      <c r="AU422" s="26" t="str">
        <f>IF(Transactions[[#This Row],[Level 2]]=Transactions[[#This Row],[Transaction name]],Transactions[[#This Row],[Transaction name]],IF(Transactions[[#This Row],[Level 2]]=Transactions[[#This Row],[L1N]],Transactions[[#This Row],[Transaction name]],IF(Transactions[[#This Row],[Level 2]]=Transactions[[#This Row],[L2N]],Transactions[[#This Row],[L1N]],IF(Transactions[[#This Row],[Level 2]]=Transactions[[#This Row],[L3N]],Transactions[[#This Row],[L2N]],IF(Transactions[[#This Row],[Level 2]]=Transactions[[#This Row],[L4N]],Transactions[[#This Row],[L3N]],IF(Transactions[[#This Row],[Level 2]]=Transactions[[#This Row],[L5N]],Transactions[[#This Row],[L4N]],IF(Transactions[[#This Row],[Level 2]]=Transactions[[#This Row],[L6N]],Transactions[[#This Row],[L5N]],IF(Transactions[[#This Row],[Level 2]]=Transactions[[#This Row],[L7N]],Transactions[[#This Row],[L6N]],Transactions[[#This Row],[L7N]]))))))))</f>
        <v>Energy plants - biogases</v>
      </c>
      <c r="AV422" s="26" t="str">
        <f>IF(Transactions[[#This Row],[Level 3]]=Transactions[[#This Row],[Transaction name]],Transactions[[#This Row],[Transaction name]],IF(Transactions[[#This Row],[Level 3]]=Transactions[[#This Row],[L1N]],Transactions[[#This Row],[Transaction name]],IF(Transactions[[#This Row],[Level 3]]=Transactions[[#This Row],[L2N]],Transactions[[#This Row],[L1N]],IF(Transactions[[#This Row],[Level 3]]=Transactions[[#This Row],[L3N]],Transactions[[#This Row],[L2N]],IF(Transactions[[#This Row],[Level 3]]=Transactions[[#This Row],[L4N]],Transactions[[#This Row],[L3N]],IF(Transactions[[#This Row],[Level 3]]=Transactions[[#This Row],[L5N]],Transactions[[#This Row],[L4N]],IF(Transactions[[#This Row],[Level 3]]=Transactions[[#This Row],[L6N]],Transactions[[#This Row],[L5N]],IF(Transactions[[#This Row],[Level 3]]=Transactions[[#This Row],[L7N]],Transactions[[#This Row],[L6N]],Transactions[[#This Row],[L7N]]))))))))</f>
        <v>Energy plants - biogases</v>
      </c>
      <c r="AW422" s="26" t="str">
        <f>IF(Transactions[[#This Row],[Level 4]]=Transactions[[#This Row],[Transaction name]],Transactions[[#This Row],[Transaction name]],IF(Transactions[[#This Row],[Level 4]]=Transactions[[#This Row],[L1N]],Transactions[[#This Row],[Transaction name]],IF(Transactions[[#This Row],[Level 4]]=Transactions[[#This Row],[L2N]],Transactions[[#This Row],[L1N]],IF(Transactions[[#This Row],[Level 4]]=Transactions[[#This Row],[L3N]],Transactions[[#This Row],[L2N]],IF(Transactions[[#This Row],[Level 4]]=Transactions[[#This Row],[L4N]],Transactions[[#This Row],[L3N]],IF(Transactions[[#This Row],[Level 4]]=Transactions[[#This Row],[L5N]],Transactions[[#This Row],[L4N]],IF(Transactions[[#This Row],[Level 4]]=Transactions[[#This Row],[L6N]],Transactions[[#This Row],[L5N]],IF(Transactions[[#This Row],[Level 4]]=Transactions[[#This Row],[L7N]],Transactions[[#This Row],[L6N]],Transactions[[#This Row],[L7N]]))))))))</f>
        <v>Energy plants - biogases</v>
      </c>
      <c r="AX422" s="26" t="str">
        <f>IF(Transactions[[#This Row],[Level 5]]=Transactions[[#This Row],[Transaction name]],Transactions[[#This Row],[Transaction name]],IF(Transactions[[#This Row],[Level 5]]=Transactions[[#This Row],[L1N]],Transactions[[#This Row],[Transaction name]],IF(Transactions[[#This Row],[Level 5]]=Transactions[[#This Row],[L2N]],Transactions[[#This Row],[L1N]],IF(Transactions[[#This Row],[Level 5]]=Transactions[[#This Row],[L3N]],Transactions[[#This Row],[L2N]],IF(Transactions[[#This Row],[Level 5]]=Transactions[[#This Row],[L4N]],Transactions[[#This Row],[L3N]],IF(Transactions[[#This Row],[Level 5]]=Transactions[[#This Row],[L5N]],Transactions[[#This Row],[L4N]],IF(Transactions[[#This Row],[Level 5]]=Transactions[[#This Row],[L6N]],Transactions[[#This Row],[L5N]],IF(Transactions[[#This Row],[Level 5]]=Transactions[[#This Row],[L7N]],Transactions[[#This Row],[L6N]],Transactions[[#This Row],[L7N]]))))))))</f>
        <v>Energy plants - biogases</v>
      </c>
      <c r="AY422" s="26" t="str">
        <f>IF(Transactions[[#This Row],[Level 6]]=Transactions[[#This Row],[Transaction name]],Transactions[[#This Row],[Transaction name]],IF(Transactions[[#This Row],[Level 6]]=Transactions[[#This Row],[L1N]],Transactions[[#This Row],[Transaction name]],IF(Transactions[[#This Row],[Level 6]]=Transactions[[#This Row],[L2N]],Transactions[[#This Row],[L1N]],IF(Transactions[[#This Row],[Level 6]]=Transactions[[#This Row],[L3N]],Transactions[[#This Row],[L2N]],IF(Transactions[[#This Row],[Level 6]]=Transactions[[#This Row],[L4N]],Transactions[[#This Row],[L3N]],IF(Transactions[[#This Row],[Level 6]]=Transactions[[#This Row],[L5N]],Transactions[[#This Row],[L4N]],IF(Transactions[[#This Row],[Level 6]]=Transactions[[#This Row],[L6N]],Transactions[[#This Row],[L5N]],IF(Transactions[[#This Row],[Level 6]]=Transactions[[#This Row],[L7N]],Transactions[[#This Row],[L6N]],Transactions[[#This Row],[L7N]]))))))))</f>
        <v>Energy plants - biogases</v>
      </c>
      <c r="BE422" s="26" t="str">
        <f>_xlfn.XLOOKUP(Transformation[[#This Row],[cfrom]],Commodities[Commodity],Commodities[Commodity code])</f>
        <v>4500</v>
      </c>
      <c r="BF422" s="26" t="str">
        <f>_xlfn.XLOOKUP(Transformation[[#This Row],[tfrom]],Transactions[Transaction name],Transactions[Transaction code])</f>
        <v>022</v>
      </c>
      <c r="BG422" s="26" t="str">
        <f>_xlfn.XLOOKUP(Transformation[[#This Row],[cto]],Commodities[Commodity],Commodities[Commodity code])</f>
        <v>4500</v>
      </c>
      <c r="BH422" s="26" t="str">
        <f>_xlfn.XLOOKUP(Transformation[[#This Row],[tto]],Transactions[Transaction name],Transactions[Transaction code])</f>
        <v>085LP</v>
      </c>
      <c r="BI422" s="32">
        <v>0.6</v>
      </c>
      <c r="BJ422" s="22" t="s">
        <v>424</v>
      </c>
      <c r="BK422" s="26" t="str">
        <f>_xlfn.XLOOKUP(Transformation[[#This Row],[Commodity from]],Commodities[Commodity code],Commodities[EnergyCode])</f>
        <v>OH</v>
      </c>
      <c r="BL422" s="22" t="s">
        <v>205</v>
      </c>
      <c r="BM422" s="22" t="s">
        <v>424</v>
      </c>
      <c r="BN422" s="26" t="str">
        <f>_xlfn.XLOOKUP(Transformation[[#This Row],[Commodity to]],Commodities[Commodity code],Commodities[EnergyCode])</f>
        <v>OH</v>
      </c>
      <c r="BO422" s="22" t="s">
        <v>726</v>
      </c>
      <c r="BP422" s="22" t="s">
        <v>1642</v>
      </c>
      <c r="BQ422" s="33" t="str">
        <f>Transformation[[#This Row],[Commodity from]]&amp;Transformation[[#This Row],[Transaction from]]&amp;Transformation[[#This Row],[Commodity to]]&amp;Transformation[[#This Row],[Transaction to]]</f>
        <v>45000224500085LP</v>
      </c>
      <c r="BR422" s="26" t="str">
        <f>Transformation[[#This Row],[crfomid]]&amp;Transformation[[#This Row],[Transaction from]]&amp;"("&amp;Transformation[[#This Row],[Multiplier]]&amp;") -&gt; "&amp;Transformation[[#This Row],[ctoid]]&amp;Transformation[[#This Row],[Transaction to]]</f>
        <v>OH022(0.6) -&gt; OH085LP</v>
      </c>
    </row>
    <row r="423" spans="25:70" x14ac:dyDescent="0.45">
      <c r="Y423" s="19" t="s">
        <v>1501</v>
      </c>
      <c r="Z423" s="18" t="s">
        <v>1521</v>
      </c>
      <c r="AA423" s="18" t="s">
        <v>1521</v>
      </c>
      <c r="AB423" s="18" t="s">
        <v>171</v>
      </c>
      <c r="AC423" s="26" t="str">
        <f>IFERROR(VLOOKUP(Transactions[[#This Row],[Parent code]],Transactions[[Transaction code]:[Transaction name]],2,0),"")</f>
        <v>Electricity, CHP and heat plants (T)</v>
      </c>
      <c r="AD423" s="18" t="s">
        <v>189</v>
      </c>
      <c r="AE423" s="18" t="s">
        <v>959</v>
      </c>
      <c r="AF423" s="18" t="s">
        <v>642</v>
      </c>
      <c r="AG423" s="18" t="s">
        <v>1</v>
      </c>
      <c r="AH423" s="18" t="s">
        <v>696</v>
      </c>
      <c r="AI423" s="18" t="s">
        <v>1416</v>
      </c>
      <c r="AJ423" s="18" t="s">
        <v>0</v>
      </c>
      <c r="AK423" s="26" t="str" cm="1">
        <f t="array" ref="AK423">IFERROR(INDEX(Transactions[[Transaction code]:[Transaction name]],_xlfn.XMATCH(Transactions[[#This Row],[Parent code]],Transactions[Transaction name],0),3),Transactions[[#This Row],[Transaction name]])</f>
        <v>Energy plants - brown coal</v>
      </c>
      <c r="AL423" s="26" t="str" cm="1">
        <f t="array" ref="AL423">IFERROR(INDEX(Transactions[[Transaction code]:[Transaction name]],_xlfn.XMATCH(INDEX(Transactions[[Transaction name]:[Parent code]],_xlfn.XMATCH(Transactions[[#This Row],[L1N]],Transactions[Transaction name],0),3),Transactions[Transaction code],0),2),Transactions[[#This Row],[L1N]])</f>
        <v>Electricity, CHP and heat plants (T)</v>
      </c>
      <c r="AM423" s="26" t="str" cm="1">
        <f t="array" ref="AM423">IFERROR(INDEX(Transactions[[Transaction code]:[Transaction name]],_xlfn.XMATCH(INDEX(Transactions[[Transaction name]:[Parent code]],_xlfn.XMATCH(Transactions[[#This Row],[L2N]],Transactions[Transaction name],0),3),Transactions[Transaction code],0),2),Transactions[[#This Row],[L2N]])</f>
        <v>Transformation</v>
      </c>
      <c r="AN423" s="26" t="str" cm="1">
        <f t="array" ref="AN423">IFERROR(INDEX(Transactions[[Transaction code]:[Transaction name]],_xlfn.XMATCH(INDEX(Transactions[[Transaction name]:[Parent code]],_xlfn.XMATCH(Transactions[[#This Row],[L3N]],Transactions[Transaction name],0),3),Transactions[Transaction code],0),2),Transactions[[#This Row],[L3N]])</f>
        <v>Transformation</v>
      </c>
      <c r="AO423" s="26" t="str" cm="1">
        <f t="array" ref="AO423">IFERROR(INDEX(Transactions[[Transaction code]:[Transaction name]],_xlfn.XMATCH(INDEX(Transactions[[Transaction name]:[Parent code]],_xlfn.XMATCH(Transactions[[#This Row],[L4N]],Transactions[Transaction name],0),3),Transactions[Transaction code],0),2),Transactions[[#This Row],[L4N]])</f>
        <v>Transformation</v>
      </c>
      <c r="AP423" s="26" t="str" cm="1">
        <f t="array" ref="AP423">IFERROR(INDEX(Transactions[[Transaction code]:[Transaction name]],_xlfn.XMATCH(INDEX(Transactions[[Transaction name]:[Parent code]],_xlfn.XMATCH(Transactions[[#This Row],[L5N]],Transactions[Transaction name],0),3),Transactions[Transaction code],0),2),Transactions[[#This Row],[L5N]])</f>
        <v>Transformation</v>
      </c>
      <c r="AQ423" s="26" t="str" cm="1">
        <f t="array" ref="AQ423">IFERROR(INDEX(Transactions[[Transaction code]:[Transaction name]],_xlfn.XMATCH(INDEX(Transactions[[Transaction name]:[Parent code]],_xlfn.XMATCH(Transactions[[#This Row],[L6N]],Transactions[Transaction name],0),3),Transactions[Transaction code],0),2),Transactions[[#This Row],[L6N]])</f>
        <v>Transformation</v>
      </c>
      <c r="AR423" s="29" t="str">
        <f>IF(Transactions[[#This Row],[L7N]]=Transactions[[#This Row],[L6N]],Transactions[[#This Row],[L7N]],IF(Transactions[[#This Row],[L6N]]=Transactions[[#This Row],[L5N]],Transactions[[#This Row],[L6N]],IF(Transactions[[#This Row],[L5N]]=Transactions[[#This Row],[L4N]],Transactions[[#This Row],[L5N]],IF(Transactions[[#This Row],[L4N]]=Transactions[[#This Row],[L3N]],Transactions[[#This Row],[L4N]],IF(Transactions[[#This Row],[L3N]]=Transactions[[#This Row],[L2N]],Transactions[[#This Row],[L3N]],IF(Transactions[[#This Row],[L2N]]=Transactions[[#This Row],[L1N]],Transactions[[#This Row],[L2N]],IF(Transactions[[#This Row],[L1N]]=Transactions[[#This Row],[Transaction name]],Transactions[[#This Row],[L1N]],Transactions[[#This Row],[Transaction name]])))))))</f>
        <v>Transformation</v>
      </c>
      <c r="AS423" s="26" t="str">
        <f>IF(Transactions[[#This Row],[Level 0]]=Transactions[[#This Row],[Transaction name]],Transactions[[#This Row],[Transaction name]],IF(Transactions[[#This Row],[Level 0]]=Transactions[[#This Row],[L1N]],Transactions[[#This Row],[Transaction name]],IF(Transactions[[#This Row],[Level 0]]=Transactions[[#This Row],[L2N]],Transactions[[#This Row],[L1N]],IF(Transactions[[#This Row],[Level 0]]=Transactions[[#This Row],[L3N]],Transactions[[#This Row],[L2N]],IF(Transactions[[#This Row],[Level 0]]=Transactions[[#This Row],[L4N]],Transactions[[#This Row],[L3N]],IF(Transactions[[#This Row],[Level 0]]=Transactions[[#This Row],[L5N]],Transactions[[#This Row],[L4N]],IF(Transactions[[#This Row],[Level 0]]=Transactions[[#This Row],[L6N]],Transactions[[#This Row],[L5N]],IF(Transactions[[#This Row],[Level 0]]=Transactions[[#This Row],[L7N]],Transactions[[#This Row],[L6N]],Transactions[[#This Row],[L7N]]))))))))</f>
        <v>Electricity, CHP and heat plants (T)</v>
      </c>
      <c r="AT423" s="26" t="str">
        <f>IF(Transactions[[#This Row],[Level 1]]=Transactions[[#This Row],[Transaction name]],Transactions[[#This Row],[Transaction name]],IF(Transactions[[#This Row],[Level 1]]=Transactions[[#This Row],[L1N]],Transactions[[#This Row],[Transaction name]],IF(Transactions[[#This Row],[Level 1]]=Transactions[[#This Row],[L2N]],Transactions[[#This Row],[L1N]],IF(Transactions[[#This Row],[Level 1]]=Transactions[[#This Row],[L3N]],Transactions[[#This Row],[L2N]],IF(Transactions[[#This Row],[Level 1]]=Transactions[[#This Row],[L4N]],Transactions[[#This Row],[L3N]],IF(Transactions[[#This Row],[Level 1]]=Transactions[[#This Row],[L5N]],Transactions[[#This Row],[L4N]],IF(Transactions[[#This Row],[Level 1]]=Transactions[[#This Row],[L6N]],Transactions[[#This Row],[L5N]],IF(Transactions[[#This Row],[Level 1]]=Transactions[[#This Row],[L7N]],Transactions[[#This Row],[L6N]],Transactions[[#This Row],[L7N]]))))))))</f>
        <v>Energy plants - brown coal</v>
      </c>
      <c r="AU423" s="26" t="str">
        <f>IF(Transactions[[#This Row],[Level 2]]=Transactions[[#This Row],[Transaction name]],Transactions[[#This Row],[Transaction name]],IF(Transactions[[#This Row],[Level 2]]=Transactions[[#This Row],[L1N]],Transactions[[#This Row],[Transaction name]],IF(Transactions[[#This Row],[Level 2]]=Transactions[[#This Row],[L2N]],Transactions[[#This Row],[L1N]],IF(Transactions[[#This Row],[Level 2]]=Transactions[[#This Row],[L3N]],Transactions[[#This Row],[L2N]],IF(Transactions[[#This Row],[Level 2]]=Transactions[[#This Row],[L4N]],Transactions[[#This Row],[L3N]],IF(Transactions[[#This Row],[Level 2]]=Transactions[[#This Row],[L5N]],Transactions[[#This Row],[L4N]],IF(Transactions[[#This Row],[Level 2]]=Transactions[[#This Row],[L6N]],Transactions[[#This Row],[L5N]],IF(Transactions[[#This Row],[Level 2]]=Transactions[[#This Row],[L7N]],Transactions[[#This Row],[L6N]],Transactions[[#This Row],[L7N]]))))))))</f>
        <v>Energy plants - brown coal</v>
      </c>
      <c r="AV423" s="26" t="str">
        <f>IF(Transactions[[#This Row],[Level 3]]=Transactions[[#This Row],[Transaction name]],Transactions[[#This Row],[Transaction name]],IF(Transactions[[#This Row],[Level 3]]=Transactions[[#This Row],[L1N]],Transactions[[#This Row],[Transaction name]],IF(Transactions[[#This Row],[Level 3]]=Transactions[[#This Row],[L2N]],Transactions[[#This Row],[L1N]],IF(Transactions[[#This Row],[Level 3]]=Transactions[[#This Row],[L3N]],Transactions[[#This Row],[L2N]],IF(Transactions[[#This Row],[Level 3]]=Transactions[[#This Row],[L4N]],Transactions[[#This Row],[L3N]],IF(Transactions[[#This Row],[Level 3]]=Transactions[[#This Row],[L5N]],Transactions[[#This Row],[L4N]],IF(Transactions[[#This Row],[Level 3]]=Transactions[[#This Row],[L6N]],Transactions[[#This Row],[L5N]],IF(Transactions[[#This Row],[Level 3]]=Transactions[[#This Row],[L7N]],Transactions[[#This Row],[L6N]],Transactions[[#This Row],[L7N]]))))))))</f>
        <v>Energy plants - brown coal</v>
      </c>
      <c r="AW423" s="26" t="str">
        <f>IF(Transactions[[#This Row],[Level 4]]=Transactions[[#This Row],[Transaction name]],Transactions[[#This Row],[Transaction name]],IF(Transactions[[#This Row],[Level 4]]=Transactions[[#This Row],[L1N]],Transactions[[#This Row],[Transaction name]],IF(Transactions[[#This Row],[Level 4]]=Transactions[[#This Row],[L2N]],Transactions[[#This Row],[L1N]],IF(Transactions[[#This Row],[Level 4]]=Transactions[[#This Row],[L3N]],Transactions[[#This Row],[L2N]],IF(Transactions[[#This Row],[Level 4]]=Transactions[[#This Row],[L4N]],Transactions[[#This Row],[L3N]],IF(Transactions[[#This Row],[Level 4]]=Transactions[[#This Row],[L5N]],Transactions[[#This Row],[L4N]],IF(Transactions[[#This Row],[Level 4]]=Transactions[[#This Row],[L6N]],Transactions[[#This Row],[L5N]],IF(Transactions[[#This Row],[Level 4]]=Transactions[[#This Row],[L7N]],Transactions[[#This Row],[L6N]],Transactions[[#This Row],[L7N]]))))))))</f>
        <v>Energy plants - brown coal</v>
      </c>
      <c r="AX423" s="26" t="str">
        <f>IF(Transactions[[#This Row],[Level 5]]=Transactions[[#This Row],[Transaction name]],Transactions[[#This Row],[Transaction name]],IF(Transactions[[#This Row],[Level 5]]=Transactions[[#This Row],[L1N]],Transactions[[#This Row],[Transaction name]],IF(Transactions[[#This Row],[Level 5]]=Transactions[[#This Row],[L2N]],Transactions[[#This Row],[L1N]],IF(Transactions[[#This Row],[Level 5]]=Transactions[[#This Row],[L3N]],Transactions[[#This Row],[L2N]],IF(Transactions[[#This Row],[Level 5]]=Transactions[[#This Row],[L4N]],Transactions[[#This Row],[L3N]],IF(Transactions[[#This Row],[Level 5]]=Transactions[[#This Row],[L5N]],Transactions[[#This Row],[L4N]],IF(Transactions[[#This Row],[Level 5]]=Transactions[[#This Row],[L6N]],Transactions[[#This Row],[L5N]],IF(Transactions[[#This Row],[Level 5]]=Transactions[[#This Row],[L7N]],Transactions[[#This Row],[L6N]],Transactions[[#This Row],[L7N]]))))))))</f>
        <v>Energy plants - brown coal</v>
      </c>
      <c r="AY423" s="26" t="str">
        <f>IF(Transactions[[#This Row],[Level 6]]=Transactions[[#This Row],[Transaction name]],Transactions[[#This Row],[Transaction name]],IF(Transactions[[#This Row],[Level 6]]=Transactions[[#This Row],[L1N]],Transactions[[#This Row],[Transaction name]],IF(Transactions[[#This Row],[Level 6]]=Transactions[[#This Row],[L2N]],Transactions[[#This Row],[L1N]],IF(Transactions[[#This Row],[Level 6]]=Transactions[[#This Row],[L3N]],Transactions[[#This Row],[L2N]],IF(Transactions[[#This Row],[Level 6]]=Transactions[[#This Row],[L4N]],Transactions[[#This Row],[L3N]],IF(Transactions[[#This Row],[Level 6]]=Transactions[[#This Row],[L5N]],Transactions[[#This Row],[L4N]],IF(Transactions[[#This Row],[Level 6]]=Transactions[[#This Row],[L6N]],Transactions[[#This Row],[L5N]],IF(Transactions[[#This Row],[Level 6]]=Transactions[[#This Row],[L7N]],Transactions[[#This Row],[L6N]],Transactions[[#This Row],[L7N]]))))))))</f>
        <v>Energy plants - brown coal</v>
      </c>
      <c r="BE423" s="26" t="str">
        <f>_xlfn.XLOOKUP(Transformation[[#This Row],[cfrom]],Commodities[Commodity],Commodities[Commodity code])</f>
        <v>4500</v>
      </c>
      <c r="BF423" s="26" t="str">
        <f>_xlfn.XLOOKUP(Transformation[[#This Row],[tfrom]],Transactions[Transaction name],Transactions[Transaction code])</f>
        <v>022</v>
      </c>
      <c r="BG423" s="26" t="str">
        <f>_xlfn.XLOOKUP(Transformation[[#This Row],[cto]],Commodities[Commodity],Commodities[Commodity code])</f>
        <v>4500</v>
      </c>
      <c r="BH423" s="26" t="str">
        <f>_xlfn.XLOOKUP(Transformation[[#This Row],[tto]],Transactions[Transaction name],Transactions[Transaction code])</f>
        <v>085GL</v>
      </c>
      <c r="BI423" s="32">
        <v>0.4</v>
      </c>
      <c r="BJ423" s="22" t="s">
        <v>424</v>
      </c>
      <c r="BK423" s="26" t="str">
        <f>_xlfn.XLOOKUP(Transformation[[#This Row],[Commodity from]],Commodities[Commodity code],Commodities[EnergyCode])</f>
        <v>OH</v>
      </c>
      <c r="BL423" s="22" t="s">
        <v>205</v>
      </c>
      <c r="BM423" s="22" t="s">
        <v>424</v>
      </c>
      <c r="BN423" s="26" t="str">
        <f>_xlfn.XLOOKUP(Transformation[[#This Row],[Commodity to]],Commodities[Commodity code],Commodities[EnergyCode])</f>
        <v>OH</v>
      </c>
      <c r="BO423" s="22" t="s">
        <v>725</v>
      </c>
      <c r="BP423" s="22" t="s">
        <v>1643</v>
      </c>
      <c r="BQ423" s="33" t="str">
        <f>Transformation[[#This Row],[Commodity from]]&amp;Transformation[[#This Row],[Transaction from]]&amp;Transformation[[#This Row],[Commodity to]]&amp;Transformation[[#This Row],[Transaction to]]</f>
        <v>45000224500085GL</v>
      </c>
      <c r="BR423" s="26" t="str">
        <f>Transformation[[#This Row],[crfomid]]&amp;Transformation[[#This Row],[Transaction from]]&amp;"("&amp;Transformation[[#This Row],[Multiplier]]&amp;") -&gt; "&amp;Transformation[[#This Row],[ctoid]]&amp;Transformation[[#This Row],[Transaction to]]</f>
        <v>OH022(0.4) -&gt; OH085GL</v>
      </c>
    </row>
    <row r="424" spans="25:70" x14ac:dyDescent="0.45">
      <c r="Y424" s="19" t="s">
        <v>1484</v>
      </c>
      <c r="Z424" s="18" t="s">
        <v>1522</v>
      </c>
      <c r="AA424" s="18" t="s">
        <v>1522</v>
      </c>
      <c r="AB424" s="18" t="s">
        <v>171</v>
      </c>
      <c r="AC424" s="26" t="str">
        <f>IFERROR(VLOOKUP(Transactions[[#This Row],[Parent code]],Transactions[[Transaction code]:[Transaction name]],2,0),"")</f>
        <v>Electricity, CHP and heat plants (T)</v>
      </c>
      <c r="AD424" s="18" t="s">
        <v>189</v>
      </c>
      <c r="AE424" s="18" t="s">
        <v>959</v>
      </c>
      <c r="AF424" s="18" t="s">
        <v>642</v>
      </c>
      <c r="AG424" s="18" t="s">
        <v>1</v>
      </c>
      <c r="AH424" s="18" t="s">
        <v>696</v>
      </c>
      <c r="AI424" s="18"/>
      <c r="AJ424" s="18" t="s">
        <v>0</v>
      </c>
      <c r="AK424" s="26" t="str" cm="1">
        <f t="array" ref="AK424">IFERROR(INDEX(Transactions[[Transaction code]:[Transaction name]],_xlfn.XMATCH(Transactions[[#This Row],[Parent code]],Transactions[Transaction name],0),3),Transactions[[#This Row],[Transaction name]])</f>
        <v>Energy plants - chemical heat/sources</v>
      </c>
      <c r="AL424" s="26" t="str" cm="1">
        <f t="array" ref="AL424">IFERROR(INDEX(Transactions[[Transaction code]:[Transaction name]],_xlfn.XMATCH(INDEX(Transactions[[Transaction name]:[Parent code]],_xlfn.XMATCH(Transactions[[#This Row],[L1N]],Transactions[Transaction name],0),3),Transactions[Transaction code],0),2),Transactions[[#This Row],[L1N]])</f>
        <v>Electricity, CHP and heat plants (T)</v>
      </c>
      <c r="AM424" s="26" t="str" cm="1">
        <f t="array" ref="AM424">IFERROR(INDEX(Transactions[[Transaction code]:[Transaction name]],_xlfn.XMATCH(INDEX(Transactions[[Transaction name]:[Parent code]],_xlfn.XMATCH(Transactions[[#This Row],[L2N]],Transactions[Transaction name],0),3),Transactions[Transaction code],0),2),Transactions[[#This Row],[L2N]])</f>
        <v>Transformation</v>
      </c>
      <c r="AN424" s="26" t="str" cm="1">
        <f t="array" ref="AN424">IFERROR(INDEX(Transactions[[Transaction code]:[Transaction name]],_xlfn.XMATCH(INDEX(Transactions[[Transaction name]:[Parent code]],_xlfn.XMATCH(Transactions[[#This Row],[L3N]],Transactions[Transaction name],0),3),Transactions[Transaction code],0),2),Transactions[[#This Row],[L3N]])</f>
        <v>Transformation</v>
      </c>
      <c r="AO424" s="26" t="str" cm="1">
        <f t="array" ref="AO424">IFERROR(INDEX(Transactions[[Transaction code]:[Transaction name]],_xlfn.XMATCH(INDEX(Transactions[[Transaction name]:[Parent code]],_xlfn.XMATCH(Transactions[[#This Row],[L4N]],Transactions[Transaction name],0),3),Transactions[Transaction code],0),2),Transactions[[#This Row],[L4N]])</f>
        <v>Transformation</v>
      </c>
      <c r="AP424" s="26" t="str" cm="1">
        <f t="array" ref="AP424">IFERROR(INDEX(Transactions[[Transaction code]:[Transaction name]],_xlfn.XMATCH(INDEX(Transactions[[Transaction name]:[Parent code]],_xlfn.XMATCH(Transactions[[#This Row],[L5N]],Transactions[Transaction name],0),3),Transactions[Transaction code],0),2),Transactions[[#This Row],[L5N]])</f>
        <v>Transformation</v>
      </c>
      <c r="AQ424" s="26" t="str" cm="1">
        <f t="array" ref="AQ424">IFERROR(INDEX(Transactions[[Transaction code]:[Transaction name]],_xlfn.XMATCH(INDEX(Transactions[[Transaction name]:[Parent code]],_xlfn.XMATCH(Transactions[[#This Row],[L6N]],Transactions[Transaction name],0),3),Transactions[Transaction code],0),2),Transactions[[#This Row],[L6N]])</f>
        <v>Transformation</v>
      </c>
      <c r="AR424" s="29" t="str">
        <f>IF(Transactions[[#This Row],[L7N]]=Transactions[[#This Row],[L6N]],Transactions[[#This Row],[L7N]],IF(Transactions[[#This Row],[L6N]]=Transactions[[#This Row],[L5N]],Transactions[[#This Row],[L6N]],IF(Transactions[[#This Row],[L5N]]=Transactions[[#This Row],[L4N]],Transactions[[#This Row],[L5N]],IF(Transactions[[#This Row],[L4N]]=Transactions[[#This Row],[L3N]],Transactions[[#This Row],[L4N]],IF(Transactions[[#This Row],[L3N]]=Transactions[[#This Row],[L2N]],Transactions[[#This Row],[L3N]],IF(Transactions[[#This Row],[L2N]]=Transactions[[#This Row],[L1N]],Transactions[[#This Row],[L2N]],IF(Transactions[[#This Row],[L1N]]=Transactions[[#This Row],[Transaction name]],Transactions[[#This Row],[L1N]],Transactions[[#This Row],[Transaction name]])))))))</f>
        <v>Transformation</v>
      </c>
      <c r="AS424" s="26" t="str">
        <f>IF(Transactions[[#This Row],[Level 0]]=Transactions[[#This Row],[Transaction name]],Transactions[[#This Row],[Transaction name]],IF(Transactions[[#This Row],[Level 0]]=Transactions[[#This Row],[L1N]],Transactions[[#This Row],[Transaction name]],IF(Transactions[[#This Row],[Level 0]]=Transactions[[#This Row],[L2N]],Transactions[[#This Row],[L1N]],IF(Transactions[[#This Row],[Level 0]]=Transactions[[#This Row],[L3N]],Transactions[[#This Row],[L2N]],IF(Transactions[[#This Row],[Level 0]]=Transactions[[#This Row],[L4N]],Transactions[[#This Row],[L3N]],IF(Transactions[[#This Row],[Level 0]]=Transactions[[#This Row],[L5N]],Transactions[[#This Row],[L4N]],IF(Transactions[[#This Row],[Level 0]]=Transactions[[#This Row],[L6N]],Transactions[[#This Row],[L5N]],IF(Transactions[[#This Row],[Level 0]]=Transactions[[#This Row],[L7N]],Transactions[[#This Row],[L6N]],Transactions[[#This Row],[L7N]]))))))))</f>
        <v>Electricity, CHP and heat plants (T)</v>
      </c>
      <c r="AT424" s="26" t="str">
        <f>IF(Transactions[[#This Row],[Level 1]]=Transactions[[#This Row],[Transaction name]],Transactions[[#This Row],[Transaction name]],IF(Transactions[[#This Row],[Level 1]]=Transactions[[#This Row],[L1N]],Transactions[[#This Row],[Transaction name]],IF(Transactions[[#This Row],[Level 1]]=Transactions[[#This Row],[L2N]],Transactions[[#This Row],[L1N]],IF(Transactions[[#This Row],[Level 1]]=Transactions[[#This Row],[L3N]],Transactions[[#This Row],[L2N]],IF(Transactions[[#This Row],[Level 1]]=Transactions[[#This Row],[L4N]],Transactions[[#This Row],[L3N]],IF(Transactions[[#This Row],[Level 1]]=Transactions[[#This Row],[L5N]],Transactions[[#This Row],[L4N]],IF(Transactions[[#This Row],[Level 1]]=Transactions[[#This Row],[L6N]],Transactions[[#This Row],[L5N]],IF(Transactions[[#This Row],[Level 1]]=Transactions[[#This Row],[L7N]],Transactions[[#This Row],[L6N]],Transactions[[#This Row],[L7N]]))))))))</f>
        <v>Energy plants - chemical heat/sources</v>
      </c>
      <c r="AU424" s="26" t="str">
        <f>IF(Transactions[[#This Row],[Level 2]]=Transactions[[#This Row],[Transaction name]],Transactions[[#This Row],[Transaction name]],IF(Transactions[[#This Row],[Level 2]]=Transactions[[#This Row],[L1N]],Transactions[[#This Row],[Transaction name]],IF(Transactions[[#This Row],[Level 2]]=Transactions[[#This Row],[L2N]],Transactions[[#This Row],[L1N]],IF(Transactions[[#This Row],[Level 2]]=Transactions[[#This Row],[L3N]],Transactions[[#This Row],[L2N]],IF(Transactions[[#This Row],[Level 2]]=Transactions[[#This Row],[L4N]],Transactions[[#This Row],[L3N]],IF(Transactions[[#This Row],[Level 2]]=Transactions[[#This Row],[L5N]],Transactions[[#This Row],[L4N]],IF(Transactions[[#This Row],[Level 2]]=Transactions[[#This Row],[L6N]],Transactions[[#This Row],[L5N]],IF(Transactions[[#This Row],[Level 2]]=Transactions[[#This Row],[L7N]],Transactions[[#This Row],[L6N]],Transactions[[#This Row],[L7N]]))))))))</f>
        <v>Energy plants - chemical heat/sources</v>
      </c>
      <c r="AV424" s="26" t="str">
        <f>IF(Transactions[[#This Row],[Level 3]]=Transactions[[#This Row],[Transaction name]],Transactions[[#This Row],[Transaction name]],IF(Transactions[[#This Row],[Level 3]]=Transactions[[#This Row],[L1N]],Transactions[[#This Row],[Transaction name]],IF(Transactions[[#This Row],[Level 3]]=Transactions[[#This Row],[L2N]],Transactions[[#This Row],[L1N]],IF(Transactions[[#This Row],[Level 3]]=Transactions[[#This Row],[L3N]],Transactions[[#This Row],[L2N]],IF(Transactions[[#This Row],[Level 3]]=Transactions[[#This Row],[L4N]],Transactions[[#This Row],[L3N]],IF(Transactions[[#This Row],[Level 3]]=Transactions[[#This Row],[L5N]],Transactions[[#This Row],[L4N]],IF(Transactions[[#This Row],[Level 3]]=Transactions[[#This Row],[L6N]],Transactions[[#This Row],[L5N]],IF(Transactions[[#This Row],[Level 3]]=Transactions[[#This Row],[L7N]],Transactions[[#This Row],[L6N]],Transactions[[#This Row],[L7N]]))))))))</f>
        <v>Energy plants - chemical heat/sources</v>
      </c>
      <c r="AW424" s="26" t="str">
        <f>IF(Transactions[[#This Row],[Level 4]]=Transactions[[#This Row],[Transaction name]],Transactions[[#This Row],[Transaction name]],IF(Transactions[[#This Row],[Level 4]]=Transactions[[#This Row],[L1N]],Transactions[[#This Row],[Transaction name]],IF(Transactions[[#This Row],[Level 4]]=Transactions[[#This Row],[L2N]],Transactions[[#This Row],[L1N]],IF(Transactions[[#This Row],[Level 4]]=Transactions[[#This Row],[L3N]],Transactions[[#This Row],[L2N]],IF(Transactions[[#This Row],[Level 4]]=Transactions[[#This Row],[L4N]],Transactions[[#This Row],[L3N]],IF(Transactions[[#This Row],[Level 4]]=Transactions[[#This Row],[L5N]],Transactions[[#This Row],[L4N]],IF(Transactions[[#This Row],[Level 4]]=Transactions[[#This Row],[L6N]],Transactions[[#This Row],[L5N]],IF(Transactions[[#This Row],[Level 4]]=Transactions[[#This Row],[L7N]],Transactions[[#This Row],[L6N]],Transactions[[#This Row],[L7N]]))))))))</f>
        <v>Energy plants - chemical heat/sources</v>
      </c>
      <c r="AX424" s="26" t="str">
        <f>IF(Transactions[[#This Row],[Level 5]]=Transactions[[#This Row],[Transaction name]],Transactions[[#This Row],[Transaction name]],IF(Transactions[[#This Row],[Level 5]]=Transactions[[#This Row],[L1N]],Transactions[[#This Row],[Transaction name]],IF(Transactions[[#This Row],[Level 5]]=Transactions[[#This Row],[L2N]],Transactions[[#This Row],[L1N]],IF(Transactions[[#This Row],[Level 5]]=Transactions[[#This Row],[L3N]],Transactions[[#This Row],[L2N]],IF(Transactions[[#This Row],[Level 5]]=Transactions[[#This Row],[L4N]],Transactions[[#This Row],[L3N]],IF(Transactions[[#This Row],[Level 5]]=Transactions[[#This Row],[L5N]],Transactions[[#This Row],[L4N]],IF(Transactions[[#This Row],[Level 5]]=Transactions[[#This Row],[L6N]],Transactions[[#This Row],[L5N]],IF(Transactions[[#This Row],[Level 5]]=Transactions[[#This Row],[L7N]],Transactions[[#This Row],[L6N]],Transactions[[#This Row],[L7N]]))))))))</f>
        <v>Energy plants - chemical heat/sources</v>
      </c>
      <c r="AY424" s="26" t="str">
        <f>IF(Transactions[[#This Row],[Level 6]]=Transactions[[#This Row],[Transaction name]],Transactions[[#This Row],[Transaction name]],IF(Transactions[[#This Row],[Level 6]]=Transactions[[#This Row],[L1N]],Transactions[[#This Row],[Transaction name]],IF(Transactions[[#This Row],[Level 6]]=Transactions[[#This Row],[L2N]],Transactions[[#This Row],[L1N]],IF(Transactions[[#This Row],[Level 6]]=Transactions[[#This Row],[L3N]],Transactions[[#This Row],[L2N]],IF(Transactions[[#This Row],[Level 6]]=Transactions[[#This Row],[L4N]],Transactions[[#This Row],[L3N]],IF(Transactions[[#This Row],[Level 6]]=Transactions[[#This Row],[L5N]],Transactions[[#This Row],[L4N]],IF(Transactions[[#This Row],[Level 6]]=Transactions[[#This Row],[L6N]],Transactions[[#This Row],[L5N]],IF(Transactions[[#This Row],[Level 6]]=Transactions[[#This Row],[L7N]],Transactions[[#This Row],[L6N]],Transactions[[#This Row],[L7N]]))))))))</f>
        <v>Energy plants - chemical heat/sources</v>
      </c>
      <c r="BE424" s="26" t="str">
        <f>_xlfn.XLOOKUP(Transformation[[#This Row],[cfrom]],Commodities[Commodity],Commodities[Commodity code])</f>
        <v>0311</v>
      </c>
      <c r="BF424" s="26" t="str">
        <f>_xlfn.XLOOKUP(Transformation[[#This Row],[tfrom]],Transactions[Transaction name],Transactions[Transaction code])</f>
        <v>01</v>
      </c>
      <c r="BG424" s="26" t="str">
        <f>_xlfn.XLOOKUP(Transformation[[#This Row],[cto]],Commodities[Commodity],Commodities[Commodity code])</f>
        <v>0311</v>
      </c>
      <c r="BH424" s="26" t="str">
        <f>_xlfn.XLOOKUP(Transformation[[#This Row],[tto]],Transactions[Transaction name],Transactions[Transaction code])</f>
        <v>081</v>
      </c>
      <c r="BI424" s="31">
        <v>1</v>
      </c>
      <c r="BJ424" s="22" t="s">
        <v>500</v>
      </c>
      <c r="BK424" s="26" t="str">
        <f>_xlfn.XLOOKUP(Transformation[[#This Row],[Commodity from]],Commodities[Commodity code],Commodities[EnergyCode])</f>
        <v>OK</v>
      </c>
      <c r="BL424" s="22" t="s">
        <v>383</v>
      </c>
      <c r="BM424" s="22" t="s">
        <v>500</v>
      </c>
      <c r="BN424" s="26" t="str">
        <f>_xlfn.XLOOKUP(Transformation[[#This Row],[Commodity to]],Commodities[Commodity code],Commodities[EnergyCode])</f>
        <v>OK</v>
      </c>
      <c r="BO424" s="22" t="s">
        <v>721</v>
      </c>
      <c r="BP424" s="22" t="s">
        <v>1653</v>
      </c>
      <c r="BQ424" s="33" t="str">
        <f>Transformation[[#This Row],[Commodity from]]&amp;Transformation[[#This Row],[Transaction from]]&amp;Transformation[[#This Row],[Commodity to]]&amp;Transformation[[#This Row],[Transaction to]]</f>
        <v>0311010311081</v>
      </c>
      <c r="BR424" s="26" t="str">
        <f>Transformation[[#This Row],[crfomid]]&amp;Transformation[[#This Row],[Transaction from]]&amp;"("&amp;Transformation[[#This Row],[Multiplier]]&amp;") -&gt; "&amp;Transformation[[#This Row],[ctoid]]&amp;Transformation[[#This Row],[Transaction to]]</f>
        <v>OK01(1) -&gt; OK081</v>
      </c>
    </row>
    <row r="425" spans="25:70" x14ac:dyDescent="0.45">
      <c r="Y425" s="19" t="s">
        <v>247</v>
      </c>
      <c r="Z425" s="18" t="s">
        <v>1495</v>
      </c>
      <c r="AA425" s="18" t="s">
        <v>1495</v>
      </c>
      <c r="AB425" s="18" t="s">
        <v>171</v>
      </c>
      <c r="AC425" s="26" t="str">
        <f>IFERROR(VLOOKUP(Transactions[[#This Row],[Parent code]],Transactions[[Transaction code]:[Transaction name]],2,0),"")</f>
        <v>Electricity, CHP and heat plants (T)</v>
      </c>
      <c r="AD425" s="18" t="s">
        <v>189</v>
      </c>
      <c r="AE425" s="18" t="s">
        <v>959</v>
      </c>
      <c r="AF425" s="18" t="s">
        <v>642</v>
      </c>
      <c r="AG425" s="18" t="s">
        <v>1</v>
      </c>
      <c r="AH425" s="18" t="s">
        <v>696</v>
      </c>
      <c r="AI425" s="18" t="s">
        <v>1416</v>
      </c>
      <c r="AJ425" s="18" t="s">
        <v>0</v>
      </c>
      <c r="AK425" s="26" t="str" cm="1">
        <f t="array" ref="AK425">IFERROR(INDEX(Transactions[[Transaction code]:[Transaction name]],_xlfn.XMATCH(Transactions[[#This Row],[Parent code]],Transactions[Transaction name],0),3),Transactions[[#This Row],[Transaction name]])</f>
        <v>Energy plants - combustible fuels</v>
      </c>
      <c r="AL425" s="26" t="str" cm="1">
        <f t="array" ref="AL425">IFERROR(INDEX(Transactions[[Transaction code]:[Transaction name]],_xlfn.XMATCH(INDEX(Transactions[[Transaction name]:[Parent code]],_xlfn.XMATCH(Transactions[[#This Row],[L1N]],Transactions[Transaction name],0),3),Transactions[Transaction code],0),2),Transactions[[#This Row],[L1N]])</f>
        <v>Electricity, CHP and heat plants (T)</v>
      </c>
      <c r="AM425" s="26" t="str" cm="1">
        <f t="array" ref="AM425">IFERROR(INDEX(Transactions[[Transaction code]:[Transaction name]],_xlfn.XMATCH(INDEX(Transactions[[Transaction name]:[Parent code]],_xlfn.XMATCH(Transactions[[#This Row],[L2N]],Transactions[Transaction name],0),3),Transactions[Transaction code],0),2),Transactions[[#This Row],[L2N]])</f>
        <v>Transformation</v>
      </c>
      <c r="AN425" s="26" t="str" cm="1">
        <f t="array" ref="AN425">IFERROR(INDEX(Transactions[[Transaction code]:[Transaction name]],_xlfn.XMATCH(INDEX(Transactions[[Transaction name]:[Parent code]],_xlfn.XMATCH(Transactions[[#This Row],[L3N]],Transactions[Transaction name],0),3),Transactions[Transaction code],0),2),Transactions[[#This Row],[L3N]])</f>
        <v>Transformation</v>
      </c>
      <c r="AO425" s="26" t="str" cm="1">
        <f t="array" ref="AO425">IFERROR(INDEX(Transactions[[Transaction code]:[Transaction name]],_xlfn.XMATCH(INDEX(Transactions[[Transaction name]:[Parent code]],_xlfn.XMATCH(Transactions[[#This Row],[L4N]],Transactions[Transaction name],0),3),Transactions[Transaction code],0),2),Transactions[[#This Row],[L4N]])</f>
        <v>Transformation</v>
      </c>
      <c r="AP425" s="26" t="str" cm="1">
        <f t="array" ref="AP425">IFERROR(INDEX(Transactions[[Transaction code]:[Transaction name]],_xlfn.XMATCH(INDEX(Transactions[[Transaction name]:[Parent code]],_xlfn.XMATCH(Transactions[[#This Row],[L5N]],Transactions[Transaction name],0),3),Transactions[Transaction code],0),2),Transactions[[#This Row],[L5N]])</f>
        <v>Transformation</v>
      </c>
      <c r="AQ425" s="26" t="str" cm="1">
        <f t="array" ref="AQ425">IFERROR(INDEX(Transactions[[Transaction code]:[Transaction name]],_xlfn.XMATCH(INDEX(Transactions[[Transaction name]:[Parent code]],_xlfn.XMATCH(Transactions[[#This Row],[L6N]],Transactions[Transaction name],0),3),Transactions[Transaction code],0),2),Transactions[[#This Row],[L6N]])</f>
        <v>Transformation</v>
      </c>
      <c r="AR425" s="29" t="str">
        <f>IF(Transactions[[#This Row],[L7N]]=Transactions[[#This Row],[L6N]],Transactions[[#This Row],[L7N]],IF(Transactions[[#This Row],[L6N]]=Transactions[[#This Row],[L5N]],Transactions[[#This Row],[L6N]],IF(Transactions[[#This Row],[L5N]]=Transactions[[#This Row],[L4N]],Transactions[[#This Row],[L5N]],IF(Transactions[[#This Row],[L4N]]=Transactions[[#This Row],[L3N]],Transactions[[#This Row],[L4N]],IF(Transactions[[#This Row],[L3N]]=Transactions[[#This Row],[L2N]],Transactions[[#This Row],[L3N]],IF(Transactions[[#This Row],[L2N]]=Transactions[[#This Row],[L1N]],Transactions[[#This Row],[L2N]],IF(Transactions[[#This Row],[L1N]]=Transactions[[#This Row],[Transaction name]],Transactions[[#This Row],[L1N]],Transactions[[#This Row],[Transaction name]])))))))</f>
        <v>Transformation</v>
      </c>
      <c r="AS425" s="26" t="str">
        <f>IF(Transactions[[#This Row],[Level 0]]=Transactions[[#This Row],[Transaction name]],Transactions[[#This Row],[Transaction name]],IF(Transactions[[#This Row],[Level 0]]=Transactions[[#This Row],[L1N]],Transactions[[#This Row],[Transaction name]],IF(Transactions[[#This Row],[Level 0]]=Transactions[[#This Row],[L2N]],Transactions[[#This Row],[L1N]],IF(Transactions[[#This Row],[Level 0]]=Transactions[[#This Row],[L3N]],Transactions[[#This Row],[L2N]],IF(Transactions[[#This Row],[Level 0]]=Transactions[[#This Row],[L4N]],Transactions[[#This Row],[L3N]],IF(Transactions[[#This Row],[Level 0]]=Transactions[[#This Row],[L5N]],Transactions[[#This Row],[L4N]],IF(Transactions[[#This Row],[Level 0]]=Transactions[[#This Row],[L6N]],Transactions[[#This Row],[L5N]],IF(Transactions[[#This Row],[Level 0]]=Transactions[[#This Row],[L7N]],Transactions[[#This Row],[L6N]],Transactions[[#This Row],[L7N]]))))))))</f>
        <v>Electricity, CHP and heat plants (T)</v>
      </c>
      <c r="AT425" s="26" t="str">
        <f>IF(Transactions[[#This Row],[Level 1]]=Transactions[[#This Row],[Transaction name]],Transactions[[#This Row],[Transaction name]],IF(Transactions[[#This Row],[Level 1]]=Transactions[[#This Row],[L1N]],Transactions[[#This Row],[Transaction name]],IF(Transactions[[#This Row],[Level 1]]=Transactions[[#This Row],[L2N]],Transactions[[#This Row],[L1N]],IF(Transactions[[#This Row],[Level 1]]=Transactions[[#This Row],[L3N]],Transactions[[#This Row],[L2N]],IF(Transactions[[#This Row],[Level 1]]=Transactions[[#This Row],[L4N]],Transactions[[#This Row],[L3N]],IF(Transactions[[#This Row],[Level 1]]=Transactions[[#This Row],[L5N]],Transactions[[#This Row],[L4N]],IF(Transactions[[#This Row],[Level 1]]=Transactions[[#This Row],[L6N]],Transactions[[#This Row],[L5N]],IF(Transactions[[#This Row],[Level 1]]=Transactions[[#This Row],[L7N]],Transactions[[#This Row],[L6N]],Transactions[[#This Row],[L7N]]))))))))</f>
        <v>Energy plants - combustible fuels</v>
      </c>
      <c r="AU425" s="26" t="str">
        <f>IF(Transactions[[#This Row],[Level 2]]=Transactions[[#This Row],[Transaction name]],Transactions[[#This Row],[Transaction name]],IF(Transactions[[#This Row],[Level 2]]=Transactions[[#This Row],[L1N]],Transactions[[#This Row],[Transaction name]],IF(Transactions[[#This Row],[Level 2]]=Transactions[[#This Row],[L2N]],Transactions[[#This Row],[L1N]],IF(Transactions[[#This Row],[Level 2]]=Transactions[[#This Row],[L3N]],Transactions[[#This Row],[L2N]],IF(Transactions[[#This Row],[Level 2]]=Transactions[[#This Row],[L4N]],Transactions[[#This Row],[L3N]],IF(Transactions[[#This Row],[Level 2]]=Transactions[[#This Row],[L5N]],Transactions[[#This Row],[L4N]],IF(Transactions[[#This Row],[Level 2]]=Transactions[[#This Row],[L6N]],Transactions[[#This Row],[L5N]],IF(Transactions[[#This Row],[Level 2]]=Transactions[[#This Row],[L7N]],Transactions[[#This Row],[L6N]],Transactions[[#This Row],[L7N]]))))))))</f>
        <v>Energy plants - combustible fuels</v>
      </c>
      <c r="AV425" s="26" t="str">
        <f>IF(Transactions[[#This Row],[Level 3]]=Transactions[[#This Row],[Transaction name]],Transactions[[#This Row],[Transaction name]],IF(Transactions[[#This Row],[Level 3]]=Transactions[[#This Row],[L1N]],Transactions[[#This Row],[Transaction name]],IF(Transactions[[#This Row],[Level 3]]=Transactions[[#This Row],[L2N]],Transactions[[#This Row],[L1N]],IF(Transactions[[#This Row],[Level 3]]=Transactions[[#This Row],[L3N]],Transactions[[#This Row],[L2N]],IF(Transactions[[#This Row],[Level 3]]=Transactions[[#This Row],[L4N]],Transactions[[#This Row],[L3N]],IF(Transactions[[#This Row],[Level 3]]=Transactions[[#This Row],[L5N]],Transactions[[#This Row],[L4N]],IF(Transactions[[#This Row],[Level 3]]=Transactions[[#This Row],[L6N]],Transactions[[#This Row],[L5N]],IF(Transactions[[#This Row],[Level 3]]=Transactions[[#This Row],[L7N]],Transactions[[#This Row],[L6N]],Transactions[[#This Row],[L7N]]))))))))</f>
        <v>Energy plants - combustible fuels</v>
      </c>
      <c r="AW425" s="26" t="str">
        <f>IF(Transactions[[#This Row],[Level 4]]=Transactions[[#This Row],[Transaction name]],Transactions[[#This Row],[Transaction name]],IF(Transactions[[#This Row],[Level 4]]=Transactions[[#This Row],[L1N]],Transactions[[#This Row],[Transaction name]],IF(Transactions[[#This Row],[Level 4]]=Transactions[[#This Row],[L2N]],Transactions[[#This Row],[L1N]],IF(Transactions[[#This Row],[Level 4]]=Transactions[[#This Row],[L3N]],Transactions[[#This Row],[L2N]],IF(Transactions[[#This Row],[Level 4]]=Transactions[[#This Row],[L4N]],Transactions[[#This Row],[L3N]],IF(Transactions[[#This Row],[Level 4]]=Transactions[[#This Row],[L5N]],Transactions[[#This Row],[L4N]],IF(Transactions[[#This Row],[Level 4]]=Transactions[[#This Row],[L6N]],Transactions[[#This Row],[L5N]],IF(Transactions[[#This Row],[Level 4]]=Transactions[[#This Row],[L7N]],Transactions[[#This Row],[L6N]],Transactions[[#This Row],[L7N]]))))))))</f>
        <v>Energy plants - combustible fuels</v>
      </c>
      <c r="AX425" s="26" t="str">
        <f>IF(Transactions[[#This Row],[Level 5]]=Transactions[[#This Row],[Transaction name]],Transactions[[#This Row],[Transaction name]],IF(Transactions[[#This Row],[Level 5]]=Transactions[[#This Row],[L1N]],Transactions[[#This Row],[Transaction name]],IF(Transactions[[#This Row],[Level 5]]=Transactions[[#This Row],[L2N]],Transactions[[#This Row],[L1N]],IF(Transactions[[#This Row],[Level 5]]=Transactions[[#This Row],[L3N]],Transactions[[#This Row],[L2N]],IF(Transactions[[#This Row],[Level 5]]=Transactions[[#This Row],[L4N]],Transactions[[#This Row],[L3N]],IF(Transactions[[#This Row],[Level 5]]=Transactions[[#This Row],[L5N]],Transactions[[#This Row],[L4N]],IF(Transactions[[#This Row],[Level 5]]=Transactions[[#This Row],[L6N]],Transactions[[#This Row],[L5N]],IF(Transactions[[#This Row],[Level 5]]=Transactions[[#This Row],[L7N]],Transactions[[#This Row],[L6N]],Transactions[[#This Row],[L7N]]))))))))</f>
        <v>Energy plants - combustible fuels</v>
      </c>
      <c r="AY425" s="26" t="str">
        <f>IF(Transactions[[#This Row],[Level 6]]=Transactions[[#This Row],[Transaction name]],Transactions[[#This Row],[Transaction name]],IF(Transactions[[#This Row],[Level 6]]=Transactions[[#This Row],[L1N]],Transactions[[#This Row],[Transaction name]],IF(Transactions[[#This Row],[Level 6]]=Transactions[[#This Row],[L2N]],Transactions[[#This Row],[L1N]],IF(Transactions[[#This Row],[Level 6]]=Transactions[[#This Row],[L3N]],Transactions[[#This Row],[L2N]],IF(Transactions[[#This Row],[Level 6]]=Transactions[[#This Row],[L4N]],Transactions[[#This Row],[L3N]],IF(Transactions[[#This Row],[Level 6]]=Transactions[[#This Row],[L5N]],Transactions[[#This Row],[L4N]],IF(Transactions[[#This Row],[Level 6]]=Transactions[[#This Row],[L6N]],Transactions[[#This Row],[L5N]],IF(Transactions[[#This Row],[Level 6]]=Transactions[[#This Row],[L7N]],Transactions[[#This Row],[L6N]],Transactions[[#This Row],[L7N]]))))))))</f>
        <v>Energy plants - combustible fuels</v>
      </c>
      <c r="BE425" s="26" t="str">
        <f>_xlfn.XLOOKUP(Transformation[[#This Row],[cfrom]],Commodities[Commodity],Commodities[Commodity code])</f>
        <v>0311</v>
      </c>
      <c r="BF425" s="26" t="str">
        <f>_xlfn.XLOOKUP(Transformation[[#This Row],[tfrom]],Transactions[Transaction name],Transactions[Transaction code])</f>
        <v>01</v>
      </c>
      <c r="BG425" s="26" t="str">
        <f>_xlfn.XLOOKUP(Transformation[[#This Row],[cto]],Commodities[Commodity],Commodities[Commodity code])</f>
        <v>0311</v>
      </c>
      <c r="BH425" s="26" t="str">
        <f>_xlfn.XLOOKUP(Transformation[[#This Row],[tto]],Transactions[Transaction name],Transactions[Transaction code])</f>
        <v>01</v>
      </c>
      <c r="BI425" s="32">
        <v>-1</v>
      </c>
      <c r="BJ425" s="22" t="s">
        <v>500</v>
      </c>
      <c r="BK425" s="26" t="str">
        <f>_xlfn.XLOOKUP(Transformation[[#This Row],[Commodity from]],Commodities[Commodity code],Commodities[EnergyCode])</f>
        <v>OK</v>
      </c>
      <c r="BL425" s="22" t="s">
        <v>383</v>
      </c>
      <c r="BM425" s="22" t="s">
        <v>500</v>
      </c>
      <c r="BN425" s="26" t="str">
        <f>_xlfn.XLOOKUP(Transformation[[#This Row],[Commodity to]],Commodities[Commodity code],Commodities[EnergyCode])</f>
        <v>OK</v>
      </c>
      <c r="BO425" s="22" t="s">
        <v>383</v>
      </c>
      <c r="BP425" s="22" t="s">
        <v>1633</v>
      </c>
      <c r="BQ425" s="33" t="str">
        <f>Transformation[[#This Row],[Commodity from]]&amp;Transformation[[#This Row],[Transaction from]]&amp;Transformation[[#This Row],[Commodity to]]&amp;Transformation[[#This Row],[Transaction to]]</f>
        <v>031101031101</v>
      </c>
      <c r="BR425" s="26" t="str">
        <f>Transformation[[#This Row],[crfomid]]&amp;Transformation[[#This Row],[Transaction from]]&amp;"("&amp;Transformation[[#This Row],[Multiplier]]&amp;") -&gt; "&amp;Transformation[[#This Row],[ctoid]]&amp;Transformation[[#This Row],[Transaction to]]</f>
        <v>OK01(-1) -&gt; OK01</v>
      </c>
    </row>
    <row r="426" spans="25:70" x14ac:dyDescent="0.45">
      <c r="Y426" s="19" t="s">
        <v>1502</v>
      </c>
      <c r="Z426" s="18" t="s">
        <v>1523</v>
      </c>
      <c r="AA426" s="18" t="s">
        <v>1523</v>
      </c>
      <c r="AB426" s="18" t="s">
        <v>171</v>
      </c>
      <c r="AC426" s="26" t="str">
        <f>IFERROR(VLOOKUP(Transactions[[#This Row],[Parent code]],Transactions[[Transaction code]:[Transaction name]],2,0),"")</f>
        <v>Electricity, CHP and heat plants (T)</v>
      </c>
      <c r="AD426" s="18" t="s">
        <v>189</v>
      </c>
      <c r="AE426" s="18" t="s">
        <v>959</v>
      </c>
      <c r="AF426" s="18" t="s">
        <v>642</v>
      </c>
      <c r="AG426" s="18" t="s">
        <v>1</v>
      </c>
      <c r="AH426" s="18" t="s">
        <v>696</v>
      </c>
      <c r="AI426" s="18" t="s">
        <v>1416</v>
      </c>
      <c r="AJ426" s="18" t="s">
        <v>0</v>
      </c>
      <c r="AK426" s="26" t="str" cm="1">
        <f t="array" ref="AK426">IFERROR(INDEX(Transactions[[Transaction code]:[Transaction name]],_xlfn.XMATCH(Transactions[[#This Row],[Parent code]],Transactions[Transaction name],0),3),Transactions[[#This Row],[Transaction name]])</f>
        <v>Energy plants - crude oil</v>
      </c>
      <c r="AL426" s="26" t="str" cm="1">
        <f t="array" ref="AL426">IFERROR(INDEX(Transactions[[Transaction code]:[Transaction name]],_xlfn.XMATCH(INDEX(Transactions[[Transaction name]:[Parent code]],_xlfn.XMATCH(Transactions[[#This Row],[L1N]],Transactions[Transaction name],0),3),Transactions[Transaction code],0),2),Transactions[[#This Row],[L1N]])</f>
        <v>Electricity, CHP and heat plants (T)</v>
      </c>
      <c r="AM426" s="26" t="str" cm="1">
        <f t="array" ref="AM426">IFERROR(INDEX(Transactions[[Transaction code]:[Transaction name]],_xlfn.XMATCH(INDEX(Transactions[[Transaction name]:[Parent code]],_xlfn.XMATCH(Transactions[[#This Row],[L2N]],Transactions[Transaction name],0),3),Transactions[Transaction code],0),2),Transactions[[#This Row],[L2N]])</f>
        <v>Transformation</v>
      </c>
      <c r="AN426" s="26" t="str" cm="1">
        <f t="array" ref="AN426">IFERROR(INDEX(Transactions[[Transaction code]:[Transaction name]],_xlfn.XMATCH(INDEX(Transactions[[Transaction name]:[Parent code]],_xlfn.XMATCH(Transactions[[#This Row],[L3N]],Transactions[Transaction name],0),3),Transactions[Transaction code],0),2),Transactions[[#This Row],[L3N]])</f>
        <v>Transformation</v>
      </c>
      <c r="AO426" s="26" t="str" cm="1">
        <f t="array" ref="AO426">IFERROR(INDEX(Transactions[[Transaction code]:[Transaction name]],_xlfn.XMATCH(INDEX(Transactions[[Transaction name]:[Parent code]],_xlfn.XMATCH(Transactions[[#This Row],[L4N]],Transactions[Transaction name],0),3),Transactions[Transaction code],0),2),Transactions[[#This Row],[L4N]])</f>
        <v>Transformation</v>
      </c>
      <c r="AP426" s="26" t="str" cm="1">
        <f t="array" ref="AP426">IFERROR(INDEX(Transactions[[Transaction code]:[Transaction name]],_xlfn.XMATCH(INDEX(Transactions[[Transaction name]:[Parent code]],_xlfn.XMATCH(Transactions[[#This Row],[L5N]],Transactions[Transaction name],0),3),Transactions[Transaction code],0),2),Transactions[[#This Row],[L5N]])</f>
        <v>Transformation</v>
      </c>
      <c r="AQ426" s="26" t="str" cm="1">
        <f t="array" ref="AQ426">IFERROR(INDEX(Transactions[[Transaction code]:[Transaction name]],_xlfn.XMATCH(INDEX(Transactions[[Transaction name]:[Parent code]],_xlfn.XMATCH(Transactions[[#This Row],[L6N]],Transactions[Transaction name],0),3),Transactions[Transaction code],0),2),Transactions[[#This Row],[L6N]])</f>
        <v>Transformation</v>
      </c>
      <c r="AR426" s="30" t="str">
        <f>IF(Transactions[[#This Row],[L7N]]=Transactions[[#This Row],[L6N]],Transactions[[#This Row],[L7N]],IF(Transactions[[#This Row],[L6N]]=Transactions[[#This Row],[L5N]],Transactions[[#This Row],[L6N]],IF(Transactions[[#This Row],[L5N]]=Transactions[[#This Row],[L4N]],Transactions[[#This Row],[L5N]],IF(Transactions[[#This Row],[L4N]]=Transactions[[#This Row],[L3N]],Transactions[[#This Row],[L4N]],IF(Transactions[[#This Row],[L3N]]=Transactions[[#This Row],[L2N]],Transactions[[#This Row],[L3N]],IF(Transactions[[#This Row],[L2N]]=Transactions[[#This Row],[L1N]],Transactions[[#This Row],[L2N]],IF(Transactions[[#This Row],[L1N]]=Transactions[[#This Row],[Transaction name]],Transactions[[#This Row],[L1N]],Transactions[[#This Row],[Transaction name]])))))))</f>
        <v>Transformation</v>
      </c>
      <c r="AS426" s="26" t="str">
        <f>IF(Transactions[[#This Row],[Level 0]]=Transactions[[#This Row],[Transaction name]],Transactions[[#This Row],[Transaction name]],IF(Transactions[[#This Row],[Level 0]]=Transactions[[#This Row],[L1N]],Transactions[[#This Row],[Transaction name]],IF(Transactions[[#This Row],[Level 0]]=Transactions[[#This Row],[L2N]],Transactions[[#This Row],[L1N]],IF(Transactions[[#This Row],[Level 0]]=Transactions[[#This Row],[L3N]],Transactions[[#This Row],[L2N]],IF(Transactions[[#This Row],[Level 0]]=Transactions[[#This Row],[L4N]],Transactions[[#This Row],[L3N]],IF(Transactions[[#This Row],[Level 0]]=Transactions[[#This Row],[L5N]],Transactions[[#This Row],[L4N]],IF(Transactions[[#This Row],[Level 0]]=Transactions[[#This Row],[L6N]],Transactions[[#This Row],[L5N]],IF(Transactions[[#This Row],[Level 0]]=Transactions[[#This Row],[L7N]],Transactions[[#This Row],[L6N]],Transactions[[#This Row],[L7N]]))))))))</f>
        <v>Electricity, CHP and heat plants (T)</v>
      </c>
      <c r="AT426" s="26" t="str">
        <f>IF(Transactions[[#This Row],[Level 1]]=Transactions[[#This Row],[Transaction name]],Transactions[[#This Row],[Transaction name]],IF(Transactions[[#This Row],[Level 1]]=Transactions[[#This Row],[L1N]],Transactions[[#This Row],[Transaction name]],IF(Transactions[[#This Row],[Level 1]]=Transactions[[#This Row],[L2N]],Transactions[[#This Row],[L1N]],IF(Transactions[[#This Row],[Level 1]]=Transactions[[#This Row],[L3N]],Transactions[[#This Row],[L2N]],IF(Transactions[[#This Row],[Level 1]]=Transactions[[#This Row],[L4N]],Transactions[[#This Row],[L3N]],IF(Transactions[[#This Row],[Level 1]]=Transactions[[#This Row],[L5N]],Transactions[[#This Row],[L4N]],IF(Transactions[[#This Row],[Level 1]]=Transactions[[#This Row],[L6N]],Transactions[[#This Row],[L5N]],IF(Transactions[[#This Row],[Level 1]]=Transactions[[#This Row],[L7N]],Transactions[[#This Row],[L6N]],Transactions[[#This Row],[L7N]]))))))))</f>
        <v>Energy plants - crude oil</v>
      </c>
      <c r="AU426" s="26" t="str">
        <f>IF(Transactions[[#This Row],[Level 2]]=Transactions[[#This Row],[Transaction name]],Transactions[[#This Row],[Transaction name]],IF(Transactions[[#This Row],[Level 2]]=Transactions[[#This Row],[L1N]],Transactions[[#This Row],[Transaction name]],IF(Transactions[[#This Row],[Level 2]]=Transactions[[#This Row],[L2N]],Transactions[[#This Row],[L1N]],IF(Transactions[[#This Row],[Level 2]]=Transactions[[#This Row],[L3N]],Transactions[[#This Row],[L2N]],IF(Transactions[[#This Row],[Level 2]]=Transactions[[#This Row],[L4N]],Transactions[[#This Row],[L3N]],IF(Transactions[[#This Row],[Level 2]]=Transactions[[#This Row],[L5N]],Transactions[[#This Row],[L4N]],IF(Transactions[[#This Row],[Level 2]]=Transactions[[#This Row],[L6N]],Transactions[[#This Row],[L5N]],IF(Transactions[[#This Row],[Level 2]]=Transactions[[#This Row],[L7N]],Transactions[[#This Row],[L6N]],Transactions[[#This Row],[L7N]]))))))))</f>
        <v>Energy plants - crude oil</v>
      </c>
      <c r="AV426" s="26" t="str">
        <f>IF(Transactions[[#This Row],[Level 3]]=Transactions[[#This Row],[Transaction name]],Transactions[[#This Row],[Transaction name]],IF(Transactions[[#This Row],[Level 3]]=Transactions[[#This Row],[L1N]],Transactions[[#This Row],[Transaction name]],IF(Transactions[[#This Row],[Level 3]]=Transactions[[#This Row],[L2N]],Transactions[[#This Row],[L1N]],IF(Transactions[[#This Row],[Level 3]]=Transactions[[#This Row],[L3N]],Transactions[[#This Row],[L2N]],IF(Transactions[[#This Row],[Level 3]]=Transactions[[#This Row],[L4N]],Transactions[[#This Row],[L3N]],IF(Transactions[[#This Row],[Level 3]]=Transactions[[#This Row],[L5N]],Transactions[[#This Row],[L4N]],IF(Transactions[[#This Row],[Level 3]]=Transactions[[#This Row],[L6N]],Transactions[[#This Row],[L5N]],IF(Transactions[[#This Row],[Level 3]]=Transactions[[#This Row],[L7N]],Transactions[[#This Row],[L6N]],Transactions[[#This Row],[L7N]]))))))))</f>
        <v>Energy plants - crude oil</v>
      </c>
      <c r="AW426" s="26" t="str">
        <f>IF(Transactions[[#This Row],[Level 4]]=Transactions[[#This Row],[Transaction name]],Transactions[[#This Row],[Transaction name]],IF(Transactions[[#This Row],[Level 4]]=Transactions[[#This Row],[L1N]],Transactions[[#This Row],[Transaction name]],IF(Transactions[[#This Row],[Level 4]]=Transactions[[#This Row],[L2N]],Transactions[[#This Row],[L1N]],IF(Transactions[[#This Row],[Level 4]]=Transactions[[#This Row],[L3N]],Transactions[[#This Row],[L2N]],IF(Transactions[[#This Row],[Level 4]]=Transactions[[#This Row],[L4N]],Transactions[[#This Row],[L3N]],IF(Transactions[[#This Row],[Level 4]]=Transactions[[#This Row],[L5N]],Transactions[[#This Row],[L4N]],IF(Transactions[[#This Row],[Level 4]]=Transactions[[#This Row],[L6N]],Transactions[[#This Row],[L5N]],IF(Transactions[[#This Row],[Level 4]]=Transactions[[#This Row],[L7N]],Transactions[[#This Row],[L6N]],Transactions[[#This Row],[L7N]]))))))))</f>
        <v>Energy plants - crude oil</v>
      </c>
      <c r="AX426" s="26" t="str">
        <f>IF(Transactions[[#This Row],[Level 5]]=Transactions[[#This Row],[Transaction name]],Transactions[[#This Row],[Transaction name]],IF(Transactions[[#This Row],[Level 5]]=Transactions[[#This Row],[L1N]],Transactions[[#This Row],[Transaction name]],IF(Transactions[[#This Row],[Level 5]]=Transactions[[#This Row],[L2N]],Transactions[[#This Row],[L1N]],IF(Transactions[[#This Row],[Level 5]]=Transactions[[#This Row],[L3N]],Transactions[[#This Row],[L2N]],IF(Transactions[[#This Row],[Level 5]]=Transactions[[#This Row],[L4N]],Transactions[[#This Row],[L3N]],IF(Transactions[[#This Row],[Level 5]]=Transactions[[#This Row],[L5N]],Transactions[[#This Row],[L4N]],IF(Transactions[[#This Row],[Level 5]]=Transactions[[#This Row],[L6N]],Transactions[[#This Row],[L5N]],IF(Transactions[[#This Row],[Level 5]]=Transactions[[#This Row],[L7N]],Transactions[[#This Row],[L6N]],Transactions[[#This Row],[L7N]]))))))))</f>
        <v>Energy plants - crude oil</v>
      </c>
      <c r="AY426" s="26" t="str">
        <f>IF(Transactions[[#This Row],[Level 6]]=Transactions[[#This Row],[Transaction name]],Transactions[[#This Row],[Transaction name]],IF(Transactions[[#This Row],[Level 6]]=Transactions[[#This Row],[L1N]],Transactions[[#This Row],[Transaction name]],IF(Transactions[[#This Row],[Level 6]]=Transactions[[#This Row],[L2N]],Transactions[[#This Row],[L1N]],IF(Transactions[[#This Row],[Level 6]]=Transactions[[#This Row],[L3N]],Transactions[[#This Row],[L2N]],IF(Transactions[[#This Row],[Level 6]]=Transactions[[#This Row],[L4N]],Transactions[[#This Row],[L3N]],IF(Transactions[[#This Row],[Level 6]]=Transactions[[#This Row],[L5N]],Transactions[[#This Row],[L4N]],IF(Transactions[[#This Row],[Level 6]]=Transactions[[#This Row],[L6N]],Transactions[[#This Row],[L5N]],IF(Transactions[[#This Row],[Level 6]]=Transactions[[#This Row],[L7N]],Transactions[[#This Row],[L6N]],Transactions[[#This Row],[L7N]]))))))))</f>
        <v>Energy plants - crude oil</v>
      </c>
      <c r="BE426" s="26" t="str">
        <f>_xlfn.XLOOKUP(Transformation[[#This Row],[cfrom]],Commodities[Commodity],Commodities[Commodity code])</f>
        <v>0311</v>
      </c>
      <c r="BF426" s="26" t="str">
        <f>_xlfn.XLOOKUP(Transformation[[#This Row],[tfrom]],Transactions[Transaction name],Transactions[Transaction code])</f>
        <v>022</v>
      </c>
      <c r="BG426" s="26" t="str">
        <f>_xlfn.XLOOKUP(Transformation[[#This Row],[cto]],Commodities[Commodity],Commodities[Commodity code])</f>
        <v>0311</v>
      </c>
      <c r="BH426" s="26" t="str">
        <f>_xlfn.XLOOKUP(Transformation[[#This Row],[tto]],Transactions[Transaction name],Transactions[Transaction code])</f>
        <v>081</v>
      </c>
      <c r="BI426" s="31">
        <v>1</v>
      </c>
      <c r="BJ426" s="22" t="s">
        <v>500</v>
      </c>
      <c r="BK426" s="26" t="str">
        <f>_xlfn.XLOOKUP(Transformation[[#This Row],[Commodity from]],Commodities[Commodity code],Commodities[EnergyCode])</f>
        <v>OK</v>
      </c>
      <c r="BL426" s="22" t="s">
        <v>205</v>
      </c>
      <c r="BM426" s="22" t="s">
        <v>500</v>
      </c>
      <c r="BN426" s="26" t="str">
        <f>_xlfn.XLOOKUP(Transformation[[#This Row],[Commodity to]],Commodities[Commodity code],Commodities[EnergyCode])</f>
        <v>OK</v>
      </c>
      <c r="BO426" s="22" t="s">
        <v>721</v>
      </c>
      <c r="BP426" s="22" t="s">
        <v>1651</v>
      </c>
      <c r="BQ426" s="33" t="str">
        <f>Transformation[[#This Row],[Commodity from]]&amp;Transformation[[#This Row],[Transaction from]]&amp;Transformation[[#This Row],[Commodity to]]&amp;Transformation[[#This Row],[Transaction to]]</f>
        <v>03110220311081</v>
      </c>
      <c r="BR426" s="26" t="str">
        <f>Transformation[[#This Row],[crfomid]]&amp;Transformation[[#This Row],[Transaction from]]&amp;"("&amp;Transformation[[#This Row],[Multiplier]]&amp;") -&gt; "&amp;Transformation[[#This Row],[ctoid]]&amp;Transformation[[#This Row],[Transaction to]]</f>
        <v>OK022(1) -&gt; OK081</v>
      </c>
    </row>
    <row r="427" spans="25:70" x14ac:dyDescent="0.45">
      <c r="Y427" s="19" t="s">
        <v>1503</v>
      </c>
      <c r="Z427" s="18" t="s">
        <v>1524</v>
      </c>
      <c r="AA427" s="18" t="s">
        <v>1524</v>
      </c>
      <c r="AB427" s="18" t="s">
        <v>171</v>
      </c>
      <c r="AC427" s="26" t="str">
        <f>IFERROR(VLOOKUP(Transactions[[#This Row],[Parent code]],Transactions[[Transaction code]:[Transaction name]],2,0),"")</f>
        <v>Electricity, CHP and heat plants (T)</v>
      </c>
      <c r="AD427" s="18" t="s">
        <v>189</v>
      </c>
      <c r="AE427" s="18" t="s">
        <v>959</v>
      </c>
      <c r="AF427" s="18" t="s">
        <v>642</v>
      </c>
      <c r="AG427" s="18" t="s">
        <v>1</v>
      </c>
      <c r="AH427" s="18" t="s">
        <v>696</v>
      </c>
      <c r="AI427" s="18" t="s">
        <v>1416</v>
      </c>
      <c r="AJ427" s="18" t="s">
        <v>0</v>
      </c>
      <c r="AK427" s="26" t="str" cm="1">
        <f t="array" ref="AK427">IFERROR(INDEX(Transactions[[Transaction code]:[Transaction name]],_xlfn.XMATCH(Transactions[[#This Row],[Parent code]],Transactions[Transaction name],0),3),Transactions[[#This Row],[Transaction name]])</f>
        <v>Energy plants - fuel oil</v>
      </c>
      <c r="AL427" s="26" t="str" cm="1">
        <f t="array" ref="AL427">IFERROR(INDEX(Transactions[[Transaction code]:[Transaction name]],_xlfn.XMATCH(INDEX(Transactions[[Transaction name]:[Parent code]],_xlfn.XMATCH(Transactions[[#This Row],[L1N]],Transactions[Transaction name],0),3),Transactions[Transaction code],0),2),Transactions[[#This Row],[L1N]])</f>
        <v>Electricity, CHP and heat plants (T)</v>
      </c>
      <c r="AM427" s="26" t="str" cm="1">
        <f t="array" ref="AM427">IFERROR(INDEX(Transactions[[Transaction code]:[Transaction name]],_xlfn.XMATCH(INDEX(Transactions[[Transaction name]:[Parent code]],_xlfn.XMATCH(Transactions[[#This Row],[L2N]],Transactions[Transaction name],0),3),Transactions[Transaction code],0),2),Transactions[[#This Row],[L2N]])</f>
        <v>Transformation</v>
      </c>
      <c r="AN427" s="26" t="str" cm="1">
        <f t="array" ref="AN427">IFERROR(INDEX(Transactions[[Transaction code]:[Transaction name]],_xlfn.XMATCH(INDEX(Transactions[[Transaction name]:[Parent code]],_xlfn.XMATCH(Transactions[[#This Row],[L3N]],Transactions[Transaction name],0),3),Transactions[Transaction code],0),2),Transactions[[#This Row],[L3N]])</f>
        <v>Transformation</v>
      </c>
      <c r="AO427" s="26" t="str" cm="1">
        <f t="array" ref="AO427">IFERROR(INDEX(Transactions[[Transaction code]:[Transaction name]],_xlfn.XMATCH(INDEX(Transactions[[Transaction name]:[Parent code]],_xlfn.XMATCH(Transactions[[#This Row],[L4N]],Transactions[Transaction name],0),3),Transactions[Transaction code],0),2),Transactions[[#This Row],[L4N]])</f>
        <v>Transformation</v>
      </c>
      <c r="AP427" s="26" t="str" cm="1">
        <f t="array" ref="AP427">IFERROR(INDEX(Transactions[[Transaction code]:[Transaction name]],_xlfn.XMATCH(INDEX(Transactions[[Transaction name]:[Parent code]],_xlfn.XMATCH(Transactions[[#This Row],[L5N]],Transactions[Transaction name],0),3),Transactions[Transaction code],0),2),Transactions[[#This Row],[L5N]])</f>
        <v>Transformation</v>
      </c>
      <c r="AQ427" s="26" t="str" cm="1">
        <f t="array" ref="AQ427">IFERROR(INDEX(Transactions[[Transaction code]:[Transaction name]],_xlfn.XMATCH(INDEX(Transactions[[Transaction name]:[Parent code]],_xlfn.XMATCH(Transactions[[#This Row],[L6N]],Transactions[Transaction name],0),3),Transactions[Transaction code],0),2),Transactions[[#This Row],[L6N]])</f>
        <v>Transformation</v>
      </c>
      <c r="AR427" s="30" t="str">
        <f>IF(Transactions[[#This Row],[L7N]]=Transactions[[#This Row],[L6N]],Transactions[[#This Row],[L7N]],IF(Transactions[[#This Row],[L6N]]=Transactions[[#This Row],[L5N]],Transactions[[#This Row],[L6N]],IF(Transactions[[#This Row],[L5N]]=Transactions[[#This Row],[L4N]],Transactions[[#This Row],[L5N]],IF(Transactions[[#This Row],[L4N]]=Transactions[[#This Row],[L3N]],Transactions[[#This Row],[L4N]],IF(Transactions[[#This Row],[L3N]]=Transactions[[#This Row],[L2N]],Transactions[[#This Row],[L3N]],IF(Transactions[[#This Row],[L2N]]=Transactions[[#This Row],[L1N]],Transactions[[#This Row],[L2N]],IF(Transactions[[#This Row],[L1N]]=Transactions[[#This Row],[Transaction name]],Transactions[[#This Row],[L1N]],Transactions[[#This Row],[Transaction name]])))))))</f>
        <v>Transformation</v>
      </c>
      <c r="AS427" s="26" t="str">
        <f>IF(Transactions[[#This Row],[Level 0]]=Transactions[[#This Row],[Transaction name]],Transactions[[#This Row],[Transaction name]],IF(Transactions[[#This Row],[Level 0]]=Transactions[[#This Row],[L1N]],Transactions[[#This Row],[Transaction name]],IF(Transactions[[#This Row],[Level 0]]=Transactions[[#This Row],[L2N]],Transactions[[#This Row],[L1N]],IF(Transactions[[#This Row],[Level 0]]=Transactions[[#This Row],[L3N]],Transactions[[#This Row],[L2N]],IF(Transactions[[#This Row],[Level 0]]=Transactions[[#This Row],[L4N]],Transactions[[#This Row],[L3N]],IF(Transactions[[#This Row],[Level 0]]=Transactions[[#This Row],[L5N]],Transactions[[#This Row],[L4N]],IF(Transactions[[#This Row],[Level 0]]=Transactions[[#This Row],[L6N]],Transactions[[#This Row],[L5N]],IF(Transactions[[#This Row],[Level 0]]=Transactions[[#This Row],[L7N]],Transactions[[#This Row],[L6N]],Transactions[[#This Row],[L7N]]))))))))</f>
        <v>Electricity, CHP and heat plants (T)</v>
      </c>
      <c r="AT427" s="26" t="str">
        <f>IF(Transactions[[#This Row],[Level 1]]=Transactions[[#This Row],[Transaction name]],Transactions[[#This Row],[Transaction name]],IF(Transactions[[#This Row],[Level 1]]=Transactions[[#This Row],[L1N]],Transactions[[#This Row],[Transaction name]],IF(Transactions[[#This Row],[Level 1]]=Transactions[[#This Row],[L2N]],Transactions[[#This Row],[L1N]],IF(Transactions[[#This Row],[Level 1]]=Transactions[[#This Row],[L3N]],Transactions[[#This Row],[L2N]],IF(Transactions[[#This Row],[Level 1]]=Transactions[[#This Row],[L4N]],Transactions[[#This Row],[L3N]],IF(Transactions[[#This Row],[Level 1]]=Transactions[[#This Row],[L5N]],Transactions[[#This Row],[L4N]],IF(Transactions[[#This Row],[Level 1]]=Transactions[[#This Row],[L6N]],Transactions[[#This Row],[L5N]],IF(Transactions[[#This Row],[Level 1]]=Transactions[[#This Row],[L7N]],Transactions[[#This Row],[L6N]],Transactions[[#This Row],[L7N]]))))))))</f>
        <v>Energy plants - fuel oil</v>
      </c>
      <c r="AU427" s="26" t="str">
        <f>IF(Transactions[[#This Row],[Level 2]]=Transactions[[#This Row],[Transaction name]],Transactions[[#This Row],[Transaction name]],IF(Transactions[[#This Row],[Level 2]]=Transactions[[#This Row],[L1N]],Transactions[[#This Row],[Transaction name]],IF(Transactions[[#This Row],[Level 2]]=Transactions[[#This Row],[L2N]],Transactions[[#This Row],[L1N]],IF(Transactions[[#This Row],[Level 2]]=Transactions[[#This Row],[L3N]],Transactions[[#This Row],[L2N]],IF(Transactions[[#This Row],[Level 2]]=Transactions[[#This Row],[L4N]],Transactions[[#This Row],[L3N]],IF(Transactions[[#This Row],[Level 2]]=Transactions[[#This Row],[L5N]],Transactions[[#This Row],[L4N]],IF(Transactions[[#This Row],[Level 2]]=Transactions[[#This Row],[L6N]],Transactions[[#This Row],[L5N]],IF(Transactions[[#This Row],[Level 2]]=Transactions[[#This Row],[L7N]],Transactions[[#This Row],[L6N]],Transactions[[#This Row],[L7N]]))))))))</f>
        <v>Energy plants - fuel oil</v>
      </c>
      <c r="AV427" s="26" t="str">
        <f>IF(Transactions[[#This Row],[Level 3]]=Transactions[[#This Row],[Transaction name]],Transactions[[#This Row],[Transaction name]],IF(Transactions[[#This Row],[Level 3]]=Transactions[[#This Row],[L1N]],Transactions[[#This Row],[Transaction name]],IF(Transactions[[#This Row],[Level 3]]=Transactions[[#This Row],[L2N]],Transactions[[#This Row],[L1N]],IF(Transactions[[#This Row],[Level 3]]=Transactions[[#This Row],[L3N]],Transactions[[#This Row],[L2N]],IF(Transactions[[#This Row],[Level 3]]=Transactions[[#This Row],[L4N]],Transactions[[#This Row],[L3N]],IF(Transactions[[#This Row],[Level 3]]=Transactions[[#This Row],[L5N]],Transactions[[#This Row],[L4N]],IF(Transactions[[#This Row],[Level 3]]=Transactions[[#This Row],[L6N]],Transactions[[#This Row],[L5N]],IF(Transactions[[#This Row],[Level 3]]=Transactions[[#This Row],[L7N]],Transactions[[#This Row],[L6N]],Transactions[[#This Row],[L7N]]))))))))</f>
        <v>Energy plants - fuel oil</v>
      </c>
      <c r="AW427" s="26" t="str">
        <f>IF(Transactions[[#This Row],[Level 4]]=Transactions[[#This Row],[Transaction name]],Transactions[[#This Row],[Transaction name]],IF(Transactions[[#This Row],[Level 4]]=Transactions[[#This Row],[L1N]],Transactions[[#This Row],[Transaction name]],IF(Transactions[[#This Row],[Level 4]]=Transactions[[#This Row],[L2N]],Transactions[[#This Row],[L1N]],IF(Transactions[[#This Row],[Level 4]]=Transactions[[#This Row],[L3N]],Transactions[[#This Row],[L2N]],IF(Transactions[[#This Row],[Level 4]]=Transactions[[#This Row],[L4N]],Transactions[[#This Row],[L3N]],IF(Transactions[[#This Row],[Level 4]]=Transactions[[#This Row],[L5N]],Transactions[[#This Row],[L4N]],IF(Transactions[[#This Row],[Level 4]]=Transactions[[#This Row],[L6N]],Transactions[[#This Row],[L5N]],IF(Transactions[[#This Row],[Level 4]]=Transactions[[#This Row],[L7N]],Transactions[[#This Row],[L6N]],Transactions[[#This Row],[L7N]]))))))))</f>
        <v>Energy plants - fuel oil</v>
      </c>
      <c r="AX427" s="26" t="str">
        <f>IF(Transactions[[#This Row],[Level 5]]=Transactions[[#This Row],[Transaction name]],Transactions[[#This Row],[Transaction name]],IF(Transactions[[#This Row],[Level 5]]=Transactions[[#This Row],[L1N]],Transactions[[#This Row],[Transaction name]],IF(Transactions[[#This Row],[Level 5]]=Transactions[[#This Row],[L2N]],Transactions[[#This Row],[L1N]],IF(Transactions[[#This Row],[Level 5]]=Transactions[[#This Row],[L3N]],Transactions[[#This Row],[L2N]],IF(Transactions[[#This Row],[Level 5]]=Transactions[[#This Row],[L4N]],Transactions[[#This Row],[L3N]],IF(Transactions[[#This Row],[Level 5]]=Transactions[[#This Row],[L5N]],Transactions[[#This Row],[L4N]],IF(Transactions[[#This Row],[Level 5]]=Transactions[[#This Row],[L6N]],Transactions[[#This Row],[L5N]],IF(Transactions[[#This Row],[Level 5]]=Transactions[[#This Row],[L7N]],Transactions[[#This Row],[L6N]],Transactions[[#This Row],[L7N]]))))))))</f>
        <v>Energy plants - fuel oil</v>
      </c>
      <c r="AY427" s="26" t="str">
        <f>IF(Transactions[[#This Row],[Level 6]]=Transactions[[#This Row],[Transaction name]],Transactions[[#This Row],[Transaction name]],IF(Transactions[[#This Row],[Level 6]]=Transactions[[#This Row],[L1N]],Transactions[[#This Row],[Transaction name]],IF(Transactions[[#This Row],[Level 6]]=Transactions[[#This Row],[L2N]],Transactions[[#This Row],[L1N]],IF(Transactions[[#This Row],[Level 6]]=Transactions[[#This Row],[L3N]],Transactions[[#This Row],[L2N]],IF(Transactions[[#This Row],[Level 6]]=Transactions[[#This Row],[L4N]],Transactions[[#This Row],[L3N]],IF(Transactions[[#This Row],[Level 6]]=Transactions[[#This Row],[L5N]],Transactions[[#This Row],[L4N]],IF(Transactions[[#This Row],[Level 6]]=Transactions[[#This Row],[L6N]],Transactions[[#This Row],[L5N]],IF(Transactions[[#This Row],[Level 6]]=Transactions[[#This Row],[L7N]],Transactions[[#This Row],[L6N]],Transactions[[#This Row],[L7N]]))))))))</f>
        <v>Energy plants - fuel oil</v>
      </c>
      <c r="BE427" s="26" t="str">
        <f>_xlfn.XLOOKUP(Transformation[[#This Row],[cfrom]],Commodities[Commodity],Commodities[Commodity code])</f>
        <v>0311</v>
      </c>
      <c r="BF427" s="26" t="str">
        <f>_xlfn.XLOOKUP(Transformation[[#This Row],[tfrom]],Transactions[Transaction name],Transactions[Transaction code])</f>
        <v>022</v>
      </c>
      <c r="BG427" s="26" t="str">
        <f>_xlfn.XLOOKUP(Transformation[[#This Row],[cto]],Commodities[Commodity],Commodities[Commodity code])</f>
        <v>0311</v>
      </c>
      <c r="BH427" s="26" t="str">
        <f>_xlfn.XLOOKUP(Transformation[[#This Row],[tto]],Transactions[Transaction name],Transactions[Transaction code])</f>
        <v>022</v>
      </c>
      <c r="BI427" s="32">
        <v>-1</v>
      </c>
      <c r="BJ427" s="22" t="s">
        <v>500</v>
      </c>
      <c r="BK427" s="26" t="str">
        <f>_xlfn.XLOOKUP(Transformation[[#This Row],[Commodity from]],Commodities[Commodity code],Commodities[EnergyCode])</f>
        <v>OK</v>
      </c>
      <c r="BL427" s="22" t="s">
        <v>205</v>
      </c>
      <c r="BM427" s="22" t="s">
        <v>500</v>
      </c>
      <c r="BN427" s="26" t="str">
        <f>_xlfn.XLOOKUP(Transformation[[#This Row],[Commodity to]],Commodities[Commodity code],Commodities[EnergyCode])</f>
        <v>OK</v>
      </c>
      <c r="BO427" s="22" t="s">
        <v>205</v>
      </c>
      <c r="BP427" s="22" t="s">
        <v>1639</v>
      </c>
      <c r="BQ427" s="33" t="str">
        <f>Transformation[[#This Row],[Commodity from]]&amp;Transformation[[#This Row],[Transaction from]]&amp;Transformation[[#This Row],[Commodity to]]&amp;Transformation[[#This Row],[Transaction to]]</f>
        <v>03110220311022</v>
      </c>
      <c r="BR427" s="26" t="str">
        <f>Transformation[[#This Row],[crfomid]]&amp;Transformation[[#This Row],[Transaction from]]&amp;"("&amp;Transformation[[#This Row],[Multiplier]]&amp;") -&gt; "&amp;Transformation[[#This Row],[ctoid]]&amp;Transformation[[#This Row],[Transaction to]]</f>
        <v>OK022(-1) -&gt; OK022</v>
      </c>
    </row>
    <row r="428" spans="25:70" x14ac:dyDescent="0.45">
      <c r="Y428" s="19" t="s">
        <v>1504</v>
      </c>
      <c r="Z428" s="18" t="s">
        <v>1525</v>
      </c>
      <c r="AA428" s="18" t="s">
        <v>1525</v>
      </c>
      <c r="AB428" s="18" t="s">
        <v>171</v>
      </c>
      <c r="AC428" s="26" t="str">
        <f>IFERROR(VLOOKUP(Transactions[[#This Row],[Parent code]],Transactions[[Transaction code]:[Transaction name]],2,0),"")</f>
        <v>Electricity, CHP and heat plants (T)</v>
      </c>
      <c r="AD428" s="18" t="s">
        <v>189</v>
      </c>
      <c r="AE428" s="18" t="s">
        <v>959</v>
      </c>
      <c r="AF428" s="18" t="s">
        <v>642</v>
      </c>
      <c r="AG428" s="18" t="s">
        <v>1</v>
      </c>
      <c r="AH428" s="18" t="s">
        <v>696</v>
      </c>
      <c r="AI428" s="18" t="s">
        <v>1416</v>
      </c>
      <c r="AJ428" s="18" t="s">
        <v>0</v>
      </c>
      <c r="AK428" s="26" t="str" cm="1">
        <f t="array" ref="AK428">IFERROR(INDEX(Transactions[[Transaction code]:[Transaction name]],_xlfn.XMATCH(Transactions[[#This Row],[Parent code]],Transactions[Transaction name],0),3),Transactions[[#This Row],[Transaction name]])</f>
        <v>Energy plants - gas coal products</v>
      </c>
      <c r="AL428" s="26" t="str" cm="1">
        <f t="array" ref="AL428">IFERROR(INDEX(Transactions[[Transaction code]:[Transaction name]],_xlfn.XMATCH(INDEX(Transactions[[Transaction name]:[Parent code]],_xlfn.XMATCH(Transactions[[#This Row],[L1N]],Transactions[Transaction name],0),3),Transactions[Transaction code],0),2),Transactions[[#This Row],[L1N]])</f>
        <v>Electricity, CHP and heat plants (T)</v>
      </c>
      <c r="AM428" s="26" t="str" cm="1">
        <f t="array" ref="AM428">IFERROR(INDEX(Transactions[[Transaction code]:[Transaction name]],_xlfn.XMATCH(INDEX(Transactions[[Transaction name]:[Parent code]],_xlfn.XMATCH(Transactions[[#This Row],[L2N]],Transactions[Transaction name],0),3),Transactions[Transaction code],0),2),Transactions[[#This Row],[L2N]])</f>
        <v>Transformation</v>
      </c>
      <c r="AN428" s="26" t="str" cm="1">
        <f t="array" ref="AN428">IFERROR(INDEX(Transactions[[Transaction code]:[Transaction name]],_xlfn.XMATCH(INDEX(Transactions[[Transaction name]:[Parent code]],_xlfn.XMATCH(Transactions[[#This Row],[L3N]],Transactions[Transaction name],0),3),Transactions[Transaction code],0),2),Transactions[[#This Row],[L3N]])</f>
        <v>Transformation</v>
      </c>
      <c r="AO428" s="26" t="str" cm="1">
        <f t="array" ref="AO428">IFERROR(INDEX(Transactions[[Transaction code]:[Transaction name]],_xlfn.XMATCH(INDEX(Transactions[[Transaction name]:[Parent code]],_xlfn.XMATCH(Transactions[[#This Row],[L4N]],Transactions[Transaction name],0),3),Transactions[Transaction code],0),2),Transactions[[#This Row],[L4N]])</f>
        <v>Transformation</v>
      </c>
      <c r="AP428" s="26" t="str" cm="1">
        <f t="array" ref="AP428">IFERROR(INDEX(Transactions[[Transaction code]:[Transaction name]],_xlfn.XMATCH(INDEX(Transactions[[Transaction name]:[Parent code]],_xlfn.XMATCH(Transactions[[#This Row],[L5N]],Transactions[Transaction name],0),3),Transactions[Transaction code],0),2),Transactions[[#This Row],[L5N]])</f>
        <v>Transformation</v>
      </c>
      <c r="AQ428" s="26" t="str" cm="1">
        <f t="array" ref="AQ428">IFERROR(INDEX(Transactions[[Transaction code]:[Transaction name]],_xlfn.XMATCH(INDEX(Transactions[[Transaction name]:[Parent code]],_xlfn.XMATCH(Transactions[[#This Row],[L6N]],Transactions[Transaction name],0),3),Transactions[Transaction code],0),2),Transactions[[#This Row],[L6N]])</f>
        <v>Transformation</v>
      </c>
      <c r="AR428" s="30" t="str">
        <f>IF(Transactions[[#This Row],[L7N]]=Transactions[[#This Row],[L6N]],Transactions[[#This Row],[L7N]],IF(Transactions[[#This Row],[L6N]]=Transactions[[#This Row],[L5N]],Transactions[[#This Row],[L6N]],IF(Transactions[[#This Row],[L5N]]=Transactions[[#This Row],[L4N]],Transactions[[#This Row],[L5N]],IF(Transactions[[#This Row],[L4N]]=Transactions[[#This Row],[L3N]],Transactions[[#This Row],[L4N]],IF(Transactions[[#This Row],[L3N]]=Transactions[[#This Row],[L2N]],Transactions[[#This Row],[L3N]],IF(Transactions[[#This Row],[L2N]]=Transactions[[#This Row],[L1N]],Transactions[[#This Row],[L2N]],IF(Transactions[[#This Row],[L1N]]=Transactions[[#This Row],[Transaction name]],Transactions[[#This Row],[L1N]],Transactions[[#This Row],[Transaction name]])))))))</f>
        <v>Transformation</v>
      </c>
      <c r="AS428" s="26" t="str">
        <f>IF(Transactions[[#This Row],[Level 0]]=Transactions[[#This Row],[Transaction name]],Transactions[[#This Row],[Transaction name]],IF(Transactions[[#This Row],[Level 0]]=Transactions[[#This Row],[L1N]],Transactions[[#This Row],[Transaction name]],IF(Transactions[[#This Row],[Level 0]]=Transactions[[#This Row],[L2N]],Transactions[[#This Row],[L1N]],IF(Transactions[[#This Row],[Level 0]]=Transactions[[#This Row],[L3N]],Transactions[[#This Row],[L2N]],IF(Transactions[[#This Row],[Level 0]]=Transactions[[#This Row],[L4N]],Transactions[[#This Row],[L3N]],IF(Transactions[[#This Row],[Level 0]]=Transactions[[#This Row],[L5N]],Transactions[[#This Row],[L4N]],IF(Transactions[[#This Row],[Level 0]]=Transactions[[#This Row],[L6N]],Transactions[[#This Row],[L5N]],IF(Transactions[[#This Row],[Level 0]]=Transactions[[#This Row],[L7N]],Transactions[[#This Row],[L6N]],Transactions[[#This Row],[L7N]]))))))))</f>
        <v>Electricity, CHP and heat plants (T)</v>
      </c>
      <c r="AT428" s="26" t="str">
        <f>IF(Transactions[[#This Row],[Level 1]]=Transactions[[#This Row],[Transaction name]],Transactions[[#This Row],[Transaction name]],IF(Transactions[[#This Row],[Level 1]]=Transactions[[#This Row],[L1N]],Transactions[[#This Row],[Transaction name]],IF(Transactions[[#This Row],[Level 1]]=Transactions[[#This Row],[L2N]],Transactions[[#This Row],[L1N]],IF(Transactions[[#This Row],[Level 1]]=Transactions[[#This Row],[L3N]],Transactions[[#This Row],[L2N]],IF(Transactions[[#This Row],[Level 1]]=Transactions[[#This Row],[L4N]],Transactions[[#This Row],[L3N]],IF(Transactions[[#This Row],[Level 1]]=Transactions[[#This Row],[L5N]],Transactions[[#This Row],[L4N]],IF(Transactions[[#This Row],[Level 1]]=Transactions[[#This Row],[L6N]],Transactions[[#This Row],[L5N]],IF(Transactions[[#This Row],[Level 1]]=Transactions[[#This Row],[L7N]],Transactions[[#This Row],[L6N]],Transactions[[#This Row],[L7N]]))))))))</f>
        <v>Energy plants - gas coal products</v>
      </c>
      <c r="AU428" s="26" t="str">
        <f>IF(Transactions[[#This Row],[Level 2]]=Transactions[[#This Row],[Transaction name]],Transactions[[#This Row],[Transaction name]],IF(Transactions[[#This Row],[Level 2]]=Transactions[[#This Row],[L1N]],Transactions[[#This Row],[Transaction name]],IF(Transactions[[#This Row],[Level 2]]=Transactions[[#This Row],[L2N]],Transactions[[#This Row],[L1N]],IF(Transactions[[#This Row],[Level 2]]=Transactions[[#This Row],[L3N]],Transactions[[#This Row],[L2N]],IF(Transactions[[#This Row],[Level 2]]=Transactions[[#This Row],[L4N]],Transactions[[#This Row],[L3N]],IF(Transactions[[#This Row],[Level 2]]=Transactions[[#This Row],[L5N]],Transactions[[#This Row],[L4N]],IF(Transactions[[#This Row],[Level 2]]=Transactions[[#This Row],[L6N]],Transactions[[#This Row],[L5N]],IF(Transactions[[#This Row],[Level 2]]=Transactions[[#This Row],[L7N]],Transactions[[#This Row],[L6N]],Transactions[[#This Row],[L7N]]))))))))</f>
        <v>Energy plants - gas coal products</v>
      </c>
      <c r="AV428" s="26" t="str">
        <f>IF(Transactions[[#This Row],[Level 3]]=Transactions[[#This Row],[Transaction name]],Transactions[[#This Row],[Transaction name]],IF(Transactions[[#This Row],[Level 3]]=Transactions[[#This Row],[L1N]],Transactions[[#This Row],[Transaction name]],IF(Transactions[[#This Row],[Level 3]]=Transactions[[#This Row],[L2N]],Transactions[[#This Row],[L1N]],IF(Transactions[[#This Row],[Level 3]]=Transactions[[#This Row],[L3N]],Transactions[[#This Row],[L2N]],IF(Transactions[[#This Row],[Level 3]]=Transactions[[#This Row],[L4N]],Transactions[[#This Row],[L3N]],IF(Transactions[[#This Row],[Level 3]]=Transactions[[#This Row],[L5N]],Transactions[[#This Row],[L4N]],IF(Transactions[[#This Row],[Level 3]]=Transactions[[#This Row],[L6N]],Transactions[[#This Row],[L5N]],IF(Transactions[[#This Row],[Level 3]]=Transactions[[#This Row],[L7N]],Transactions[[#This Row],[L6N]],Transactions[[#This Row],[L7N]]))))))))</f>
        <v>Energy plants - gas coal products</v>
      </c>
      <c r="AW428" s="26" t="str">
        <f>IF(Transactions[[#This Row],[Level 4]]=Transactions[[#This Row],[Transaction name]],Transactions[[#This Row],[Transaction name]],IF(Transactions[[#This Row],[Level 4]]=Transactions[[#This Row],[L1N]],Transactions[[#This Row],[Transaction name]],IF(Transactions[[#This Row],[Level 4]]=Transactions[[#This Row],[L2N]],Transactions[[#This Row],[L1N]],IF(Transactions[[#This Row],[Level 4]]=Transactions[[#This Row],[L3N]],Transactions[[#This Row],[L2N]],IF(Transactions[[#This Row],[Level 4]]=Transactions[[#This Row],[L4N]],Transactions[[#This Row],[L3N]],IF(Transactions[[#This Row],[Level 4]]=Transactions[[#This Row],[L5N]],Transactions[[#This Row],[L4N]],IF(Transactions[[#This Row],[Level 4]]=Transactions[[#This Row],[L6N]],Transactions[[#This Row],[L5N]],IF(Transactions[[#This Row],[Level 4]]=Transactions[[#This Row],[L7N]],Transactions[[#This Row],[L6N]],Transactions[[#This Row],[L7N]]))))))))</f>
        <v>Energy plants - gas coal products</v>
      </c>
      <c r="AX428" s="26" t="str">
        <f>IF(Transactions[[#This Row],[Level 5]]=Transactions[[#This Row],[Transaction name]],Transactions[[#This Row],[Transaction name]],IF(Transactions[[#This Row],[Level 5]]=Transactions[[#This Row],[L1N]],Transactions[[#This Row],[Transaction name]],IF(Transactions[[#This Row],[Level 5]]=Transactions[[#This Row],[L2N]],Transactions[[#This Row],[L1N]],IF(Transactions[[#This Row],[Level 5]]=Transactions[[#This Row],[L3N]],Transactions[[#This Row],[L2N]],IF(Transactions[[#This Row],[Level 5]]=Transactions[[#This Row],[L4N]],Transactions[[#This Row],[L3N]],IF(Transactions[[#This Row],[Level 5]]=Transactions[[#This Row],[L5N]],Transactions[[#This Row],[L4N]],IF(Transactions[[#This Row],[Level 5]]=Transactions[[#This Row],[L6N]],Transactions[[#This Row],[L5N]],IF(Transactions[[#This Row],[Level 5]]=Transactions[[#This Row],[L7N]],Transactions[[#This Row],[L6N]],Transactions[[#This Row],[L7N]]))))))))</f>
        <v>Energy plants - gas coal products</v>
      </c>
      <c r="AY428" s="26" t="str">
        <f>IF(Transactions[[#This Row],[Level 6]]=Transactions[[#This Row],[Transaction name]],Transactions[[#This Row],[Transaction name]],IF(Transactions[[#This Row],[Level 6]]=Transactions[[#This Row],[L1N]],Transactions[[#This Row],[Transaction name]],IF(Transactions[[#This Row],[Level 6]]=Transactions[[#This Row],[L2N]],Transactions[[#This Row],[L1N]],IF(Transactions[[#This Row],[Level 6]]=Transactions[[#This Row],[L3N]],Transactions[[#This Row],[L2N]],IF(Transactions[[#This Row],[Level 6]]=Transactions[[#This Row],[L4N]],Transactions[[#This Row],[L3N]],IF(Transactions[[#This Row],[Level 6]]=Transactions[[#This Row],[L5N]],Transactions[[#This Row],[L4N]],IF(Transactions[[#This Row],[Level 6]]=Transactions[[#This Row],[L6N]],Transactions[[#This Row],[L5N]],IF(Transactions[[#This Row],[Level 6]]=Transactions[[#This Row],[L7N]],Transactions[[#This Row],[L6N]],Transactions[[#This Row],[L7N]]))))))))</f>
        <v>Energy plants - gas coal products</v>
      </c>
      <c r="BE428" s="26" t="str">
        <f>_xlfn.XLOOKUP(Transformation[[#This Row],[cfrom]],Commodities[Commodity],Commodities[Commodity code])</f>
        <v>4694</v>
      </c>
      <c r="BF428" s="26" t="str">
        <f>_xlfn.XLOOKUP(Transformation[[#This Row],[tfrom]],Transactions[Transaction name],Transactions[Transaction code])</f>
        <v>01</v>
      </c>
      <c r="BG428" s="26" t="str">
        <f>_xlfn.XLOOKUP(Transformation[[#This Row],[cto]],Commodities[Commodity],Commodities[Commodity code])</f>
        <v>4694</v>
      </c>
      <c r="BH428" s="26" t="str">
        <f>_xlfn.XLOOKUP(Transformation[[#This Row],[tto]],Transactions[Transaction name],Transactions[Transaction code])</f>
        <v>01</v>
      </c>
      <c r="BI428" s="32">
        <v>-1</v>
      </c>
      <c r="BJ428" s="22" t="s">
        <v>353</v>
      </c>
      <c r="BK428" s="26" t="str">
        <f>_xlfn.XLOOKUP(Transformation[[#This Row],[Commodity from]],Commodities[Commodity code],Commodities[EnergyCode])</f>
        <v>PK</v>
      </c>
      <c r="BL428" s="22" t="s">
        <v>383</v>
      </c>
      <c r="BM428" s="22" t="s">
        <v>353</v>
      </c>
      <c r="BN428" s="26" t="str">
        <f>_xlfn.XLOOKUP(Transformation[[#This Row],[Commodity to]],Commodities[Commodity code],Commodities[EnergyCode])</f>
        <v>PK</v>
      </c>
      <c r="BO428" s="22" t="s">
        <v>383</v>
      </c>
      <c r="BP428" s="22" t="s">
        <v>1633</v>
      </c>
      <c r="BQ428" s="33" t="str">
        <f>Transformation[[#This Row],[Commodity from]]&amp;Transformation[[#This Row],[Transaction from]]&amp;Transformation[[#This Row],[Commodity to]]&amp;Transformation[[#This Row],[Transaction to]]</f>
        <v>469401469401</v>
      </c>
      <c r="BR428" s="26" t="str">
        <f>Transformation[[#This Row],[crfomid]]&amp;Transformation[[#This Row],[Transaction from]]&amp;"("&amp;Transformation[[#This Row],[Multiplier]]&amp;") -&gt; "&amp;Transformation[[#This Row],[ctoid]]&amp;Transformation[[#This Row],[Transaction to]]</f>
        <v>PK01(-1) -&gt; PK01</v>
      </c>
    </row>
    <row r="429" spans="25:70" x14ac:dyDescent="0.45">
      <c r="Y429" s="19" t="s">
        <v>1505</v>
      </c>
      <c r="Z429" s="18" t="s">
        <v>1526</v>
      </c>
      <c r="AA429" s="18" t="s">
        <v>1526</v>
      </c>
      <c r="AB429" s="18" t="s">
        <v>171</v>
      </c>
      <c r="AC429" s="26" t="str">
        <f>IFERROR(VLOOKUP(Transactions[[#This Row],[Parent code]],Transactions[[Transaction code]:[Transaction name]],2,0),"")</f>
        <v>Electricity, CHP and heat plants (T)</v>
      </c>
      <c r="AD429" s="18" t="s">
        <v>189</v>
      </c>
      <c r="AE429" s="18" t="s">
        <v>959</v>
      </c>
      <c r="AF429" s="18" t="s">
        <v>642</v>
      </c>
      <c r="AG429" s="18" t="s">
        <v>1</v>
      </c>
      <c r="AH429" s="18" t="s">
        <v>696</v>
      </c>
      <c r="AI429" s="18" t="s">
        <v>1416</v>
      </c>
      <c r="AJ429" s="18" t="s">
        <v>0</v>
      </c>
      <c r="AK429" s="26" t="str" cm="1">
        <f t="array" ref="AK429">IFERROR(INDEX(Transactions[[Transaction code]:[Transaction name]],_xlfn.XMATCH(Transactions[[#This Row],[Parent code]],Transactions[Transaction name],0),3),Transactions[[#This Row],[Transaction name]])</f>
        <v>Energy plants - gas oil/diesel oil</v>
      </c>
      <c r="AL429" s="26" t="str" cm="1">
        <f t="array" ref="AL429">IFERROR(INDEX(Transactions[[Transaction code]:[Transaction name]],_xlfn.XMATCH(INDEX(Transactions[[Transaction name]:[Parent code]],_xlfn.XMATCH(Transactions[[#This Row],[L1N]],Transactions[Transaction name],0),3),Transactions[Transaction code],0),2),Transactions[[#This Row],[L1N]])</f>
        <v>Electricity, CHP and heat plants (T)</v>
      </c>
      <c r="AM429" s="26" t="str" cm="1">
        <f t="array" ref="AM429">IFERROR(INDEX(Transactions[[Transaction code]:[Transaction name]],_xlfn.XMATCH(INDEX(Transactions[[Transaction name]:[Parent code]],_xlfn.XMATCH(Transactions[[#This Row],[L2N]],Transactions[Transaction name],0),3),Transactions[Transaction code],0),2),Transactions[[#This Row],[L2N]])</f>
        <v>Transformation</v>
      </c>
      <c r="AN429" s="26" t="str" cm="1">
        <f t="array" ref="AN429">IFERROR(INDEX(Transactions[[Transaction code]:[Transaction name]],_xlfn.XMATCH(INDEX(Transactions[[Transaction name]:[Parent code]],_xlfn.XMATCH(Transactions[[#This Row],[L3N]],Transactions[Transaction name],0),3),Transactions[Transaction code],0),2),Transactions[[#This Row],[L3N]])</f>
        <v>Transformation</v>
      </c>
      <c r="AO429" s="26" t="str" cm="1">
        <f t="array" ref="AO429">IFERROR(INDEX(Transactions[[Transaction code]:[Transaction name]],_xlfn.XMATCH(INDEX(Transactions[[Transaction name]:[Parent code]],_xlfn.XMATCH(Transactions[[#This Row],[L4N]],Transactions[Transaction name],0),3),Transactions[Transaction code],0),2),Transactions[[#This Row],[L4N]])</f>
        <v>Transformation</v>
      </c>
      <c r="AP429" s="26" t="str" cm="1">
        <f t="array" ref="AP429">IFERROR(INDEX(Transactions[[Transaction code]:[Transaction name]],_xlfn.XMATCH(INDEX(Transactions[[Transaction name]:[Parent code]],_xlfn.XMATCH(Transactions[[#This Row],[L5N]],Transactions[Transaction name],0),3),Transactions[Transaction code],0),2),Transactions[[#This Row],[L5N]])</f>
        <v>Transformation</v>
      </c>
      <c r="AQ429" s="26" t="str" cm="1">
        <f t="array" ref="AQ429">IFERROR(INDEX(Transactions[[Transaction code]:[Transaction name]],_xlfn.XMATCH(INDEX(Transactions[[Transaction name]:[Parent code]],_xlfn.XMATCH(Transactions[[#This Row],[L6N]],Transactions[Transaction name],0),3),Transactions[Transaction code],0),2),Transactions[[#This Row],[L6N]])</f>
        <v>Transformation</v>
      </c>
      <c r="AR429" s="30" t="str">
        <f>IF(Transactions[[#This Row],[L7N]]=Transactions[[#This Row],[L6N]],Transactions[[#This Row],[L7N]],IF(Transactions[[#This Row],[L6N]]=Transactions[[#This Row],[L5N]],Transactions[[#This Row],[L6N]],IF(Transactions[[#This Row],[L5N]]=Transactions[[#This Row],[L4N]],Transactions[[#This Row],[L5N]],IF(Transactions[[#This Row],[L4N]]=Transactions[[#This Row],[L3N]],Transactions[[#This Row],[L4N]],IF(Transactions[[#This Row],[L3N]]=Transactions[[#This Row],[L2N]],Transactions[[#This Row],[L3N]],IF(Transactions[[#This Row],[L2N]]=Transactions[[#This Row],[L1N]],Transactions[[#This Row],[L2N]],IF(Transactions[[#This Row],[L1N]]=Transactions[[#This Row],[Transaction name]],Transactions[[#This Row],[L1N]],Transactions[[#This Row],[Transaction name]])))))))</f>
        <v>Transformation</v>
      </c>
      <c r="AS429" s="26" t="str">
        <f>IF(Transactions[[#This Row],[Level 0]]=Transactions[[#This Row],[Transaction name]],Transactions[[#This Row],[Transaction name]],IF(Transactions[[#This Row],[Level 0]]=Transactions[[#This Row],[L1N]],Transactions[[#This Row],[Transaction name]],IF(Transactions[[#This Row],[Level 0]]=Transactions[[#This Row],[L2N]],Transactions[[#This Row],[L1N]],IF(Transactions[[#This Row],[Level 0]]=Transactions[[#This Row],[L3N]],Transactions[[#This Row],[L2N]],IF(Transactions[[#This Row],[Level 0]]=Transactions[[#This Row],[L4N]],Transactions[[#This Row],[L3N]],IF(Transactions[[#This Row],[Level 0]]=Transactions[[#This Row],[L5N]],Transactions[[#This Row],[L4N]],IF(Transactions[[#This Row],[Level 0]]=Transactions[[#This Row],[L6N]],Transactions[[#This Row],[L5N]],IF(Transactions[[#This Row],[Level 0]]=Transactions[[#This Row],[L7N]],Transactions[[#This Row],[L6N]],Transactions[[#This Row],[L7N]]))))))))</f>
        <v>Electricity, CHP and heat plants (T)</v>
      </c>
      <c r="AT429" s="26" t="str">
        <f>IF(Transactions[[#This Row],[Level 1]]=Transactions[[#This Row],[Transaction name]],Transactions[[#This Row],[Transaction name]],IF(Transactions[[#This Row],[Level 1]]=Transactions[[#This Row],[L1N]],Transactions[[#This Row],[Transaction name]],IF(Transactions[[#This Row],[Level 1]]=Transactions[[#This Row],[L2N]],Transactions[[#This Row],[L1N]],IF(Transactions[[#This Row],[Level 1]]=Transactions[[#This Row],[L3N]],Transactions[[#This Row],[L2N]],IF(Transactions[[#This Row],[Level 1]]=Transactions[[#This Row],[L4N]],Transactions[[#This Row],[L3N]],IF(Transactions[[#This Row],[Level 1]]=Transactions[[#This Row],[L5N]],Transactions[[#This Row],[L4N]],IF(Transactions[[#This Row],[Level 1]]=Transactions[[#This Row],[L6N]],Transactions[[#This Row],[L5N]],IF(Transactions[[#This Row],[Level 1]]=Transactions[[#This Row],[L7N]],Transactions[[#This Row],[L6N]],Transactions[[#This Row],[L7N]]))))))))</f>
        <v>Energy plants - gas oil/diesel oil</v>
      </c>
      <c r="AU429" s="26" t="str">
        <f>IF(Transactions[[#This Row],[Level 2]]=Transactions[[#This Row],[Transaction name]],Transactions[[#This Row],[Transaction name]],IF(Transactions[[#This Row],[Level 2]]=Transactions[[#This Row],[L1N]],Transactions[[#This Row],[Transaction name]],IF(Transactions[[#This Row],[Level 2]]=Transactions[[#This Row],[L2N]],Transactions[[#This Row],[L1N]],IF(Transactions[[#This Row],[Level 2]]=Transactions[[#This Row],[L3N]],Transactions[[#This Row],[L2N]],IF(Transactions[[#This Row],[Level 2]]=Transactions[[#This Row],[L4N]],Transactions[[#This Row],[L3N]],IF(Transactions[[#This Row],[Level 2]]=Transactions[[#This Row],[L5N]],Transactions[[#This Row],[L4N]],IF(Transactions[[#This Row],[Level 2]]=Transactions[[#This Row],[L6N]],Transactions[[#This Row],[L5N]],IF(Transactions[[#This Row],[Level 2]]=Transactions[[#This Row],[L7N]],Transactions[[#This Row],[L6N]],Transactions[[#This Row],[L7N]]))))))))</f>
        <v>Energy plants - gas oil/diesel oil</v>
      </c>
      <c r="AV429" s="26" t="str">
        <f>IF(Transactions[[#This Row],[Level 3]]=Transactions[[#This Row],[Transaction name]],Transactions[[#This Row],[Transaction name]],IF(Transactions[[#This Row],[Level 3]]=Transactions[[#This Row],[L1N]],Transactions[[#This Row],[Transaction name]],IF(Transactions[[#This Row],[Level 3]]=Transactions[[#This Row],[L2N]],Transactions[[#This Row],[L1N]],IF(Transactions[[#This Row],[Level 3]]=Transactions[[#This Row],[L3N]],Transactions[[#This Row],[L2N]],IF(Transactions[[#This Row],[Level 3]]=Transactions[[#This Row],[L4N]],Transactions[[#This Row],[L3N]],IF(Transactions[[#This Row],[Level 3]]=Transactions[[#This Row],[L5N]],Transactions[[#This Row],[L4N]],IF(Transactions[[#This Row],[Level 3]]=Transactions[[#This Row],[L6N]],Transactions[[#This Row],[L5N]],IF(Transactions[[#This Row],[Level 3]]=Transactions[[#This Row],[L7N]],Transactions[[#This Row],[L6N]],Transactions[[#This Row],[L7N]]))))))))</f>
        <v>Energy plants - gas oil/diesel oil</v>
      </c>
      <c r="AW429" s="26" t="str">
        <f>IF(Transactions[[#This Row],[Level 4]]=Transactions[[#This Row],[Transaction name]],Transactions[[#This Row],[Transaction name]],IF(Transactions[[#This Row],[Level 4]]=Transactions[[#This Row],[L1N]],Transactions[[#This Row],[Transaction name]],IF(Transactions[[#This Row],[Level 4]]=Transactions[[#This Row],[L2N]],Transactions[[#This Row],[L1N]],IF(Transactions[[#This Row],[Level 4]]=Transactions[[#This Row],[L3N]],Transactions[[#This Row],[L2N]],IF(Transactions[[#This Row],[Level 4]]=Transactions[[#This Row],[L4N]],Transactions[[#This Row],[L3N]],IF(Transactions[[#This Row],[Level 4]]=Transactions[[#This Row],[L5N]],Transactions[[#This Row],[L4N]],IF(Transactions[[#This Row],[Level 4]]=Transactions[[#This Row],[L6N]],Transactions[[#This Row],[L5N]],IF(Transactions[[#This Row],[Level 4]]=Transactions[[#This Row],[L7N]],Transactions[[#This Row],[L6N]],Transactions[[#This Row],[L7N]]))))))))</f>
        <v>Energy plants - gas oil/diesel oil</v>
      </c>
      <c r="AX429" s="26" t="str">
        <f>IF(Transactions[[#This Row],[Level 5]]=Transactions[[#This Row],[Transaction name]],Transactions[[#This Row],[Transaction name]],IF(Transactions[[#This Row],[Level 5]]=Transactions[[#This Row],[L1N]],Transactions[[#This Row],[Transaction name]],IF(Transactions[[#This Row],[Level 5]]=Transactions[[#This Row],[L2N]],Transactions[[#This Row],[L1N]],IF(Transactions[[#This Row],[Level 5]]=Transactions[[#This Row],[L3N]],Transactions[[#This Row],[L2N]],IF(Transactions[[#This Row],[Level 5]]=Transactions[[#This Row],[L4N]],Transactions[[#This Row],[L3N]],IF(Transactions[[#This Row],[Level 5]]=Transactions[[#This Row],[L5N]],Transactions[[#This Row],[L4N]],IF(Transactions[[#This Row],[Level 5]]=Transactions[[#This Row],[L6N]],Transactions[[#This Row],[L5N]],IF(Transactions[[#This Row],[Level 5]]=Transactions[[#This Row],[L7N]],Transactions[[#This Row],[L6N]],Transactions[[#This Row],[L7N]]))))))))</f>
        <v>Energy plants - gas oil/diesel oil</v>
      </c>
      <c r="AY429" s="26" t="str">
        <f>IF(Transactions[[#This Row],[Level 6]]=Transactions[[#This Row],[Transaction name]],Transactions[[#This Row],[Transaction name]],IF(Transactions[[#This Row],[Level 6]]=Transactions[[#This Row],[L1N]],Transactions[[#This Row],[Transaction name]],IF(Transactions[[#This Row],[Level 6]]=Transactions[[#This Row],[L2N]],Transactions[[#This Row],[L1N]],IF(Transactions[[#This Row],[Level 6]]=Transactions[[#This Row],[L3N]],Transactions[[#This Row],[L2N]],IF(Transactions[[#This Row],[Level 6]]=Transactions[[#This Row],[L4N]],Transactions[[#This Row],[L3N]],IF(Transactions[[#This Row],[Level 6]]=Transactions[[#This Row],[L5N]],Transactions[[#This Row],[L4N]],IF(Transactions[[#This Row],[Level 6]]=Transactions[[#This Row],[L6N]],Transactions[[#This Row],[L5N]],IF(Transactions[[#This Row],[Level 6]]=Transactions[[#This Row],[L7N]],Transactions[[#This Row],[L6N]],Transactions[[#This Row],[L7N]]))))))))</f>
        <v>Energy plants - gas oil/diesel oil</v>
      </c>
      <c r="BE429" s="26" t="str">
        <f>_xlfn.XLOOKUP(Transformation[[#This Row],[cfrom]],Commodities[Commodity],Commodities[Commodity code])</f>
        <v>4694</v>
      </c>
      <c r="BF429" s="26" t="str">
        <f>_xlfn.XLOOKUP(Transformation[[#This Row],[tfrom]],Transactions[Transaction name],Transactions[Transaction code])</f>
        <v>022</v>
      </c>
      <c r="BG429" s="26" t="str">
        <f>_xlfn.XLOOKUP(Transformation[[#This Row],[cto]],Commodities[Commodity],Commodities[Commodity code])</f>
        <v>4694</v>
      </c>
      <c r="BH429" s="26" t="str">
        <f>_xlfn.XLOOKUP(Transformation[[#This Row],[tto]],Transactions[Transaction name],Transactions[Transaction code])</f>
        <v>022</v>
      </c>
      <c r="BI429" s="32">
        <v>-1</v>
      </c>
      <c r="BJ429" s="22" t="s">
        <v>353</v>
      </c>
      <c r="BK429" s="26" t="str">
        <f>_xlfn.XLOOKUP(Transformation[[#This Row],[Commodity from]],Commodities[Commodity code],Commodities[EnergyCode])</f>
        <v>PK</v>
      </c>
      <c r="BL429" s="22" t="s">
        <v>205</v>
      </c>
      <c r="BM429" s="22" t="s">
        <v>353</v>
      </c>
      <c r="BN429" s="26" t="str">
        <f>_xlfn.XLOOKUP(Transformation[[#This Row],[Commodity to]],Commodities[Commodity code],Commodities[EnergyCode])</f>
        <v>PK</v>
      </c>
      <c r="BO429" s="22" t="s">
        <v>205</v>
      </c>
      <c r="BP429" s="22" t="s">
        <v>1639</v>
      </c>
      <c r="BQ429" s="33" t="str">
        <f>Transformation[[#This Row],[Commodity from]]&amp;Transformation[[#This Row],[Transaction from]]&amp;Transformation[[#This Row],[Commodity to]]&amp;Transformation[[#This Row],[Transaction to]]</f>
        <v>46940224694022</v>
      </c>
      <c r="BR429" s="26" t="str">
        <f>Transformation[[#This Row],[crfomid]]&amp;Transformation[[#This Row],[Transaction from]]&amp;"("&amp;Transformation[[#This Row],[Multiplier]]&amp;") -&gt; "&amp;Transformation[[#This Row],[ctoid]]&amp;Transformation[[#This Row],[Transaction to]]</f>
        <v>PK022(-1) -&gt; PK022</v>
      </c>
    </row>
    <row r="430" spans="25:70" x14ac:dyDescent="0.45">
      <c r="Y430" s="19" t="s">
        <v>1483</v>
      </c>
      <c r="Z430" s="18" t="s">
        <v>1527</v>
      </c>
      <c r="AA430" s="18" t="s">
        <v>1527</v>
      </c>
      <c r="AB430" s="18" t="s">
        <v>171</v>
      </c>
      <c r="AC430" s="26" t="str">
        <f>IFERROR(VLOOKUP(Transactions[[#This Row],[Parent code]],Transactions[[Transaction code]:[Transaction name]],2,0),"")</f>
        <v>Electricity, CHP and heat plants (T)</v>
      </c>
      <c r="AD430" s="18" t="s">
        <v>189</v>
      </c>
      <c r="AE430" s="18" t="s">
        <v>959</v>
      </c>
      <c r="AF430" s="18" t="s">
        <v>642</v>
      </c>
      <c r="AG430" s="18" t="s">
        <v>1</v>
      </c>
      <c r="AH430" s="18" t="s">
        <v>696</v>
      </c>
      <c r="AI430" s="18"/>
      <c r="AJ430" s="18" t="s">
        <v>0</v>
      </c>
      <c r="AK430" s="26" t="str" cm="1">
        <f t="array" ref="AK430">IFERROR(INDEX(Transactions[[Transaction code]:[Transaction name]],_xlfn.XMATCH(Transactions[[#This Row],[Parent code]],Transactions[Transaction name],0),3),Transactions[[#This Row],[Transaction name]])</f>
        <v>Energy plants - Geothermal</v>
      </c>
      <c r="AL430" s="26" t="str" cm="1">
        <f t="array" ref="AL430">IFERROR(INDEX(Transactions[[Transaction code]:[Transaction name]],_xlfn.XMATCH(INDEX(Transactions[[Transaction name]:[Parent code]],_xlfn.XMATCH(Transactions[[#This Row],[L1N]],Transactions[Transaction name],0),3),Transactions[Transaction code],0),2),Transactions[[#This Row],[L1N]])</f>
        <v>Electricity, CHP and heat plants (T)</v>
      </c>
      <c r="AM430" s="26" t="str" cm="1">
        <f t="array" ref="AM430">IFERROR(INDEX(Transactions[[Transaction code]:[Transaction name]],_xlfn.XMATCH(INDEX(Transactions[[Transaction name]:[Parent code]],_xlfn.XMATCH(Transactions[[#This Row],[L2N]],Transactions[Transaction name],0),3),Transactions[Transaction code],0),2),Transactions[[#This Row],[L2N]])</f>
        <v>Transformation</v>
      </c>
      <c r="AN430" s="26" t="str" cm="1">
        <f t="array" ref="AN430">IFERROR(INDEX(Transactions[[Transaction code]:[Transaction name]],_xlfn.XMATCH(INDEX(Transactions[[Transaction name]:[Parent code]],_xlfn.XMATCH(Transactions[[#This Row],[L3N]],Transactions[Transaction name],0),3),Transactions[Transaction code],0),2),Transactions[[#This Row],[L3N]])</f>
        <v>Transformation</v>
      </c>
      <c r="AO430" s="26" t="str" cm="1">
        <f t="array" ref="AO430">IFERROR(INDEX(Transactions[[Transaction code]:[Transaction name]],_xlfn.XMATCH(INDEX(Transactions[[Transaction name]:[Parent code]],_xlfn.XMATCH(Transactions[[#This Row],[L4N]],Transactions[Transaction name],0),3),Transactions[Transaction code],0),2),Transactions[[#This Row],[L4N]])</f>
        <v>Transformation</v>
      </c>
      <c r="AP430" s="26" t="str" cm="1">
        <f t="array" ref="AP430">IFERROR(INDEX(Transactions[[Transaction code]:[Transaction name]],_xlfn.XMATCH(INDEX(Transactions[[Transaction name]:[Parent code]],_xlfn.XMATCH(Transactions[[#This Row],[L5N]],Transactions[Transaction name],0),3),Transactions[Transaction code],0),2),Transactions[[#This Row],[L5N]])</f>
        <v>Transformation</v>
      </c>
      <c r="AQ430" s="26" t="str" cm="1">
        <f t="array" ref="AQ430">IFERROR(INDEX(Transactions[[Transaction code]:[Transaction name]],_xlfn.XMATCH(INDEX(Transactions[[Transaction name]:[Parent code]],_xlfn.XMATCH(Transactions[[#This Row],[L6N]],Transactions[Transaction name],0),3),Transactions[Transaction code],0),2),Transactions[[#This Row],[L6N]])</f>
        <v>Transformation</v>
      </c>
      <c r="AR430" s="30" t="str">
        <f>IF(Transactions[[#This Row],[L7N]]=Transactions[[#This Row],[L6N]],Transactions[[#This Row],[L7N]],IF(Transactions[[#This Row],[L6N]]=Transactions[[#This Row],[L5N]],Transactions[[#This Row],[L6N]],IF(Transactions[[#This Row],[L5N]]=Transactions[[#This Row],[L4N]],Transactions[[#This Row],[L5N]],IF(Transactions[[#This Row],[L4N]]=Transactions[[#This Row],[L3N]],Transactions[[#This Row],[L4N]],IF(Transactions[[#This Row],[L3N]]=Transactions[[#This Row],[L2N]],Transactions[[#This Row],[L3N]],IF(Transactions[[#This Row],[L2N]]=Transactions[[#This Row],[L1N]],Transactions[[#This Row],[L2N]],IF(Transactions[[#This Row],[L1N]]=Transactions[[#This Row],[Transaction name]],Transactions[[#This Row],[L1N]],Transactions[[#This Row],[Transaction name]])))))))</f>
        <v>Transformation</v>
      </c>
      <c r="AS430" s="26" t="str">
        <f>IF(Transactions[[#This Row],[Level 0]]=Transactions[[#This Row],[Transaction name]],Transactions[[#This Row],[Transaction name]],IF(Transactions[[#This Row],[Level 0]]=Transactions[[#This Row],[L1N]],Transactions[[#This Row],[Transaction name]],IF(Transactions[[#This Row],[Level 0]]=Transactions[[#This Row],[L2N]],Transactions[[#This Row],[L1N]],IF(Transactions[[#This Row],[Level 0]]=Transactions[[#This Row],[L3N]],Transactions[[#This Row],[L2N]],IF(Transactions[[#This Row],[Level 0]]=Transactions[[#This Row],[L4N]],Transactions[[#This Row],[L3N]],IF(Transactions[[#This Row],[Level 0]]=Transactions[[#This Row],[L5N]],Transactions[[#This Row],[L4N]],IF(Transactions[[#This Row],[Level 0]]=Transactions[[#This Row],[L6N]],Transactions[[#This Row],[L5N]],IF(Transactions[[#This Row],[Level 0]]=Transactions[[#This Row],[L7N]],Transactions[[#This Row],[L6N]],Transactions[[#This Row],[L7N]]))))))))</f>
        <v>Electricity, CHP and heat plants (T)</v>
      </c>
      <c r="AT430" s="26" t="str">
        <f>IF(Transactions[[#This Row],[Level 1]]=Transactions[[#This Row],[Transaction name]],Transactions[[#This Row],[Transaction name]],IF(Transactions[[#This Row],[Level 1]]=Transactions[[#This Row],[L1N]],Transactions[[#This Row],[Transaction name]],IF(Transactions[[#This Row],[Level 1]]=Transactions[[#This Row],[L2N]],Transactions[[#This Row],[L1N]],IF(Transactions[[#This Row],[Level 1]]=Transactions[[#This Row],[L3N]],Transactions[[#This Row],[L2N]],IF(Transactions[[#This Row],[Level 1]]=Transactions[[#This Row],[L4N]],Transactions[[#This Row],[L3N]],IF(Transactions[[#This Row],[Level 1]]=Transactions[[#This Row],[L5N]],Transactions[[#This Row],[L4N]],IF(Transactions[[#This Row],[Level 1]]=Transactions[[#This Row],[L6N]],Transactions[[#This Row],[L5N]],IF(Transactions[[#This Row],[Level 1]]=Transactions[[#This Row],[L7N]],Transactions[[#This Row],[L6N]],Transactions[[#This Row],[L7N]]))))))))</f>
        <v>Energy plants - Geothermal</v>
      </c>
      <c r="AU430" s="26" t="str">
        <f>IF(Transactions[[#This Row],[Level 2]]=Transactions[[#This Row],[Transaction name]],Transactions[[#This Row],[Transaction name]],IF(Transactions[[#This Row],[Level 2]]=Transactions[[#This Row],[L1N]],Transactions[[#This Row],[Transaction name]],IF(Transactions[[#This Row],[Level 2]]=Transactions[[#This Row],[L2N]],Transactions[[#This Row],[L1N]],IF(Transactions[[#This Row],[Level 2]]=Transactions[[#This Row],[L3N]],Transactions[[#This Row],[L2N]],IF(Transactions[[#This Row],[Level 2]]=Transactions[[#This Row],[L4N]],Transactions[[#This Row],[L3N]],IF(Transactions[[#This Row],[Level 2]]=Transactions[[#This Row],[L5N]],Transactions[[#This Row],[L4N]],IF(Transactions[[#This Row],[Level 2]]=Transactions[[#This Row],[L6N]],Transactions[[#This Row],[L5N]],IF(Transactions[[#This Row],[Level 2]]=Transactions[[#This Row],[L7N]],Transactions[[#This Row],[L6N]],Transactions[[#This Row],[L7N]]))))))))</f>
        <v>Energy plants - Geothermal</v>
      </c>
      <c r="AV430" s="26" t="str">
        <f>IF(Transactions[[#This Row],[Level 3]]=Transactions[[#This Row],[Transaction name]],Transactions[[#This Row],[Transaction name]],IF(Transactions[[#This Row],[Level 3]]=Transactions[[#This Row],[L1N]],Transactions[[#This Row],[Transaction name]],IF(Transactions[[#This Row],[Level 3]]=Transactions[[#This Row],[L2N]],Transactions[[#This Row],[L1N]],IF(Transactions[[#This Row],[Level 3]]=Transactions[[#This Row],[L3N]],Transactions[[#This Row],[L2N]],IF(Transactions[[#This Row],[Level 3]]=Transactions[[#This Row],[L4N]],Transactions[[#This Row],[L3N]],IF(Transactions[[#This Row],[Level 3]]=Transactions[[#This Row],[L5N]],Transactions[[#This Row],[L4N]],IF(Transactions[[#This Row],[Level 3]]=Transactions[[#This Row],[L6N]],Transactions[[#This Row],[L5N]],IF(Transactions[[#This Row],[Level 3]]=Transactions[[#This Row],[L7N]],Transactions[[#This Row],[L6N]],Transactions[[#This Row],[L7N]]))))))))</f>
        <v>Energy plants - Geothermal</v>
      </c>
      <c r="AW430" s="26" t="str">
        <f>IF(Transactions[[#This Row],[Level 4]]=Transactions[[#This Row],[Transaction name]],Transactions[[#This Row],[Transaction name]],IF(Transactions[[#This Row],[Level 4]]=Transactions[[#This Row],[L1N]],Transactions[[#This Row],[Transaction name]],IF(Transactions[[#This Row],[Level 4]]=Transactions[[#This Row],[L2N]],Transactions[[#This Row],[L1N]],IF(Transactions[[#This Row],[Level 4]]=Transactions[[#This Row],[L3N]],Transactions[[#This Row],[L2N]],IF(Transactions[[#This Row],[Level 4]]=Transactions[[#This Row],[L4N]],Transactions[[#This Row],[L3N]],IF(Transactions[[#This Row],[Level 4]]=Transactions[[#This Row],[L5N]],Transactions[[#This Row],[L4N]],IF(Transactions[[#This Row],[Level 4]]=Transactions[[#This Row],[L6N]],Transactions[[#This Row],[L5N]],IF(Transactions[[#This Row],[Level 4]]=Transactions[[#This Row],[L7N]],Transactions[[#This Row],[L6N]],Transactions[[#This Row],[L7N]]))))))))</f>
        <v>Energy plants - Geothermal</v>
      </c>
      <c r="AX430" s="26" t="str">
        <f>IF(Transactions[[#This Row],[Level 5]]=Transactions[[#This Row],[Transaction name]],Transactions[[#This Row],[Transaction name]],IF(Transactions[[#This Row],[Level 5]]=Transactions[[#This Row],[L1N]],Transactions[[#This Row],[Transaction name]],IF(Transactions[[#This Row],[Level 5]]=Transactions[[#This Row],[L2N]],Transactions[[#This Row],[L1N]],IF(Transactions[[#This Row],[Level 5]]=Transactions[[#This Row],[L3N]],Transactions[[#This Row],[L2N]],IF(Transactions[[#This Row],[Level 5]]=Transactions[[#This Row],[L4N]],Transactions[[#This Row],[L3N]],IF(Transactions[[#This Row],[Level 5]]=Transactions[[#This Row],[L5N]],Transactions[[#This Row],[L4N]],IF(Transactions[[#This Row],[Level 5]]=Transactions[[#This Row],[L6N]],Transactions[[#This Row],[L5N]],IF(Transactions[[#This Row],[Level 5]]=Transactions[[#This Row],[L7N]],Transactions[[#This Row],[L6N]],Transactions[[#This Row],[L7N]]))))))))</f>
        <v>Energy plants - Geothermal</v>
      </c>
      <c r="AY430" s="26" t="str">
        <f>IF(Transactions[[#This Row],[Level 6]]=Transactions[[#This Row],[Transaction name]],Transactions[[#This Row],[Transaction name]],IF(Transactions[[#This Row],[Level 6]]=Transactions[[#This Row],[L1N]],Transactions[[#This Row],[Transaction name]],IF(Transactions[[#This Row],[Level 6]]=Transactions[[#This Row],[L2N]],Transactions[[#This Row],[L1N]],IF(Transactions[[#This Row],[Level 6]]=Transactions[[#This Row],[L3N]],Transactions[[#This Row],[L2N]],IF(Transactions[[#This Row],[Level 6]]=Transactions[[#This Row],[L4N]],Transactions[[#This Row],[L3N]],IF(Transactions[[#This Row],[Level 6]]=Transactions[[#This Row],[L5N]],Transactions[[#This Row],[L4N]],IF(Transactions[[#This Row],[Level 6]]=Transactions[[#This Row],[L6N]],Transactions[[#This Row],[L5N]],IF(Transactions[[#This Row],[Level 6]]=Transactions[[#This Row],[L7N]],Transactions[[#This Row],[L6N]],Transactions[[#This Row],[L7N]]))))))))</f>
        <v>Energy plants - Geothermal</v>
      </c>
      <c r="BE430" s="26" t="str">
        <f>_xlfn.XLOOKUP(Transformation[[#This Row],[cfrom]],Commodities[Commodity],Commodities[Commodity code])</f>
        <v>4694</v>
      </c>
      <c r="BF430" s="26" t="str">
        <f>_xlfn.XLOOKUP(Transformation[[#This Row],[tfrom]],Transactions[Transaction name],Transactions[Transaction code])</f>
        <v>022</v>
      </c>
      <c r="BG430" s="26" t="str">
        <f>_xlfn.XLOOKUP(Transformation[[#This Row],[cto]],Commodities[Commodity],Commodities[Commodity code])</f>
        <v>4694</v>
      </c>
      <c r="BH430" s="26" t="str">
        <f>_xlfn.XLOOKUP(Transformation[[#This Row],[tto]],Transactions[Transaction name],Transactions[Transaction code])</f>
        <v>013</v>
      </c>
      <c r="BI430" s="31">
        <v>1</v>
      </c>
      <c r="BJ430" s="22" t="s">
        <v>353</v>
      </c>
      <c r="BK430" s="26" t="str">
        <f>_xlfn.XLOOKUP(Transformation[[#This Row],[Commodity from]],Commodities[Commodity code],Commodities[EnergyCode])</f>
        <v>PK</v>
      </c>
      <c r="BL430" s="22" t="s">
        <v>205</v>
      </c>
      <c r="BM430" s="22" t="s">
        <v>353</v>
      </c>
      <c r="BN430" s="26" t="str">
        <f>_xlfn.XLOOKUP(Transformation[[#This Row],[Commodity to]],Commodities[Commodity code],Commodities[EnergyCode])</f>
        <v>PK</v>
      </c>
      <c r="BO430" s="22" t="s">
        <v>374</v>
      </c>
      <c r="BP430" s="22" t="s">
        <v>1694</v>
      </c>
      <c r="BQ430" s="33" t="str">
        <f>Transformation[[#This Row],[Commodity from]]&amp;Transformation[[#This Row],[Transaction from]]&amp;Transformation[[#This Row],[Commodity to]]&amp;Transformation[[#This Row],[Transaction to]]</f>
        <v>46940224694013</v>
      </c>
      <c r="BR430" s="26" t="str">
        <f>Transformation[[#This Row],[crfomid]]&amp;Transformation[[#This Row],[Transaction from]]&amp;"("&amp;Transformation[[#This Row],[Multiplier]]&amp;") -&gt; "&amp;Transformation[[#This Row],[ctoid]]&amp;Transformation[[#This Row],[Transaction to]]</f>
        <v>PK022(1) -&gt; PK013</v>
      </c>
    </row>
    <row r="431" spans="25:70" x14ac:dyDescent="0.45">
      <c r="Y431" s="19" t="s">
        <v>1506</v>
      </c>
      <c r="Z431" s="18" t="s">
        <v>1528</v>
      </c>
      <c r="AA431" s="18" t="s">
        <v>1528</v>
      </c>
      <c r="AB431" s="18" t="s">
        <v>171</v>
      </c>
      <c r="AC431" s="26" t="str">
        <f>IFERROR(VLOOKUP(Transactions[[#This Row],[Parent code]],Transactions[[Transaction code]:[Transaction name]],2,0),"")</f>
        <v>Electricity, CHP and heat plants (T)</v>
      </c>
      <c r="AD431" s="18" t="s">
        <v>189</v>
      </c>
      <c r="AE431" s="18" t="s">
        <v>959</v>
      </c>
      <c r="AF431" s="18" t="s">
        <v>642</v>
      </c>
      <c r="AG431" s="18" t="s">
        <v>1</v>
      </c>
      <c r="AH431" s="18" t="s">
        <v>696</v>
      </c>
      <c r="AI431" s="18" t="s">
        <v>1416</v>
      </c>
      <c r="AJ431" s="18" t="s">
        <v>0</v>
      </c>
      <c r="AK431" s="26" t="str" cm="1">
        <f t="array" ref="AK431">IFERROR(INDEX(Transactions[[Transaction code]:[Transaction name]],_xlfn.XMATCH(Transactions[[#This Row],[Parent code]],Transactions[Transaction name],0),3),Transactions[[#This Row],[Transaction name]])</f>
        <v>Energy plants - hard coal</v>
      </c>
      <c r="AL431" s="26" t="str" cm="1">
        <f t="array" ref="AL431">IFERROR(INDEX(Transactions[[Transaction code]:[Transaction name]],_xlfn.XMATCH(INDEX(Transactions[[Transaction name]:[Parent code]],_xlfn.XMATCH(Transactions[[#This Row],[L1N]],Transactions[Transaction name],0),3),Transactions[Transaction code],0),2),Transactions[[#This Row],[L1N]])</f>
        <v>Electricity, CHP and heat plants (T)</v>
      </c>
      <c r="AM431" s="26" t="str" cm="1">
        <f t="array" ref="AM431">IFERROR(INDEX(Transactions[[Transaction code]:[Transaction name]],_xlfn.XMATCH(INDEX(Transactions[[Transaction name]:[Parent code]],_xlfn.XMATCH(Transactions[[#This Row],[L2N]],Transactions[Transaction name],0),3),Transactions[Transaction code],0),2),Transactions[[#This Row],[L2N]])</f>
        <v>Transformation</v>
      </c>
      <c r="AN431" s="26" t="str" cm="1">
        <f t="array" ref="AN431">IFERROR(INDEX(Transactions[[Transaction code]:[Transaction name]],_xlfn.XMATCH(INDEX(Transactions[[Transaction name]:[Parent code]],_xlfn.XMATCH(Transactions[[#This Row],[L3N]],Transactions[Transaction name],0),3),Transactions[Transaction code],0),2),Transactions[[#This Row],[L3N]])</f>
        <v>Transformation</v>
      </c>
      <c r="AO431" s="26" t="str" cm="1">
        <f t="array" ref="AO431">IFERROR(INDEX(Transactions[[Transaction code]:[Transaction name]],_xlfn.XMATCH(INDEX(Transactions[[Transaction name]:[Parent code]],_xlfn.XMATCH(Transactions[[#This Row],[L4N]],Transactions[Transaction name],0),3),Transactions[Transaction code],0),2),Transactions[[#This Row],[L4N]])</f>
        <v>Transformation</v>
      </c>
      <c r="AP431" s="26" t="str" cm="1">
        <f t="array" ref="AP431">IFERROR(INDEX(Transactions[[Transaction code]:[Transaction name]],_xlfn.XMATCH(INDEX(Transactions[[Transaction name]:[Parent code]],_xlfn.XMATCH(Transactions[[#This Row],[L5N]],Transactions[Transaction name],0),3),Transactions[Transaction code],0),2),Transactions[[#This Row],[L5N]])</f>
        <v>Transformation</v>
      </c>
      <c r="AQ431" s="26" t="str" cm="1">
        <f t="array" ref="AQ431">IFERROR(INDEX(Transactions[[Transaction code]:[Transaction name]],_xlfn.XMATCH(INDEX(Transactions[[Transaction name]:[Parent code]],_xlfn.XMATCH(Transactions[[#This Row],[L6N]],Transactions[Transaction name],0),3),Transactions[Transaction code],0),2),Transactions[[#This Row],[L6N]])</f>
        <v>Transformation</v>
      </c>
      <c r="AR431" s="29" t="str">
        <f>IF(Transactions[[#This Row],[L7N]]=Transactions[[#This Row],[L6N]],Transactions[[#This Row],[L7N]],IF(Transactions[[#This Row],[L6N]]=Transactions[[#This Row],[L5N]],Transactions[[#This Row],[L6N]],IF(Transactions[[#This Row],[L5N]]=Transactions[[#This Row],[L4N]],Transactions[[#This Row],[L5N]],IF(Transactions[[#This Row],[L4N]]=Transactions[[#This Row],[L3N]],Transactions[[#This Row],[L4N]],IF(Transactions[[#This Row],[L3N]]=Transactions[[#This Row],[L2N]],Transactions[[#This Row],[L3N]],IF(Transactions[[#This Row],[L2N]]=Transactions[[#This Row],[L1N]],Transactions[[#This Row],[L2N]],IF(Transactions[[#This Row],[L1N]]=Transactions[[#This Row],[Transaction name]],Transactions[[#This Row],[L1N]],Transactions[[#This Row],[Transaction name]])))))))</f>
        <v>Transformation</v>
      </c>
      <c r="AS431" s="26" t="str">
        <f>IF(Transactions[[#This Row],[Level 0]]=Transactions[[#This Row],[Transaction name]],Transactions[[#This Row],[Transaction name]],IF(Transactions[[#This Row],[Level 0]]=Transactions[[#This Row],[L1N]],Transactions[[#This Row],[Transaction name]],IF(Transactions[[#This Row],[Level 0]]=Transactions[[#This Row],[L2N]],Transactions[[#This Row],[L1N]],IF(Transactions[[#This Row],[Level 0]]=Transactions[[#This Row],[L3N]],Transactions[[#This Row],[L2N]],IF(Transactions[[#This Row],[Level 0]]=Transactions[[#This Row],[L4N]],Transactions[[#This Row],[L3N]],IF(Transactions[[#This Row],[Level 0]]=Transactions[[#This Row],[L5N]],Transactions[[#This Row],[L4N]],IF(Transactions[[#This Row],[Level 0]]=Transactions[[#This Row],[L6N]],Transactions[[#This Row],[L5N]],IF(Transactions[[#This Row],[Level 0]]=Transactions[[#This Row],[L7N]],Transactions[[#This Row],[L6N]],Transactions[[#This Row],[L7N]]))))))))</f>
        <v>Electricity, CHP and heat plants (T)</v>
      </c>
      <c r="AT431" s="26" t="str">
        <f>IF(Transactions[[#This Row],[Level 1]]=Transactions[[#This Row],[Transaction name]],Transactions[[#This Row],[Transaction name]],IF(Transactions[[#This Row],[Level 1]]=Transactions[[#This Row],[L1N]],Transactions[[#This Row],[Transaction name]],IF(Transactions[[#This Row],[Level 1]]=Transactions[[#This Row],[L2N]],Transactions[[#This Row],[L1N]],IF(Transactions[[#This Row],[Level 1]]=Transactions[[#This Row],[L3N]],Transactions[[#This Row],[L2N]],IF(Transactions[[#This Row],[Level 1]]=Transactions[[#This Row],[L4N]],Transactions[[#This Row],[L3N]],IF(Transactions[[#This Row],[Level 1]]=Transactions[[#This Row],[L5N]],Transactions[[#This Row],[L4N]],IF(Transactions[[#This Row],[Level 1]]=Transactions[[#This Row],[L6N]],Transactions[[#This Row],[L5N]],IF(Transactions[[#This Row],[Level 1]]=Transactions[[#This Row],[L7N]],Transactions[[#This Row],[L6N]],Transactions[[#This Row],[L7N]]))))))))</f>
        <v>Energy plants - hard coal</v>
      </c>
      <c r="AU431" s="26" t="str">
        <f>IF(Transactions[[#This Row],[Level 2]]=Transactions[[#This Row],[Transaction name]],Transactions[[#This Row],[Transaction name]],IF(Transactions[[#This Row],[Level 2]]=Transactions[[#This Row],[L1N]],Transactions[[#This Row],[Transaction name]],IF(Transactions[[#This Row],[Level 2]]=Transactions[[#This Row],[L2N]],Transactions[[#This Row],[L1N]],IF(Transactions[[#This Row],[Level 2]]=Transactions[[#This Row],[L3N]],Transactions[[#This Row],[L2N]],IF(Transactions[[#This Row],[Level 2]]=Transactions[[#This Row],[L4N]],Transactions[[#This Row],[L3N]],IF(Transactions[[#This Row],[Level 2]]=Transactions[[#This Row],[L5N]],Transactions[[#This Row],[L4N]],IF(Transactions[[#This Row],[Level 2]]=Transactions[[#This Row],[L6N]],Transactions[[#This Row],[L5N]],IF(Transactions[[#This Row],[Level 2]]=Transactions[[#This Row],[L7N]],Transactions[[#This Row],[L6N]],Transactions[[#This Row],[L7N]]))))))))</f>
        <v>Energy plants - hard coal</v>
      </c>
      <c r="AV431" s="26" t="str">
        <f>IF(Transactions[[#This Row],[Level 3]]=Transactions[[#This Row],[Transaction name]],Transactions[[#This Row],[Transaction name]],IF(Transactions[[#This Row],[Level 3]]=Transactions[[#This Row],[L1N]],Transactions[[#This Row],[Transaction name]],IF(Transactions[[#This Row],[Level 3]]=Transactions[[#This Row],[L2N]],Transactions[[#This Row],[L1N]],IF(Transactions[[#This Row],[Level 3]]=Transactions[[#This Row],[L3N]],Transactions[[#This Row],[L2N]],IF(Transactions[[#This Row],[Level 3]]=Transactions[[#This Row],[L4N]],Transactions[[#This Row],[L3N]],IF(Transactions[[#This Row],[Level 3]]=Transactions[[#This Row],[L5N]],Transactions[[#This Row],[L4N]],IF(Transactions[[#This Row],[Level 3]]=Transactions[[#This Row],[L6N]],Transactions[[#This Row],[L5N]],IF(Transactions[[#This Row],[Level 3]]=Transactions[[#This Row],[L7N]],Transactions[[#This Row],[L6N]],Transactions[[#This Row],[L7N]]))))))))</f>
        <v>Energy plants - hard coal</v>
      </c>
      <c r="AW431" s="26" t="str">
        <f>IF(Transactions[[#This Row],[Level 4]]=Transactions[[#This Row],[Transaction name]],Transactions[[#This Row],[Transaction name]],IF(Transactions[[#This Row],[Level 4]]=Transactions[[#This Row],[L1N]],Transactions[[#This Row],[Transaction name]],IF(Transactions[[#This Row],[Level 4]]=Transactions[[#This Row],[L2N]],Transactions[[#This Row],[L1N]],IF(Transactions[[#This Row],[Level 4]]=Transactions[[#This Row],[L3N]],Transactions[[#This Row],[L2N]],IF(Transactions[[#This Row],[Level 4]]=Transactions[[#This Row],[L4N]],Transactions[[#This Row],[L3N]],IF(Transactions[[#This Row],[Level 4]]=Transactions[[#This Row],[L5N]],Transactions[[#This Row],[L4N]],IF(Transactions[[#This Row],[Level 4]]=Transactions[[#This Row],[L6N]],Transactions[[#This Row],[L5N]],IF(Transactions[[#This Row],[Level 4]]=Transactions[[#This Row],[L7N]],Transactions[[#This Row],[L6N]],Transactions[[#This Row],[L7N]]))))))))</f>
        <v>Energy plants - hard coal</v>
      </c>
      <c r="AX431" s="26" t="str">
        <f>IF(Transactions[[#This Row],[Level 5]]=Transactions[[#This Row],[Transaction name]],Transactions[[#This Row],[Transaction name]],IF(Transactions[[#This Row],[Level 5]]=Transactions[[#This Row],[L1N]],Transactions[[#This Row],[Transaction name]],IF(Transactions[[#This Row],[Level 5]]=Transactions[[#This Row],[L2N]],Transactions[[#This Row],[L1N]],IF(Transactions[[#This Row],[Level 5]]=Transactions[[#This Row],[L3N]],Transactions[[#This Row],[L2N]],IF(Transactions[[#This Row],[Level 5]]=Transactions[[#This Row],[L4N]],Transactions[[#This Row],[L3N]],IF(Transactions[[#This Row],[Level 5]]=Transactions[[#This Row],[L5N]],Transactions[[#This Row],[L4N]],IF(Transactions[[#This Row],[Level 5]]=Transactions[[#This Row],[L6N]],Transactions[[#This Row],[L5N]],IF(Transactions[[#This Row],[Level 5]]=Transactions[[#This Row],[L7N]],Transactions[[#This Row],[L6N]],Transactions[[#This Row],[L7N]]))))))))</f>
        <v>Energy plants - hard coal</v>
      </c>
      <c r="AY431" s="26" t="str">
        <f>IF(Transactions[[#This Row],[Level 6]]=Transactions[[#This Row],[Transaction name]],Transactions[[#This Row],[Transaction name]],IF(Transactions[[#This Row],[Level 6]]=Transactions[[#This Row],[L1N]],Transactions[[#This Row],[Transaction name]],IF(Transactions[[#This Row],[Level 6]]=Transactions[[#This Row],[L2N]],Transactions[[#This Row],[L1N]],IF(Transactions[[#This Row],[Level 6]]=Transactions[[#This Row],[L3N]],Transactions[[#This Row],[L2N]],IF(Transactions[[#This Row],[Level 6]]=Transactions[[#This Row],[L4N]],Transactions[[#This Row],[L3N]],IF(Transactions[[#This Row],[Level 6]]=Transactions[[#This Row],[L5N]],Transactions[[#This Row],[L4N]],IF(Transactions[[#This Row],[Level 6]]=Transactions[[#This Row],[L6N]],Transactions[[#This Row],[L5N]],IF(Transactions[[#This Row],[Level 6]]=Transactions[[#This Row],[L7N]],Transactions[[#This Row],[L6N]],Transactions[[#This Row],[L7N]]))))))))</f>
        <v>Energy plants - hard coal</v>
      </c>
      <c r="BE431" s="26" t="str">
        <f>_xlfn.XLOOKUP(Transformation[[#This Row],[cfrom]],Commodities[Commodity],Commodities[Commodity code])</f>
        <v>4699</v>
      </c>
      <c r="BF431" s="26" t="str">
        <f>_xlfn.XLOOKUP(Transformation[[#This Row],[tfrom]],Transactions[Transaction name],Transactions[Transaction code])</f>
        <v>01</v>
      </c>
      <c r="BG431" s="26" t="str">
        <f>_xlfn.XLOOKUP(Transformation[[#This Row],[cto]],Commodities[Commodity],Commodities[Commodity code])</f>
        <v>4699</v>
      </c>
      <c r="BH431" s="26" t="str">
        <f>_xlfn.XLOOKUP(Transformation[[#This Row],[tto]],Transactions[Transaction name],Transactions[Transaction code])</f>
        <v>01</v>
      </c>
      <c r="BI431" s="32">
        <v>-1</v>
      </c>
      <c r="BJ431" s="22" t="s">
        <v>348</v>
      </c>
      <c r="BK431" s="26" t="str">
        <f>_xlfn.XLOOKUP(Transformation[[#This Row],[Commodity from]],Commodities[Commodity code],Commodities[EnergyCode])</f>
        <v>PP</v>
      </c>
      <c r="BL431" s="22" t="s">
        <v>383</v>
      </c>
      <c r="BM431" s="22" t="s">
        <v>348</v>
      </c>
      <c r="BN431" s="26" t="str">
        <f>_xlfn.XLOOKUP(Transformation[[#This Row],[Commodity to]],Commodities[Commodity code],Commodities[EnergyCode])</f>
        <v>PP</v>
      </c>
      <c r="BO431" s="22" t="s">
        <v>383</v>
      </c>
      <c r="BP431" s="22" t="s">
        <v>1633</v>
      </c>
      <c r="BQ431" s="33" t="str">
        <f>Transformation[[#This Row],[Commodity from]]&amp;Transformation[[#This Row],[Transaction from]]&amp;Transformation[[#This Row],[Commodity to]]&amp;Transformation[[#This Row],[Transaction to]]</f>
        <v>469901469901</v>
      </c>
      <c r="BR431" s="26" t="str">
        <f>Transformation[[#This Row],[crfomid]]&amp;Transformation[[#This Row],[Transaction from]]&amp;"("&amp;Transformation[[#This Row],[Multiplier]]&amp;") -&gt; "&amp;Transformation[[#This Row],[ctoid]]&amp;Transformation[[#This Row],[Transaction to]]</f>
        <v>PP01(-1) -&gt; PP01</v>
      </c>
    </row>
    <row r="432" spans="25:70" x14ac:dyDescent="0.45">
      <c r="Y432" s="19" t="s">
        <v>1507</v>
      </c>
      <c r="Z432" s="18" t="s">
        <v>1529</v>
      </c>
      <c r="AA432" s="18" t="s">
        <v>1529</v>
      </c>
      <c r="AB432" s="18" t="s">
        <v>171</v>
      </c>
      <c r="AC432" s="26" t="str">
        <f>IFERROR(VLOOKUP(Transactions[[#This Row],[Parent code]],Transactions[[Transaction code]:[Transaction name]],2,0),"")</f>
        <v>Electricity, CHP and heat plants (T)</v>
      </c>
      <c r="AD432" s="18" t="s">
        <v>189</v>
      </c>
      <c r="AE432" s="18" t="s">
        <v>959</v>
      </c>
      <c r="AF432" s="18" t="s">
        <v>642</v>
      </c>
      <c r="AG432" s="18" t="s">
        <v>1</v>
      </c>
      <c r="AH432" s="18" t="s">
        <v>696</v>
      </c>
      <c r="AI432" s="18" t="s">
        <v>1416</v>
      </c>
      <c r="AJ432" s="18" t="s">
        <v>0</v>
      </c>
      <c r="AK432" s="26" t="str" cm="1">
        <f t="array" ref="AK432">IFERROR(INDEX(Transactions[[Transaction code]:[Transaction name]],_xlfn.XMATCH(Transactions[[#This Row],[Parent code]],Transactions[Transaction name],0),3),Transactions[[#This Row],[Transaction name]])</f>
        <v>Energy plants - industrial solid waste</v>
      </c>
      <c r="AL432" s="26" t="str" cm="1">
        <f t="array" ref="AL432">IFERROR(INDEX(Transactions[[Transaction code]:[Transaction name]],_xlfn.XMATCH(INDEX(Transactions[[Transaction name]:[Parent code]],_xlfn.XMATCH(Transactions[[#This Row],[L1N]],Transactions[Transaction name],0),3),Transactions[Transaction code],0),2),Transactions[[#This Row],[L1N]])</f>
        <v>Electricity, CHP and heat plants (T)</v>
      </c>
      <c r="AM432" s="26" t="str" cm="1">
        <f t="array" ref="AM432">IFERROR(INDEX(Transactions[[Transaction code]:[Transaction name]],_xlfn.XMATCH(INDEX(Transactions[[Transaction name]:[Parent code]],_xlfn.XMATCH(Transactions[[#This Row],[L2N]],Transactions[Transaction name],0),3),Transactions[Transaction code],0),2),Transactions[[#This Row],[L2N]])</f>
        <v>Transformation</v>
      </c>
      <c r="AN432" s="26" t="str" cm="1">
        <f t="array" ref="AN432">IFERROR(INDEX(Transactions[[Transaction code]:[Transaction name]],_xlfn.XMATCH(INDEX(Transactions[[Transaction name]:[Parent code]],_xlfn.XMATCH(Transactions[[#This Row],[L3N]],Transactions[Transaction name],0),3),Transactions[Transaction code],0),2),Transactions[[#This Row],[L3N]])</f>
        <v>Transformation</v>
      </c>
      <c r="AO432" s="26" t="str" cm="1">
        <f t="array" ref="AO432">IFERROR(INDEX(Transactions[[Transaction code]:[Transaction name]],_xlfn.XMATCH(INDEX(Transactions[[Transaction name]:[Parent code]],_xlfn.XMATCH(Transactions[[#This Row],[L4N]],Transactions[Transaction name],0),3),Transactions[Transaction code],0),2),Transactions[[#This Row],[L4N]])</f>
        <v>Transformation</v>
      </c>
      <c r="AP432" s="26" t="str" cm="1">
        <f t="array" ref="AP432">IFERROR(INDEX(Transactions[[Transaction code]:[Transaction name]],_xlfn.XMATCH(INDEX(Transactions[[Transaction name]:[Parent code]],_xlfn.XMATCH(Transactions[[#This Row],[L5N]],Transactions[Transaction name],0),3),Transactions[Transaction code],0),2),Transactions[[#This Row],[L5N]])</f>
        <v>Transformation</v>
      </c>
      <c r="AQ432" s="26" t="str" cm="1">
        <f t="array" ref="AQ432">IFERROR(INDEX(Transactions[[Transaction code]:[Transaction name]],_xlfn.XMATCH(INDEX(Transactions[[Transaction name]:[Parent code]],_xlfn.XMATCH(Transactions[[#This Row],[L6N]],Transactions[Transaction name],0),3),Transactions[Transaction code],0),2),Transactions[[#This Row],[L6N]])</f>
        <v>Transformation</v>
      </c>
      <c r="AR432" s="29" t="str">
        <f>IF(Transactions[[#This Row],[L7N]]=Transactions[[#This Row],[L6N]],Transactions[[#This Row],[L7N]],IF(Transactions[[#This Row],[L6N]]=Transactions[[#This Row],[L5N]],Transactions[[#This Row],[L6N]],IF(Transactions[[#This Row],[L5N]]=Transactions[[#This Row],[L4N]],Transactions[[#This Row],[L5N]],IF(Transactions[[#This Row],[L4N]]=Transactions[[#This Row],[L3N]],Transactions[[#This Row],[L4N]],IF(Transactions[[#This Row],[L3N]]=Transactions[[#This Row],[L2N]],Transactions[[#This Row],[L3N]],IF(Transactions[[#This Row],[L2N]]=Transactions[[#This Row],[L1N]],Transactions[[#This Row],[L2N]],IF(Transactions[[#This Row],[L1N]]=Transactions[[#This Row],[Transaction name]],Transactions[[#This Row],[L1N]],Transactions[[#This Row],[Transaction name]])))))))</f>
        <v>Transformation</v>
      </c>
      <c r="AS432" s="26" t="str">
        <f>IF(Transactions[[#This Row],[Level 0]]=Transactions[[#This Row],[Transaction name]],Transactions[[#This Row],[Transaction name]],IF(Transactions[[#This Row],[Level 0]]=Transactions[[#This Row],[L1N]],Transactions[[#This Row],[Transaction name]],IF(Transactions[[#This Row],[Level 0]]=Transactions[[#This Row],[L2N]],Transactions[[#This Row],[L1N]],IF(Transactions[[#This Row],[Level 0]]=Transactions[[#This Row],[L3N]],Transactions[[#This Row],[L2N]],IF(Transactions[[#This Row],[Level 0]]=Transactions[[#This Row],[L4N]],Transactions[[#This Row],[L3N]],IF(Transactions[[#This Row],[Level 0]]=Transactions[[#This Row],[L5N]],Transactions[[#This Row],[L4N]],IF(Transactions[[#This Row],[Level 0]]=Transactions[[#This Row],[L6N]],Transactions[[#This Row],[L5N]],IF(Transactions[[#This Row],[Level 0]]=Transactions[[#This Row],[L7N]],Transactions[[#This Row],[L6N]],Transactions[[#This Row],[L7N]]))))))))</f>
        <v>Electricity, CHP and heat plants (T)</v>
      </c>
      <c r="AT432" s="26" t="str">
        <f>IF(Transactions[[#This Row],[Level 1]]=Transactions[[#This Row],[Transaction name]],Transactions[[#This Row],[Transaction name]],IF(Transactions[[#This Row],[Level 1]]=Transactions[[#This Row],[L1N]],Transactions[[#This Row],[Transaction name]],IF(Transactions[[#This Row],[Level 1]]=Transactions[[#This Row],[L2N]],Transactions[[#This Row],[L1N]],IF(Transactions[[#This Row],[Level 1]]=Transactions[[#This Row],[L3N]],Transactions[[#This Row],[L2N]],IF(Transactions[[#This Row],[Level 1]]=Transactions[[#This Row],[L4N]],Transactions[[#This Row],[L3N]],IF(Transactions[[#This Row],[Level 1]]=Transactions[[#This Row],[L5N]],Transactions[[#This Row],[L4N]],IF(Transactions[[#This Row],[Level 1]]=Transactions[[#This Row],[L6N]],Transactions[[#This Row],[L5N]],IF(Transactions[[#This Row],[Level 1]]=Transactions[[#This Row],[L7N]],Transactions[[#This Row],[L6N]],Transactions[[#This Row],[L7N]]))))))))</f>
        <v>Energy plants - industrial solid waste</v>
      </c>
      <c r="AU432" s="26" t="str">
        <f>IF(Transactions[[#This Row],[Level 2]]=Transactions[[#This Row],[Transaction name]],Transactions[[#This Row],[Transaction name]],IF(Transactions[[#This Row],[Level 2]]=Transactions[[#This Row],[L1N]],Transactions[[#This Row],[Transaction name]],IF(Transactions[[#This Row],[Level 2]]=Transactions[[#This Row],[L2N]],Transactions[[#This Row],[L1N]],IF(Transactions[[#This Row],[Level 2]]=Transactions[[#This Row],[L3N]],Transactions[[#This Row],[L2N]],IF(Transactions[[#This Row],[Level 2]]=Transactions[[#This Row],[L4N]],Transactions[[#This Row],[L3N]],IF(Transactions[[#This Row],[Level 2]]=Transactions[[#This Row],[L5N]],Transactions[[#This Row],[L4N]],IF(Transactions[[#This Row],[Level 2]]=Transactions[[#This Row],[L6N]],Transactions[[#This Row],[L5N]],IF(Transactions[[#This Row],[Level 2]]=Transactions[[#This Row],[L7N]],Transactions[[#This Row],[L6N]],Transactions[[#This Row],[L7N]]))))))))</f>
        <v>Energy plants - industrial solid waste</v>
      </c>
      <c r="AV432" s="26" t="str">
        <f>IF(Transactions[[#This Row],[Level 3]]=Transactions[[#This Row],[Transaction name]],Transactions[[#This Row],[Transaction name]],IF(Transactions[[#This Row],[Level 3]]=Transactions[[#This Row],[L1N]],Transactions[[#This Row],[Transaction name]],IF(Transactions[[#This Row],[Level 3]]=Transactions[[#This Row],[L2N]],Transactions[[#This Row],[L1N]],IF(Transactions[[#This Row],[Level 3]]=Transactions[[#This Row],[L3N]],Transactions[[#This Row],[L2N]],IF(Transactions[[#This Row],[Level 3]]=Transactions[[#This Row],[L4N]],Transactions[[#This Row],[L3N]],IF(Transactions[[#This Row],[Level 3]]=Transactions[[#This Row],[L5N]],Transactions[[#This Row],[L4N]],IF(Transactions[[#This Row],[Level 3]]=Transactions[[#This Row],[L6N]],Transactions[[#This Row],[L5N]],IF(Transactions[[#This Row],[Level 3]]=Transactions[[#This Row],[L7N]],Transactions[[#This Row],[L6N]],Transactions[[#This Row],[L7N]]))))))))</f>
        <v>Energy plants - industrial solid waste</v>
      </c>
      <c r="AW432" s="26" t="str">
        <f>IF(Transactions[[#This Row],[Level 4]]=Transactions[[#This Row],[Transaction name]],Transactions[[#This Row],[Transaction name]],IF(Transactions[[#This Row],[Level 4]]=Transactions[[#This Row],[L1N]],Transactions[[#This Row],[Transaction name]],IF(Transactions[[#This Row],[Level 4]]=Transactions[[#This Row],[L2N]],Transactions[[#This Row],[L1N]],IF(Transactions[[#This Row],[Level 4]]=Transactions[[#This Row],[L3N]],Transactions[[#This Row],[L2N]],IF(Transactions[[#This Row],[Level 4]]=Transactions[[#This Row],[L4N]],Transactions[[#This Row],[L3N]],IF(Transactions[[#This Row],[Level 4]]=Transactions[[#This Row],[L5N]],Transactions[[#This Row],[L4N]],IF(Transactions[[#This Row],[Level 4]]=Transactions[[#This Row],[L6N]],Transactions[[#This Row],[L5N]],IF(Transactions[[#This Row],[Level 4]]=Transactions[[#This Row],[L7N]],Transactions[[#This Row],[L6N]],Transactions[[#This Row],[L7N]]))))))))</f>
        <v>Energy plants - industrial solid waste</v>
      </c>
      <c r="AX432" s="26" t="str">
        <f>IF(Transactions[[#This Row],[Level 5]]=Transactions[[#This Row],[Transaction name]],Transactions[[#This Row],[Transaction name]],IF(Transactions[[#This Row],[Level 5]]=Transactions[[#This Row],[L1N]],Transactions[[#This Row],[Transaction name]],IF(Transactions[[#This Row],[Level 5]]=Transactions[[#This Row],[L2N]],Transactions[[#This Row],[L1N]],IF(Transactions[[#This Row],[Level 5]]=Transactions[[#This Row],[L3N]],Transactions[[#This Row],[L2N]],IF(Transactions[[#This Row],[Level 5]]=Transactions[[#This Row],[L4N]],Transactions[[#This Row],[L3N]],IF(Transactions[[#This Row],[Level 5]]=Transactions[[#This Row],[L5N]],Transactions[[#This Row],[L4N]],IF(Transactions[[#This Row],[Level 5]]=Transactions[[#This Row],[L6N]],Transactions[[#This Row],[L5N]],IF(Transactions[[#This Row],[Level 5]]=Transactions[[#This Row],[L7N]],Transactions[[#This Row],[L6N]],Transactions[[#This Row],[L7N]]))))))))</f>
        <v>Energy plants - industrial solid waste</v>
      </c>
      <c r="AY432" s="26" t="str">
        <f>IF(Transactions[[#This Row],[Level 6]]=Transactions[[#This Row],[Transaction name]],Transactions[[#This Row],[Transaction name]],IF(Transactions[[#This Row],[Level 6]]=Transactions[[#This Row],[L1N]],Transactions[[#This Row],[Transaction name]],IF(Transactions[[#This Row],[Level 6]]=Transactions[[#This Row],[L2N]],Transactions[[#This Row],[L1N]],IF(Transactions[[#This Row],[Level 6]]=Transactions[[#This Row],[L3N]],Transactions[[#This Row],[L2N]],IF(Transactions[[#This Row],[Level 6]]=Transactions[[#This Row],[L4N]],Transactions[[#This Row],[L3N]],IF(Transactions[[#This Row],[Level 6]]=Transactions[[#This Row],[L5N]],Transactions[[#This Row],[L4N]],IF(Transactions[[#This Row],[Level 6]]=Transactions[[#This Row],[L6N]],Transactions[[#This Row],[L5N]],IF(Transactions[[#This Row],[Level 6]]=Transactions[[#This Row],[L7N]],Transactions[[#This Row],[L6N]],Transactions[[#This Row],[L7N]]))))))))</f>
        <v>Energy plants - industrial solid waste</v>
      </c>
      <c r="BE432" s="26" t="str">
        <f>_xlfn.XLOOKUP(Transformation[[#This Row],[cfrom]],Commodities[Commodity],Commodities[Commodity code])</f>
        <v>4699</v>
      </c>
      <c r="BF432" s="26" t="str">
        <f>_xlfn.XLOOKUP(Transformation[[#This Row],[tfrom]],Transactions[Transaction name],Transactions[Transaction code])</f>
        <v>022</v>
      </c>
      <c r="BG432" s="26" t="str">
        <f>_xlfn.XLOOKUP(Transformation[[#This Row],[cto]],Commodities[Commodity],Commodities[Commodity code])</f>
        <v>4699</v>
      </c>
      <c r="BH432" s="26" t="str">
        <f>_xlfn.XLOOKUP(Transformation[[#This Row],[tto]],Transactions[Transaction name],Transactions[Transaction code])</f>
        <v>022</v>
      </c>
      <c r="BI432" s="32">
        <v>-1</v>
      </c>
      <c r="BJ432" s="22" t="s">
        <v>348</v>
      </c>
      <c r="BK432" s="26" t="str">
        <f>_xlfn.XLOOKUP(Transformation[[#This Row],[Commodity from]],Commodities[Commodity code],Commodities[EnergyCode])</f>
        <v>PP</v>
      </c>
      <c r="BL432" s="22" t="s">
        <v>205</v>
      </c>
      <c r="BM432" s="22" t="s">
        <v>348</v>
      </c>
      <c r="BN432" s="26" t="str">
        <f>_xlfn.XLOOKUP(Transformation[[#This Row],[Commodity to]],Commodities[Commodity code],Commodities[EnergyCode])</f>
        <v>PP</v>
      </c>
      <c r="BO432" s="22" t="s">
        <v>205</v>
      </c>
      <c r="BP432" s="22" t="s">
        <v>1639</v>
      </c>
      <c r="BQ432" s="33" t="str">
        <f>Transformation[[#This Row],[Commodity from]]&amp;Transformation[[#This Row],[Transaction from]]&amp;Transformation[[#This Row],[Commodity to]]&amp;Transformation[[#This Row],[Transaction to]]</f>
        <v>46990224699022</v>
      </c>
      <c r="BR432" s="26" t="str">
        <f>Transformation[[#This Row],[crfomid]]&amp;Transformation[[#This Row],[Transaction from]]&amp;"("&amp;Transformation[[#This Row],[Multiplier]]&amp;") -&gt; "&amp;Transformation[[#This Row],[ctoid]]&amp;Transformation[[#This Row],[Transaction to]]</f>
        <v>PP022(-1) -&gt; PP022</v>
      </c>
    </row>
    <row r="433" spans="25:70" x14ac:dyDescent="0.45">
      <c r="Y433" s="19" t="s">
        <v>1508</v>
      </c>
      <c r="Z433" s="18" t="s">
        <v>1530</v>
      </c>
      <c r="AA433" s="18" t="s">
        <v>1530</v>
      </c>
      <c r="AB433" s="18" t="s">
        <v>171</v>
      </c>
      <c r="AC433" s="26" t="str">
        <f>IFERROR(VLOOKUP(Transactions[[#This Row],[Parent code]],Transactions[[Transaction code]:[Transaction name]],2,0),"")</f>
        <v>Electricity, CHP and heat plants (T)</v>
      </c>
      <c r="AD433" s="18" t="s">
        <v>189</v>
      </c>
      <c r="AE433" s="18" t="s">
        <v>959</v>
      </c>
      <c r="AF433" s="18" t="s">
        <v>642</v>
      </c>
      <c r="AG433" s="18" t="s">
        <v>1</v>
      </c>
      <c r="AH433" s="18" t="s">
        <v>696</v>
      </c>
      <c r="AI433" s="18" t="s">
        <v>1416</v>
      </c>
      <c r="AJ433" s="18" t="s">
        <v>0</v>
      </c>
      <c r="AK433" s="26" t="str" cm="1">
        <f t="array" ref="AK433">IFERROR(INDEX(Transactions[[Transaction code]:[Transaction name]],_xlfn.XMATCH(Transactions[[#This Row],[Parent code]],Transactions[Transaction name],0),3),Transactions[[#This Row],[Transaction name]])</f>
        <v>Energy plants - liquid biofuels</v>
      </c>
      <c r="AL433" s="26" t="str" cm="1">
        <f t="array" ref="AL433">IFERROR(INDEX(Transactions[[Transaction code]:[Transaction name]],_xlfn.XMATCH(INDEX(Transactions[[Transaction name]:[Parent code]],_xlfn.XMATCH(Transactions[[#This Row],[L1N]],Transactions[Transaction name],0),3),Transactions[Transaction code],0),2),Transactions[[#This Row],[L1N]])</f>
        <v>Electricity, CHP and heat plants (T)</v>
      </c>
      <c r="AM433" s="26" t="str" cm="1">
        <f t="array" ref="AM433">IFERROR(INDEX(Transactions[[Transaction code]:[Transaction name]],_xlfn.XMATCH(INDEX(Transactions[[Transaction name]:[Parent code]],_xlfn.XMATCH(Transactions[[#This Row],[L2N]],Transactions[Transaction name],0),3),Transactions[Transaction code],0),2),Transactions[[#This Row],[L2N]])</f>
        <v>Transformation</v>
      </c>
      <c r="AN433" s="26" t="str" cm="1">
        <f t="array" ref="AN433">IFERROR(INDEX(Transactions[[Transaction code]:[Transaction name]],_xlfn.XMATCH(INDEX(Transactions[[Transaction name]:[Parent code]],_xlfn.XMATCH(Transactions[[#This Row],[L3N]],Transactions[Transaction name],0),3),Transactions[Transaction code],0),2),Transactions[[#This Row],[L3N]])</f>
        <v>Transformation</v>
      </c>
      <c r="AO433" s="26" t="str" cm="1">
        <f t="array" ref="AO433">IFERROR(INDEX(Transactions[[Transaction code]:[Transaction name]],_xlfn.XMATCH(INDEX(Transactions[[Transaction name]:[Parent code]],_xlfn.XMATCH(Transactions[[#This Row],[L4N]],Transactions[Transaction name],0),3),Transactions[Transaction code],0),2),Transactions[[#This Row],[L4N]])</f>
        <v>Transformation</v>
      </c>
      <c r="AP433" s="26" t="str" cm="1">
        <f t="array" ref="AP433">IFERROR(INDEX(Transactions[[Transaction code]:[Transaction name]],_xlfn.XMATCH(INDEX(Transactions[[Transaction name]:[Parent code]],_xlfn.XMATCH(Transactions[[#This Row],[L5N]],Transactions[Transaction name],0),3),Transactions[Transaction code],0),2),Transactions[[#This Row],[L5N]])</f>
        <v>Transformation</v>
      </c>
      <c r="AQ433" s="26" t="str" cm="1">
        <f t="array" ref="AQ433">IFERROR(INDEX(Transactions[[Transaction code]:[Transaction name]],_xlfn.XMATCH(INDEX(Transactions[[Transaction name]:[Parent code]],_xlfn.XMATCH(Transactions[[#This Row],[L6N]],Transactions[Transaction name],0),3),Transactions[Transaction code],0),2),Transactions[[#This Row],[L6N]])</f>
        <v>Transformation</v>
      </c>
      <c r="AR433" s="29" t="str">
        <f>IF(Transactions[[#This Row],[L7N]]=Transactions[[#This Row],[L6N]],Transactions[[#This Row],[L7N]],IF(Transactions[[#This Row],[L6N]]=Transactions[[#This Row],[L5N]],Transactions[[#This Row],[L6N]],IF(Transactions[[#This Row],[L5N]]=Transactions[[#This Row],[L4N]],Transactions[[#This Row],[L5N]],IF(Transactions[[#This Row],[L4N]]=Transactions[[#This Row],[L3N]],Transactions[[#This Row],[L4N]],IF(Transactions[[#This Row],[L3N]]=Transactions[[#This Row],[L2N]],Transactions[[#This Row],[L3N]],IF(Transactions[[#This Row],[L2N]]=Transactions[[#This Row],[L1N]],Transactions[[#This Row],[L2N]],IF(Transactions[[#This Row],[L1N]]=Transactions[[#This Row],[Transaction name]],Transactions[[#This Row],[L1N]],Transactions[[#This Row],[Transaction name]])))))))</f>
        <v>Transformation</v>
      </c>
      <c r="AS433" s="26" t="str">
        <f>IF(Transactions[[#This Row],[Level 0]]=Transactions[[#This Row],[Transaction name]],Transactions[[#This Row],[Transaction name]],IF(Transactions[[#This Row],[Level 0]]=Transactions[[#This Row],[L1N]],Transactions[[#This Row],[Transaction name]],IF(Transactions[[#This Row],[Level 0]]=Transactions[[#This Row],[L2N]],Transactions[[#This Row],[L1N]],IF(Transactions[[#This Row],[Level 0]]=Transactions[[#This Row],[L3N]],Transactions[[#This Row],[L2N]],IF(Transactions[[#This Row],[Level 0]]=Transactions[[#This Row],[L4N]],Transactions[[#This Row],[L3N]],IF(Transactions[[#This Row],[Level 0]]=Transactions[[#This Row],[L5N]],Transactions[[#This Row],[L4N]],IF(Transactions[[#This Row],[Level 0]]=Transactions[[#This Row],[L6N]],Transactions[[#This Row],[L5N]],IF(Transactions[[#This Row],[Level 0]]=Transactions[[#This Row],[L7N]],Transactions[[#This Row],[L6N]],Transactions[[#This Row],[L7N]]))))))))</f>
        <v>Electricity, CHP and heat plants (T)</v>
      </c>
      <c r="AT433" s="26" t="str">
        <f>IF(Transactions[[#This Row],[Level 1]]=Transactions[[#This Row],[Transaction name]],Transactions[[#This Row],[Transaction name]],IF(Transactions[[#This Row],[Level 1]]=Transactions[[#This Row],[L1N]],Transactions[[#This Row],[Transaction name]],IF(Transactions[[#This Row],[Level 1]]=Transactions[[#This Row],[L2N]],Transactions[[#This Row],[L1N]],IF(Transactions[[#This Row],[Level 1]]=Transactions[[#This Row],[L3N]],Transactions[[#This Row],[L2N]],IF(Transactions[[#This Row],[Level 1]]=Transactions[[#This Row],[L4N]],Transactions[[#This Row],[L3N]],IF(Transactions[[#This Row],[Level 1]]=Transactions[[#This Row],[L5N]],Transactions[[#This Row],[L4N]],IF(Transactions[[#This Row],[Level 1]]=Transactions[[#This Row],[L6N]],Transactions[[#This Row],[L5N]],IF(Transactions[[#This Row],[Level 1]]=Transactions[[#This Row],[L7N]],Transactions[[#This Row],[L6N]],Transactions[[#This Row],[L7N]]))))))))</f>
        <v>Energy plants - liquid biofuels</v>
      </c>
      <c r="AU433" s="26" t="str">
        <f>IF(Transactions[[#This Row],[Level 2]]=Transactions[[#This Row],[Transaction name]],Transactions[[#This Row],[Transaction name]],IF(Transactions[[#This Row],[Level 2]]=Transactions[[#This Row],[L1N]],Transactions[[#This Row],[Transaction name]],IF(Transactions[[#This Row],[Level 2]]=Transactions[[#This Row],[L2N]],Transactions[[#This Row],[L1N]],IF(Transactions[[#This Row],[Level 2]]=Transactions[[#This Row],[L3N]],Transactions[[#This Row],[L2N]],IF(Transactions[[#This Row],[Level 2]]=Transactions[[#This Row],[L4N]],Transactions[[#This Row],[L3N]],IF(Transactions[[#This Row],[Level 2]]=Transactions[[#This Row],[L5N]],Transactions[[#This Row],[L4N]],IF(Transactions[[#This Row],[Level 2]]=Transactions[[#This Row],[L6N]],Transactions[[#This Row],[L5N]],IF(Transactions[[#This Row],[Level 2]]=Transactions[[#This Row],[L7N]],Transactions[[#This Row],[L6N]],Transactions[[#This Row],[L7N]]))))))))</f>
        <v>Energy plants - liquid biofuels</v>
      </c>
      <c r="AV433" s="26" t="str">
        <f>IF(Transactions[[#This Row],[Level 3]]=Transactions[[#This Row],[Transaction name]],Transactions[[#This Row],[Transaction name]],IF(Transactions[[#This Row],[Level 3]]=Transactions[[#This Row],[L1N]],Transactions[[#This Row],[Transaction name]],IF(Transactions[[#This Row],[Level 3]]=Transactions[[#This Row],[L2N]],Transactions[[#This Row],[L1N]],IF(Transactions[[#This Row],[Level 3]]=Transactions[[#This Row],[L3N]],Transactions[[#This Row],[L2N]],IF(Transactions[[#This Row],[Level 3]]=Transactions[[#This Row],[L4N]],Transactions[[#This Row],[L3N]],IF(Transactions[[#This Row],[Level 3]]=Transactions[[#This Row],[L5N]],Transactions[[#This Row],[L4N]],IF(Transactions[[#This Row],[Level 3]]=Transactions[[#This Row],[L6N]],Transactions[[#This Row],[L5N]],IF(Transactions[[#This Row],[Level 3]]=Transactions[[#This Row],[L7N]],Transactions[[#This Row],[L6N]],Transactions[[#This Row],[L7N]]))))))))</f>
        <v>Energy plants - liquid biofuels</v>
      </c>
      <c r="AW433" s="26" t="str">
        <f>IF(Transactions[[#This Row],[Level 4]]=Transactions[[#This Row],[Transaction name]],Transactions[[#This Row],[Transaction name]],IF(Transactions[[#This Row],[Level 4]]=Transactions[[#This Row],[L1N]],Transactions[[#This Row],[Transaction name]],IF(Transactions[[#This Row],[Level 4]]=Transactions[[#This Row],[L2N]],Transactions[[#This Row],[L1N]],IF(Transactions[[#This Row],[Level 4]]=Transactions[[#This Row],[L3N]],Transactions[[#This Row],[L2N]],IF(Transactions[[#This Row],[Level 4]]=Transactions[[#This Row],[L4N]],Transactions[[#This Row],[L3N]],IF(Transactions[[#This Row],[Level 4]]=Transactions[[#This Row],[L5N]],Transactions[[#This Row],[L4N]],IF(Transactions[[#This Row],[Level 4]]=Transactions[[#This Row],[L6N]],Transactions[[#This Row],[L5N]],IF(Transactions[[#This Row],[Level 4]]=Transactions[[#This Row],[L7N]],Transactions[[#This Row],[L6N]],Transactions[[#This Row],[L7N]]))))))))</f>
        <v>Energy plants - liquid biofuels</v>
      </c>
      <c r="AX433" s="26" t="str">
        <f>IF(Transactions[[#This Row],[Level 5]]=Transactions[[#This Row],[Transaction name]],Transactions[[#This Row],[Transaction name]],IF(Transactions[[#This Row],[Level 5]]=Transactions[[#This Row],[L1N]],Transactions[[#This Row],[Transaction name]],IF(Transactions[[#This Row],[Level 5]]=Transactions[[#This Row],[L2N]],Transactions[[#This Row],[L1N]],IF(Transactions[[#This Row],[Level 5]]=Transactions[[#This Row],[L3N]],Transactions[[#This Row],[L2N]],IF(Transactions[[#This Row],[Level 5]]=Transactions[[#This Row],[L4N]],Transactions[[#This Row],[L3N]],IF(Transactions[[#This Row],[Level 5]]=Transactions[[#This Row],[L5N]],Transactions[[#This Row],[L4N]],IF(Transactions[[#This Row],[Level 5]]=Transactions[[#This Row],[L6N]],Transactions[[#This Row],[L5N]],IF(Transactions[[#This Row],[Level 5]]=Transactions[[#This Row],[L7N]],Transactions[[#This Row],[L6N]],Transactions[[#This Row],[L7N]]))))))))</f>
        <v>Energy plants - liquid biofuels</v>
      </c>
      <c r="AY433" s="26" t="str">
        <f>IF(Transactions[[#This Row],[Level 6]]=Transactions[[#This Row],[Transaction name]],Transactions[[#This Row],[Transaction name]],IF(Transactions[[#This Row],[Level 6]]=Transactions[[#This Row],[L1N]],Transactions[[#This Row],[Transaction name]],IF(Transactions[[#This Row],[Level 6]]=Transactions[[#This Row],[L2N]],Transactions[[#This Row],[L1N]],IF(Transactions[[#This Row],[Level 6]]=Transactions[[#This Row],[L3N]],Transactions[[#This Row],[L2N]],IF(Transactions[[#This Row],[Level 6]]=Transactions[[#This Row],[L4N]],Transactions[[#This Row],[L3N]],IF(Transactions[[#This Row],[Level 6]]=Transactions[[#This Row],[L5N]],Transactions[[#This Row],[L4N]],IF(Transactions[[#This Row],[Level 6]]=Transactions[[#This Row],[L6N]],Transactions[[#This Row],[L5N]],IF(Transactions[[#This Row],[Level 6]]=Transactions[[#This Row],[L7N]],Transactions[[#This Row],[L6N]],Transactions[[#This Row],[L7N]]))))))))</f>
        <v>Energy plants - liquid biofuels</v>
      </c>
      <c r="BE433" s="26" t="str">
        <f>_xlfn.XLOOKUP(Transformation[[#This Row],[cfrom]],Commodities[Commodity],Commodities[Commodity code])</f>
        <v>4699</v>
      </c>
      <c r="BF433" s="26" t="str">
        <f>_xlfn.XLOOKUP(Transformation[[#This Row],[tfrom]],Transactions[Transaction name],Transactions[Transaction code])</f>
        <v>022</v>
      </c>
      <c r="BG433" s="26" t="str">
        <f>_xlfn.XLOOKUP(Transformation[[#This Row],[cto]],Commodities[Commodity],Commodities[Commodity code])</f>
        <v>4699</v>
      </c>
      <c r="BH433" s="26" t="str">
        <f>_xlfn.XLOOKUP(Transformation[[#This Row],[tto]],Transactions[Transaction name],Transactions[Transaction code])</f>
        <v>013</v>
      </c>
      <c r="BI433" s="31">
        <v>1</v>
      </c>
      <c r="BJ433" s="22" t="s">
        <v>348</v>
      </c>
      <c r="BK433" s="26" t="str">
        <f>_xlfn.XLOOKUP(Transformation[[#This Row],[Commodity from]],Commodities[Commodity code],Commodities[EnergyCode])</f>
        <v>PP</v>
      </c>
      <c r="BL433" s="22" t="s">
        <v>205</v>
      </c>
      <c r="BM433" s="22" t="s">
        <v>348</v>
      </c>
      <c r="BN433" s="26" t="str">
        <f>_xlfn.XLOOKUP(Transformation[[#This Row],[Commodity to]],Commodities[Commodity code],Commodities[EnergyCode])</f>
        <v>PP</v>
      </c>
      <c r="BO433" s="22" t="s">
        <v>374</v>
      </c>
      <c r="BP433" s="22" t="s">
        <v>1694</v>
      </c>
      <c r="BQ433" s="33" t="str">
        <f>Transformation[[#This Row],[Commodity from]]&amp;Transformation[[#This Row],[Transaction from]]&amp;Transformation[[#This Row],[Commodity to]]&amp;Transformation[[#This Row],[Transaction to]]</f>
        <v>46990224699013</v>
      </c>
      <c r="BR433" s="26" t="str">
        <f>Transformation[[#This Row],[crfomid]]&amp;Transformation[[#This Row],[Transaction from]]&amp;"("&amp;Transformation[[#This Row],[Multiplier]]&amp;") -&gt; "&amp;Transformation[[#This Row],[ctoid]]&amp;Transformation[[#This Row],[Transaction to]]</f>
        <v>PP022(1) -&gt; PP013</v>
      </c>
    </row>
    <row r="434" spans="25:70" x14ac:dyDescent="0.45">
      <c r="Y434" s="19" t="s">
        <v>1509</v>
      </c>
      <c r="Z434" s="18" t="s">
        <v>1531</v>
      </c>
      <c r="AA434" s="18" t="s">
        <v>1531</v>
      </c>
      <c r="AB434" s="18" t="s">
        <v>171</v>
      </c>
      <c r="AC434" s="26" t="str">
        <f>IFERROR(VLOOKUP(Transactions[[#This Row],[Parent code]],Transactions[[Transaction code]:[Transaction name]],2,0),"")</f>
        <v>Electricity, CHP and heat plants (T)</v>
      </c>
      <c r="AD434" s="18" t="s">
        <v>189</v>
      </c>
      <c r="AE434" s="18" t="s">
        <v>959</v>
      </c>
      <c r="AF434" s="18" t="s">
        <v>642</v>
      </c>
      <c r="AG434" s="18" t="s">
        <v>1</v>
      </c>
      <c r="AH434" s="18" t="s">
        <v>696</v>
      </c>
      <c r="AI434" s="18" t="s">
        <v>1416</v>
      </c>
      <c r="AJ434" s="18" t="s">
        <v>0</v>
      </c>
      <c r="AK434" s="26" t="str" cm="1">
        <f t="array" ref="AK434">IFERROR(INDEX(Transactions[[Transaction code]:[Transaction name]],_xlfn.XMATCH(Transactions[[#This Row],[Parent code]],Transactions[Transaction name],0),3),Transactions[[#This Row],[Transaction name]])</f>
        <v>Energy plants - municipal solid waste</v>
      </c>
      <c r="AL434" s="26" t="str" cm="1">
        <f t="array" ref="AL434">IFERROR(INDEX(Transactions[[Transaction code]:[Transaction name]],_xlfn.XMATCH(INDEX(Transactions[[Transaction name]:[Parent code]],_xlfn.XMATCH(Transactions[[#This Row],[L1N]],Transactions[Transaction name],0),3),Transactions[Transaction code],0),2),Transactions[[#This Row],[L1N]])</f>
        <v>Electricity, CHP and heat plants (T)</v>
      </c>
      <c r="AM434" s="26" t="str" cm="1">
        <f t="array" ref="AM434">IFERROR(INDEX(Transactions[[Transaction code]:[Transaction name]],_xlfn.XMATCH(INDEX(Transactions[[Transaction name]:[Parent code]],_xlfn.XMATCH(Transactions[[#This Row],[L2N]],Transactions[Transaction name],0),3),Transactions[Transaction code],0),2),Transactions[[#This Row],[L2N]])</f>
        <v>Transformation</v>
      </c>
      <c r="AN434" s="26" t="str" cm="1">
        <f t="array" ref="AN434">IFERROR(INDEX(Transactions[[Transaction code]:[Transaction name]],_xlfn.XMATCH(INDEX(Transactions[[Transaction name]:[Parent code]],_xlfn.XMATCH(Transactions[[#This Row],[L3N]],Transactions[Transaction name],0),3),Transactions[Transaction code],0),2),Transactions[[#This Row],[L3N]])</f>
        <v>Transformation</v>
      </c>
      <c r="AO434" s="26" t="str" cm="1">
        <f t="array" ref="AO434">IFERROR(INDEX(Transactions[[Transaction code]:[Transaction name]],_xlfn.XMATCH(INDEX(Transactions[[Transaction name]:[Parent code]],_xlfn.XMATCH(Transactions[[#This Row],[L4N]],Transactions[Transaction name],0),3),Transactions[Transaction code],0),2),Transactions[[#This Row],[L4N]])</f>
        <v>Transformation</v>
      </c>
      <c r="AP434" s="26" t="str" cm="1">
        <f t="array" ref="AP434">IFERROR(INDEX(Transactions[[Transaction code]:[Transaction name]],_xlfn.XMATCH(INDEX(Transactions[[Transaction name]:[Parent code]],_xlfn.XMATCH(Transactions[[#This Row],[L5N]],Transactions[Transaction name],0),3),Transactions[Transaction code],0),2),Transactions[[#This Row],[L5N]])</f>
        <v>Transformation</v>
      </c>
      <c r="AQ434" s="26" t="str" cm="1">
        <f t="array" ref="AQ434">IFERROR(INDEX(Transactions[[Transaction code]:[Transaction name]],_xlfn.XMATCH(INDEX(Transactions[[Transaction name]:[Parent code]],_xlfn.XMATCH(Transactions[[#This Row],[L6N]],Transactions[Transaction name],0),3),Transactions[Transaction code],0),2),Transactions[[#This Row],[L6N]])</f>
        <v>Transformation</v>
      </c>
      <c r="AR434" s="30" t="str">
        <f>IF(Transactions[[#This Row],[L7N]]=Transactions[[#This Row],[L6N]],Transactions[[#This Row],[L7N]],IF(Transactions[[#This Row],[L6N]]=Transactions[[#This Row],[L5N]],Transactions[[#This Row],[L6N]],IF(Transactions[[#This Row],[L5N]]=Transactions[[#This Row],[L4N]],Transactions[[#This Row],[L5N]],IF(Transactions[[#This Row],[L4N]]=Transactions[[#This Row],[L3N]],Transactions[[#This Row],[L4N]],IF(Transactions[[#This Row],[L3N]]=Transactions[[#This Row],[L2N]],Transactions[[#This Row],[L3N]],IF(Transactions[[#This Row],[L2N]]=Transactions[[#This Row],[L1N]],Transactions[[#This Row],[L2N]],IF(Transactions[[#This Row],[L1N]]=Transactions[[#This Row],[Transaction name]],Transactions[[#This Row],[L1N]],Transactions[[#This Row],[Transaction name]])))))))</f>
        <v>Transformation</v>
      </c>
      <c r="AS434" s="26" t="str">
        <f>IF(Transactions[[#This Row],[Level 0]]=Transactions[[#This Row],[Transaction name]],Transactions[[#This Row],[Transaction name]],IF(Transactions[[#This Row],[Level 0]]=Transactions[[#This Row],[L1N]],Transactions[[#This Row],[Transaction name]],IF(Transactions[[#This Row],[Level 0]]=Transactions[[#This Row],[L2N]],Transactions[[#This Row],[L1N]],IF(Transactions[[#This Row],[Level 0]]=Transactions[[#This Row],[L3N]],Transactions[[#This Row],[L2N]],IF(Transactions[[#This Row],[Level 0]]=Transactions[[#This Row],[L4N]],Transactions[[#This Row],[L3N]],IF(Transactions[[#This Row],[Level 0]]=Transactions[[#This Row],[L5N]],Transactions[[#This Row],[L4N]],IF(Transactions[[#This Row],[Level 0]]=Transactions[[#This Row],[L6N]],Transactions[[#This Row],[L5N]],IF(Transactions[[#This Row],[Level 0]]=Transactions[[#This Row],[L7N]],Transactions[[#This Row],[L6N]],Transactions[[#This Row],[L7N]]))))))))</f>
        <v>Electricity, CHP and heat plants (T)</v>
      </c>
      <c r="AT434" s="26" t="str">
        <f>IF(Transactions[[#This Row],[Level 1]]=Transactions[[#This Row],[Transaction name]],Transactions[[#This Row],[Transaction name]],IF(Transactions[[#This Row],[Level 1]]=Transactions[[#This Row],[L1N]],Transactions[[#This Row],[Transaction name]],IF(Transactions[[#This Row],[Level 1]]=Transactions[[#This Row],[L2N]],Transactions[[#This Row],[L1N]],IF(Transactions[[#This Row],[Level 1]]=Transactions[[#This Row],[L3N]],Transactions[[#This Row],[L2N]],IF(Transactions[[#This Row],[Level 1]]=Transactions[[#This Row],[L4N]],Transactions[[#This Row],[L3N]],IF(Transactions[[#This Row],[Level 1]]=Transactions[[#This Row],[L5N]],Transactions[[#This Row],[L4N]],IF(Transactions[[#This Row],[Level 1]]=Transactions[[#This Row],[L6N]],Transactions[[#This Row],[L5N]],IF(Transactions[[#This Row],[Level 1]]=Transactions[[#This Row],[L7N]],Transactions[[#This Row],[L6N]],Transactions[[#This Row],[L7N]]))))))))</f>
        <v>Energy plants - municipal solid waste</v>
      </c>
      <c r="AU434" s="26" t="str">
        <f>IF(Transactions[[#This Row],[Level 2]]=Transactions[[#This Row],[Transaction name]],Transactions[[#This Row],[Transaction name]],IF(Transactions[[#This Row],[Level 2]]=Transactions[[#This Row],[L1N]],Transactions[[#This Row],[Transaction name]],IF(Transactions[[#This Row],[Level 2]]=Transactions[[#This Row],[L2N]],Transactions[[#This Row],[L1N]],IF(Transactions[[#This Row],[Level 2]]=Transactions[[#This Row],[L3N]],Transactions[[#This Row],[L2N]],IF(Transactions[[#This Row],[Level 2]]=Transactions[[#This Row],[L4N]],Transactions[[#This Row],[L3N]],IF(Transactions[[#This Row],[Level 2]]=Transactions[[#This Row],[L5N]],Transactions[[#This Row],[L4N]],IF(Transactions[[#This Row],[Level 2]]=Transactions[[#This Row],[L6N]],Transactions[[#This Row],[L5N]],IF(Transactions[[#This Row],[Level 2]]=Transactions[[#This Row],[L7N]],Transactions[[#This Row],[L6N]],Transactions[[#This Row],[L7N]]))))))))</f>
        <v>Energy plants - municipal solid waste</v>
      </c>
      <c r="AV434" s="26" t="str">
        <f>IF(Transactions[[#This Row],[Level 3]]=Transactions[[#This Row],[Transaction name]],Transactions[[#This Row],[Transaction name]],IF(Transactions[[#This Row],[Level 3]]=Transactions[[#This Row],[L1N]],Transactions[[#This Row],[Transaction name]],IF(Transactions[[#This Row],[Level 3]]=Transactions[[#This Row],[L2N]],Transactions[[#This Row],[L1N]],IF(Transactions[[#This Row],[Level 3]]=Transactions[[#This Row],[L3N]],Transactions[[#This Row],[L2N]],IF(Transactions[[#This Row],[Level 3]]=Transactions[[#This Row],[L4N]],Transactions[[#This Row],[L3N]],IF(Transactions[[#This Row],[Level 3]]=Transactions[[#This Row],[L5N]],Transactions[[#This Row],[L4N]],IF(Transactions[[#This Row],[Level 3]]=Transactions[[#This Row],[L6N]],Transactions[[#This Row],[L5N]],IF(Transactions[[#This Row],[Level 3]]=Transactions[[#This Row],[L7N]],Transactions[[#This Row],[L6N]],Transactions[[#This Row],[L7N]]))))))))</f>
        <v>Energy plants - municipal solid waste</v>
      </c>
      <c r="AW434" s="26" t="str">
        <f>IF(Transactions[[#This Row],[Level 4]]=Transactions[[#This Row],[Transaction name]],Transactions[[#This Row],[Transaction name]],IF(Transactions[[#This Row],[Level 4]]=Transactions[[#This Row],[L1N]],Transactions[[#This Row],[Transaction name]],IF(Transactions[[#This Row],[Level 4]]=Transactions[[#This Row],[L2N]],Transactions[[#This Row],[L1N]],IF(Transactions[[#This Row],[Level 4]]=Transactions[[#This Row],[L3N]],Transactions[[#This Row],[L2N]],IF(Transactions[[#This Row],[Level 4]]=Transactions[[#This Row],[L4N]],Transactions[[#This Row],[L3N]],IF(Transactions[[#This Row],[Level 4]]=Transactions[[#This Row],[L5N]],Transactions[[#This Row],[L4N]],IF(Transactions[[#This Row],[Level 4]]=Transactions[[#This Row],[L6N]],Transactions[[#This Row],[L5N]],IF(Transactions[[#This Row],[Level 4]]=Transactions[[#This Row],[L7N]],Transactions[[#This Row],[L6N]],Transactions[[#This Row],[L7N]]))))))))</f>
        <v>Energy plants - municipal solid waste</v>
      </c>
      <c r="AX434" s="26" t="str">
        <f>IF(Transactions[[#This Row],[Level 5]]=Transactions[[#This Row],[Transaction name]],Transactions[[#This Row],[Transaction name]],IF(Transactions[[#This Row],[Level 5]]=Transactions[[#This Row],[L1N]],Transactions[[#This Row],[Transaction name]],IF(Transactions[[#This Row],[Level 5]]=Transactions[[#This Row],[L2N]],Transactions[[#This Row],[L1N]],IF(Transactions[[#This Row],[Level 5]]=Transactions[[#This Row],[L3N]],Transactions[[#This Row],[L2N]],IF(Transactions[[#This Row],[Level 5]]=Transactions[[#This Row],[L4N]],Transactions[[#This Row],[L3N]],IF(Transactions[[#This Row],[Level 5]]=Transactions[[#This Row],[L5N]],Transactions[[#This Row],[L4N]],IF(Transactions[[#This Row],[Level 5]]=Transactions[[#This Row],[L6N]],Transactions[[#This Row],[L5N]],IF(Transactions[[#This Row],[Level 5]]=Transactions[[#This Row],[L7N]],Transactions[[#This Row],[L6N]],Transactions[[#This Row],[L7N]]))))))))</f>
        <v>Energy plants - municipal solid waste</v>
      </c>
      <c r="AY434" s="26" t="str">
        <f>IF(Transactions[[#This Row],[Level 6]]=Transactions[[#This Row],[Transaction name]],Transactions[[#This Row],[Transaction name]],IF(Transactions[[#This Row],[Level 6]]=Transactions[[#This Row],[L1N]],Transactions[[#This Row],[Transaction name]],IF(Transactions[[#This Row],[Level 6]]=Transactions[[#This Row],[L2N]],Transactions[[#This Row],[L1N]],IF(Transactions[[#This Row],[Level 6]]=Transactions[[#This Row],[L3N]],Transactions[[#This Row],[L2N]],IF(Transactions[[#This Row],[Level 6]]=Transactions[[#This Row],[L4N]],Transactions[[#This Row],[L3N]],IF(Transactions[[#This Row],[Level 6]]=Transactions[[#This Row],[L5N]],Transactions[[#This Row],[L4N]],IF(Transactions[[#This Row],[Level 6]]=Transactions[[#This Row],[L6N]],Transactions[[#This Row],[L5N]],IF(Transactions[[#This Row],[Level 6]]=Transactions[[#This Row],[L7N]],Transactions[[#This Row],[L6N]],Transactions[[#This Row],[L7N]]))))))))</f>
        <v>Energy plants - municipal solid waste</v>
      </c>
      <c r="BE434" s="26" t="str">
        <f>_xlfn.XLOOKUP(Transformation[[#This Row],[cfrom]],Commodities[Commodity],Commodities[Commodity code])</f>
        <v>4693</v>
      </c>
      <c r="BF434" s="26" t="str">
        <f>_xlfn.XLOOKUP(Transformation[[#This Row],[tfrom]],Transactions[Transaction name],Transactions[Transaction code])</f>
        <v>01</v>
      </c>
      <c r="BG434" s="26" t="str">
        <f>_xlfn.XLOOKUP(Transformation[[#This Row],[cto]],Commodities[Commodity],Commodities[Commodity code])</f>
        <v>4693</v>
      </c>
      <c r="BH434" s="26" t="str">
        <f>_xlfn.XLOOKUP(Transformation[[#This Row],[tto]],Transactions[Transaction name],Transactions[Transaction code])</f>
        <v>01</v>
      </c>
      <c r="BI434" s="32">
        <v>-1</v>
      </c>
      <c r="BJ434" s="22" t="s">
        <v>356</v>
      </c>
      <c r="BK434" s="26" t="str">
        <f>_xlfn.XLOOKUP(Transformation[[#This Row],[Commodity from]],Commodities[Commodity code],Commodities[EnergyCode])</f>
        <v>PW</v>
      </c>
      <c r="BL434" s="22" t="s">
        <v>383</v>
      </c>
      <c r="BM434" s="22" t="s">
        <v>356</v>
      </c>
      <c r="BN434" s="26" t="str">
        <f>_xlfn.XLOOKUP(Transformation[[#This Row],[Commodity to]],Commodities[Commodity code],Commodities[EnergyCode])</f>
        <v>PW</v>
      </c>
      <c r="BO434" s="22" t="s">
        <v>383</v>
      </c>
      <c r="BP434" s="22" t="s">
        <v>1633</v>
      </c>
      <c r="BQ434" s="33" t="str">
        <f>Transformation[[#This Row],[Commodity from]]&amp;Transformation[[#This Row],[Transaction from]]&amp;Transformation[[#This Row],[Commodity to]]&amp;Transformation[[#This Row],[Transaction to]]</f>
        <v>469301469301</v>
      </c>
      <c r="BR434" s="26" t="str">
        <f>Transformation[[#This Row],[crfomid]]&amp;Transformation[[#This Row],[Transaction from]]&amp;"("&amp;Transformation[[#This Row],[Multiplier]]&amp;") -&gt; "&amp;Transformation[[#This Row],[ctoid]]&amp;Transformation[[#This Row],[Transaction to]]</f>
        <v>PW01(-1) -&gt; PW01</v>
      </c>
    </row>
    <row r="435" spans="25:70" x14ac:dyDescent="0.45">
      <c r="Y435" s="19" t="s">
        <v>1510</v>
      </c>
      <c r="Z435" s="18" t="s">
        <v>1532</v>
      </c>
      <c r="AA435" s="18" t="s">
        <v>1532</v>
      </c>
      <c r="AB435" s="18" t="s">
        <v>171</v>
      </c>
      <c r="AC435" s="26" t="str">
        <f>IFERROR(VLOOKUP(Transactions[[#This Row],[Parent code]],Transactions[[Transaction code]:[Transaction name]],2,0),"")</f>
        <v>Electricity, CHP and heat plants (T)</v>
      </c>
      <c r="AD435" s="18" t="s">
        <v>189</v>
      </c>
      <c r="AE435" s="18" t="s">
        <v>959</v>
      </c>
      <c r="AF435" s="18" t="s">
        <v>642</v>
      </c>
      <c r="AG435" s="18" t="s">
        <v>1</v>
      </c>
      <c r="AH435" s="18" t="s">
        <v>696</v>
      </c>
      <c r="AI435" s="18" t="s">
        <v>1416</v>
      </c>
      <c r="AJ435" s="18" t="s">
        <v>0</v>
      </c>
      <c r="AK435" s="26" t="str" cm="1">
        <f t="array" ref="AK435">IFERROR(INDEX(Transactions[[Transaction code]:[Transaction name]],_xlfn.XMATCH(Transactions[[#This Row],[Parent code]],Transactions[Transaction name],0),3),Transactions[[#This Row],[Transaction name]])</f>
        <v>Energy plants - natural gas</v>
      </c>
      <c r="AL435" s="26" t="str" cm="1">
        <f t="array" ref="AL435">IFERROR(INDEX(Transactions[[Transaction code]:[Transaction name]],_xlfn.XMATCH(INDEX(Transactions[[Transaction name]:[Parent code]],_xlfn.XMATCH(Transactions[[#This Row],[L1N]],Transactions[Transaction name],0),3),Transactions[Transaction code],0),2),Transactions[[#This Row],[L1N]])</f>
        <v>Electricity, CHP and heat plants (T)</v>
      </c>
      <c r="AM435" s="26" t="str" cm="1">
        <f t="array" ref="AM435">IFERROR(INDEX(Transactions[[Transaction code]:[Transaction name]],_xlfn.XMATCH(INDEX(Transactions[[Transaction name]:[Parent code]],_xlfn.XMATCH(Transactions[[#This Row],[L2N]],Transactions[Transaction name],0),3),Transactions[Transaction code],0),2),Transactions[[#This Row],[L2N]])</f>
        <v>Transformation</v>
      </c>
      <c r="AN435" s="26" t="str" cm="1">
        <f t="array" ref="AN435">IFERROR(INDEX(Transactions[[Transaction code]:[Transaction name]],_xlfn.XMATCH(INDEX(Transactions[[Transaction name]:[Parent code]],_xlfn.XMATCH(Transactions[[#This Row],[L3N]],Transactions[Transaction name],0),3),Transactions[Transaction code],0),2),Transactions[[#This Row],[L3N]])</f>
        <v>Transformation</v>
      </c>
      <c r="AO435" s="26" t="str" cm="1">
        <f t="array" ref="AO435">IFERROR(INDEX(Transactions[[Transaction code]:[Transaction name]],_xlfn.XMATCH(INDEX(Transactions[[Transaction name]:[Parent code]],_xlfn.XMATCH(Transactions[[#This Row],[L4N]],Transactions[Transaction name],0),3),Transactions[Transaction code],0),2),Transactions[[#This Row],[L4N]])</f>
        <v>Transformation</v>
      </c>
      <c r="AP435" s="26" t="str" cm="1">
        <f t="array" ref="AP435">IFERROR(INDEX(Transactions[[Transaction code]:[Transaction name]],_xlfn.XMATCH(INDEX(Transactions[[Transaction name]:[Parent code]],_xlfn.XMATCH(Transactions[[#This Row],[L5N]],Transactions[Transaction name],0),3),Transactions[Transaction code],0),2),Transactions[[#This Row],[L5N]])</f>
        <v>Transformation</v>
      </c>
      <c r="AQ435" s="26" t="str" cm="1">
        <f t="array" ref="AQ435">IFERROR(INDEX(Transactions[[Transaction code]:[Transaction name]],_xlfn.XMATCH(INDEX(Transactions[[Transaction name]:[Parent code]],_xlfn.XMATCH(Transactions[[#This Row],[L6N]],Transactions[Transaction name],0),3),Transactions[Transaction code],0),2),Transactions[[#This Row],[L6N]])</f>
        <v>Transformation</v>
      </c>
      <c r="AR435" s="30" t="str">
        <f>IF(Transactions[[#This Row],[L7N]]=Transactions[[#This Row],[L6N]],Transactions[[#This Row],[L7N]],IF(Transactions[[#This Row],[L6N]]=Transactions[[#This Row],[L5N]],Transactions[[#This Row],[L6N]],IF(Transactions[[#This Row],[L5N]]=Transactions[[#This Row],[L4N]],Transactions[[#This Row],[L5N]],IF(Transactions[[#This Row],[L4N]]=Transactions[[#This Row],[L3N]],Transactions[[#This Row],[L4N]],IF(Transactions[[#This Row],[L3N]]=Transactions[[#This Row],[L2N]],Transactions[[#This Row],[L3N]],IF(Transactions[[#This Row],[L2N]]=Transactions[[#This Row],[L1N]],Transactions[[#This Row],[L2N]],IF(Transactions[[#This Row],[L1N]]=Transactions[[#This Row],[Transaction name]],Transactions[[#This Row],[L1N]],Transactions[[#This Row],[Transaction name]])))))))</f>
        <v>Transformation</v>
      </c>
      <c r="AS435" s="26" t="str">
        <f>IF(Transactions[[#This Row],[Level 0]]=Transactions[[#This Row],[Transaction name]],Transactions[[#This Row],[Transaction name]],IF(Transactions[[#This Row],[Level 0]]=Transactions[[#This Row],[L1N]],Transactions[[#This Row],[Transaction name]],IF(Transactions[[#This Row],[Level 0]]=Transactions[[#This Row],[L2N]],Transactions[[#This Row],[L1N]],IF(Transactions[[#This Row],[Level 0]]=Transactions[[#This Row],[L3N]],Transactions[[#This Row],[L2N]],IF(Transactions[[#This Row],[Level 0]]=Transactions[[#This Row],[L4N]],Transactions[[#This Row],[L3N]],IF(Transactions[[#This Row],[Level 0]]=Transactions[[#This Row],[L5N]],Transactions[[#This Row],[L4N]],IF(Transactions[[#This Row],[Level 0]]=Transactions[[#This Row],[L6N]],Transactions[[#This Row],[L5N]],IF(Transactions[[#This Row],[Level 0]]=Transactions[[#This Row],[L7N]],Transactions[[#This Row],[L6N]],Transactions[[#This Row],[L7N]]))))))))</f>
        <v>Electricity, CHP and heat plants (T)</v>
      </c>
      <c r="AT435" s="26" t="str">
        <f>IF(Transactions[[#This Row],[Level 1]]=Transactions[[#This Row],[Transaction name]],Transactions[[#This Row],[Transaction name]],IF(Transactions[[#This Row],[Level 1]]=Transactions[[#This Row],[L1N]],Transactions[[#This Row],[Transaction name]],IF(Transactions[[#This Row],[Level 1]]=Transactions[[#This Row],[L2N]],Transactions[[#This Row],[L1N]],IF(Transactions[[#This Row],[Level 1]]=Transactions[[#This Row],[L3N]],Transactions[[#This Row],[L2N]],IF(Transactions[[#This Row],[Level 1]]=Transactions[[#This Row],[L4N]],Transactions[[#This Row],[L3N]],IF(Transactions[[#This Row],[Level 1]]=Transactions[[#This Row],[L5N]],Transactions[[#This Row],[L4N]],IF(Transactions[[#This Row],[Level 1]]=Transactions[[#This Row],[L6N]],Transactions[[#This Row],[L5N]],IF(Transactions[[#This Row],[Level 1]]=Transactions[[#This Row],[L7N]],Transactions[[#This Row],[L6N]],Transactions[[#This Row],[L7N]]))))))))</f>
        <v>Energy plants - natural gas</v>
      </c>
      <c r="AU435" s="26" t="str">
        <f>IF(Transactions[[#This Row],[Level 2]]=Transactions[[#This Row],[Transaction name]],Transactions[[#This Row],[Transaction name]],IF(Transactions[[#This Row],[Level 2]]=Transactions[[#This Row],[L1N]],Transactions[[#This Row],[Transaction name]],IF(Transactions[[#This Row],[Level 2]]=Transactions[[#This Row],[L2N]],Transactions[[#This Row],[L1N]],IF(Transactions[[#This Row],[Level 2]]=Transactions[[#This Row],[L3N]],Transactions[[#This Row],[L2N]],IF(Transactions[[#This Row],[Level 2]]=Transactions[[#This Row],[L4N]],Transactions[[#This Row],[L3N]],IF(Transactions[[#This Row],[Level 2]]=Transactions[[#This Row],[L5N]],Transactions[[#This Row],[L4N]],IF(Transactions[[#This Row],[Level 2]]=Transactions[[#This Row],[L6N]],Transactions[[#This Row],[L5N]],IF(Transactions[[#This Row],[Level 2]]=Transactions[[#This Row],[L7N]],Transactions[[#This Row],[L6N]],Transactions[[#This Row],[L7N]]))))))))</f>
        <v>Energy plants - natural gas</v>
      </c>
      <c r="AV435" s="26" t="str">
        <f>IF(Transactions[[#This Row],[Level 3]]=Transactions[[#This Row],[Transaction name]],Transactions[[#This Row],[Transaction name]],IF(Transactions[[#This Row],[Level 3]]=Transactions[[#This Row],[L1N]],Transactions[[#This Row],[Transaction name]],IF(Transactions[[#This Row],[Level 3]]=Transactions[[#This Row],[L2N]],Transactions[[#This Row],[L1N]],IF(Transactions[[#This Row],[Level 3]]=Transactions[[#This Row],[L3N]],Transactions[[#This Row],[L2N]],IF(Transactions[[#This Row],[Level 3]]=Transactions[[#This Row],[L4N]],Transactions[[#This Row],[L3N]],IF(Transactions[[#This Row],[Level 3]]=Transactions[[#This Row],[L5N]],Transactions[[#This Row],[L4N]],IF(Transactions[[#This Row],[Level 3]]=Transactions[[#This Row],[L6N]],Transactions[[#This Row],[L5N]],IF(Transactions[[#This Row],[Level 3]]=Transactions[[#This Row],[L7N]],Transactions[[#This Row],[L6N]],Transactions[[#This Row],[L7N]]))))))))</f>
        <v>Energy plants - natural gas</v>
      </c>
      <c r="AW435" s="26" t="str">
        <f>IF(Transactions[[#This Row],[Level 4]]=Transactions[[#This Row],[Transaction name]],Transactions[[#This Row],[Transaction name]],IF(Transactions[[#This Row],[Level 4]]=Transactions[[#This Row],[L1N]],Transactions[[#This Row],[Transaction name]],IF(Transactions[[#This Row],[Level 4]]=Transactions[[#This Row],[L2N]],Transactions[[#This Row],[L1N]],IF(Transactions[[#This Row],[Level 4]]=Transactions[[#This Row],[L3N]],Transactions[[#This Row],[L2N]],IF(Transactions[[#This Row],[Level 4]]=Transactions[[#This Row],[L4N]],Transactions[[#This Row],[L3N]],IF(Transactions[[#This Row],[Level 4]]=Transactions[[#This Row],[L5N]],Transactions[[#This Row],[L4N]],IF(Transactions[[#This Row],[Level 4]]=Transactions[[#This Row],[L6N]],Transactions[[#This Row],[L5N]],IF(Transactions[[#This Row],[Level 4]]=Transactions[[#This Row],[L7N]],Transactions[[#This Row],[L6N]],Transactions[[#This Row],[L7N]]))))))))</f>
        <v>Energy plants - natural gas</v>
      </c>
      <c r="AX435" s="26" t="str">
        <f>IF(Transactions[[#This Row],[Level 5]]=Transactions[[#This Row],[Transaction name]],Transactions[[#This Row],[Transaction name]],IF(Transactions[[#This Row],[Level 5]]=Transactions[[#This Row],[L1N]],Transactions[[#This Row],[Transaction name]],IF(Transactions[[#This Row],[Level 5]]=Transactions[[#This Row],[L2N]],Transactions[[#This Row],[L1N]],IF(Transactions[[#This Row],[Level 5]]=Transactions[[#This Row],[L3N]],Transactions[[#This Row],[L2N]],IF(Transactions[[#This Row],[Level 5]]=Transactions[[#This Row],[L4N]],Transactions[[#This Row],[L3N]],IF(Transactions[[#This Row],[Level 5]]=Transactions[[#This Row],[L5N]],Transactions[[#This Row],[L4N]],IF(Transactions[[#This Row],[Level 5]]=Transactions[[#This Row],[L6N]],Transactions[[#This Row],[L5N]],IF(Transactions[[#This Row],[Level 5]]=Transactions[[#This Row],[L7N]],Transactions[[#This Row],[L6N]],Transactions[[#This Row],[L7N]]))))))))</f>
        <v>Energy plants - natural gas</v>
      </c>
      <c r="AY435" s="26" t="str">
        <f>IF(Transactions[[#This Row],[Level 6]]=Transactions[[#This Row],[Transaction name]],Transactions[[#This Row],[Transaction name]],IF(Transactions[[#This Row],[Level 6]]=Transactions[[#This Row],[L1N]],Transactions[[#This Row],[Transaction name]],IF(Transactions[[#This Row],[Level 6]]=Transactions[[#This Row],[L2N]],Transactions[[#This Row],[L1N]],IF(Transactions[[#This Row],[Level 6]]=Transactions[[#This Row],[L3N]],Transactions[[#This Row],[L2N]],IF(Transactions[[#This Row],[Level 6]]=Transactions[[#This Row],[L4N]],Transactions[[#This Row],[L3N]],IF(Transactions[[#This Row],[Level 6]]=Transactions[[#This Row],[L5N]],Transactions[[#This Row],[L4N]],IF(Transactions[[#This Row],[Level 6]]=Transactions[[#This Row],[L6N]],Transactions[[#This Row],[L5N]],IF(Transactions[[#This Row],[Level 6]]=Transactions[[#This Row],[L7N]],Transactions[[#This Row],[L6N]],Transactions[[#This Row],[L7N]]))))))))</f>
        <v>Energy plants - natural gas</v>
      </c>
      <c r="BE435" s="26" t="str">
        <f>_xlfn.XLOOKUP(Transformation[[#This Row],[cfrom]],Commodities[Commodity],Commodities[Commodity code])</f>
        <v>DG</v>
      </c>
      <c r="BF435" s="26" t="str">
        <f>_xlfn.XLOOKUP(Transformation[[#This Row],[tfrom]],Transactions[Transaction name],Transactions[Transaction code])</f>
        <v>12</v>
      </c>
      <c r="BG435" s="26" t="str">
        <f>_xlfn.XLOOKUP(Transformation[[#This Row],[cto]],Commodities[Commodity],Commodities[Commodity code])</f>
        <v>8000</v>
      </c>
      <c r="BH435" s="26" t="str">
        <f>_xlfn.XLOOKUP(Transformation[[#This Row],[tto]],Transactions[Transaction name],Transactions[Transaction code])</f>
        <v>01</v>
      </c>
      <c r="BI435" s="10">
        <v>1</v>
      </c>
      <c r="BJ435" s="4" t="s">
        <v>252</v>
      </c>
      <c r="BK435" s="24" t="str">
        <f>_xlfn.XLOOKUP(Transformation[[#This Row],[Commodity from]],Commodities[Commodity code],Commodities[EnergyCode])</f>
        <v>DG</v>
      </c>
      <c r="BL435" s="4" t="s">
        <v>702</v>
      </c>
      <c r="BM435" s="22" t="s">
        <v>262</v>
      </c>
      <c r="BN435" s="24" t="str">
        <f>_xlfn.XLOOKUP(Transformation[[#This Row],[Commodity to]],Commodities[Commodity code],Commodities[EnergyCode])</f>
        <v>ST</v>
      </c>
      <c r="BO435" s="4" t="s">
        <v>383</v>
      </c>
      <c r="BP435" s="22" t="s">
        <v>1674</v>
      </c>
      <c r="BQ435" s="33" t="str">
        <f>Transformation[[#This Row],[Commodity from]]&amp;Transformation[[#This Row],[Transaction from]]&amp;Transformation[[#This Row],[Commodity to]]&amp;Transformation[[#This Row],[Transaction to]]</f>
        <v>DG12800001</v>
      </c>
      <c r="BR435" s="26" t="str">
        <f>Transformation[[#This Row],[crfomid]]&amp;Transformation[[#This Row],[Transaction from]]&amp;"("&amp;Transformation[[#This Row],[Multiplier]]&amp;") -&gt; "&amp;Transformation[[#This Row],[ctoid]]&amp;Transformation[[#This Row],[Transaction to]]</f>
        <v>DG12(1) -&gt; ST01</v>
      </c>
    </row>
    <row r="436" spans="25:70" x14ac:dyDescent="0.45">
      <c r="Y436" s="19" t="s">
        <v>1466</v>
      </c>
      <c r="Z436" s="18" t="s">
        <v>1533</v>
      </c>
      <c r="AA436" s="18" t="s">
        <v>1533</v>
      </c>
      <c r="AB436" s="18" t="s">
        <v>171</v>
      </c>
      <c r="AC436" s="26" t="str">
        <f>IFERROR(VLOOKUP(Transactions[[#This Row],[Parent code]],Transactions[[Transaction code]:[Transaction name]],2,0),"")</f>
        <v>Electricity, CHP and heat plants (T)</v>
      </c>
      <c r="AD436" s="18" t="s">
        <v>189</v>
      </c>
      <c r="AE436" s="18" t="s">
        <v>959</v>
      </c>
      <c r="AF436" s="18" t="s">
        <v>642</v>
      </c>
      <c r="AG436" s="18" t="s">
        <v>1</v>
      </c>
      <c r="AH436" s="18" t="s">
        <v>696</v>
      </c>
      <c r="AI436" s="18"/>
      <c r="AJ436" s="18" t="s">
        <v>0</v>
      </c>
      <c r="AK436" s="26" t="str" cm="1">
        <f t="array" ref="AK436">IFERROR(INDEX(Transactions[[Transaction code]:[Transaction name]],_xlfn.XMATCH(Transactions[[#This Row],[Parent code]],Transactions[Transaction name],0),3),Transactions[[#This Row],[Transaction name]])</f>
        <v>Energy plants - Nuclear</v>
      </c>
      <c r="AL436" s="26" t="str" cm="1">
        <f t="array" ref="AL436">IFERROR(INDEX(Transactions[[Transaction code]:[Transaction name]],_xlfn.XMATCH(INDEX(Transactions[[Transaction name]:[Parent code]],_xlfn.XMATCH(Transactions[[#This Row],[L1N]],Transactions[Transaction name],0),3),Transactions[Transaction code],0),2),Transactions[[#This Row],[L1N]])</f>
        <v>Electricity, CHP and heat plants (T)</v>
      </c>
      <c r="AM436" s="26" t="str" cm="1">
        <f t="array" ref="AM436">IFERROR(INDEX(Transactions[[Transaction code]:[Transaction name]],_xlfn.XMATCH(INDEX(Transactions[[Transaction name]:[Parent code]],_xlfn.XMATCH(Transactions[[#This Row],[L2N]],Transactions[Transaction name],0),3),Transactions[Transaction code],0),2),Transactions[[#This Row],[L2N]])</f>
        <v>Transformation</v>
      </c>
      <c r="AN436" s="26" t="str" cm="1">
        <f t="array" ref="AN436">IFERROR(INDEX(Transactions[[Transaction code]:[Transaction name]],_xlfn.XMATCH(INDEX(Transactions[[Transaction name]:[Parent code]],_xlfn.XMATCH(Transactions[[#This Row],[L3N]],Transactions[Transaction name],0),3),Transactions[Transaction code],0),2),Transactions[[#This Row],[L3N]])</f>
        <v>Transformation</v>
      </c>
      <c r="AO436" s="26" t="str" cm="1">
        <f t="array" ref="AO436">IFERROR(INDEX(Transactions[[Transaction code]:[Transaction name]],_xlfn.XMATCH(INDEX(Transactions[[Transaction name]:[Parent code]],_xlfn.XMATCH(Transactions[[#This Row],[L4N]],Transactions[Transaction name],0),3),Transactions[Transaction code],0),2),Transactions[[#This Row],[L4N]])</f>
        <v>Transformation</v>
      </c>
      <c r="AP436" s="26" t="str" cm="1">
        <f t="array" ref="AP436">IFERROR(INDEX(Transactions[[Transaction code]:[Transaction name]],_xlfn.XMATCH(INDEX(Transactions[[Transaction name]:[Parent code]],_xlfn.XMATCH(Transactions[[#This Row],[L5N]],Transactions[Transaction name],0),3),Transactions[Transaction code],0),2),Transactions[[#This Row],[L5N]])</f>
        <v>Transformation</v>
      </c>
      <c r="AQ436" s="26" t="str" cm="1">
        <f t="array" ref="AQ436">IFERROR(INDEX(Transactions[[Transaction code]:[Transaction name]],_xlfn.XMATCH(INDEX(Transactions[[Transaction name]:[Parent code]],_xlfn.XMATCH(Transactions[[#This Row],[L6N]],Transactions[Transaction name],0),3),Transactions[Transaction code],0),2),Transactions[[#This Row],[L6N]])</f>
        <v>Transformation</v>
      </c>
      <c r="AR436" s="30" t="str">
        <f>IF(Transactions[[#This Row],[L7N]]=Transactions[[#This Row],[L6N]],Transactions[[#This Row],[L7N]],IF(Transactions[[#This Row],[L6N]]=Transactions[[#This Row],[L5N]],Transactions[[#This Row],[L6N]],IF(Transactions[[#This Row],[L5N]]=Transactions[[#This Row],[L4N]],Transactions[[#This Row],[L5N]],IF(Transactions[[#This Row],[L4N]]=Transactions[[#This Row],[L3N]],Transactions[[#This Row],[L4N]],IF(Transactions[[#This Row],[L3N]]=Transactions[[#This Row],[L2N]],Transactions[[#This Row],[L3N]],IF(Transactions[[#This Row],[L2N]]=Transactions[[#This Row],[L1N]],Transactions[[#This Row],[L2N]],IF(Transactions[[#This Row],[L1N]]=Transactions[[#This Row],[Transaction name]],Transactions[[#This Row],[L1N]],Transactions[[#This Row],[Transaction name]])))))))</f>
        <v>Transformation</v>
      </c>
      <c r="AS436" s="26" t="str">
        <f>IF(Transactions[[#This Row],[Level 0]]=Transactions[[#This Row],[Transaction name]],Transactions[[#This Row],[Transaction name]],IF(Transactions[[#This Row],[Level 0]]=Transactions[[#This Row],[L1N]],Transactions[[#This Row],[Transaction name]],IF(Transactions[[#This Row],[Level 0]]=Transactions[[#This Row],[L2N]],Transactions[[#This Row],[L1N]],IF(Transactions[[#This Row],[Level 0]]=Transactions[[#This Row],[L3N]],Transactions[[#This Row],[L2N]],IF(Transactions[[#This Row],[Level 0]]=Transactions[[#This Row],[L4N]],Transactions[[#This Row],[L3N]],IF(Transactions[[#This Row],[Level 0]]=Transactions[[#This Row],[L5N]],Transactions[[#This Row],[L4N]],IF(Transactions[[#This Row],[Level 0]]=Transactions[[#This Row],[L6N]],Transactions[[#This Row],[L5N]],IF(Transactions[[#This Row],[Level 0]]=Transactions[[#This Row],[L7N]],Transactions[[#This Row],[L6N]],Transactions[[#This Row],[L7N]]))))))))</f>
        <v>Electricity, CHP and heat plants (T)</v>
      </c>
      <c r="AT436" s="26" t="str">
        <f>IF(Transactions[[#This Row],[Level 1]]=Transactions[[#This Row],[Transaction name]],Transactions[[#This Row],[Transaction name]],IF(Transactions[[#This Row],[Level 1]]=Transactions[[#This Row],[L1N]],Transactions[[#This Row],[Transaction name]],IF(Transactions[[#This Row],[Level 1]]=Transactions[[#This Row],[L2N]],Transactions[[#This Row],[L1N]],IF(Transactions[[#This Row],[Level 1]]=Transactions[[#This Row],[L3N]],Transactions[[#This Row],[L2N]],IF(Transactions[[#This Row],[Level 1]]=Transactions[[#This Row],[L4N]],Transactions[[#This Row],[L3N]],IF(Transactions[[#This Row],[Level 1]]=Transactions[[#This Row],[L5N]],Transactions[[#This Row],[L4N]],IF(Transactions[[#This Row],[Level 1]]=Transactions[[#This Row],[L6N]],Transactions[[#This Row],[L5N]],IF(Transactions[[#This Row],[Level 1]]=Transactions[[#This Row],[L7N]],Transactions[[#This Row],[L6N]],Transactions[[#This Row],[L7N]]))))))))</f>
        <v>Energy plants - Nuclear</v>
      </c>
      <c r="AU436" s="26" t="str">
        <f>IF(Transactions[[#This Row],[Level 2]]=Transactions[[#This Row],[Transaction name]],Transactions[[#This Row],[Transaction name]],IF(Transactions[[#This Row],[Level 2]]=Transactions[[#This Row],[L1N]],Transactions[[#This Row],[Transaction name]],IF(Transactions[[#This Row],[Level 2]]=Transactions[[#This Row],[L2N]],Transactions[[#This Row],[L1N]],IF(Transactions[[#This Row],[Level 2]]=Transactions[[#This Row],[L3N]],Transactions[[#This Row],[L2N]],IF(Transactions[[#This Row],[Level 2]]=Transactions[[#This Row],[L4N]],Transactions[[#This Row],[L3N]],IF(Transactions[[#This Row],[Level 2]]=Transactions[[#This Row],[L5N]],Transactions[[#This Row],[L4N]],IF(Transactions[[#This Row],[Level 2]]=Transactions[[#This Row],[L6N]],Transactions[[#This Row],[L5N]],IF(Transactions[[#This Row],[Level 2]]=Transactions[[#This Row],[L7N]],Transactions[[#This Row],[L6N]],Transactions[[#This Row],[L7N]]))))))))</f>
        <v>Energy plants - Nuclear</v>
      </c>
      <c r="AV436" s="26" t="str">
        <f>IF(Transactions[[#This Row],[Level 3]]=Transactions[[#This Row],[Transaction name]],Transactions[[#This Row],[Transaction name]],IF(Transactions[[#This Row],[Level 3]]=Transactions[[#This Row],[L1N]],Transactions[[#This Row],[Transaction name]],IF(Transactions[[#This Row],[Level 3]]=Transactions[[#This Row],[L2N]],Transactions[[#This Row],[L1N]],IF(Transactions[[#This Row],[Level 3]]=Transactions[[#This Row],[L3N]],Transactions[[#This Row],[L2N]],IF(Transactions[[#This Row],[Level 3]]=Transactions[[#This Row],[L4N]],Transactions[[#This Row],[L3N]],IF(Transactions[[#This Row],[Level 3]]=Transactions[[#This Row],[L5N]],Transactions[[#This Row],[L4N]],IF(Transactions[[#This Row],[Level 3]]=Transactions[[#This Row],[L6N]],Transactions[[#This Row],[L5N]],IF(Transactions[[#This Row],[Level 3]]=Transactions[[#This Row],[L7N]],Transactions[[#This Row],[L6N]],Transactions[[#This Row],[L7N]]))))))))</f>
        <v>Energy plants - Nuclear</v>
      </c>
      <c r="AW436" s="26" t="str">
        <f>IF(Transactions[[#This Row],[Level 4]]=Transactions[[#This Row],[Transaction name]],Transactions[[#This Row],[Transaction name]],IF(Transactions[[#This Row],[Level 4]]=Transactions[[#This Row],[L1N]],Transactions[[#This Row],[Transaction name]],IF(Transactions[[#This Row],[Level 4]]=Transactions[[#This Row],[L2N]],Transactions[[#This Row],[L1N]],IF(Transactions[[#This Row],[Level 4]]=Transactions[[#This Row],[L3N]],Transactions[[#This Row],[L2N]],IF(Transactions[[#This Row],[Level 4]]=Transactions[[#This Row],[L4N]],Transactions[[#This Row],[L3N]],IF(Transactions[[#This Row],[Level 4]]=Transactions[[#This Row],[L5N]],Transactions[[#This Row],[L4N]],IF(Transactions[[#This Row],[Level 4]]=Transactions[[#This Row],[L6N]],Transactions[[#This Row],[L5N]],IF(Transactions[[#This Row],[Level 4]]=Transactions[[#This Row],[L7N]],Transactions[[#This Row],[L6N]],Transactions[[#This Row],[L7N]]))))))))</f>
        <v>Energy plants - Nuclear</v>
      </c>
      <c r="AX436" s="26" t="str">
        <f>IF(Transactions[[#This Row],[Level 5]]=Transactions[[#This Row],[Transaction name]],Transactions[[#This Row],[Transaction name]],IF(Transactions[[#This Row],[Level 5]]=Transactions[[#This Row],[L1N]],Transactions[[#This Row],[Transaction name]],IF(Transactions[[#This Row],[Level 5]]=Transactions[[#This Row],[L2N]],Transactions[[#This Row],[L1N]],IF(Transactions[[#This Row],[Level 5]]=Transactions[[#This Row],[L3N]],Transactions[[#This Row],[L2N]],IF(Transactions[[#This Row],[Level 5]]=Transactions[[#This Row],[L4N]],Transactions[[#This Row],[L3N]],IF(Transactions[[#This Row],[Level 5]]=Transactions[[#This Row],[L5N]],Transactions[[#This Row],[L4N]],IF(Transactions[[#This Row],[Level 5]]=Transactions[[#This Row],[L6N]],Transactions[[#This Row],[L5N]],IF(Transactions[[#This Row],[Level 5]]=Transactions[[#This Row],[L7N]],Transactions[[#This Row],[L6N]],Transactions[[#This Row],[L7N]]))))))))</f>
        <v>Energy plants - Nuclear</v>
      </c>
      <c r="AY436" s="26" t="str">
        <f>IF(Transactions[[#This Row],[Level 6]]=Transactions[[#This Row],[Transaction name]],Transactions[[#This Row],[Transaction name]],IF(Transactions[[#This Row],[Level 6]]=Transactions[[#This Row],[L1N]],Transactions[[#This Row],[Transaction name]],IF(Transactions[[#This Row],[Level 6]]=Transactions[[#This Row],[L2N]],Transactions[[#This Row],[L1N]],IF(Transactions[[#This Row],[Level 6]]=Transactions[[#This Row],[L3N]],Transactions[[#This Row],[L2N]],IF(Transactions[[#This Row],[Level 6]]=Transactions[[#This Row],[L4N]],Transactions[[#This Row],[L3N]],IF(Transactions[[#This Row],[Level 6]]=Transactions[[#This Row],[L5N]],Transactions[[#This Row],[L4N]],IF(Transactions[[#This Row],[Level 6]]=Transactions[[#This Row],[L6N]],Transactions[[#This Row],[L5N]],IF(Transactions[[#This Row],[Level 6]]=Transactions[[#This Row],[L7N]],Transactions[[#This Row],[L6N]],Transactions[[#This Row],[L7N]]))))))))</f>
        <v>Energy plants - Nuclear</v>
      </c>
      <c r="BE436" s="26" t="str">
        <f>_xlfn.XLOOKUP(Transformation[[#This Row],[cfrom]],Commodities[Commodity],Commodities[Commodity code])</f>
        <v>DS</v>
      </c>
      <c r="BF436" s="26" t="str">
        <f>_xlfn.XLOOKUP(Transformation[[#This Row],[tfrom]],Transactions[Transaction name],Transactions[Transaction code])</f>
        <v>12</v>
      </c>
      <c r="BG436" s="26" t="str">
        <f>_xlfn.XLOOKUP(Transformation[[#This Row],[cto]],Commodities[Commodity],Commodities[Commodity code])</f>
        <v>8000</v>
      </c>
      <c r="BH436" s="26" t="str">
        <f>_xlfn.XLOOKUP(Transformation[[#This Row],[tto]],Transactions[Transaction name],Transactions[Transaction code])</f>
        <v>01</v>
      </c>
      <c r="BI436" s="10">
        <v>1</v>
      </c>
      <c r="BJ436" s="4" t="s">
        <v>248</v>
      </c>
      <c r="BK436" s="24" t="str">
        <f>_xlfn.XLOOKUP(Transformation[[#This Row],[Commodity from]],Commodities[Commodity code],Commodities[EnergyCode])</f>
        <v>DS</v>
      </c>
      <c r="BL436" s="4" t="s">
        <v>702</v>
      </c>
      <c r="BM436" s="22" t="s">
        <v>262</v>
      </c>
      <c r="BN436" s="24" t="str">
        <f>_xlfn.XLOOKUP(Transformation[[#This Row],[Commodity to]],Commodities[Commodity code],Commodities[EnergyCode])</f>
        <v>ST</v>
      </c>
      <c r="BO436" s="4" t="s">
        <v>383</v>
      </c>
      <c r="BP436" s="22" t="s">
        <v>1675</v>
      </c>
      <c r="BQ436" s="33" t="str">
        <f>Transformation[[#This Row],[Commodity from]]&amp;Transformation[[#This Row],[Transaction from]]&amp;Transformation[[#This Row],[Commodity to]]&amp;Transformation[[#This Row],[Transaction to]]</f>
        <v>DS12800001</v>
      </c>
      <c r="BR436" s="26" t="str">
        <f>Transformation[[#This Row],[crfomid]]&amp;Transformation[[#This Row],[Transaction from]]&amp;"("&amp;Transformation[[#This Row],[Multiplier]]&amp;") -&gt; "&amp;Transformation[[#This Row],[ctoid]]&amp;Transformation[[#This Row],[Transaction to]]</f>
        <v>DS12(1) -&gt; ST01</v>
      </c>
    </row>
    <row r="437" spans="25:70" x14ac:dyDescent="0.45">
      <c r="Y437" s="19" t="s">
        <v>1511</v>
      </c>
      <c r="Z437" s="18" t="s">
        <v>1534</v>
      </c>
      <c r="AA437" s="18" t="s">
        <v>1534</v>
      </c>
      <c r="AB437" s="18" t="s">
        <v>171</v>
      </c>
      <c r="AC437" s="26" t="str">
        <f>IFERROR(VLOOKUP(Transactions[[#This Row],[Parent code]],Transactions[[Transaction code]:[Transaction name]],2,0),"")</f>
        <v>Electricity, CHP and heat plants (T)</v>
      </c>
      <c r="AD437" s="18" t="s">
        <v>189</v>
      </c>
      <c r="AE437" s="18" t="s">
        <v>959</v>
      </c>
      <c r="AF437" s="18" t="s">
        <v>642</v>
      </c>
      <c r="AG437" s="18" t="s">
        <v>1</v>
      </c>
      <c r="AH437" s="18" t="s">
        <v>696</v>
      </c>
      <c r="AI437" s="18" t="s">
        <v>1416</v>
      </c>
      <c r="AJ437" s="18" t="s">
        <v>0</v>
      </c>
      <c r="AK437" s="26" t="str" cm="1">
        <f t="array" ref="AK437">IFERROR(INDEX(Transactions[[Transaction code]:[Transaction name]],_xlfn.XMATCH(Transactions[[#This Row],[Parent code]],Transactions[Transaction name],0),3),Transactions[[#This Row],[Transaction name]])</f>
        <v>Energy plants - other oil products</v>
      </c>
      <c r="AL437" s="26" t="str" cm="1">
        <f t="array" ref="AL437">IFERROR(INDEX(Transactions[[Transaction code]:[Transaction name]],_xlfn.XMATCH(INDEX(Transactions[[Transaction name]:[Parent code]],_xlfn.XMATCH(Transactions[[#This Row],[L1N]],Transactions[Transaction name],0),3),Transactions[Transaction code],0),2),Transactions[[#This Row],[L1N]])</f>
        <v>Electricity, CHP and heat plants (T)</v>
      </c>
      <c r="AM437" s="26" t="str" cm="1">
        <f t="array" ref="AM437">IFERROR(INDEX(Transactions[[Transaction code]:[Transaction name]],_xlfn.XMATCH(INDEX(Transactions[[Transaction name]:[Parent code]],_xlfn.XMATCH(Transactions[[#This Row],[L2N]],Transactions[Transaction name],0),3),Transactions[Transaction code],0),2),Transactions[[#This Row],[L2N]])</f>
        <v>Transformation</v>
      </c>
      <c r="AN437" s="26" t="str" cm="1">
        <f t="array" ref="AN437">IFERROR(INDEX(Transactions[[Transaction code]:[Transaction name]],_xlfn.XMATCH(INDEX(Transactions[[Transaction name]:[Parent code]],_xlfn.XMATCH(Transactions[[#This Row],[L3N]],Transactions[Transaction name],0),3),Transactions[Transaction code],0),2),Transactions[[#This Row],[L3N]])</f>
        <v>Transformation</v>
      </c>
      <c r="AO437" s="26" t="str" cm="1">
        <f t="array" ref="AO437">IFERROR(INDEX(Transactions[[Transaction code]:[Transaction name]],_xlfn.XMATCH(INDEX(Transactions[[Transaction name]:[Parent code]],_xlfn.XMATCH(Transactions[[#This Row],[L4N]],Transactions[Transaction name],0),3),Transactions[Transaction code],0),2),Transactions[[#This Row],[L4N]])</f>
        <v>Transformation</v>
      </c>
      <c r="AP437" s="26" t="str" cm="1">
        <f t="array" ref="AP437">IFERROR(INDEX(Transactions[[Transaction code]:[Transaction name]],_xlfn.XMATCH(INDEX(Transactions[[Transaction name]:[Parent code]],_xlfn.XMATCH(Transactions[[#This Row],[L5N]],Transactions[Transaction name],0),3),Transactions[Transaction code],0),2),Transactions[[#This Row],[L5N]])</f>
        <v>Transformation</v>
      </c>
      <c r="AQ437" s="26" t="str" cm="1">
        <f t="array" ref="AQ437">IFERROR(INDEX(Transactions[[Transaction code]:[Transaction name]],_xlfn.XMATCH(INDEX(Transactions[[Transaction name]:[Parent code]],_xlfn.XMATCH(Transactions[[#This Row],[L6N]],Transactions[Transaction name],0),3),Transactions[Transaction code],0),2),Transactions[[#This Row],[L6N]])</f>
        <v>Transformation</v>
      </c>
      <c r="AR437" s="30" t="str">
        <f>IF(Transactions[[#This Row],[L7N]]=Transactions[[#This Row],[L6N]],Transactions[[#This Row],[L7N]],IF(Transactions[[#This Row],[L6N]]=Transactions[[#This Row],[L5N]],Transactions[[#This Row],[L6N]],IF(Transactions[[#This Row],[L5N]]=Transactions[[#This Row],[L4N]],Transactions[[#This Row],[L5N]],IF(Transactions[[#This Row],[L4N]]=Transactions[[#This Row],[L3N]],Transactions[[#This Row],[L4N]],IF(Transactions[[#This Row],[L3N]]=Transactions[[#This Row],[L2N]],Transactions[[#This Row],[L3N]],IF(Transactions[[#This Row],[L2N]]=Transactions[[#This Row],[L1N]],Transactions[[#This Row],[L2N]],IF(Transactions[[#This Row],[L1N]]=Transactions[[#This Row],[Transaction name]],Transactions[[#This Row],[L1N]],Transactions[[#This Row],[Transaction name]])))))))</f>
        <v>Transformation</v>
      </c>
      <c r="AS437" s="26" t="str">
        <f>IF(Transactions[[#This Row],[Level 0]]=Transactions[[#This Row],[Transaction name]],Transactions[[#This Row],[Transaction name]],IF(Transactions[[#This Row],[Level 0]]=Transactions[[#This Row],[L1N]],Transactions[[#This Row],[Transaction name]],IF(Transactions[[#This Row],[Level 0]]=Transactions[[#This Row],[L2N]],Transactions[[#This Row],[L1N]],IF(Transactions[[#This Row],[Level 0]]=Transactions[[#This Row],[L3N]],Transactions[[#This Row],[L2N]],IF(Transactions[[#This Row],[Level 0]]=Transactions[[#This Row],[L4N]],Transactions[[#This Row],[L3N]],IF(Transactions[[#This Row],[Level 0]]=Transactions[[#This Row],[L5N]],Transactions[[#This Row],[L4N]],IF(Transactions[[#This Row],[Level 0]]=Transactions[[#This Row],[L6N]],Transactions[[#This Row],[L5N]],IF(Transactions[[#This Row],[Level 0]]=Transactions[[#This Row],[L7N]],Transactions[[#This Row],[L6N]],Transactions[[#This Row],[L7N]]))))))))</f>
        <v>Electricity, CHP and heat plants (T)</v>
      </c>
      <c r="AT437" s="26" t="str">
        <f>IF(Transactions[[#This Row],[Level 1]]=Transactions[[#This Row],[Transaction name]],Transactions[[#This Row],[Transaction name]],IF(Transactions[[#This Row],[Level 1]]=Transactions[[#This Row],[L1N]],Transactions[[#This Row],[Transaction name]],IF(Transactions[[#This Row],[Level 1]]=Transactions[[#This Row],[L2N]],Transactions[[#This Row],[L1N]],IF(Transactions[[#This Row],[Level 1]]=Transactions[[#This Row],[L3N]],Transactions[[#This Row],[L2N]],IF(Transactions[[#This Row],[Level 1]]=Transactions[[#This Row],[L4N]],Transactions[[#This Row],[L3N]],IF(Transactions[[#This Row],[Level 1]]=Transactions[[#This Row],[L5N]],Transactions[[#This Row],[L4N]],IF(Transactions[[#This Row],[Level 1]]=Transactions[[#This Row],[L6N]],Transactions[[#This Row],[L5N]],IF(Transactions[[#This Row],[Level 1]]=Transactions[[#This Row],[L7N]],Transactions[[#This Row],[L6N]],Transactions[[#This Row],[L7N]]))))))))</f>
        <v>Energy plants - other oil products</v>
      </c>
      <c r="AU437" s="26" t="str">
        <f>IF(Transactions[[#This Row],[Level 2]]=Transactions[[#This Row],[Transaction name]],Transactions[[#This Row],[Transaction name]],IF(Transactions[[#This Row],[Level 2]]=Transactions[[#This Row],[L1N]],Transactions[[#This Row],[Transaction name]],IF(Transactions[[#This Row],[Level 2]]=Transactions[[#This Row],[L2N]],Transactions[[#This Row],[L1N]],IF(Transactions[[#This Row],[Level 2]]=Transactions[[#This Row],[L3N]],Transactions[[#This Row],[L2N]],IF(Transactions[[#This Row],[Level 2]]=Transactions[[#This Row],[L4N]],Transactions[[#This Row],[L3N]],IF(Transactions[[#This Row],[Level 2]]=Transactions[[#This Row],[L5N]],Transactions[[#This Row],[L4N]],IF(Transactions[[#This Row],[Level 2]]=Transactions[[#This Row],[L6N]],Transactions[[#This Row],[L5N]],IF(Transactions[[#This Row],[Level 2]]=Transactions[[#This Row],[L7N]],Transactions[[#This Row],[L6N]],Transactions[[#This Row],[L7N]]))))))))</f>
        <v>Energy plants - other oil products</v>
      </c>
      <c r="AV437" s="26" t="str">
        <f>IF(Transactions[[#This Row],[Level 3]]=Transactions[[#This Row],[Transaction name]],Transactions[[#This Row],[Transaction name]],IF(Transactions[[#This Row],[Level 3]]=Transactions[[#This Row],[L1N]],Transactions[[#This Row],[Transaction name]],IF(Transactions[[#This Row],[Level 3]]=Transactions[[#This Row],[L2N]],Transactions[[#This Row],[L1N]],IF(Transactions[[#This Row],[Level 3]]=Transactions[[#This Row],[L3N]],Transactions[[#This Row],[L2N]],IF(Transactions[[#This Row],[Level 3]]=Transactions[[#This Row],[L4N]],Transactions[[#This Row],[L3N]],IF(Transactions[[#This Row],[Level 3]]=Transactions[[#This Row],[L5N]],Transactions[[#This Row],[L4N]],IF(Transactions[[#This Row],[Level 3]]=Transactions[[#This Row],[L6N]],Transactions[[#This Row],[L5N]],IF(Transactions[[#This Row],[Level 3]]=Transactions[[#This Row],[L7N]],Transactions[[#This Row],[L6N]],Transactions[[#This Row],[L7N]]))))))))</f>
        <v>Energy plants - other oil products</v>
      </c>
      <c r="AW437" s="26" t="str">
        <f>IF(Transactions[[#This Row],[Level 4]]=Transactions[[#This Row],[Transaction name]],Transactions[[#This Row],[Transaction name]],IF(Transactions[[#This Row],[Level 4]]=Transactions[[#This Row],[L1N]],Transactions[[#This Row],[Transaction name]],IF(Transactions[[#This Row],[Level 4]]=Transactions[[#This Row],[L2N]],Transactions[[#This Row],[L1N]],IF(Transactions[[#This Row],[Level 4]]=Transactions[[#This Row],[L3N]],Transactions[[#This Row],[L2N]],IF(Transactions[[#This Row],[Level 4]]=Transactions[[#This Row],[L4N]],Transactions[[#This Row],[L3N]],IF(Transactions[[#This Row],[Level 4]]=Transactions[[#This Row],[L5N]],Transactions[[#This Row],[L4N]],IF(Transactions[[#This Row],[Level 4]]=Transactions[[#This Row],[L6N]],Transactions[[#This Row],[L5N]],IF(Transactions[[#This Row],[Level 4]]=Transactions[[#This Row],[L7N]],Transactions[[#This Row],[L6N]],Transactions[[#This Row],[L7N]]))))))))</f>
        <v>Energy plants - other oil products</v>
      </c>
      <c r="AX437" s="26" t="str">
        <f>IF(Transactions[[#This Row],[Level 5]]=Transactions[[#This Row],[Transaction name]],Transactions[[#This Row],[Transaction name]],IF(Transactions[[#This Row],[Level 5]]=Transactions[[#This Row],[L1N]],Transactions[[#This Row],[Transaction name]],IF(Transactions[[#This Row],[Level 5]]=Transactions[[#This Row],[L2N]],Transactions[[#This Row],[L1N]],IF(Transactions[[#This Row],[Level 5]]=Transactions[[#This Row],[L3N]],Transactions[[#This Row],[L2N]],IF(Transactions[[#This Row],[Level 5]]=Transactions[[#This Row],[L4N]],Transactions[[#This Row],[L3N]],IF(Transactions[[#This Row],[Level 5]]=Transactions[[#This Row],[L5N]],Transactions[[#This Row],[L4N]],IF(Transactions[[#This Row],[Level 5]]=Transactions[[#This Row],[L6N]],Transactions[[#This Row],[L5N]],IF(Transactions[[#This Row],[Level 5]]=Transactions[[#This Row],[L7N]],Transactions[[#This Row],[L6N]],Transactions[[#This Row],[L7N]]))))))))</f>
        <v>Energy plants - other oil products</v>
      </c>
      <c r="AY437" s="26" t="str">
        <f>IF(Transactions[[#This Row],[Level 6]]=Transactions[[#This Row],[Transaction name]],Transactions[[#This Row],[Transaction name]],IF(Transactions[[#This Row],[Level 6]]=Transactions[[#This Row],[L1N]],Transactions[[#This Row],[Transaction name]],IF(Transactions[[#This Row],[Level 6]]=Transactions[[#This Row],[L2N]],Transactions[[#This Row],[L1N]],IF(Transactions[[#This Row],[Level 6]]=Transactions[[#This Row],[L3N]],Transactions[[#This Row],[L2N]],IF(Transactions[[#This Row],[Level 6]]=Transactions[[#This Row],[L4N]],Transactions[[#This Row],[L3N]],IF(Transactions[[#This Row],[Level 6]]=Transactions[[#This Row],[L5N]],Transactions[[#This Row],[L4N]],IF(Transactions[[#This Row],[Level 6]]=Transactions[[#This Row],[L6N]],Transactions[[#This Row],[L5N]],IF(Transactions[[#This Row],[Level 6]]=Transactions[[#This Row],[L7N]],Transactions[[#This Row],[L6N]],Transactions[[#This Row],[L7N]]))))))))</f>
        <v>Energy plants - other oil products</v>
      </c>
      <c r="BE437" s="26" t="str">
        <f>_xlfn.XLOOKUP(Transformation[[#This Row],[cfrom]],Commodities[Commodity],Commodities[Commodity code])</f>
        <v>7000</v>
      </c>
      <c r="BF437" s="26" t="str">
        <f>_xlfn.XLOOKUP(Transformation[[#This Row],[tfrom]],Transactions[Transaction name],Transactions[Transaction code])</f>
        <v>0889E</v>
      </c>
      <c r="BG437" s="26" t="str">
        <f>_xlfn.XLOOKUP(Transformation[[#This Row],[cto]],Commodities[Commodity],Commodities[Commodity code])</f>
        <v>7000</v>
      </c>
      <c r="BH437" s="26" t="str">
        <f>_xlfn.XLOOKUP(Transformation[[#This Row],[tto]],Transactions[Transaction name],Transactions[Transaction code])</f>
        <v>015EB</v>
      </c>
      <c r="BI437" s="31">
        <v>1</v>
      </c>
      <c r="BJ437" s="22" t="s">
        <v>544</v>
      </c>
      <c r="BK437" s="26" t="str">
        <f>_xlfn.XLOOKUP(Transformation[[#This Row],[Commodity from]],Commodities[Commodity code],Commodities[EnergyCode])</f>
        <v>EL</v>
      </c>
      <c r="BL437" s="22" t="s">
        <v>169</v>
      </c>
      <c r="BM437" s="22" t="s">
        <v>544</v>
      </c>
      <c r="BN437" s="26" t="str">
        <f>_xlfn.XLOOKUP(Transformation[[#This Row],[Commodity to]],Commodities[Commodity code],Commodities[EnergyCode])</f>
        <v>EL</v>
      </c>
      <c r="BO437" s="22" t="s">
        <v>1411</v>
      </c>
      <c r="BP437" s="22" t="s">
        <v>1682</v>
      </c>
      <c r="BQ437" s="33" t="str">
        <f>Transformation[[#This Row],[Commodity from]]&amp;Transformation[[#This Row],[Transaction from]]&amp;Transformation[[#This Row],[Commodity to]]&amp;Transformation[[#This Row],[Transaction to]]</f>
        <v>70000889E7000015EB</v>
      </c>
      <c r="BR437" s="26" t="str">
        <f>Transformation[[#This Row],[crfomid]]&amp;Transformation[[#This Row],[Transaction from]]&amp;"("&amp;Transformation[[#This Row],[Multiplier]]&amp;") -&gt; "&amp;Transformation[[#This Row],[ctoid]]&amp;Transformation[[#This Row],[Transaction to]]</f>
        <v>EL0889E(1) -&gt; EL015EB</v>
      </c>
    </row>
    <row r="438" spans="25:70" x14ac:dyDescent="0.45">
      <c r="Y438" s="19" t="s">
        <v>1512</v>
      </c>
      <c r="Z438" s="18" t="s">
        <v>1535</v>
      </c>
      <c r="AA438" s="18" t="s">
        <v>1535</v>
      </c>
      <c r="AB438" s="18" t="s">
        <v>171</v>
      </c>
      <c r="AC438" s="26" t="str">
        <f>IFERROR(VLOOKUP(Transactions[[#This Row],[Parent code]],Transactions[[Transaction code]:[Transaction name]],2,0),"")</f>
        <v>Electricity, CHP and heat plants (T)</v>
      </c>
      <c r="AD438" s="18" t="s">
        <v>189</v>
      </c>
      <c r="AE438" s="18" t="s">
        <v>959</v>
      </c>
      <c r="AF438" s="18" t="s">
        <v>642</v>
      </c>
      <c r="AG438" s="18" t="s">
        <v>1</v>
      </c>
      <c r="AH438" s="18" t="s">
        <v>696</v>
      </c>
      <c r="AI438" s="18" t="s">
        <v>1416</v>
      </c>
      <c r="AJ438" s="18" t="s">
        <v>0</v>
      </c>
      <c r="AK438" s="26" t="str" cm="1">
        <f t="array" ref="AK438">IFERROR(INDEX(Transactions[[Transaction code]:[Transaction name]],_xlfn.XMATCH(Transactions[[#This Row],[Parent code]],Transactions[Transaction name],0),3),Transactions[[#This Row],[Transaction name]])</f>
        <v>Energy plants - other solid biofuels</v>
      </c>
      <c r="AL438" s="26" t="str" cm="1">
        <f t="array" ref="AL438">IFERROR(INDEX(Transactions[[Transaction code]:[Transaction name]],_xlfn.XMATCH(INDEX(Transactions[[Transaction name]:[Parent code]],_xlfn.XMATCH(Transactions[[#This Row],[L1N]],Transactions[Transaction name],0),3),Transactions[Transaction code],0),2),Transactions[[#This Row],[L1N]])</f>
        <v>Electricity, CHP and heat plants (T)</v>
      </c>
      <c r="AM438" s="26" t="str" cm="1">
        <f t="array" ref="AM438">IFERROR(INDEX(Transactions[[Transaction code]:[Transaction name]],_xlfn.XMATCH(INDEX(Transactions[[Transaction name]:[Parent code]],_xlfn.XMATCH(Transactions[[#This Row],[L2N]],Transactions[Transaction name],0),3),Transactions[Transaction code],0),2),Transactions[[#This Row],[L2N]])</f>
        <v>Transformation</v>
      </c>
      <c r="AN438" s="26" t="str" cm="1">
        <f t="array" ref="AN438">IFERROR(INDEX(Transactions[[Transaction code]:[Transaction name]],_xlfn.XMATCH(INDEX(Transactions[[Transaction name]:[Parent code]],_xlfn.XMATCH(Transactions[[#This Row],[L3N]],Transactions[Transaction name],0),3),Transactions[Transaction code],0),2),Transactions[[#This Row],[L3N]])</f>
        <v>Transformation</v>
      </c>
      <c r="AO438" s="26" t="str" cm="1">
        <f t="array" ref="AO438">IFERROR(INDEX(Transactions[[Transaction code]:[Transaction name]],_xlfn.XMATCH(INDEX(Transactions[[Transaction name]:[Parent code]],_xlfn.XMATCH(Transactions[[#This Row],[L4N]],Transactions[Transaction name],0),3),Transactions[Transaction code],0),2),Transactions[[#This Row],[L4N]])</f>
        <v>Transformation</v>
      </c>
      <c r="AP438" s="26" t="str" cm="1">
        <f t="array" ref="AP438">IFERROR(INDEX(Transactions[[Transaction code]:[Transaction name]],_xlfn.XMATCH(INDEX(Transactions[[Transaction name]:[Parent code]],_xlfn.XMATCH(Transactions[[#This Row],[L5N]],Transactions[Transaction name],0),3),Transactions[Transaction code],0),2),Transactions[[#This Row],[L5N]])</f>
        <v>Transformation</v>
      </c>
      <c r="AQ438" s="26" t="str" cm="1">
        <f t="array" ref="AQ438">IFERROR(INDEX(Transactions[[Transaction code]:[Transaction name]],_xlfn.XMATCH(INDEX(Transactions[[Transaction name]:[Parent code]],_xlfn.XMATCH(Transactions[[#This Row],[L6N]],Transactions[Transaction name],0),3),Transactions[Transaction code],0),2),Transactions[[#This Row],[L6N]])</f>
        <v>Transformation</v>
      </c>
      <c r="AR438" s="30" t="str">
        <f>IF(Transactions[[#This Row],[L7N]]=Transactions[[#This Row],[L6N]],Transactions[[#This Row],[L7N]],IF(Transactions[[#This Row],[L6N]]=Transactions[[#This Row],[L5N]],Transactions[[#This Row],[L6N]],IF(Transactions[[#This Row],[L5N]]=Transactions[[#This Row],[L4N]],Transactions[[#This Row],[L5N]],IF(Transactions[[#This Row],[L4N]]=Transactions[[#This Row],[L3N]],Transactions[[#This Row],[L4N]],IF(Transactions[[#This Row],[L3N]]=Transactions[[#This Row],[L2N]],Transactions[[#This Row],[L3N]],IF(Transactions[[#This Row],[L2N]]=Transactions[[#This Row],[L1N]],Transactions[[#This Row],[L2N]],IF(Transactions[[#This Row],[L1N]]=Transactions[[#This Row],[Transaction name]],Transactions[[#This Row],[L1N]],Transactions[[#This Row],[Transaction name]])))))))</f>
        <v>Transformation</v>
      </c>
      <c r="AS438" s="26" t="str">
        <f>IF(Transactions[[#This Row],[Level 0]]=Transactions[[#This Row],[Transaction name]],Transactions[[#This Row],[Transaction name]],IF(Transactions[[#This Row],[Level 0]]=Transactions[[#This Row],[L1N]],Transactions[[#This Row],[Transaction name]],IF(Transactions[[#This Row],[Level 0]]=Transactions[[#This Row],[L2N]],Transactions[[#This Row],[L1N]],IF(Transactions[[#This Row],[Level 0]]=Transactions[[#This Row],[L3N]],Transactions[[#This Row],[L2N]],IF(Transactions[[#This Row],[Level 0]]=Transactions[[#This Row],[L4N]],Transactions[[#This Row],[L3N]],IF(Transactions[[#This Row],[Level 0]]=Transactions[[#This Row],[L5N]],Transactions[[#This Row],[L4N]],IF(Transactions[[#This Row],[Level 0]]=Transactions[[#This Row],[L6N]],Transactions[[#This Row],[L5N]],IF(Transactions[[#This Row],[Level 0]]=Transactions[[#This Row],[L7N]],Transactions[[#This Row],[L6N]],Transactions[[#This Row],[L7N]]))))))))</f>
        <v>Electricity, CHP and heat plants (T)</v>
      </c>
      <c r="AT438" s="26" t="str">
        <f>IF(Transactions[[#This Row],[Level 1]]=Transactions[[#This Row],[Transaction name]],Transactions[[#This Row],[Transaction name]],IF(Transactions[[#This Row],[Level 1]]=Transactions[[#This Row],[L1N]],Transactions[[#This Row],[Transaction name]],IF(Transactions[[#This Row],[Level 1]]=Transactions[[#This Row],[L2N]],Transactions[[#This Row],[L1N]],IF(Transactions[[#This Row],[Level 1]]=Transactions[[#This Row],[L3N]],Transactions[[#This Row],[L2N]],IF(Transactions[[#This Row],[Level 1]]=Transactions[[#This Row],[L4N]],Transactions[[#This Row],[L3N]],IF(Transactions[[#This Row],[Level 1]]=Transactions[[#This Row],[L5N]],Transactions[[#This Row],[L4N]],IF(Transactions[[#This Row],[Level 1]]=Transactions[[#This Row],[L6N]],Transactions[[#This Row],[L5N]],IF(Transactions[[#This Row],[Level 1]]=Transactions[[#This Row],[L7N]],Transactions[[#This Row],[L6N]],Transactions[[#This Row],[L7N]]))))))))</f>
        <v>Energy plants - other solid biofuels</v>
      </c>
      <c r="AU438" s="26" t="str">
        <f>IF(Transactions[[#This Row],[Level 2]]=Transactions[[#This Row],[Transaction name]],Transactions[[#This Row],[Transaction name]],IF(Transactions[[#This Row],[Level 2]]=Transactions[[#This Row],[L1N]],Transactions[[#This Row],[Transaction name]],IF(Transactions[[#This Row],[Level 2]]=Transactions[[#This Row],[L2N]],Transactions[[#This Row],[L1N]],IF(Transactions[[#This Row],[Level 2]]=Transactions[[#This Row],[L3N]],Transactions[[#This Row],[L2N]],IF(Transactions[[#This Row],[Level 2]]=Transactions[[#This Row],[L4N]],Transactions[[#This Row],[L3N]],IF(Transactions[[#This Row],[Level 2]]=Transactions[[#This Row],[L5N]],Transactions[[#This Row],[L4N]],IF(Transactions[[#This Row],[Level 2]]=Transactions[[#This Row],[L6N]],Transactions[[#This Row],[L5N]],IF(Transactions[[#This Row],[Level 2]]=Transactions[[#This Row],[L7N]],Transactions[[#This Row],[L6N]],Transactions[[#This Row],[L7N]]))))))))</f>
        <v>Energy plants - other solid biofuels</v>
      </c>
      <c r="AV438" s="26" t="str">
        <f>IF(Transactions[[#This Row],[Level 3]]=Transactions[[#This Row],[Transaction name]],Transactions[[#This Row],[Transaction name]],IF(Transactions[[#This Row],[Level 3]]=Transactions[[#This Row],[L1N]],Transactions[[#This Row],[Transaction name]],IF(Transactions[[#This Row],[Level 3]]=Transactions[[#This Row],[L2N]],Transactions[[#This Row],[L1N]],IF(Transactions[[#This Row],[Level 3]]=Transactions[[#This Row],[L3N]],Transactions[[#This Row],[L2N]],IF(Transactions[[#This Row],[Level 3]]=Transactions[[#This Row],[L4N]],Transactions[[#This Row],[L3N]],IF(Transactions[[#This Row],[Level 3]]=Transactions[[#This Row],[L5N]],Transactions[[#This Row],[L4N]],IF(Transactions[[#This Row],[Level 3]]=Transactions[[#This Row],[L6N]],Transactions[[#This Row],[L5N]],IF(Transactions[[#This Row],[Level 3]]=Transactions[[#This Row],[L7N]],Transactions[[#This Row],[L6N]],Transactions[[#This Row],[L7N]]))))))))</f>
        <v>Energy plants - other solid biofuels</v>
      </c>
      <c r="AW438" s="26" t="str">
        <f>IF(Transactions[[#This Row],[Level 4]]=Transactions[[#This Row],[Transaction name]],Transactions[[#This Row],[Transaction name]],IF(Transactions[[#This Row],[Level 4]]=Transactions[[#This Row],[L1N]],Transactions[[#This Row],[Transaction name]],IF(Transactions[[#This Row],[Level 4]]=Transactions[[#This Row],[L2N]],Transactions[[#This Row],[L1N]],IF(Transactions[[#This Row],[Level 4]]=Transactions[[#This Row],[L3N]],Transactions[[#This Row],[L2N]],IF(Transactions[[#This Row],[Level 4]]=Transactions[[#This Row],[L4N]],Transactions[[#This Row],[L3N]],IF(Transactions[[#This Row],[Level 4]]=Transactions[[#This Row],[L5N]],Transactions[[#This Row],[L4N]],IF(Transactions[[#This Row],[Level 4]]=Transactions[[#This Row],[L6N]],Transactions[[#This Row],[L5N]],IF(Transactions[[#This Row],[Level 4]]=Transactions[[#This Row],[L7N]],Transactions[[#This Row],[L6N]],Transactions[[#This Row],[L7N]]))))))))</f>
        <v>Energy plants - other solid biofuels</v>
      </c>
      <c r="AX438" s="26" t="str">
        <f>IF(Transactions[[#This Row],[Level 5]]=Transactions[[#This Row],[Transaction name]],Transactions[[#This Row],[Transaction name]],IF(Transactions[[#This Row],[Level 5]]=Transactions[[#This Row],[L1N]],Transactions[[#This Row],[Transaction name]],IF(Transactions[[#This Row],[Level 5]]=Transactions[[#This Row],[L2N]],Transactions[[#This Row],[L1N]],IF(Transactions[[#This Row],[Level 5]]=Transactions[[#This Row],[L3N]],Transactions[[#This Row],[L2N]],IF(Transactions[[#This Row],[Level 5]]=Transactions[[#This Row],[L4N]],Transactions[[#This Row],[L3N]],IF(Transactions[[#This Row],[Level 5]]=Transactions[[#This Row],[L5N]],Transactions[[#This Row],[L4N]],IF(Transactions[[#This Row],[Level 5]]=Transactions[[#This Row],[L6N]],Transactions[[#This Row],[L5N]],IF(Transactions[[#This Row],[Level 5]]=Transactions[[#This Row],[L7N]],Transactions[[#This Row],[L6N]],Transactions[[#This Row],[L7N]]))))))))</f>
        <v>Energy plants - other solid biofuels</v>
      </c>
      <c r="AY438" s="26" t="str">
        <f>IF(Transactions[[#This Row],[Level 6]]=Transactions[[#This Row],[Transaction name]],Transactions[[#This Row],[Transaction name]],IF(Transactions[[#This Row],[Level 6]]=Transactions[[#This Row],[L1N]],Transactions[[#This Row],[Transaction name]],IF(Transactions[[#This Row],[Level 6]]=Transactions[[#This Row],[L2N]],Transactions[[#This Row],[L1N]],IF(Transactions[[#This Row],[Level 6]]=Transactions[[#This Row],[L3N]],Transactions[[#This Row],[L2N]],IF(Transactions[[#This Row],[Level 6]]=Transactions[[#This Row],[L4N]],Transactions[[#This Row],[L3N]],IF(Transactions[[#This Row],[Level 6]]=Transactions[[#This Row],[L5N]],Transactions[[#This Row],[L4N]],IF(Transactions[[#This Row],[Level 6]]=Transactions[[#This Row],[L6N]],Transactions[[#This Row],[L5N]],IF(Transactions[[#This Row],[Level 6]]=Transactions[[#This Row],[L7N]],Transactions[[#This Row],[L6N]],Transactions[[#This Row],[L7N]]))))))))</f>
        <v>Energy plants - other solid biofuels</v>
      </c>
      <c r="BE438" s="26" t="str">
        <f>_xlfn.XLOOKUP(Transformation[[#This Row],[cfrom]],Commodities[Commodity],Commodities[Commodity code])</f>
        <v>7000</v>
      </c>
      <c r="BF438" s="26" t="str">
        <f>_xlfn.XLOOKUP(Transformation[[#This Row],[tfrom]],Transactions[Transaction name],Transactions[Transaction code])</f>
        <v>0889E</v>
      </c>
      <c r="BG438" s="26" t="str">
        <f>_xlfn.XLOOKUP(Transformation[[#This Row],[cto]],Commodities[Commodity],Commodities[Commodity code])</f>
        <v>7000</v>
      </c>
      <c r="BH438" s="26" t="str">
        <f>_xlfn.XLOOKUP(Transformation[[#This Row],[tto]],Transactions[Transaction name],Transactions[Transaction code])</f>
        <v>0889E</v>
      </c>
      <c r="BI438" s="31">
        <v>-1</v>
      </c>
      <c r="BJ438" s="22" t="s">
        <v>544</v>
      </c>
      <c r="BK438" s="26" t="str">
        <f>_xlfn.XLOOKUP(Transformation[[#This Row],[Commodity from]],Commodities[Commodity code],Commodities[EnergyCode])</f>
        <v>EL</v>
      </c>
      <c r="BL438" s="22" t="s">
        <v>169</v>
      </c>
      <c r="BM438" s="22" t="s">
        <v>544</v>
      </c>
      <c r="BN438" s="26" t="str">
        <f>_xlfn.XLOOKUP(Transformation[[#This Row],[Commodity to]],Commodities[Commodity code],Commodities[EnergyCode])</f>
        <v>EL</v>
      </c>
      <c r="BO438" s="22" t="s">
        <v>169</v>
      </c>
      <c r="BP438" s="22" t="s">
        <v>1685</v>
      </c>
      <c r="BQ438" s="33" t="str">
        <f>Transformation[[#This Row],[Commodity from]]&amp;Transformation[[#This Row],[Transaction from]]&amp;Transformation[[#This Row],[Commodity to]]&amp;Transformation[[#This Row],[Transaction to]]</f>
        <v>70000889E70000889E</v>
      </c>
      <c r="BR438" s="26" t="str">
        <f>Transformation[[#This Row],[crfomid]]&amp;Transformation[[#This Row],[Transaction from]]&amp;"("&amp;Transformation[[#This Row],[Multiplier]]&amp;") -&gt; "&amp;Transformation[[#This Row],[ctoid]]&amp;Transformation[[#This Row],[Transaction to]]</f>
        <v>EL0889E(-1) -&gt; EL0889E</v>
      </c>
    </row>
    <row r="439" spans="25:70" x14ac:dyDescent="0.45">
      <c r="Y439" s="19" t="s">
        <v>1467</v>
      </c>
      <c r="Z439" s="18" t="s">
        <v>1536</v>
      </c>
      <c r="AA439" s="18" t="s">
        <v>1536</v>
      </c>
      <c r="AB439" s="21" t="s">
        <v>171</v>
      </c>
      <c r="AC439" s="26" t="str">
        <f>IFERROR(VLOOKUP(Transactions[[#This Row],[Parent code]],Transactions[[Transaction code]:[Transaction name]],2,0),"")</f>
        <v>Electricity, CHP and heat plants (T)</v>
      </c>
      <c r="AD439" s="18" t="s">
        <v>189</v>
      </c>
      <c r="AE439" s="18" t="s">
        <v>959</v>
      </c>
      <c r="AF439" s="18" t="s">
        <v>642</v>
      </c>
      <c r="AG439" s="18" t="s">
        <v>1</v>
      </c>
      <c r="AH439" s="18" t="s">
        <v>696</v>
      </c>
      <c r="AI439" s="18"/>
      <c r="AJ439" s="18" t="s">
        <v>0</v>
      </c>
      <c r="AK439" s="26" t="str" cm="1">
        <f t="array" ref="AK439">IFERROR(INDEX(Transactions[[Transaction code]:[Transaction name]],_xlfn.XMATCH(Transactions[[#This Row],[Parent code]],Transactions[Transaction name],0),3),Transactions[[#This Row],[Transaction name]])</f>
        <v>Energy plants - other sources</v>
      </c>
      <c r="AL439" s="26" t="str" cm="1">
        <f t="array" ref="AL439">IFERROR(INDEX(Transactions[[Transaction code]:[Transaction name]],_xlfn.XMATCH(INDEX(Transactions[[Transaction name]:[Parent code]],_xlfn.XMATCH(Transactions[[#This Row],[L1N]],Transactions[Transaction name],0),3),Transactions[Transaction code],0),2),Transactions[[#This Row],[L1N]])</f>
        <v>Electricity, CHP and heat plants (T)</v>
      </c>
      <c r="AM439" s="26" t="str" cm="1">
        <f t="array" ref="AM439">IFERROR(INDEX(Transactions[[Transaction code]:[Transaction name]],_xlfn.XMATCH(INDEX(Transactions[[Transaction name]:[Parent code]],_xlfn.XMATCH(Transactions[[#This Row],[L2N]],Transactions[Transaction name],0),3),Transactions[Transaction code],0),2),Transactions[[#This Row],[L2N]])</f>
        <v>Transformation</v>
      </c>
      <c r="AN439" s="26" t="str" cm="1">
        <f t="array" ref="AN439">IFERROR(INDEX(Transactions[[Transaction code]:[Transaction name]],_xlfn.XMATCH(INDEX(Transactions[[Transaction name]:[Parent code]],_xlfn.XMATCH(Transactions[[#This Row],[L3N]],Transactions[Transaction name],0),3),Transactions[Transaction code],0),2),Transactions[[#This Row],[L3N]])</f>
        <v>Transformation</v>
      </c>
      <c r="AO439" s="26" t="str" cm="1">
        <f t="array" ref="AO439">IFERROR(INDEX(Transactions[[Transaction code]:[Transaction name]],_xlfn.XMATCH(INDEX(Transactions[[Transaction name]:[Parent code]],_xlfn.XMATCH(Transactions[[#This Row],[L4N]],Transactions[Transaction name],0),3),Transactions[Transaction code],0),2),Transactions[[#This Row],[L4N]])</f>
        <v>Transformation</v>
      </c>
      <c r="AP439" s="26" t="str" cm="1">
        <f t="array" ref="AP439">IFERROR(INDEX(Transactions[[Transaction code]:[Transaction name]],_xlfn.XMATCH(INDEX(Transactions[[Transaction name]:[Parent code]],_xlfn.XMATCH(Transactions[[#This Row],[L5N]],Transactions[Transaction name],0),3),Transactions[Transaction code],0),2),Transactions[[#This Row],[L5N]])</f>
        <v>Transformation</v>
      </c>
      <c r="AQ439" s="26" t="str" cm="1">
        <f t="array" ref="AQ439">IFERROR(INDEX(Transactions[[Transaction code]:[Transaction name]],_xlfn.XMATCH(INDEX(Transactions[[Transaction name]:[Parent code]],_xlfn.XMATCH(Transactions[[#This Row],[L6N]],Transactions[Transaction name],0),3),Transactions[Transaction code],0),2),Transactions[[#This Row],[L6N]])</f>
        <v>Transformation</v>
      </c>
      <c r="AR439" s="29" t="str">
        <f>IF(Transactions[[#This Row],[L7N]]=Transactions[[#This Row],[L6N]],Transactions[[#This Row],[L7N]],IF(Transactions[[#This Row],[L6N]]=Transactions[[#This Row],[L5N]],Transactions[[#This Row],[L6N]],IF(Transactions[[#This Row],[L5N]]=Transactions[[#This Row],[L4N]],Transactions[[#This Row],[L5N]],IF(Transactions[[#This Row],[L4N]]=Transactions[[#This Row],[L3N]],Transactions[[#This Row],[L4N]],IF(Transactions[[#This Row],[L3N]]=Transactions[[#This Row],[L2N]],Transactions[[#This Row],[L3N]],IF(Transactions[[#This Row],[L2N]]=Transactions[[#This Row],[L1N]],Transactions[[#This Row],[L2N]],IF(Transactions[[#This Row],[L1N]]=Transactions[[#This Row],[Transaction name]],Transactions[[#This Row],[L1N]],Transactions[[#This Row],[Transaction name]])))))))</f>
        <v>Transformation</v>
      </c>
      <c r="AS439" s="26" t="str">
        <f>IF(Transactions[[#This Row],[Level 0]]=Transactions[[#This Row],[Transaction name]],Transactions[[#This Row],[Transaction name]],IF(Transactions[[#This Row],[Level 0]]=Transactions[[#This Row],[L1N]],Transactions[[#This Row],[Transaction name]],IF(Transactions[[#This Row],[Level 0]]=Transactions[[#This Row],[L2N]],Transactions[[#This Row],[L1N]],IF(Transactions[[#This Row],[Level 0]]=Transactions[[#This Row],[L3N]],Transactions[[#This Row],[L2N]],IF(Transactions[[#This Row],[Level 0]]=Transactions[[#This Row],[L4N]],Transactions[[#This Row],[L3N]],IF(Transactions[[#This Row],[Level 0]]=Transactions[[#This Row],[L5N]],Transactions[[#This Row],[L4N]],IF(Transactions[[#This Row],[Level 0]]=Transactions[[#This Row],[L6N]],Transactions[[#This Row],[L5N]],IF(Transactions[[#This Row],[Level 0]]=Transactions[[#This Row],[L7N]],Transactions[[#This Row],[L6N]],Transactions[[#This Row],[L7N]]))))))))</f>
        <v>Electricity, CHP and heat plants (T)</v>
      </c>
      <c r="AT439" s="26" t="str">
        <f>IF(Transactions[[#This Row],[Level 1]]=Transactions[[#This Row],[Transaction name]],Transactions[[#This Row],[Transaction name]],IF(Transactions[[#This Row],[Level 1]]=Transactions[[#This Row],[L1N]],Transactions[[#This Row],[Transaction name]],IF(Transactions[[#This Row],[Level 1]]=Transactions[[#This Row],[L2N]],Transactions[[#This Row],[L1N]],IF(Transactions[[#This Row],[Level 1]]=Transactions[[#This Row],[L3N]],Transactions[[#This Row],[L2N]],IF(Transactions[[#This Row],[Level 1]]=Transactions[[#This Row],[L4N]],Transactions[[#This Row],[L3N]],IF(Transactions[[#This Row],[Level 1]]=Transactions[[#This Row],[L5N]],Transactions[[#This Row],[L4N]],IF(Transactions[[#This Row],[Level 1]]=Transactions[[#This Row],[L6N]],Transactions[[#This Row],[L5N]],IF(Transactions[[#This Row],[Level 1]]=Transactions[[#This Row],[L7N]],Transactions[[#This Row],[L6N]],Transactions[[#This Row],[L7N]]))))))))</f>
        <v>Energy plants - other sources</v>
      </c>
      <c r="AU439" s="26" t="str">
        <f>IF(Transactions[[#This Row],[Level 2]]=Transactions[[#This Row],[Transaction name]],Transactions[[#This Row],[Transaction name]],IF(Transactions[[#This Row],[Level 2]]=Transactions[[#This Row],[L1N]],Transactions[[#This Row],[Transaction name]],IF(Transactions[[#This Row],[Level 2]]=Transactions[[#This Row],[L2N]],Transactions[[#This Row],[L1N]],IF(Transactions[[#This Row],[Level 2]]=Transactions[[#This Row],[L3N]],Transactions[[#This Row],[L2N]],IF(Transactions[[#This Row],[Level 2]]=Transactions[[#This Row],[L4N]],Transactions[[#This Row],[L3N]],IF(Transactions[[#This Row],[Level 2]]=Transactions[[#This Row],[L5N]],Transactions[[#This Row],[L4N]],IF(Transactions[[#This Row],[Level 2]]=Transactions[[#This Row],[L6N]],Transactions[[#This Row],[L5N]],IF(Transactions[[#This Row],[Level 2]]=Transactions[[#This Row],[L7N]],Transactions[[#This Row],[L6N]],Transactions[[#This Row],[L7N]]))))))))</f>
        <v>Energy plants - other sources</v>
      </c>
      <c r="AV439" s="26" t="str">
        <f>IF(Transactions[[#This Row],[Level 3]]=Transactions[[#This Row],[Transaction name]],Transactions[[#This Row],[Transaction name]],IF(Transactions[[#This Row],[Level 3]]=Transactions[[#This Row],[L1N]],Transactions[[#This Row],[Transaction name]],IF(Transactions[[#This Row],[Level 3]]=Transactions[[#This Row],[L2N]],Transactions[[#This Row],[L1N]],IF(Transactions[[#This Row],[Level 3]]=Transactions[[#This Row],[L3N]],Transactions[[#This Row],[L2N]],IF(Transactions[[#This Row],[Level 3]]=Transactions[[#This Row],[L4N]],Transactions[[#This Row],[L3N]],IF(Transactions[[#This Row],[Level 3]]=Transactions[[#This Row],[L5N]],Transactions[[#This Row],[L4N]],IF(Transactions[[#This Row],[Level 3]]=Transactions[[#This Row],[L6N]],Transactions[[#This Row],[L5N]],IF(Transactions[[#This Row],[Level 3]]=Transactions[[#This Row],[L7N]],Transactions[[#This Row],[L6N]],Transactions[[#This Row],[L7N]]))))))))</f>
        <v>Energy plants - other sources</v>
      </c>
      <c r="AW439" s="26" t="str">
        <f>IF(Transactions[[#This Row],[Level 4]]=Transactions[[#This Row],[Transaction name]],Transactions[[#This Row],[Transaction name]],IF(Transactions[[#This Row],[Level 4]]=Transactions[[#This Row],[L1N]],Transactions[[#This Row],[Transaction name]],IF(Transactions[[#This Row],[Level 4]]=Transactions[[#This Row],[L2N]],Transactions[[#This Row],[L1N]],IF(Transactions[[#This Row],[Level 4]]=Transactions[[#This Row],[L3N]],Transactions[[#This Row],[L2N]],IF(Transactions[[#This Row],[Level 4]]=Transactions[[#This Row],[L4N]],Transactions[[#This Row],[L3N]],IF(Transactions[[#This Row],[Level 4]]=Transactions[[#This Row],[L5N]],Transactions[[#This Row],[L4N]],IF(Transactions[[#This Row],[Level 4]]=Transactions[[#This Row],[L6N]],Transactions[[#This Row],[L5N]],IF(Transactions[[#This Row],[Level 4]]=Transactions[[#This Row],[L7N]],Transactions[[#This Row],[L6N]],Transactions[[#This Row],[L7N]]))))))))</f>
        <v>Energy plants - other sources</v>
      </c>
      <c r="AX439" s="26" t="str">
        <f>IF(Transactions[[#This Row],[Level 5]]=Transactions[[#This Row],[Transaction name]],Transactions[[#This Row],[Transaction name]],IF(Transactions[[#This Row],[Level 5]]=Transactions[[#This Row],[L1N]],Transactions[[#This Row],[Transaction name]],IF(Transactions[[#This Row],[Level 5]]=Transactions[[#This Row],[L2N]],Transactions[[#This Row],[L1N]],IF(Transactions[[#This Row],[Level 5]]=Transactions[[#This Row],[L3N]],Transactions[[#This Row],[L2N]],IF(Transactions[[#This Row],[Level 5]]=Transactions[[#This Row],[L4N]],Transactions[[#This Row],[L3N]],IF(Transactions[[#This Row],[Level 5]]=Transactions[[#This Row],[L5N]],Transactions[[#This Row],[L4N]],IF(Transactions[[#This Row],[Level 5]]=Transactions[[#This Row],[L6N]],Transactions[[#This Row],[L5N]],IF(Transactions[[#This Row],[Level 5]]=Transactions[[#This Row],[L7N]],Transactions[[#This Row],[L6N]],Transactions[[#This Row],[L7N]]))))))))</f>
        <v>Energy plants - other sources</v>
      </c>
      <c r="AY439" s="26" t="str">
        <f>IF(Transactions[[#This Row],[Level 6]]=Transactions[[#This Row],[Transaction name]],Transactions[[#This Row],[Transaction name]],IF(Transactions[[#This Row],[Level 6]]=Transactions[[#This Row],[L1N]],Transactions[[#This Row],[Transaction name]],IF(Transactions[[#This Row],[Level 6]]=Transactions[[#This Row],[L2N]],Transactions[[#This Row],[L1N]],IF(Transactions[[#This Row],[Level 6]]=Transactions[[#This Row],[L3N]],Transactions[[#This Row],[L2N]],IF(Transactions[[#This Row],[Level 6]]=Transactions[[#This Row],[L4N]],Transactions[[#This Row],[L3N]],IF(Transactions[[#This Row],[Level 6]]=Transactions[[#This Row],[L5N]],Transactions[[#This Row],[L4N]],IF(Transactions[[#This Row],[Level 6]]=Transactions[[#This Row],[L6N]],Transactions[[#This Row],[L5N]],IF(Transactions[[#This Row],[Level 6]]=Transactions[[#This Row],[L7N]],Transactions[[#This Row],[L6N]],Transactions[[#This Row],[L7N]]))))))))</f>
        <v>Energy plants - other sources</v>
      </c>
      <c r="BE439" s="26" t="str">
        <f>_xlfn.XLOOKUP(Transformation[[#This Row],[cfrom]],Commodities[Commodity],Commodities[Commodity code])</f>
        <v>7000</v>
      </c>
      <c r="BF439" s="26" t="str">
        <f>_xlfn.XLOOKUP(Transformation[[#This Row],[tfrom]],Transactions[Transaction name],Transactions[Transaction code])</f>
        <v>0889H</v>
      </c>
      <c r="BG439" s="26" t="str">
        <f>_xlfn.XLOOKUP(Transformation[[#This Row],[cto]],Commodities[Commodity],Commodities[Commodity code])</f>
        <v>7000</v>
      </c>
      <c r="BH439" s="26" t="str">
        <f>_xlfn.XLOOKUP(Transformation[[#This Row],[tto]],Transactions[Transaction name],Transactions[Transaction code])</f>
        <v>015HP</v>
      </c>
      <c r="BI439" s="31">
        <v>1</v>
      </c>
      <c r="BJ439" s="22" t="s">
        <v>544</v>
      </c>
      <c r="BK439" s="26" t="str">
        <f>_xlfn.XLOOKUP(Transformation[[#This Row],[Commodity from]],Commodities[Commodity code],Commodities[EnergyCode])</f>
        <v>EL</v>
      </c>
      <c r="BL439" s="22" t="s">
        <v>167</v>
      </c>
      <c r="BM439" s="22" t="s">
        <v>544</v>
      </c>
      <c r="BN439" s="26" t="str">
        <f>_xlfn.XLOOKUP(Transformation[[#This Row],[Commodity to]],Commodities[Commodity code],Commodities[EnergyCode])</f>
        <v>EL</v>
      </c>
      <c r="BO439" s="22" t="s">
        <v>807</v>
      </c>
      <c r="BP439" s="22" t="s">
        <v>1681</v>
      </c>
      <c r="BQ439" s="33" t="str">
        <f>Transformation[[#This Row],[Commodity from]]&amp;Transformation[[#This Row],[Transaction from]]&amp;Transformation[[#This Row],[Commodity to]]&amp;Transformation[[#This Row],[Transaction to]]</f>
        <v>70000889H7000015HP</v>
      </c>
      <c r="BR439" s="26" t="str">
        <f>Transformation[[#This Row],[crfomid]]&amp;Transformation[[#This Row],[Transaction from]]&amp;"("&amp;Transformation[[#This Row],[Multiplier]]&amp;") -&gt; "&amp;Transformation[[#This Row],[ctoid]]&amp;Transformation[[#This Row],[Transaction to]]</f>
        <v>EL0889H(1) -&gt; EL015HP</v>
      </c>
    </row>
    <row r="440" spans="25:70" x14ac:dyDescent="0.45">
      <c r="Y440" s="19" t="s">
        <v>1513</v>
      </c>
      <c r="Z440" s="18" t="s">
        <v>1537</v>
      </c>
      <c r="AA440" s="18" t="s">
        <v>1537</v>
      </c>
      <c r="AB440" s="18" t="s">
        <v>171</v>
      </c>
      <c r="AC440" s="26" t="str">
        <f>IFERROR(VLOOKUP(Transactions[[#This Row],[Parent code]],Transactions[[Transaction code]:[Transaction name]],2,0),"")</f>
        <v>Electricity, CHP and heat plants (T)</v>
      </c>
      <c r="AD440" s="18" t="s">
        <v>189</v>
      </c>
      <c r="AE440" s="18" t="s">
        <v>959</v>
      </c>
      <c r="AF440" s="18" t="s">
        <v>642</v>
      </c>
      <c r="AG440" s="18" t="s">
        <v>1</v>
      </c>
      <c r="AH440" s="18" t="s">
        <v>696</v>
      </c>
      <c r="AI440" s="18" t="s">
        <v>1416</v>
      </c>
      <c r="AJ440" s="18" t="s">
        <v>0</v>
      </c>
      <c r="AK440" s="26" t="str" cm="1">
        <f t="array" ref="AK440">IFERROR(INDEX(Transactions[[Transaction code]:[Transaction name]],_xlfn.XMATCH(Transactions[[#This Row],[Parent code]],Transactions[Transaction name],0),3),Transactions[[#This Row],[Transaction name]])</f>
        <v>Energy plants - peat</v>
      </c>
      <c r="AL440" s="26" t="str" cm="1">
        <f t="array" ref="AL440">IFERROR(INDEX(Transactions[[Transaction code]:[Transaction name]],_xlfn.XMATCH(INDEX(Transactions[[Transaction name]:[Parent code]],_xlfn.XMATCH(Transactions[[#This Row],[L1N]],Transactions[Transaction name],0),3),Transactions[Transaction code],0),2),Transactions[[#This Row],[L1N]])</f>
        <v>Electricity, CHP and heat plants (T)</v>
      </c>
      <c r="AM440" s="26" t="str" cm="1">
        <f t="array" ref="AM440">IFERROR(INDEX(Transactions[[Transaction code]:[Transaction name]],_xlfn.XMATCH(INDEX(Transactions[[Transaction name]:[Parent code]],_xlfn.XMATCH(Transactions[[#This Row],[L2N]],Transactions[Transaction name],0),3),Transactions[Transaction code],0),2),Transactions[[#This Row],[L2N]])</f>
        <v>Transformation</v>
      </c>
      <c r="AN440" s="26" t="str" cm="1">
        <f t="array" ref="AN440">IFERROR(INDEX(Transactions[[Transaction code]:[Transaction name]],_xlfn.XMATCH(INDEX(Transactions[[Transaction name]:[Parent code]],_xlfn.XMATCH(Transactions[[#This Row],[L3N]],Transactions[Transaction name],0),3),Transactions[Transaction code],0),2),Transactions[[#This Row],[L3N]])</f>
        <v>Transformation</v>
      </c>
      <c r="AO440" s="26" t="str" cm="1">
        <f t="array" ref="AO440">IFERROR(INDEX(Transactions[[Transaction code]:[Transaction name]],_xlfn.XMATCH(INDEX(Transactions[[Transaction name]:[Parent code]],_xlfn.XMATCH(Transactions[[#This Row],[L4N]],Transactions[Transaction name],0),3),Transactions[Transaction code],0),2),Transactions[[#This Row],[L4N]])</f>
        <v>Transformation</v>
      </c>
      <c r="AP440" s="26" t="str" cm="1">
        <f t="array" ref="AP440">IFERROR(INDEX(Transactions[[Transaction code]:[Transaction name]],_xlfn.XMATCH(INDEX(Transactions[[Transaction name]:[Parent code]],_xlfn.XMATCH(Transactions[[#This Row],[L5N]],Transactions[Transaction name],0),3),Transactions[Transaction code],0),2),Transactions[[#This Row],[L5N]])</f>
        <v>Transformation</v>
      </c>
      <c r="AQ440" s="26" t="str" cm="1">
        <f t="array" ref="AQ440">IFERROR(INDEX(Transactions[[Transaction code]:[Transaction name]],_xlfn.XMATCH(INDEX(Transactions[[Transaction name]:[Parent code]],_xlfn.XMATCH(Transactions[[#This Row],[L6N]],Transactions[Transaction name],0),3),Transactions[Transaction code],0),2),Transactions[[#This Row],[L6N]])</f>
        <v>Transformation</v>
      </c>
      <c r="AR440" s="29" t="str">
        <f>IF(Transactions[[#This Row],[L7N]]=Transactions[[#This Row],[L6N]],Transactions[[#This Row],[L7N]],IF(Transactions[[#This Row],[L6N]]=Transactions[[#This Row],[L5N]],Transactions[[#This Row],[L6N]],IF(Transactions[[#This Row],[L5N]]=Transactions[[#This Row],[L4N]],Transactions[[#This Row],[L5N]],IF(Transactions[[#This Row],[L4N]]=Transactions[[#This Row],[L3N]],Transactions[[#This Row],[L4N]],IF(Transactions[[#This Row],[L3N]]=Transactions[[#This Row],[L2N]],Transactions[[#This Row],[L3N]],IF(Transactions[[#This Row],[L2N]]=Transactions[[#This Row],[L1N]],Transactions[[#This Row],[L2N]],IF(Transactions[[#This Row],[L1N]]=Transactions[[#This Row],[Transaction name]],Transactions[[#This Row],[L1N]],Transactions[[#This Row],[Transaction name]])))))))</f>
        <v>Transformation</v>
      </c>
      <c r="AS440" s="26" t="str">
        <f>IF(Transactions[[#This Row],[Level 0]]=Transactions[[#This Row],[Transaction name]],Transactions[[#This Row],[Transaction name]],IF(Transactions[[#This Row],[Level 0]]=Transactions[[#This Row],[L1N]],Transactions[[#This Row],[Transaction name]],IF(Transactions[[#This Row],[Level 0]]=Transactions[[#This Row],[L2N]],Transactions[[#This Row],[L1N]],IF(Transactions[[#This Row],[Level 0]]=Transactions[[#This Row],[L3N]],Transactions[[#This Row],[L2N]],IF(Transactions[[#This Row],[Level 0]]=Transactions[[#This Row],[L4N]],Transactions[[#This Row],[L3N]],IF(Transactions[[#This Row],[Level 0]]=Transactions[[#This Row],[L5N]],Transactions[[#This Row],[L4N]],IF(Transactions[[#This Row],[Level 0]]=Transactions[[#This Row],[L6N]],Transactions[[#This Row],[L5N]],IF(Transactions[[#This Row],[Level 0]]=Transactions[[#This Row],[L7N]],Transactions[[#This Row],[L6N]],Transactions[[#This Row],[L7N]]))))))))</f>
        <v>Electricity, CHP and heat plants (T)</v>
      </c>
      <c r="AT440" s="26" t="str">
        <f>IF(Transactions[[#This Row],[Level 1]]=Transactions[[#This Row],[Transaction name]],Transactions[[#This Row],[Transaction name]],IF(Transactions[[#This Row],[Level 1]]=Transactions[[#This Row],[L1N]],Transactions[[#This Row],[Transaction name]],IF(Transactions[[#This Row],[Level 1]]=Transactions[[#This Row],[L2N]],Transactions[[#This Row],[L1N]],IF(Transactions[[#This Row],[Level 1]]=Transactions[[#This Row],[L3N]],Transactions[[#This Row],[L2N]],IF(Transactions[[#This Row],[Level 1]]=Transactions[[#This Row],[L4N]],Transactions[[#This Row],[L3N]],IF(Transactions[[#This Row],[Level 1]]=Transactions[[#This Row],[L5N]],Transactions[[#This Row],[L4N]],IF(Transactions[[#This Row],[Level 1]]=Transactions[[#This Row],[L6N]],Transactions[[#This Row],[L5N]],IF(Transactions[[#This Row],[Level 1]]=Transactions[[#This Row],[L7N]],Transactions[[#This Row],[L6N]],Transactions[[#This Row],[L7N]]))))))))</f>
        <v>Energy plants - peat</v>
      </c>
      <c r="AU440" s="26" t="str">
        <f>IF(Transactions[[#This Row],[Level 2]]=Transactions[[#This Row],[Transaction name]],Transactions[[#This Row],[Transaction name]],IF(Transactions[[#This Row],[Level 2]]=Transactions[[#This Row],[L1N]],Transactions[[#This Row],[Transaction name]],IF(Transactions[[#This Row],[Level 2]]=Transactions[[#This Row],[L2N]],Transactions[[#This Row],[L1N]],IF(Transactions[[#This Row],[Level 2]]=Transactions[[#This Row],[L3N]],Transactions[[#This Row],[L2N]],IF(Transactions[[#This Row],[Level 2]]=Transactions[[#This Row],[L4N]],Transactions[[#This Row],[L3N]],IF(Transactions[[#This Row],[Level 2]]=Transactions[[#This Row],[L5N]],Transactions[[#This Row],[L4N]],IF(Transactions[[#This Row],[Level 2]]=Transactions[[#This Row],[L6N]],Transactions[[#This Row],[L5N]],IF(Transactions[[#This Row],[Level 2]]=Transactions[[#This Row],[L7N]],Transactions[[#This Row],[L6N]],Transactions[[#This Row],[L7N]]))))))))</f>
        <v>Energy plants - peat</v>
      </c>
      <c r="AV440" s="26" t="str">
        <f>IF(Transactions[[#This Row],[Level 3]]=Transactions[[#This Row],[Transaction name]],Transactions[[#This Row],[Transaction name]],IF(Transactions[[#This Row],[Level 3]]=Transactions[[#This Row],[L1N]],Transactions[[#This Row],[Transaction name]],IF(Transactions[[#This Row],[Level 3]]=Transactions[[#This Row],[L2N]],Transactions[[#This Row],[L1N]],IF(Transactions[[#This Row],[Level 3]]=Transactions[[#This Row],[L3N]],Transactions[[#This Row],[L2N]],IF(Transactions[[#This Row],[Level 3]]=Transactions[[#This Row],[L4N]],Transactions[[#This Row],[L3N]],IF(Transactions[[#This Row],[Level 3]]=Transactions[[#This Row],[L5N]],Transactions[[#This Row],[L4N]],IF(Transactions[[#This Row],[Level 3]]=Transactions[[#This Row],[L6N]],Transactions[[#This Row],[L5N]],IF(Transactions[[#This Row],[Level 3]]=Transactions[[#This Row],[L7N]],Transactions[[#This Row],[L6N]],Transactions[[#This Row],[L7N]]))))))))</f>
        <v>Energy plants - peat</v>
      </c>
      <c r="AW440" s="26" t="str">
        <f>IF(Transactions[[#This Row],[Level 4]]=Transactions[[#This Row],[Transaction name]],Transactions[[#This Row],[Transaction name]],IF(Transactions[[#This Row],[Level 4]]=Transactions[[#This Row],[L1N]],Transactions[[#This Row],[Transaction name]],IF(Transactions[[#This Row],[Level 4]]=Transactions[[#This Row],[L2N]],Transactions[[#This Row],[L1N]],IF(Transactions[[#This Row],[Level 4]]=Transactions[[#This Row],[L3N]],Transactions[[#This Row],[L2N]],IF(Transactions[[#This Row],[Level 4]]=Transactions[[#This Row],[L4N]],Transactions[[#This Row],[L3N]],IF(Transactions[[#This Row],[Level 4]]=Transactions[[#This Row],[L5N]],Transactions[[#This Row],[L4N]],IF(Transactions[[#This Row],[Level 4]]=Transactions[[#This Row],[L6N]],Transactions[[#This Row],[L5N]],IF(Transactions[[#This Row],[Level 4]]=Transactions[[#This Row],[L7N]],Transactions[[#This Row],[L6N]],Transactions[[#This Row],[L7N]]))))))))</f>
        <v>Energy plants - peat</v>
      </c>
      <c r="AX440" s="26" t="str">
        <f>IF(Transactions[[#This Row],[Level 5]]=Transactions[[#This Row],[Transaction name]],Transactions[[#This Row],[Transaction name]],IF(Transactions[[#This Row],[Level 5]]=Transactions[[#This Row],[L1N]],Transactions[[#This Row],[Transaction name]],IF(Transactions[[#This Row],[Level 5]]=Transactions[[#This Row],[L2N]],Transactions[[#This Row],[L1N]],IF(Transactions[[#This Row],[Level 5]]=Transactions[[#This Row],[L3N]],Transactions[[#This Row],[L2N]],IF(Transactions[[#This Row],[Level 5]]=Transactions[[#This Row],[L4N]],Transactions[[#This Row],[L3N]],IF(Transactions[[#This Row],[Level 5]]=Transactions[[#This Row],[L5N]],Transactions[[#This Row],[L4N]],IF(Transactions[[#This Row],[Level 5]]=Transactions[[#This Row],[L6N]],Transactions[[#This Row],[L5N]],IF(Transactions[[#This Row],[Level 5]]=Transactions[[#This Row],[L7N]],Transactions[[#This Row],[L6N]],Transactions[[#This Row],[L7N]]))))))))</f>
        <v>Energy plants - peat</v>
      </c>
      <c r="AY440" s="26" t="str">
        <f>IF(Transactions[[#This Row],[Level 6]]=Transactions[[#This Row],[Transaction name]],Transactions[[#This Row],[Transaction name]],IF(Transactions[[#This Row],[Level 6]]=Transactions[[#This Row],[L1N]],Transactions[[#This Row],[Transaction name]],IF(Transactions[[#This Row],[Level 6]]=Transactions[[#This Row],[L2N]],Transactions[[#This Row],[L1N]],IF(Transactions[[#This Row],[Level 6]]=Transactions[[#This Row],[L3N]],Transactions[[#This Row],[L2N]],IF(Transactions[[#This Row],[Level 6]]=Transactions[[#This Row],[L4N]],Transactions[[#This Row],[L3N]],IF(Transactions[[#This Row],[Level 6]]=Transactions[[#This Row],[L5N]],Transactions[[#This Row],[L4N]],IF(Transactions[[#This Row],[Level 6]]=Transactions[[#This Row],[L6N]],Transactions[[#This Row],[L5N]],IF(Transactions[[#This Row],[Level 6]]=Transactions[[#This Row],[L7N]],Transactions[[#This Row],[L6N]],Transactions[[#This Row],[L7N]]))))))))</f>
        <v>Energy plants - peat</v>
      </c>
      <c r="BE440" s="26" t="str">
        <f>_xlfn.XLOOKUP(Transformation[[#This Row],[cfrom]],Commodities[Commodity],Commodities[Commodity code])</f>
        <v>7000</v>
      </c>
      <c r="BF440" s="26" t="str">
        <f>_xlfn.XLOOKUP(Transformation[[#This Row],[tfrom]],Transactions[Transaction name],Transactions[Transaction code])</f>
        <v>0889H</v>
      </c>
      <c r="BG440" s="26" t="str">
        <f>_xlfn.XLOOKUP(Transformation[[#This Row],[cto]],Commodities[Commodity],Commodities[Commodity code])</f>
        <v>7000</v>
      </c>
      <c r="BH440" s="26" t="str">
        <f>_xlfn.XLOOKUP(Transformation[[#This Row],[tto]],Transactions[Transaction name],Transactions[Transaction code])</f>
        <v>0889H</v>
      </c>
      <c r="BI440" s="31">
        <v>-1</v>
      </c>
      <c r="BJ440" s="22" t="s">
        <v>544</v>
      </c>
      <c r="BK440" s="26" t="str">
        <f>_xlfn.XLOOKUP(Transformation[[#This Row],[Commodity from]],Commodities[Commodity code],Commodities[EnergyCode])</f>
        <v>EL</v>
      </c>
      <c r="BL440" s="22" t="s">
        <v>167</v>
      </c>
      <c r="BM440" s="22" t="s">
        <v>544</v>
      </c>
      <c r="BN440" s="26" t="str">
        <f>_xlfn.XLOOKUP(Transformation[[#This Row],[Commodity to]],Commodities[Commodity code],Commodities[EnergyCode])</f>
        <v>EL</v>
      </c>
      <c r="BO440" s="22" t="s">
        <v>167</v>
      </c>
      <c r="BP440" s="22" t="s">
        <v>1684</v>
      </c>
      <c r="BQ440" s="33" t="str">
        <f>Transformation[[#This Row],[Commodity from]]&amp;Transformation[[#This Row],[Transaction from]]&amp;Transformation[[#This Row],[Commodity to]]&amp;Transformation[[#This Row],[Transaction to]]</f>
        <v>70000889H70000889H</v>
      </c>
      <c r="BR440" s="26" t="str">
        <f>Transformation[[#This Row],[crfomid]]&amp;Transformation[[#This Row],[Transaction from]]&amp;"("&amp;Transformation[[#This Row],[Multiplier]]&amp;") -&gt; "&amp;Transformation[[#This Row],[ctoid]]&amp;Transformation[[#This Row],[Transaction to]]</f>
        <v>EL0889H(-1) -&gt; EL0889H</v>
      </c>
    </row>
    <row r="441" spans="25:70" x14ac:dyDescent="0.45">
      <c r="Y441" s="19" t="s">
        <v>1514</v>
      </c>
      <c r="Z441" s="18" t="s">
        <v>1538</v>
      </c>
      <c r="AA441" s="18" t="s">
        <v>1538</v>
      </c>
      <c r="AB441" s="18" t="s">
        <v>171</v>
      </c>
      <c r="AC441" s="26" t="str">
        <f>IFERROR(VLOOKUP(Transactions[[#This Row],[Parent code]],Transactions[[Transaction code]:[Transaction name]],2,0),"")</f>
        <v>Electricity, CHP and heat plants (T)</v>
      </c>
      <c r="AD441" s="18" t="s">
        <v>189</v>
      </c>
      <c r="AE441" s="18" t="s">
        <v>959</v>
      </c>
      <c r="AF441" s="18" t="s">
        <v>642</v>
      </c>
      <c r="AG441" s="18" t="s">
        <v>1</v>
      </c>
      <c r="AH441" s="18" t="s">
        <v>696</v>
      </c>
      <c r="AI441" s="18"/>
      <c r="AJ441" s="18" t="s">
        <v>0</v>
      </c>
      <c r="AK441" s="26" t="str" cm="1">
        <f t="array" ref="AK441">IFERROR(INDEX(Transactions[[Transaction code]:[Transaction name]],_xlfn.XMATCH(Transactions[[#This Row],[Parent code]],Transactions[Transaction name],0),3),Transactions[[#This Row],[Transaction name]])</f>
        <v>Energy plants - Pumped hydro</v>
      </c>
      <c r="AL441" s="26" t="str" cm="1">
        <f t="array" ref="AL441">IFERROR(INDEX(Transactions[[Transaction code]:[Transaction name]],_xlfn.XMATCH(INDEX(Transactions[[Transaction name]:[Parent code]],_xlfn.XMATCH(Transactions[[#This Row],[L1N]],Transactions[Transaction name],0),3),Transactions[Transaction code],0),2),Transactions[[#This Row],[L1N]])</f>
        <v>Electricity, CHP and heat plants (T)</v>
      </c>
      <c r="AM441" s="26" t="str" cm="1">
        <f t="array" ref="AM441">IFERROR(INDEX(Transactions[[Transaction code]:[Transaction name]],_xlfn.XMATCH(INDEX(Transactions[[Transaction name]:[Parent code]],_xlfn.XMATCH(Transactions[[#This Row],[L2N]],Transactions[Transaction name],0),3),Transactions[Transaction code],0),2),Transactions[[#This Row],[L2N]])</f>
        <v>Transformation</v>
      </c>
      <c r="AN441" s="26" t="str" cm="1">
        <f t="array" ref="AN441">IFERROR(INDEX(Transactions[[Transaction code]:[Transaction name]],_xlfn.XMATCH(INDEX(Transactions[[Transaction name]:[Parent code]],_xlfn.XMATCH(Transactions[[#This Row],[L3N]],Transactions[Transaction name],0),3),Transactions[Transaction code],0),2),Transactions[[#This Row],[L3N]])</f>
        <v>Transformation</v>
      </c>
      <c r="AO441" s="26" t="str" cm="1">
        <f t="array" ref="AO441">IFERROR(INDEX(Transactions[[Transaction code]:[Transaction name]],_xlfn.XMATCH(INDEX(Transactions[[Transaction name]:[Parent code]],_xlfn.XMATCH(Transactions[[#This Row],[L4N]],Transactions[Transaction name],0),3),Transactions[Transaction code],0),2),Transactions[[#This Row],[L4N]])</f>
        <v>Transformation</v>
      </c>
      <c r="AP441" s="26" t="str" cm="1">
        <f t="array" ref="AP441">IFERROR(INDEX(Transactions[[Transaction code]:[Transaction name]],_xlfn.XMATCH(INDEX(Transactions[[Transaction name]:[Parent code]],_xlfn.XMATCH(Transactions[[#This Row],[L5N]],Transactions[Transaction name],0),3),Transactions[Transaction code],0),2),Transactions[[#This Row],[L5N]])</f>
        <v>Transformation</v>
      </c>
      <c r="AQ441" s="26" t="str" cm="1">
        <f t="array" ref="AQ441">IFERROR(INDEX(Transactions[[Transaction code]:[Transaction name]],_xlfn.XMATCH(INDEX(Transactions[[Transaction name]:[Parent code]],_xlfn.XMATCH(Transactions[[#This Row],[L6N]],Transactions[Transaction name],0),3),Transactions[Transaction code],0),2),Transactions[[#This Row],[L6N]])</f>
        <v>Transformation</v>
      </c>
      <c r="AR441" s="29" t="str">
        <f>IF(Transactions[[#This Row],[L7N]]=Transactions[[#This Row],[L6N]],Transactions[[#This Row],[L7N]],IF(Transactions[[#This Row],[L6N]]=Transactions[[#This Row],[L5N]],Transactions[[#This Row],[L6N]],IF(Transactions[[#This Row],[L5N]]=Transactions[[#This Row],[L4N]],Transactions[[#This Row],[L5N]],IF(Transactions[[#This Row],[L4N]]=Transactions[[#This Row],[L3N]],Transactions[[#This Row],[L4N]],IF(Transactions[[#This Row],[L3N]]=Transactions[[#This Row],[L2N]],Transactions[[#This Row],[L3N]],IF(Transactions[[#This Row],[L2N]]=Transactions[[#This Row],[L1N]],Transactions[[#This Row],[L2N]],IF(Transactions[[#This Row],[L1N]]=Transactions[[#This Row],[Transaction name]],Transactions[[#This Row],[L1N]],Transactions[[#This Row],[Transaction name]])))))))</f>
        <v>Transformation</v>
      </c>
      <c r="AS441" s="26" t="str">
        <f>IF(Transactions[[#This Row],[Level 0]]=Transactions[[#This Row],[Transaction name]],Transactions[[#This Row],[Transaction name]],IF(Transactions[[#This Row],[Level 0]]=Transactions[[#This Row],[L1N]],Transactions[[#This Row],[Transaction name]],IF(Transactions[[#This Row],[Level 0]]=Transactions[[#This Row],[L2N]],Transactions[[#This Row],[L1N]],IF(Transactions[[#This Row],[Level 0]]=Transactions[[#This Row],[L3N]],Transactions[[#This Row],[L2N]],IF(Transactions[[#This Row],[Level 0]]=Transactions[[#This Row],[L4N]],Transactions[[#This Row],[L3N]],IF(Transactions[[#This Row],[Level 0]]=Transactions[[#This Row],[L5N]],Transactions[[#This Row],[L4N]],IF(Transactions[[#This Row],[Level 0]]=Transactions[[#This Row],[L6N]],Transactions[[#This Row],[L5N]],IF(Transactions[[#This Row],[Level 0]]=Transactions[[#This Row],[L7N]],Transactions[[#This Row],[L6N]],Transactions[[#This Row],[L7N]]))))))))</f>
        <v>Electricity, CHP and heat plants (T)</v>
      </c>
      <c r="AT441" s="26" t="str">
        <f>IF(Transactions[[#This Row],[Level 1]]=Transactions[[#This Row],[Transaction name]],Transactions[[#This Row],[Transaction name]],IF(Transactions[[#This Row],[Level 1]]=Transactions[[#This Row],[L1N]],Transactions[[#This Row],[Transaction name]],IF(Transactions[[#This Row],[Level 1]]=Transactions[[#This Row],[L2N]],Transactions[[#This Row],[L1N]],IF(Transactions[[#This Row],[Level 1]]=Transactions[[#This Row],[L3N]],Transactions[[#This Row],[L2N]],IF(Transactions[[#This Row],[Level 1]]=Transactions[[#This Row],[L4N]],Transactions[[#This Row],[L3N]],IF(Transactions[[#This Row],[Level 1]]=Transactions[[#This Row],[L5N]],Transactions[[#This Row],[L4N]],IF(Transactions[[#This Row],[Level 1]]=Transactions[[#This Row],[L6N]],Transactions[[#This Row],[L5N]],IF(Transactions[[#This Row],[Level 1]]=Transactions[[#This Row],[L7N]],Transactions[[#This Row],[L6N]],Transactions[[#This Row],[L7N]]))))))))</f>
        <v>Energy plants - Pumped hydro</v>
      </c>
      <c r="AU441" s="26" t="str">
        <f>IF(Transactions[[#This Row],[Level 2]]=Transactions[[#This Row],[Transaction name]],Transactions[[#This Row],[Transaction name]],IF(Transactions[[#This Row],[Level 2]]=Transactions[[#This Row],[L1N]],Transactions[[#This Row],[Transaction name]],IF(Transactions[[#This Row],[Level 2]]=Transactions[[#This Row],[L2N]],Transactions[[#This Row],[L1N]],IF(Transactions[[#This Row],[Level 2]]=Transactions[[#This Row],[L3N]],Transactions[[#This Row],[L2N]],IF(Transactions[[#This Row],[Level 2]]=Transactions[[#This Row],[L4N]],Transactions[[#This Row],[L3N]],IF(Transactions[[#This Row],[Level 2]]=Transactions[[#This Row],[L5N]],Transactions[[#This Row],[L4N]],IF(Transactions[[#This Row],[Level 2]]=Transactions[[#This Row],[L6N]],Transactions[[#This Row],[L5N]],IF(Transactions[[#This Row],[Level 2]]=Transactions[[#This Row],[L7N]],Transactions[[#This Row],[L6N]],Transactions[[#This Row],[L7N]]))))))))</f>
        <v>Energy plants - Pumped hydro</v>
      </c>
      <c r="AV441" s="26" t="str">
        <f>IF(Transactions[[#This Row],[Level 3]]=Transactions[[#This Row],[Transaction name]],Transactions[[#This Row],[Transaction name]],IF(Transactions[[#This Row],[Level 3]]=Transactions[[#This Row],[L1N]],Transactions[[#This Row],[Transaction name]],IF(Transactions[[#This Row],[Level 3]]=Transactions[[#This Row],[L2N]],Transactions[[#This Row],[L1N]],IF(Transactions[[#This Row],[Level 3]]=Transactions[[#This Row],[L3N]],Transactions[[#This Row],[L2N]],IF(Transactions[[#This Row],[Level 3]]=Transactions[[#This Row],[L4N]],Transactions[[#This Row],[L3N]],IF(Transactions[[#This Row],[Level 3]]=Transactions[[#This Row],[L5N]],Transactions[[#This Row],[L4N]],IF(Transactions[[#This Row],[Level 3]]=Transactions[[#This Row],[L6N]],Transactions[[#This Row],[L5N]],IF(Transactions[[#This Row],[Level 3]]=Transactions[[#This Row],[L7N]],Transactions[[#This Row],[L6N]],Transactions[[#This Row],[L7N]]))))))))</f>
        <v>Energy plants - Pumped hydro</v>
      </c>
      <c r="AW441" s="26" t="str">
        <f>IF(Transactions[[#This Row],[Level 4]]=Transactions[[#This Row],[Transaction name]],Transactions[[#This Row],[Transaction name]],IF(Transactions[[#This Row],[Level 4]]=Transactions[[#This Row],[L1N]],Transactions[[#This Row],[Transaction name]],IF(Transactions[[#This Row],[Level 4]]=Transactions[[#This Row],[L2N]],Transactions[[#This Row],[L1N]],IF(Transactions[[#This Row],[Level 4]]=Transactions[[#This Row],[L3N]],Transactions[[#This Row],[L2N]],IF(Transactions[[#This Row],[Level 4]]=Transactions[[#This Row],[L4N]],Transactions[[#This Row],[L3N]],IF(Transactions[[#This Row],[Level 4]]=Transactions[[#This Row],[L5N]],Transactions[[#This Row],[L4N]],IF(Transactions[[#This Row],[Level 4]]=Transactions[[#This Row],[L6N]],Transactions[[#This Row],[L5N]],IF(Transactions[[#This Row],[Level 4]]=Transactions[[#This Row],[L7N]],Transactions[[#This Row],[L6N]],Transactions[[#This Row],[L7N]]))))))))</f>
        <v>Energy plants - Pumped hydro</v>
      </c>
      <c r="AX441" s="26" t="str">
        <f>IF(Transactions[[#This Row],[Level 5]]=Transactions[[#This Row],[Transaction name]],Transactions[[#This Row],[Transaction name]],IF(Transactions[[#This Row],[Level 5]]=Transactions[[#This Row],[L1N]],Transactions[[#This Row],[Transaction name]],IF(Transactions[[#This Row],[Level 5]]=Transactions[[#This Row],[L2N]],Transactions[[#This Row],[L1N]],IF(Transactions[[#This Row],[Level 5]]=Transactions[[#This Row],[L3N]],Transactions[[#This Row],[L2N]],IF(Transactions[[#This Row],[Level 5]]=Transactions[[#This Row],[L4N]],Transactions[[#This Row],[L3N]],IF(Transactions[[#This Row],[Level 5]]=Transactions[[#This Row],[L5N]],Transactions[[#This Row],[L4N]],IF(Transactions[[#This Row],[Level 5]]=Transactions[[#This Row],[L6N]],Transactions[[#This Row],[L5N]],IF(Transactions[[#This Row],[Level 5]]=Transactions[[#This Row],[L7N]],Transactions[[#This Row],[L6N]],Transactions[[#This Row],[L7N]]))))))))</f>
        <v>Energy plants - Pumped hydro</v>
      </c>
      <c r="AY441" s="26" t="str">
        <f>IF(Transactions[[#This Row],[Level 6]]=Transactions[[#This Row],[Transaction name]],Transactions[[#This Row],[Transaction name]],IF(Transactions[[#This Row],[Level 6]]=Transactions[[#This Row],[L1N]],Transactions[[#This Row],[Transaction name]],IF(Transactions[[#This Row],[Level 6]]=Transactions[[#This Row],[L2N]],Transactions[[#This Row],[L1N]],IF(Transactions[[#This Row],[Level 6]]=Transactions[[#This Row],[L3N]],Transactions[[#This Row],[L2N]],IF(Transactions[[#This Row],[Level 6]]=Transactions[[#This Row],[L4N]],Transactions[[#This Row],[L3N]],IF(Transactions[[#This Row],[Level 6]]=Transactions[[#This Row],[L5N]],Transactions[[#This Row],[L4N]],IF(Transactions[[#This Row],[Level 6]]=Transactions[[#This Row],[L6N]],Transactions[[#This Row],[L5N]],IF(Transactions[[#This Row],[Level 6]]=Transactions[[#This Row],[L7N]],Transactions[[#This Row],[L6N]],Transactions[[#This Row],[L7N]]))))))))</f>
        <v>Energy plants - Pumped hydro</v>
      </c>
      <c r="BE441" s="26" t="str">
        <f>_xlfn.XLOOKUP(Transformation[[#This Row],[cfrom]],Commodities[Commodity],Commodities[Commodity code])</f>
        <v>4693</v>
      </c>
      <c r="BF441" s="26" t="str">
        <f>_xlfn.XLOOKUP(Transformation[[#This Row],[tfrom]],Transactions[Transaction name],Transactions[Transaction code])</f>
        <v>022</v>
      </c>
      <c r="BG441" s="26" t="str">
        <f>_xlfn.XLOOKUP(Transformation[[#This Row],[cto]],Commodities[Commodity],Commodities[Commodity code])</f>
        <v>4693</v>
      </c>
      <c r="BH441" s="26" t="str">
        <f>_xlfn.XLOOKUP(Transformation[[#This Row],[tto]],Transactions[Transaction name],Transactions[Transaction code])</f>
        <v>022</v>
      </c>
      <c r="BI441" s="32">
        <v>-1</v>
      </c>
      <c r="BJ441" s="22" t="s">
        <v>356</v>
      </c>
      <c r="BK441" s="26" t="str">
        <f>_xlfn.XLOOKUP(Transformation[[#This Row],[Commodity from]],Commodities[Commodity code],Commodities[EnergyCode])</f>
        <v>PW</v>
      </c>
      <c r="BL441" s="22" t="s">
        <v>205</v>
      </c>
      <c r="BM441" s="22" t="s">
        <v>356</v>
      </c>
      <c r="BN441" s="26" t="str">
        <f>_xlfn.XLOOKUP(Transformation[[#This Row],[Commodity to]],Commodities[Commodity code],Commodities[EnergyCode])</f>
        <v>PW</v>
      </c>
      <c r="BO441" s="22" t="s">
        <v>205</v>
      </c>
      <c r="BP441" s="22" t="s">
        <v>1639</v>
      </c>
      <c r="BQ441" s="33" t="str">
        <f>Transformation[[#This Row],[Commodity from]]&amp;Transformation[[#This Row],[Transaction from]]&amp;Transformation[[#This Row],[Commodity to]]&amp;Transformation[[#This Row],[Transaction to]]</f>
        <v>46930224693022</v>
      </c>
      <c r="BR441" s="26" t="str">
        <f>Transformation[[#This Row],[crfomid]]&amp;Transformation[[#This Row],[Transaction from]]&amp;"("&amp;Transformation[[#This Row],[Multiplier]]&amp;") -&gt; "&amp;Transformation[[#This Row],[ctoid]]&amp;Transformation[[#This Row],[Transaction to]]</f>
        <v>PW022(-1) -&gt; PW022</v>
      </c>
    </row>
    <row r="442" spans="25:70" x14ac:dyDescent="0.45">
      <c r="Y442" s="19" t="s">
        <v>1515</v>
      </c>
      <c r="Z442" s="18" t="s">
        <v>1539</v>
      </c>
      <c r="AA442" s="18" t="s">
        <v>1539</v>
      </c>
      <c r="AB442" s="18" t="s">
        <v>171</v>
      </c>
      <c r="AC442" s="26" t="str">
        <f>IFERROR(VLOOKUP(Transactions[[#This Row],[Parent code]],Transactions[[Transaction code]:[Transaction name]],2,0),"")</f>
        <v>Electricity, CHP and heat plants (T)</v>
      </c>
      <c r="AD442" s="18" t="s">
        <v>189</v>
      </c>
      <c r="AE442" s="18" t="s">
        <v>959</v>
      </c>
      <c r="AF442" s="18" t="s">
        <v>642</v>
      </c>
      <c r="AG442" s="18" t="s">
        <v>1</v>
      </c>
      <c r="AH442" s="18" t="s">
        <v>696</v>
      </c>
      <c r="AI442" s="18" t="s">
        <v>1416</v>
      </c>
      <c r="AJ442" s="18" t="s">
        <v>0</v>
      </c>
      <c r="AK442" s="26" t="str" cm="1">
        <f t="array" ref="AK442">IFERROR(INDEX(Transactions[[Transaction code]:[Transaction name]],_xlfn.XMATCH(Transactions[[#This Row],[Parent code]],Transactions[Transaction name],0),3),Transactions[[#This Row],[Transaction name]])</f>
        <v>Energy plants - shale</v>
      </c>
      <c r="AL442" s="26" t="str" cm="1">
        <f t="array" ref="AL442">IFERROR(INDEX(Transactions[[Transaction code]:[Transaction name]],_xlfn.XMATCH(INDEX(Transactions[[Transaction name]:[Parent code]],_xlfn.XMATCH(Transactions[[#This Row],[L1N]],Transactions[Transaction name],0),3),Transactions[Transaction code],0),2),Transactions[[#This Row],[L1N]])</f>
        <v>Electricity, CHP and heat plants (T)</v>
      </c>
      <c r="AM442" s="26" t="str" cm="1">
        <f t="array" ref="AM442">IFERROR(INDEX(Transactions[[Transaction code]:[Transaction name]],_xlfn.XMATCH(INDEX(Transactions[[Transaction name]:[Parent code]],_xlfn.XMATCH(Transactions[[#This Row],[L2N]],Transactions[Transaction name],0),3),Transactions[Transaction code],0),2),Transactions[[#This Row],[L2N]])</f>
        <v>Transformation</v>
      </c>
      <c r="AN442" s="26" t="str" cm="1">
        <f t="array" ref="AN442">IFERROR(INDEX(Transactions[[Transaction code]:[Transaction name]],_xlfn.XMATCH(INDEX(Transactions[[Transaction name]:[Parent code]],_xlfn.XMATCH(Transactions[[#This Row],[L3N]],Transactions[Transaction name],0),3),Transactions[Transaction code],0),2),Transactions[[#This Row],[L3N]])</f>
        <v>Transformation</v>
      </c>
      <c r="AO442" s="26" t="str" cm="1">
        <f t="array" ref="AO442">IFERROR(INDEX(Transactions[[Transaction code]:[Transaction name]],_xlfn.XMATCH(INDEX(Transactions[[Transaction name]:[Parent code]],_xlfn.XMATCH(Transactions[[#This Row],[L4N]],Transactions[Transaction name],0),3),Transactions[Transaction code],0),2),Transactions[[#This Row],[L4N]])</f>
        <v>Transformation</v>
      </c>
      <c r="AP442" s="26" t="str" cm="1">
        <f t="array" ref="AP442">IFERROR(INDEX(Transactions[[Transaction code]:[Transaction name]],_xlfn.XMATCH(INDEX(Transactions[[Transaction name]:[Parent code]],_xlfn.XMATCH(Transactions[[#This Row],[L5N]],Transactions[Transaction name],0),3),Transactions[Transaction code],0),2),Transactions[[#This Row],[L5N]])</f>
        <v>Transformation</v>
      </c>
      <c r="AQ442" s="26" t="str" cm="1">
        <f t="array" ref="AQ442">IFERROR(INDEX(Transactions[[Transaction code]:[Transaction name]],_xlfn.XMATCH(INDEX(Transactions[[Transaction name]:[Parent code]],_xlfn.XMATCH(Transactions[[#This Row],[L6N]],Transactions[Transaction name],0),3),Transactions[Transaction code],0),2),Transactions[[#This Row],[L6N]])</f>
        <v>Transformation</v>
      </c>
      <c r="AR442" s="30" t="str">
        <f>IF(Transactions[[#This Row],[L7N]]=Transactions[[#This Row],[L6N]],Transactions[[#This Row],[L7N]],IF(Transactions[[#This Row],[L6N]]=Transactions[[#This Row],[L5N]],Transactions[[#This Row],[L6N]],IF(Transactions[[#This Row],[L5N]]=Transactions[[#This Row],[L4N]],Transactions[[#This Row],[L5N]],IF(Transactions[[#This Row],[L4N]]=Transactions[[#This Row],[L3N]],Transactions[[#This Row],[L4N]],IF(Transactions[[#This Row],[L3N]]=Transactions[[#This Row],[L2N]],Transactions[[#This Row],[L3N]],IF(Transactions[[#This Row],[L2N]]=Transactions[[#This Row],[L1N]],Transactions[[#This Row],[L2N]],IF(Transactions[[#This Row],[L1N]]=Transactions[[#This Row],[Transaction name]],Transactions[[#This Row],[L1N]],Transactions[[#This Row],[Transaction name]])))))))</f>
        <v>Transformation</v>
      </c>
      <c r="AS442" s="26" t="str">
        <f>IF(Transactions[[#This Row],[Level 0]]=Transactions[[#This Row],[Transaction name]],Transactions[[#This Row],[Transaction name]],IF(Transactions[[#This Row],[Level 0]]=Transactions[[#This Row],[L1N]],Transactions[[#This Row],[Transaction name]],IF(Transactions[[#This Row],[Level 0]]=Transactions[[#This Row],[L2N]],Transactions[[#This Row],[L1N]],IF(Transactions[[#This Row],[Level 0]]=Transactions[[#This Row],[L3N]],Transactions[[#This Row],[L2N]],IF(Transactions[[#This Row],[Level 0]]=Transactions[[#This Row],[L4N]],Transactions[[#This Row],[L3N]],IF(Transactions[[#This Row],[Level 0]]=Transactions[[#This Row],[L5N]],Transactions[[#This Row],[L4N]],IF(Transactions[[#This Row],[Level 0]]=Transactions[[#This Row],[L6N]],Transactions[[#This Row],[L5N]],IF(Transactions[[#This Row],[Level 0]]=Transactions[[#This Row],[L7N]],Transactions[[#This Row],[L6N]],Transactions[[#This Row],[L7N]]))))))))</f>
        <v>Electricity, CHP and heat plants (T)</v>
      </c>
      <c r="AT442" s="26" t="str">
        <f>IF(Transactions[[#This Row],[Level 1]]=Transactions[[#This Row],[Transaction name]],Transactions[[#This Row],[Transaction name]],IF(Transactions[[#This Row],[Level 1]]=Transactions[[#This Row],[L1N]],Transactions[[#This Row],[Transaction name]],IF(Transactions[[#This Row],[Level 1]]=Transactions[[#This Row],[L2N]],Transactions[[#This Row],[L1N]],IF(Transactions[[#This Row],[Level 1]]=Transactions[[#This Row],[L3N]],Transactions[[#This Row],[L2N]],IF(Transactions[[#This Row],[Level 1]]=Transactions[[#This Row],[L4N]],Transactions[[#This Row],[L3N]],IF(Transactions[[#This Row],[Level 1]]=Transactions[[#This Row],[L5N]],Transactions[[#This Row],[L4N]],IF(Transactions[[#This Row],[Level 1]]=Transactions[[#This Row],[L6N]],Transactions[[#This Row],[L5N]],IF(Transactions[[#This Row],[Level 1]]=Transactions[[#This Row],[L7N]],Transactions[[#This Row],[L6N]],Transactions[[#This Row],[L7N]]))))))))</f>
        <v>Energy plants - shale</v>
      </c>
      <c r="AU442" s="26" t="str">
        <f>IF(Transactions[[#This Row],[Level 2]]=Transactions[[#This Row],[Transaction name]],Transactions[[#This Row],[Transaction name]],IF(Transactions[[#This Row],[Level 2]]=Transactions[[#This Row],[L1N]],Transactions[[#This Row],[Transaction name]],IF(Transactions[[#This Row],[Level 2]]=Transactions[[#This Row],[L2N]],Transactions[[#This Row],[L1N]],IF(Transactions[[#This Row],[Level 2]]=Transactions[[#This Row],[L3N]],Transactions[[#This Row],[L2N]],IF(Transactions[[#This Row],[Level 2]]=Transactions[[#This Row],[L4N]],Transactions[[#This Row],[L3N]],IF(Transactions[[#This Row],[Level 2]]=Transactions[[#This Row],[L5N]],Transactions[[#This Row],[L4N]],IF(Transactions[[#This Row],[Level 2]]=Transactions[[#This Row],[L6N]],Transactions[[#This Row],[L5N]],IF(Transactions[[#This Row],[Level 2]]=Transactions[[#This Row],[L7N]],Transactions[[#This Row],[L6N]],Transactions[[#This Row],[L7N]]))))))))</f>
        <v>Energy plants - shale</v>
      </c>
      <c r="AV442" s="26" t="str">
        <f>IF(Transactions[[#This Row],[Level 3]]=Transactions[[#This Row],[Transaction name]],Transactions[[#This Row],[Transaction name]],IF(Transactions[[#This Row],[Level 3]]=Transactions[[#This Row],[L1N]],Transactions[[#This Row],[Transaction name]],IF(Transactions[[#This Row],[Level 3]]=Transactions[[#This Row],[L2N]],Transactions[[#This Row],[L1N]],IF(Transactions[[#This Row],[Level 3]]=Transactions[[#This Row],[L3N]],Transactions[[#This Row],[L2N]],IF(Transactions[[#This Row],[Level 3]]=Transactions[[#This Row],[L4N]],Transactions[[#This Row],[L3N]],IF(Transactions[[#This Row],[Level 3]]=Transactions[[#This Row],[L5N]],Transactions[[#This Row],[L4N]],IF(Transactions[[#This Row],[Level 3]]=Transactions[[#This Row],[L6N]],Transactions[[#This Row],[L5N]],IF(Transactions[[#This Row],[Level 3]]=Transactions[[#This Row],[L7N]],Transactions[[#This Row],[L6N]],Transactions[[#This Row],[L7N]]))))))))</f>
        <v>Energy plants - shale</v>
      </c>
      <c r="AW442" s="26" t="str">
        <f>IF(Transactions[[#This Row],[Level 4]]=Transactions[[#This Row],[Transaction name]],Transactions[[#This Row],[Transaction name]],IF(Transactions[[#This Row],[Level 4]]=Transactions[[#This Row],[L1N]],Transactions[[#This Row],[Transaction name]],IF(Transactions[[#This Row],[Level 4]]=Transactions[[#This Row],[L2N]],Transactions[[#This Row],[L1N]],IF(Transactions[[#This Row],[Level 4]]=Transactions[[#This Row],[L3N]],Transactions[[#This Row],[L2N]],IF(Transactions[[#This Row],[Level 4]]=Transactions[[#This Row],[L4N]],Transactions[[#This Row],[L3N]],IF(Transactions[[#This Row],[Level 4]]=Transactions[[#This Row],[L5N]],Transactions[[#This Row],[L4N]],IF(Transactions[[#This Row],[Level 4]]=Transactions[[#This Row],[L6N]],Transactions[[#This Row],[L5N]],IF(Transactions[[#This Row],[Level 4]]=Transactions[[#This Row],[L7N]],Transactions[[#This Row],[L6N]],Transactions[[#This Row],[L7N]]))))))))</f>
        <v>Energy plants - shale</v>
      </c>
      <c r="AX442" s="26" t="str">
        <f>IF(Transactions[[#This Row],[Level 5]]=Transactions[[#This Row],[Transaction name]],Transactions[[#This Row],[Transaction name]],IF(Transactions[[#This Row],[Level 5]]=Transactions[[#This Row],[L1N]],Transactions[[#This Row],[Transaction name]],IF(Transactions[[#This Row],[Level 5]]=Transactions[[#This Row],[L2N]],Transactions[[#This Row],[L1N]],IF(Transactions[[#This Row],[Level 5]]=Transactions[[#This Row],[L3N]],Transactions[[#This Row],[L2N]],IF(Transactions[[#This Row],[Level 5]]=Transactions[[#This Row],[L4N]],Transactions[[#This Row],[L3N]],IF(Transactions[[#This Row],[Level 5]]=Transactions[[#This Row],[L5N]],Transactions[[#This Row],[L4N]],IF(Transactions[[#This Row],[Level 5]]=Transactions[[#This Row],[L6N]],Transactions[[#This Row],[L5N]],IF(Transactions[[#This Row],[Level 5]]=Transactions[[#This Row],[L7N]],Transactions[[#This Row],[L6N]],Transactions[[#This Row],[L7N]]))))))))</f>
        <v>Energy plants - shale</v>
      </c>
      <c r="AY442" s="26" t="str">
        <f>IF(Transactions[[#This Row],[Level 6]]=Transactions[[#This Row],[Transaction name]],Transactions[[#This Row],[Transaction name]],IF(Transactions[[#This Row],[Level 6]]=Transactions[[#This Row],[L1N]],Transactions[[#This Row],[Transaction name]],IF(Transactions[[#This Row],[Level 6]]=Transactions[[#This Row],[L2N]],Transactions[[#This Row],[L1N]],IF(Transactions[[#This Row],[Level 6]]=Transactions[[#This Row],[L3N]],Transactions[[#This Row],[L2N]],IF(Transactions[[#This Row],[Level 6]]=Transactions[[#This Row],[L4N]],Transactions[[#This Row],[L3N]],IF(Transactions[[#This Row],[Level 6]]=Transactions[[#This Row],[L5N]],Transactions[[#This Row],[L4N]],IF(Transactions[[#This Row],[Level 6]]=Transactions[[#This Row],[L6N]],Transactions[[#This Row],[L5N]],IF(Transactions[[#This Row],[Level 6]]=Transactions[[#This Row],[L7N]],Transactions[[#This Row],[L6N]],Transactions[[#This Row],[L7N]]))))))))</f>
        <v>Energy plants - shale</v>
      </c>
      <c r="BE442" s="26" t="str">
        <f>_xlfn.XLOOKUP(Transformation[[#This Row],[cfrom]],Commodities[Commodity],Commodities[Commodity code])</f>
        <v>4693</v>
      </c>
      <c r="BF442" s="26" t="str">
        <f>_xlfn.XLOOKUP(Transformation[[#This Row],[tfrom]],Transactions[Transaction name],Transactions[Transaction code])</f>
        <v>022</v>
      </c>
      <c r="BG442" s="26" t="str">
        <f>_xlfn.XLOOKUP(Transformation[[#This Row],[cto]],Commodities[Commodity],Commodities[Commodity code])</f>
        <v>4693</v>
      </c>
      <c r="BH442" s="26" t="str">
        <f>_xlfn.XLOOKUP(Transformation[[#This Row],[tto]],Transactions[Transaction name],Transactions[Transaction code])</f>
        <v>013</v>
      </c>
      <c r="BI442" s="31">
        <v>1</v>
      </c>
      <c r="BJ442" s="22" t="s">
        <v>356</v>
      </c>
      <c r="BK442" s="26" t="str">
        <f>_xlfn.XLOOKUP(Transformation[[#This Row],[Commodity from]],Commodities[Commodity code],Commodities[EnergyCode])</f>
        <v>PW</v>
      </c>
      <c r="BL442" s="22" t="s">
        <v>205</v>
      </c>
      <c r="BM442" s="22" t="s">
        <v>356</v>
      </c>
      <c r="BN442" s="26" t="str">
        <f>_xlfn.XLOOKUP(Transformation[[#This Row],[Commodity to]],Commodities[Commodity code],Commodities[EnergyCode])</f>
        <v>PW</v>
      </c>
      <c r="BO442" s="22" t="s">
        <v>374</v>
      </c>
      <c r="BP442" s="22" t="s">
        <v>1694</v>
      </c>
      <c r="BQ442" s="33" t="str">
        <f>Transformation[[#This Row],[Commodity from]]&amp;Transformation[[#This Row],[Transaction from]]&amp;Transformation[[#This Row],[Commodity to]]&amp;Transformation[[#This Row],[Transaction to]]</f>
        <v>46930224693013</v>
      </c>
      <c r="BR442" s="26" t="str">
        <f>Transformation[[#This Row],[crfomid]]&amp;Transformation[[#This Row],[Transaction from]]&amp;"("&amp;Transformation[[#This Row],[Multiplier]]&amp;") -&gt; "&amp;Transformation[[#This Row],[ctoid]]&amp;Transformation[[#This Row],[Transaction to]]</f>
        <v>PW022(1) -&gt; PW013</v>
      </c>
    </row>
    <row r="443" spans="25:70" x14ac:dyDescent="0.45">
      <c r="Y443" s="19" t="s">
        <v>1468</v>
      </c>
      <c r="Z443" s="18" t="s">
        <v>1540</v>
      </c>
      <c r="AA443" s="18" t="s">
        <v>1540</v>
      </c>
      <c r="AB443" s="18" t="s">
        <v>171</v>
      </c>
      <c r="AC443" s="26" t="str">
        <f>IFERROR(VLOOKUP(Transactions[[#This Row],[Parent code]],Transactions[[Transaction code]:[Transaction name]],2,0),"")</f>
        <v>Electricity, CHP and heat plants (T)</v>
      </c>
      <c r="AD443" s="18" t="s">
        <v>189</v>
      </c>
      <c r="AE443" s="18" t="s">
        <v>959</v>
      </c>
      <c r="AF443" s="18" t="s">
        <v>642</v>
      </c>
      <c r="AG443" s="18" t="s">
        <v>1</v>
      </c>
      <c r="AH443" s="18" t="s">
        <v>696</v>
      </c>
      <c r="AI443" s="18"/>
      <c r="AJ443" s="18" t="s">
        <v>0</v>
      </c>
      <c r="AK443" s="26" t="str" cm="1">
        <f t="array" ref="AK443">IFERROR(INDEX(Transactions[[Transaction code]:[Transaction name]],_xlfn.XMATCH(Transactions[[#This Row],[Parent code]],Transactions[Transaction name],0),3),Transactions[[#This Row],[Transaction name]])</f>
        <v>Energy plants - Solar</v>
      </c>
      <c r="AL443" s="26" t="str" cm="1">
        <f t="array" ref="AL443">IFERROR(INDEX(Transactions[[Transaction code]:[Transaction name]],_xlfn.XMATCH(INDEX(Transactions[[Transaction name]:[Parent code]],_xlfn.XMATCH(Transactions[[#This Row],[L1N]],Transactions[Transaction name],0),3),Transactions[Transaction code],0),2),Transactions[[#This Row],[L1N]])</f>
        <v>Electricity, CHP and heat plants (T)</v>
      </c>
      <c r="AM443" s="26" t="str" cm="1">
        <f t="array" ref="AM443">IFERROR(INDEX(Transactions[[Transaction code]:[Transaction name]],_xlfn.XMATCH(INDEX(Transactions[[Transaction name]:[Parent code]],_xlfn.XMATCH(Transactions[[#This Row],[L2N]],Transactions[Transaction name],0),3),Transactions[Transaction code],0),2),Transactions[[#This Row],[L2N]])</f>
        <v>Transformation</v>
      </c>
      <c r="AN443" s="26" t="str" cm="1">
        <f t="array" ref="AN443">IFERROR(INDEX(Transactions[[Transaction code]:[Transaction name]],_xlfn.XMATCH(INDEX(Transactions[[Transaction name]:[Parent code]],_xlfn.XMATCH(Transactions[[#This Row],[L3N]],Transactions[Transaction name],0),3),Transactions[Transaction code],0),2),Transactions[[#This Row],[L3N]])</f>
        <v>Transformation</v>
      </c>
      <c r="AO443" s="26" t="str" cm="1">
        <f t="array" ref="AO443">IFERROR(INDEX(Transactions[[Transaction code]:[Transaction name]],_xlfn.XMATCH(INDEX(Transactions[[Transaction name]:[Parent code]],_xlfn.XMATCH(Transactions[[#This Row],[L4N]],Transactions[Transaction name],0),3),Transactions[Transaction code],0),2),Transactions[[#This Row],[L4N]])</f>
        <v>Transformation</v>
      </c>
      <c r="AP443" s="26" t="str" cm="1">
        <f t="array" ref="AP443">IFERROR(INDEX(Transactions[[Transaction code]:[Transaction name]],_xlfn.XMATCH(INDEX(Transactions[[Transaction name]:[Parent code]],_xlfn.XMATCH(Transactions[[#This Row],[L5N]],Transactions[Transaction name],0),3),Transactions[Transaction code],0),2),Transactions[[#This Row],[L5N]])</f>
        <v>Transformation</v>
      </c>
      <c r="AQ443" s="26" t="str" cm="1">
        <f t="array" ref="AQ443">IFERROR(INDEX(Transactions[[Transaction code]:[Transaction name]],_xlfn.XMATCH(INDEX(Transactions[[Transaction name]:[Parent code]],_xlfn.XMATCH(Transactions[[#This Row],[L6N]],Transactions[Transaction name],0),3),Transactions[Transaction code],0),2),Transactions[[#This Row],[L6N]])</f>
        <v>Transformation</v>
      </c>
      <c r="AR443" s="30" t="str">
        <f>IF(Transactions[[#This Row],[L7N]]=Transactions[[#This Row],[L6N]],Transactions[[#This Row],[L7N]],IF(Transactions[[#This Row],[L6N]]=Transactions[[#This Row],[L5N]],Transactions[[#This Row],[L6N]],IF(Transactions[[#This Row],[L5N]]=Transactions[[#This Row],[L4N]],Transactions[[#This Row],[L5N]],IF(Transactions[[#This Row],[L4N]]=Transactions[[#This Row],[L3N]],Transactions[[#This Row],[L4N]],IF(Transactions[[#This Row],[L3N]]=Transactions[[#This Row],[L2N]],Transactions[[#This Row],[L3N]],IF(Transactions[[#This Row],[L2N]]=Transactions[[#This Row],[L1N]],Transactions[[#This Row],[L2N]],IF(Transactions[[#This Row],[L1N]]=Transactions[[#This Row],[Transaction name]],Transactions[[#This Row],[L1N]],Transactions[[#This Row],[Transaction name]])))))))</f>
        <v>Transformation</v>
      </c>
      <c r="AS443" s="26" t="str">
        <f>IF(Transactions[[#This Row],[Level 0]]=Transactions[[#This Row],[Transaction name]],Transactions[[#This Row],[Transaction name]],IF(Transactions[[#This Row],[Level 0]]=Transactions[[#This Row],[L1N]],Transactions[[#This Row],[Transaction name]],IF(Transactions[[#This Row],[Level 0]]=Transactions[[#This Row],[L2N]],Transactions[[#This Row],[L1N]],IF(Transactions[[#This Row],[Level 0]]=Transactions[[#This Row],[L3N]],Transactions[[#This Row],[L2N]],IF(Transactions[[#This Row],[Level 0]]=Transactions[[#This Row],[L4N]],Transactions[[#This Row],[L3N]],IF(Transactions[[#This Row],[Level 0]]=Transactions[[#This Row],[L5N]],Transactions[[#This Row],[L4N]],IF(Transactions[[#This Row],[Level 0]]=Transactions[[#This Row],[L6N]],Transactions[[#This Row],[L5N]],IF(Transactions[[#This Row],[Level 0]]=Transactions[[#This Row],[L7N]],Transactions[[#This Row],[L6N]],Transactions[[#This Row],[L7N]]))))))))</f>
        <v>Electricity, CHP and heat plants (T)</v>
      </c>
      <c r="AT443" s="26" t="str">
        <f>IF(Transactions[[#This Row],[Level 1]]=Transactions[[#This Row],[Transaction name]],Transactions[[#This Row],[Transaction name]],IF(Transactions[[#This Row],[Level 1]]=Transactions[[#This Row],[L1N]],Transactions[[#This Row],[Transaction name]],IF(Transactions[[#This Row],[Level 1]]=Transactions[[#This Row],[L2N]],Transactions[[#This Row],[L1N]],IF(Transactions[[#This Row],[Level 1]]=Transactions[[#This Row],[L3N]],Transactions[[#This Row],[L2N]],IF(Transactions[[#This Row],[Level 1]]=Transactions[[#This Row],[L4N]],Transactions[[#This Row],[L3N]],IF(Transactions[[#This Row],[Level 1]]=Transactions[[#This Row],[L5N]],Transactions[[#This Row],[L4N]],IF(Transactions[[#This Row],[Level 1]]=Transactions[[#This Row],[L6N]],Transactions[[#This Row],[L5N]],IF(Transactions[[#This Row],[Level 1]]=Transactions[[#This Row],[L7N]],Transactions[[#This Row],[L6N]],Transactions[[#This Row],[L7N]]))))))))</f>
        <v>Energy plants - Solar</v>
      </c>
      <c r="AU443" s="26" t="str">
        <f>IF(Transactions[[#This Row],[Level 2]]=Transactions[[#This Row],[Transaction name]],Transactions[[#This Row],[Transaction name]],IF(Transactions[[#This Row],[Level 2]]=Transactions[[#This Row],[L1N]],Transactions[[#This Row],[Transaction name]],IF(Transactions[[#This Row],[Level 2]]=Transactions[[#This Row],[L2N]],Transactions[[#This Row],[L1N]],IF(Transactions[[#This Row],[Level 2]]=Transactions[[#This Row],[L3N]],Transactions[[#This Row],[L2N]],IF(Transactions[[#This Row],[Level 2]]=Transactions[[#This Row],[L4N]],Transactions[[#This Row],[L3N]],IF(Transactions[[#This Row],[Level 2]]=Transactions[[#This Row],[L5N]],Transactions[[#This Row],[L4N]],IF(Transactions[[#This Row],[Level 2]]=Transactions[[#This Row],[L6N]],Transactions[[#This Row],[L5N]],IF(Transactions[[#This Row],[Level 2]]=Transactions[[#This Row],[L7N]],Transactions[[#This Row],[L6N]],Transactions[[#This Row],[L7N]]))))))))</f>
        <v>Energy plants - Solar</v>
      </c>
      <c r="AV443" s="26" t="str">
        <f>IF(Transactions[[#This Row],[Level 3]]=Transactions[[#This Row],[Transaction name]],Transactions[[#This Row],[Transaction name]],IF(Transactions[[#This Row],[Level 3]]=Transactions[[#This Row],[L1N]],Transactions[[#This Row],[Transaction name]],IF(Transactions[[#This Row],[Level 3]]=Transactions[[#This Row],[L2N]],Transactions[[#This Row],[L1N]],IF(Transactions[[#This Row],[Level 3]]=Transactions[[#This Row],[L3N]],Transactions[[#This Row],[L2N]],IF(Transactions[[#This Row],[Level 3]]=Transactions[[#This Row],[L4N]],Transactions[[#This Row],[L3N]],IF(Transactions[[#This Row],[Level 3]]=Transactions[[#This Row],[L5N]],Transactions[[#This Row],[L4N]],IF(Transactions[[#This Row],[Level 3]]=Transactions[[#This Row],[L6N]],Transactions[[#This Row],[L5N]],IF(Transactions[[#This Row],[Level 3]]=Transactions[[#This Row],[L7N]],Transactions[[#This Row],[L6N]],Transactions[[#This Row],[L7N]]))))))))</f>
        <v>Energy plants - Solar</v>
      </c>
      <c r="AW443" s="26" t="str">
        <f>IF(Transactions[[#This Row],[Level 4]]=Transactions[[#This Row],[Transaction name]],Transactions[[#This Row],[Transaction name]],IF(Transactions[[#This Row],[Level 4]]=Transactions[[#This Row],[L1N]],Transactions[[#This Row],[Transaction name]],IF(Transactions[[#This Row],[Level 4]]=Transactions[[#This Row],[L2N]],Transactions[[#This Row],[L1N]],IF(Transactions[[#This Row],[Level 4]]=Transactions[[#This Row],[L3N]],Transactions[[#This Row],[L2N]],IF(Transactions[[#This Row],[Level 4]]=Transactions[[#This Row],[L4N]],Transactions[[#This Row],[L3N]],IF(Transactions[[#This Row],[Level 4]]=Transactions[[#This Row],[L5N]],Transactions[[#This Row],[L4N]],IF(Transactions[[#This Row],[Level 4]]=Transactions[[#This Row],[L6N]],Transactions[[#This Row],[L5N]],IF(Transactions[[#This Row],[Level 4]]=Transactions[[#This Row],[L7N]],Transactions[[#This Row],[L6N]],Transactions[[#This Row],[L7N]]))))))))</f>
        <v>Energy plants - Solar</v>
      </c>
      <c r="AX443" s="26" t="str">
        <f>IF(Transactions[[#This Row],[Level 5]]=Transactions[[#This Row],[Transaction name]],Transactions[[#This Row],[Transaction name]],IF(Transactions[[#This Row],[Level 5]]=Transactions[[#This Row],[L1N]],Transactions[[#This Row],[Transaction name]],IF(Transactions[[#This Row],[Level 5]]=Transactions[[#This Row],[L2N]],Transactions[[#This Row],[L1N]],IF(Transactions[[#This Row],[Level 5]]=Transactions[[#This Row],[L3N]],Transactions[[#This Row],[L2N]],IF(Transactions[[#This Row],[Level 5]]=Transactions[[#This Row],[L4N]],Transactions[[#This Row],[L3N]],IF(Transactions[[#This Row],[Level 5]]=Transactions[[#This Row],[L5N]],Transactions[[#This Row],[L4N]],IF(Transactions[[#This Row],[Level 5]]=Transactions[[#This Row],[L6N]],Transactions[[#This Row],[L5N]],IF(Transactions[[#This Row],[Level 5]]=Transactions[[#This Row],[L7N]],Transactions[[#This Row],[L6N]],Transactions[[#This Row],[L7N]]))))))))</f>
        <v>Energy plants - Solar</v>
      </c>
      <c r="AY443" s="26" t="str">
        <f>IF(Transactions[[#This Row],[Level 6]]=Transactions[[#This Row],[Transaction name]],Transactions[[#This Row],[Transaction name]],IF(Transactions[[#This Row],[Level 6]]=Transactions[[#This Row],[L1N]],Transactions[[#This Row],[Transaction name]],IF(Transactions[[#This Row],[Level 6]]=Transactions[[#This Row],[L2N]],Transactions[[#This Row],[L1N]],IF(Transactions[[#This Row],[Level 6]]=Transactions[[#This Row],[L3N]],Transactions[[#This Row],[L2N]],IF(Transactions[[#This Row],[Level 6]]=Transactions[[#This Row],[L4N]],Transactions[[#This Row],[L3N]],IF(Transactions[[#This Row],[Level 6]]=Transactions[[#This Row],[L5N]],Transactions[[#This Row],[L4N]],IF(Transactions[[#This Row],[Level 6]]=Transactions[[#This Row],[L6N]],Transactions[[#This Row],[L5N]],IF(Transactions[[#This Row],[Level 6]]=Transactions[[#This Row],[L7N]],Transactions[[#This Row],[L6N]],Transactions[[#This Row],[L7N]]))))))))</f>
        <v>Energy plants - Solar</v>
      </c>
      <c r="BE443" s="26" t="str">
        <f>_xlfn.XLOOKUP(Transformation[[#This Row],[cfrom]],Commodities[Commodity],Commodities[Commodity code])</f>
        <v>4680</v>
      </c>
      <c r="BF443" s="26" t="str">
        <f>_xlfn.XLOOKUP(Transformation[[#This Row],[tfrom]],Transactions[Transaction name],Transactions[Transaction code])</f>
        <v>01</v>
      </c>
      <c r="BG443" s="26" t="str">
        <f>_xlfn.XLOOKUP(Transformation[[#This Row],[cto]],Commodities[Commodity],Commodities[Commodity code])</f>
        <v>4680</v>
      </c>
      <c r="BH443" s="26" t="str">
        <f>_xlfn.XLOOKUP(Transformation[[#This Row],[tto]],Transactions[Transaction name],Transactions[Transaction code])</f>
        <v>01</v>
      </c>
      <c r="BI443" s="32">
        <v>-1</v>
      </c>
      <c r="BJ443" s="22" t="s">
        <v>368</v>
      </c>
      <c r="BK443" s="26" t="str">
        <f>_xlfn.XLOOKUP(Transformation[[#This Row],[Commodity from]],Commodities[Commodity code],Commodities[EnergyCode])</f>
        <v>RF</v>
      </c>
      <c r="BL443" s="22" t="s">
        <v>383</v>
      </c>
      <c r="BM443" s="22" t="s">
        <v>368</v>
      </c>
      <c r="BN443" s="26" t="str">
        <f>_xlfn.XLOOKUP(Transformation[[#This Row],[Commodity to]],Commodities[Commodity code],Commodities[EnergyCode])</f>
        <v>RF</v>
      </c>
      <c r="BO443" s="22" t="s">
        <v>383</v>
      </c>
      <c r="BP443" s="22" t="s">
        <v>1633</v>
      </c>
      <c r="BQ443" s="33" t="str">
        <f>Transformation[[#This Row],[Commodity from]]&amp;Transformation[[#This Row],[Transaction from]]&amp;Transformation[[#This Row],[Commodity to]]&amp;Transformation[[#This Row],[Transaction to]]</f>
        <v>468001468001</v>
      </c>
      <c r="BR443" s="26" t="str">
        <f>Transformation[[#This Row],[crfomid]]&amp;Transformation[[#This Row],[Transaction from]]&amp;"("&amp;Transformation[[#This Row],[Multiplier]]&amp;") -&gt; "&amp;Transformation[[#This Row],[ctoid]]&amp;Transformation[[#This Row],[Transaction to]]</f>
        <v>RF01(-1) -&gt; RF01</v>
      </c>
    </row>
    <row r="444" spans="25:70" x14ac:dyDescent="0.45">
      <c r="Y444" s="19" t="s">
        <v>1516</v>
      </c>
      <c r="Z444" s="18" t="s">
        <v>1541</v>
      </c>
      <c r="AA444" s="18" t="s">
        <v>1541</v>
      </c>
      <c r="AB444" s="18" t="s">
        <v>171</v>
      </c>
      <c r="AC444" s="26" t="str">
        <f>IFERROR(VLOOKUP(Transactions[[#This Row],[Parent code]],Transactions[[Transaction code]:[Transaction name]],2,0),"")</f>
        <v>Electricity, CHP and heat plants (T)</v>
      </c>
      <c r="AD444" s="18" t="s">
        <v>189</v>
      </c>
      <c r="AE444" s="18" t="s">
        <v>959</v>
      </c>
      <c r="AF444" s="18" t="s">
        <v>642</v>
      </c>
      <c r="AG444" s="18" t="s">
        <v>1</v>
      </c>
      <c r="AH444" s="18" t="s">
        <v>696</v>
      </c>
      <c r="AI444" s="18"/>
      <c r="AJ444" s="18" t="s">
        <v>0</v>
      </c>
      <c r="AK444" s="26" t="str" cm="1">
        <f t="array" ref="AK444">IFERROR(INDEX(Transactions[[Transaction code]:[Transaction name]],_xlfn.XMATCH(Transactions[[#This Row],[Parent code]],Transactions[Transaction name],0),3),Transactions[[#This Row],[Transaction name]])</f>
        <v>Energy plants - Solar CSP</v>
      </c>
      <c r="AL444" s="26" t="str" cm="1">
        <f t="array" ref="AL444">IFERROR(INDEX(Transactions[[Transaction code]:[Transaction name]],_xlfn.XMATCH(INDEX(Transactions[[Transaction name]:[Parent code]],_xlfn.XMATCH(Transactions[[#This Row],[L1N]],Transactions[Transaction name],0),3),Transactions[Transaction code],0),2),Transactions[[#This Row],[L1N]])</f>
        <v>Electricity, CHP and heat plants (T)</v>
      </c>
      <c r="AM444" s="26" t="str" cm="1">
        <f t="array" ref="AM444">IFERROR(INDEX(Transactions[[Transaction code]:[Transaction name]],_xlfn.XMATCH(INDEX(Transactions[[Transaction name]:[Parent code]],_xlfn.XMATCH(Transactions[[#This Row],[L2N]],Transactions[Transaction name],0),3),Transactions[Transaction code],0),2),Transactions[[#This Row],[L2N]])</f>
        <v>Transformation</v>
      </c>
      <c r="AN444" s="26" t="str" cm="1">
        <f t="array" ref="AN444">IFERROR(INDEX(Transactions[[Transaction code]:[Transaction name]],_xlfn.XMATCH(INDEX(Transactions[[Transaction name]:[Parent code]],_xlfn.XMATCH(Transactions[[#This Row],[L3N]],Transactions[Transaction name],0),3),Transactions[Transaction code],0),2),Transactions[[#This Row],[L3N]])</f>
        <v>Transformation</v>
      </c>
      <c r="AO444" s="26" t="str" cm="1">
        <f t="array" ref="AO444">IFERROR(INDEX(Transactions[[Transaction code]:[Transaction name]],_xlfn.XMATCH(INDEX(Transactions[[Transaction name]:[Parent code]],_xlfn.XMATCH(Transactions[[#This Row],[L4N]],Transactions[Transaction name],0),3),Transactions[Transaction code],0),2),Transactions[[#This Row],[L4N]])</f>
        <v>Transformation</v>
      </c>
      <c r="AP444" s="26" t="str" cm="1">
        <f t="array" ref="AP444">IFERROR(INDEX(Transactions[[Transaction code]:[Transaction name]],_xlfn.XMATCH(INDEX(Transactions[[Transaction name]:[Parent code]],_xlfn.XMATCH(Transactions[[#This Row],[L5N]],Transactions[Transaction name],0),3),Transactions[Transaction code],0),2),Transactions[[#This Row],[L5N]])</f>
        <v>Transformation</v>
      </c>
      <c r="AQ444" s="26" t="str" cm="1">
        <f t="array" ref="AQ444">IFERROR(INDEX(Transactions[[Transaction code]:[Transaction name]],_xlfn.XMATCH(INDEX(Transactions[[Transaction name]:[Parent code]],_xlfn.XMATCH(Transactions[[#This Row],[L6N]],Transactions[Transaction name],0),3),Transactions[Transaction code],0),2),Transactions[[#This Row],[L6N]])</f>
        <v>Transformation</v>
      </c>
      <c r="AR444" s="30" t="str">
        <f>IF(Transactions[[#This Row],[L7N]]=Transactions[[#This Row],[L6N]],Transactions[[#This Row],[L7N]],IF(Transactions[[#This Row],[L6N]]=Transactions[[#This Row],[L5N]],Transactions[[#This Row],[L6N]],IF(Transactions[[#This Row],[L5N]]=Transactions[[#This Row],[L4N]],Transactions[[#This Row],[L5N]],IF(Transactions[[#This Row],[L4N]]=Transactions[[#This Row],[L3N]],Transactions[[#This Row],[L4N]],IF(Transactions[[#This Row],[L3N]]=Transactions[[#This Row],[L2N]],Transactions[[#This Row],[L3N]],IF(Transactions[[#This Row],[L2N]]=Transactions[[#This Row],[L1N]],Transactions[[#This Row],[L2N]],IF(Transactions[[#This Row],[L1N]]=Transactions[[#This Row],[Transaction name]],Transactions[[#This Row],[L1N]],Transactions[[#This Row],[Transaction name]])))))))</f>
        <v>Transformation</v>
      </c>
      <c r="AS444" s="26" t="str">
        <f>IF(Transactions[[#This Row],[Level 0]]=Transactions[[#This Row],[Transaction name]],Transactions[[#This Row],[Transaction name]],IF(Transactions[[#This Row],[Level 0]]=Transactions[[#This Row],[L1N]],Transactions[[#This Row],[Transaction name]],IF(Transactions[[#This Row],[Level 0]]=Transactions[[#This Row],[L2N]],Transactions[[#This Row],[L1N]],IF(Transactions[[#This Row],[Level 0]]=Transactions[[#This Row],[L3N]],Transactions[[#This Row],[L2N]],IF(Transactions[[#This Row],[Level 0]]=Transactions[[#This Row],[L4N]],Transactions[[#This Row],[L3N]],IF(Transactions[[#This Row],[Level 0]]=Transactions[[#This Row],[L5N]],Transactions[[#This Row],[L4N]],IF(Transactions[[#This Row],[Level 0]]=Transactions[[#This Row],[L6N]],Transactions[[#This Row],[L5N]],IF(Transactions[[#This Row],[Level 0]]=Transactions[[#This Row],[L7N]],Transactions[[#This Row],[L6N]],Transactions[[#This Row],[L7N]]))))))))</f>
        <v>Electricity, CHP and heat plants (T)</v>
      </c>
      <c r="AT444" s="26" t="str">
        <f>IF(Transactions[[#This Row],[Level 1]]=Transactions[[#This Row],[Transaction name]],Transactions[[#This Row],[Transaction name]],IF(Transactions[[#This Row],[Level 1]]=Transactions[[#This Row],[L1N]],Transactions[[#This Row],[Transaction name]],IF(Transactions[[#This Row],[Level 1]]=Transactions[[#This Row],[L2N]],Transactions[[#This Row],[L1N]],IF(Transactions[[#This Row],[Level 1]]=Transactions[[#This Row],[L3N]],Transactions[[#This Row],[L2N]],IF(Transactions[[#This Row],[Level 1]]=Transactions[[#This Row],[L4N]],Transactions[[#This Row],[L3N]],IF(Transactions[[#This Row],[Level 1]]=Transactions[[#This Row],[L5N]],Transactions[[#This Row],[L4N]],IF(Transactions[[#This Row],[Level 1]]=Transactions[[#This Row],[L6N]],Transactions[[#This Row],[L5N]],IF(Transactions[[#This Row],[Level 1]]=Transactions[[#This Row],[L7N]],Transactions[[#This Row],[L6N]],Transactions[[#This Row],[L7N]]))))))))</f>
        <v>Energy plants - Solar CSP</v>
      </c>
      <c r="AU444" s="26" t="str">
        <f>IF(Transactions[[#This Row],[Level 2]]=Transactions[[#This Row],[Transaction name]],Transactions[[#This Row],[Transaction name]],IF(Transactions[[#This Row],[Level 2]]=Transactions[[#This Row],[L1N]],Transactions[[#This Row],[Transaction name]],IF(Transactions[[#This Row],[Level 2]]=Transactions[[#This Row],[L2N]],Transactions[[#This Row],[L1N]],IF(Transactions[[#This Row],[Level 2]]=Transactions[[#This Row],[L3N]],Transactions[[#This Row],[L2N]],IF(Transactions[[#This Row],[Level 2]]=Transactions[[#This Row],[L4N]],Transactions[[#This Row],[L3N]],IF(Transactions[[#This Row],[Level 2]]=Transactions[[#This Row],[L5N]],Transactions[[#This Row],[L4N]],IF(Transactions[[#This Row],[Level 2]]=Transactions[[#This Row],[L6N]],Transactions[[#This Row],[L5N]],IF(Transactions[[#This Row],[Level 2]]=Transactions[[#This Row],[L7N]],Transactions[[#This Row],[L6N]],Transactions[[#This Row],[L7N]]))))))))</f>
        <v>Energy plants - Solar CSP</v>
      </c>
      <c r="AV444" s="26" t="str">
        <f>IF(Transactions[[#This Row],[Level 3]]=Transactions[[#This Row],[Transaction name]],Transactions[[#This Row],[Transaction name]],IF(Transactions[[#This Row],[Level 3]]=Transactions[[#This Row],[L1N]],Transactions[[#This Row],[Transaction name]],IF(Transactions[[#This Row],[Level 3]]=Transactions[[#This Row],[L2N]],Transactions[[#This Row],[L1N]],IF(Transactions[[#This Row],[Level 3]]=Transactions[[#This Row],[L3N]],Transactions[[#This Row],[L2N]],IF(Transactions[[#This Row],[Level 3]]=Transactions[[#This Row],[L4N]],Transactions[[#This Row],[L3N]],IF(Transactions[[#This Row],[Level 3]]=Transactions[[#This Row],[L5N]],Transactions[[#This Row],[L4N]],IF(Transactions[[#This Row],[Level 3]]=Transactions[[#This Row],[L6N]],Transactions[[#This Row],[L5N]],IF(Transactions[[#This Row],[Level 3]]=Transactions[[#This Row],[L7N]],Transactions[[#This Row],[L6N]],Transactions[[#This Row],[L7N]]))))))))</f>
        <v>Energy plants - Solar CSP</v>
      </c>
      <c r="AW444" s="26" t="str">
        <f>IF(Transactions[[#This Row],[Level 4]]=Transactions[[#This Row],[Transaction name]],Transactions[[#This Row],[Transaction name]],IF(Transactions[[#This Row],[Level 4]]=Transactions[[#This Row],[L1N]],Transactions[[#This Row],[Transaction name]],IF(Transactions[[#This Row],[Level 4]]=Transactions[[#This Row],[L2N]],Transactions[[#This Row],[L1N]],IF(Transactions[[#This Row],[Level 4]]=Transactions[[#This Row],[L3N]],Transactions[[#This Row],[L2N]],IF(Transactions[[#This Row],[Level 4]]=Transactions[[#This Row],[L4N]],Transactions[[#This Row],[L3N]],IF(Transactions[[#This Row],[Level 4]]=Transactions[[#This Row],[L5N]],Transactions[[#This Row],[L4N]],IF(Transactions[[#This Row],[Level 4]]=Transactions[[#This Row],[L6N]],Transactions[[#This Row],[L5N]],IF(Transactions[[#This Row],[Level 4]]=Transactions[[#This Row],[L7N]],Transactions[[#This Row],[L6N]],Transactions[[#This Row],[L7N]]))))))))</f>
        <v>Energy plants - Solar CSP</v>
      </c>
      <c r="AX444" s="26" t="str">
        <f>IF(Transactions[[#This Row],[Level 5]]=Transactions[[#This Row],[Transaction name]],Transactions[[#This Row],[Transaction name]],IF(Transactions[[#This Row],[Level 5]]=Transactions[[#This Row],[L1N]],Transactions[[#This Row],[Transaction name]],IF(Transactions[[#This Row],[Level 5]]=Transactions[[#This Row],[L2N]],Transactions[[#This Row],[L1N]],IF(Transactions[[#This Row],[Level 5]]=Transactions[[#This Row],[L3N]],Transactions[[#This Row],[L2N]],IF(Transactions[[#This Row],[Level 5]]=Transactions[[#This Row],[L4N]],Transactions[[#This Row],[L3N]],IF(Transactions[[#This Row],[Level 5]]=Transactions[[#This Row],[L5N]],Transactions[[#This Row],[L4N]],IF(Transactions[[#This Row],[Level 5]]=Transactions[[#This Row],[L6N]],Transactions[[#This Row],[L5N]],IF(Transactions[[#This Row],[Level 5]]=Transactions[[#This Row],[L7N]],Transactions[[#This Row],[L6N]],Transactions[[#This Row],[L7N]]))))))))</f>
        <v>Energy plants - Solar CSP</v>
      </c>
      <c r="AY444" s="26" t="str">
        <f>IF(Transactions[[#This Row],[Level 6]]=Transactions[[#This Row],[Transaction name]],Transactions[[#This Row],[Transaction name]],IF(Transactions[[#This Row],[Level 6]]=Transactions[[#This Row],[L1N]],Transactions[[#This Row],[Transaction name]],IF(Transactions[[#This Row],[Level 6]]=Transactions[[#This Row],[L2N]],Transactions[[#This Row],[L1N]],IF(Transactions[[#This Row],[Level 6]]=Transactions[[#This Row],[L3N]],Transactions[[#This Row],[L2N]],IF(Transactions[[#This Row],[Level 6]]=Transactions[[#This Row],[L4N]],Transactions[[#This Row],[L3N]],IF(Transactions[[#This Row],[Level 6]]=Transactions[[#This Row],[L5N]],Transactions[[#This Row],[L4N]],IF(Transactions[[#This Row],[Level 6]]=Transactions[[#This Row],[L6N]],Transactions[[#This Row],[L5N]],IF(Transactions[[#This Row],[Level 6]]=Transactions[[#This Row],[L7N]],Transactions[[#This Row],[L6N]],Transactions[[#This Row],[L7N]]))))))))</f>
        <v>Energy plants - Solar CSP</v>
      </c>
      <c r="BE444" s="26" t="str">
        <f>_xlfn.XLOOKUP(Transformation[[#This Row],[cfrom]],Commodities[Commodity],Commodities[Commodity code])</f>
        <v>4680</v>
      </c>
      <c r="BF444" s="26" t="str">
        <f>_xlfn.XLOOKUP(Transformation[[#This Row],[tfrom]],Transactions[Transaction name],Transactions[Transaction code])</f>
        <v>022</v>
      </c>
      <c r="BG444" s="26" t="str">
        <f>_xlfn.XLOOKUP(Transformation[[#This Row],[cto]],Commodities[Commodity],Commodities[Commodity code])</f>
        <v>4680</v>
      </c>
      <c r="BH444" s="26" t="str">
        <f>_xlfn.XLOOKUP(Transformation[[#This Row],[tto]],Transactions[Transaction name],Transactions[Transaction code])</f>
        <v>022</v>
      </c>
      <c r="BI444" s="32">
        <v>-1</v>
      </c>
      <c r="BJ444" s="22" t="s">
        <v>368</v>
      </c>
      <c r="BK444" s="26" t="str">
        <f>_xlfn.XLOOKUP(Transformation[[#This Row],[Commodity from]],Commodities[Commodity code],Commodities[EnergyCode])</f>
        <v>RF</v>
      </c>
      <c r="BL444" s="22" t="s">
        <v>205</v>
      </c>
      <c r="BM444" s="22" t="s">
        <v>368</v>
      </c>
      <c r="BN444" s="26" t="str">
        <f>_xlfn.XLOOKUP(Transformation[[#This Row],[Commodity to]],Commodities[Commodity code],Commodities[EnergyCode])</f>
        <v>RF</v>
      </c>
      <c r="BO444" s="22" t="s">
        <v>205</v>
      </c>
      <c r="BP444" s="22" t="s">
        <v>1639</v>
      </c>
      <c r="BQ444" s="33" t="str">
        <f>Transformation[[#This Row],[Commodity from]]&amp;Transformation[[#This Row],[Transaction from]]&amp;Transformation[[#This Row],[Commodity to]]&amp;Transformation[[#This Row],[Transaction to]]</f>
        <v>46800224680022</v>
      </c>
      <c r="BR444" s="26" t="str">
        <f>Transformation[[#This Row],[crfomid]]&amp;Transformation[[#This Row],[Transaction from]]&amp;"("&amp;Transformation[[#This Row],[Multiplier]]&amp;") -&gt; "&amp;Transformation[[#This Row],[ctoid]]&amp;Transformation[[#This Row],[Transaction to]]</f>
        <v>RF022(-1) -&gt; RF022</v>
      </c>
    </row>
    <row r="445" spans="25:70" x14ac:dyDescent="0.45">
      <c r="Y445" s="19" t="s">
        <v>1517</v>
      </c>
      <c r="Z445" s="18" t="s">
        <v>1542</v>
      </c>
      <c r="AA445" s="18" t="s">
        <v>1542</v>
      </c>
      <c r="AB445" s="18" t="s">
        <v>171</v>
      </c>
      <c r="AC445" s="26" t="str">
        <f>IFERROR(VLOOKUP(Transactions[[#This Row],[Parent code]],Transactions[[Transaction code]:[Transaction name]],2,0),"")</f>
        <v>Electricity, CHP and heat plants (T)</v>
      </c>
      <c r="AD445" s="18" t="s">
        <v>189</v>
      </c>
      <c r="AE445" s="18" t="s">
        <v>959</v>
      </c>
      <c r="AF445" s="18" t="s">
        <v>642</v>
      </c>
      <c r="AG445" s="18" t="s">
        <v>1</v>
      </c>
      <c r="AH445" s="18" t="s">
        <v>696</v>
      </c>
      <c r="AI445" s="18" t="s">
        <v>1416</v>
      </c>
      <c r="AJ445" s="18" t="s">
        <v>0</v>
      </c>
      <c r="AK445" s="26" t="str" cm="1">
        <f t="array" ref="AK445">IFERROR(INDEX(Transactions[[Transaction code]:[Transaction name]],_xlfn.XMATCH(Transactions[[#This Row],[Parent code]],Transactions[Transaction name],0),3),Transactions[[#This Row],[Transaction name]])</f>
        <v>Energy plants - solid coal products</v>
      </c>
      <c r="AL445" s="26" t="str" cm="1">
        <f t="array" ref="AL445">IFERROR(INDEX(Transactions[[Transaction code]:[Transaction name]],_xlfn.XMATCH(INDEX(Transactions[[Transaction name]:[Parent code]],_xlfn.XMATCH(Transactions[[#This Row],[L1N]],Transactions[Transaction name],0),3),Transactions[Transaction code],0),2),Transactions[[#This Row],[L1N]])</f>
        <v>Electricity, CHP and heat plants (T)</v>
      </c>
      <c r="AM445" s="26" t="str" cm="1">
        <f t="array" ref="AM445">IFERROR(INDEX(Transactions[[Transaction code]:[Transaction name]],_xlfn.XMATCH(INDEX(Transactions[[Transaction name]:[Parent code]],_xlfn.XMATCH(Transactions[[#This Row],[L2N]],Transactions[Transaction name],0),3),Transactions[Transaction code],0),2),Transactions[[#This Row],[L2N]])</f>
        <v>Transformation</v>
      </c>
      <c r="AN445" s="26" t="str" cm="1">
        <f t="array" ref="AN445">IFERROR(INDEX(Transactions[[Transaction code]:[Transaction name]],_xlfn.XMATCH(INDEX(Transactions[[Transaction name]:[Parent code]],_xlfn.XMATCH(Transactions[[#This Row],[L3N]],Transactions[Transaction name],0),3),Transactions[Transaction code],0),2),Transactions[[#This Row],[L3N]])</f>
        <v>Transformation</v>
      </c>
      <c r="AO445" s="26" t="str" cm="1">
        <f t="array" ref="AO445">IFERROR(INDEX(Transactions[[Transaction code]:[Transaction name]],_xlfn.XMATCH(INDEX(Transactions[[Transaction name]:[Parent code]],_xlfn.XMATCH(Transactions[[#This Row],[L4N]],Transactions[Transaction name],0),3),Transactions[Transaction code],0),2),Transactions[[#This Row],[L4N]])</f>
        <v>Transformation</v>
      </c>
      <c r="AP445" s="26" t="str" cm="1">
        <f t="array" ref="AP445">IFERROR(INDEX(Transactions[[Transaction code]:[Transaction name]],_xlfn.XMATCH(INDEX(Transactions[[Transaction name]:[Parent code]],_xlfn.XMATCH(Transactions[[#This Row],[L5N]],Transactions[Transaction name],0),3),Transactions[Transaction code],0),2),Transactions[[#This Row],[L5N]])</f>
        <v>Transformation</v>
      </c>
      <c r="AQ445" s="26" t="str" cm="1">
        <f t="array" ref="AQ445">IFERROR(INDEX(Transactions[[Transaction code]:[Transaction name]],_xlfn.XMATCH(INDEX(Transactions[[Transaction name]:[Parent code]],_xlfn.XMATCH(Transactions[[#This Row],[L6N]],Transactions[Transaction name],0),3),Transactions[Transaction code],0),2),Transactions[[#This Row],[L6N]])</f>
        <v>Transformation</v>
      </c>
      <c r="AR445" s="30" t="str">
        <f>IF(Transactions[[#This Row],[L7N]]=Transactions[[#This Row],[L6N]],Transactions[[#This Row],[L7N]],IF(Transactions[[#This Row],[L6N]]=Transactions[[#This Row],[L5N]],Transactions[[#This Row],[L6N]],IF(Transactions[[#This Row],[L5N]]=Transactions[[#This Row],[L4N]],Transactions[[#This Row],[L5N]],IF(Transactions[[#This Row],[L4N]]=Transactions[[#This Row],[L3N]],Transactions[[#This Row],[L4N]],IF(Transactions[[#This Row],[L3N]]=Transactions[[#This Row],[L2N]],Transactions[[#This Row],[L3N]],IF(Transactions[[#This Row],[L2N]]=Transactions[[#This Row],[L1N]],Transactions[[#This Row],[L2N]],IF(Transactions[[#This Row],[L1N]]=Transactions[[#This Row],[Transaction name]],Transactions[[#This Row],[L1N]],Transactions[[#This Row],[Transaction name]])))))))</f>
        <v>Transformation</v>
      </c>
      <c r="AS445" s="26" t="str">
        <f>IF(Transactions[[#This Row],[Level 0]]=Transactions[[#This Row],[Transaction name]],Transactions[[#This Row],[Transaction name]],IF(Transactions[[#This Row],[Level 0]]=Transactions[[#This Row],[L1N]],Transactions[[#This Row],[Transaction name]],IF(Transactions[[#This Row],[Level 0]]=Transactions[[#This Row],[L2N]],Transactions[[#This Row],[L1N]],IF(Transactions[[#This Row],[Level 0]]=Transactions[[#This Row],[L3N]],Transactions[[#This Row],[L2N]],IF(Transactions[[#This Row],[Level 0]]=Transactions[[#This Row],[L4N]],Transactions[[#This Row],[L3N]],IF(Transactions[[#This Row],[Level 0]]=Transactions[[#This Row],[L5N]],Transactions[[#This Row],[L4N]],IF(Transactions[[#This Row],[Level 0]]=Transactions[[#This Row],[L6N]],Transactions[[#This Row],[L5N]],IF(Transactions[[#This Row],[Level 0]]=Transactions[[#This Row],[L7N]],Transactions[[#This Row],[L6N]],Transactions[[#This Row],[L7N]]))))))))</f>
        <v>Electricity, CHP and heat plants (T)</v>
      </c>
      <c r="AT445" s="26" t="str">
        <f>IF(Transactions[[#This Row],[Level 1]]=Transactions[[#This Row],[Transaction name]],Transactions[[#This Row],[Transaction name]],IF(Transactions[[#This Row],[Level 1]]=Transactions[[#This Row],[L1N]],Transactions[[#This Row],[Transaction name]],IF(Transactions[[#This Row],[Level 1]]=Transactions[[#This Row],[L2N]],Transactions[[#This Row],[L1N]],IF(Transactions[[#This Row],[Level 1]]=Transactions[[#This Row],[L3N]],Transactions[[#This Row],[L2N]],IF(Transactions[[#This Row],[Level 1]]=Transactions[[#This Row],[L4N]],Transactions[[#This Row],[L3N]],IF(Transactions[[#This Row],[Level 1]]=Transactions[[#This Row],[L5N]],Transactions[[#This Row],[L4N]],IF(Transactions[[#This Row],[Level 1]]=Transactions[[#This Row],[L6N]],Transactions[[#This Row],[L5N]],IF(Transactions[[#This Row],[Level 1]]=Transactions[[#This Row],[L7N]],Transactions[[#This Row],[L6N]],Transactions[[#This Row],[L7N]]))))))))</f>
        <v>Energy plants - solid coal products</v>
      </c>
      <c r="AU445" s="26" t="str">
        <f>IF(Transactions[[#This Row],[Level 2]]=Transactions[[#This Row],[Transaction name]],Transactions[[#This Row],[Transaction name]],IF(Transactions[[#This Row],[Level 2]]=Transactions[[#This Row],[L1N]],Transactions[[#This Row],[Transaction name]],IF(Transactions[[#This Row],[Level 2]]=Transactions[[#This Row],[L2N]],Transactions[[#This Row],[L1N]],IF(Transactions[[#This Row],[Level 2]]=Transactions[[#This Row],[L3N]],Transactions[[#This Row],[L2N]],IF(Transactions[[#This Row],[Level 2]]=Transactions[[#This Row],[L4N]],Transactions[[#This Row],[L3N]],IF(Transactions[[#This Row],[Level 2]]=Transactions[[#This Row],[L5N]],Transactions[[#This Row],[L4N]],IF(Transactions[[#This Row],[Level 2]]=Transactions[[#This Row],[L6N]],Transactions[[#This Row],[L5N]],IF(Transactions[[#This Row],[Level 2]]=Transactions[[#This Row],[L7N]],Transactions[[#This Row],[L6N]],Transactions[[#This Row],[L7N]]))))))))</f>
        <v>Energy plants - solid coal products</v>
      </c>
      <c r="AV445" s="26" t="str">
        <f>IF(Transactions[[#This Row],[Level 3]]=Transactions[[#This Row],[Transaction name]],Transactions[[#This Row],[Transaction name]],IF(Transactions[[#This Row],[Level 3]]=Transactions[[#This Row],[L1N]],Transactions[[#This Row],[Transaction name]],IF(Transactions[[#This Row],[Level 3]]=Transactions[[#This Row],[L2N]],Transactions[[#This Row],[L1N]],IF(Transactions[[#This Row],[Level 3]]=Transactions[[#This Row],[L3N]],Transactions[[#This Row],[L2N]],IF(Transactions[[#This Row],[Level 3]]=Transactions[[#This Row],[L4N]],Transactions[[#This Row],[L3N]],IF(Transactions[[#This Row],[Level 3]]=Transactions[[#This Row],[L5N]],Transactions[[#This Row],[L4N]],IF(Transactions[[#This Row],[Level 3]]=Transactions[[#This Row],[L6N]],Transactions[[#This Row],[L5N]],IF(Transactions[[#This Row],[Level 3]]=Transactions[[#This Row],[L7N]],Transactions[[#This Row],[L6N]],Transactions[[#This Row],[L7N]]))))))))</f>
        <v>Energy plants - solid coal products</v>
      </c>
      <c r="AW445" s="26" t="str">
        <f>IF(Transactions[[#This Row],[Level 4]]=Transactions[[#This Row],[Transaction name]],Transactions[[#This Row],[Transaction name]],IF(Transactions[[#This Row],[Level 4]]=Transactions[[#This Row],[L1N]],Transactions[[#This Row],[Transaction name]],IF(Transactions[[#This Row],[Level 4]]=Transactions[[#This Row],[L2N]],Transactions[[#This Row],[L1N]],IF(Transactions[[#This Row],[Level 4]]=Transactions[[#This Row],[L3N]],Transactions[[#This Row],[L2N]],IF(Transactions[[#This Row],[Level 4]]=Transactions[[#This Row],[L4N]],Transactions[[#This Row],[L3N]],IF(Transactions[[#This Row],[Level 4]]=Transactions[[#This Row],[L5N]],Transactions[[#This Row],[L4N]],IF(Transactions[[#This Row],[Level 4]]=Transactions[[#This Row],[L6N]],Transactions[[#This Row],[L5N]],IF(Transactions[[#This Row],[Level 4]]=Transactions[[#This Row],[L7N]],Transactions[[#This Row],[L6N]],Transactions[[#This Row],[L7N]]))))))))</f>
        <v>Energy plants - solid coal products</v>
      </c>
      <c r="AX445" s="26" t="str">
        <f>IF(Transactions[[#This Row],[Level 5]]=Transactions[[#This Row],[Transaction name]],Transactions[[#This Row],[Transaction name]],IF(Transactions[[#This Row],[Level 5]]=Transactions[[#This Row],[L1N]],Transactions[[#This Row],[Transaction name]],IF(Transactions[[#This Row],[Level 5]]=Transactions[[#This Row],[L2N]],Transactions[[#This Row],[L1N]],IF(Transactions[[#This Row],[Level 5]]=Transactions[[#This Row],[L3N]],Transactions[[#This Row],[L2N]],IF(Transactions[[#This Row],[Level 5]]=Transactions[[#This Row],[L4N]],Transactions[[#This Row],[L3N]],IF(Transactions[[#This Row],[Level 5]]=Transactions[[#This Row],[L5N]],Transactions[[#This Row],[L4N]],IF(Transactions[[#This Row],[Level 5]]=Transactions[[#This Row],[L6N]],Transactions[[#This Row],[L5N]],IF(Transactions[[#This Row],[Level 5]]=Transactions[[#This Row],[L7N]],Transactions[[#This Row],[L6N]],Transactions[[#This Row],[L7N]]))))))))</f>
        <v>Energy plants - solid coal products</v>
      </c>
      <c r="AY445" s="26" t="str">
        <f>IF(Transactions[[#This Row],[Level 6]]=Transactions[[#This Row],[Transaction name]],Transactions[[#This Row],[Transaction name]],IF(Transactions[[#This Row],[Level 6]]=Transactions[[#This Row],[L1N]],Transactions[[#This Row],[Transaction name]],IF(Transactions[[#This Row],[Level 6]]=Transactions[[#This Row],[L2N]],Transactions[[#This Row],[L1N]],IF(Transactions[[#This Row],[Level 6]]=Transactions[[#This Row],[L3N]],Transactions[[#This Row],[L2N]],IF(Transactions[[#This Row],[Level 6]]=Transactions[[#This Row],[L4N]],Transactions[[#This Row],[L3N]],IF(Transactions[[#This Row],[Level 6]]=Transactions[[#This Row],[L5N]],Transactions[[#This Row],[L4N]],IF(Transactions[[#This Row],[Level 6]]=Transactions[[#This Row],[L6N]],Transactions[[#This Row],[L5N]],IF(Transactions[[#This Row],[Level 6]]=Transactions[[#This Row],[L7N]],Transactions[[#This Row],[L6N]],Transactions[[#This Row],[L7N]]))))))))</f>
        <v>Energy plants - solid coal products</v>
      </c>
      <c r="BE445" s="26" t="str">
        <f>_xlfn.XLOOKUP(Transformation[[#This Row],[cfrom]],Commodities[Commodity],Commodities[Commodity code])</f>
        <v>4680</v>
      </c>
      <c r="BF445" s="26" t="str">
        <f>_xlfn.XLOOKUP(Transformation[[#This Row],[tfrom]],Transactions[Transaction name],Transactions[Transaction code])</f>
        <v>022</v>
      </c>
      <c r="BG445" s="26" t="str">
        <f>_xlfn.XLOOKUP(Transformation[[#This Row],[cto]],Commodities[Commodity],Commodities[Commodity code])</f>
        <v>4680</v>
      </c>
      <c r="BH445" s="26" t="str">
        <f>_xlfn.XLOOKUP(Transformation[[#This Row],[tto]],Transactions[Transaction name],Transactions[Transaction code])</f>
        <v>013</v>
      </c>
      <c r="BI445" s="31">
        <v>1</v>
      </c>
      <c r="BJ445" s="22" t="s">
        <v>368</v>
      </c>
      <c r="BK445" s="26" t="str">
        <f>_xlfn.XLOOKUP(Transformation[[#This Row],[Commodity from]],Commodities[Commodity code],Commodities[EnergyCode])</f>
        <v>RF</v>
      </c>
      <c r="BL445" s="22" t="s">
        <v>205</v>
      </c>
      <c r="BM445" s="22" t="s">
        <v>368</v>
      </c>
      <c r="BN445" s="26" t="str">
        <f>_xlfn.XLOOKUP(Transformation[[#This Row],[Commodity to]],Commodities[Commodity code],Commodities[EnergyCode])</f>
        <v>RF</v>
      </c>
      <c r="BO445" s="22" t="s">
        <v>374</v>
      </c>
      <c r="BP445" s="22" t="s">
        <v>1694</v>
      </c>
      <c r="BQ445" s="33" t="str">
        <f>Transformation[[#This Row],[Commodity from]]&amp;Transformation[[#This Row],[Transaction from]]&amp;Transformation[[#This Row],[Commodity to]]&amp;Transformation[[#This Row],[Transaction to]]</f>
        <v>46800224680013</v>
      </c>
      <c r="BR445" s="26" t="str">
        <f>Transformation[[#This Row],[crfomid]]&amp;Transformation[[#This Row],[Transaction from]]&amp;"("&amp;Transformation[[#This Row],[Multiplier]]&amp;") -&gt; "&amp;Transformation[[#This Row],[ctoid]]&amp;Transformation[[#This Row],[Transaction to]]</f>
        <v>RF022(1) -&gt; RF013</v>
      </c>
    </row>
    <row r="446" spans="25:70" x14ac:dyDescent="0.45">
      <c r="Y446" s="19" t="s">
        <v>1518</v>
      </c>
      <c r="Z446" s="18" t="s">
        <v>1543</v>
      </c>
      <c r="AA446" s="18" t="s">
        <v>1543</v>
      </c>
      <c r="AB446" s="18" t="s">
        <v>171</v>
      </c>
      <c r="AC446" s="26" t="str">
        <f>IFERROR(VLOOKUP(Transactions[[#This Row],[Parent code]],Transactions[[Transaction code]:[Transaction name]],2,0),"")</f>
        <v>Electricity, CHP and heat plants (T)</v>
      </c>
      <c r="AD446" s="18" t="s">
        <v>189</v>
      </c>
      <c r="AE446" s="18" t="s">
        <v>959</v>
      </c>
      <c r="AF446" s="18" t="s">
        <v>642</v>
      </c>
      <c r="AG446" s="18" t="s">
        <v>1</v>
      </c>
      <c r="AH446" s="18" t="s">
        <v>696</v>
      </c>
      <c r="AI446" s="18" t="s">
        <v>1416</v>
      </c>
      <c r="AJ446" s="18" t="s">
        <v>0</v>
      </c>
      <c r="AK446" s="26" t="str" cm="1">
        <f t="array" ref="AK446">IFERROR(INDEX(Transactions[[Transaction code]:[Transaction name]],_xlfn.XMATCH(Transactions[[#This Row],[Parent code]],Transactions[Transaction name],0),3),Transactions[[#This Row],[Transaction name]])</f>
        <v>Energy plants - wood</v>
      </c>
      <c r="AL446" s="26" t="str" cm="1">
        <f t="array" ref="AL446">IFERROR(INDEX(Transactions[[Transaction code]:[Transaction name]],_xlfn.XMATCH(INDEX(Transactions[[Transaction name]:[Parent code]],_xlfn.XMATCH(Transactions[[#This Row],[L1N]],Transactions[Transaction name],0),3),Transactions[Transaction code],0),2),Transactions[[#This Row],[L1N]])</f>
        <v>Electricity, CHP and heat plants (T)</v>
      </c>
      <c r="AM446" s="26" t="str" cm="1">
        <f t="array" ref="AM446">IFERROR(INDEX(Transactions[[Transaction code]:[Transaction name]],_xlfn.XMATCH(INDEX(Transactions[[Transaction name]:[Parent code]],_xlfn.XMATCH(Transactions[[#This Row],[L2N]],Transactions[Transaction name],0),3),Transactions[Transaction code],0),2),Transactions[[#This Row],[L2N]])</f>
        <v>Transformation</v>
      </c>
      <c r="AN446" s="26" t="str" cm="1">
        <f t="array" ref="AN446">IFERROR(INDEX(Transactions[[Transaction code]:[Transaction name]],_xlfn.XMATCH(INDEX(Transactions[[Transaction name]:[Parent code]],_xlfn.XMATCH(Transactions[[#This Row],[L3N]],Transactions[Transaction name],0),3),Transactions[Transaction code],0),2),Transactions[[#This Row],[L3N]])</f>
        <v>Transformation</v>
      </c>
      <c r="AO446" s="26" t="str" cm="1">
        <f t="array" ref="AO446">IFERROR(INDEX(Transactions[[Transaction code]:[Transaction name]],_xlfn.XMATCH(INDEX(Transactions[[Transaction name]:[Parent code]],_xlfn.XMATCH(Transactions[[#This Row],[L4N]],Transactions[Transaction name],0),3),Transactions[Transaction code],0),2),Transactions[[#This Row],[L4N]])</f>
        <v>Transformation</v>
      </c>
      <c r="AP446" s="26" t="str" cm="1">
        <f t="array" ref="AP446">IFERROR(INDEX(Transactions[[Transaction code]:[Transaction name]],_xlfn.XMATCH(INDEX(Transactions[[Transaction name]:[Parent code]],_xlfn.XMATCH(Transactions[[#This Row],[L5N]],Transactions[Transaction name],0),3),Transactions[Transaction code],0),2),Transactions[[#This Row],[L5N]])</f>
        <v>Transformation</v>
      </c>
      <c r="AQ446" s="26" t="str" cm="1">
        <f t="array" ref="AQ446">IFERROR(INDEX(Transactions[[Transaction code]:[Transaction name]],_xlfn.XMATCH(INDEX(Transactions[[Transaction name]:[Parent code]],_xlfn.XMATCH(Transactions[[#This Row],[L6N]],Transactions[Transaction name],0),3),Transactions[Transaction code],0),2),Transactions[[#This Row],[L6N]])</f>
        <v>Transformation</v>
      </c>
      <c r="AR446" s="30" t="str">
        <f>IF(Transactions[[#This Row],[L7N]]=Transactions[[#This Row],[L6N]],Transactions[[#This Row],[L7N]],IF(Transactions[[#This Row],[L6N]]=Transactions[[#This Row],[L5N]],Transactions[[#This Row],[L6N]],IF(Transactions[[#This Row],[L5N]]=Transactions[[#This Row],[L4N]],Transactions[[#This Row],[L5N]],IF(Transactions[[#This Row],[L4N]]=Transactions[[#This Row],[L3N]],Transactions[[#This Row],[L4N]],IF(Transactions[[#This Row],[L3N]]=Transactions[[#This Row],[L2N]],Transactions[[#This Row],[L3N]],IF(Transactions[[#This Row],[L2N]]=Transactions[[#This Row],[L1N]],Transactions[[#This Row],[L2N]],IF(Transactions[[#This Row],[L1N]]=Transactions[[#This Row],[Transaction name]],Transactions[[#This Row],[L1N]],Transactions[[#This Row],[Transaction name]])))))))</f>
        <v>Transformation</v>
      </c>
      <c r="AS446" s="26" t="str">
        <f>IF(Transactions[[#This Row],[Level 0]]=Transactions[[#This Row],[Transaction name]],Transactions[[#This Row],[Transaction name]],IF(Transactions[[#This Row],[Level 0]]=Transactions[[#This Row],[L1N]],Transactions[[#This Row],[Transaction name]],IF(Transactions[[#This Row],[Level 0]]=Transactions[[#This Row],[L2N]],Transactions[[#This Row],[L1N]],IF(Transactions[[#This Row],[Level 0]]=Transactions[[#This Row],[L3N]],Transactions[[#This Row],[L2N]],IF(Transactions[[#This Row],[Level 0]]=Transactions[[#This Row],[L4N]],Transactions[[#This Row],[L3N]],IF(Transactions[[#This Row],[Level 0]]=Transactions[[#This Row],[L5N]],Transactions[[#This Row],[L4N]],IF(Transactions[[#This Row],[Level 0]]=Transactions[[#This Row],[L6N]],Transactions[[#This Row],[L5N]],IF(Transactions[[#This Row],[Level 0]]=Transactions[[#This Row],[L7N]],Transactions[[#This Row],[L6N]],Transactions[[#This Row],[L7N]]))))))))</f>
        <v>Electricity, CHP and heat plants (T)</v>
      </c>
      <c r="AT446" s="26" t="str">
        <f>IF(Transactions[[#This Row],[Level 1]]=Transactions[[#This Row],[Transaction name]],Transactions[[#This Row],[Transaction name]],IF(Transactions[[#This Row],[Level 1]]=Transactions[[#This Row],[L1N]],Transactions[[#This Row],[Transaction name]],IF(Transactions[[#This Row],[Level 1]]=Transactions[[#This Row],[L2N]],Transactions[[#This Row],[L1N]],IF(Transactions[[#This Row],[Level 1]]=Transactions[[#This Row],[L3N]],Transactions[[#This Row],[L2N]],IF(Transactions[[#This Row],[Level 1]]=Transactions[[#This Row],[L4N]],Transactions[[#This Row],[L3N]],IF(Transactions[[#This Row],[Level 1]]=Transactions[[#This Row],[L5N]],Transactions[[#This Row],[L4N]],IF(Transactions[[#This Row],[Level 1]]=Transactions[[#This Row],[L6N]],Transactions[[#This Row],[L5N]],IF(Transactions[[#This Row],[Level 1]]=Transactions[[#This Row],[L7N]],Transactions[[#This Row],[L6N]],Transactions[[#This Row],[L7N]]))))))))</f>
        <v>Energy plants - wood</v>
      </c>
      <c r="AU446" s="26" t="str">
        <f>IF(Transactions[[#This Row],[Level 2]]=Transactions[[#This Row],[Transaction name]],Transactions[[#This Row],[Transaction name]],IF(Transactions[[#This Row],[Level 2]]=Transactions[[#This Row],[L1N]],Transactions[[#This Row],[Transaction name]],IF(Transactions[[#This Row],[Level 2]]=Transactions[[#This Row],[L2N]],Transactions[[#This Row],[L1N]],IF(Transactions[[#This Row],[Level 2]]=Transactions[[#This Row],[L3N]],Transactions[[#This Row],[L2N]],IF(Transactions[[#This Row],[Level 2]]=Transactions[[#This Row],[L4N]],Transactions[[#This Row],[L3N]],IF(Transactions[[#This Row],[Level 2]]=Transactions[[#This Row],[L5N]],Transactions[[#This Row],[L4N]],IF(Transactions[[#This Row],[Level 2]]=Transactions[[#This Row],[L6N]],Transactions[[#This Row],[L5N]],IF(Transactions[[#This Row],[Level 2]]=Transactions[[#This Row],[L7N]],Transactions[[#This Row],[L6N]],Transactions[[#This Row],[L7N]]))))))))</f>
        <v>Energy plants - wood</v>
      </c>
      <c r="AV446" s="26" t="str">
        <f>IF(Transactions[[#This Row],[Level 3]]=Transactions[[#This Row],[Transaction name]],Transactions[[#This Row],[Transaction name]],IF(Transactions[[#This Row],[Level 3]]=Transactions[[#This Row],[L1N]],Transactions[[#This Row],[Transaction name]],IF(Transactions[[#This Row],[Level 3]]=Transactions[[#This Row],[L2N]],Transactions[[#This Row],[L1N]],IF(Transactions[[#This Row],[Level 3]]=Transactions[[#This Row],[L3N]],Transactions[[#This Row],[L2N]],IF(Transactions[[#This Row],[Level 3]]=Transactions[[#This Row],[L4N]],Transactions[[#This Row],[L3N]],IF(Transactions[[#This Row],[Level 3]]=Transactions[[#This Row],[L5N]],Transactions[[#This Row],[L4N]],IF(Transactions[[#This Row],[Level 3]]=Transactions[[#This Row],[L6N]],Transactions[[#This Row],[L5N]],IF(Transactions[[#This Row],[Level 3]]=Transactions[[#This Row],[L7N]],Transactions[[#This Row],[L6N]],Transactions[[#This Row],[L7N]]))))))))</f>
        <v>Energy plants - wood</v>
      </c>
      <c r="AW446" s="26" t="str">
        <f>IF(Transactions[[#This Row],[Level 4]]=Transactions[[#This Row],[Transaction name]],Transactions[[#This Row],[Transaction name]],IF(Transactions[[#This Row],[Level 4]]=Transactions[[#This Row],[L1N]],Transactions[[#This Row],[Transaction name]],IF(Transactions[[#This Row],[Level 4]]=Transactions[[#This Row],[L2N]],Transactions[[#This Row],[L1N]],IF(Transactions[[#This Row],[Level 4]]=Transactions[[#This Row],[L3N]],Transactions[[#This Row],[L2N]],IF(Transactions[[#This Row],[Level 4]]=Transactions[[#This Row],[L4N]],Transactions[[#This Row],[L3N]],IF(Transactions[[#This Row],[Level 4]]=Transactions[[#This Row],[L5N]],Transactions[[#This Row],[L4N]],IF(Transactions[[#This Row],[Level 4]]=Transactions[[#This Row],[L6N]],Transactions[[#This Row],[L5N]],IF(Transactions[[#This Row],[Level 4]]=Transactions[[#This Row],[L7N]],Transactions[[#This Row],[L6N]],Transactions[[#This Row],[L7N]]))))))))</f>
        <v>Energy plants - wood</v>
      </c>
      <c r="AX446" s="26" t="str">
        <f>IF(Transactions[[#This Row],[Level 5]]=Transactions[[#This Row],[Transaction name]],Transactions[[#This Row],[Transaction name]],IF(Transactions[[#This Row],[Level 5]]=Transactions[[#This Row],[L1N]],Transactions[[#This Row],[Transaction name]],IF(Transactions[[#This Row],[Level 5]]=Transactions[[#This Row],[L2N]],Transactions[[#This Row],[L1N]],IF(Transactions[[#This Row],[Level 5]]=Transactions[[#This Row],[L3N]],Transactions[[#This Row],[L2N]],IF(Transactions[[#This Row],[Level 5]]=Transactions[[#This Row],[L4N]],Transactions[[#This Row],[L3N]],IF(Transactions[[#This Row],[Level 5]]=Transactions[[#This Row],[L5N]],Transactions[[#This Row],[L4N]],IF(Transactions[[#This Row],[Level 5]]=Transactions[[#This Row],[L6N]],Transactions[[#This Row],[L5N]],IF(Transactions[[#This Row],[Level 5]]=Transactions[[#This Row],[L7N]],Transactions[[#This Row],[L6N]],Transactions[[#This Row],[L7N]]))))))))</f>
        <v>Energy plants - wood</v>
      </c>
      <c r="AY446" s="26" t="str">
        <f>IF(Transactions[[#This Row],[Level 6]]=Transactions[[#This Row],[Transaction name]],Transactions[[#This Row],[Transaction name]],IF(Transactions[[#This Row],[Level 6]]=Transactions[[#This Row],[L1N]],Transactions[[#This Row],[Transaction name]],IF(Transactions[[#This Row],[Level 6]]=Transactions[[#This Row],[L2N]],Transactions[[#This Row],[L1N]],IF(Transactions[[#This Row],[Level 6]]=Transactions[[#This Row],[L3N]],Transactions[[#This Row],[L2N]],IF(Transactions[[#This Row],[Level 6]]=Transactions[[#This Row],[L4N]],Transactions[[#This Row],[L3N]],IF(Transactions[[#This Row],[Level 6]]=Transactions[[#This Row],[L5N]],Transactions[[#This Row],[L4N]],IF(Transactions[[#This Row],[Level 6]]=Transactions[[#This Row],[L6N]],Transactions[[#This Row],[L5N]],IF(Transactions[[#This Row],[Level 6]]=Transactions[[#This Row],[L7N]],Transactions[[#This Row],[L6N]],Transactions[[#This Row],[L7N]]))))))))</f>
        <v>Energy plants - wood</v>
      </c>
      <c r="BE446" s="26" t="str">
        <f>_xlfn.XLOOKUP(Transformation[[#This Row],[cfrom]],Commodities[Commodity],Commodities[Commodity code])</f>
        <v>4610</v>
      </c>
      <c r="BF446" s="26" t="str">
        <f>_xlfn.XLOOKUP(Transformation[[#This Row],[tfrom]],Transactions[Transaction name],Transactions[Transaction code])</f>
        <v>01</v>
      </c>
      <c r="BG446" s="26" t="str">
        <f>_xlfn.XLOOKUP(Transformation[[#This Row],[cto]],Commodities[Commodity],Commodities[Commodity code])</f>
        <v>4610</v>
      </c>
      <c r="BH446" s="26" t="str">
        <f>_xlfn.XLOOKUP(Transformation[[#This Row],[tto]],Transactions[Transaction name],Transactions[Transaction code])</f>
        <v>01</v>
      </c>
      <c r="BI446" s="32">
        <v>-1</v>
      </c>
      <c r="BJ446" s="22" t="s">
        <v>416</v>
      </c>
      <c r="BK446" s="26" t="str">
        <f>_xlfn.XLOOKUP(Transformation[[#This Row],[Commodity from]],Commodities[Commodity code],Commodities[EnergyCode])</f>
        <v>RG</v>
      </c>
      <c r="BL446" s="22" t="s">
        <v>383</v>
      </c>
      <c r="BM446" s="22" t="s">
        <v>416</v>
      </c>
      <c r="BN446" s="26" t="str">
        <f>_xlfn.XLOOKUP(Transformation[[#This Row],[Commodity to]],Commodities[Commodity code],Commodities[EnergyCode])</f>
        <v>RG</v>
      </c>
      <c r="BO446" s="22" t="s">
        <v>383</v>
      </c>
      <c r="BP446" s="22" t="s">
        <v>1633</v>
      </c>
      <c r="BQ446" s="33" t="str">
        <f>Transformation[[#This Row],[Commodity from]]&amp;Transformation[[#This Row],[Transaction from]]&amp;Transformation[[#This Row],[Commodity to]]&amp;Transformation[[#This Row],[Transaction to]]</f>
        <v>461001461001</v>
      </c>
      <c r="BR446" s="26" t="str">
        <f>Transformation[[#This Row],[crfomid]]&amp;Transformation[[#This Row],[Transaction from]]&amp;"("&amp;Transformation[[#This Row],[Multiplier]]&amp;") -&gt; "&amp;Transformation[[#This Row],[ctoid]]&amp;Transformation[[#This Row],[Transaction to]]</f>
        <v>RG01(-1) -&gt; RG01</v>
      </c>
    </row>
    <row r="447" spans="25:70" x14ac:dyDescent="0.45">
      <c r="Y447" s="19" t="s">
        <v>1574</v>
      </c>
      <c r="Z447" s="18" t="s">
        <v>924</v>
      </c>
      <c r="AA447" s="18" t="s">
        <v>924</v>
      </c>
      <c r="AB447" s="21" t="s">
        <v>171</v>
      </c>
      <c r="AC447" s="26" t="str">
        <f>IFERROR(VLOOKUP(Transactions[[#This Row],[Parent code]],Transactions[[Transaction code]:[Transaction name]],2,0),"")</f>
        <v>Electricity, CHP and heat plants (T)</v>
      </c>
      <c r="AD447" s="18" t="s">
        <v>189</v>
      </c>
      <c r="AE447" s="18" t="s">
        <v>924</v>
      </c>
      <c r="AF447" s="18" t="s">
        <v>642</v>
      </c>
      <c r="AG447" s="18" t="s">
        <v>1</v>
      </c>
      <c r="AH447" s="18" t="s">
        <v>696</v>
      </c>
      <c r="AI447" s="18" t="s">
        <v>1416</v>
      </c>
      <c r="AJ447" s="18"/>
      <c r="AK447" s="26" t="str" cm="1">
        <f t="array" ref="AK447">IFERROR(INDEX(Transactions[[Transaction code]:[Transaction name]],_xlfn.XMATCH(Transactions[[#This Row],[Parent code]],Transactions[Transaction name],0),3),Transactions[[#This Row],[Transaction name]])</f>
        <v>Heat plants</v>
      </c>
      <c r="AL447" s="26" t="str" cm="1">
        <f t="array" ref="AL447">IFERROR(INDEX(Transactions[[Transaction code]:[Transaction name]],_xlfn.XMATCH(INDEX(Transactions[[Transaction name]:[Parent code]],_xlfn.XMATCH(Transactions[[#This Row],[L1N]],Transactions[Transaction name],0),3),Transactions[Transaction code],0),2),Transactions[[#This Row],[L1N]])</f>
        <v>Electricity, CHP and heat plants (T)</v>
      </c>
      <c r="AM447" s="26" t="str" cm="1">
        <f t="array" ref="AM447">IFERROR(INDEX(Transactions[[Transaction code]:[Transaction name]],_xlfn.XMATCH(INDEX(Transactions[[Transaction name]:[Parent code]],_xlfn.XMATCH(Transactions[[#This Row],[L2N]],Transactions[Transaction name],0),3),Transactions[Transaction code],0),2),Transactions[[#This Row],[L2N]])</f>
        <v>Transformation</v>
      </c>
      <c r="AN447" s="26" t="str" cm="1">
        <f t="array" ref="AN447">IFERROR(INDEX(Transactions[[Transaction code]:[Transaction name]],_xlfn.XMATCH(INDEX(Transactions[[Transaction name]:[Parent code]],_xlfn.XMATCH(Transactions[[#This Row],[L3N]],Transactions[Transaction name],0),3),Transactions[Transaction code],0),2),Transactions[[#This Row],[L3N]])</f>
        <v>Transformation</v>
      </c>
      <c r="AO447" s="26" t="str" cm="1">
        <f t="array" ref="AO447">IFERROR(INDEX(Transactions[[Transaction code]:[Transaction name]],_xlfn.XMATCH(INDEX(Transactions[[Transaction name]:[Parent code]],_xlfn.XMATCH(Transactions[[#This Row],[L4N]],Transactions[Transaction name],0),3),Transactions[Transaction code],0),2),Transactions[[#This Row],[L4N]])</f>
        <v>Transformation</v>
      </c>
      <c r="AP447" s="26" t="str" cm="1">
        <f t="array" ref="AP447">IFERROR(INDEX(Transactions[[Transaction code]:[Transaction name]],_xlfn.XMATCH(INDEX(Transactions[[Transaction name]:[Parent code]],_xlfn.XMATCH(Transactions[[#This Row],[L5N]],Transactions[Transaction name],0),3),Transactions[Transaction code],0),2),Transactions[[#This Row],[L5N]])</f>
        <v>Transformation</v>
      </c>
      <c r="AQ447" s="26" t="str" cm="1">
        <f t="array" ref="AQ447">IFERROR(INDEX(Transactions[[Transaction code]:[Transaction name]],_xlfn.XMATCH(INDEX(Transactions[[Transaction name]:[Parent code]],_xlfn.XMATCH(Transactions[[#This Row],[L6N]],Transactions[Transaction name],0),3),Transactions[Transaction code],0),2),Transactions[[#This Row],[L6N]])</f>
        <v>Transformation</v>
      </c>
      <c r="AR447" s="30" t="str">
        <f>IF(Transactions[[#This Row],[L7N]]=Transactions[[#This Row],[L6N]],Transactions[[#This Row],[L7N]],IF(Transactions[[#This Row],[L6N]]=Transactions[[#This Row],[L5N]],Transactions[[#This Row],[L6N]],IF(Transactions[[#This Row],[L5N]]=Transactions[[#This Row],[L4N]],Transactions[[#This Row],[L5N]],IF(Transactions[[#This Row],[L4N]]=Transactions[[#This Row],[L3N]],Transactions[[#This Row],[L4N]],IF(Transactions[[#This Row],[L3N]]=Transactions[[#This Row],[L2N]],Transactions[[#This Row],[L3N]],IF(Transactions[[#This Row],[L2N]]=Transactions[[#This Row],[L1N]],Transactions[[#This Row],[L2N]],IF(Transactions[[#This Row],[L1N]]=Transactions[[#This Row],[Transaction name]],Transactions[[#This Row],[L1N]],Transactions[[#This Row],[Transaction name]])))))))</f>
        <v>Transformation</v>
      </c>
      <c r="AS447" s="26" t="str">
        <f>IF(Transactions[[#This Row],[Level 0]]=Transactions[[#This Row],[Transaction name]],Transactions[[#This Row],[Transaction name]],IF(Transactions[[#This Row],[Level 0]]=Transactions[[#This Row],[L1N]],Transactions[[#This Row],[Transaction name]],IF(Transactions[[#This Row],[Level 0]]=Transactions[[#This Row],[L2N]],Transactions[[#This Row],[L1N]],IF(Transactions[[#This Row],[Level 0]]=Transactions[[#This Row],[L3N]],Transactions[[#This Row],[L2N]],IF(Transactions[[#This Row],[Level 0]]=Transactions[[#This Row],[L4N]],Transactions[[#This Row],[L3N]],IF(Transactions[[#This Row],[Level 0]]=Transactions[[#This Row],[L5N]],Transactions[[#This Row],[L4N]],IF(Transactions[[#This Row],[Level 0]]=Transactions[[#This Row],[L6N]],Transactions[[#This Row],[L5N]],IF(Transactions[[#This Row],[Level 0]]=Transactions[[#This Row],[L7N]],Transactions[[#This Row],[L6N]],Transactions[[#This Row],[L7N]]))))))))</f>
        <v>Electricity, CHP and heat plants (T)</v>
      </c>
      <c r="AT447" s="26" t="str">
        <f>IF(Transactions[[#This Row],[Level 1]]=Transactions[[#This Row],[Transaction name]],Transactions[[#This Row],[Transaction name]],IF(Transactions[[#This Row],[Level 1]]=Transactions[[#This Row],[L1N]],Transactions[[#This Row],[Transaction name]],IF(Transactions[[#This Row],[Level 1]]=Transactions[[#This Row],[L2N]],Transactions[[#This Row],[L1N]],IF(Transactions[[#This Row],[Level 1]]=Transactions[[#This Row],[L3N]],Transactions[[#This Row],[L2N]],IF(Transactions[[#This Row],[Level 1]]=Transactions[[#This Row],[L4N]],Transactions[[#This Row],[L3N]],IF(Transactions[[#This Row],[Level 1]]=Transactions[[#This Row],[L5N]],Transactions[[#This Row],[L4N]],IF(Transactions[[#This Row],[Level 1]]=Transactions[[#This Row],[L6N]],Transactions[[#This Row],[L5N]],IF(Transactions[[#This Row],[Level 1]]=Transactions[[#This Row],[L7N]],Transactions[[#This Row],[L6N]],Transactions[[#This Row],[L7N]]))))))))</f>
        <v>Heat plants</v>
      </c>
      <c r="AU447" s="26" t="str">
        <f>IF(Transactions[[#This Row],[Level 2]]=Transactions[[#This Row],[Transaction name]],Transactions[[#This Row],[Transaction name]],IF(Transactions[[#This Row],[Level 2]]=Transactions[[#This Row],[L1N]],Transactions[[#This Row],[Transaction name]],IF(Transactions[[#This Row],[Level 2]]=Transactions[[#This Row],[L2N]],Transactions[[#This Row],[L1N]],IF(Transactions[[#This Row],[Level 2]]=Transactions[[#This Row],[L3N]],Transactions[[#This Row],[L2N]],IF(Transactions[[#This Row],[Level 2]]=Transactions[[#This Row],[L4N]],Transactions[[#This Row],[L3N]],IF(Transactions[[#This Row],[Level 2]]=Transactions[[#This Row],[L5N]],Transactions[[#This Row],[L4N]],IF(Transactions[[#This Row],[Level 2]]=Transactions[[#This Row],[L6N]],Transactions[[#This Row],[L5N]],IF(Transactions[[#This Row],[Level 2]]=Transactions[[#This Row],[L7N]],Transactions[[#This Row],[L6N]],Transactions[[#This Row],[L7N]]))))))))</f>
        <v>Heat plants</v>
      </c>
      <c r="AV447" s="26" t="str">
        <f>IF(Transactions[[#This Row],[Level 3]]=Transactions[[#This Row],[Transaction name]],Transactions[[#This Row],[Transaction name]],IF(Transactions[[#This Row],[Level 3]]=Transactions[[#This Row],[L1N]],Transactions[[#This Row],[Transaction name]],IF(Transactions[[#This Row],[Level 3]]=Transactions[[#This Row],[L2N]],Transactions[[#This Row],[L1N]],IF(Transactions[[#This Row],[Level 3]]=Transactions[[#This Row],[L3N]],Transactions[[#This Row],[L2N]],IF(Transactions[[#This Row],[Level 3]]=Transactions[[#This Row],[L4N]],Transactions[[#This Row],[L3N]],IF(Transactions[[#This Row],[Level 3]]=Transactions[[#This Row],[L5N]],Transactions[[#This Row],[L4N]],IF(Transactions[[#This Row],[Level 3]]=Transactions[[#This Row],[L6N]],Transactions[[#This Row],[L5N]],IF(Transactions[[#This Row],[Level 3]]=Transactions[[#This Row],[L7N]],Transactions[[#This Row],[L6N]],Transactions[[#This Row],[L7N]]))))))))</f>
        <v>Heat plants</v>
      </c>
      <c r="AW447" s="26" t="str">
        <f>IF(Transactions[[#This Row],[Level 4]]=Transactions[[#This Row],[Transaction name]],Transactions[[#This Row],[Transaction name]],IF(Transactions[[#This Row],[Level 4]]=Transactions[[#This Row],[L1N]],Transactions[[#This Row],[Transaction name]],IF(Transactions[[#This Row],[Level 4]]=Transactions[[#This Row],[L2N]],Transactions[[#This Row],[L1N]],IF(Transactions[[#This Row],[Level 4]]=Transactions[[#This Row],[L3N]],Transactions[[#This Row],[L2N]],IF(Transactions[[#This Row],[Level 4]]=Transactions[[#This Row],[L4N]],Transactions[[#This Row],[L3N]],IF(Transactions[[#This Row],[Level 4]]=Transactions[[#This Row],[L5N]],Transactions[[#This Row],[L4N]],IF(Transactions[[#This Row],[Level 4]]=Transactions[[#This Row],[L6N]],Transactions[[#This Row],[L5N]],IF(Transactions[[#This Row],[Level 4]]=Transactions[[#This Row],[L7N]],Transactions[[#This Row],[L6N]],Transactions[[#This Row],[L7N]]))))))))</f>
        <v>Heat plants</v>
      </c>
      <c r="AX447" s="26" t="str">
        <f>IF(Transactions[[#This Row],[Level 5]]=Transactions[[#This Row],[Transaction name]],Transactions[[#This Row],[Transaction name]],IF(Transactions[[#This Row],[Level 5]]=Transactions[[#This Row],[L1N]],Transactions[[#This Row],[Transaction name]],IF(Transactions[[#This Row],[Level 5]]=Transactions[[#This Row],[L2N]],Transactions[[#This Row],[L1N]],IF(Transactions[[#This Row],[Level 5]]=Transactions[[#This Row],[L3N]],Transactions[[#This Row],[L2N]],IF(Transactions[[#This Row],[Level 5]]=Transactions[[#This Row],[L4N]],Transactions[[#This Row],[L3N]],IF(Transactions[[#This Row],[Level 5]]=Transactions[[#This Row],[L5N]],Transactions[[#This Row],[L4N]],IF(Transactions[[#This Row],[Level 5]]=Transactions[[#This Row],[L6N]],Transactions[[#This Row],[L5N]],IF(Transactions[[#This Row],[Level 5]]=Transactions[[#This Row],[L7N]],Transactions[[#This Row],[L6N]],Transactions[[#This Row],[L7N]]))))))))</f>
        <v>Heat plants</v>
      </c>
      <c r="AY447" s="26" t="str">
        <f>IF(Transactions[[#This Row],[Level 6]]=Transactions[[#This Row],[Transaction name]],Transactions[[#This Row],[Transaction name]],IF(Transactions[[#This Row],[Level 6]]=Transactions[[#This Row],[L1N]],Transactions[[#This Row],[Transaction name]],IF(Transactions[[#This Row],[Level 6]]=Transactions[[#This Row],[L2N]],Transactions[[#This Row],[L1N]],IF(Transactions[[#This Row],[Level 6]]=Transactions[[#This Row],[L3N]],Transactions[[#This Row],[L2N]],IF(Transactions[[#This Row],[Level 6]]=Transactions[[#This Row],[L4N]],Transactions[[#This Row],[L3N]],IF(Transactions[[#This Row],[Level 6]]=Transactions[[#This Row],[L5N]],Transactions[[#This Row],[L4N]],IF(Transactions[[#This Row],[Level 6]]=Transactions[[#This Row],[L6N]],Transactions[[#This Row],[L5N]],IF(Transactions[[#This Row],[Level 6]]=Transactions[[#This Row],[L7N]],Transactions[[#This Row],[L6N]],Transactions[[#This Row],[L7N]]))))))))</f>
        <v>Heat plants</v>
      </c>
      <c r="BE447" s="26" t="str">
        <f>_xlfn.XLOOKUP(Transformation[[#This Row],[cfrom]],Commodities[Commodity],Commodities[Commodity code])</f>
        <v>4610</v>
      </c>
      <c r="BF447" s="26" t="str">
        <f>_xlfn.XLOOKUP(Transformation[[#This Row],[tfrom]],Transactions[Transaction name],Transactions[Transaction code])</f>
        <v>022</v>
      </c>
      <c r="BG447" s="26" t="str">
        <f>_xlfn.XLOOKUP(Transformation[[#This Row],[cto]],Commodities[Commodity],Commodities[Commodity code])</f>
        <v>4610</v>
      </c>
      <c r="BH447" s="26" t="str">
        <f>_xlfn.XLOOKUP(Transformation[[#This Row],[tto]],Transactions[Transaction name],Transactions[Transaction code])</f>
        <v>022</v>
      </c>
      <c r="BI447" s="32">
        <v>-1</v>
      </c>
      <c r="BJ447" s="22" t="s">
        <v>416</v>
      </c>
      <c r="BK447" s="26" t="str">
        <f>_xlfn.XLOOKUP(Transformation[[#This Row],[Commodity from]],Commodities[Commodity code],Commodities[EnergyCode])</f>
        <v>RG</v>
      </c>
      <c r="BL447" s="22" t="s">
        <v>205</v>
      </c>
      <c r="BM447" s="22" t="s">
        <v>416</v>
      </c>
      <c r="BN447" s="26" t="str">
        <f>_xlfn.XLOOKUP(Transformation[[#This Row],[Commodity to]],Commodities[Commodity code],Commodities[EnergyCode])</f>
        <v>RG</v>
      </c>
      <c r="BO447" s="22" t="s">
        <v>205</v>
      </c>
      <c r="BP447" s="22" t="s">
        <v>1639</v>
      </c>
      <c r="BQ447" s="33" t="str">
        <f>Transformation[[#This Row],[Commodity from]]&amp;Transformation[[#This Row],[Transaction from]]&amp;Transformation[[#This Row],[Commodity to]]&amp;Transformation[[#This Row],[Transaction to]]</f>
        <v>46100224610022</v>
      </c>
      <c r="BR447" s="26" t="str">
        <f>Transformation[[#This Row],[crfomid]]&amp;Transformation[[#This Row],[Transaction from]]&amp;"("&amp;Transformation[[#This Row],[Multiplier]]&amp;") -&gt; "&amp;Transformation[[#This Row],[ctoid]]&amp;Transformation[[#This Row],[Transaction to]]</f>
        <v>RG022(-1) -&gt; RG022</v>
      </c>
    </row>
    <row r="448" spans="25:70" x14ac:dyDescent="0.45">
      <c r="Y448" s="5" t="s">
        <v>172</v>
      </c>
      <c r="Z448" s="4" t="s">
        <v>694</v>
      </c>
      <c r="AA448" s="4" t="s">
        <v>694</v>
      </c>
      <c r="AB448" s="19" t="s">
        <v>1574</v>
      </c>
      <c r="AC448" s="24" t="str">
        <f>IFERROR(VLOOKUP(Transactions[[#This Row],[Parent code]],Transactions[[Transaction code]:[Transaction name]],2,0),"")</f>
        <v>Heat plants</v>
      </c>
      <c r="AD448" s="4" t="s">
        <v>189</v>
      </c>
      <c r="AE448" s="4" t="s">
        <v>924</v>
      </c>
      <c r="AF448" s="4" t="s">
        <v>642</v>
      </c>
      <c r="AG448" s="4" t="s">
        <v>1</v>
      </c>
      <c r="AH448" s="4" t="s">
        <v>695</v>
      </c>
      <c r="AJ448" s="4" t="s">
        <v>0</v>
      </c>
      <c r="AK448" s="24" t="str" cm="1">
        <f t="array" ref="AK448">IFERROR(INDEX(Transactions[[Transaction code]:[Transaction name]],_xlfn.XMATCH(Transactions[[#This Row],[Parent code]],Transactions[Transaction name],0),3),Transactions[[#This Row],[Transaction name]])</f>
        <v>Heat plants - Autoproducers</v>
      </c>
      <c r="AL448" s="24" t="str" cm="1">
        <f t="array" ref="AL448">IFERROR(INDEX(Transactions[[Transaction code]:[Transaction name]],_xlfn.XMATCH(INDEX(Transactions[[Transaction name]:[Parent code]],_xlfn.XMATCH(Transactions[[#This Row],[L1N]],Transactions[Transaction name],0),3),Transactions[Transaction code],0),2),Transactions[[#This Row],[L1N]])</f>
        <v>Heat plants</v>
      </c>
      <c r="AM448" s="24" t="str" cm="1">
        <f t="array" ref="AM448">IFERROR(INDEX(Transactions[[Transaction code]:[Transaction name]],_xlfn.XMATCH(INDEX(Transactions[[Transaction name]:[Parent code]],_xlfn.XMATCH(Transactions[[#This Row],[L2N]],Transactions[Transaction name],0),3),Transactions[Transaction code],0),2),Transactions[[#This Row],[L2N]])</f>
        <v>Electricity, CHP and heat plants (T)</v>
      </c>
      <c r="AN448" s="24" t="str" cm="1">
        <f t="array" ref="AN448">IFERROR(INDEX(Transactions[[Transaction code]:[Transaction name]],_xlfn.XMATCH(INDEX(Transactions[[Transaction name]:[Parent code]],_xlfn.XMATCH(Transactions[[#This Row],[L3N]],Transactions[Transaction name],0),3),Transactions[Transaction code],0),2),Transactions[[#This Row],[L3N]])</f>
        <v>Transformation</v>
      </c>
      <c r="AO448" s="24" t="str" cm="1">
        <f t="array" ref="AO448">IFERROR(INDEX(Transactions[[Transaction code]:[Transaction name]],_xlfn.XMATCH(INDEX(Transactions[[Transaction name]:[Parent code]],_xlfn.XMATCH(Transactions[[#This Row],[L4N]],Transactions[Transaction name],0),3),Transactions[Transaction code],0),2),Transactions[[#This Row],[L4N]])</f>
        <v>Transformation</v>
      </c>
      <c r="AP448" s="24" t="str" cm="1">
        <f t="array" ref="AP448">IFERROR(INDEX(Transactions[[Transaction code]:[Transaction name]],_xlfn.XMATCH(INDEX(Transactions[[Transaction name]:[Parent code]],_xlfn.XMATCH(Transactions[[#This Row],[L5N]],Transactions[Transaction name],0),3),Transactions[Transaction code],0),2),Transactions[[#This Row],[L5N]])</f>
        <v>Transformation</v>
      </c>
      <c r="AQ448" s="24" t="str" cm="1">
        <f t="array" ref="AQ448">IFERROR(INDEX(Transactions[[Transaction code]:[Transaction name]],_xlfn.XMATCH(INDEX(Transactions[[Transaction name]:[Parent code]],_xlfn.XMATCH(Transactions[[#This Row],[L6N]],Transactions[Transaction name],0),3),Transactions[Transaction code],0),2),Transactions[[#This Row],[L6N]])</f>
        <v>Transformation</v>
      </c>
      <c r="AR448" s="27" t="str">
        <f>IF(Transactions[[#This Row],[L7N]]=Transactions[[#This Row],[L6N]],Transactions[[#This Row],[L7N]],IF(Transactions[[#This Row],[L6N]]=Transactions[[#This Row],[L5N]],Transactions[[#This Row],[L6N]],IF(Transactions[[#This Row],[L5N]]=Transactions[[#This Row],[L4N]],Transactions[[#This Row],[L5N]],IF(Transactions[[#This Row],[L4N]]=Transactions[[#This Row],[L3N]],Transactions[[#This Row],[L4N]],IF(Transactions[[#This Row],[L3N]]=Transactions[[#This Row],[L2N]],Transactions[[#This Row],[L3N]],IF(Transactions[[#This Row],[L2N]]=Transactions[[#This Row],[L1N]],Transactions[[#This Row],[L2N]],IF(Transactions[[#This Row],[L1N]]=Transactions[[#This Row],[Transaction name]],Transactions[[#This Row],[L1N]],Transactions[[#This Row],[Transaction name]])))))))</f>
        <v>Transformation</v>
      </c>
      <c r="AS448" s="24" t="str">
        <f>IF(Transactions[[#This Row],[Level 0]]=Transactions[[#This Row],[Transaction name]],Transactions[[#This Row],[Transaction name]],IF(Transactions[[#This Row],[Level 0]]=Transactions[[#This Row],[L1N]],Transactions[[#This Row],[Transaction name]],IF(Transactions[[#This Row],[Level 0]]=Transactions[[#This Row],[L2N]],Transactions[[#This Row],[L1N]],IF(Transactions[[#This Row],[Level 0]]=Transactions[[#This Row],[L3N]],Transactions[[#This Row],[L2N]],IF(Transactions[[#This Row],[Level 0]]=Transactions[[#This Row],[L4N]],Transactions[[#This Row],[L3N]],IF(Transactions[[#This Row],[Level 0]]=Transactions[[#This Row],[L5N]],Transactions[[#This Row],[L4N]],IF(Transactions[[#This Row],[Level 0]]=Transactions[[#This Row],[L6N]],Transactions[[#This Row],[L5N]],IF(Transactions[[#This Row],[Level 0]]=Transactions[[#This Row],[L7N]],Transactions[[#This Row],[L6N]],Transactions[[#This Row],[L7N]]))))))))</f>
        <v>Electricity, CHP and heat plants (T)</v>
      </c>
      <c r="AT448" s="24" t="str">
        <f>IF(Transactions[[#This Row],[Level 1]]=Transactions[[#This Row],[Transaction name]],Transactions[[#This Row],[Transaction name]],IF(Transactions[[#This Row],[Level 1]]=Transactions[[#This Row],[L1N]],Transactions[[#This Row],[Transaction name]],IF(Transactions[[#This Row],[Level 1]]=Transactions[[#This Row],[L2N]],Transactions[[#This Row],[L1N]],IF(Transactions[[#This Row],[Level 1]]=Transactions[[#This Row],[L3N]],Transactions[[#This Row],[L2N]],IF(Transactions[[#This Row],[Level 1]]=Transactions[[#This Row],[L4N]],Transactions[[#This Row],[L3N]],IF(Transactions[[#This Row],[Level 1]]=Transactions[[#This Row],[L5N]],Transactions[[#This Row],[L4N]],IF(Transactions[[#This Row],[Level 1]]=Transactions[[#This Row],[L6N]],Transactions[[#This Row],[L5N]],IF(Transactions[[#This Row],[Level 1]]=Transactions[[#This Row],[L7N]],Transactions[[#This Row],[L6N]],Transactions[[#This Row],[L7N]]))))))))</f>
        <v>Heat plants</v>
      </c>
      <c r="AU448" s="24" t="str">
        <f>IF(Transactions[[#This Row],[Level 2]]=Transactions[[#This Row],[Transaction name]],Transactions[[#This Row],[Transaction name]],IF(Transactions[[#This Row],[Level 2]]=Transactions[[#This Row],[L1N]],Transactions[[#This Row],[Transaction name]],IF(Transactions[[#This Row],[Level 2]]=Transactions[[#This Row],[L2N]],Transactions[[#This Row],[L1N]],IF(Transactions[[#This Row],[Level 2]]=Transactions[[#This Row],[L3N]],Transactions[[#This Row],[L2N]],IF(Transactions[[#This Row],[Level 2]]=Transactions[[#This Row],[L4N]],Transactions[[#This Row],[L3N]],IF(Transactions[[#This Row],[Level 2]]=Transactions[[#This Row],[L5N]],Transactions[[#This Row],[L4N]],IF(Transactions[[#This Row],[Level 2]]=Transactions[[#This Row],[L6N]],Transactions[[#This Row],[L5N]],IF(Transactions[[#This Row],[Level 2]]=Transactions[[#This Row],[L7N]],Transactions[[#This Row],[L6N]],Transactions[[#This Row],[L7N]]))))))))</f>
        <v>Heat plants - Autoproducers</v>
      </c>
      <c r="AV448" s="24" t="str">
        <f>IF(Transactions[[#This Row],[Level 3]]=Transactions[[#This Row],[Transaction name]],Transactions[[#This Row],[Transaction name]],IF(Transactions[[#This Row],[Level 3]]=Transactions[[#This Row],[L1N]],Transactions[[#This Row],[Transaction name]],IF(Transactions[[#This Row],[Level 3]]=Transactions[[#This Row],[L2N]],Transactions[[#This Row],[L1N]],IF(Transactions[[#This Row],[Level 3]]=Transactions[[#This Row],[L3N]],Transactions[[#This Row],[L2N]],IF(Transactions[[#This Row],[Level 3]]=Transactions[[#This Row],[L4N]],Transactions[[#This Row],[L3N]],IF(Transactions[[#This Row],[Level 3]]=Transactions[[#This Row],[L5N]],Transactions[[#This Row],[L4N]],IF(Transactions[[#This Row],[Level 3]]=Transactions[[#This Row],[L6N]],Transactions[[#This Row],[L5N]],IF(Transactions[[#This Row],[Level 3]]=Transactions[[#This Row],[L7N]],Transactions[[#This Row],[L6N]],Transactions[[#This Row],[L7N]]))))))))</f>
        <v>Heat plants - Autoproducers</v>
      </c>
      <c r="AW448" s="24" t="str">
        <f>IF(Transactions[[#This Row],[Level 4]]=Transactions[[#This Row],[Transaction name]],Transactions[[#This Row],[Transaction name]],IF(Transactions[[#This Row],[Level 4]]=Transactions[[#This Row],[L1N]],Transactions[[#This Row],[Transaction name]],IF(Transactions[[#This Row],[Level 4]]=Transactions[[#This Row],[L2N]],Transactions[[#This Row],[L1N]],IF(Transactions[[#This Row],[Level 4]]=Transactions[[#This Row],[L3N]],Transactions[[#This Row],[L2N]],IF(Transactions[[#This Row],[Level 4]]=Transactions[[#This Row],[L4N]],Transactions[[#This Row],[L3N]],IF(Transactions[[#This Row],[Level 4]]=Transactions[[#This Row],[L5N]],Transactions[[#This Row],[L4N]],IF(Transactions[[#This Row],[Level 4]]=Transactions[[#This Row],[L6N]],Transactions[[#This Row],[L5N]],IF(Transactions[[#This Row],[Level 4]]=Transactions[[#This Row],[L7N]],Transactions[[#This Row],[L6N]],Transactions[[#This Row],[L7N]]))))))))</f>
        <v>Heat plants - Autoproducers</v>
      </c>
      <c r="AX448" s="24" t="str">
        <f>IF(Transactions[[#This Row],[Level 5]]=Transactions[[#This Row],[Transaction name]],Transactions[[#This Row],[Transaction name]],IF(Transactions[[#This Row],[Level 5]]=Transactions[[#This Row],[L1N]],Transactions[[#This Row],[Transaction name]],IF(Transactions[[#This Row],[Level 5]]=Transactions[[#This Row],[L2N]],Transactions[[#This Row],[L1N]],IF(Transactions[[#This Row],[Level 5]]=Transactions[[#This Row],[L3N]],Transactions[[#This Row],[L2N]],IF(Transactions[[#This Row],[Level 5]]=Transactions[[#This Row],[L4N]],Transactions[[#This Row],[L3N]],IF(Transactions[[#This Row],[Level 5]]=Transactions[[#This Row],[L5N]],Transactions[[#This Row],[L4N]],IF(Transactions[[#This Row],[Level 5]]=Transactions[[#This Row],[L6N]],Transactions[[#This Row],[L5N]],IF(Transactions[[#This Row],[Level 5]]=Transactions[[#This Row],[L7N]],Transactions[[#This Row],[L6N]],Transactions[[#This Row],[L7N]]))))))))</f>
        <v>Heat plants - Autoproducers</v>
      </c>
      <c r="AY448" s="24" t="str">
        <f>IF(Transactions[[#This Row],[Level 6]]=Transactions[[#This Row],[Transaction name]],Transactions[[#This Row],[Transaction name]],IF(Transactions[[#This Row],[Level 6]]=Transactions[[#This Row],[L1N]],Transactions[[#This Row],[Transaction name]],IF(Transactions[[#This Row],[Level 6]]=Transactions[[#This Row],[L2N]],Transactions[[#This Row],[L1N]],IF(Transactions[[#This Row],[Level 6]]=Transactions[[#This Row],[L3N]],Transactions[[#This Row],[L2N]],IF(Transactions[[#This Row],[Level 6]]=Transactions[[#This Row],[L4N]],Transactions[[#This Row],[L3N]],IF(Transactions[[#This Row],[Level 6]]=Transactions[[#This Row],[L5N]],Transactions[[#This Row],[L4N]],IF(Transactions[[#This Row],[Level 6]]=Transactions[[#This Row],[L6N]],Transactions[[#This Row],[L5N]],IF(Transactions[[#This Row],[Level 6]]=Transactions[[#This Row],[L7N]],Transactions[[#This Row],[L6N]],Transactions[[#This Row],[L7N]]))))))))</f>
        <v>Heat plants - Autoproducers</v>
      </c>
      <c r="BE448" s="26" t="str">
        <f>_xlfn.XLOOKUP(Transformation[[#This Row],[cfrom]],Commodities[Commodity],Commodities[Commodity code])</f>
        <v>4610</v>
      </c>
      <c r="BF448" s="26" t="str">
        <f>_xlfn.XLOOKUP(Transformation[[#This Row],[tfrom]],Transactions[Transaction name],Transactions[Transaction code])</f>
        <v>022</v>
      </c>
      <c r="BG448" s="26" t="str">
        <f>_xlfn.XLOOKUP(Transformation[[#This Row],[cto]],Commodities[Commodity],Commodities[Commodity code])</f>
        <v>4610</v>
      </c>
      <c r="BH448" s="26" t="str">
        <f>_xlfn.XLOOKUP(Transformation[[#This Row],[tto]],Transactions[Transaction name],Transactions[Transaction code])</f>
        <v>013</v>
      </c>
      <c r="BI448" s="31">
        <v>1</v>
      </c>
      <c r="BJ448" s="22" t="s">
        <v>416</v>
      </c>
      <c r="BK448" s="26" t="str">
        <f>_xlfn.XLOOKUP(Transformation[[#This Row],[Commodity from]],Commodities[Commodity code],Commodities[EnergyCode])</f>
        <v>RG</v>
      </c>
      <c r="BL448" s="22" t="s">
        <v>205</v>
      </c>
      <c r="BM448" s="22" t="s">
        <v>416</v>
      </c>
      <c r="BN448" s="26" t="str">
        <f>_xlfn.XLOOKUP(Transformation[[#This Row],[Commodity to]],Commodities[Commodity code],Commodities[EnergyCode])</f>
        <v>RG</v>
      </c>
      <c r="BO448" s="22" t="s">
        <v>374</v>
      </c>
      <c r="BP448" s="22" t="s">
        <v>1694</v>
      </c>
      <c r="BQ448" s="33" t="str">
        <f>Transformation[[#This Row],[Commodity from]]&amp;Transformation[[#This Row],[Transaction from]]&amp;Transformation[[#This Row],[Commodity to]]&amp;Transformation[[#This Row],[Transaction to]]</f>
        <v>46100224610013</v>
      </c>
      <c r="BR448" s="26" t="str">
        <f>Transformation[[#This Row],[crfomid]]&amp;Transformation[[#This Row],[Transaction from]]&amp;"("&amp;Transformation[[#This Row],[Multiplier]]&amp;") -&gt; "&amp;Transformation[[#This Row],[ctoid]]&amp;Transformation[[#This Row],[Transaction to]]</f>
        <v>RG022(1) -&gt; RG013</v>
      </c>
    </row>
    <row r="449" spans="25:70" x14ac:dyDescent="0.45">
      <c r="Y449" s="5" t="s">
        <v>1088</v>
      </c>
      <c r="Z449" s="7" t="s">
        <v>1064</v>
      </c>
      <c r="AA449" s="4" t="s">
        <v>1349</v>
      </c>
      <c r="AB449" s="19" t="s">
        <v>1553</v>
      </c>
      <c r="AC449" s="24" t="str">
        <f>IFERROR(VLOOKUP(Transactions[[#This Row],[Parent code]],Transactions[[Transaction code]:[Transaction name]],2,0),"")</f>
        <v>Heat plants - bagasse</v>
      </c>
      <c r="AD449" s="4" t="s">
        <v>189</v>
      </c>
      <c r="AE449" s="4" t="s">
        <v>924</v>
      </c>
      <c r="AF449" s="4" t="s">
        <v>642</v>
      </c>
      <c r="AG449" s="4" t="s">
        <v>1</v>
      </c>
      <c r="AH449" s="4" t="s">
        <v>696</v>
      </c>
      <c r="AI449" s="12" t="s">
        <v>1416</v>
      </c>
      <c r="AK449" s="24" t="str" cm="1">
        <f t="array" ref="AK449">IFERROR(INDEX(Transactions[[Transaction code]:[Transaction name]],_xlfn.XMATCH(Transactions[[#This Row],[Parent code]],Transactions[Transaction name],0),3),Transactions[[#This Row],[Transaction name]])</f>
        <v>Heat plants - Autoproducer - bagasse</v>
      </c>
      <c r="AL449" s="24" t="str" cm="1">
        <f t="array" ref="AL449">IFERROR(INDEX(Transactions[[Transaction code]:[Transaction name]],_xlfn.XMATCH(INDEX(Transactions[[Transaction name]:[Parent code]],_xlfn.XMATCH(Transactions[[#This Row],[L1N]],Transactions[Transaction name],0),3),Transactions[Transaction code],0),2),Transactions[[#This Row],[L1N]])</f>
        <v>Heat plants - bagasse</v>
      </c>
      <c r="AM449" s="24" t="str" cm="1">
        <f t="array" ref="AM449">IFERROR(INDEX(Transactions[[Transaction code]:[Transaction name]],_xlfn.XMATCH(INDEX(Transactions[[Transaction name]:[Parent code]],_xlfn.XMATCH(Transactions[[#This Row],[L2N]],Transactions[Transaction name],0),3),Transactions[Transaction code],0),2),Transactions[[#This Row],[L2N]])</f>
        <v>Heat plants</v>
      </c>
      <c r="AN449" s="24" t="str" cm="1">
        <f t="array" ref="AN449">IFERROR(INDEX(Transactions[[Transaction code]:[Transaction name]],_xlfn.XMATCH(INDEX(Transactions[[Transaction name]:[Parent code]],_xlfn.XMATCH(Transactions[[#This Row],[L3N]],Transactions[Transaction name],0),3),Transactions[Transaction code],0),2),Transactions[[#This Row],[L3N]])</f>
        <v>Electricity, CHP and heat plants (T)</v>
      </c>
      <c r="AO449" s="24" t="str" cm="1">
        <f t="array" ref="AO449">IFERROR(INDEX(Transactions[[Transaction code]:[Transaction name]],_xlfn.XMATCH(INDEX(Transactions[[Transaction name]:[Parent code]],_xlfn.XMATCH(Transactions[[#This Row],[L4N]],Transactions[Transaction name],0),3),Transactions[Transaction code],0),2),Transactions[[#This Row],[L4N]])</f>
        <v>Transformation</v>
      </c>
      <c r="AP449" s="24" t="str" cm="1">
        <f t="array" ref="AP449">IFERROR(INDEX(Transactions[[Transaction code]:[Transaction name]],_xlfn.XMATCH(INDEX(Transactions[[Transaction name]:[Parent code]],_xlfn.XMATCH(Transactions[[#This Row],[L5N]],Transactions[Transaction name],0),3),Transactions[Transaction code],0),2),Transactions[[#This Row],[L5N]])</f>
        <v>Transformation</v>
      </c>
      <c r="AQ449" s="24" t="str" cm="1">
        <f t="array" ref="AQ449">IFERROR(INDEX(Transactions[[Transaction code]:[Transaction name]],_xlfn.XMATCH(INDEX(Transactions[[Transaction name]:[Parent code]],_xlfn.XMATCH(Transactions[[#This Row],[L6N]],Transactions[Transaction name],0),3),Transactions[Transaction code],0),2),Transactions[[#This Row],[L6N]])</f>
        <v>Transformation</v>
      </c>
      <c r="AR449" s="27" t="str">
        <f>IF(Transactions[[#This Row],[L7N]]=Transactions[[#This Row],[L6N]],Transactions[[#This Row],[L7N]],IF(Transactions[[#This Row],[L6N]]=Transactions[[#This Row],[L5N]],Transactions[[#This Row],[L6N]],IF(Transactions[[#This Row],[L5N]]=Transactions[[#This Row],[L4N]],Transactions[[#This Row],[L5N]],IF(Transactions[[#This Row],[L4N]]=Transactions[[#This Row],[L3N]],Transactions[[#This Row],[L4N]],IF(Transactions[[#This Row],[L3N]]=Transactions[[#This Row],[L2N]],Transactions[[#This Row],[L3N]],IF(Transactions[[#This Row],[L2N]]=Transactions[[#This Row],[L1N]],Transactions[[#This Row],[L2N]],IF(Transactions[[#This Row],[L1N]]=Transactions[[#This Row],[Transaction name]],Transactions[[#This Row],[L1N]],Transactions[[#This Row],[Transaction name]])))))))</f>
        <v>Transformation</v>
      </c>
      <c r="AS449" s="24" t="str">
        <f>IF(Transactions[[#This Row],[Level 0]]=Transactions[[#This Row],[Transaction name]],Transactions[[#This Row],[Transaction name]],IF(Transactions[[#This Row],[Level 0]]=Transactions[[#This Row],[L1N]],Transactions[[#This Row],[Transaction name]],IF(Transactions[[#This Row],[Level 0]]=Transactions[[#This Row],[L2N]],Transactions[[#This Row],[L1N]],IF(Transactions[[#This Row],[Level 0]]=Transactions[[#This Row],[L3N]],Transactions[[#This Row],[L2N]],IF(Transactions[[#This Row],[Level 0]]=Transactions[[#This Row],[L4N]],Transactions[[#This Row],[L3N]],IF(Transactions[[#This Row],[Level 0]]=Transactions[[#This Row],[L5N]],Transactions[[#This Row],[L4N]],IF(Transactions[[#This Row],[Level 0]]=Transactions[[#This Row],[L6N]],Transactions[[#This Row],[L5N]],IF(Transactions[[#This Row],[Level 0]]=Transactions[[#This Row],[L7N]],Transactions[[#This Row],[L6N]],Transactions[[#This Row],[L7N]]))))))))</f>
        <v>Electricity, CHP and heat plants (T)</v>
      </c>
      <c r="AT449" s="24" t="str">
        <f>IF(Transactions[[#This Row],[Level 1]]=Transactions[[#This Row],[Transaction name]],Transactions[[#This Row],[Transaction name]],IF(Transactions[[#This Row],[Level 1]]=Transactions[[#This Row],[L1N]],Transactions[[#This Row],[Transaction name]],IF(Transactions[[#This Row],[Level 1]]=Transactions[[#This Row],[L2N]],Transactions[[#This Row],[L1N]],IF(Transactions[[#This Row],[Level 1]]=Transactions[[#This Row],[L3N]],Transactions[[#This Row],[L2N]],IF(Transactions[[#This Row],[Level 1]]=Transactions[[#This Row],[L4N]],Transactions[[#This Row],[L3N]],IF(Transactions[[#This Row],[Level 1]]=Transactions[[#This Row],[L5N]],Transactions[[#This Row],[L4N]],IF(Transactions[[#This Row],[Level 1]]=Transactions[[#This Row],[L6N]],Transactions[[#This Row],[L5N]],IF(Transactions[[#This Row],[Level 1]]=Transactions[[#This Row],[L7N]],Transactions[[#This Row],[L6N]],Transactions[[#This Row],[L7N]]))))))))</f>
        <v>Heat plants</v>
      </c>
      <c r="AU449" s="24" t="str">
        <f>IF(Transactions[[#This Row],[Level 2]]=Transactions[[#This Row],[Transaction name]],Transactions[[#This Row],[Transaction name]],IF(Transactions[[#This Row],[Level 2]]=Transactions[[#This Row],[L1N]],Transactions[[#This Row],[Transaction name]],IF(Transactions[[#This Row],[Level 2]]=Transactions[[#This Row],[L2N]],Transactions[[#This Row],[L1N]],IF(Transactions[[#This Row],[Level 2]]=Transactions[[#This Row],[L3N]],Transactions[[#This Row],[L2N]],IF(Transactions[[#This Row],[Level 2]]=Transactions[[#This Row],[L4N]],Transactions[[#This Row],[L3N]],IF(Transactions[[#This Row],[Level 2]]=Transactions[[#This Row],[L5N]],Transactions[[#This Row],[L4N]],IF(Transactions[[#This Row],[Level 2]]=Transactions[[#This Row],[L6N]],Transactions[[#This Row],[L5N]],IF(Transactions[[#This Row],[Level 2]]=Transactions[[#This Row],[L7N]],Transactions[[#This Row],[L6N]],Transactions[[#This Row],[L7N]]))))))))</f>
        <v>Heat plants - bagasse</v>
      </c>
      <c r="AV449" s="24" t="str">
        <f>IF(Transactions[[#This Row],[Level 3]]=Transactions[[#This Row],[Transaction name]],Transactions[[#This Row],[Transaction name]],IF(Transactions[[#This Row],[Level 3]]=Transactions[[#This Row],[L1N]],Transactions[[#This Row],[Transaction name]],IF(Transactions[[#This Row],[Level 3]]=Transactions[[#This Row],[L2N]],Transactions[[#This Row],[L1N]],IF(Transactions[[#This Row],[Level 3]]=Transactions[[#This Row],[L3N]],Transactions[[#This Row],[L2N]],IF(Transactions[[#This Row],[Level 3]]=Transactions[[#This Row],[L4N]],Transactions[[#This Row],[L3N]],IF(Transactions[[#This Row],[Level 3]]=Transactions[[#This Row],[L5N]],Transactions[[#This Row],[L4N]],IF(Transactions[[#This Row],[Level 3]]=Transactions[[#This Row],[L6N]],Transactions[[#This Row],[L5N]],IF(Transactions[[#This Row],[Level 3]]=Transactions[[#This Row],[L7N]],Transactions[[#This Row],[L6N]],Transactions[[#This Row],[L7N]]))))))))</f>
        <v>Heat plants - Autoproducer - bagasse</v>
      </c>
      <c r="AW449" s="24" t="str">
        <f>IF(Transactions[[#This Row],[Level 4]]=Transactions[[#This Row],[Transaction name]],Transactions[[#This Row],[Transaction name]],IF(Transactions[[#This Row],[Level 4]]=Transactions[[#This Row],[L1N]],Transactions[[#This Row],[Transaction name]],IF(Transactions[[#This Row],[Level 4]]=Transactions[[#This Row],[L2N]],Transactions[[#This Row],[L1N]],IF(Transactions[[#This Row],[Level 4]]=Transactions[[#This Row],[L3N]],Transactions[[#This Row],[L2N]],IF(Transactions[[#This Row],[Level 4]]=Transactions[[#This Row],[L4N]],Transactions[[#This Row],[L3N]],IF(Transactions[[#This Row],[Level 4]]=Transactions[[#This Row],[L5N]],Transactions[[#This Row],[L4N]],IF(Transactions[[#This Row],[Level 4]]=Transactions[[#This Row],[L6N]],Transactions[[#This Row],[L5N]],IF(Transactions[[#This Row],[Level 4]]=Transactions[[#This Row],[L7N]],Transactions[[#This Row],[L6N]],Transactions[[#This Row],[L7N]]))))))))</f>
        <v>Heat plants - Autoproducer - bagasse</v>
      </c>
      <c r="AX449" s="24" t="str">
        <f>IF(Transactions[[#This Row],[Level 5]]=Transactions[[#This Row],[Transaction name]],Transactions[[#This Row],[Transaction name]],IF(Transactions[[#This Row],[Level 5]]=Transactions[[#This Row],[L1N]],Transactions[[#This Row],[Transaction name]],IF(Transactions[[#This Row],[Level 5]]=Transactions[[#This Row],[L2N]],Transactions[[#This Row],[L1N]],IF(Transactions[[#This Row],[Level 5]]=Transactions[[#This Row],[L3N]],Transactions[[#This Row],[L2N]],IF(Transactions[[#This Row],[Level 5]]=Transactions[[#This Row],[L4N]],Transactions[[#This Row],[L3N]],IF(Transactions[[#This Row],[Level 5]]=Transactions[[#This Row],[L5N]],Transactions[[#This Row],[L4N]],IF(Transactions[[#This Row],[Level 5]]=Transactions[[#This Row],[L6N]],Transactions[[#This Row],[L5N]],IF(Transactions[[#This Row],[Level 5]]=Transactions[[#This Row],[L7N]],Transactions[[#This Row],[L6N]],Transactions[[#This Row],[L7N]]))))))))</f>
        <v>Heat plants - Autoproducer - bagasse</v>
      </c>
      <c r="AY449" s="24" t="str">
        <f>IF(Transactions[[#This Row],[Level 6]]=Transactions[[#This Row],[Transaction name]],Transactions[[#This Row],[Transaction name]],IF(Transactions[[#This Row],[Level 6]]=Transactions[[#This Row],[L1N]],Transactions[[#This Row],[Transaction name]],IF(Transactions[[#This Row],[Level 6]]=Transactions[[#This Row],[L2N]],Transactions[[#This Row],[L1N]],IF(Transactions[[#This Row],[Level 6]]=Transactions[[#This Row],[L3N]],Transactions[[#This Row],[L2N]],IF(Transactions[[#This Row],[Level 6]]=Transactions[[#This Row],[L4N]],Transactions[[#This Row],[L3N]],IF(Transactions[[#This Row],[Level 6]]=Transactions[[#This Row],[L5N]],Transactions[[#This Row],[L4N]],IF(Transactions[[#This Row],[Level 6]]=Transactions[[#This Row],[L6N]],Transactions[[#This Row],[L5N]],IF(Transactions[[#This Row],[Level 6]]=Transactions[[#This Row],[L7N]],Transactions[[#This Row],[L6N]],Transactions[[#This Row],[L7N]]))))))))</f>
        <v>Heat plants - Autoproducer - bagasse</v>
      </c>
      <c r="BE449" s="26" t="str">
        <f>_xlfn.XLOOKUP(Transformation[[#This Row],[cfrom]],Commodities[Commodity],Commodities[Commodity code])</f>
        <v>8000</v>
      </c>
      <c r="BF449" s="26" t="str">
        <f>_xlfn.XLOOKUP(Transformation[[#This Row],[tfrom]],Transactions[Transaction name],Transactions[Transaction code])</f>
        <v>01</v>
      </c>
      <c r="BG449" s="26" t="str">
        <f>_xlfn.XLOOKUP(Transformation[[#This Row],[cto]],Commodities[Commodity],Commodities[Commodity code])</f>
        <v>8000</v>
      </c>
      <c r="BH449" s="26" t="str">
        <f>_xlfn.XLOOKUP(Transformation[[#This Row],[tto]],Transactions[Transaction name],Transactions[Transaction code])</f>
        <v>01</v>
      </c>
      <c r="BI449" s="32">
        <v>-1</v>
      </c>
      <c r="BJ449" s="22" t="s">
        <v>262</v>
      </c>
      <c r="BK449" s="26" t="str">
        <f>_xlfn.XLOOKUP(Transformation[[#This Row],[Commodity from]],Commodities[Commodity code],Commodities[EnergyCode])</f>
        <v>ST</v>
      </c>
      <c r="BL449" s="22" t="s">
        <v>383</v>
      </c>
      <c r="BM449" s="22" t="s">
        <v>262</v>
      </c>
      <c r="BN449" s="26" t="str">
        <f>_xlfn.XLOOKUP(Transformation[[#This Row],[Commodity to]],Commodities[Commodity code],Commodities[EnergyCode])</f>
        <v>ST</v>
      </c>
      <c r="BO449" s="22" t="s">
        <v>383</v>
      </c>
      <c r="BP449" s="22" t="s">
        <v>1633</v>
      </c>
      <c r="BQ449" s="33" t="str">
        <f>Transformation[[#This Row],[Commodity from]]&amp;Transformation[[#This Row],[Transaction from]]&amp;Transformation[[#This Row],[Commodity to]]&amp;Transformation[[#This Row],[Transaction to]]</f>
        <v>800001800001</v>
      </c>
      <c r="BR449" s="26" t="str">
        <f>Transformation[[#This Row],[crfomid]]&amp;Transformation[[#This Row],[Transaction from]]&amp;"("&amp;Transformation[[#This Row],[Multiplier]]&amp;") -&gt; "&amp;Transformation[[#This Row],[ctoid]]&amp;Transformation[[#This Row],[Transaction to]]</f>
        <v>ST01(-1) -&gt; ST01</v>
      </c>
    </row>
    <row r="450" spans="25:70" x14ac:dyDescent="0.45">
      <c r="Y450" s="19" t="s">
        <v>1553</v>
      </c>
      <c r="Z450" s="18" t="s">
        <v>1349</v>
      </c>
      <c r="AA450" s="18" t="s">
        <v>1349</v>
      </c>
      <c r="AB450" s="19" t="s">
        <v>1574</v>
      </c>
      <c r="AC450" s="26" t="str">
        <f>IFERROR(VLOOKUP(Transactions[[#This Row],[Parent code]],Transactions[[Transaction code]:[Transaction name]],2,0),"")</f>
        <v>Heat plants</v>
      </c>
      <c r="AD450" s="18" t="s">
        <v>189</v>
      </c>
      <c r="AE450" s="18" t="s">
        <v>924</v>
      </c>
      <c r="AF450" s="18" t="s">
        <v>642</v>
      </c>
      <c r="AG450" s="18" t="s">
        <v>1</v>
      </c>
      <c r="AH450" s="18" t="s">
        <v>696</v>
      </c>
      <c r="AI450" s="18" t="s">
        <v>1416</v>
      </c>
      <c r="AJ450" s="18"/>
      <c r="AK450" s="26" t="str" cm="1">
        <f t="array" ref="AK450">IFERROR(INDEX(Transactions[[Transaction code]:[Transaction name]],_xlfn.XMATCH(Transactions[[#This Row],[Parent code]],Transactions[Transaction name],0),3),Transactions[[#This Row],[Transaction name]])</f>
        <v>Heat plants - bagasse</v>
      </c>
      <c r="AL450" s="26" t="str" cm="1">
        <f t="array" ref="AL450">IFERROR(INDEX(Transactions[[Transaction code]:[Transaction name]],_xlfn.XMATCH(INDEX(Transactions[[Transaction name]:[Parent code]],_xlfn.XMATCH(Transactions[[#This Row],[L1N]],Transactions[Transaction name],0),3),Transactions[Transaction code],0),2),Transactions[[#This Row],[L1N]])</f>
        <v>Heat plants</v>
      </c>
      <c r="AM450" s="26" t="str" cm="1">
        <f t="array" ref="AM450">IFERROR(INDEX(Transactions[[Transaction code]:[Transaction name]],_xlfn.XMATCH(INDEX(Transactions[[Transaction name]:[Parent code]],_xlfn.XMATCH(Transactions[[#This Row],[L2N]],Transactions[Transaction name],0),3),Transactions[Transaction code],0),2),Transactions[[#This Row],[L2N]])</f>
        <v>Electricity, CHP and heat plants (T)</v>
      </c>
      <c r="AN450" s="26" t="str" cm="1">
        <f t="array" ref="AN450">IFERROR(INDEX(Transactions[[Transaction code]:[Transaction name]],_xlfn.XMATCH(INDEX(Transactions[[Transaction name]:[Parent code]],_xlfn.XMATCH(Transactions[[#This Row],[L3N]],Transactions[Transaction name],0),3),Transactions[Transaction code],0),2),Transactions[[#This Row],[L3N]])</f>
        <v>Transformation</v>
      </c>
      <c r="AO450" s="26" t="str" cm="1">
        <f t="array" ref="AO450">IFERROR(INDEX(Transactions[[Transaction code]:[Transaction name]],_xlfn.XMATCH(INDEX(Transactions[[Transaction name]:[Parent code]],_xlfn.XMATCH(Transactions[[#This Row],[L4N]],Transactions[Transaction name],0),3),Transactions[Transaction code],0),2),Transactions[[#This Row],[L4N]])</f>
        <v>Transformation</v>
      </c>
      <c r="AP450" s="26" t="str" cm="1">
        <f t="array" ref="AP450">IFERROR(INDEX(Transactions[[Transaction code]:[Transaction name]],_xlfn.XMATCH(INDEX(Transactions[[Transaction name]:[Parent code]],_xlfn.XMATCH(Transactions[[#This Row],[L5N]],Transactions[Transaction name],0),3),Transactions[Transaction code],0),2),Transactions[[#This Row],[L5N]])</f>
        <v>Transformation</v>
      </c>
      <c r="AQ450" s="26" t="str" cm="1">
        <f t="array" ref="AQ450">IFERROR(INDEX(Transactions[[Transaction code]:[Transaction name]],_xlfn.XMATCH(INDEX(Transactions[[Transaction name]:[Parent code]],_xlfn.XMATCH(Transactions[[#This Row],[L6N]],Transactions[Transaction name],0),3),Transactions[Transaction code],0),2),Transactions[[#This Row],[L6N]])</f>
        <v>Transformation</v>
      </c>
      <c r="AR450" s="30" t="str">
        <f>IF(Transactions[[#This Row],[L7N]]=Transactions[[#This Row],[L6N]],Transactions[[#This Row],[L7N]],IF(Transactions[[#This Row],[L6N]]=Transactions[[#This Row],[L5N]],Transactions[[#This Row],[L6N]],IF(Transactions[[#This Row],[L5N]]=Transactions[[#This Row],[L4N]],Transactions[[#This Row],[L5N]],IF(Transactions[[#This Row],[L4N]]=Transactions[[#This Row],[L3N]],Transactions[[#This Row],[L4N]],IF(Transactions[[#This Row],[L3N]]=Transactions[[#This Row],[L2N]],Transactions[[#This Row],[L3N]],IF(Transactions[[#This Row],[L2N]]=Transactions[[#This Row],[L1N]],Transactions[[#This Row],[L2N]],IF(Transactions[[#This Row],[L1N]]=Transactions[[#This Row],[Transaction name]],Transactions[[#This Row],[L1N]],Transactions[[#This Row],[Transaction name]])))))))</f>
        <v>Transformation</v>
      </c>
      <c r="AS450" s="26" t="str">
        <f>IF(Transactions[[#This Row],[Level 0]]=Transactions[[#This Row],[Transaction name]],Transactions[[#This Row],[Transaction name]],IF(Transactions[[#This Row],[Level 0]]=Transactions[[#This Row],[L1N]],Transactions[[#This Row],[Transaction name]],IF(Transactions[[#This Row],[Level 0]]=Transactions[[#This Row],[L2N]],Transactions[[#This Row],[L1N]],IF(Transactions[[#This Row],[Level 0]]=Transactions[[#This Row],[L3N]],Transactions[[#This Row],[L2N]],IF(Transactions[[#This Row],[Level 0]]=Transactions[[#This Row],[L4N]],Transactions[[#This Row],[L3N]],IF(Transactions[[#This Row],[Level 0]]=Transactions[[#This Row],[L5N]],Transactions[[#This Row],[L4N]],IF(Transactions[[#This Row],[Level 0]]=Transactions[[#This Row],[L6N]],Transactions[[#This Row],[L5N]],IF(Transactions[[#This Row],[Level 0]]=Transactions[[#This Row],[L7N]],Transactions[[#This Row],[L6N]],Transactions[[#This Row],[L7N]]))))))))</f>
        <v>Electricity, CHP and heat plants (T)</v>
      </c>
      <c r="AT450" s="26" t="str">
        <f>IF(Transactions[[#This Row],[Level 1]]=Transactions[[#This Row],[Transaction name]],Transactions[[#This Row],[Transaction name]],IF(Transactions[[#This Row],[Level 1]]=Transactions[[#This Row],[L1N]],Transactions[[#This Row],[Transaction name]],IF(Transactions[[#This Row],[Level 1]]=Transactions[[#This Row],[L2N]],Transactions[[#This Row],[L1N]],IF(Transactions[[#This Row],[Level 1]]=Transactions[[#This Row],[L3N]],Transactions[[#This Row],[L2N]],IF(Transactions[[#This Row],[Level 1]]=Transactions[[#This Row],[L4N]],Transactions[[#This Row],[L3N]],IF(Transactions[[#This Row],[Level 1]]=Transactions[[#This Row],[L5N]],Transactions[[#This Row],[L4N]],IF(Transactions[[#This Row],[Level 1]]=Transactions[[#This Row],[L6N]],Transactions[[#This Row],[L5N]],IF(Transactions[[#This Row],[Level 1]]=Transactions[[#This Row],[L7N]],Transactions[[#This Row],[L6N]],Transactions[[#This Row],[L7N]]))))))))</f>
        <v>Heat plants</v>
      </c>
      <c r="AU450" s="26" t="str">
        <f>IF(Transactions[[#This Row],[Level 2]]=Transactions[[#This Row],[Transaction name]],Transactions[[#This Row],[Transaction name]],IF(Transactions[[#This Row],[Level 2]]=Transactions[[#This Row],[L1N]],Transactions[[#This Row],[Transaction name]],IF(Transactions[[#This Row],[Level 2]]=Transactions[[#This Row],[L2N]],Transactions[[#This Row],[L1N]],IF(Transactions[[#This Row],[Level 2]]=Transactions[[#This Row],[L3N]],Transactions[[#This Row],[L2N]],IF(Transactions[[#This Row],[Level 2]]=Transactions[[#This Row],[L4N]],Transactions[[#This Row],[L3N]],IF(Transactions[[#This Row],[Level 2]]=Transactions[[#This Row],[L5N]],Transactions[[#This Row],[L4N]],IF(Transactions[[#This Row],[Level 2]]=Transactions[[#This Row],[L6N]],Transactions[[#This Row],[L5N]],IF(Transactions[[#This Row],[Level 2]]=Transactions[[#This Row],[L7N]],Transactions[[#This Row],[L6N]],Transactions[[#This Row],[L7N]]))))))))</f>
        <v>Heat plants - bagasse</v>
      </c>
      <c r="AV450" s="26" t="str">
        <f>IF(Transactions[[#This Row],[Level 3]]=Transactions[[#This Row],[Transaction name]],Transactions[[#This Row],[Transaction name]],IF(Transactions[[#This Row],[Level 3]]=Transactions[[#This Row],[L1N]],Transactions[[#This Row],[Transaction name]],IF(Transactions[[#This Row],[Level 3]]=Transactions[[#This Row],[L2N]],Transactions[[#This Row],[L1N]],IF(Transactions[[#This Row],[Level 3]]=Transactions[[#This Row],[L3N]],Transactions[[#This Row],[L2N]],IF(Transactions[[#This Row],[Level 3]]=Transactions[[#This Row],[L4N]],Transactions[[#This Row],[L3N]],IF(Transactions[[#This Row],[Level 3]]=Transactions[[#This Row],[L5N]],Transactions[[#This Row],[L4N]],IF(Transactions[[#This Row],[Level 3]]=Transactions[[#This Row],[L6N]],Transactions[[#This Row],[L5N]],IF(Transactions[[#This Row],[Level 3]]=Transactions[[#This Row],[L7N]],Transactions[[#This Row],[L6N]],Transactions[[#This Row],[L7N]]))))))))</f>
        <v>Heat plants - bagasse</v>
      </c>
      <c r="AW450" s="26" t="str">
        <f>IF(Transactions[[#This Row],[Level 4]]=Transactions[[#This Row],[Transaction name]],Transactions[[#This Row],[Transaction name]],IF(Transactions[[#This Row],[Level 4]]=Transactions[[#This Row],[L1N]],Transactions[[#This Row],[Transaction name]],IF(Transactions[[#This Row],[Level 4]]=Transactions[[#This Row],[L2N]],Transactions[[#This Row],[L1N]],IF(Transactions[[#This Row],[Level 4]]=Transactions[[#This Row],[L3N]],Transactions[[#This Row],[L2N]],IF(Transactions[[#This Row],[Level 4]]=Transactions[[#This Row],[L4N]],Transactions[[#This Row],[L3N]],IF(Transactions[[#This Row],[Level 4]]=Transactions[[#This Row],[L5N]],Transactions[[#This Row],[L4N]],IF(Transactions[[#This Row],[Level 4]]=Transactions[[#This Row],[L6N]],Transactions[[#This Row],[L5N]],IF(Transactions[[#This Row],[Level 4]]=Transactions[[#This Row],[L7N]],Transactions[[#This Row],[L6N]],Transactions[[#This Row],[L7N]]))))))))</f>
        <v>Heat plants - bagasse</v>
      </c>
      <c r="AX450" s="26" t="str">
        <f>IF(Transactions[[#This Row],[Level 5]]=Transactions[[#This Row],[Transaction name]],Transactions[[#This Row],[Transaction name]],IF(Transactions[[#This Row],[Level 5]]=Transactions[[#This Row],[L1N]],Transactions[[#This Row],[Transaction name]],IF(Transactions[[#This Row],[Level 5]]=Transactions[[#This Row],[L2N]],Transactions[[#This Row],[L1N]],IF(Transactions[[#This Row],[Level 5]]=Transactions[[#This Row],[L3N]],Transactions[[#This Row],[L2N]],IF(Transactions[[#This Row],[Level 5]]=Transactions[[#This Row],[L4N]],Transactions[[#This Row],[L3N]],IF(Transactions[[#This Row],[Level 5]]=Transactions[[#This Row],[L5N]],Transactions[[#This Row],[L4N]],IF(Transactions[[#This Row],[Level 5]]=Transactions[[#This Row],[L6N]],Transactions[[#This Row],[L5N]],IF(Transactions[[#This Row],[Level 5]]=Transactions[[#This Row],[L7N]],Transactions[[#This Row],[L6N]],Transactions[[#This Row],[L7N]]))))))))</f>
        <v>Heat plants - bagasse</v>
      </c>
      <c r="AY450" s="26" t="str">
        <f>IF(Transactions[[#This Row],[Level 6]]=Transactions[[#This Row],[Transaction name]],Transactions[[#This Row],[Transaction name]],IF(Transactions[[#This Row],[Level 6]]=Transactions[[#This Row],[L1N]],Transactions[[#This Row],[Transaction name]],IF(Transactions[[#This Row],[Level 6]]=Transactions[[#This Row],[L2N]],Transactions[[#This Row],[L1N]],IF(Transactions[[#This Row],[Level 6]]=Transactions[[#This Row],[L3N]],Transactions[[#This Row],[L2N]],IF(Transactions[[#This Row],[Level 6]]=Transactions[[#This Row],[L4N]],Transactions[[#This Row],[L3N]],IF(Transactions[[#This Row],[Level 6]]=Transactions[[#This Row],[L5N]],Transactions[[#This Row],[L4N]],IF(Transactions[[#This Row],[Level 6]]=Transactions[[#This Row],[L6N]],Transactions[[#This Row],[L5N]],IF(Transactions[[#This Row],[Level 6]]=Transactions[[#This Row],[L7N]],Transactions[[#This Row],[L6N]],Transactions[[#This Row],[L7N]]))))))))</f>
        <v>Heat plants - bagasse</v>
      </c>
      <c r="BE450" s="26" t="str">
        <f>_xlfn.XLOOKUP(Transformation[[#This Row],[cfrom]],Commodities[Commodity],Commodities[Commodity code])</f>
        <v>4691</v>
      </c>
      <c r="BF450" s="26" t="str">
        <f>_xlfn.XLOOKUP(Transformation[[#This Row],[tfrom]],Transactions[Transaction name],Transactions[Transaction code])</f>
        <v>01</v>
      </c>
      <c r="BG450" s="26" t="str">
        <f>_xlfn.XLOOKUP(Transformation[[#This Row],[cto]],Commodities[Commodity],Commodities[Commodity code])</f>
        <v>4691</v>
      </c>
      <c r="BH450" s="26" t="str">
        <f>_xlfn.XLOOKUP(Transformation[[#This Row],[tto]],Transactions[Transaction name],Transactions[Transaction code])</f>
        <v>01</v>
      </c>
      <c r="BI450" s="32">
        <v>-1</v>
      </c>
      <c r="BJ450" s="22" t="s">
        <v>363</v>
      </c>
      <c r="BK450" s="26" t="str">
        <f>_xlfn.XLOOKUP(Transformation[[#This Row],[Commodity from]],Commodities[Commodity code],Commodities[EnergyCode])</f>
        <v>WS</v>
      </c>
      <c r="BL450" s="22" t="s">
        <v>383</v>
      </c>
      <c r="BM450" s="22" t="s">
        <v>363</v>
      </c>
      <c r="BN450" s="26" t="str">
        <f>_xlfn.XLOOKUP(Transformation[[#This Row],[Commodity to]],Commodities[Commodity code],Commodities[EnergyCode])</f>
        <v>WS</v>
      </c>
      <c r="BO450" s="22" t="s">
        <v>383</v>
      </c>
      <c r="BP450" s="22" t="s">
        <v>1633</v>
      </c>
      <c r="BQ450" s="33" t="str">
        <f>Transformation[[#This Row],[Commodity from]]&amp;Transformation[[#This Row],[Transaction from]]&amp;Transformation[[#This Row],[Commodity to]]&amp;Transformation[[#This Row],[Transaction to]]</f>
        <v>469101469101</v>
      </c>
      <c r="BR450" s="26" t="str">
        <f>Transformation[[#This Row],[crfomid]]&amp;Transformation[[#This Row],[Transaction from]]&amp;"("&amp;Transformation[[#This Row],[Multiplier]]&amp;") -&gt; "&amp;Transformation[[#This Row],[ctoid]]&amp;Transformation[[#This Row],[Transaction to]]</f>
        <v>WS01(-1) -&gt; WS01</v>
      </c>
    </row>
    <row r="451" spans="25:70" x14ac:dyDescent="0.45">
      <c r="Y451" s="5" t="s">
        <v>1084</v>
      </c>
      <c r="Z451" s="7" t="s">
        <v>1060</v>
      </c>
      <c r="AA451" s="4" t="s">
        <v>1349</v>
      </c>
      <c r="AB451" s="19" t="s">
        <v>1553</v>
      </c>
      <c r="AC451" s="24" t="str">
        <f>IFERROR(VLOOKUP(Transactions[[#This Row],[Parent code]],Transactions[[Transaction code]:[Transaction name]],2,0),"")</f>
        <v>Heat plants - bagasse</v>
      </c>
      <c r="AD451" s="4" t="s">
        <v>189</v>
      </c>
      <c r="AE451" s="4" t="s">
        <v>924</v>
      </c>
      <c r="AF451" s="4" t="s">
        <v>642</v>
      </c>
      <c r="AG451" s="4" t="s">
        <v>1</v>
      </c>
      <c r="AH451" s="4" t="s">
        <v>696</v>
      </c>
      <c r="AI451" s="12" t="s">
        <v>1416</v>
      </c>
      <c r="AK451" s="24" t="str" cm="1">
        <f t="array" ref="AK451">IFERROR(INDEX(Transactions[[Transaction code]:[Transaction name]],_xlfn.XMATCH(Transactions[[#This Row],[Parent code]],Transactions[Transaction name],0),3),Transactions[[#This Row],[Transaction name]])</f>
        <v>Heat plants - Main activity - bagasse</v>
      </c>
      <c r="AL451" s="24" t="str" cm="1">
        <f t="array" ref="AL451">IFERROR(INDEX(Transactions[[Transaction code]:[Transaction name]],_xlfn.XMATCH(INDEX(Transactions[[Transaction name]:[Parent code]],_xlfn.XMATCH(Transactions[[#This Row],[L1N]],Transactions[Transaction name],0),3),Transactions[Transaction code],0),2),Transactions[[#This Row],[L1N]])</f>
        <v>Heat plants - bagasse</v>
      </c>
      <c r="AM451" s="24" t="str" cm="1">
        <f t="array" ref="AM451">IFERROR(INDEX(Transactions[[Transaction code]:[Transaction name]],_xlfn.XMATCH(INDEX(Transactions[[Transaction name]:[Parent code]],_xlfn.XMATCH(Transactions[[#This Row],[L2N]],Transactions[Transaction name],0),3),Transactions[Transaction code],0),2),Transactions[[#This Row],[L2N]])</f>
        <v>Heat plants</v>
      </c>
      <c r="AN451" s="24" t="str" cm="1">
        <f t="array" ref="AN451">IFERROR(INDEX(Transactions[[Transaction code]:[Transaction name]],_xlfn.XMATCH(INDEX(Transactions[[Transaction name]:[Parent code]],_xlfn.XMATCH(Transactions[[#This Row],[L3N]],Transactions[Transaction name],0),3),Transactions[Transaction code],0),2),Transactions[[#This Row],[L3N]])</f>
        <v>Electricity, CHP and heat plants (T)</v>
      </c>
      <c r="AO451" s="24" t="str" cm="1">
        <f t="array" ref="AO451">IFERROR(INDEX(Transactions[[Transaction code]:[Transaction name]],_xlfn.XMATCH(INDEX(Transactions[[Transaction name]:[Parent code]],_xlfn.XMATCH(Transactions[[#This Row],[L4N]],Transactions[Transaction name],0),3),Transactions[Transaction code],0),2),Transactions[[#This Row],[L4N]])</f>
        <v>Transformation</v>
      </c>
      <c r="AP451" s="24" t="str" cm="1">
        <f t="array" ref="AP451">IFERROR(INDEX(Transactions[[Transaction code]:[Transaction name]],_xlfn.XMATCH(INDEX(Transactions[[Transaction name]:[Parent code]],_xlfn.XMATCH(Transactions[[#This Row],[L5N]],Transactions[Transaction name],0),3),Transactions[Transaction code],0),2),Transactions[[#This Row],[L5N]])</f>
        <v>Transformation</v>
      </c>
      <c r="AQ451" s="24" t="str" cm="1">
        <f t="array" ref="AQ451">IFERROR(INDEX(Transactions[[Transaction code]:[Transaction name]],_xlfn.XMATCH(INDEX(Transactions[[Transaction name]:[Parent code]],_xlfn.XMATCH(Transactions[[#This Row],[L6N]],Transactions[Transaction name],0),3),Transactions[Transaction code],0),2),Transactions[[#This Row],[L6N]])</f>
        <v>Transformation</v>
      </c>
      <c r="AR451" s="27" t="str">
        <f>IF(Transactions[[#This Row],[L7N]]=Transactions[[#This Row],[L6N]],Transactions[[#This Row],[L7N]],IF(Transactions[[#This Row],[L6N]]=Transactions[[#This Row],[L5N]],Transactions[[#This Row],[L6N]],IF(Transactions[[#This Row],[L5N]]=Transactions[[#This Row],[L4N]],Transactions[[#This Row],[L5N]],IF(Transactions[[#This Row],[L4N]]=Transactions[[#This Row],[L3N]],Transactions[[#This Row],[L4N]],IF(Transactions[[#This Row],[L3N]]=Transactions[[#This Row],[L2N]],Transactions[[#This Row],[L3N]],IF(Transactions[[#This Row],[L2N]]=Transactions[[#This Row],[L1N]],Transactions[[#This Row],[L2N]],IF(Transactions[[#This Row],[L1N]]=Transactions[[#This Row],[Transaction name]],Transactions[[#This Row],[L1N]],Transactions[[#This Row],[Transaction name]])))))))</f>
        <v>Transformation</v>
      </c>
      <c r="AS451" s="24" t="str">
        <f>IF(Transactions[[#This Row],[Level 0]]=Transactions[[#This Row],[Transaction name]],Transactions[[#This Row],[Transaction name]],IF(Transactions[[#This Row],[Level 0]]=Transactions[[#This Row],[L1N]],Transactions[[#This Row],[Transaction name]],IF(Transactions[[#This Row],[Level 0]]=Transactions[[#This Row],[L2N]],Transactions[[#This Row],[L1N]],IF(Transactions[[#This Row],[Level 0]]=Transactions[[#This Row],[L3N]],Transactions[[#This Row],[L2N]],IF(Transactions[[#This Row],[Level 0]]=Transactions[[#This Row],[L4N]],Transactions[[#This Row],[L3N]],IF(Transactions[[#This Row],[Level 0]]=Transactions[[#This Row],[L5N]],Transactions[[#This Row],[L4N]],IF(Transactions[[#This Row],[Level 0]]=Transactions[[#This Row],[L6N]],Transactions[[#This Row],[L5N]],IF(Transactions[[#This Row],[Level 0]]=Transactions[[#This Row],[L7N]],Transactions[[#This Row],[L6N]],Transactions[[#This Row],[L7N]]))))))))</f>
        <v>Electricity, CHP and heat plants (T)</v>
      </c>
      <c r="AT451" s="24" t="str">
        <f>IF(Transactions[[#This Row],[Level 1]]=Transactions[[#This Row],[Transaction name]],Transactions[[#This Row],[Transaction name]],IF(Transactions[[#This Row],[Level 1]]=Transactions[[#This Row],[L1N]],Transactions[[#This Row],[Transaction name]],IF(Transactions[[#This Row],[Level 1]]=Transactions[[#This Row],[L2N]],Transactions[[#This Row],[L1N]],IF(Transactions[[#This Row],[Level 1]]=Transactions[[#This Row],[L3N]],Transactions[[#This Row],[L2N]],IF(Transactions[[#This Row],[Level 1]]=Transactions[[#This Row],[L4N]],Transactions[[#This Row],[L3N]],IF(Transactions[[#This Row],[Level 1]]=Transactions[[#This Row],[L5N]],Transactions[[#This Row],[L4N]],IF(Transactions[[#This Row],[Level 1]]=Transactions[[#This Row],[L6N]],Transactions[[#This Row],[L5N]],IF(Transactions[[#This Row],[Level 1]]=Transactions[[#This Row],[L7N]],Transactions[[#This Row],[L6N]],Transactions[[#This Row],[L7N]]))))))))</f>
        <v>Heat plants</v>
      </c>
      <c r="AU451" s="24" t="str">
        <f>IF(Transactions[[#This Row],[Level 2]]=Transactions[[#This Row],[Transaction name]],Transactions[[#This Row],[Transaction name]],IF(Transactions[[#This Row],[Level 2]]=Transactions[[#This Row],[L1N]],Transactions[[#This Row],[Transaction name]],IF(Transactions[[#This Row],[Level 2]]=Transactions[[#This Row],[L2N]],Transactions[[#This Row],[L1N]],IF(Transactions[[#This Row],[Level 2]]=Transactions[[#This Row],[L3N]],Transactions[[#This Row],[L2N]],IF(Transactions[[#This Row],[Level 2]]=Transactions[[#This Row],[L4N]],Transactions[[#This Row],[L3N]],IF(Transactions[[#This Row],[Level 2]]=Transactions[[#This Row],[L5N]],Transactions[[#This Row],[L4N]],IF(Transactions[[#This Row],[Level 2]]=Transactions[[#This Row],[L6N]],Transactions[[#This Row],[L5N]],IF(Transactions[[#This Row],[Level 2]]=Transactions[[#This Row],[L7N]],Transactions[[#This Row],[L6N]],Transactions[[#This Row],[L7N]]))))))))</f>
        <v>Heat plants - bagasse</v>
      </c>
      <c r="AV451" s="24" t="str">
        <f>IF(Transactions[[#This Row],[Level 3]]=Transactions[[#This Row],[Transaction name]],Transactions[[#This Row],[Transaction name]],IF(Transactions[[#This Row],[Level 3]]=Transactions[[#This Row],[L1N]],Transactions[[#This Row],[Transaction name]],IF(Transactions[[#This Row],[Level 3]]=Transactions[[#This Row],[L2N]],Transactions[[#This Row],[L1N]],IF(Transactions[[#This Row],[Level 3]]=Transactions[[#This Row],[L3N]],Transactions[[#This Row],[L2N]],IF(Transactions[[#This Row],[Level 3]]=Transactions[[#This Row],[L4N]],Transactions[[#This Row],[L3N]],IF(Transactions[[#This Row],[Level 3]]=Transactions[[#This Row],[L5N]],Transactions[[#This Row],[L4N]],IF(Transactions[[#This Row],[Level 3]]=Transactions[[#This Row],[L6N]],Transactions[[#This Row],[L5N]],IF(Transactions[[#This Row],[Level 3]]=Transactions[[#This Row],[L7N]],Transactions[[#This Row],[L6N]],Transactions[[#This Row],[L7N]]))))))))</f>
        <v>Heat plants - Main activity - bagasse</v>
      </c>
      <c r="AW451" s="24" t="str">
        <f>IF(Transactions[[#This Row],[Level 4]]=Transactions[[#This Row],[Transaction name]],Transactions[[#This Row],[Transaction name]],IF(Transactions[[#This Row],[Level 4]]=Transactions[[#This Row],[L1N]],Transactions[[#This Row],[Transaction name]],IF(Transactions[[#This Row],[Level 4]]=Transactions[[#This Row],[L2N]],Transactions[[#This Row],[L1N]],IF(Transactions[[#This Row],[Level 4]]=Transactions[[#This Row],[L3N]],Transactions[[#This Row],[L2N]],IF(Transactions[[#This Row],[Level 4]]=Transactions[[#This Row],[L4N]],Transactions[[#This Row],[L3N]],IF(Transactions[[#This Row],[Level 4]]=Transactions[[#This Row],[L5N]],Transactions[[#This Row],[L4N]],IF(Transactions[[#This Row],[Level 4]]=Transactions[[#This Row],[L6N]],Transactions[[#This Row],[L5N]],IF(Transactions[[#This Row],[Level 4]]=Transactions[[#This Row],[L7N]],Transactions[[#This Row],[L6N]],Transactions[[#This Row],[L7N]]))))))))</f>
        <v>Heat plants - Main activity - bagasse</v>
      </c>
      <c r="AX451" s="24" t="str">
        <f>IF(Transactions[[#This Row],[Level 5]]=Transactions[[#This Row],[Transaction name]],Transactions[[#This Row],[Transaction name]],IF(Transactions[[#This Row],[Level 5]]=Transactions[[#This Row],[L1N]],Transactions[[#This Row],[Transaction name]],IF(Transactions[[#This Row],[Level 5]]=Transactions[[#This Row],[L2N]],Transactions[[#This Row],[L1N]],IF(Transactions[[#This Row],[Level 5]]=Transactions[[#This Row],[L3N]],Transactions[[#This Row],[L2N]],IF(Transactions[[#This Row],[Level 5]]=Transactions[[#This Row],[L4N]],Transactions[[#This Row],[L3N]],IF(Transactions[[#This Row],[Level 5]]=Transactions[[#This Row],[L5N]],Transactions[[#This Row],[L4N]],IF(Transactions[[#This Row],[Level 5]]=Transactions[[#This Row],[L6N]],Transactions[[#This Row],[L5N]],IF(Transactions[[#This Row],[Level 5]]=Transactions[[#This Row],[L7N]],Transactions[[#This Row],[L6N]],Transactions[[#This Row],[L7N]]))))))))</f>
        <v>Heat plants - Main activity - bagasse</v>
      </c>
      <c r="AY451" s="24" t="str">
        <f>IF(Transactions[[#This Row],[Level 6]]=Transactions[[#This Row],[Transaction name]],Transactions[[#This Row],[Transaction name]],IF(Transactions[[#This Row],[Level 6]]=Transactions[[#This Row],[L1N]],Transactions[[#This Row],[Transaction name]],IF(Transactions[[#This Row],[Level 6]]=Transactions[[#This Row],[L2N]],Transactions[[#This Row],[L1N]],IF(Transactions[[#This Row],[Level 6]]=Transactions[[#This Row],[L3N]],Transactions[[#This Row],[L2N]],IF(Transactions[[#This Row],[Level 6]]=Transactions[[#This Row],[L4N]],Transactions[[#This Row],[L3N]],IF(Transactions[[#This Row],[Level 6]]=Transactions[[#This Row],[L5N]],Transactions[[#This Row],[L4N]],IF(Transactions[[#This Row],[Level 6]]=Transactions[[#This Row],[L6N]],Transactions[[#This Row],[L5N]],IF(Transactions[[#This Row],[Level 6]]=Transactions[[#This Row],[L7N]],Transactions[[#This Row],[L6N]],Transactions[[#This Row],[L7N]]))))))))</f>
        <v>Heat plants - Main activity - bagasse</v>
      </c>
      <c r="BE451" s="26" t="str">
        <f>_xlfn.XLOOKUP(Transformation[[#This Row],[cfrom]],Commodities[Commodity],Commodities[Commodity code])</f>
        <v>4691</v>
      </c>
      <c r="BF451" s="26" t="str">
        <f>_xlfn.XLOOKUP(Transformation[[#This Row],[tfrom]],Transactions[Transaction name],Transactions[Transaction code])</f>
        <v>022</v>
      </c>
      <c r="BG451" s="26" t="str">
        <f>_xlfn.XLOOKUP(Transformation[[#This Row],[cto]],Commodities[Commodity],Commodities[Commodity code])</f>
        <v>4610</v>
      </c>
      <c r="BH451" s="26" t="str">
        <f>_xlfn.XLOOKUP(Transformation[[#This Row],[tto]],Transactions[Transaction name],Transactions[Transaction code])</f>
        <v>022</v>
      </c>
      <c r="BI451" s="32">
        <v>-1</v>
      </c>
      <c r="BJ451" s="22" t="s">
        <v>363</v>
      </c>
      <c r="BK451" s="26" t="str">
        <f>_xlfn.XLOOKUP(Transformation[[#This Row],[Commodity from]],Commodities[Commodity code],Commodities[EnergyCode])</f>
        <v>WS</v>
      </c>
      <c r="BL451" s="22" t="s">
        <v>205</v>
      </c>
      <c r="BM451" s="22" t="s">
        <v>416</v>
      </c>
      <c r="BN451" s="26" t="str">
        <f>_xlfn.XLOOKUP(Transformation[[#This Row],[Commodity to]],Commodities[Commodity code],Commodities[EnergyCode])</f>
        <v>RG</v>
      </c>
      <c r="BO451" s="22" t="s">
        <v>205</v>
      </c>
      <c r="BP451" s="22" t="s">
        <v>1639</v>
      </c>
      <c r="BQ451" s="33" t="str">
        <f>Transformation[[#This Row],[Commodity from]]&amp;Transformation[[#This Row],[Transaction from]]&amp;Transformation[[#This Row],[Commodity to]]&amp;Transformation[[#This Row],[Transaction to]]</f>
        <v>46910224610022</v>
      </c>
      <c r="BR451" s="26" t="str">
        <f>Transformation[[#This Row],[crfomid]]&amp;Transformation[[#This Row],[Transaction from]]&amp;"("&amp;Transformation[[#This Row],[Multiplier]]&amp;") -&gt; "&amp;Transformation[[#This Row],[ctoid]]&amp;Transformation[[#This Row],[Transaction to]]</f>
        <v>WS022(-1) -&gt; RG022</v>
      </c>
    </row>
    <row r="452" spans="25:70" x14ac:dyDescent="0.45">
      <c r="Y452" s="5" t="s">
        <v>1096</v>
      </c>
      <c r="Z452" s="7" t="s">
        <v>1072</v>
      </c>
      <c r="AA452" s="4" t="s">
        <v>1353</v>
      </c>
      <c r="AB452" s="19" t="s">
        <v>1554</v>
      </c>
      <c r="AC452" s="24" t="str">
        <f>IFERROR(VLOOKUP(Transactions[[#This Row],[Parent code]],Transactions[[Transaction code]:[Transaction name]],2,0),"")</f>
        <v>Heat plants - biogases</v>
      </c>
      <c r="AD452" s="4" t="s">
        <v>189</v>
      </c>
      <c r="AE452" s="4" t="s">
        <v>924</v>
      </c>
      <c r="AF452" s="4" t="s">
        <v>642</v>
      </c>
      <c r="AG452" s="4" t="s">
        <v>1</v>
      </c>
      <c r="AH452" s="4" t="s">
        <v>696</v>
      </c>
      <c r="AI452" s="12" t="s">
        <v>1416</v>
      </c>
      <c r="AK452" s="24" t="str" cm="1">
        <f t="array" ref="AK452">IFERROR(INDEX(Transactions[[Transaction code]:[Transaction name]],_xlfn.XMATCH(Transactions[[#This Row],[Parent code]],Transactions[Transaction name],0),3),Transactions[[#This Row],[Transaction name]])</f>
        <v>Heat plants - Autoproducer - biogases</v>
      </c>
      <c r="AL452" s="24" t="str" cm="1">
        <f t="array" ref="AL452">IFERROR(INDEX(Transactions[[Transaction code]:[Transaction name]],_xlfn.XMATCH(INDEX(Transactions[[Transaction name]:[Parent code]],_xlfn.XMATCH(Transactions[[#This Row],[L1N]],Transactions[Transaction name],0),3),Transactions[Transaction code],0),2),Transactions[[#This Row],[L1N]])</f>
        <v>Heat plants - biogases</v>
      </c>
      <c r="AM452" s="24" t="str" cm="1">
        <f t="array" ref="AM452">IFERROR(INDEX(Transactions[[Transaction code]:[Transaction name]],_xlfn.XMATCH(INDEX(Transactions[[Transaction name]:[Parent code]],_xlfn.XMATCH(Transactions[[#This Row],[L2N]],Transactions[Transaction name],0),3),Transactions[Transaction code],0),2),Transactions[[#This Row],[L2N]])</f>
        <v>Heat plants</v>
      </c>
      <c r="AN452" s="24" t="str" cm="1">
        <f t="array" ref="AN452">IFERROR(INDEX(Transactions[[Transaction code]:[Transaction name]],_xlfn.XMATCH(INDEX(Transactions[[Transaction name]:[Parent code]],_xlfn.XMATCH(Transactions[[#This Row],[L3N]],Transactions[Transaction name],0),3),Transactions[Transaction code],0),2),Transactions[[#This Row],[L3N]])</f>
        <v>Electricity, CHP and heat plants (T)</v>
      </c>
      <c r="AO452" s="24" t="str" cm="1">
        <f t="array" ref="AO452">IFERROR(INDEX(Transactions[[Transaction code]:[Transaction name]],_xlfn.XMATCH(INDEX(Transactions[[Transaction name]:[Parent code]],_xlfn.XMATCH(Transactions[[#This Row],[L4N]],Transactions[Transaction name],0),3),Transactions[Transaction code],0),2),Transactions[[#This Row],[L4N]])</f>
        <v>Transformation</v>
      </c>
      <c r="AP452" s="24" t="str" cm="1">
        <f t="array" ref="AP452">IFERROR(INDEX(Transactions[[Transaction code]:[Transaction name]],_xlfn.XMATCH(INDEX(Transactions[[Transaction name]:[Parent code]],_xlfn.XMATCH(Transactions[[#This Row],[L5N]],Transactions[Transaction name],0),3),Transactions[Transaction code],0),2),Transactions[[#This Row],[L5N]])</f>
        <v>Transformation</v>
      </c>
      <c r="AQ452" s="24" t="str" cm="1">
        <f t="array" ref="AQ452">IFERROR(INDEX(Transactions[[Transaction code]:[Transaction name]],_xlfn.XMATCH(INDEX(Transactions[[Transaction name]:[Parent code]],_xlfn.XMATCH(Transactions[[#This Row],[L6N]],Transactions[Transaction name],0),3),Transactions[Transaction code],0),2),Transactions[[#This Row],[L6N]])</f>
        <v>Transformation</v>
      </c>
      <c r="AR452" s="27" t="str">
        <f>IF(Transactions[[#This Row],[L7N]]=Transactions[[#This Row],[L6N]],Transactions[[#This Row],[L7N]],IF(Transactions[[#This Row],[L6N]]=Transactions[[#This Row],[L5N]],Transactions[[#This Row],[L6N]],IF(Transactions[[#This Row],[L5N]]=Transactions[[#This Row],[L4N]],Transactions[[#This Row],[L5N]],IF(Transactions[[#This Row],[L4N]]=Transactions[[#This Row],[L3N]],Transactions[[#This Row],[L4N]],IF(Transactions[[#This Row],[L3N]]=Transactions[[#This Row],[L2N]],Transactions[[#This Row],[L3N]],IF(Transactions[[#This Row],[L2N]]=Transactions[[#This Row],[L1N]],Transactions[[#This Row],[L2N]],IF(Transactions[[#This Row],[L1N]]=Transactions[[#This Row],[Transaction name]],Transactions[[#This Row],[L1N]],Transactions[[#This Row],[Transaction name]])))))))</f>
        <v>Transformation</v>
      </c>
      <c r="AS452" s="24" t="str">
        <f>IF(Transactions[[#This Row],[Level 0]]=Transactions[[#This Row],[Transaction name]],Transactions[[#This Row],[Transaction name]],IF(Transactions[[#This Row],[Level 0]]=Transactions[[#This Row],[L1N]],Transactions[[#This Row],[Transaction name]],IF(Transactions[[#This Row],[Level 0]]=Transactions[[#This Row],[L2N]],Transactions[[#This Row],[L1N]],IF(Transactions[[#This Row],[Level 0]]=Transactions[[#This Row],[L3N]],Transactions[[#This Row],[L2N]],IF(Transactions[[#This Row],[Level 0]]=Transactions[[#This Row],[L4N]],Transactions[[#This Row],[L3N]],IF(Transactions[[#This Row],[Level 0]]=Transactions[[#This Row],[L5N]],Transactions[[#This Row],[L4N]],IF(Transactions[[#This Row],[Level 0]]=Transactions[[#This Row],[L6N]],Transactions[[#This Row],[L5N]],IF(Transactions[[#This Row],[Level 0]]=Transactions[[#This Row],[L7N]],Transactions[[#This Row],[L6N]],Transactions[[#This Row],[L7N]]))))))))</f>
        <v>Electricity, CHP and heat plants (T)</v>
      </c>
      <c r="AT452" s="24" t="str">
        <f>IF(Transactions[[#This Row],[Level 1]]=Transactions[[#This Row],[Transaction name]],Transactions[[#This Row],[Transaction name]],IF(Transactions[[#This Row],[Level 1]]=Transactions[[#This Row],[L1N]],Transactions[[#This Row],[Transaction name]],IF(Transactions[[#This Row],[Level 1]]=Transactions[[#This Row],[L2N]],Transactions[[#This Row],[L1N]],IF(Transactions[[#This Row],[Level 1]]=Transactions[[#This Row],[L3N]],Transactions[[#This Row],[L2N]],IF(Transactions[[#This Row],[Level 1]]=Transactions[[#This Row],[L4N]],Transactions[[#This Row],[L3N]],IF(Transactions[[#This Row],[Level 1]]=Transactions[[#This Row],[L5N]],Transactions[[#This Row],[L4N]],IF(Transactions[[#This Row],[Level 1]]=Transactions[[#This Row],[L6N]],Transactions[[#This Row],[L5N]],IF(Transactions[[#This Row],[Level 1]]=Transactions[[#This Row],[L7N]],Transactions[[#This Row],[L6N]],Transactions[[#This Row],[L7N]]))))))))</f>
        <v>Heat plants</v>
      </c>
      <c r="AU452" s="24" t="str">
        <f>IF(Transactions[[#This Row],[Level 2]]=Transactions[[#This Row],[Transaction name]],Transactions[[#This Row],[Transaction name]],IF(Transactions[[#This Row],[Level 2]]=Transactions[[#This Row],[L1N]],Transactions[[#This Row],[Transaction name]],IF(Transactions[[#This Row],[Level 2]]=Transactions[[#This Row],[L2N]],Transactions[[#This Row],[L1N]],IF(Transactions[[#This Row],[Level 2]]=Transactions[[#This Row],[L3N]],Transactions[[#This Row],[L2N]],IF(Transactions[[#This Row],[Level 2]]=Transactions[[#This Row],[L4N]],Transactions[[#This Row],[L3N]],IF(Transactions[[#This Row],[Level 2]]=Transactions[[#This Row],[L5N]],Transactions[[#This Row],[L4N]],IF(Transactions[[#This Row],[Level 2]]=Transactions[[#This Row],[L6N]],Transactions[[#This Row],[L5N]],IF(Transactions[[#This Row],[Level 2]]=Transactions[[#This Row],[L7N]],Transactions[[#This Row],[L6N]],Transactions[[#This Row],[L7N]]))))))))</f>
        <v>Heat plants - biogases</v>
      </c>
      <c r="AV452" s="24" t="str">
        <f>IF(Transactions[[#This Row],[Level 3]]=Transactions[[#This Row],[Transaction name]],Transactions[[#This Row],[Transaction name]],IF(Transactions[[#This Row],[Level 3]]=Transactions[[#This Row],[L1N]],Transactions[[#This Row],[Transaction name]],IF(Transactions[[#This Row],[Level 3]]=Transactions[[#This Row],[L2N]],Transactions[[#This Row],[L1N]],IF(Transactions[[#This Row],[Level 3]]=Transactions[[#This Row],[L3N]],Transactions[[#This Row],[L2N]],IF(Transactions[[#This Row],[Level 3]]=Transactions[[#This Row],[L4N]],Transactions[[#This Row],[L3N]],IF(Transactions[[#This Row],[Level 3]]=Transactions[[#This Row],[L5N]],Transactions[[#This Row],[L4N]],IF(Transactions[[#This Row],[Level 3]]=Transactions[[#This Row],[L6N]],Transactions[[#This Row],[L5N]],IF(Transactions[[#This Row],[Level 3]]=Transactions[[#This Row],[L7N]],Transactions[[#This Row],[L6N]],Transactions[[#This Row],[L7N]]))))))))</f>
        <v>Heat plants - Autoproducer - biogases</v>
      </c>
      <c r="AW452" s="24" t="str">
        <f>IF(Transactions[[#This Row],[Level 4]]=Transactions[[#This Row],[Transaction name]],Transactions[[#This Row],[Transaction name]],IF(Transactions[[#This Row],[Level 4]]=Transactions[[#This Row],[L1N]],Transactions[[#This Row],[Transaction name]],IF(Transactions[[#This Row],[Level 4]]=Transactions[[#This Row],[L2N]],Transactions[[#This Row],[L1N]],IF(Transactions[[#This Row],[Level 4]]=Transactions[[#This Row],[L3N]],Transactions[[#This Row],[L2N]],IF(Transactions[[#This Row],[Level 4]]=Transactions[[#This Row],[L4N]],Transactions[[#This Row],[L3N]],IF(Transactions[[#This Row],[Level 4]]=Transactions[[#This Row],[L5N]],Transactions[[#This Row],[L4N]],IF(Transactions[[#This Row],[Level 4]]=Transactions[[#This Row],[L6N]],Transactions[[#This Row],[L5N]],IF(Transactions[[#This Row],[Level 4]]=Transactions[[#This Row],[L7N]],Transactions[[#This Row],[L6N]],Transactions[[#This Row],[L7N]]))))))))</f>
        <v>Heat plants - Autoproducer - biogases</v>
      </c>
      <c r="AX452" s="24" t="str">
        <f>IF(Transactions[[#This Row],[Level 5]]=Transactions[[#This Row],[Transaction name]],Transactions[[#This Row],[Transaction name]],IF(Transactions[[#This Row],[Level 5]]=Transactions[[#This Row],[L1N]],Transactions[[#This Row],[Transaction name]],IF(Transactions[[#This Row],[Level 5]]=Transactions[[#This Row],[L2N]],Transactions[[#This Row],[L1N]],IF(Transactions[[#This Row],[Level 5]]=Transactions[[#This Row],[L3N]],Transactions[[#This Row],[L2N]],IF(Transactions[[#This Row],[Level 5]]=Transactions[[#This Row],[L4N]],Transactions[[#This Row],[L3N]],IF(Transactions[[#This Row],[Level 5]]=Transactions[[#This Row],[L5N]],Transactions[[#This Row],[L4N]],IF(Transactions[[#This Row],[Level 5]]=Transactions[[#This Row],[L6N]],Transactions[[#This Row],[L5N]],IF(Transactions[[#This Row],[Level 5]]=Transactions[[#This Row],[L7N]],Transactions[[#This Row],[L6N]],Transactions[[#This Row],[L7N]]))))))))</f>
        <v>Heat plants - Autoproducer - biogases</v>
      </c>
      <c r="AY452" s="24" t="str">
        <f>IF(Transactions[[#This Row],[Level 6]]=Transactions[[#This Row],[Transaction name]],Transactions[[#This Row],[Transaction name]],IF(Transactions[[#This Row],[Level 6]]=Transactions[[#This Row],[L1N]],Transactions[[#This Row],[Transaction name]],IF(Transactions[[#This Row],[Level 6]]=Transactions[[#This Row],[L2N]],Transactions[[#This Row],[L1N]],IF(Transactions[[#This Row],[Level 6]]=Transactions[[#This Row],[L3N]],Transactions[[#This Row],[L2N]],IF(Transactions[[#This Row],[Level 6]]=Transactions[[#This Row],[L4N]],Transactions[[#This Row],[L3N]],IF(Transactions[[#This Row],[Level 6]]=Transactions[[#This Row],[L5N]],Transactions[[#This Row],[L4N]],IF(Transactions[[#This Row],[Level 6]]=Transactions[[#This Row],[L6N]],Transactions[[#This Row],[L5N]],IF(Transactions[[#This Row],[Level 6]]=Transactions[[#This Row],[L7N]],Transactions[[#This Row],[L6N]],Transactions[[#This Row],[L7N]]))))))))</f>
        <v>Heat plants - Autoproducer - biogases</v>
      </c>
      <c r="BE452" s="26" t="str">
        <f>_xlfn.XLOOKUP(Transformation[[#This Row],[cfrom]],Commodities[Commodity],Commodities[Commodity code])</f>
        <v>4691</v>
      </c>
      <c r="BF452" s="26" t="str">
        <f>_xlfn.XLOOKUP(Transformation[[#This Row],[tfrom]],Transactions[Transaction name],Transactions[Transaction code])</f>
        <v>022</v>
      </c>
      <c r="BG452" s="26" t="str">
        <f>_xlfn.XLOOKUP(Transformation[[#This Row],[cto]],Commodities[Commodity],Commodities[Commodity code])</f>
        <v>4610</v>
      </c>
      <c r="BH452" s="26" t="str">
        <f>_xlfn.XLOOKUP(Transformation[[#This Row],[tto]],Transactions[Transaction name],Transactions[Transaction code])</f>
        <v>013</v>
      </c>
      <c r="BI452" s="31">
        <v>1</v>
      </c>
      <c r="BJ452" s="22" t="s">
        <v>363</v>
      </c>
      <c r="BK452" s="26" t="str">
        <f>_xlfn.XLOOKUP(Transformation[[#This Row],[Commodity from]],Commodities[Commodity code],Commodities[EnergyCode])</f>
        <v>WS</v>
      </c>
      <c r="BL452" s="22" t="s">
        <v>205</v>
      </c>
      <c r="BM452" s="22" t="s">
        <v>416</v>
      </c>
      <c r="BN452" s="26" t="str">
        <f>_xlfn.XLOOKUP(Transformation[[#This Row],[Commodity to]],Commodities[Commodity code],Commodities[EnergyCode])</f>
        <v>RG</v>
      </c>
      <c r="BO452" s="22" t="s">
        <v>374</v>
      </c>
      <c r="BP452" s="22" t="s">
        <v>1694</v>
      </c>
      <c r="BQ452" s="33" t="str">
        <f>Transformation[[#This Row],[Commodity from]]&amp;Transformation[[#This Row],[Transaction from]]&amp;Transformation[[#This Row],[Commodity to]]&amp;Transformation[[#This Row],[Transaction to]]</f>
        <v>46910224610013</v>
      </c>
      <c r="BR452" s="26" t="str">
        <f>Transformation[[#This Row],[crfomid]]&amp;Transformation[[#This Row],[Transaction from]]&amp;"("&amp;Transformation[[#This Row],[Multiplier]]&amp;") -&gt; "&amp;Transformation[[#This Row],[ctoid]]&amp;Transformation[[#This Row],[Transaction to]]</f>
        <v>WS022(1) -&gt; RG013</v>
      </c>
    </row>
    <row r="453" spans="25:70" x14ac:dyDescent="0.45">
      <c r="Y453" s="19" t="s">
        <v>1554</v>
      </c>
      <c r="Z453" s="18" t="s">
        <v>1353</v>
      </c>
      <c r="AA453" s="18" t="s">
        <v>1353</v>
      </c>
      <c r="AB453" s="19" t="s">
        <v>1574</v>
      </c>
      <c r="AC453" s="26" t="str">
        <f>IFERROR(VLOOKUP(Transactions[[#This Row],[Parent code]],Transactions[[Transaction code]:[Transaction name]],2,0),"")</f>
        <v>Heat plants</v>
      </c>
      <c r="AD453" s="18" t="s">
        <v>189</v>
      </c>
      <c r="AE453" s="18" t="s">
        <v>924</v>
      </c>
      <c r="AF453" s="18" t="s">
        <v>642</v>
      </c>
      <c r="AG453" s="18" t="s">
        <v>1</v>
      </c>
      <c r="AH453" s="18" t="s">
        <v>696</v>
      </c>
      <c r="AI453" s="18" t="s">
        <v>1416</v>
      </c>
      <c r="AJ453" s="18"/>
      <c r="AK453" s="26" t="str" cm="1">
        <f t="array" ref="AK453">IFERROR(INDEX(Transactions[[Transaction code]:[Transaction name]],_xlfn.XMATCH(Transactions[[#This Row],[Parent code]],Transactions[Transaction name],0),3),Transactions[[#This Row],[Transaction name]])</f>
        <v>Heat plants - biogases</v>
      </c>
      <c r="AL453" s="26" t="str" cm="1">
        <f t="array" ref="AL453">IFERROR(INDEX(Transactions[[Transaction code]:[Transaction name]],_xlfn.XMATCH(INDEX(Transactions[[Transaction name]:[Parent code]],_xlfn.XMATCH(Transactions[[#This Row],[L1N]],Transactions[Transaction name],0),3),Transactions[Transaction code],0),2),Transactions[[#This Row],[L1N]])</f>
        <v>Heat plants</v>
      </c>
      <c r="AM453" s="26" t="str" cm="1">
        <f t="array" ref="AM453">IFERROR(INDEX(Transactions[[Transaction code]:[Transaction name]],_xlfn.XMATCH(INDEX(Transactions[[Transaction name]:[Parent code]],_xlfn.XMATCH(Transactions[[#This Row],[L2N]],Transactions[Transaction name],0),3),Transactions[Transaction code],0),2),Transactions[[#This Row],[L2N]])</f>
        <v>Electricity, CHP and heat plants (T)</v>
      </c>
      <c r="AN453" s="26" t="str" cm="1">
        <f t="array" ref="AN453">IFERROR(INDEX(Transactions[[Transaction code]:[Transaction name]],_xlfn.XMATCH(INDEX(Transactions[[Transaction name]:[Parent code]],_xlfn.XMATCH(Transactions[[#This Row],[L3N]],Transactions[Transaction name],0),3),Transactions[Transaction code],0),2),Transactions[[#This Row],[L3N]])</f>
        <v>Transformation</v>
      </c>
      <c r="AO453" s="26" t="str" cm="1">
        <f t="array" ref="AO453">IFERROR(INDEX(Transactions[[Transaction code]:[Transaction name]],_xlfn.XMATCH(INDEX(Transactions[[Transaction name]:[Parent code]],_xlfn.XMATCH(Transactions[[#This Row],[L4N]],Transactions[Transaction name],0),3),Transactions[Transaction code],0),2),Transactions[[#This Row],[L4N]])</f>
        <v>Transformation</v>
      </c>
      <c r="AP453" s="26" t="str" cm="1">
        <f t="array" ref="AP453">IFERROR(INDEX(Transactions[[Transaction code]:[Transaction name]],_xlfn.XMATCH(INDEX(Transactions[[Transaction name]:[Parent code]],_xlfn.XMATCH(Transactions[[#This Row],[L5N]],Transactions[Transaction name],0),3),Transactions[Transaction code],0),2),Transactions[[#This Row],[L5N]])</f>
        <v>Transformation</v>
      </c>
      <c r="AQ453" s="26" t="str" cm="1">
        <f t="array" ref="AQ453">IFERROR(INDEX(Transactions[[Transaction code]:[Transaction name]],_xlfn.XMATCH(INDEX(Transactions[[Transaction name]:[Parent code]],_xlfn.XMATCH(Transactions[[#This Row],[L6N]],Transactions[Transaction name],0),3),Transactions[Transaction code],0),2),Transactions[[#This Row],[L6N]])</f>
        <v>Transformation</v>
      </c>
      <c r="AR453" s="30" t="str">
        <f>IF(Transactions[[#This Row],[L7N]]=Transactions[[#This Row],[L6N]],Transactions[[#This Row],[L7N]],IF(Transactions[[#This Row],[L6N]]=Transactions[[#This Row],[L5N]],Transactions[[#This Row],[L6N]],IF(Transactions[[#This Row],[L5N]]=Transactions[[#This Row],[L4N]],Transactions[[#This Row],[L5N]],IF(Transactions[[#This Row],[L4N]]=Transactions[[#This Row],[L3N]],Transactions[[#This Row],[L4N]],IF(Transactions[[#This Row],[L3N]]=Transactions[[#This Row],[L2N]],Transactions[[#This Row],[L3N]],IF(Transactions[[#This Row],[L2N]]=Transactions[[#This Row],[L1N]],Transactions[[#This Row],[L2N]],IF(Transactions[[#This Row],[L1N]]=Transactions[[#This Row],[Transaction name]],Transactions[[#This Row],[L1N]],Transactions[[#This Row],[Transaction name]])))))))</f>
        <v>Transformation</v>
      </c>
      <c r="AS453" s="26" t="str">
        <f>IF(Transactions[[#This Row],[Level 0]]=Transactions[[#This Row],[Transaction name]],Transactions[[#This Row],[Transaction name]],IF(Transactions[[#This Row],[Level 0]]=Transactions[[#This Row],[L1N]],Transactions[[#This Row],[Transaction name]],IF(Transactions[[#This Row],[Level 0]]=Transactions[[#This Row],[L2N]],Transactions[[#This Row],[L1N]],IF(Transactions[[#This Row],[Level 0]]=Transactions[[#This Row],[L3N]],Transactions[[#This Row],[L2N]],IF(Transactions[[#This Row],[Level 0]]=Transactions[[#This Row],[L4N]],Transactions[[#This Row],[L3N]],IF(Transactions[[#This Row],[Level 0]]=Transactions[[#This Row],[L5N]],Transactions[[#This Row],[L4N]],IF(Transactions[[#This Row],[Level 0]]=Transactions[[#This Row],[L6N]],Transactions[[#This Row],[L5N]],IF(Transactions[[#This Row],[Level 0]]=Transactions[[#This Row],[L7N]],Transactions[[#This Row],[L6N]],Transactions[[#This Row],[L7N]]))))))))</f>
        <v>Electricity, CHP and heat plants (T)</v>
      </c>
      <c r="AT453" s="26" t="str">
        <f>IF(Transactions[[#This Row],[Level 1]]=Transactions[[#This Row],[Transaction name]],Transactions[[#This Row],[Transaction name]],IF(Transactions[[#This Row],[Level 1]]=Transactions[[#This Row],[L1N]],Transactions[[#This Row],[Transaction name]],IF(Transactions[[#This Row],[Level 1]]=Transactions[[#This Row],[L2N]],Transactions[[#This Row],[L1N]],IF(Transactions[[#This Row],[Level 1]]=Transactions[[#This Row],[L3N]],Transactions[[#This Row],[L2N]],IF(Transactions[[#This Row],[Level 1]]=Transactions[[#This Row],[L4N]],Transactions[[#This Row],[L3N]],IF(Transactions[[#This Row],[Level 1]]=Transactions[[#This Row],[L5N]],Transactions[[#This Row],[L4N]],IF(Transactions[[#This Row],[Level 1]]=Transactions[[#This Row],[L6N]],Transactions[[#This Row],[L5N]],IF(Transactions[[#This Row],[Level 1]]=Transactions[[#This Row],[L7N]],Transactions[[#This Row],[L6N]],Transactions[[#This Row],[L7N]]))))))))</f>
        <v>Heat plants</v>
      </c>
      <c r="AU453" s="26" t="str">
        <f>IF(Transactions[[#This Row],[Level 2]]=Transactions[[#This Row],[Transaction name]],Transactions[[#This Row],[Transaction name]],IF(Transactions[[#This Row],[Level 2]]=Transactions[[#This Row],[L1N]],Transactions[[#This Row],[Transaction name]],IF(Transactions[[#This Row],[Level 2]]=Transactions[[#This Row],[L2N]],Transactions[[#This Row],[L1N]],IF(Transactions[[#This Row],[Level 2]]=Transactions[[#This Row],[L3N]],Transactions[[#This Row],[L2N]],IF(Transactions[[#This Row],[Level 2]]=Transactions[[#This Row],[L4N]],Transactions[[#This Row],[L3N]],IF(Transactions[[#This Row],[Level 2]]=Transactions[[#This Row],[L5N]],Transactions[[#This Row],[L4N]],IF(Transactions[[#This Row],[Level 2]]=Transactions[[#This Row],[L6N]],Transactions[[#This Row],[L5N]],IF(Transactions[[#This Row],[Level 2]]=Transactions[[#This Row],[L7N]],Transactions[[#This Row],[L6N]],Transactions[[#This Row],[L7N]]))))))))</f>
        <v>Heat plants - biogases</v>
      </c>
      <c r="AV453" s="26" t="str">
        <f>IF(Transactions[[#This Row],[Level 3]]=Transactions[[#This Row],[Transaction name]],Transactions[[#This Row],[Transaction name]],IF(Transactions[[#This Row],[Level 3]]=Transactions[[#This Row],[L1N]],Transactions[[#This Row],[Transaction name]],IF(Transactions[[#This Row],[Level 3]]=Transactions[[#This Row],[L2N]],Transactions[[#This Row],[L1N]],IF(Transactions[[#This Row],[Level 3]]=Transactions[[#This Row],[L3N]],Transactions[[#This Row],[L2N]],IF(Transactions[[#This Row],[Level 3]]=Transactions[[#This Row],[L4N]],Transactions[[#This Row],[L3N]],IF(Transactions[[#This Row],[Level 3]]=Transactions[[#This Row],[L5N]],Transactions[[#This Row],[L4N]],IF(Transactions[[#This Row],[Level 3]]=Transactions[[#This Row],[L6N]],Transactions[[#This Row],[L5N]],IF(Transactions[[#This Row],[Level 3]]=Transactions[[#This Row],[L7N]],Transactions[[#This Row],[L6N]],Transactions[[#This Row],[L7N]]))))))))</f>
        <v>Heat plants - biogases</v>
      </c>
      <c r="AW453" s="26" t="str">
        <f>IF(Transactions[[#This Row],[Level 4]]=Transactions[[#This Row],[Transaction name]],Transactions[[#This Row],[Transaction name]],IF(Transactions[[#This Row],[Level 4]]=Transactions[[#This Row],[L1N]],Transactions[[#This Row],[Transaction name]],IF(Transactions[[#This Row],[Level 4]]=Transactions[[#This Row],[L2N]],Transactions[[#This Row],[L1N]],IF(Transactions[[#This Row],[Level 4]]=Transactions[[#This Row],[L3N]],Transactions[[#This Row],[L2N]],IF(Transactions[[#This Row],[Level 4]]=Transactions[[#This Row],[L4N]],Transactions[[#This Row],[L3N]],IF(Transactions[[#This Row],[Level 4]]=Transactions[[#This Row],[L5N]],Transactions[[#This Row],[L4N]],IF(Transactions[[#This Row],[Level 4]]=Transactions[[#This Row],[L6N]],Transactions[[#This Row],[L5N]],IF(Transactions[[#This Row],[Level 4]]=Transactions[[#This Row],[L7N]],Transactions[[#This Row],[L6N]],Transactions[[#This Row],[L7N]]))))))))</f>
        <v>Heat plants - biogases</v>
      </c>
      <c r="AX453" s="26" t="str">
        <f>IF(Transactions[[#This Row],[Level 5]]=Transactions[[#This Row],[Transaction name]],Transactions[[#This Row],[Transaction name]],IF(Transactions[[#This Row],[Level 5]]=Transactions[[#This Row],[L1N]],Transactions[[#This Row],[Transaction name]],IF(Transactions[[#This Row],[Level 5]]=Transactions[[#This Row],[L2N]],Transactions[[#This Row],[L1N]],IF(Transactions[[#This Row],[Level 5]]=Transactions[[#This Row],[L3N]],Transactions[[#This Row],[L2N]],IF(Transactions[[#This Row],[Level 5]]=Transactions[[#This Row],[L4N]],Transactions[[#This Row],[L3N]],IF(Transactions[[#This Row],[Level 5]]=Transactions[[#This Row],[L5N]],Transactions[[#This Row],[L4N]],IF(Transactions[[#This Row],[Level 5]]=Transactions[[#This Row],[L6N]],Transactions[[#This Row],[L5N]],IF(Transactions[[#This Row],[Level 5]]=Transactions[[#This Row],[L7N]],Transactions[[#This Row],[L6N]],Transactions[[#This Row],[L7N]]))))))))</f>
        <v>Heat plants - biogases</v>
      </c>
      <c r="AY453" s="26" t="str">
        <f>IF(Transactions[[#This Row],[Level 6]]=Transactions[[#This Row],[Transaction name]],Transactions[[#This Row],[Transaction name]],IF(Transactions[[#This Row],[Level 6]]=Transactions[[#This Row],[L1N]],Transactions[[#This Row],[Transaction name]],IF(Transactions[[#This Row],[Level 6]]=Transactions[[#This Row],[L2N]],Transactions[[#This Row],[L1N]],IF(Transactions[[#This Row],[Level 6]]=Transactions[[#This Row],[L3N]],Transactions[[#This Row],[L2N]],IF(Transactions[[#This Row],[Level 6]]=Transactions[[#This Row],[L4N]],Transactions[[#This Row],[L3N]],IF(Transactions[[#This Row],[Level 6]]=Transactions[[#This Row],[L5N]],Transactions[[#This Row],[L4N]],IF(Transactions[[#This Row],[Level 6]]=Transactions[[#This Row],[L6N]],Transactions[[#This Row],[L5N]],IF(Transactions[[#This Row],[Level 6]]=Transactions[[#This Row],[L7N]],Transactions[[#This Row],[L6N]],Transactions[[#This Row],[L7N]]))))))))</f>
        <v>Heat plants - biogases</v>
      </c>
      <c r="BE453" s="26" t="str">
        <f>_xlfn.XLOOKUP(Transformation[[#This Row],[cfrom]],Commodities[Commodity],Commodities[Commodity code])</f>
        <v>5222</v>
      </c>
      <c r="BF453" s="26" t="str">
        <f>_xlfn.XLOOKUP(Transformation[[#This Row],[tfrom]],Transactions[Transaction name],Transactions[Transaction code])</f>
        <v>01</v>
      </c>
      <c r="BG453" s="26" t="str">
        <f>_xlfn.XLOOKUP(Transformation[[#This Row],[cto]],Commodities[Commodity],Commodities[Commodity code])</f>
        <v>5222</v>
      </c>
      <c r="BH453" s="26" t="str">
        <f>_xlfn.XLOOKUP(Transformation[[#This Row],[tto]],Transactions[Transaction name],Transactions[Transaction code])</f>
        <v>01</v>
      </c>
      <c r="BI453" s="32">
        <v>-1</v>
      </c>
      <c r="BJ453" s="22" t="s">
        <v>962</v>
      </c>
      <c r="BK453" s="26" t="str">
        <f>_xlfn.XLOOKUP(Transformation[[#This Row],[Commodity from]],Commodities[Commodity code],Commodities[EnergyCode])</f>
        <v>ZD</v>
      </c>
      <c r="BL453" s="22" t="s">
        <v>383</v>
      </c>
      <c r="BM453" s="22" t="s">
        <v>962</v>
      </c>
      <c r="BN453" s="26" t="str">
        <f>_xlfn.XLOOKUP(Transformation[[#This Row],[Commodity to]],Commodities[Commodity code],Commodities[EnergyCode])</f>
        <v>ZD</v>
      </c>
      <c r="BO453" s="22" t="s">
        <v>383</v>
      </c>
      <c r="BP453" s="22" t="s">
        <v>1633</v>
      </c>
      <c r="BQ453" s="33" t="str">
        <f>Transformation[[#This Row],[Commodity from]]&amp;Transformation[[#This Row],[Transaction from]]&amp;Transformation[[#This Row],[Commodity to]]&amp;Transformation[[#This Row],[Transaction to]]</f>
        <v>522201522201</v>
      </c>
      <c r="BR453" s="26" t="str">
        <f>Transformation[[#This Row],[crfomid]]&amp;Transformation[[#This Row],[Transaction from]]&amp;"("&amp;Transformation[[#This Row],[Multiplier]]&amp;") -&gt; "&amp;Transformation[[#This Row],[ctoid]]&amp;Transformation[[#This Row],[Transaction to]]</f>
        <v>ZD01(-1) -&gt; ZD01</v>
      </c>
    </row>
    <row r="454" spans="25:70" x14ac:dyDescent="0.45">
      <c r="Y454" s="5" t="s">
        <v>1092</v>
      </c>
      <c r="Z454" s="7" t="s">
        <v>1068</v>
      </c>
      <c r="AA454" s="4" t="s">
        <v>1353</v>
      </c>
      <c r="AB454" s="19" t="s">
        <v>1554</v>
      </c>
      <c r="AC454" s="24" t="str">
        <f>IFERROR(VLOOKUP(Transactions[[#This Row],[Parent code]],Transactions[[Transaction code]:[Transaction name]],2,0),"")</f>
        <v>Heat plants - biogases</v>
      </c>
      <c r="AD454" s="4" t="s">
        <v>189</v>
      </c>
      <c r="AE454" s="4" t="s">
        <v>924</v>
      </c>
      <c r="AF454" s="4" t="s">
        <v>642</v>
      </c>
      <c r="AG454" s="4" t="s">
        <v>1</v>
      </c>
      <c r="AH454" s="4" t="s">
        <v>696</v>
      </c>
      <c r="AI454" s="12" t="s">
        <v>1416</v>
      </c>
      <c r="AK454" s="24" t="str" cm="1">
        <f t="array" ref="AK454">IFERROR(INDEX(Transactions[[Transaction code]:[Transaction name]],_xlfn.XMATCH(Transactions[[#This Row],[Parent code]],Transactions[Transaction name],0),3),Transactions[[#This Row],[Transaction name]])</f>
        <v>Heat plants - Main activity - biogases</v>
      </c>
      <c r="AL454" s="24" t="str" cm="1">
        <f t="array" ref="AL454">IFERROR(INDEX(Transactions[[Transaction code]:[Transaction name]],_xlfn.XMATCH(INDEX(Transactions[[Transaction name]:[Parent code]],_xlfn.XMATCH(Transactions[[#This Row],[L1N]],Transactions[Transaction name],0),3),Transactions[Transaction code],0),2),Transactions[[#This Row],[L1N]])</f>
        <v>Heat plants - biogases</v>
      </c>
      <c r="AM454" s="24" t="str" cm="1">
        <f t="array" ref="AM454">IFERROR(INDEX(Transactions[[Transaction code]:[Transaction name]],_xlfn.XMATCH(INDEX(Transactions[[Transaction name]:[Parent code]],_xlfn.XMATCH(Transactions[[#This Row],[L2N]],Transactions[Transaction name],0),3),Transactions[Transaction code],0),2),Transactions[[#This Row],[L2N]])</f>
        <v>Heat plants</v>
      </c>
      <c r="AN454" s="24" t="str" cm="1">
        <f t="array" ref="AN454">IFERROR(INDEX(Transactions[[Transaction code]:[Transaction name]],_xlfn.XMATCH(INDEX(Transactions[[Transaction name]:[Parent code]],_xlfn.XMATCH(Transactions[[#This Row],[L3N]],Transactions[Transaction name],0),3),Transactions[Transaction code],0),2),Transactions[[#This Row],[L3N]])</f>
        <v>Electricity, CHP and heat plants (T)</v>
      </c>
      <c r="AO454" s="24" t="str" cm="1">
        <f t="array" ref="AO454">IFERROR(INDEX(Transactions[[Transaction code]:[Transaction name]],_xlfn.XMATCH(INDEX(Transactions[[Transaction name]:[Parent code]],_xlfn.XMATCH(Transactions[[#This Row],[L4N]],Transactions[Transaction name],0),3),Transactions[Transaction code],0),2),Transactions[[#This Row],[L4N]])</f>
        <v>Transformation</v>
      </c>
      <c r="AP454" s="24" t="str" cm="1">
        <f t="array" ref="AP454">IFERROR(INDEX(Transactions[[Transaction code]:[Transaction name]],_xlfn.XMATCH(INDEX(Transactions[[Transaction name]:[Parent code]],_xlfn.XMATCH(Transactions[[#This Row],[L5N]],Transactions[Transaction name],0),3),Transactions[Transaction code],0),2),Transactions[[#This Row],[L5N]])</f>
        <v>Transformation</v>
      </c>
      <c r="AQ454" s="24" t="str" cm="1">
        <f t="array" ref="AQ454">IFERROR(INDEX(Transactions[[Transaction code]:[Transaction name]],_xlfn.XMATCH(INDEX(Transactions[[Transaction name]:[Parent code]],_xlfn.XMATCH(Transactions[[#This Row],[L6N]],Transactions[Transaction name],0),3),Transactions[Transaction code],0),2),Transactions[[#This Row],[L6N]])</f>
        <v>Transformation</v>
      </c>
      <c r="AR454" s="27" t="str">
        <f>IF(Transactions[[#This Row],[L7N]]=Transactions[[#This Row],[L6N]],Transactions[[#This Row],[L7N]],IF(Transactions[[#This Row],[L6N]]=Transactions[[#This Row],[L5N]],Transactions[[#This Row],[L6N]],IF(Transactions[[#This Row],[L5N]]=Transactions[[#This Row],[L4N]],Transactions[[#This Row],[L5N]],IF(Transactions[[#This Row],[L4N]]=Transactions[[#This Row],[L3N]],Transactions[[#This Row],[L4N]],IF(Transactions[[#This Row],[L3N]]=Transactions[[#This Row],[L2N]],Transactions[[#This Row],[L3N]],IF(Transactions[[#This Row],[L2N]]=Transactions[[#This Row],[L1N]],Transactions[[#This Row],[L2N]],IF(Transactions[[#This Row],[L1N]]=Transactions[[#This Row],[Transaction name]],Transactions[[#This Row],[L1N]],Transactions[[#This Row],[Transaction name]])))))))</f>
        <v>Transformation</v>
      </c>
      <c r="AS454" s="24" t="str">
        <f>IF(Transactions[[#This Row],[Level 0]]=Transactions[[#This Row],[Transaction name]],Transactions[[#This Row],[Transaction name]],IF(Transactions[[#This Row],[Level 0]]=Transactions[[#This Row],[L1N]],Transactions[[#This Row],[Transaction name]],IF(Transactions[[#This Row],[Level 0]]=Transactions[[#This Row],[L2N]],Transactions[[#This Row],[L1N]],IF(Transactions[[#This Row],[Level 0]]=Transactions[[#This Row],[L3N]],Transactions[[#This Row],[L2N]],IF(Transactions[[#This Row],[Level 0]]=Transactions[[#This Row],[L4N]],Transactions[[#This Row],[L3N]],IF(Transactions[[#This Row],[Level 0]]=Transactions[[#This Row],[L5N]],Transactions[[#This Row],[L4N]],IF(Transactions[[#This Row],[Level 0]]=Transactions[[#This Row],[L6N]],Transactions[[#This Row],[L5N]],IF(Transactions[[#This Row],[Level 0]]=Transactions[[#This Row],[L7N]],Transactions[[#This Row],[L6N]],Transactions[[#This Row],[L7N]]))))))))</f>
        <v>Electricity, CHP and heat plants (T)</v>
      </c>
      <c r="AT454" s="24" t="str">
        <f>IF(Transactions[[#This Row],[Level 1]]=Transactions[[#This Row],[Transaction name]],Transactions[[#This Row],[Transaction name]],IF(Transactions[[#This Row],[Level 1]]=Transactions[[#This Row],[L1N]],Transactions[[#This Row],[Transaction name]],IF(Transactions[[#This Row],[Level 1]]=Transactions[[#This Row],[L2N]],Transactions[[#This Row],[L1N]],IF(Transactions[[#This Row],[Level 1]]=Transactions[[#This Row],[L3N]],Transactions[[#This Row],[L2N]],IF(Transactions[[#This Row],[Level 1]]=Transactions[[#This Row],[L4N]],Transactions[[#This Row],[L3N]],IF(Transactions[[#This Row],[Level 1]]=Transactions[[#This Row],[L5N]],Transactions[[#This Row],[L4N]],IF(Transactions[[#This Row],[Level 1]]=Transactions[[#This Row],[L6N]],Transactions[[#This Row],[L5N]],IF(Transactions[[#This Row],[Level 1]]=Transactions[[#This Row],[L7N]],Transactions[[#This Row],[L6N]],Transactions[[#This Row],[L7N]]))))))))</f>
        <v>Heat plants</v>
      </c>
      <c r="AU454" s="24" t="str">
        <f>IF(Transactions[[#This Row],[Level 2]]=Transactions[[#This Row],[Transaction name]],Transactions[[#This Row],[Transaction name]],IF(Transactions[[#This Row],[Level 2]]=Transactions[[#This Row],[L1N]],Transactions[[#This Row],[Transaction name]],IF(Transactions[[#This Row],[Level 2]]=Transactions[[#This Row],[L2N]],Transactions[[#This Row],[L1N]],IF(Transactions[[#This Row],[Level 2]]=Transactions[[#This Row],[L3N]],Transactions[[#This Row],[L2N]],IF(Transactions[[#This Row],[Level 2]]=Transactions[[#This Row],[L4N]],Transactions[[#This Row],[L3N]],IF(Transactions[[#This Row],[Level 2]]=Transactions[[#This Row],[L5N]],Transactions[[#This Row],[L4N]],IF(Transactions[[#This Row],[Level 2]]=Transactions[[#This Row],[L6N]],Transactions[[#This Row],[L5N]],IF(Transactions[[#This Row],[Level 2]]=Transactions[[#This Row],[L7N]],Transactions[[#This Row],[L6N]],Transactions[[#This Row],[L7N]]))))))))</f>
        <v>Heat plants - biogases</v>
      </c>
      <c r="AV454" s="24" t="str">
        <f>IF(Transactions[[#This Row],[Level 3]]=Transactions[[#This Row],[Transaction name]],Transactions[[#This Row],[Transaction name]],IF(Transactions[[#This Row],[Level 3]]=Transactions[[#This Row],[L1N]],Transactions[[#This Row],[Transaction name]],IF(Transactions[[#This Row],[Level 3]]=Transactions[[#This Row],[L2N]],Transactions[[#This Row],[L1N]],IF(Transactions[[#This Row],[Level 3]]=Transactions[[#This Row],[L3N]],Transactions[[#This Row],[L2N]],IF(Transactions[[#This Row],[Level 3]]=Transactions[[#This Row],[L4N]],Transactions[[#This Row],[L3N]],IF(Transactions[[#This Row],[Level 3]]=Transactions[[#This Row],[L5N]],Transactions[[#This Row],[L4N]],IF(Transactions[[#This Row],[Level 3]]=Transactions[[#This Row],[L6N]],Transactions[[#This Row],[L5N]],IF(Transactions[[#This Row],[Level 3]]=Transactions[[#This Row],[L7N]],Transactions[[#This Row],[L6N]],Transactions[[#This Row],[L7N]]))))))))</f>
        <v>Heat plants - Main activity - biogases</v>
      </c>
      <c r="AW454" s="24" t="str">
        <f>IF(Transactions[[#This Row],[Level 4]]=Transactions[[#This Row],[Transaction name]],Transactions[[#This Row],[Transaction name]],IF(Transactions[[#This Row],[Level 4]]=Transactions[[#This Row],[L1N]],Transactions[[#This Row],[Transaction name]],IF(Transactions[[#This Row],[Level 4]]=Transactions[[#This Row],[L2N]],Transactions[[#This Row],[L1N]],IF(Transactions[[#This Row],[Level 4]]=Transactions[[#This Row],[L3N]],Transactions[[#This Row],[L2N]],IF(Transactions[[#This Row],[Level 4]]=Transactions[[#This Row],[L4N]],Transactions[[#This Row],[L3N]],IF(Transactions[[#This Row],[Level 4]]=Transactions[[#This Row],[L5N]],Transactions[[#This Row],[L4N]],IF(Transactions[[#This Row],[Level 4]]=Transactions[[#This Row],[L6N]],Transactions[[#This Row],[L5N]],IF(Transactions[[#This Row],[Level 4]]=Transactions[[#This Row],[L7N]],Transactions[[#This Row],[L6N]],Transactions[[#This Row],[L7N]]))))))))</f>
        <v>Heat plants - Main activity - biogases</v>
      </c>
      <c r="AX454" s="24" t="str">
        <f>IF(Transactions[[#This Row],[Level 5]]=Transactions[[#This Row],[Transaction name]],Transactions[[#This Row],[Transaction name]],IF(Transactions[[#This Row],[Level 5]]=Transactions[[#This Row],[L1N]],Transactions[[#This Row],[Transaction name]],IF(Transactions[[#This Row],[Level 5]]=Transactions[[#This Row],[L2N]],Transactions[[#This Row],[L1N]],IF(Transactions[[#This Row],[Level 5]]=Transactions[[#This Row],[L3N]],Transactions[[#This Row],[L2N]],IF(Transactions[[#This Row],[Level 5]]=Transactions[[#This Row],[L4N]],Transactions[[#This Row],[L3N]],IF(Transactions[[#This Row],[Level 5]]=Transactions[[#This Row],[L5N]],Transactions[[#This Row],[L4N]],IF(Transactions[[#This Row],[Level 5]]=Transactions[[#This Row],[L6N]],Transactions[[#This Row],[L5N]],IF(Transactions[[#This Row],[Level 5]]=Transactions[[#This Row],[L7N]],Transactions[[#This Row],[L6N]],Transactions[[#This Row],[L7N]]))))))))</f>
        <v>Heat plants - Main activity - biogases</v>
      </c>
      <c r="AY454" s="24" t="str">
        <f>IF(Transactions[[#This Row],[Level 6]]=Transactions[[#This Row],[Transaction name]],Transactions[[#This Row],[Transaction name]],IF(Transactions[[#This Row],[Level 6]]=Transactions[[#This Row],[L1N]],Transactions[[#This Row],[Transaction name]],IF(Transactions[[#This Row],[Level 6]]=Transactions[[#This Row],[L2N]],Transactions[[#This Row],[L1N]],IF(Transactions[[#This Row],[Level 6]]=Transactions[[#This Row],[L3N]],Transactions[[#This Row],[L2N]],IF(Transactions[[#This Row],[Level 6]]=Transactions[[#This Row],[L4N]],Transactions[[#This Row],[L3N]],IF(Transactions[[#This Row],[Level 6]]=Transactions[[#This Row],[L5N]],Transactions[[#This Row],[L4N]],IF(Transactions[[#This Row],[Level 6]]=Transactions[[#This Row],[L6N]],Transactions[[#This Row],[L5N]],IF(Transactions[[#This Row],[Level 6]]=Transactions[[#This Row],[L7N]],Transactions[[#This Row],[L6N]],Transactions[[#This Row],[L7N]]))))))))</f>
        <v>Heat plants - Main activity - biogases</v>
      </c>
      <c r="BE454" s="26" t="str">
        <f>_xlfn.XLOOKUP(Transformation[[#This Row],[cfrom]],Commodities[Commodity],Commodities[Commodity code])</f>
        <v>5222</v>
      </c>
      <c r="BF454" s="26" t="str">
        <f>_xlfn.XLOOKUP(Transformation[[#This Row],[tfrom]],Transactions[Transaction name],Transactions[Transaction code])</f>
        <v>022</v>
      </c>
      <c r="BG454" s="26" t="str">
        <f>_xlfn.XLOOKUP(Transformation[[#This Row],[cto]],Commodities[Commodity],Commodities[Commodity code])</f>
        <v>5222</v>
      </c>
      <c r="BH454" s="26" t="str">
        <f>_xlfn.XLOOKUP(Transformation[[#This Row],[tto]],Transactions[Transaction name],Transactions[Transaction code])</f>
        <v>022</v>
      </c>
      <c r="BI454" s="32">
        <v>-1</v>
      </c>
      <c r="BJ454" s="22" t="s">
        <v>962</v>
      </c>
      <c r="BK454" s="26" t="str">
        <f>_xlfn.XLOOKUP(Transformation[[#This Row],[Commodity from]],Commodities[Commodity code],Commodities[EnergyCode])</f>
        <v>ZD</v>
      </c>
      <c r="BL454" s="22" t="s">
        <v>205</v>
      </c>
      <c r="BM454" s="22" t="s">
        <v>962</v>
      </c>
      <c r="BN454" s="26" t="str">
        <f>_xlfn.XLOOKUP(Transformation[[#This Row],[Commodity to]],Commodities[Commodity code],Commodities[EnergyCode])</f>
        <v>ZD</v>
      </c>
      <c r="BO454" s="22" t="s">
        <v>205</v>
      </c>
      <c r="BP454" s="22" t="s">
        <v>1639</v>
      </c>
      <c r="BQ454" s="33" t="str">
        <f>Transformation[[#This Row],[Commodity from]]&amp;Transformation[[#This Row],[Transaction from]]&amp;Transformation[[#This Row],[Commodity to]]&amp;Transformation[[#This Row],[Transaction to]]</f>
        <v>52220225222022</v>
      </c>
      <c r="BR454" s="26" t="str">
        <f>Transformation[[#This Row],[crfomid]]&amp;Transformation[[#This Row],[Transaction from]]&amp;"("&amp;Transformation[[#This Row],[Multiplier]]&amp;") -&gt; "&amp;Transformation[[#This Row],[ctoid]]&amp;Transformation[[#This Row],[Transaction to]]</f>
        <v>ZD022(-1) -&gt; ZD022</v>
      </c>
    </row>
    <row r="455" spans="25:70" x14ac:dyDescent="0.45">
      <c r="Y455" s="5" t="s">
        <v>1175</v>
      </c>
      <c r="Z455" s="7" t="s">
        <v>1183</v>
      </c>
      <c r="AA455" s="4" t="s">
        <v>1377</v>
      </c>
      <c r="AB455" s="19" t="s">
        <v>1558</v>
      </c>
      <c r="AC455" s="24" t="str">
        <f>IFERROR(VLOOKUP(Transactions[[#This Row],[Parent code]],Transactions[[Transaction code]:[Transaction name]],2,0),"")</f>
        <v>Heat plants - brown coal</v>
      </c>
      <c r="AD455" s="4" t="s">
        <v>189</v>
      </c>
      <c r="AE455" s="4" t="s">
        <v>924</v>
      </c>
      <c r="AF455" s="4" t="s">
        <v>642</v>
      </c>
      <c r="AG455" s="4" t="s">
        <v>1</v>
      </c>
      <c r="AH455" s="4" t="s">
        <v>696</v>
      </c>
      <c r="AI455" s="12" t="s">
        <v>1416</v>
      </c>
      <c r="AK455" s="24" t="str" cm="1">
        <f t="array" ref="AK455">IFERROR(INDEX(Transactions[[Transaction code]:[Transaction name]],_xlfn.XMATCH(Transactions[[#This Row],[Parent code]],Transactions[Transaction name],0),3),Transactions[[#This Row],[Transaction name]])</f>
        <v>Heat plants - Autoproducer - brown coal</v>
      </c>
      <c r="AL455" s="24" t="str" cm="1">
        <f t="array" ref="AL455">IFERROR(INDEX(Transactions[[Transaction code]:[Transaction name]],_xlfn.XMATCH(INDEX(Transactions[[Transaction name]:[Parent code]],_xlfn.XMATCH(Transactions[[#This Row],[L1N]],Transactions[Transaction name],0),3),Transactions[Transaction code],0),2),Transactions[[#This Row],[L1N]])</f>
        <v>Heat plants - brown coal</v>
      </c>
      <c r="AM455" s="24" t="str" cm="1">
        <f t="array" ref="AM455">IFERROR(INDEX(Transactions[[Transaction code]:[Transaction name]],_xlfn.XMATCH(INDEX(Transactions[[Transaction name]:[Parent code]],_xlfn.XMATCH(Transactions[[#This Row],[L2N]],Transactions[Transaction name],0),3),Transactions[Transaction code],0),2),Transactions[[#This Row],[L2N]])</f>
        <v>Heat plants</v>
      </c>
      <c r="AN455" s="24" t="str" cm="1">
        <f t="array" ref="AN455">IFERROR(INDEX(Transactions[[Transaction code]:[Transaction name]],_xlfn.XMATCH(INDEX(Transactions[[Transaction name]:[Parent code]],_xlfn.XMATCH(Transactions[[#This Row],[L3N]],Transactions[Transaction name],0),3),Transactions[Transaction code],0),2),Transactions[[#This Row],[L3N]])</f>
        <v>Electricity, CHP and heat plants (T)</v>
      </c>
      <c r="AO455" s="24" t="str" cm="1">
        <f t="array" ref="AO455">IFERROR(INDEX(Transactions[[Transaction code]:[Transaction name]],_xlfn.XMATCH(INDEX(Transactions[[Transaction name]:[Parent code]],_xlfn.XMATCH(Transactions[[#This Row],[L4N]],Transactions[Transaction name],0),3),Transactions[Transaction code],0),2),Transactions[[#This Row],[L4N]])</f>
        <v>Transformation</v>
      </c>
      <c r="AP455" s="24" t="str" cm="1">
        <f t="array" ref="AP455">IFERROR(INDEX(Transactions[[Transaction code]:[Transaction name]],_xlfn.XMATCH(INDEX(Transactions[[Transaction name]:[Parent code]],_xlfn.XMATCH(Transactions[[#This Row],[L5N]],Transactions[Transaction name],0),3),Transactions[Transaction code],0),2),Transactions[[#This Row],[L5N]])</f>
        <v>Transformation</v>
      </c>
      <c r="AQ455" s="24" t="str" cm="1">
        <f t="array" ref="AQ455">IFERROR(INDEX(Transactions[[Transaction code]:[Transaction name]],_xlfn.XMATCH(INDEX(Transactions[[Transaction name]:[Parent code]],_xlfn.XMATCH(Transactions[[#This Row],[L6N]],Transactions[Transaction name],0),3),Transactions[Transaction code],0),2),Transactions[[#This Row],[L6N]])</f>
        <v>Transformation</v>
      </c>
      <c r="AR455" s="27" t="str">
        <f>IF(Transactions[[#This Row],[L7N]]=Transactions[[#This Row],[L6N]],Transactions[[#This Row],[L7N]],IF(Transactions[[#This Row],[L6N]]=Transactions[[#This Row],[L5N]],Transactions[[#This Row],[L6N]],IF(Transactions[[#This Row],[L5N]]=Transactions[[#This Row],[L4N]],Transactions[[#This Row],[L5N]],IF(Transactions[[#This Row],[L4N]]=Transactions[[#This Row],[L3N]],Transactions[[#This Row],[L4N]],IF(Transactions[[#This Row],[L3N]]=Transactions[[#This Row],[L2N]],Transactions[[#This Row],[L3N]],IF(Transactions[[#This Row],[L2N]]=Transactions[[#This Row],[L1N]],Transactions[[#This Row],[L2N]],IF(Transactions[[#This Row],[L1N]]=Transactions[[#This Row],[Transaction name]],Transactions[[#This Row],[L1N]],Transactions[[#This Row],[Transaction name]])))))))</f>
        <v>Transformation</v>
      </c>
      <c r="AS455" s="24" t="str">
        <f>IF(Transactions[[#This Row],[Level 0]]=Transactions[[#This Row],[Transaction name]],Transactions[[#This Row],[Transaction name]],IF(Transactions[[#This Row],[Level 0]]=Transactions[[#This Row],[L1N]],Transactions[[#This Row],[Transaction name]],IF(Transactions[[#This Row],[Level 0]]=Transactions[[#This Row],[L2N]],Transactions[[#This Row],[L1N]],IF(Transactions[[#This Row],[Level 0]]=Transactions[[#This Row],[L3N]],Transactions[[#This Row],[L2N]],IF(Transactions[[#This Row],[Level 0]]=Transactions[[#This Row],[L4N]],Transactions[[#This Row],[L3N]],IF(Transactions[[#This Row],[Level 0]]=Transactions[[#This Row],[L5N]],Transactions[[#This Row],[L4N]],IF(Transactions[[#This Row],[Level 0]]=Transactions[[#This Row],[L6N]],Transactions[[#This Row],[L5N]],IF(Transactions[[#This Row],[Level 0]]=Transactions[[#This Row],[L7N]],Transactions[[#This Row],[L6N]],Transactions[[#This Row],[L7N]]))))))))</f>
        <v>Electricity, CHP and heat plants (T)</v>
      </c>
      <c r="AT455" s="24" t="str">
        <f>IF(Transactions[[#This Row],[Level 1]]=Transactions[[#This Row],[Transaction name]],Transactions[[#This Row],[Transaction name]],IF(Transactions[[#This Row],[Level 1]]=Transactions[[#This Row],[L1N]],Transactions[[#This Row],[Transaction name]],IF(Transactions[[#This Row],[Level 1]]=Transactions[[#This Row],[L2N]],Transactions[[#This Row],[L1N]],IF(Transactions[[#This Row],[Level 1]]=Transactions[[#This Row],[L3N]],Transactions[[#This Row],[L2N]],IF(Transactions[[#This Row],[Level 1]]=Transactions[[#This Row],[L4N]],Transactions[[#This Row],[L3N]],IF(Transactions[[#This Row],[Level 1]]=Transactions[[#This Row],[L5N]],Transactions[[#This Row],[L4N]],IF(Transactions[[#This Row],[Level 1]]=Transactions[[#This Row],[L6N]],Transactions[[#This Row],[L5N]],IF(Transactions[[#This Row],[Level 1]]=Transactions[[#This Row],[L7N]],Transactions[[#This Row],[L6N]],Transactions[[#This Row],[L7N]]))))))))</f>
        <v>Heat plants</v>
      </c>
      <c r="AU455" s="24" t="str">
        <f>IF(Transactions[[#This Row],[Level 2]]=Transactions[[#This Row],[Transaction name]],Transactions[[#This Row],[Transaction name]],IF(Transactions[[#This Row],[Level 2]]=Transactions[[#This Row],[L1N]],Transactions[[#This Row],[Transaction name]],IF(Transactions[[#This Row],[Level 2]]=Transactions[[#This Row],[L2N]],Transactions[[#This Row],[L1N]],IF(Transactions[[#This Row],[Level 2]]=Transactions[[#This Row],[L3N]],Transactions[[#This Row],[L2N]],IF(Transactions[[#This Row],[Level 2]]=Transactions[[#This Row],[L4N]],Transactions[[#This Row],[L3N]],IF(Transactions[[#This Row],[Level 2]]=Transactions[[#This Row],[L5N]],Transactions[[#This Row],[L4N]],IF(Transactions[[#This Row],[Level 2]]=Transactions[[#This Row],[L6N]],Transactions[[#This Row],[L5N]],IF(Transactions[[#This Row],[Level 2]]=Transactions[[#This Row],[L7N]],Transactions[[#This Row],[L6N]],Transactions[[#This Row],[L7N]]))))))))</f>
        <v>Heat plants - brown coal</v>
      </c>
      <c r="AV455" s="24" t="str">
        <f>IF(Transactions[[#This Row],[Level 3]]=Transactions[[#This Row],[Transaction name]],Transactions[[#This Row],[Transaction name]],IF(Transactions[[#This Row],[Level 3]]=Transactions[[#This Row],[L1N]],Transactions[[#This Row],[Transaction name]],IF(Transactions[[#This Row],[Level 3]]=Transactions[[#This Row],[L2N]],Transactions[[#This Row],[L1N]],IF(Transactions[[#This Row],[Level 3]]=Transactions[[#This Row],[L3N]],Transactions[[#This Row],[L2N]],IF(Transactions[[#This Row],[Level 3]]=Transactions[[#This Row],[L4N]],Transactions[[#This Row],[L3N]],IF(Transactions[[#This Row],[Level 3]]=Transactions[[#This Row],[L5N]],Transactions[[#This Row],[L4N]],IF(Transactions[[#This Row],[Level 3]]=Transactions[[#This Row],[L6N]],Transactions[[#This Row],[L5N]],IF(Transactions[[#This Row],[Level 3]]=Transactions[[#This Row],[L7N]],Transactions[[#This Row],[L6N]],Transactions[[#This Row],[L7N]]))))))))</f>
        <v>Heat plants - Autoproducer - brown coal</v>
      </c>
      <c r="AW455" s="24" t="str">
        <f>IF(Transactions[[#This Row],[Level 4]]=Transactions[[#This Row],[Transaction name]],Transactions[[#This Row],[Transaction name]],IF(Transactions[[#This Row],[Level 4]]=Transactions[[#This Row],[L1N]],Transactions[[#This Row],[Transaction name]],IF(Transactions[[#This Row],[Level 4]]=Transactions[[#This Row],[L2N]],Transactions[[#This Row],[L1N]],IF(Transactions[[#This Row],[Level 4]]=Transactions[[#This Row],[L3N]],Transactions[[#This Row],[L2N]],IF(Transactions[[#This Row],[Level 4]]=Transactions[[#This Row],[L4N]],Transactions[[#This Row],[L3N]],IF(Transactions[[#This Row],[Level 4]]=Transactions[[#This Row],[L5N]],Transactions[[#This Row],[L4N]],IF(Transactions[[#This Row],[Level 4]]=Transactions[[#This Row],[L6N]],Transactions[[#This Row],[L5N]],IF(Transactions[[#This Row],[Level 4]]=Transactions[[#This Row],[L7N]],Transactions[[#This Row],[L6N]],Transactions[[#This Row],[L7N]]))))))))</f>
        <v>Heat plants - Autoproducer - brown coal</v>
      </c>
      <c r="AX455" s="24" t="str">
        <f>IF(Transactions[[#This Row],[Level 5]]=Transactions[[#This Row],[Transaction name]],Transactions[[#This Row],[Transaction name]],IF(Transactions[[#This Row],[Level 5]]=Transactions[[#This Row],[L1N]],Transactions[[#This Row],[Transaction name]],IF(Transactions[[#This Row],[Level 5]]=Transactions[[#This Row],[L2N]],Transactions[[#This Row],[L1N]],IF(Transactions[[#This Row],[Level 5]]=Transactions[[#This Row],[L3N]],Transactions[[#This Row],[L2N]],IF(Transactions[[#This Row],[Level 5]]=Transactions[[#This Row],[L4N]],Transactions[[#This Row],[L3N]],IF(Transactions[[#This Row],[Level 5]]=Transactions[[#This Row],[L5N]],Transactions[[#This Row],[L4N]],IF(Transactions[[#This Row],[Level 5]]=Transactions[[#This Row],[L6N]],Transactions[[#This Row],[L5N]],IF(Transactions[[#This Row],[Level 5]]=Transactions[[#This Row],[L7N]],Transactions[[#This Row],[L6N]],Transactions[[#This Row],[L7N]]))))))))</f>
        <v>Heat plants - Autoproducer - brown coal</v>
      </c>
      <c r="AY455" s="24" t="str">
        <f>IF(Transactions[[#This Row],[Level 6]]=Transactions[[#This Row],[Transaction name]],Transactions[[#This Row],[Transaction name]],IF(Transactions[[#This Row],[Level 6]]=Transactions[[#This Row],[L1N]],Transactions[[#This Row],[Transaction name]],IF(Transactions[[#This Row],[Level 6]]=Transactions[[#This Row],[L2N]],Transactions[[#This Row],[L1N]],IF(Transactions[[#This Row],[Level 6]]=Transactions[[#This Row],[L3N]],Transactions[[#This Row],[L2N]],IF(Transactions[[#This Row],[Level 6]]=Transactions[[#This Row],[L4N]],Transactions[[#This Row],[L3N]],IF(Transactions[[#This Row],[Level 6]]=Transactions[[#This Row],[L5N]],Transactions[[#This Row],[L4N]],IF(Transactions[[#This Row],[Level 6]]=Transactions[[#This Row],[L6N]],Transactions[[#This Row],[L5N]],IF(Transactions[[#This Row],[Level 6]]=Transactions[[#This Row],[L7N]],Transactions[[#This Row],[L6N]],Transactions[[#This Row],[L7N]]))))))))</f>
        <v>Heat plants - Autoproducer - brown coal</v>
      </c>
      <c r="BE455" s="26" t="str">
        <f>_xlfn.XLOOKUP(Transformation[[#This Row],[cfrom]],Commodities[Commodity],Commodities[Commodity code])</f>
        <v>5212</v>
      </c>
      <c r="BF455" s="26" t="str">
        <f>_xlfn.XLOOKUP(Transformation[[#This Row],[tfrom]],Transactions[Transaction name],Transactions[Transaction code])</f>
        <v>022</v>
      </c>
      <c r="BG455" s="26" t="str">
        <f>_xlfn.XLOOKUP(Transformation[[#This Row],[cto]],Commodities[Commodity],Commodities[Commodity code])</f>
        <v>5212</v>
      </c>
      <c r="BH455" s="26" t="str">
        <f>_xlfn.XLOOKUP(Transformation[[#This Row],[tto]],Transactions[Transaction name],Transactions[Transaction code])</f>
        <v>022</v>
      </c>
      <c r="BI455" s="32">
        <v>-1</v>
      </c>
      <c r="BJ455" s="22" t="s">
        <v>317</v>
      </c>
      <c r="BK455" s="26" t="str">
        <f>_xlfn.XLOOKUP(Transformation[[#This Row],[Commodity from]],Commodities[Commodity code],Commodities[EnergyCode])</f>
        <v>ZG</v>
      </c>
      <c r="BL455" s="22" t="s">
        <v>205</v>
      </c>
      <c r="BM455" s="22" t="s">
        <v>317</v>
      </c>
      <c r="BN455" s="26" t="str">
        <f>_xlfn.XLOOKUP(Transformation[[#This Row],[Commodity to]],Commodities[Commodity code],Commodities[EnergyCode])</f>
        <v>ZG</v>
      </c>
      <c r="BO455" s="22" t="s">
        <v>205</v>
      </c>
      <c r="BP455" s="22" t="s">
        <v>1639</v>
      </c>
      <c r="BQ455" s="33" t="str">
        <f>Transformation[[#This Row],[Commodity from]]&amp;Transformation[[#This Row],[Transaction from]]&amp;Transformation[[#This Row],[Commodity to]]&amp;Transformation[[#This Row],[Transaction to]]</f>
        <v>52120225212022</v>
      </c>
      <c r="BR455" s="26" t="str">
        <f>Transformation[[#This Row],[crfomid]]&amp;Transformation[[#This Row],[Transaction from]]&amp;"("&amp;Transformation[[#This Row],[Multiplier]]&amp;") -&gt; "&amp;Transformation[[#This Row],[ctoid]]&amp;Transformation[[#This Row],[Transaction to]]</f>
        <v>ZG022(-1) -&gt; ZG022</v>
      </c>
    </row>
    <row r="456" spans="25:70" x14ac:dyDescent="0.45">
      <c r="Y456" s="19" t="s">
        <v>1558</v>
      </c>
      <c r="Z456" s="18" t="s">
        <v>1377</v>
      </c>
      <c r="AA456" s="18" t="s">
        <v>1377</v>
      </c>
      <c r="AB456" s="19" t="s">
        <v>1574</v>
      </c>
      <c r="AC456" s="26" t="str">
        <f>IFERROR(VLOOKUP(Transactions[[#This Row],[Parent code]],Transactions[[Transaction code]:[Transaction name]],2,0),"")</f>
        <v>Heat plants</v>
      </c>
      <c r="AD456" s="18" t="s">
        <v>189</v>
      </c>
      <c r="AE456" s="18" t="s">
        <v>924</v>
      </c>
      <c r="AF456" s="18" t="s">
        <v>642</v>
      </c>
      <c r="AG456" s="18" t="s">
        <v>1</v>
      </c>
      <c r="AH456" s="18" t="s">
        <v>696</v>
      </c>
      <c r="AI456" s="18" t="s">
        <v>1416</v>
      </c>
      <c r="AJ456" s="18"/>
      <c r="AK456" s="26" t="str" cm="1">
        <f t="array" ref="AK456">IFERROR(INDEX(Transactions[[Transaction code]:[Transaction name]],_xlfn.XMATCH(Transactions[[#This Row],[Parent code]],Transactions[Transaction name],0),3),Transactions[[#This Row],[Transaction name]])</f>
        <v>Heat plants - brown coal</v>
      </c>
      <c r="AL456" s="26" t="str" cm="1">
        <f t="array" ref="AL456">IFERROR(INDEX(Transactions[[Transaction code]:[Transaction name]],_xlfn.XMATCH(INDEX(Transactions[[Transaction name]:[Parent code]],_xlfn.XMATCH(Transactions[[#This Row],[L1N]],Transactions[Transaction name],0),3),Transactions[Transaction code],0),2),Transactions[[#This Row],[L1N]])</f>
        <v>Heat plants</v>
      </c>
      <c r="AM456" s="26" t="str" cm="1">
        <f t="array" ref="AM456">IFERROR(INDEX(Transactions[[Transaction code]:[Transaction name]],_xlfn.XMATCH(INDEX(Transactions[[Transaction name]:[Parent code]],_xlfn.XMATCH(Transactions[[#This Row],[L2N]],Transactions[Transaction name],0),3),Transactions[Transaction code],0),2),Transactions[[#This Row],[L2N]])</f>
        <v>Electricity, CHP and heat plants (T)</v>
      </c>
      <c r="AN456" s="26" t="str" cm="1">
        <f t="array" ref="AN456">IFERROR(INDEX(Transactions[[Transaction code]:[Transaction name]],_xlfn.XMATCH(INDEX(Transactions[[Transaction name]:[Parent code]],_xlfn.XMATCH(Transactions[[#This Row],[L3N]],Transactions[Transaction name],0),3),Transactions[Transaction code],0),2),Transactions[[#This Row],[L3N]])</f>
        <v>Transformation</v>
      </c>
      <c r="AO456" s="26" t="str" cm="1">
        <f t="array" ref="AO456">IFERROR(INDEX(Transactions[[Transaction code]:[Transaction name]],_xlfn.XMATCH(INDEX(Transactions[[Transaction name]:[Parent code]],_xlfn.XMATCH(Transactions[[#This Row],[L4N]],Transactions[Transaction name],0),3),Transactions[Transaction code],0),2),Transactions[[#This Row],[L4N]])</f>
        <v>Transformation</v>
      </c>
      <c r="AP456" s="26" t="str" cm="1">
        <f t="array" ref="AP456">IFERROR(INDEX(Transactions[[Transaction code]:[Transaction name]],_xlfn.XMATCH(INDEX(Transactions[[Transaction name]:[Parent code]],_xlfn.XMATCH(Transactions[[#This Row],[L5N]],Transactions[Transaction name],0),3),Transactions[Transaction code],0),2),Transactions[[#This Row],[L5N]])</f>
        <v>Transformation</v>
      </c>
      <c r="AQ456" s="26" t="str" cm="1">
        <f t="array" ref="AQ456">IFERROR(INDEX(Transactions[[Transaction code]:[Transaction name]],_xlfn.XMATCH(INDEX(Transactions[[Transaction name]:[Parent code]],_xlfn.XMATCH(Transactions[[#This Row],[L6N]],Transactions[Transaction name],0),3),Transactions[Transaction code],0),2),Transactions[[#This Row],[L6N]])</f>
        <v>Transformation</v>
      </c>
      <c r="AR456" s="30" t="str">
        <f>IF(Transactions[[#This Row],[L7N]]=Transactions[[#This Row],[L6N]],Transactions[[#This Row],[L7N]],IF(Transactions[[#This Row],[L6N]]=Transactions[[#This Row],[L5N]],Transactions[[#This Row],[L6N]],IF(Transactions[[#This Row],[L5N]]=Transactions[[#This Row],[L4N]],Transactions[[#This Row],[L5N]],IF(Transactions[[#This Row],[L4N]]=Transactions[[#This Row],[L3N]],Transactions[[#This Row],[L4N]],IF(Transactions[[#This Row],[L3N]]=Transactions[[#This Row],[L2N]],Transactions[[#This Row],[L3N]],IF(Transactions[[#This Row],[L2N]]=Transactions[[#This Row],[L1N]],Transactions[[#This Row],[L2N]],IF(Transactions[[#This Row],[L1N]]=Transactions[[#This Row],[Transaction name]],Transactions[[#This Row],[L1N]],Transactions[[#This Row],[Transaction name]])))))))</f>
        <v>Transformation</v>
      </c>
      <c r="AS456" s="26" t="str">
        <f>IF(Transactions[[#This Row],[Level 0]]=Transactions[[#This Row],[Transaction name]],Transactions[[#This Row],[Transaction name]],IF(Transactions[[#This Row],[Level 0]]=Transactions[[#This Row],[L1N]],Transactions[[#This Row],[Transaction name]],IF(Transactions[[#This Row],[Level 0]]=Transactions[[#This Row],[L2N]],Transactions[[#This Row],[L1N]],IF(Transactions[[#This Row],[Level 0]]=Transactions[[#This Row],[L3N]],Transactions[[#This Row],[L2N]],IF(Transactions[[#This Row],[Level 0]]=Transactions[[#This Row],[L4N]],Transactions[[#This Row],[L3N]],IF(Transactions[[#This Row],[Level 0]]=Transactions[[#This Row],[L5N]],Transactions[[#This Row],[L4N]],IF(Transactions[[#This Row],[Level 0]]=Transactions[[#This Row],[L6N]],Transactions[[#This Row],[L5N]],IF(Transactions[[#This Row],[Level 0]]=Transactions[[#This Row],[L7N]],Transactions[[#This Row],[L6N]],Transactions[[#This Row],[L7N]]))))))))</f>
        <v>Electricity, CHP and heat plants (T)</v>
      </c>
      <c r="AT456" s="26" t="str">
        <f>IF(Transactions[[#This Row],[Level 1]]=Transactions[[#This Row],[Transaction name]],Transactions[[#This Row],[Transaction name]],IF(Transactions[[#This Row],[Level 1]]=Transactions[[#This Row],[L1N]],Transactions[[#This Row],[Transaction name]],IF(Transactions[[#This Row],[Level 1]]=Transactions[[#This Row],[L2N]],Transactions[[#This Row],[L1N]],IF(Transactions[[#This Row],[Level 1]]=Transactions[[#This Row],[L3N]],Transactions[[#This Row],[L2N]],IF(Transactions[[#This Row],[Level 1]]=Transactions[[#This Row],[L4N]],Transactions[[#This Row],[L3N]],IF(Transactions[[#This Row],[Level 1]]=Transactions[[#This Row],[L5N]],Transactions[[#This Row],[L4N]],IF(Transactions[[#This Row],[Level 1]]=Transactions[[#This Row],[L6N]],Transactions[[#This Row],[L5N]],IF(Transactions[[#This Row],[Level 1]]=Transactions[[#This Row],[L7N]],Transactions[[#This Row],[L6N]],Transactions[[#This Row],[L7N]]))))))))</f>
        <v>Heat plants</v>
      </c>
      <c r="AU456" s="26" t="str">
        <f>IF(Transactions[[#This Row],[Level 2]]=Transactions[[#This Row],[Transaction name]],Transactions[[#This Row],[Transaction name]],IF(Transactions[[#This Row],[Level 2]]=Transactions[[#This Row],[L1N]],Transactions[[#This Row],[Transaction name]],IF(Transactions[[#This Row],[Level 2]]=Transactions[[#This Row],[L2N]],Transactions[[#This Row],[L1N]],IF(Transactions[[#This Row],[Level 2]]=Transactions[[#This Row],[L3N]],Transactions[[#This Row],[L2N]],IF(Transactions[[#This Row],[Level 2]]=Transactions[[#This Row],[L4N]],Transactions[[#This Row],[L3N]],IF(Transactions[[#This Row],[Level 2]]=Transactions[[#This Row],[L5N]],Transactions[[#This Row],[L4N]],IF(Transactions[[#This Row],[Level 2]]=Transactions[[#This Row],[L6N]],Transactions[[#This Row],[L5N]],IF(Transactions[[#This Row],[Level 2]]=Transactions[[#This Row],[L7N]],Transactions[[#This Row],[L6N]],Transactions[[#This Row],[L7N]]))))))))</f>
        <v>Heat plants - brown coal</v>
      </c>
      <c r="AV456" s="26" t="str">
        <f>IF(Transactions[[#This Row],[Level 3]]=Transactions[[#This Row],[Transaction name]],Transactions[[#This Row],[Transaction name]],IF(Transactions[[#This Row],[Level 3]]=Transactions[[#This Row],[L1N]],Transactions[[#This Row],[Transaction name]],IF(Transactions[[#This Row],[Level 3]]=Transactions[[#This Row],[L2N]],Transactions[[#This Row],[L1N]],IF(Transactions[[#This Row],[Level 3]]=Transactions[[#This Row],[L3N]],Transactions[[#This Row],[L2N]],IF(Transactions[[#This Row],[Level 3]]=Transactions[[#This Row],[L4N]],Transactions[[#This Row],[L3N]],IF(Transactions[[#This Row],[Level 3]]=Transactions[[#This Row],[L5N]],Transactions[[#This Row],[L4N]],IF(Transactions[[#This Row],[Level 3]]=Transactions[[#This Row],[L6N]],Transactions[[#This Row],[L5N]],IF(Transactions[[#This Row],[Level 3]]=Transactions[[#This Row],[L7N]],Transactions[[#This Row],[L6N]],Transactions[[#This Row],[L7N]]))))))))</f>
        <v>Heat plants - brown coal</v>
      </c>
      <c r="AW456" s="26" t="str">
        <f>IF(Transactions[[#This Row],[Level 4]]=Transactions[[#This Row],[Transaction name]],Transactions[[#This Row],[Transaction name]],IF(Transactions[[#This Row],[Level 4]]=Transactions[[#This Row],[L1N]],Transactions[[#This Row],[Transaction name]],IF(Transactions[[#This Row],[Level 4]]=Transactions[[#This Row],[L2N]],Transactions[[#This Row],[L1N]],IF(Transactions[[#This Row],[Level 4]]=Transactions[[#This Row],[L3N]],Transactions[[#This Row],[L2N]],IF(Transactions[[#This Row],[Level 4]]=Transactions[[#This Row],[L4N]],Transactions[[#This Row],[L3N]],IF(Transactions[[#This Row],[Level 4]]=Transactions[[#This Row],[L5N]],Transactions[[#This Row],[L4N]],IF(Transactions[[#This Row],[Level 4]]=Transactions[[#This Row],[L6N]],Transactions[[#This Row],[L5N]],IF(Transactions[[#This Row],[Level 4]]=Transactions[[#This Row],[L7N]],Transactions[[#This Row],[L6N]],Transactions[[#This Row],[L7N]]))))))))</f>
        <v>Heat plants - brown coal</v>
      </c>
      <c r="AX456" s="26" t="str">
        <f>IF(Transactions[[#This Row],[Level 5]]=Transactions[[#This Row],[Transaction name]],Transactions[[#This Row],[Transaction name]],IF(Transactions[[#This Row],[Level 5]]=Transactions[[#This Row],[L1N]],Transactions[[#This Row],[Transaction name]],IF(Transactions[[#This Row],[Level 5]]=Transactions[[#This Row],[L2N]],Transactions[[#This Row],[L1N]],IF(Transactions[[#This Row],[Level 5]]=Transactions[[#This Row],[L3N]],Transactions[[#This Row],[L2N]],IF(Transactions[[#This Row],[Level 5]]=Transactions[[#This Row],[L4N]],Transactions[[#This Row],[L3N]],IF(Transactions[[#This Row],[Level 5]]=Transactions[[#This Row],[L5N]],Transactions[[#This Row],[L4N]],IF(Transactions[[#This Row],[Level 5]]=Transactions[[#This Row],[L6N]],Transactions[[#This Row],[L5N]],IF(Transactions[[#This Row],[Level 5]]=Transactions[[#This Row],[L7N]],Transactions[[#This Row],[L6N]],Transactions[[#This Row],[L7N]]))))))))</f>
        <v>Heat plants - brown coal</v>
      </c>
      <c r="AY456" s="26" t="str">
        <f>IF(Transactions[[#This Row],[Level 6]]=Transactions[[#This Row],[Transaction name]],Transactions[[#This Row],[Transaction name]],IF(Transactions[[#This Row],[Level 6]]=Transactions[[#This Row],[L1N]],Transactions[[#This Row],[Transaction name]],IF(Transactions[[#This Row],[Level 6]]=Transactions[[#This Row],[L2N]],Transactions[[#This Row],[L1N]],IF(Transactions[[#This Row],[Level 6]]=Transactions[[#This Row],[L3N]],Transactions[[#This Row],[L2N]],IF(Transactions[[#This Row],[Level 6]]=Transactions[[#This Row],[L4N]],Transactions[[#This Row],[L3N]],IF(Transactions[[#This Row],[Level 6]]=Transactions[[#This Row],[L5N]],Transactions[[#This Row],[L4N]],IF(Transactions[[#This Row],[Level 6]]=Transactions[[#This Row],[L6N]],Transactions[[#This Row],[L5N]],IF(Transactions[[#This Row],[Level 6]]=Transactions[[#This Row],[L7N]],Transactions[[#This Row],[L6N]],Transactions[[#This Row],[L7N]]))))))))</f>
        <v>Heat plants - brown coal</v>
      </c>
      <c r="BE456" s="26" t="str">
        <f>_xlfn.XLOOKUP(Transformation[[#This Row],[cfrom]],Commodities[Commodity],Commodities[Commodity code])</f>
        <v>5212</v>
      </c>
      <c r="BF456" s="26" t="str">
        <f>_xlfn.XLOOKUP(Transformation[[#This Row],[tfrom]],Transactions[Transaction name],Transactions[Transaction code])</f>
        <v>01</v>
      </c>
      <c r="BG456" s="26" t="str">
        <f>_xlfn.XLOOKUP(Transformation[[#This Row],[cto]],Commodities[Commodity],Commodities[Commodity code])</f>
        <v>5212</v>
      </c>
      <c r="BH456" s="26" t="str">
        <f>_xlfn.XLOOKUP(Transformation[[#This Row],[tto]],Transactions[Transaction name],Transactions[Transaction code])</f>
        <v>01</v>
      </c>
      <c r="BI456" s="32">
        <v>-1</v>
      </c>
      <c r="BJ456" s="22" t="s">
        <v>317</v>
      </c>
      <c r="BK456" s="26" t="str">
        <f>_xlfn.XLOOKUP(Transformation[[#This Row],[Commodity from]],Commodities[Commodity code],Commodities[EnergyCode])</f>
        <v>ZG</v>
      </c>
      <c r="BL456" s="22" t="s">
        <v>383</v>
      </c>
      <c r="BM456" s="22" t="s">
        <v>317</v>
      </c>
      <c r="BN456" s="26" t="str">
        <f>_xlfn.XLOOKUP(Transformation[[#This Row],[Commodity to]],Commodities[Commodity code],Commodities[EnergyCode])</f>
        <v>ZG</v>
      </c>
      <c r="BO456" s="22" t="s">
        <v>383</v>
      </c>
      <c r="BP456" s="22" t="s">
        <v>1633</v>
      </c>
      <c r="BQ456" s="33" t="str">
        <f>Transformation[[#This Row],[Commodity from]]&amp;Transformation[[#This Row],[Transaction from]]&amp;Transformation[[#This Row],[Commodity to]]&amp;Transformation[[#This Row],[Transaction to]]</f>
        <v>521201521201</v>
      </c>
      <c r="BR456" s="26" t="str">
        <f>Transformation[[#This Row],[crfomid]]&amp;Transformation[[#This Row],[Transaction from]]&amp;"("&amp;Transformation[[#This Row],[Multiplier]]&amp;") -&gt; "&amp;Transformation[[#This Row],[ctoid]]&amp;Transformation[[#This Row],[Transaction to]]</f>
        <v>ZG01(-1) -&gt; ZG01</v>
      </c>
    </row>
    <row r="457" spans="25:70" x14ac:dyDescent="0.45">
      <c r="Y457" s="5" t="s">
        <v>1171</v>
      </c>
      <c r="Z457" s="7" t="s">
        <v>1179</v>
      </c>
      <c r="AA457" s="4" t="s">
        <v>1377</v>
      </c>
      <c r="AB457" s="19" t="s">
        <v>1558</v>
      </c>
      <c r="AC457" s="24" t="str">
        <f>IFERROR(VLOOKUP(Transactions[[#This Row],[Parent code]],Transactions[[Transaction code]:[Transaction name]],2,0),"")</f>
        <v>Heat plants - brown coal</v>
      </c>
      <c r="AD457" s="4" t="s">
        <v>189</v>
      </c>
      <c r="AE457" s="4" t="s">
        <v>924</v>
      </c>
      <c r="AF457" s="4" t="s">
        <v>642</v>
      </c>
      <c r="AG457" s="4" t="s">
        <v>1</v>
      </c>
      <c r="AH457" s="4" t="s">
        <v>696</v>
      </c>
      <c r="AI457" s="12" t="s">
        <v>1416</v>
      </c>
      <c r="AK457" s="24" t="str" cm="1">
        <f t="array" ref="AK457">IFERROR(INDEX(Transactions[[Transaction code]:[Transaction name]],_xlfn.XMATCH(Transactions[[#This Row],[Parent code]],Transactions[Transaction name],0),3),Transactions[[#This Row],[Transaction name]])</f>
        <v>Heat plants - Main activity - brown coal</v>
      </c>
      <c r="AL457" s="24" t="str" cm="1">
        <f t="array" ref="AL457">IFERROR(INDEX(Transactions[[Transaction code]:[Transaction name]],_xlfn.XMATCH(INDEX(Transactions[[Transaction name]:[Parent code]],_xlfn.XMATCH(Transactions[[#This Row],[L1N]],Transactions[Transaction name],0),3),Transactions[Transaction code],0),2),Transactions[[#This Row],[L1N]])</f>
        <v>Heat plants - brown coal</v>
      </c>
      <c r="AM457" s="24" t="str" cm="1">
        <f t="array" ref="AM457">IFERROR(INDEX(Transactions[[Transaction code]:[Transaction name]],_xlfn.XMATCH(INDEX(Transactions[[Transaction name]:[Parent code]],_xlfn.XMATCH(Transactions[[#This Row],[L2N]],Transactions[Transaction name],0),3),Transactions[Transaction code],0),2),Transactions[[#This Row],[L2N]])</f>
        <v>Heat plants</v>
      </c>
      <c r="AN457" s="24" t="str" cm="1">
        <f t="array" ref="AN457">IFERROR(INDEX(Transactions[[Transaction code]:[Transaction name]],_xlfn.XMATCH(INDEX(Transactions[[Transaction name]:[Parent code]],_xlfn.XMATCH(Transactions[[#This Row],[L3N]],Transactions[Transaction name],0),3),Transactions[Transaction code],0),2),Transactions[[#This Row],[L3N]])</f>
        <v>Electricity, CHP and heat plants (T)</v>
      </c>
      <c r="AO457" s="24" t="str" cm="1">
        <f t="array" ref="AO457">IFERROR(INDEX(Transactions[[Transaction code]:[Transaction name]],_xlfn.XMATCH(INDEX(Transactions[[Transaction name]:[Parent code]],_xlfn.XMATCH(Transactions[[#This Row],[L4N]],Transactions[Transaction name],0),3),Transactions[Transaction code],0),2),Transactions[[#This Row],[L4N]])</f>
        <v>Transformation</v>
      </c>
      <c r="AP457" s="24" t="str" cm="1">
        <f t="array" ref="AP457">IFERROR(INDEX(Transactions[[Transaction code]:[Transaction name]],_xlfn.XMATCH(INDEX(Transactions[[Transaction name]:[Parent code]],_xlfn.XMATCH(Transactions[[#This Row],[L5N]],Transactions[Transaction name],0),3),Transactions[Transaction code],0),2),Transactions[[#This Row],[L5N]])</f>
        <v>Transformation</v>
      </c>
      <c r="AQ457" s="24" t="str" cm="1">
        <f t="array" ref="AQ457">IFERROR(INDEX(Transactions[[Transaction code]:[Transaction name]],_xlfn.XMATCH(INDEX(Transactions[[Transaction name]:[Parent code]],_xlfn.XMATCH(Transactions[[#This Row],[L6N]],Transactions[Transaction name],0),3),Transactions[Transaction code],0),2),Transactions[[#This Row],[L6N]])</f>
        <v>Transformation</v>
      </c>
      <c r="AR457" s="27" t="str">
        <f>IF(Transactions[[#This Row],[L7N]]=Transactions[[#This Row],[L6N]],Transactions[[#This Row],[L7N]],IF(Transactions[[#This Row],[L6N]]=Transactions[[#This Row],[L5N]],Transactions[[#This Row],[L6N]],IF(Transactions[[#This Row],[L5N]]=Transactions[[#This Row],[L4N]],Transactions[[#This Row],[L5N]],IF(Transactions[[#This Row],[L4N]]=Transactions[[#This Row],[L3N]],Transactions[[#This Row],[L4N]],IF(Transactions[[#This Row],[L3N]]=Transactions[[#This Row],[L2N]],Transactions[[#This Row],[L3N]],IF(Transactions[[#This Row],[L2N]]=Transactions[[#This Row],[L1N]],Transactions[[#This Row],[L2N]],IF(Transactions[[#This Row],[L1N]]=Transactions[[#This Row],[Transaction name]],Transactions[[#This Row],[L1N]],Transactions[[#This Row],[Transaction name]])))))))</f>
        <v>Transformation</v>
      </c>
      <c r="AS457" s="24" t="str">
        <f>IF(Transactions[[#This Row],[Level 0]]=Transactions[[#This Row],[Transaction name]],Transactions[[#This Row],[Transaction name]],IF(Transactions[[#This Row],[Level 0]]=Transactions[[#This Row],[L1N]],Transactions[[#This Row],[Transaction name]],IF(Transactions[[#This Row],[Level 0]]=Transactions[[#This Row],[L2N]],Transactions[[#This Row],[L1N]],IF(Transactions[[#This Row],[Level 0]]=Transactions[[#This Row],[L3N]],Transactions[[#This Row],[L2N]],IF(Transactions[[#This Row],[Level 0]]=Transactions[[#This Row],[L4N]],Transactions[[#This Row],[L3N]],IF(Transactions[[#This Row],[Level 0]]=Transactions[[#This Row],[L5N]],Transactions[[#This Row],[L4N]],IF(Transactions[[#This Row],[Level 0]]=Transactions[[#This Row],[L6N]],Transactions[[#This Row],[L5N]],IF(Transactions[[#This Row],[Level 0]]=Transactions[[#This Row],[L7N]],Transactions[[#This Row],[L6N]],Transactions[[#This Row],[L7N]]))))))))</f>
        <v>Electricity, CHP and heat plants (T)</v>
      </c>
      <c r="AT457" s="24" t="str">
        <f>IF(Transactions[[#This Row],[Level 1]]=Transactions[[#This Row],[Transaction name]],Transactions[[#This Row],[Transaction name]],IF(Transactions[[#This Row],[Level 1]]=Transactions[[#This Row],[L1N]],Transactions[[#This Row],[Transaction name]],IF(Transactions[[#This Row],[Level 1]]=Transactions[[#This Row],[L2N]],Transactions[[#This Row],[L1N]],IF(Transactions[[#This Row],[Level 1]]=Transactions[[#This Row],[L3N]],Transactions[[#This Row],[L2N]],IF(Transactions[[#This Row],[Level 1]]=Transactions[[#This Row],[L4N]],Transactions[[#This Row],[L3N]],IF(Transactions[[#This Row],[Level 1]]=Transactions[[#This Row],[L5N]],Transactions[[#This Row],[L4N]],IF(Transactions[[#This Row],[Level 1]]=Transactions[[#This Row],[L6N]],Transactions[[#This Row],[L5N]],IF(Transactions[[#This Row],[Level 1]]=Transactions[[#This Row],[L7N]],Transactions[[#This Row],[L6N]],Transactions[[#This Row],[L7N]]))))))))</f>
        <v>Heat plants</v>
      </c>
      <c r="AU457" s="24" t="str">
        <f>IF(Transactions[[#This Row],[Level 2]]=Transactions[[#This Row],[Transaction name]],Transactions[[#This Row],[Transaction name]],IF(Transactions[[#This Row],[Level 2]]=Transactions[[#This Row],[L1N]],Transactions[[#This Row],[Transaction name]],IF(Transactions[[#This Row],[Level 2]]=Transactions[[#This Row],[L2N]],Transactions[[#This Row],[L1N]],IF(Transactions[[#This Row],[Level 2]]=Transactions[[#This Row],[L3N]],Transactions[[#This Row],[L2N]],IF(Transactions[[#This Row],[Level 2]]=Transactions[[#This Row],[L4N]],Transactions[[#This Row],[L3N]],IF(Transactions[[#This Row],[Level 2]]=Transactions[[#This Row],[L5N]],Transactions[[#This Row],[L4N]],IF(Transactions[[#This Row],[Level 2]]=Transactions[[#This Row],[L6N]],Transactions[[#This Row],[L5N]],IF(Transactions[[#This Row],[Level 2]]=Transactions[[#This Row],[L7N]],Transactions[[#This Row],[L6N]],Transactions[[#This Row],[L7N]]))))))))</f>
        <v>Heat plants - brown coal</v>
      </c>
      <c r="AV457" s="24" t="str">
        <f>IF(Transactions[[#This Row],[Level 3]]=Transactions[[#This Row],[Transaction name]],Transactions[[#This Row],[Transaction name]],IF(Transactions[[#This Row],[Level 3]]=Transactions[[#This Row],[L1N]],Transactions[[#This Row],[Transaction name]],IF(Transactions[[#This Row],[Level 3]]=Transactions[[#This Row],[L2N]],Transactions[[#This Row],[L1N]],IF(Transactions[[#This Row],[Level 3]]=Transactions[[#This Row],[L3N]],Transactions[[#This Row],[L2N]],IF(Transactions[[#This Row],[Level 3]]=Transactions[[#This Row],[L4N]],Transactions[[#This Row],[L3N]],IF(Transactions[[#This Row],[Level 3]]=Transactions[[#This Row],[L5N]],Transactions[[#This Row],[L4N]],IF(Transactions[[#This Row],[Level 3]]=Transactions[[#This Row],[L6N]],Transactions[[#This Row],[L5N]],IF(Transactions[[#This Row],[Level 3]]=Transactions[[#This Row],[L7N]],Transactions[[#This Row],[L6N]],Transactions[[#This Row],[L7N]]))))))))</f>
        <v>Heat plants - Main activity - brown coal</v>
      </c>
      <c r="AW457" s="24" t="str">
        <f>IF(Transactions[[#This Row],[Level 4]]=Transactions[[#This Row],[Transaction name]],Transactions[[#This Row],[Transaction name]],IF(Transactions[[#This Row],[Level 4]]=Transactions[[#This Row],[L1N]],Transactions[[#This Row],[Transaction name]],IF(Transactions[[#This Row],[Level 4]]=Transactions[[#This Row],[L2N]],Transactions[[#This Row],[L1N]],IF(Transactions[[#This Row],[Level 4]]=Transactions[[#This Row],[L3N]],Transactions[[#This Row],[L2N]],IF(Transactions[[#This Row],[Level 4]]=Transactions[[#This Row],[L4N]],Transactions[[#This Row],[L3N]],IF(Transactions[[#This Row],[Level 4]]=Transactions[[#This Row],[L5N]],Transactions[[#This Row],[L4N]],IF(Transactions[[#This Row],[Level 4]]=Transactions[[#This Row],[L6N]],Transactions[[#This Row],[L5N]],IF(Transactions[[#This Row],[Level 4]]=Transactions[[#This Row],[L7N]],Transactions[[#This Row],[L6N]],Transactions[[#This Row],[L7N]]))))))))</f>
        <v>Heat plants - Main activity - brown coal</v>
      </c>
      <c r="AX457" s="24" t="str">
        <f>IF(Transactions[[#This Row],[Level 5]]=Transactions[[#This Row],[Transaction name]],Transactions[[#This Row],[Transaction name]],IF(Transactions[[#This Row],[Level 5]]=Transactions[[#This Row],[L1N]],Transactions[[#This Row],[Transaction name]],IF(Transactions[[#This Row],[Level 5]]=Transactions[[#This Row],[L2N]],Transactions[[#This Row],[L1N]],IF(Transactions[[#This Row],[Level 5]]=Transactions[[#This Row],[L3N]],Transactions[[#This Row],[L2N]],IF(Transactions[[#This Row],[Level 5]]=Transactions[[#This Row],[L4N]],Transactions[[#This Row],[L3N]],IF(Transactions[[#This Row],[Level 5]]=Transactions[[#This Row],[L5N]],Transactions[[#This Row],[L4N]],IF(Transactions[[#This Row],[Level 5]]=Transactions[[#This Row],[L6N]],Transactions[[#This Row],[L5N]],IF(Transactions[[#This Row],[Level 5]]=Transactions[[#This Row],[L7N]],Transactions[[#This Row],[L6N]],Transactions[[#This Row],[L7N]]))))))))</f>
        <v>Heat plants - Main activity - brown coal</v>
      </c>
      <c r="AY457" s="24" t="str">
        <f>IF(Transactions[[#This Row],[Level 6]]=Transactions[[#This Row],[Transaction name]],Transactions[[#This Row],[Transaction name]],IF(Transactions[[#This Row],[Level 6]]=Transactions[[#This Row],[L1N]],Transactions[[#This Row],[Transaction name]],IF(Transactions[[#This Row],[Level 6]]=Transactions[[#This Row],[L2N]],Transactions[[#This Row],[L1N]],IF(Transactions[[#This Row],[Level 6]]=Transactions[[#This Row],[L3N]],Transactions[[#This Row],[L2N]],IF(Transactions[[#This Row],[Level 6]]=Transactions[[#This Row],[L4N]],Transactions[[#This Row],[L3N]],IF(Transactions[[#This Row],[Level 6]]=Transactions[[#This Row],[L5N]],Transactions[[#This Row],[L4N]],IF(Transactions[[#This Row],[Level 6]]=Transactions[[#This Row],[L6N]],Transactions[[#This Row],[L5N]],IF(Transactions[[#This Row],[Level 6]]=Transactions[[#This Row],[L7N]],Transactions[[#This Row],[L6N]],Transactions[[#This Row],[L7N]]))))))))</f>
        <v>Heat plants - Main activity - brown coal</v>
      </c>
      <c r="BE457" s="26" t="str">
        <f>_xlfn.XLOOKUP(Transformation[[#This Row],[cfrom]],Commodities[Commodity],Commodities[Commodity code])</f>
        <v>5232</v>
      </c>
      <c r="BF457" s="26" t="str">
        <f>_xlfn.XLOOKUP(Transformation[[#This Row],[tfrom]],Transactions[Transaction name],Transactions[Transaction code])</f>
        <v>022</v>
      </c>
      <c r="BG457" s="26" t="str">
        <f>_xlfn.XLOOKUP(Transformation[[#This Row],[cto]],Commodities[Commodity],Commodities[Commodity code])</f>
        <v>5232</v>
      </c>
      <c r="BH457" s="26" t="str">
        <f>_xlfn.XLOOKUP(Transformation[[#This Row],[tto]],Transactions[Transaction name],Transactions[Transaction code])</f>
        <v>022</v>
      </c>
      <c r="BI457" s="32">
        <v>-1</v>
      </c>
      <c r="BJ457" s="22" t="s">
        <v>306</v>
      </c>
      <c r="BK457" s="26" t="str">
        <f>_xlfn.XLOOKUP(Transformation[[#This Row],[Commodity from]],Commodities[Commodity code],Commodities[EnergyCode])</f>
        <v>ZJ</v>
      </c>
      <c r="BL457" s="22" t="s">
        <v>205</v>
      </c>
      <c r="BM457" s="22" t="s">
        <v>306</v>
      </c>
      <c r="BN457" s="26" t="str">
        <f>_xlfn.XLOOKUP(Transformation[[#This Row],[Commodity to]],Commodities[Commodity code],Commodities[EnergyCode])</f>
        <v>ZJ</v>
      </c>
      <c r="BO457" s="22" t="s">
        <v>205</v>
      </c>
      <c r="BP457" s="22" t="s">
        <v>1639</v>
      </c>
      <c r="BQ457" s="33" t="str">
        <f>Transformation[[#This Row],[Commodity from]]&amp;Transformation[[#This Row],[Transaction from]]&amp;Transformation[[#This Row],[Commodity to]]&amp;Transformation[[#This Row],[Transaction to]]</f>
        <v>52320225232022</v>
      </c>
      <c r="BR457" s="26" t="str">
        <f>Transformation[[#This Row],[crfomid]]&amp;Transformation[[#This Row],[Transaction from]]&amp;"("&amp;Transformation[[#This Row],[Multiplier]]&amp;") -&gt; "&amp;Transformation[[#This Row],[ctoid]]&amp;Transformation[[#This Row],[Transaction to]]</f>
        <v>ZJ022(-1) -&gt; ZJ022</v>
      </c>
    </row>
    <row r="458" spans="25:70" x14ac:dyDescent="0.45">
      <c r="Y458" s="5" t="s">
        <v>251</v>
      </c>
      <c r="Z458" s="7" t="s">
        <v>678</v>
      </c>
      <c r="AA458" s="4" t="s">
        <v>1318</v>
      </c>
      <c r="AB458" s="19" t="s">
        <v>1565</v>
      </c>
      <c r="AC458" s="24" t="str">
        <f>IFERROR(VLOOKUP(Transactions[[#This Row],[Parent code]],Transactions[[Transaction code]:[Transaction name]],2,0),"")</f>
        <v>Heat plants - chemical heat/sources</v>
      </c>
      <c r="AD458" s="4" t="s">
        <v>189</v>
      </c>
      <c r="AE458" s="4" t="s">
        <v>924</v>
      </c>
      <c r="AF458" s="4" t="s">
        <v>642</v>
      </c>
      <c r="AG458" s="4" t="s">
        <v>1</v>
      </c>
      <c r="AH458" s="4" t="s">
        <v>696</v>
      </c>
      <c r="AK458" s="24" t="str" cm="1">
        <f t="array" ref="AK458">IFERROR(INDEX(Transactions[[Transaction code]:[Transaction name]],_xlfn.XMATCH(Transactions[[#This Row],[Parent code]],Transactions[Transaction name],0),3),Transactions[[#This Row],[Transaction name]])</f>
        <v>Heat plants - Autoproducer - chemical heat/sources</v>
      </c>
      <c r="AL458" s="24" t="str" cm="1">
        <f t="array" ref="AL458">IFERROR(INDEX(Transactions[[Transaction code]:[Transaction name]],_xlfn.XMATCH(INDEX(Transactions[[Transaction name]:[Parent code]],_xlfn.XMATCH(Transactions[[#This Row],[L1N]],Transactions[Transaction name],0),3),Transactions[Transaction code],0),2),Transactions[[#This Row],[L1N]])</f>
        <v>Heat plants - chemical heat/sources</v>
      </c>
      <c r="AM458" s="24" t="str" cm="1">
        <f t="array" ref="AM458">IFERROR(INDEX(Transactions[[Transaction code]:[Transaction name]],_xlfn.XMATCH(INDEX(Transactions[[Transaction name]:[Parent code]],_xlfn.XMATCH(Transactions[[#This Row],[L2N]],Transactions[Transaction name],0),3),Transactions[Transaction code],0),2),Transactions[[#This Row],[L2N]])</f>
        <v>Heat plants</v>
      </c>
      <c r="AN458" s="24" t="str" cm="1">
        <f t="array" ref="AN458">IFERROR(INDEX(Transactions[[Transaction code]:[Transaction name]],_xlfn.XMATCH(INDEX(Transactions[[Transaction name]:[Parent code]],_xlfn.XMATCH(Transactions[[#This Row],[L3N]],Transactions[Transaction name],0),3),Transactions[Transaction code],0),2),Transactions[[#This Row],[L3N]])</f>
        <v>Electricity, CHP and heat plants (T)</v>
      </c>
      <c r="AO458" s="24" t="str" cm="1">
        <f t="array" ref="AO458">IFERROR(INDEX(Transactions[[Transaction code]:[Transaction name]],_xlfn.XMATCH(INDEX(Transactions[[Transaction name]:[Parent code]],_xlfn.XMATCH(Transactions[[#This Row],[L4N]],Transactions[Transaction name],0),3),Transactions[Transaction code],0),2),Transactions[[#This Row],[L4N]])</f>
        <v>Transformation</v>
      </c>
      <c r="AP458" s="24" t="str" cm="1">
        <f t="array" ref="AP458">IFERROR(INDEX(Transactions[[Transaction code]:[Transaction name]],_xlfn.XMATCH(INDEX(Transactions[[Transaction name]:[Parent code]],_xlfn.XMATCH(Transactions[[#This Row],[L5N]],Transactions[Transaction name],0),3),Transactions[Transaction code],0),2),Transactions[[#This Row],[L5N]])</f>
        <v>Transformation</v>
      </c>
      <c r="AQ458" s="24" t="str" cm="1">
        <f t="array" ref="AQ458">IFERROR(INDEX(Transactions[[Transaction code]:[Transaction name]],_xlfn.XMATCH(INDEX(Transactions[[Transaction name]:[Parent code]],_xlfn.XMATCH(Transactions[[#This Row],[L6N]],Transactions[Transaction name],0),3),Transactions[Transaction code],0),2),Transactions[[#This Row],[L6N]])</f>
        <v>Transformation</v>
      </c>
      <c r="AR458" s="27" t="str">
        <f>IF(Transactions[[#This Row],[L7N]]=Transactions[[#This Row],[L6N]],Transactions[[#This Row],[L7N]],IF(Transactions[[#This Row],[L6N]]=Transactions[[#This Row],[L5N]],Transactions[[#This Row],[L6N]],IF(Transactions[[#This Row],[L5N]]=Transactions[[#This Row],[L4N]],Transactions[[#This Row],[L5N]],IF(Transactions[[#This Row],[L4N]]=Transactions[[#This Row],[L3N]],Transactions[[#This Row],[L4N]],IF(Transactions[[#This Row],[L3N]]=Transactions[[#This Row],[L2N]],Transactions[[#This Row],[L3N]],IF(Transactions[[#This Row],[L2N]]=Transactions[[#This Row],[L1N]],Transactions[[#This Row],[L2N]],IF(Transactions[[#This Row],[L1N]]=Transactions[[#This Row],[Transaction name]],Transactions[[#This Row],[L1N]],Transactions[[#This Row],[Transaction name]])))))))</f>
        <v>Transformation</v>
      </c>
      <c r="AS458" s="24" t="str">
        <f>IF(Transactions[[#This Row],[Level 0]]=Transactions[[#This Row],[Transaction name]],Transactions[[#This Row],[Transaction name]],IF(Transactions[[#This Row],[Level 0]]=Transactions[[#This Row],[L1N]],Transactions[[#This Row],[Transaction name]],IF(Transactions[[#This Row],[Level 0]]=Transactions[[#This Row],[L2N]],Transactions[[#This Row],[L1N]],IF(Transactions[[#This Row],[Level 0]]=Transactions[[#This Row],[L3N]],Transactions[[#This Row],[L2N]],IF(Transactions[[#This Row],[Level 0]]=Transactions[[#This Row],[L4N]],Transactions[[#This Row],[L3N]],IF(Transactions[[#This Row],[Level 0]]=Transactions[[#This Row],[L5N]],Transactions[[#This Row],[L4N]],IF(Transactions[[#This Row],[Level 0]]=Transactions[[#This Row],[L6N]],Transactions[[#This Row],[L5N]],IF(Transactions[[#This Row],[Level 0]]=Transactions[[#This Row],[L7N]],Transactions[[#This Row],[L6N]],Transactions[[#This Row],[L7N]]))))))))</f>
        <v>Electricity, CHP and heat plants (T)</v>
      </c>
      <c r="AT458" s="24" t="str">
        <f>IF(Transactions[[#This Row],[Level 1]]=Transactions[[#This Row],[Transaction name]],Transactions[[#This Row],[Transaction name]],IF(Transactions[[#This Row],[Level 1]]=Transactions[[#This Row],[L1N]],Transactions[[#This Row],[Transaction name]],IF(Transactions[[#This Row],[Level 1]]=Transactions[[#This Row],[L2N]],Transactions[[#This Row],[L1N]],IF(Transactions[[#This Row],[Level 1]]=Transactions[[#This Row],[L3N]],Transactions[[#This Row],[L2N]],IF(Transactions[[#This Row],[Level 1]]=Transactions[[#This Row],[L4N]],Transactions[[#This Row],[L3N]],IF(Transactions[[#This Row],[Level 1]]=Transactions[[#This Row],[L5N]],Transactions[[#This Row],[L4N]],IF(Transactions[[#This Row],[Level 1]]=Transactions[[#This Row],[L6N]],Transactions[[#This Row],[L5N]],IF(Transactions[[#This Row],[Level 1]]=Transactions[[#This Row],[L7N]],Transactions[[#This Row],[L6N]],Transactions[[#This Row],[L7N]]))))))))</f>
        <v>Heat plants</v>
      </c>
      <c r="AU458" s="24" t="str">
        <f>IF(Transactions[[#This Row],[Level 2]]=Transactions[[#This Row],[Transaction name]],Transactions[[#This Row],[Transaction name]],IF(Transactions[[#This Row],[Level 2]]=Transactions[[#This Row],[L1N]],Transactions[[#This Row],[Transaction name]],IF(Transactions[[#This Row],[Level 2]]=Transactions[[#This Row],[L2N]],Transactions[[#This Row],[L1N]],IF(Transactions[[#This Row],[Level 2]]=Transactions[[#This Row],[L3N]],Transactions[[#This Row],[L2N]],IF(Transactions[[#This Row],[Level 2]]=Transactions[[#This Row],[L4N]],Transactions[[#This Row],[L3N]],IF(Transactions[[#This Row],[Level 2]]=Transactions[[#This Row],[L5N]],Transactions[[#This Row],[L4N]],IF(Transactions[[#This Row],[Level 2]]=Transactions[[#This Row],[L6N]],Transactions[[#This Row],[L5N]],IF(Transactions[[#This Row],[Level 2]]=Transactions[[#This Row],[L7N]],Transactions[[#This Row],[L6N]],Transactions[[#This Row],[L7N]]))))))))</f>
        <v>Heat plants - chemical heat/sources</v>
      </c>
      <c r="AV458" s="24" t="str">
        <f>IF(Transactions[[#This Row],[Level 3]]=Transactions[[#This Row],[Transaction name]],Transactions[[#This Row],[Transaction name]],IF(Transactions[[#This Row],[Level 3]]=Transactions[[#This Row],[L1N]],Transactions[[#This Row],[Transaction name]],IF(Transactions[[#This Row],[Level 3]]=Transactions[[#This Row],[L2N]],Transactions[[#This Row],[L1N]],IF(Transactions[[#This Row],[Level 3]]=Transactions[[#This Row],[L3N]],Transactions[[#This Row],[L2N]],IF(Transactions[[#This Row],[Level 3]]=Transactions[[#This Row],[L4N]],Transactions[[#This Row],[L3N]],IF(Transactions[[#This Row],[Level 3]]=Transactions[[#This Row],[L5N]],Transactions[[#This Row],[L4N]],IF(Transactions[[#This Row],[Level 3]]=Transactions[[#This Row],[L6N]],Transactions[[#This Row],[L5N]],IF(Transactions[[#This Row],[Level 3]]=Transactions[[#This Row],[L7N]],Transactions[[#This Row],[L6N]],Transactions[[#This Row],[L7N]]))))))))</f>
        <v>Heat plants - Autoproducer - chemical heat/sources</v>
      </c>
      <c r="AW458" s="24" t="str">
        <f>IF(Transactions[[#This Row],[Level 4]]=Transactions[[#This Row],[Transaction name]],Transactions[[#This Row],[Transaction name]],IF(Transactions[[#This Row],[Level 4]]=Transactions[[#This Row],[L1N]],Transactions[[#This Row],[Transaction name]],IF(Transactions[[#This Row],[Level 4]]=Transactions[[#This Row],[L2N]],Transactions[[#This Row],[L1N]],IF(Transactions[[#This Row],[Level 4]]=Transactions[[#This Row],[L3N]],Transactions[[#This Row],[L2N]],IF(Transactions[[#This Row],[Level 4]]=Transactions[[#This Row],[L4N]],Transactions[[#This Row],[L3N]],IF(Transactions[[#This Row],[Level 4]]=Transactions[[#This Row],[L5N]],Transactions[[#This Row],[L4N]],IF(Transactions[[#This Row],[Level 4]]=Transactions[[#This Row],[L6N]],Transactions[[#This Row],[L5N]],IF(Transactions[[#This Row],[Level 4]]=Transactions[[#This Row],[L7N]],Transactions[[#This Row],[L6N]],Transactions[[#This Row],[L7N]]))))))))</f>
        <v>Heat plants - Autoproducer - chemical heat/sources</v>
      </c>
      <c r="AX458" s="24" t="str">
        <f>IF(Transactions[[#This Row],[Level 5]]=Transactions[[#This Row],[Transaction name]],Transactions[[#This Row],[Transaction name]],IF(Transactions[[#This Row],[Level 5]]=Transactions[[#This Row],[L1N]],Transactions[[#This Row],[Transaction name]],IF(Transactions[[#This Row],[Level 5]]=Transactions[[#This Row],[L2N]],Transactions[[#This Row],[L1N]],IF(Transactions[[#This Row],[Level 5]]=Transactions[[#This Row],[L3N]],Transactions[[#This Row],[L2N]],IF(Transactions[[#This Row],[Level 5]]=Transactions[[#This Row],[L4N]],Transactions[[#This Row],[L3N]],IF(Transactions[[#This Row],[Level 5]]=Transactions[[#This Row],[L5N]],Transactions[[#This Row],[L4N]],IF(Transactions[[#This Row],[Level 5]]=Transactions[[#This Row],[L6N]],Transactions[[#This Row],[L5N]],IF(Transactions[[#This Row],[Level 5]]=Transactions[[#This Row],[L7N]],Transactions[[#This Row],[L6N]],Transactions[[#This Row],[L7N]]))))))))</f>
        <v>Heat plants - Autoproducer - chemical heat/sources</v>
      </c>
      <c r="AY458" s="24" t="str">
        <f>IF(Transactions[[#This Row],[Level 6]]=Transactions[[#This Row],[Transaction name]],Transactions[[#This Row],[Transaction name]],IF(Transactions[[#This Row],[Level 6]]=Transactions[[#This Row],[L1N]],Transactions[[#This Row],[Transaction name]],IF(Transactions[[#This Row],[Level 6]]=Transactions[[#This Row],[L2N]],Transactions[[#This Row],[L1N]],IF(Transactions[[#This Row],[Level 6]]=Transactions[[#This Row],[L3N]],Transactions[[#This Row],[L2N]],IF(Transactions[[#This Row],[Level 6]]=Transactions[[#This Row],[L4N]],Transactions[[#This Row],[L3N]],IF(Transactions[[#This Row],[Level 6]]=Transactions[[#This Row],[L5N]],Transactions[[#This Row],[L4N]],IF(Transactions[[#This Row],[Level 6]]=Transactions[[#This Row],[L6N]],Transactions[[#This Row],[L5N]],IF(Transactions[[#This Row],[Level 6]]=Transactions[[#This Row],[L7N]],Transactions[[#This Row],[L6N]],Transactions[[#This Row],[L7N]]))))))))</f>
        <v>Heat plants - Autoproducer - chemical heat/sources</v>
      </c>
      <c r="BE458" s="26" t="str">
        <f>_xlfn.XLOOKUP(Transformation[[#This Row],[cfrom]],Commodities[Commodity],Commodities[Commodity code])</f>
        <v>5232</v>
      </c>
      <c r="BF458" s="26" t="str">
        <f>_xlfn.XLOOKUP(Transformation[[#This Row],[tfrom]],Transactions[Transaction name],Transactions[Transaction code])</f>
        <v>01</v>
      </c>
      <c r="BG458" s="26" t="str">
        <f>_xlfn.XLOOKUP(Transformation[[#This Row],[cto]],Commodities[Commodity],Commodities[Commodity code])</f>
        <v>5232</v>
      </c>
      <c r="BH458" s="26" t="str">
        <f>_xlfn.XLOOKUP(Transformation[[#This Row],[tto]],Transactions[Transaction name],Transactions[Transaction code])</f>
        <v>01</v>
      </c>
      <c r="BI458" s="32">
        <v>-1</v>
      </c>
      <c r="BJ458" s="22" t="s">
        <v>306</v>
      </c>
      <c r="BK458" s="26" t="str">
        <f>_xlfn.XLOOKUP(Transformation[[#This Row],[Commodity from]],Commodities[Commodity code],Commodities[EnergyCode])</f>
        <v>ZJ</v>
      </c>
      <c r="BL458" s="22" t="s">
        <v>383</v>
      </c>
      <c r="BM458" s="22" t="s">
        <v>306</v>
      </c>
      <c r="BN458" s="26" t="str">
        <f>_xlfn.XLOOKUP(Transformation[[#This Row],[Commodity to]],Commodities[Commodity code],Commodities[EnergyCode])</f>
        <v>ZJ</v>
      </c>
      <c r="BO458" s="22" t="s">
        <v>383</v>
      </c>
      <c r="BP458" s="22" t="s">
        <v>1633</v>
      </c>
      <c r="BQ458" s="33" t="str">
        <f>Transformation[[#This Row],[Commodity from]]&amp;Transformation[[#This Row],[Transaction from]]&amp;Transformation[[#This Row],[Commodity to]]&amp;Transformation[[#This Row],[Transaction to]]</f>
        <v>523201523201</v>
      </c>
      <c r="BR458" s="26" t="str">
        <f>Transformation[[#This Row],[crfomid]]&amp;Transformation[[#This Row],[Transaction from]]&amp;"("&amp;Transformation[[#This Row],[Multiplier]]&amp;") -&gt; "&amp;Transformation[[#This Row],[ctoid]]&amp;Transformation[[#This Row],[Transaction to]]</f>
        <v>ZJ01(-1) -&gt; ZJ01</v>
      </c>
    </row>
    <row r="459" spans="25:70" x14ac:dyDescent="0.45">
      <c r="Y459" s="19" t="s">
        <v>1667</v>
      </c>
      <c r="Z459" s="20" t="s">
        <v>1668</v>
      </c>
      <c r="AA459" s="4" t="s">
        <v>1318</v>
      </c>
      <c r="AB459" s="19" t="s">
        <v>1565</v>
      </c>
      <c r="AC459" s="24" t="str">
        <f>IFERROR(VLOOKUP(Transactions[[#This Row],[Parent code]],Transactions[[Transaction code]:[Transaction name]],2,0),"")</f>
        <v>Heat plants - chemical heat/sources</v>
      </c>
      <c r="AD459" s="4" t="s">
        <v>189</v>
      </c>
      <c r="AE459" s="4" t="s">
        <v>924</v>
      </c>
      <c r="AF459" s="4" t="s">
        <v>642</v>
      </c>
      <c r="AG459" s="4" t="s">
        <v>1</v>
      </c>
      <c r="AH459" s="4" t="s">
        <v>696</v>
      </c>
      <c r="AK459" s="24" t="str" cm="1">
        <f t="array" ref="AK459">IFERROR(INDEX(Transactions[[Transaction code]:[Transaction name]],_xlfn.XMATCH(Transactions[[#This Row],[Parent code]],Transactions[Transaction name],0),3),Transactions[[#This Row],[Transaction name]])</f>
        <v>Heat plants - Main activity - chemical heat/sources</v>
      </c>
      <c r="AL459" s="24" t="str" cm="1">
        <f t="array" ref="AL459">IFERROR(INDEX(Transactions[[Transaction code]:[Transaction name]],_xlfn.XMATCH(INDEX(Transactions[[Transaction name]:[Parent code]],_xlfn.XMATCH(Transactions[[#This Row],[L1N]],Transactions[Transaction name],0),3),Transactions[Transaction code],0),2),Transactions[[#This Row],[L1N]])</f>
        <v>Heat plants - chemical heat/sources</v>
      </c>
      <c r="AM459" s="24" t="str" cm="1">
        <f t="array" ref="AM459">IFERROR(INDEX(Transactions[[Transaction code]:[Transaction name]],_xlfn.XMATCH(INDEX(Transactions[[Transaction name]:[Parent code]],_xlfn.XMATCH(Transactions[[#This Row],[L2N]],Transactions[Transaction name],0),3),Transactions[Transaction code],0),2),Transactions[[#This Row],[L2N]])</f>
        <v>Heat plants</v>
      </c>
      <c r="AN459" s="24" t="str" cm="1">
        <f t="array" ref="AN459">IFERROR(INDEX(Transactions[[Transaction code]:[Transaction name]],_xlfn.XMATCH(INDEX(Transactions[[Transaction name]:[Parent code]],_xlfn.XMATCH(Transactions[[#This Row],[L3N]],Transactions[Transaction name],0),3),Transactions[Transaction code],0),2),Transactions[[#This Row],[L3N]])</f>
        <v>Electricity, CHP and heat plants (T)</v>
      </c>
      <c r="AO459" s="24" t="str" cm="1">
        <f t="array" ref="AO459">IFERROR(INDEX(Transactions[[Transaction code]:[Transaction name]],_xlfn.XMATCH(INDEX(Transactions[[Transaction name]:[Parent code]],_xlfn.XMATCH(Transactions[[#This Row],[L4N]],Transactions[Transaction name],0),3),Transactions[Transaction code],0),2),Transactions[[#This Row],[L4N]])</f>
        <v>Transformation</v>
      </c>
      <c r="AP459" s="24" t="str" cm="1">
        <f t="array" ref="AP459">IFERROR(INDEX(Transactions[[Transaction code]:[Transaction name]],_xlfn.XMATCH(INDEX(Transactions[[Transaction name]:[Parent code]],_xlfn.XMATCH(Transactions[[#This Row],[L5N]],Transactions[Transaction name],0),3),Transactions[Transaction code],0),2),Transactions[[#This Row],[L5N]])</f>
        <v>Transformation</v>
      </c>
      <c r="AQ459" s="24" t="str" cm="1">
        <f t="array" ref="AQ459">IFERROR(INDEX(Transactions[[Transaction code]:[Transaction name]],_xlfn.XMATCH(INDEX(Transactions[[Transaction name]:[Parent code]],_xlfn.XMATCH(Transactions[[#This Row],[L6N]],Transactions[Transaction name],0),3),Transactions[Transaction code],0),2),Transactions[[#This Row],[L6N]])</f>
        <v>Transformation</v>
      </c>
      <c r="AR459" s="27" t="str">
        <f>IF(Transactions[[#This Row],[L7N]]=Transactions[[#This Row],[L6N]],Transactions[[#This Row],[L7N]],IF(Transactions[[#This Row],[L6N]]=Transactions[[#This Row],[L5N]],Transactions[[#This Row],[L6N]],IF(Transactions[[#This Row],[L5N]]=Transactions[[#This Row],[L4N]],Transactions[[#This Row],[L5N]],IF(Transactions[[#This Row],[L4N]]=Transactions[[#This Row],[L3N]],Transactions[[#This Row],[L4N]],IF(Transactions[[#This Row],[L3N]]=Transactions[[#This Row],[L2N]],Transactions[[#This Row],[L3N]],IF(Transactions[[#This Row],[L2N]]=Transactions[[#This Row],[L1N]],Transactions[[#This Row],[L2N]],IF(Transactions[[#This Row],[L1N]]=Transactions[[#This Row],[Transaction name]],Transactions[[#This Row],[L1N]],Transactions[[#This Row],[Transaction name]])))))))</f>
        <v>Transformation</v>
      </c>
      <c r="AS459" s="24" t="str">
        <f>IF(Transactions[[#This Row],[Level 0]]=Transactions[[#This Row],[Transaction name]],Transactions[[#This Row],[Transaction name]],IF(Transactions[[#This Row],[Level 0]]=Transactions[[#This Row],[L1N]],Transactions[[#This Row],[Transaction name]],IF(Transactions[[#This Row],[Level 0]]=Transactions[[#This Row],[L2N]],Transactions[[#This Row],[L1N]],IF(Transactions[[#This Row],[Level 0]]=Transactions[[#This Row],[L3N]],Transactions[[#This Row],[L2N]],IF(Transactions[[#This Row],[Level 0]]=Transactions[[#This Row],[L4N]],Transactions[[#This Row],[L3N]],IF(Transactions[[#This Row],[Level 0]]=Transactions[[#This Row],[L5N]],Transactions[[#This Row],[L4N]],IF(Transactions[[#This Row],[Level 0]]=Transactions[[#This Row],[L6N]],Transactions[[#This Row],[L5N]],IF(Transactions[[#This Row],[Level 0]]=Transactions[[#This Row],[L7N]],Transactions[[#This Row],[L6N]],Transactions[[#This Row],[L7N]]))))))))</f>
        <v>Electricity, CHP and heat plants (T)</v>
      </c>
      <c r="AT459" s="24" t="str">
        <f>IF(Transactions[[#This Row],[Level 1]]=Transactions[[#This Row],[Transaction name]],Transactions[[#This Row],[Transaction name]],IF(Transactions[[#This Row],[Level 1]]=Transactions[[#This Row],[L1N]],Transactions[[#This Row],[Transaction name]],IF(Transactions[[#This Row],[Level 1]]=Transactions[[#This Row],[L2N]],Transactions[[#This Row],[L1N]],IF(Transactions[[#This Row],[Level 1]]=Transactions[[#This Row],[L3N]],Transactions[[#This Row],[L2N]],IF(Transactions[[#This Row],[Level 1]]=Transactions[[#This Row],[L4N]],Transactions[[#This Row],[L3N]],IF(Transactions[[#This Row],[Level 1]]=Transactions[[#This Row],[L5N]],Transactions[[#This Row],[L4N]],IF(Transactions[[#This Row],[Level 1]]=Transactions[[#This Row],[L6N]],Transactions[[#This Row],[L5N]],IF(Transactions[[#This Row],[Level 1]]=Transactions[[#This Row],[L7N]],Transactions[[#This Row],[L6N]],Transactions[[#This Row],[L7N]]))))))))</f>
        <v>Heat plants</v>
      </c>
      <c r="AU459" s="24" t="str">
        <f>IF(Transactions[[#This Row],[Level 2]]=Transactions[[#This Row],[Transaction name]],Transactions[[#This Row],[Transaction name]],IF(Transactions[[#This Row],[Level 2]]=Transactions[[#This Row],[L1N]],Transactions[[#This Row],[Transaction name]],IF(Transactions[[#This Row],[Level 2]]=Transactions[[#This Row],[L2N]],Transactions[[#This Row],[L1N]],IF(Transactions[[#This Row],[Level 2]]=Transactions[[#This Row],[L3N]],Transactions[[#This Row],[L2N]],IF(Transactions[[#This Row],[Level 2]]=Transactions[[#This Row],[L4N]],Transactions[[#This Row],[L3N]],IF(Transactions[[#This Row],[Level 2]]=Transactions[[#This Row],[L5N]],Transactions[[#This Row],[L4N]],IF(Transactions[[#This Row],[Level 2]]=Transactions[[#This Row],[L6N]],Transactions[[#This Row],[L5N]],IF(Transactions[[#This Row],[Level 2]]=Transactions[[#This Row],[L7N]],Transactions[[#This Row],[L6N]],Transactions[[#This Row],[L7N]]))))))))</f>
        <v>Heat plants - chemical heat/sources</v>
      </c>
      <c r="AV459" s="24" t="str">
        <f>IF(Transactions[[#This Row],[Level 3]]=Transactions[[#This Row],[Transaction name]],Transactions[[#This Row],[Transaction name]],IF(Transactions[[#This Row],[Level 3]]=Transactions[[#This Row],[L1N]],Transactions[[#This Row],[Transaction name]],IF(Transactions[[#This Row],[Level 3]]=Transactions[[#This Row],[L2N]],Transactions[[#This Row],[L1N]],IF(Transactions[[#This Row],[Level 3]]=Transactions[[#This Row],[L3N]],Transactions[[#This Row],[L2N]],IF(Transactions[[#This Row],[Level 3]]=Transactions[[#This Row],[L4N]],Transactions[[#This Row],[L3N]],IF(Transactions[[#This Row],[Level 3]]=Transactions[[#This Row],[L5N]],Transactions[[#This Row],[L4N]],IF(Transactions[[#This Row],[Level 3]]=Transactions[[#This Row],[L6N]],Transactions[[#This Row],[L5N]],IF(Transactions[[#This Row],[Level 3]]=Transactions[[#This Row],[L7N]],Transactions[[#This Row],[L6N]],Transactions[[#This Row],[L7N]]))))))))</f>
        <v>Heat plants - Main activity - chemical heat/sources</v>
      </c>
      <c r="AW459" s="24" t="str">
        <f>IF(Transactions[[#This Row],[Level 4]]=Transactions[[#This Row],[Transaction name]],Transactions[[#This Row],[Transaction name]],IF(Transactions[[#This Row],[Level 4]]=Transactions[[#This Row],[L1N]],Transactions[[#This Row],[Transaction name]],IF(Transactions[[#This Row],[Level 4]]=Transactions[[#This Row],[L2N]],Transactions[[#This Row],[L1N]],IF(Transactions[[#This Row],[Level 4]]=Transactions[[#This Row],[L3N]],Transactions[[#This Row],[L2N]],IF(Transactions[[#This Row],[Level 4]]=Transactions[[#This Row],[L4N]],Transactions[[#This Row],[L3N]],IF(Transactions[[#This Row],[Level 4]]=Transactions[[#This Row],[L5N]],Transactions[[#This Row],[L4N]],IF(Transactions[[#This Row],[Level 4]]=Transactions[[#This Row],[L6N]],Transactions[[#This Row],[L5N]],IF(Transactions[[#This Row],[Level 4]]=Transactions[[#This Row],[L7N]],Transactions[[#This Row],[L6N]],Transactions[[#This Row],[L7N]]))))))))</f>
        <v>Heat plants - Main activity - chemical heat/sources</v>
      </c>
      <c r="AX459" s="24" t="str">
        <f>IF(Transactions[[#This Row],[Level 5]]=Transactions[[#This Row],[Transaction name]],Transactions[[#This Row],[Transaction name]],IF(Transactions[[#This Row],[Level 5]]=Transactions[[#This Row],[L1N]],Transactions[[#This Row],[Transaction name]],IF(Transactions[[#This Row],[Level 5]]=Transactions[[#This Row],[L2N]],Transactions[[#This Row],[L1N]],IF(Transactions[[#This Row],[Level 5]]=Transactions[[#This Row],[L3N]],Transactions[[#This Row],[L2N]],IF(Transactions[[#This Row],[Level 5]]=Transactions[[#This Row],[L4N]],Transactions[[#This Row],[L3N]],IF(Transactions[[#This Row],[Level 5]]=Transactions[[#This Row],[L5N]],Transactions[[#This Row],[L4N]],IF(Transactions[[#This Row],[Level 5]]=Transactions[[#This Row],[L6N]],Transactions[[#This Row],[L5N]],IF(Transactions[[#This Row],[Level 5]]=Transactions[[#This Row],[L7N]],Transactions[[#This Row],[L6N]],Transactions[[#This Row],[L7N]]))))))))</f>
        <v>Heat plants - Main activity - chemical heat/sources</v>
      </c>
      <c r="AY459" s="24" t="str">
        <f>IF(Transactions[[#This Row],[Level 6]]=Transactions[[#This Row],[Transaction name]],Transactions[[#This Row],[Transaction name]],IF(Transactions[[#This Row],[Level 6]]=Transactions[[#This Row],[L1N]],Transactions[[#This Row],[Transaction name]],IF(Transactions[[#This Row],[Level 6]]=Transactions[[#This Row],[L2N]],Transactions[[#This Row],[L1N]],IF(Transactions[[#This Row],[Level 6]]=Transactions[[#This Row],[L3N]],Transactions[[#This Row],[L2N]],IF(Transactions[[#This Row],[Level 6]]=Transactions[[#This Row],[L4N]],Transactions[[#This Row],[L3N]],IF(Transactions[[#This Row],[Level 6]]=Transactions[[#This Row],[L5N]],Transactions[[#This Row],[L4N]],IF(Transactions[[#This Row],[Level 6]]=Transactions[[#This Row],[L6N]],Transactions[[#This Row],[L5N]],IF(Transactions[[#This Row],[Level 6]]=Transactions[[#This Row],[L7N]],Transactions[[#This Row],[L6N]],Transactions[[#This Row],[L7N]]))))))))</f>
        <v>Heat plants - Main activity - chemical heat/sources</v>
      </c>
      <c r="BE459" s="26" t="str">
        <f>_xlfn.XLOOKUP(Transformation[[#This Row],[cfrom]],Commodities[Commodity],Commodities[Commodity code])</f>
        <v>7000G</v>
      </c>
      <c r="BF459" s="26" t="str">
        <f>_xlfn.XLOOKUP(Transformation[[#This Row],[tfrom]],Transactions[Transaction name],Transactions[Transaction code])</f>
        <v>01</v>
      </c>
      <c r="BG459" s="26" t="str">
        <f>_xlfn.XLOOKUP(Transformation[[#This Row],[cto]],Commodities[Commodity],Commodities[Commodity code])</f>
        <v>7000G</v>
      </c>
      <c r="BH459" s="26" t="str">
        <f>_xlfn.XLOOKUP(Transformation[[#This Row],[tto]],Transactions[Transaction name],Transactions[Transaction code])</f>
        <v>01</v>
      </c>
      <c r="BI459" s="32">
        <v>-1</v>
      </c>
      <c r="BJ459" s="22" t="s">
        <v>284</v>
      </c>
      <c r="BK459" s="26" t="str">
        <f>_xlfn.XLOOKUP(Transformation[[#This Row],[Commodity from]],Commodities[Commodity code],Commodities[EnergyCode])</f>
        <v>EG</v>
      </c>
      <c r="BL459" s="22" t="s">
        <v>383</v>
      </c>
      <c r="BM459" s="22" t="s">
        <v>284</v>
      </c>
      <c r="BN459" s="26" t="str">
        <f>_xlfn.XLOOKUP(Transformation[[#This Row],[Commodity to]],Commodities[Commodity code],Commodities[EnergyCode])</f>
        <v>EG</v>
      </c>
      <c r="BO459" s="22" t="s">
        <v>383</v>
      </c>
      <c r="BP459" s="22" t="s">
        <v>1695</v>
      </c>
      <c r="BQ459" s="33" t="str">
        <f>Transformation[[#This Row],[Commodity from]]&amp;Transformation[[#This Row],[Transaction from]]&amp;Transformation[[#This Row],[Commodity to]]&amp;Transformation[[#This Row],[Transaction to]]</f>
        <v>7000G017000G01</v>
      </c>
      <c r="BR459" s="26" t="str">
        <f>Transformation[[#This Row],[crfomid]]&amp;Transformation[[#This Row],[Transaction from]]&amp;"("&amp;Transformation[[#This Row],[Multiplier]]&amp;") -&gt; "&amp;Transformation[[#This Row],[ctoid]]&amp;Transformation[[#This Row],[Transaction to]]</f>
        <v>EG01(-1) -&gt; EG01</v>
      </c>
    </row>
    <row r="460" spans="25:70" x14ac:dyDescent="0.45">
      <c r="Y460" s="19" t="s">
        <v>1565</v>
      </c>
      <c r="Z460" s="18" t="s">
        <v>1318</v>
      </c>
      <c r="AA460" s="18" t="s">
        <v>1318</v>
      </c>
      <c r="AB460" s="19" t="s">
        <v>1574</v>
      </c>
      <c r="AC460" s="26" t="str">
        <f>IFERROR(VLOOKUP(Transactions[[#This Row],[Parent code]],Transactions[[Transaction code]:[Transaction name]],2,0),"")</f>
        <v>Heat plants</v>
      </c>
      <c r="AD460" s="18" t="s">
        <v>189</v>
      </c>
      <c r="AE460" s="18" t="s">
        <v>924</v>
      </c>
      <c r="AF460" s="18" t="s">
        <v>642</v>
      </c>
      <c r="AG460" s="18" t="s">
        <v>1</v>
      </c>
      <c r="AH460" s="18" t="s">
        <v>696</v>
      </c>
      <c r="AI460" s="18"/>
      <c r="AJ460" s="18"/>
      <c r="AK460" s="26" t="str" cm="1">
        <f t="array" ref="AK460">IFERROR(INDEX(Transactions[[Transaction code]:[Transaction name]],_xlfn.XMATCH(Transactions[[#This Row],[Parent code]],Transactions[Transaction name],0),3),Transactions[[#This Row],[Transaction name]])</f>
        <v>Heat plants - chemical heat/sources</v>
      </c>
      <c r="AL460" s="26" t="str" cm="1">
        <f t="array" ref="AL460">IFERROR(INDEX(Transactions[[Transaction code]:[Transaction name]],_xlfn.XMATCH(INDEX(Transactions[[Transaction name]:[Parent code]],_xlfn.XMATCH(Transactions[[#This Row],[L1N]],Transactions[Transaction name],0),3),Transactions[Transaction code],0),2),Transactions[[#This Row],[L1N]])</f>
        <v>Heat plants</v>
      </c>
      <c r="AM460" s="26" t="str" cm="1">
        <f t="array" ref="AM460">IFERROR(INDEX(Transactions[[Transaction code]:[Transaction name]],_xlfn.XMATCH(INDEX(Transactions[[Transaction name]:[Parent code]],_xlfn.XMATCH(Transactions[[#This Row],[L2N]],Transactions[Transaction name],0),3),Transactions[Transaction code],0),2),Transactions[[#This Row],[L2N]])</f>
        <v>Electricity, CHP and heat plants (T)</v>
      </c>
      <c r="AN460" s="26" t="str" cm="1">
        <f t="array" ref="AN460">IFERROR(INDEX(Transactions[[Transaction code]:[Transaction name]],_xlfn.XMATCH(INDEX(Transactions[[Transaction name]:[Parent code]],_xlfn.XMATCH(Transactions[[#This Row],[L3N]],Transactions[Transaction name],0),3),Transactions[Transaction code],0),2),Transactions[[#This Row],[L3N]])</f>
        <v>Transformation</v>
      </c>
      <c r="AO460" s="26" t="str" cm="1">
        <f t="array" ref="AO460">IFERROR(INDEX(Transactions[[Transaction code]:[Transaction name]],_xlfn.XMATCH(INDEX(Transactions[[Transaction name]:[Parent code]],_xlfn.XMATCH(Transactions[[#This Row],[L4N]],Transactions[Transaction name],0),3),Transactions[Transaction code],0),2),Transactions[[#This Row],[L4N]])</f>
        <v>Transformation</v>
      </c>
      <c r="AP460" s="26" t="str" cm="1">
        <f t="array" ref="AP460">IFERROR(INDEX(Transactions[[Transaction code]:[Transaction name]],_xlfn.XMATCH(INDEX(Transactions[[Transaction name]:[Parent code]],_xlfn.XMATCH(Transactions[[#This Row],[L5N]],Transactions[Transaction name],0),3),Transactions[Transaction code],0),2),Transactions[[#This Row],[L5N]])</f>
        <v>Transformation</v>
      </c>
      <c r="AQ460" s="26" t="str" cm="1">
        <f t="array" ref="AQ460">IFERROR(INDEX(Transactions[[Transaction code]:[Transaction name]],_xlfn.XMATCH(INDEX(Transactions[[Transaction name]:[Parent code]],_xlfn.XMATCH(Transactions[[#This Row],[L6N]],Transactions[Transaction name],0),3),Transactions[Transaction code],0),2),Transactions[[#This Row],[L6N]])</f>
        <v>Transformation</v>
      </c>
      <c r="AR460" s="30" t="str">
        <f>IF(Transactions[[#This Row],[L7N]]=Transactions[[#This Row],[L6N]],Transactions[[#This Row],[L7N]],IF(Transactions[[#This Row],[L6N]]=Transactions[[#This Row],[L5N]],Transactions[[#This Row],[L6N]],IF(Transactions[[#This Row],[L5N]]=Transactions[[#This Row],[L4N]],Transactions[[#This Row],[L5N]],IF(Transactions[[#This Row],[L4N]]=Transactions[[#This Row],[L3N]],Transactions[[#This Row],[L4N]],IF(Transactions[[#This Row],[L3N]]=Transactions[[#This Row],[L2N]],Transactions[[#This Row],[L3N]],IF(Transactions[[#This Row],[L2N]]=Transactions[[#This Row],[L1N]],Transactions[[#This Row],[L2N]],IF(Transactions[[#This Row],[L1N]]=Transactions[[#This Row],[Transaction name]],Transactions[[#This Row],[L1N]],Transactions[[#This Row],[Transaction name]])))))))</f>
        <v>Transformation</v>
      </c>
      <c r="AS460" s="26" t="str">
        <f>IF(Transactions[[#This Row],[Level 0]]=Transactions[[#This Row],[Transaction name]],Transactions[[#This Row],[Transaction name]],IF(Transactions[[#This Row],[Level 0]]=Transactions[[#This Row],[L1N]],Transactions[[#This Row],[Transaction name]],IF(Transactions[[#This Row],[Level 0]]=Transactions[[#This Row],[L2N]],Transactions[[#This Row],[L1N]],IF(Transactions[[#This Row],[Level 0]]=Transactions[[#This Row],[L3N]],Transactions[[#This Row],[L2N]],IF(Transactions[[#This Row],[Level 0]]=Transactions[[#This Row],[L4N]],Transactions[[#This Row],[L3N]],IF(Transactions[[#This Row],[Level 0]]=Transactions[[#This Row],[L5N]],Transactions[[#This Row],[L4N]],IF(Transactions[[#This Row],[Level 0]]=Transactions[[#This Row],[L6N]],Transactions[[#This Row],[L5N]],IF(Transactions[[#This Row],[Level 0]]=Transactions[[#This Row],[L7N]],Transactions[[#This Row],[L6N]],Transactions[[#This Row],[L7N]]))))))))</f>
        <v>Electricity, CHP and heat plants (T)</v>
      </c>
      <c r="AT460" s="26" t="str">
        <f>IF(Transactions[[#This Row],[Level 1]]=Transactions[[#This Row],[Transaction name]],Transactions[[#This Row],[Transaction name]],IF(Transactions[[#This Row],[Level 1]]=Transactions[[#This Row],[L1N]],Transactions[[#This Row],[Transaction name]],IF(Transactions[[#This Row],[Level 1]]=Transactions[[#This Row],[L2N]],Transactions[[#This Row],[L1N]],IF(Transactions[[#This Row],[Level 1]]=Transactions[[#This Row],[L3N]],Transactions[[#This Row],[L2N]],IF(Transactions[[#This Row],[Level 1]]=Transactions[[#This Row],[L4N]],Transactions[[#This Row],[L3N]],IF(Transactions[[#This Row],[Level 1]]=Transactions[[#This Row],[L5N]],Transactions[[#This Row],[L4N]],IF(Transactions[[#This Row],[Level 1]]=Transactions[[#This Row],[L6N]],Transactions[[#This Row],[L5N]],IF(Transactions[[#This Row],[Level 1]]=Transactions[[#This Row],[L7N]],Transactions[[#This Row],[L6N]],Transactions[[#This Row],[L7N]]))))))))</f>
        <v>Heat plants</v>
      </c>
      <c r="AU460" s="26" t="str">
        <f>IF(Transactions[[#This Row],[Level 2]]=Transactions[[#This Row],[Transaction name]],Transactions[[#This Row],[Transaction name]],IF(Transactions[[#This Row],[Level 2]]=Transactions[[#This Row],[L1N]],Transactions[[#This Row],[Transaction name]],IF(Transactions[[#This Row],[Level 2]]=Transactions[[#This Row],[L2N]],Transactions[[#This Row],[L1N]],IF(Transactions[[#This Row],[Level 2]]=Transactions[[#This Row],[L3N]],Transactions[[#This Row],[L2N]],IF(Transactions[[#This Row],[Level 2]]=Transactions[[#This Row],[L4N]],Transactions[[#This Row],[L3N]],IF(Transactions[[#This Row],[Level 2]]=Transactions[[#This Row],[L5N]],Transactions[[#This Row],[L4N]],IF(Transactions[[#This Row],[Level 2]]=Transactions[[#This Row],[L6N]],Transactions[[#This Row],[L5N]],IF(Transactions[[#This Row],[Level 2]]=Transactions[[#This Row],[L7N]],Transactions[[#This Row],[L6N]],Transactions[[#This Row],[L7N]]))))))))</f>
        <v>Heat plants - chemical heat/sources</v>
      </c>
      <c r="AV460" s="26" t="str">
        <f>IF(Transactions[[#This Row],[Level 3]]=Transactions[[#This Row],[Transaction name]],Transactions[[#This Row],[Transaction name]],IF(Transactions[[#This Row],[Level 3]]=Transactions[[#This Row],[L1N]],Transactions[[#This Row],[Transaction name]],IF(Transactions[[#This Row],[Level 3]]=Transactions[[#This Row],[L2N]],Transactions[[#This Row],[L1N]],IF(Transactions[[#This Row],[Level 3]]=Transactions[[#This Row],[L3N]],Transactions[[#This Row],[L2N]],IF(Transactions[[#This Row],[Level 3]]=Transactions[[#This Row],[L4N]],Transactions[[#This Row],[L3N]],IF(Transactions[[#This Row],[Level 3]]=Transactions[[#This Row],[L5N]],Transactions[[#This Row],[L4N]],IF(Transactions[[#This Row],[Level 3]]=Transactions[[#This Row],[L6N]],Transactions[[#This Row],[L5N]],IF(Transactions[[#This Row],[Level 3]]=Transactions[[#This Row],[L7N]],Transactions[[#This Row],[L6N]],Transactions[[#This Row],[L7N]]))))))))</f>
        <v>Heat plants - chemical heat/sources</v>
      </c>
      <c r="AW460" s="26" t="str">
        <f>IF(Transactions[[#This Row],[Level 4]]=Transactions[[#This Row],[Transaction name]],Transactions[[#This Row],[Transaction name]],IF(Transactions[[#This Row],[Level 4]]=Transactions[[#This Row],[L1N]],Transactions[[#This Row],[Transaction name]],IF(Transactions[[#This Row],[Level 4]]=Transactions[[#This Row],[L2N]],Transactions[[#This Row],[L1N]],IF(Transactions[[#This Row],[Level 4]]=Transactions[[#This Row],[L3N]],Transactions[[#This Row],[L2N]],IF(Transactions[[#This Row],[Level 4]]=Transactions[[#This Row],[L4N]],Transactions[[#This Row],[L3N]],IF(Transactions[[#This Row],[Level 4]]=Transactions[[#This Row],[L5N]],Transactions[[#This Row],[L4N]],IF(Transactions[[#This Row],[Level 4]]=Transactions[[#This Row],[L6N]],Transactions[[#This Row],[L5N]],IF(Transactions[[#This Row],[Level 4]]=Transactions[[#This Row],[L7N]],Transactions[[#This Row],[L6N]],Transactions[[#This Row],[L7N]]))))))))</f>
        <v>Heat plants - chemical heat/sources</v>
      </c>
      <c r="AX460" s="26" t="str">
        <f>IF(Transactions[[#This Row],[Level 5]]=Transactions[[#This Row],[Transaction name]],Transactions[[#This Row],[Transaction name]],IF(Transactions[[#This Row],[Level 5]]=Transactions[[#This Row],[L1N]],Transactions[[#This Row],[Transaction name]],IF(Transactions[[#This Row],[Level 5]]=Transactions[[#This Row],[L2N]],Transactions[[#This Row],[L1N]],IF(Transactions[[#This Row],[Level 5]]=Transactions[[#This Row],[L3N]],Transactions[[#This Row],[L2N]],IF(Transactions[[#This Row],[Level 5]]=Transactions[[#This Row],[L4N]],Transactions[[#This Row],[L3N]],IF(Transactions[[#This Row],[Level 5]]=Transactions[[#This Row],[L5N]],Transactions[[#This Row],[L4N]],IF(Transactions[[#This Row],[Level 5]]=Transactions[[#This Row],[L6N]],Transactions[[#This Row],[L5N]],IF(Transactions[[#This Row],[Level 5]]=Transactions[[#This Row],[L7N]],Transactions[[#This Row],[L6N]],Transactions[[#This Row],[L7N]]))))))))</f>
        <v>Heat plants - chemical heat/sources</v>
      </c>
      <c r="AY460" s="26" t="str">
        <f>IF(Transactions[[#This Row],[Level 6]]=Transactions[[#This Row],[Transaction name]],Transactions[[#This Row],[Transaction name]],IF(Transactions[[#This Row],[Level 6]]=Transactions[[#This Row],[L1N]],Transactions[[#This Row],[Transaction name]],IF(Transactions[[#This Row],[Level 6]]=Transactions[[#This Row],[L2N]],Transactions[[#This Row],[L1N]],IF(Transactions[[#This Row],[Level 6]]=Transactions[[#This Row],[L3N]],Transactions[[#This Row],[L2N]],IF(Transactions[[#This Row],[Level 6]]=Transactions[[#This Row],[L4N]],Transactions[[#This Row],[L3N]],IF(Transactions[[#This Row],[Level 6]]=Transactions[[#This Row],[L5N]],Transactions[[#This Row],[L4N]],IF(Transactions[[#This Row],[Level 6]]=Transactions[[#This Row],[L6N]],Transactions[[#This Row],[L5N]],IF(Transactions[[#This Row],[Level 6]]=Transactions[[#This Row],[L7N]],Transactions[[#This Row],[L6N]],Transactions[[#This Row],[L7N]]))))))))</f>
        <v>Heat plants - chemical heat/sources</v>
      </c>
      <c r="BE460" s="26" t="str">
        <f>_xlfn.XLOOKUP(Transformation[[#This Row],[cfrom]],Commodities[Commodity],Commodities[Commodity code])</f>
        <v>8000</v>
      </c>
      <c r="BF460" s="26" t="str">
        <f>_xlfn.XLOOKUP(Transformation[[#This Row],[tfrom]],Transactions[Transaction name],Transactions[Transaction code])</f>
        <v>016GH</v>
      </c>
      <c r="BG460" s="26" t="str">
        <f>_xlfn.XLOOKUP(Transformation[[#This Row],[cto]],Commodities[Commodity],Commodities[Commodity code])</f>
        <v>8000</v>
      </c>
      <c r="BH460" s="26" t="str">
        <f>_xlfn.XLOOKUP(Transformation[[#This Row],[tto]],Transactions[Transaction name],Transactions[Transaction code])</f>
        <v>016GH</v>
      </c>
      <c r="BI460" s="31">
        <v>-2</v>
      </c>
      <c r="BJ460" s="22" t="s">
        <v>262</v>
      </c>
      <c r="BK460" s="26" t="str">
        <f>_xlfn.XLOOKUP(Transformation[[#This Row],[Commodity from]],Commodities[Commodity code],Commodities[EnergyCode])</f>
        <v>ST</v>
      </c>
      <c r="BL460" s="22" t="s">
        <v>677</v>
      </c>
      <c r="BM460" s="22" t="s">
        <v>262</v>
      </c>
      <c r="BN460" s="26" t="str">
        <f>_xlfn.XLOOKUP(Transformation[[#This Row],[Commodity to]],Commodities[Commodity code],Commodities[EnergyCode])</f>
        <v>ST</v>
      </c>
      <c r="BO460" s="22" t="s">
        <v>677</v>
      </c>
      <c r="BP460" s="22" t="s">
        <v>1696</v>
      </c>
      <c r="BQ460" s="33" t="str">
        <f>Transformation[[#This Row],[Commodity from]]&amp;Transformation[[#This Row],[Transaction from]]&amp;Transformation[[#This Row],[Commodity to]]&amp;Transformation[[#This Row],[Transaction to]]</f>
        <v>8000016GH8000016GH</v>
      </c>
      <c r="BR460" s="26" t="str">
        <f>Transformation[[#This Row],[crfomid]]&amp;Transformation[[#This Row],[Transaction from]]&amp;"("&amp;Transformation[[#This Row],[Multiplier]]&amp;") -&gt; "&amp;Transformation[[#This Row],[ctoid]]&amp;Transformation[[#This Row],[Transaction to]]</f>
        <v>ST016GH(-2) -&gt; ST016GH</v>
      </c>
    </row>
    <row r="461" spans="25:70" x14ac:dyDescent="0.45">
      <c r="Y461" s="5" t="s">
        <v>277</v>
      </c>
      <c r="Z461" s="7" t="s">
        <v>676</v>
      </c>
      <c r="AA461" s="4" t="s">
        <v>1310</v>
      </c>
      <c r="AB461" s="19" t="s">
        <v>1557</v>
      </c>
      <c r="AC461" s="24" t="str">
        <f>IFERROR(VLOOKUP(Transactions[[#This Row],[Parent code]],Transactions[[Transaction code]:[Transaction name]],2,0),"")</f>
        <v>Heat plants - combustible fuels</v>
      </c>
      <c r="AD461" s="4" t="s">
        <v>189</v>
      </c>
      <c r="AE461" s="4" t="s">
        <v>924</v>
      </c>
      <c r="AF461" s="4" t="s">
        <v>642</v>
      </c>
      <c r="AG461" s="4" t="s">
        <v>1</v>
      </c>
      <c r="AH461" s="4" t="s">
        <v>696</v>
      </c>
      <c r="AI461" s="12" t="s">
        <v>1416</v>
      </c>
      <c r="AJ461" s="4" t="s">
        <v>0</v>
      </c>
      <c r="AK461" s="24" t="str" cm="1">
        <f t="array" ref="AK461">IFERROR(INDEX(Transactions[[Transaction code]:[Transaction name]],_xlfn.XMATCH(Transactions[[#This Row],[Parent code]],Transactions[Transaction name],0),3),Transactions[[#This Row],[Transaction name]])</f>
        <v>Heat plants - Autoproducer - combustible fuels</v>
      </c>
      <c r="AL461" s="24" t="str" cm="1">
        <f t="array" ref="AL461">IFERROR(INDEX(Transactions[[Transaction code]:[Transaction name]],_xlfn.XMATCH(INDEX(Transactions[[Transaction name]:[Parent code]],_xlfn.XMATCH(Transactions[[#This Row],[L1N]],Transactions[Transaction name],0),3),Transactions[Transaction code],0),2),Transactions[[#This Row],[L1N]])</f>
        <v>Heat plants - combustible fuels</v>
      </c>
      <c r="AM461" s="24" t="str" cm="1">
        <f t="array" ref="AM461">IFERROR(INDEX(Transactions[[Transaction code]:[Transaction name]],_xlfn.XMATCH(INDEX(Transactions[[Transaction name]:[Parent code]],_xlfn.XMATCH(Transactions[[#This Row],[L2N]],Transactions[Transaction name],0),3),Transactions[Transaction code],0),2),Transactions[[#This Row],[L2N]])</f>
        <v>Heat plants</v>
      </c>
      <c r="AN461" s="24" t="str" cm="1">
        <f t="array" ref="AN461">IFERROR(INDEX(Transactions[[Transaction code]:[Transaction name]],_xlfn.XMATCH(INDEX(Transactions[[Transaction name]:[Parent code]],_xlfn.XMATCH(Transactions[[#This Row],[L3N]],Transactions[Transaction name],0),3),Transactions[Transaction code],0),2),Transactions[[#This Row],[L3N]])</f>
        <v>Electricity, CHP and heat plants (T)</v>
      </c>
      <c r="AO461" s="24" t="str" cm="1">
        <f t="array" ref="AO461">IFERROR(INDEX(Transactions[[Transaction code]:[Transaction name]],_xlfn.XMATCH(INDEX(Transactions[[Transaction name]:[Parent code]],_xlfn.XMATCH(Transactions[[#This Row],[L4N]],Transactions[Transaction name],0),3),Transactions[Transaction code],0),2),Transactions[[#This Row],[L4N]])</f>
        <v>Transformation</v>
      </c>
      <c r="AP461" s="24" t="str" cm="1">
        <f t="array" ref="AP461">IFERROR(INDEX(Transactions[[Transaction code]:[Transaction name]],_xlfn.XMATCH(INDEX(Transactions[[Transaction name]:[Parent code]],_xlfn.XMATCH(Transactions[[#This Row],[L5N]],Transactions[Transaction name],0),3),Transactions[Transaction code],0),2),Transactions[[#This Row],[L5N]])</f>
        <v>Transformation</v>
      </c>
      <c r="AQ461" s="24" t="str" cm="1">
        <f t="array" ref="AQ461">IFERROR(INDEX(Transactions[[Transaction code]:[Transaction name]],_xlfn.XMATCH(INDEX(Transactions[[Transaction name]:[Parent code]],_xlfn.XMATCH(Transactions[[#This Row],[L6N]],Transactions[Transaction name],0),3),Transactions[Transaction code],0),2),Transactions[[#This Row],[L6N]])</f>
        <v>Transformation</v>
      </c>
      <c r="AR461" s="27" t="str">
        <f>IF(Transactions[[#This Row],[L7N]]=Transactions[[#This Row],[L6N]],Transactions[[#This Row],[L7N]],IF(Transactions[[#This Row],[L6N]]=Transactions[[#This Row],[L5N]],Transactions[[#This Row],[L6N]],IF(Transactions[[#This Row],[L5N]]=Transactions[[#This Row],[L4N]],Transactions[[#This Row],[L5N]],IF(Transactions[[#This Row],[L4N]]=Transactions[[#This Row],[L3N]],Transactions[[#This Row],[L4N]],IF(Transactions[[#This Row],[L3N]]=Transactions[[#This Row],[L2N]],Transactions[[#This Row],[L3N]],IF(Transactions[[#This Row],[L2N]]=Transactions[[#This Row],[L1N]],Transactions[[#This Row],[L2N]],IF(Transactions[[#This Row],[L1N]]=Transactions[[#This Row],[Transaction name]],Transactions[[#This Row],[L1N]],Transactions[[#This Row],[Transaction name]])))))))</f>
        <v>Transformation</v>
      </c>
      <c r="AS461" s="24" t="str">
        <f>IF(Transactions[[#This Row],[Level 0]]=Transactions[[#This Row],[Transaction name]],Transactions[[#This Row],[Transaction name]],IF(Transactions[[#This Row],[Level 0]]=Transactions[[#This Row],[L1N]],Transactions[[#This Row],[Transaction name]],IF(Transactions[[#This Row],[Level 0]]=Transactions[[#This Row],[L2N]],Transactions[[#This Row],[L1N]],IF(Transactions[[#This Row],[Level 0]]=Transactions[[#This Row],[L3N]],Transactions[[#This Row],[L2N]],IF(Transactions[[#This Row],[Level 0]]=Transactions[[#This Row],[L4N]],Transactions[[#This Row],[L3N]],IF(Transactions[[#This Row],[Level 0]]=Transactions[[#This Row],[L5N]],Transactions[[#This Row],[L4N]],IF(Transactions[[#This Row],[Level 0]]=Transactions[[#This Row],[L6N]],Transactions[[#This Row],[L5N]],IF(Transactions[[#This Row],[Level 0]]=Transactions[[#This Row],[L7N]],Transactions[[#This Row],[L6N]],Transactions[[#This Row],[L7N]]))))))))</f>
        <v>Electricity, CHP and heat plants (T)</v>
      </c>
      <c r="AT461" s="24" t="str">
        <f>IF(Transactions[[#This Row],[Level 1]]=Transactions[[#This Row],[Transaction name]],Transactions[[#This Row],[Transaction name]],IF(Transactions[[#This Row],[Level 1]]=Transactions[[#This Row],[L1N]],Transactions[[#This Row],[Transaction name]],IF(Transactions[[#This Row],[Level 1]]=Transactions[[#This Row],[L2N]],Transactions[[#This Row],[L1N]],IF(Transactions[[#This Row],[Level 1]]=Transactions[[#This Row],[L3N]],Transactions[[#This Row],[L2N]],IF(Transactions[[#This Row],[Level 1]]=Transactions[[#This Row],[L4N]],Transactions[[#This Row],[L3N]],IF(Transactions[[#This Row],[Level 1]]=Transactions[[#This Row],[L5N]],Transactions[[#This Row],[L4N]],IF(Transactions[[#This Row],[Level 1]]=Transactions[[#This Row],[L6N]],Transactions[[#This Row],[L5N]],IF(Transactions[[#This Row],[Level 1]]=Transactions[[#This Row],[L7N]],Transactions[[#This Row],[L6N]],Transactions[[#This Row],[L7N]]))))))))</f>
        <v>Heat plants</v>
      </c>
      <c r="AU461" s="24" t="str">
        <f>IF(Transactions[[#This Row],[Level 2]]=Transactions[[#This Row],[Transaction name]],Transactions[[#This Row],[Transaction name]],IF(Transactions[[#This Row],[Level 2]]=Transactions[[#This Row],[L1N]],Transactions[[#This Row],[Transaction name]],IF(Transactions[[#This Row],[Level 2]]=Transactions[[#This Row],[L2N]],Transactions[[#This Row],[L1N]],IF(Transactions[[#This Row],[Level 2]]=Transactions[[#This Row],[L3N]],Transactions[[#This Row],[L2N]],IF(Transactions[[#This Row],[Level 2]]=Transactions[[#This Row],[L4N]],Transactions[[#This Row],[L3N]],IF(Transactions[[#This Row],[Level 2]]=Transactions[[#This Row],[L5N]],Transactions[[#This Row],[L4N]],IF(Transactions[[#This Row],[Level 2]]=Transactions[[#This Row],[L6N]],Transactions[[#This Row],[L5N]],IF(Transactions[[#This Row],[Level 2]]=Transactions[[#This Row],[L7N]],Transactions[[#This Row],[L6N]],Transactions[[#This Row],[L7N]]))))))))</f>
        <v>Heat plants - combustible fuels</v>
      </c>
      <c r="AV461" s="24" t="str">
        <f>IF(Transactions[[#This Row],[Level 3]]=Transactions[[#This Row],[Transaction name]],Transactions[[#This Row],[Transaction name]],IF(Transactions[[#This Row],[Level 3]]=Transactions[[#This Row],[L1N]],Transactions[[#This Row],[Transaction name]],IF(Transactions[[#This Row],[Level 3]]=Transactions[[#This Row],[L2N]],Transactions[[#This Row],[L1N]],IF(Transactions[[#This Row],[Level 3]]=Transactions[[#This Row],[L3N]],Transactions[[#This Row],[L2N]],IF(Transactions[[#This Row],[Level 3]]=Transactions[[#This Row],[L4N]],Transactions[[#This Row],[L3N]],IF(Transactions[[#This Row],[Level 3]]=Transactions[[#This Row],[L5N]],Transactions[[#This Row],[L4N]],IF(Transactions[[#This Row],[Level 3]]=Transactions[[#This Row],[L6N]],Transactions[[#This Row],[L5N]],IF(Transactions[[#This Row],[Level 3]]=Transactions[[#This Row],[L7N]],Transactions[[#This Row],[L6N]],Transactions[[#This Row],[L7N]]))))))))</f>
        <v>Heat plants - Autoproducer - combustible fuels</v>
      </c>
      <c r="AW461" s="24" t="str">
        <f>IF(Transactions[[#This Row],[Level 4]]=Transactions[[#This Row],[Transaction name]],Transactions[[#This Row],[Transaction name]],IF(Transactions[[#This Row],[Level 4]]=Transactions[[#This Row],[L1N]],Transactions[[#This Row],[Transaction name]],IF(Transactions[[#This Row],[Level 4]]=Transactions[[#This Row],[L2N]],Transactions[[#This Row],[L1N]],IF(Transactions[[#This Row],[Level 4]]=Transactions[[#This Row],[L3N]],Transactions[[#This Row],[L2N]],IF(Transactions[[#This Row],[Level 4]]=Transactions[[#This Row],[L4N]],Transactions[[#This Row],[L3N]],IF(Transactions[[#This Row],[Level 4]]=Transactions[[#This Row],[L5N]],Transactions[[#This Row],[L4N]],IF(Transactions[[#This Row],[Level 4]]=Transactions[[#This Row],[L6N]],Transactions[[#This Row],[L5N]],IF(Transactions[[#This Row],[Level 4]]=Transactions[[#This Row],[L7N]],Transactions[[#This Row],[L6N]],Transactions[[#This Row],[L7N]]))))))))</f>
        <v>Heat plants - Autoproducer - combustible fuels</v>
      </c>
      <c r="AX461" s="24" t="str">
        <f>IF(Transactions[[#This Row],[Level 5]]=Transactions[[#This Row],[Transaction name]],Transactions[[#This Row],[Transaction name]],IF(Transactions[[#This Row],[Level 5]]=Transactions[[#This Row],[L1N]],Transactions[[#This Row],[Transaction name]],IF(Transactions[[#This Row],[Level 5]]=Transactions[[#This Row],[L2N]],Transactions[[#This Row],[L1N]],IF(Transactions[[#This Row],[Level 5]]=Transactions[[#This Row],[L3N]],Transactions[[#This Row],[L2N]],IF(Transactions[[#This Row],[Level 5]]=Transactions[[#This Row],[L4N]],Transactions[[#This Row],[L3N]],IF(Transactions[[#This Row],[Level 5]]=Transactions[[#This Row],[L5N]],Transactions[[#This Row],[L4N]],IF(Transactions[[#This Row],[Level 5]]=Transactions[[#This Row],[L6N]],Transactions[[#This Row],[L5N]],IF(Transactions[[#This Row],[Level 5]]=Transactions[[#This Row],[L7N]],Transactions[[#This Row],[L6N]],Transactions[[#This Row],[L7N]]))))))))</f>
        <v>Heat plants - Autoproducer - combustible fuels</v>
      </c>
      <c r="AY461" s="24" t="str">
        <f>IF(Transactions[[#This Row],[Level 6]]=Transactions[[#This Row],[Transaction name]],Transactions[[#This Row],[Transaction name]],IF(Transactions[[#This Row],[Level 6]]=Transactions[[#This Row],[L1N]],Transactions[[#This Row],[Transaction name]],IF(Transactions[[#This Row],[Level 6]]=Transactions[[#This Row],[L2N]],Transactions[[#This Row],[L1N]],IF(Transactions[[#This Row],[Level 6]]=Transactions[[#This Row],[L3N]],Transactions[[#This Row],[L2N]],IF(Transactions[[#This Row],[Level 6]]=Transactions[[#This Row],[L4N]],Transactions[[#This Row],[L3N]],IF(Transactions[[#This Row],[Level 6]]=Transactions[[#This Row],[L5N]],Transactions[[#This Row],[L4N]],IF(Transactions[[#This Row],[Level 6]]=Transactions[[#This Row],[L6N]],Transactions[[#This Row],[L5N]],IF(Transactions[[#This Row],[Level 6]]=Transactions[[#This Row],[L7N]],Transactions[[#This Row],[L6N]],Transactions[[#This Row],[L7N]]))))))))</f>
        <v>Heat plants - Autoproducer - combustible fuels</v>
      </c>
      <c r="BE461" s="26" t="str">
        <f>_xlfn.XLOOKUP(Transformation[[#This Row],[cfrom]],Commodities[Commodity],Commodities[Commodity code])</f>
        <v>8000</v>
      </c>
      <c r="BF461" s="26" t="str">
        <f>_xlfn.XLOOKUP(Transformation[[#This Row],[tfrom]],Transactions[Transaction name],Transactions[Transaction code])</f>
        <v>015GH</v>
      </c>
      <c r="BG461" s="26" t="str">
        <f>_xlfn.XLOOKUP(Transformation[[#This Row],[cto]],Commodities[Commodity],Commodities[Commodity code])</f>
        <v>8000</v>
      </c>
      <c r="BH461" s="26" t="str">
        <f>_xlfn.XLOOKUP(Transformation[[#This Row],[tto]],Transactions[Transaction name],Transactions[Transaction code])</f>
        <v>015GH</v>
      </c>
      <c r="BI461" s="31">
        <v>-2</v>
      </c>
      <c r="BJ461" s="22" t="s">
        <v>262</v>
      </c>
      <c r="BK461" s="26" t="str">
        <f>_xlfn.XLOOKUP(Transformation[[#This Row],[Commodity from]],Commodities[Commodity code],Commodities[EnergyCode])</f>
        <v>ST</v>
      </c>
      <c r="BL461" s="22" t="s">
        <v>673</v>
      </c>
      <c r="BM461" s="22" t="s">
        <v>262</v>
      </c>
      <c r="BN461" s="26" t="str">
        <f>_xlfn.XLOOKUP(Transformation[[#This Row],[Commodity to]],Commodities[Commodity code],Commodities[EnergyCode])</f>
        <v>ST</v>
      </c>
      <c r="BO461" s="22" t="s">
        <v>673</v>
      </c>
      <c r="BP461" s="22" t="s">
        <v>1696</v>
      </c>
      <c r="BQ461" s="33" t="str">
        <f>Transformation[[#This Row],[Commodity from]]&amp;Transformation[[#This Row],[Transaction from]]&amp;Transformation[[#This Row],[Commodity to]]&amp;Transformation[[#This Row],[Transaction to]]</f>
        <v>8000015GH8000015GH</v>
      </c>
      <c r="BR461" s="26" t="str">
        <f>Transformation[[#This Row],[crfomid]]&amp;Transformation[[#This Row],[Transaction from]]&amp;"("&amp;Transformation[[#This Row],[Multiplier]]&amp;") -&gt; "&amp;Transformation[[#This Row],[ctoid]]&amp;Transformation[[#This Row],[Transaction to]]</f>
        <v>ST015GH(-2) -&gt; ST015GH</v>
      </c>
    </row>
    <row r="462" spans="25:70" x14ac:dyDescent="0.45">
      <c r="Y462" s="19" t="s">
        <v>1557</v>
      </c>
      <c r="Z462" s="18" t="s">
        <v>1310</v>
      </c>
      <c r="AA462" s="18" t="s">
        <v>1310</v>
      </c>
      <c r="AB462" s="19" t="s">
        <v>1574</v>
      </c>
      <c r="AC462" s="26" t="str">
        <f>IFERROR(VLOOKUP(Transactions[[#This Row],[Parent code]],Transactions[[Transaction code]:[Transaction name]],2,0),"")</f>
        <v>Heat plants</v>
      </c>
      <c r="AD462" s="18" t="s">
        <v>189</v>
      </c>
      <c r="AE462" s="18" t="s">
        <v>924</v>
      </c>
      <c r="AF462" s="18" t="s">
        <v>642</v>
      </c>
      <c r="AG462" s="18" t="s">
        <v>1</v>
      </c>
      <c r="AH462" s="18" t="s">
        <v>696</v>
      </c>
      <c r="AI462" s="18" t="s">
        <v>1416</v>
      </c>
      <c r="AJ462" s="4" t="s">
        <v>0</v>
      </c>
      <c r="AK462" s="26" t="str" cm="1">
        <f t="array" ref="AK462">IFERROR(INDEX(Transactions[[Transaction code]:[Transaction name]],_xlfn.XMATCH(Transactions[[#This Row],[Parent code]],Transactions[Transaction name],0),3),Transactions[[#This Row],[Transaction name]])</f>
        <v>Heat plants - combustible fuels</v>
      </c>
      <c r="AL462" s="26" t="str" cm="1">
        <f t="array" ref="AL462">IFERROR(INDEX(Transactions[[Transaction code]:[Transaction name]],_xlfn.XMATCH(INDEX(Transactions[[Transaction name]:[Parent code]],_xlfn.XMATCH(Transactions[[#This Row],[L1N]],Transactions[Transaction name],0),3),Transactions[Transaction code],0),2),Transactions[[#This Row],[L1N]])</f>
        <v>Heat plants</v>
      </c>
      <c r="AM462" s="26" t="str" cm="1">
        <f t="array" ref="AM462">IFERROR(INDEX(Transactions[[Transaction code]:[Transaction name]],_xlfn.XMATCH(INDEX(Transactions[[Transaction name]:[Parent code]],_xlfn.XMATCH(Transactions[[#This Row],[L2N]],Transactions[Transaction name],0),3),Transactions[Transaction code],0),2),Transactions[[#This Row],[L2N]])</f>
        <v>Electricity, CHP and heat plants (T)</v>
      </c>
      <c r="AN462" s="26" t="str" cm="1">
        <f t="array" ref="AN462">IFERROR(INDEX(Transactions[[Transaction code]:[Transaction name]],_xlfn.XMATCH(INDEX(Transactions[[Transaction name]:[Parent code]],_xlfn.XMATCH(Transactions[[#This Row],[L3N]],Transactions[Transaction name],0),3),Transactions[Transaction code],0),2),Transactions[[#This Row],[L3N]])</f>
        <v>Transformation</v>
      </c>
      <c r="AO462" s="26" t="str" cm="1">
        <f t="array" ref="AO462">IFERROR(INDEX(Transactions[[Transaction code]:[Transaction name]],_xlfn.XMATCH(INDEX(Transactions[[Transaction name]:[Parent code]],_xlfn.XMATCH(Transactions[[#This Row],[L4N]],Transactions[Transaction name],0),3),Transactions[Transaction code],0),2),Transactions[[#This Row],[L4N]])</f>
        <v>Transformation</v>
      </c>
      <c r="AP462" s="26" t="str" cm="1">
        <f t="array" ref="AP462">IFERROR(INDEX(Transactions[[Transaction code]:[Transaction name]],_xlfn.XMATCH(INDEX(Transactions[[Transaction name]:[Parent code]],_xlfn.XMATCH(Transactions[[#This Row],[L5N]],Transactions[Transaction name],0),3),Transactions[Transaction code],0),2),Transactions[[#This Row],[L5N]])</f>
        <v>Transformation</v>
      </c>
      <c r="AQ462" s="26" t="str" cm="1">
        <f t="array" ref="AQ462">IFERROR(INDEX(Transactions[[Transaction code]:[Transaction name]],_xlfn.XMATCH(INDEX(Transactions[[Transaction name]:[Parent code]],_xlfn.XMATCH(Transactions[[#This Row],[L6N]],Transactions[Transaction name],0),3),Transactions[Transaction code],0),2),Transactions[[#This Row],[L6N]])</f>
        <v>Transformation</v>
      </c>
      <c r="AR462" s="30" t="str">
        <f>IF(Transactions[[#This Row],[L7N]]=Transactions[[#This Row],[L6N]],Transactions[[#This Row],[L7N]],IF(Transactions[[#This Row],[L6N]]=Transactions[[#This Row],[L5N]],Transactions[[#This Row],[L6N]],IF(Transactions[[#This Row],[L5N]]=Transactions[[#This Row],[L4N]],Transactions[[#This Row],[L5N]],IF(Transactions[[#This Row],[L4N]]=Transactions[[#This Row],[L3N]],Transactions[[#This Row],[L4N]],IF(Transactions[[#This Row],[L3N]]=Transactions[[#This Row],[L2N]],Transactions[[#This Row],[L3N]],IF(Transactions[[#This Row],[L2N]]=Transactions[[#This Row],[L1N]],Transactions[[#This Row],[L2N]],IF(Transactions[[#This Row],[L1N]]=Transactions[[#This Row],[Transaction name]],Transactions[[#This Row],[L1N]],Transactions[[#This Row],[Transaction name]])))))))</f>
        <v>Transformation</v>
      </c>
      <c r="AS462" s="26" t="str">
        <f>IF(Transactions[[#This Row],[Level 0]]=Transactions[[#This Row],[Transaction name]],Transactions[[#This Row],[Transaction name]],IF(Transactions[[#This Row],[Level 0]]=Transactions[[#This Row],[L1N]],Transactions[[#This Row],[Transaction name]],IF(Transactions[[#This Row],[Level 0]]=Transactions[[#This Row],[L2N]],Transactions[[#This Row],[L1N]],IF(Transactions[[#This Row],[Level 0]]=Transactions[[#This Row],[L3N]],Transactions[[#This Row],[L2N]],IF(Transactions[[#This Row],[Level 0]]=Transactions[[#This Row],[L4N]],Transactions[[#This Row],[L3N]],IF(Transactions[[#This Row],[Level 0]]=Transactions[[#This Row],[L5N]],Transactions[[#This Row],[L4N]],IF(Transactions[[#This Row],[Level 0]]=Transactions[[#This Row],[L6N]],Transactions[[#This Row],[L5N]],IF(Transactions[[#This Row],[Level 0]]=Transactions[[#This Row],[L7N]],Transactions[[#This Row],[L6N]],Transactions[[#This Row],[L7N]]))))))))</f>
        <v>Electricity, CHP and heat plants (T)</v>
      </c>
      <c r="AT462" s="26" t="str">
        <f>IF(Transactions[[#This Row],[Level 1]]=Transactions[[#This Row],[Transaction name]],Transactions[[#This Row],[Transaction name]],IF(Transactions[[#This Row],[Level 1]]=Transactions[[#This Row],[L1N]],Transactions[[#This Row],[Transaction name]],IF(Transactions[[#This Row],[Level 1]]=Transactions[[#This Row],[L2N]],Transactions[[#This Row],[L1N]],IF(Transactions[[#This Row],[Level 1]]=Transactions[[#This Row],[L3N]],Transactions[[#This Row],[L2N]],IF(Transactions[[#This Row],[Level 1]]=Transactions[[#This Row],[L4N]],Transactions[[#This Row],[L3N]],IF(Transactions[[#This Row],[Level 1]]=Transactions[[#This Row],[L5N]],Transactions[[#This Row],[L4N]],IF(Transactions[[#This Row],[Level 1]]=Transactions[[#This Row],[L6N]],Transactions[[#This Row],[L5N]],IF(Transactions[[#This Row],[Level 1]]=Transactions[[#This Row],[L7N]],Transactions[[#This Row],[L6N]],Transactions[[#This Row],[L7N]]))))))))</f>
        <v>Heat plants</v>
      </c>
      <c r="AU462" s="26" t="str">
        <f>IF(Transactions[[#This Row],[Level 2]]=Transactions[[#This Row],[Transaction name]],Transactions[[#This Row],[Transaction name]],IF(Transactions[[#This Row],[Level 2]]=Transactions[[#This Row],[L1N]],Transactions[[#This Row],[Transaction name]],IF(Transactions[[#This Row],[Level 2]]=Transactions[[#This Row],[L2N]],Transactions[[#This Row],[L1N]],IF(Transactions[[#This Row],[Level 2]]=Transactions[[#This Row],[L3N]],Transactions[[#This Row],[L2N]],IF(Transactions[[#This Row],[Level 2]]=Transactions[[#This Row],[L4N]],Transactions[[#This Row],[L3N]],IF(Transactions[[#This Row],[Level 2]]=Transactions[[#This Row],[L5N]],Transactions[[#This Row],[L4N]],IF(Transactions[[#This Row],[Level 2]]=Transactions[[#This Row],[L6N]],Transactions[[#This Row],[L5N]],IF(Transactions[[#This Row],[Level 2]]=Transactions[[#This Row],[L7N]],Transactions[[#This Row],[L6N]],Transactions[[#This Row],[L7N]]))))))))</f>
        <v>Heat plants - combustible fuels</v>
      </c>
      <c r="AV462" s="26" t="str">
        <f>IF(Transactions[[#This Row],[Level 3]]=Transactions[[#This Row],[Transaction name]],Transactions[[#This Row],[Transaction name]],IF(Transactions[[#This Row],[Level 3]]=Transactions[[#This Row],[L1N]],Transactions[[#This Row],[Transaction name]],IF(Transactions[[#This Row],[Level 3]]=Transactions[[#This Row],[L2N]],Transactions[[#This Row],[L1N]],IF(Transactions[[#This Row],[Level 3]]=Transactions[[#This Row],[L3N]],Transactions[[#This Row],[L2N]],IF(Transactions[[#This Row],[Level 3]]=Transactions[[#This Row],[L4N]],Transactions[[#This Row],[L3N]],IF(Transactions[[#This Row],[Level 3]]=Transactions[[#This Row],[L5N]],Transactions[[#This Row],[L4N]],IF(Transactions[[#This Row],[Level 3]]=Transactions[[#This Row],[L6N]],Transactions[[#This Row],[L5N]],IF(Transactions[[#This Row],[Level 3]]=Transactions[[#This Row],[L7N]],Transactions[[#This Row],[L6N]],Transactions[[#This Row],[L7N]]))))))))</f>
        <v>Heat plants - combustible fuels</v>
      </c>
      <c r="AW462" s="26" t="str">
        <f>IF(Transactions[[#This Row],[Level 4]]=Transactions[[#This Row],[Transaction name]],Transactions[[#This Row],[Transaction name]],IF(Transactions[[#This Row],[Level 4]]=Transactions[[#This Row],[L1N]],Transactions[[#This Row],[Transaction name]],IF(Transactions[[#This Row],[Level 4]]=Transactions[[#This Row],[L2N]],Transactions[[#This Row],[L1N]],IF(Transactions[[#This Row],[Level 4]]=Transactions[[#This Row],[L3N]],Transactions[[#This Row],[L2N]],IF(Transactions[[#This Row],[Level 4]]=Transactions[[#This Row],[L4N]],Transactions[[#This Row],[L3N]],IF(Transactions[[#This Row],[Level 4]]=Transactions[[#This Row],[L5N]],Transactions[[#This Row],[L4N]],IF(Transactions[[#This Row],[Level 4]]=Transactions[[#This Row],[L6N]],Transactions[[#This Row],[L5N]],IF(Transactions[[#This Row],[Level 4]]=Transactions[[#This Row],[L7N]],Transactions[[#This Row],[L6N]],Transactions[[#This Row],[L7N]]))))))))</f>
        <v>Heat plants - combustible fuels</v>
      </c>
      <c r="AX462" s="26" t="str">
        <f>IF(Transactions[[#This Row],[Level 5]]=Transactions[[#This Row],[Transaction name]],Transactions[[#This Row],[Transaction name]],IF(Transactions[[#This Row],[Level 5]]=Transactions[[#This Row],[L1N]],Transactions[[#This Row],[Transaction name]],IF(Transactions[[#This Row],[Level 5]]=Transactions[[#This Row],[L2N]],Transactions[[#This Row],[L1N]],IF(Transactions[[#This Row],[Level 5]]=Transactions[[#This Row],[L3N]],Transactions[[#This Row],[L2N]],IF(Transactions[[#This Row],[Level 5]]=Transactions[[#This Row],[L4N]],Transactions[[#This Row],[L3N]],IF(Transactions[[#This Row],[Level 5]]=Transactions[[#This Row],[L5N]],Transactions[[#This Row],[L4N]],IF(Transactions[[#This Row],[Level 5]]=Transactions[[#This Row],[L6N]],Transactions[[#This Row],[L5N]],IF(Transactions[[#This Row],[Level 5]]=Transactions[[#This Row],[L7N]],Transactions[[#This Row],[L6N]],Transactions[[#This Row],[L7N]]))))))))</f>
        <v>Heat plants - combustible fuels</v>
      </c>
      <c r="AY462" s="26" t="str">
        <f>IF(Transactions[[#This Row],[Level 6]]=Transactions[[#This Row],[Transaction name]],Transactions[[#This Row],[Transaction name]],IF(Transactions[[#This Row],[Level 6]]=Transactions[[#This Row],[L1N]],Transactions[[#This Row],[Transaction name]],IF(Transactions[[#This Row],[Level 6]]=Transactions[[#This Row],[L2N]],Transactions[[#This Row],[L1N]],IF(Transactions[[#This Row],[Level 6]]=Transactions[[#This Row],[L3N]],Transactions[[#This Row],[L2N]],IF(Transactions[[#This Row],[Level 6]]=Transactions[[#This Row],[L4N]],Transactions[[#This Row],[L3N]],IF(Transactions[[#This Row],[Level 6]]=Transactions[[#This Row],[L5N]],Transactions[[#This Row],[L4N]],IF(Transactions[[#This Row],[Level 6]]=Transactions[[#This Row],[L6N]],Transactions[[#This Row],[L5N]],IF(Transactions[[#This Row],[Level 6]]=Transactions[[#This Row],[L7N]],Transactions[[#This Row],[L6N]],Transactions[[#This Row],[L7N]]))))))))</f>
        <v>Heat plants - combustible fuels</v>
      </c>
      <c r="BE462" s="26" t="str">
        <f>_xlfn.XLOOKUP(Transformation[[#This Row],[cfrom]],Commodities[Commodity],Commodities[Commodity code])</f>
        <v>8000</v>
      </c>
      <c r="BF462" s="26" t="str">
        <f>_xlfn.XLOOKUP(Transformation[[#This Row],[tfrom]],Transactions[Transaction name],Transactions[Transaction code])</f>
        <v>016GC</v>
      </c>
      <c r="BG462" s="26" t="str">
        <f>_xlfn.XLOOKUP(Transformation[[#This Row],[cto]],Commodities[Commodity],Commodities[Commodity code])</f>
        <v>8000</v>
      </c>
      <c r="BH462" s="26" t="str">
        <f>_xlfn.XLOOKUP(Transformation[[#This Row],[tto]],Transactions[Transaction name],Transactions[Transaction code])</f>
        <v>016GC</v>
      </c>
      <c r="BI462" s="31">
        <v>-2</v>
      </c>
      <c r="BJ462" s="22" t="s">
        <v>262</v>
      </c>
      <c r="BK462" s="26" t="str">
        <f>_xlfn.XLOOKUP(Transformation[[#This Row],[Commodity from]],Commodities[Commodity code],Commodities[EnergyCode])</f>
        <v>ST</v>
      </c>
      <c r="BL462" s="22" t="s">
        <v>654</v>
      </c>
      <c r="BM462" s="22" t="s">
        <v>262</v>
      </c>
      <c r="BN462" s="26" t="str">
        <f>_xlfn.XLOOKUP(Transformation[[#This Row],[Commodity to]],Commodities[Commodity code],Commodities[EnergyCode])</f>
        <v>ST</v>
      </c>
      <c r="BO462" s="22" t="s">
        <v>654</v>
      </c>
      <c r="BP462" s="22" t="s">
        <v>1697</v>
      </c>
      <c r="BQ462" s="33" t="str">
        <f>Transformation[[#This Row],[Commodity from]]&amp;Transformation[[#This Row],[Transaction from]]&amp;Transformation[[#This Row],[Commodity to]]&amp;Transformation[[#This Row],[Transaction to]]</f>
        <v>8000016GC8000016GC</v>
      </c>
      <c r="BR462" s="26" t="str">
        <f>Transformation[[#This Row],[crfomid]]&amp;Transformation[[#This Row],[Transaction from]]&amp;"("&amp;Transformation[[#This Row],[Multiplier]]&amp;") -&gt; "&amp;Transformation[[#This Row],[ctoid]]&amp;Transformation[[#This Row],[Transaction to]]</f>
        <v>ST016GC(-2) -&gt; ST016GC</v>
      </c>
    </row>
    <row r="463" spans="25:70" x14ac:dyDescent="0.45">
      <c r="Y463" s="5" t="s">
        <v>359</v>
      </c>
      <c r="Z463" s="7" t="s">
        <v>672</v>
      </c>
      <c r="AA463" s="4" t="s">
        <v>1310</v>
      </c>
      <c r="AB463" s="19" t="s">
        <v>1557</v>
      </c>
      <c r="AC463" s="24" t="str">
        <f>IFERROR(VLOOKUP(Transactions[[#This Row],[Parent code]],Transactions[[Transaction code]:[Transaction name]],2,0),"")</f>
        <v>Heat plants - combustible fuels</v>
      </c>
      <c r="AD463" s="4" t="s">
        <v>189</v>
      </c>
      <c r="AE463" s="4" t="s">
        <v>924</v>
      </c>
      <c r="AF463" s="4" t="s">
        <v>642</v>
      </c>
      <c r="AG463" s="4" t="s">
        <v>1</v>
      </c>
      <c r="AH463" s="4" t="s">
        <v>696</v>
      </c>
      <c r="AI463" s="12" t="s">
        <v>1416</v>
      </c>
      <c r="AJ463" s="4" t="s">
        <v>0</v>
      </c>
      <c r="AK463" s="24" t="str" cm="1">
        <f t="array" ref="AK463">IFERROR(INDEX(Transactions[[Transaction code]:[Transaction name]],_xlfn.XMATCH(Transactions[[#This Row],[Parent code]],Transactions[Transaction name],0),3),Transactions[[#This Row],[Transaction name]])</f>
        <v>Heat plants - Main activity - combustible fuels</v>
      </c>
      <c r="AL463" s="24" t="str" cm="1">
        <f t="array" ref="AL463">IFERROR(INDEX(Transactions[[Transaction code]:[Transaction name]],_xlfn.XMATCH(INDEX(Transactions[[Transaction name]:[Parent code]],_xlfn.XMATCH(Transactions[[#This Row],[L1N]],Transactions[Transaction name],0),3),Transactions[Transaction code],0),2),Transactions[[#This Row],[L1N]])</f>
        <v>Heat plants - combustible fuels</v>
      </c>
      <c r="AM463" s="24" t="str" cm="1">
        <f t="array" ref="AM463">IFERROR(INDEX(Transactions[[Transaction code]:[Transaction name]],_xlfn.XMATCH(INDEX(Transactions[[Transaction name]:[Parent code]],_xlfn.XMATCH(Transactions[[#This Row],[L2N]],Transactions[Transaction name],0),3),Transactions[Transaction code],0),2),Transactions[[#This Row],[L2N]])</f>
        <v>Heat plants</v>
      </c>
      <c r="AN463" s="24" t="str" cm="1">
        <f t="array" ref="AN463">IFERROR(INDEX(Transactions[[Transaction code]:[Transaction name]],_xlfn.XMATCH(INDEX(Transactions[[Transaction name]:[Parent code]],_xlfn.XMATCH(Transactions[[#This Row],[L3N]],Transactions[Transaction name],0),3),Transactions[Transaction code],0),2),Transactions[[#This Row],[L3N]])</f>
        <v>Electricity, CHP and heat plants (T)</v>
      </c>
      <c r="AO463" s="24" t="str" cm="1">
        <f t="array" ref="AO463">IFERROR(INDEX(Transactions[[Transaction code]:[Transaction name]],_xlfn.XMATCH(INDEX(Transactions[[Transaction name]:[Parent code]],_xlfn.XMATCH(Transactions[[#This Row],[L4N]],Transactions[Transaction name],0),3),Transactions[Transaction code],0),2),Transactions[[#This Row],[L4N]])</f>
        <v>Transformation</v>
      </c>
      <c r="AP463" s="24" t="str" cm="1">
        <f t="array" ref="AP463">IFERROR(INDEX(Transactions[[Transaction code]:[Transaction name]],_xlfn.XMATCH(INDEX(Transactions[[Transaction name]:[Parent code]],_xlfn.XMATCH(Transactions[[#This Row],[L5N]],Transactions[Transaction name],0),3),Transactions[Transaction code],0),2),Transactions[[#This Row],[L5N]])</f>
        <v>Transformation</v>
      </c>
      <c r="AQ463" s="24" t="str" cm="1">
        <f t="array" ref="AQ463">IFERROR(INDEX(Transactions[[Transaction code]:[Transaction name]],_xlfn.XMATCH(INDEX(Transactions[[Transaction name]:[Parent code]],_xlfn.XMATCH(Transactions[[#This Row],[L6N]],Transactions[Transaction name],0),3),Transactions[Transaction code],0),2),Transactions[[#This Row],[L6N]])</f>
        <v>Transformation</v>
      </c>
      <c r="AR463" s="27" t="str">
        <f>IF(Transactions[[#This Row],[L7N]]=Transactions[[#This Row],[L6N]],Transactions[[#This Row],[L7N]],IF(Transactions[[#This Row],[L6N]]=Transactions[[#This Row],[L5N]],Transactions[[#This Row],[L6N]],IF(Transactions[[#This Row],[L5N]]=Transactions[[#This Row],[L4N]],Transactions[[#This Row],[L5N]],IF(Transactions[[#This Row],[L4N]]=Transactions[[#This Row],[L3N]],Transactions[[#This Row],[L4N]],IF(Transactions[[#This Row],[L3N]]=Transactions[[#This Row],[L2N]],Transactions[[#This Row],[L3N]],IF(Transactions[[#This Row],[L2N]]=Transactions[[#This Row],[L1N]],Transactions[[#This Row],[L2N]],IF(Transactions[[#This Row],[L1N]]=Transactions[[#This Row],[Transaction name]],Transactions[[#This Row],[L1N]],Transactions[[#This Row],[Transaction name]])))))))</f>
        <v>Transformation</v>
      </c>
      <c r="AS463" s="24" t="str">
        <f>IF(Transactions[[#This Row],[Level 0]]=Transactions[[#This Row],[Transaction name]],Transactions[[#This Row],[Transaction name]],IF(Transactions[[#This Row],[Level 0]]=Transactions[[#This Row],[L1N]],Transactions[[#This Row],[Transaction name]],IF(Transactions[[#This Row],[Level 0]]=Transactions[[#This Row],[L2N]],Transactions[[#This Row],[L1N]],IF(Transactions[[#This Row],[Level 0]]=Transactions[[#This Row],[L3N]],Transactions[[#This Row],[L2N]],IF(Transactions[[#This Row],[Level 0]]=Transactions[[#This Row],[L4N]],Transactions[[#This Row],[L3N]],IF(Transactions[[#This Row],[Level 0]]=Transactions[[#This Row],[L5N]],Transactions[[#This Row],[L4N]],IF(Transactions[[#This Row],[Level 0]]=Transactions[[#This Row],[L6N]],Transactions[[#This Row],[L5N]],IF(Transactions[[#This Row],[Level 0]]=Transactions[[#This Row],[L7N]],Transactions[[#This Row],[L6N]],Transactions[[#This Row],[L7N]]))))))))</f>
        <v>Electricity, CHP and heat plants (T)</v>
      </c>
      <c r="AT463" s="24" t="str">
        <f>IF(Transactions[[#This Row],[Level 1]]=Transactions[[#This Row],[Transaction name]],Transactions[[#This Row],[Transaction name]],IF(Transactions[[#This Row],[Level 1]]=Transactions[[#This Row],[L1N]],Transactions[[#This Row],[Transaction name]],IF(Transactions[[#This Row],[Level 1]]=Transactions[[#This Row],[L2N]],Transactions[[#This Row],[L1N]],IF(Transactions[[#This Row],[Level 1]]=Transactions[[#This Row],[L3N]],Transactions[[#This Row],[L2N]],IF(Transactions[[#This Row],[Level 1]]=Transactions[[#This Row],[L4N]],Transactions[[#This Row],[L3N]],IF(Transactions[[#This Row],[Level 1]]=Transactions[[#This Row],[L5N]],Transactions[[#This Row],[L4N]],IF(Transactions[[#This Row],[Level 1]]=Transactions[[#This Row],[L6N]],Transactions[[#This Row],[L5N]],IF(Transactions[[#This Row],[Level 1]]=Transactions[[#This Row],[L7N]],Transactions[[#This Row],[L6N]],Transactions[[#This Row],[L7N]]))))))))</f>
        <v>Heat plants</v>
      </c>
      <c r="AU463" s="24" t="str">
        <f>IF(Transactions[[#This Row],[Level 2]]=Transactions[[#This Row],[Transaction name]],Transactions[[#This Row],[Transaction name]],IF(Transactions[[#This Row],[Level 2]]=Transactions[[#This Row],[L1N]],Transactions[[#This Row],[Transaction name]],IF(Transactions[[#This Row],[Level 2]]=Transactions[[#This Row],[L2N]],Transactions[[#This Row],[L1N]],IF(Transactions[[#This Row],[Level 2]]=Transactions[[#This Row],[L3N]],Transactions[[#This Row],[L2N]],IF(Transactions[[#This Row],[Level 2]]=Transactions[[#This Row],[L4N]],Transactions[[#This Row],[L3N]],IF(Transactions[[#This Row],[Level 2]]=Transactions[[#This Row],[L5N]],Transactions[[#This Row],[L4N]],IF(Transactions[[#This Row],[Level 2]]=Transactions[[#This Row],[L6N]],Transactions[[#This Row],[L5N]],IF(Transactions[[#This Row],[Level 2]]=Transactions[[#This Row],[L7N]],Transactions[[#This Row],[L6N]],Transactions[[#This Row],[L7N]]))))))))</f>
        <v>Heat plants - combustible fuels</v>
      </c>
      <c r="AV463" s="24" t="str">
        <f>IF(Transactions[[#This Row],[Level 3]]=Transactions[[#This Row],[Transaction name]],Transactions[[#This Row],[Transaction name]],IF(Transactions[[#This Row],[Level 3]]=Transactions[[#This Row],[L1N]],Transactions[[#This Row],[Transaction name]],IF(Transactions[[#This Row],[Level 3]]=Transactions[[#This Row],[L2N]],Transactions[[#This Row],[L1N]],IF(Transactions[[#This Row],[Level 3]]=Transactions[[#This Row],[L3N]],Transactions[[#This Row],[L2N]],IF(Transactions[[#This Row],[Level 3]]=Transactions[[#This Row],[L4N]],Transactions[[#This Row],[L3N]],IF(Transactions[[#This Row],[Level 3]]=Transactions[[#This Row],[L5N]],Transactions[[#This Row],[L4N]],IF(Transactions[[#This Row],[Level 3]]=Transactions[[#This Row],[L6N]],Transactions[[#This Row],[L5N]],IF(Transactions[[#This Row],[Level 3]]=Transactions[[#This Row],[L7N]],Transactions[[#This Row],[L6N]],Transactions[[#This Row],[L7N]]))))))))</f>
        <v>Heat plants - Main activity - combustible fuels</v>
      </c>
      <c r="AW463" s="24" t="str">
        <f>IF(Transactions[[#This Row],[Level 4]]=Transactions[[#This Row],[Transaction name]],Transactions[[#This Row],[Transaction name]],IF(Transactions[[#This Row],[Level 4]]=Transactions[[#This Row],[L1N]],Transactions[[#This Row],[Transaction name]],IF(Transactions[[#This Row],[Level 4]]=Transactions[[#This Row],[L2N]],Transactions[[#This Row],[L1N]],IF(Transactions[[#This Row],[Level 4]]=Transactions[[#This Row],[L3N]],Transactions[[#This Row],[L2N]],IF(Transactions[[#This Row],[Level 4]]=Transactions[[#This Row],[L4N]],Transactions[[#This Row],[L3N]],IF(Transactions[[#This Row],[Level 4]]=Transactions[[#This Row],[L5N]],Transactions[[#This Row],[L4N]],IF(Transactions[[#This Row],[Level 4]]=Transactions[[#This Row],[L6N]],Transactions[[#This Row],[L5N]],IF(Transactions[[#This Row],[Level 4]]=Transactions[[#This Row],[L7N]],Transactions[[#This Row],[L6N]],Transactions[[#This Row],[L7N]]))))))))</f>
        <v>Heat plants - Main activity - combustible fuels</v>
      </c>
      <c r="AX463" s="24" t="str">
        <f>IF(Transactions[[#This Row],[Level 5]]=Transactions[[#This Row],[Transaction name]],Transactions[[#This Row],[Transaction name]],IF(Transactions[[#This Row],[Level 5]]=Transactions[[#This Row],[L1N]],Transactions[[#This Row],[Transaction name]],IF(Transactions[[#This Row],[Level 5]]=Transactions[[#This Row],[L2N]],Transactions[[#This Row],[L1N]],IF(Transactions[[#This Row],[Level 5]]=Transactions[[#This Row],[L3N]],Transactions[[#This Row],[L2N]],IF(Transactions[[#This Row],[Level 5]]=Transactions[[#This Row],[L4N]],Transactions[[#This Row],[L3N]],IF(Transactions[[#This Row],[Level 5]]=Transactions[[#This Row],[L5N]],Transactions[[#This Row],[L4N]],IF(Transactions[[#This Row],[Level 5]]=Transactions[[#This Row],[L6N]],Transactions[[#This Row],[L5N]],IF(Transactions[[#This Row],[Level 5]]=Transactions[[#This Row],[L7N]],Transactions[[#This Row],[L6N]],Transactions[[#This Row],[L7N]]))))))))</f>
        <v>Heat plants - Main activity - combustible fuels</v>
      </c>
      <c r="AY463" s="24" t="str">
        <f>IF(Transactions[[#This Row],[Level 6]]=Transactions[[#This Row],[Transaction name]],Transactions[[#This Row],[Transaction name]],IF(Transactions[[#This Row],[Level 6]]=Transactions[[#This Row],[L1N]],Transactions[[#This Row],[Transaction name]],IF(Transactions[[#This Row],[Level 6]]=Transactions[[#This Row],[L2N]],Transactions[[#This Row],[L1N]],IF(Transactions[[#This Row],[Level 6]]=Transactions[[#This Row],[L3N]],Transactions[[#This Row],[L2N]],IF(Transactions[[#This Row],[Level 6]]=Transactions[[#This Row],[L4N]],Transactions[[#This Row],[L3N]],IF(Transactions[[#This Row],[Level 6]]=Transactions[[#This Row],[L5N]],Transactions[[#This Row],[L4N]],IF(Transactions[[#This Row],[Level 6]]=Transactions[[#This Row],[L6N]],Transactions[[#This Row],[L5N]],IF(Transactions[[#This Row],[Level 6]]=Transactions[[#This Row],[L7N]],Transactions[[#This Row],[L6N]],Transactions[[#This Row],[L7N]]))))))))</f>
        <v>Heat plants - Main activity - combustible fuels</v>
      </c>
      <c r="BE463" s="26" t="str">
        <f>_xlfn.XLOOKUP(Transformation[[#This Row],[cfrom]],Commodities[Commodity],Commodities[Commodity code])</f>
        <v>8000</v>
      </c>
      <c r="BF463" s="26" t="str">
        <f>_xlfn.XLOOKUP(Transformation[[#This Row],[tfrom]],Transactions[Transaction name],Transactions[Transaction code])</f>
        <v>015GC</v>
      </c>
      <c r="BG463" s="26" t="str">
        <f>_xlfn.XLOOKUP(Transformation[[#This Row],[cto]],Commodities[Commodity],Commodities[Commodity code])</f>
        <v>8000</v>
      </c>
      <c r="BH463" s="26" t="str">
        <f>_xlfn.XLOOKUP(Transformation[[#This Row],[tto]],Transactions[Transaction name],Transactions[Transaction code])</f>
        <v>015GC</v>
      </c>
      <c r="BI463" s="31">
        <v>-2</v>
      </c>
      <c r="BJ463" s="22" t="s">
        <v>262</v>
      </c>
      <c r="BK463" s="26" t="str">
        <f>_xlfn.XLOOKUP(Transformation[[#This Row],[Commodity from]],Commodities[Commodity code],Commodities[EnergyCode])</f>
        <v>ST</v>
      </c>
      <c r="BL463" s="22" t="s">
        <v>649</v>
      </c>
      <c r="BM463" s="22" t="s">
        <v>262</v>
      </c>
      <c r="BN463" s="26" t="str">
        <f>_xlfn.XLOOKUP(Transformation[[#This Row],[Commodity to]],Commodities[Commodity code],Commodities[EnergyCode])</f>
        <v>ST</v>
      </c>
      <c r="BO463" s="22" t="s">
        <v>649</v>
      </c>
      <c r="BP463" s="22" t="s">
        <v>1697</v>
      </c>
      <c r="BQ463" s="33" t="str">
        <f>Transformation[[#This Row],[Commodity from]]&amp;Transformation[[#This Row],[Transaction from]]&amp;Transformation[[#This Row],[Commodity to]]&amp;Transformation[[#This Row],[Transaction to]]</f>
        <v>8000015GC8000015GC</v>
      </c>
      <c r="BR463" s="26" t="str">
        <f>Transformation[[#This Row],[crfomid]]&amp;Transformation[[#This Row],[Transaction from]]&amp;"("&amp;Transformation[[#This Row],[Multiplier]]&amp;") -&gt; "&amp;Transformation[[#This Row],[ctoid]]&amp;Transformation[[#This Row],[Transaction to]]</f>
        <v>ST015GC(-2) -&gt; ST015GC</v>
      </c>
    </row>
    <row r="464" spans="25:70" x14ac:dyDescent="0.45">
      <c r="Y464" s="5" t="s">
        <v>1283</v>
      </c>
      <c r="Z464" s="7" t="s">
        <v>1231</v>
      </c>
      <c r="AA464" s="4" t="s">
        <v>1401</v>
      </c>
      <c r="AB464" s="19" t="s">
        <v>1498</v>
      </c>
      <c r="AC464" s="24" t="str">
        <f>IFERROR(VLOOKUP(Transactions[[#This Row],[Parent code]],Transactions[[Transaction code]:[Transaction name]],2,0),"")</f>
        <v>Heat plants - crude oil</v>
      </c>
      <c r="AD464" s="4" t="s">
        <v>189</v>
      </c>
      <c r="AE464" s="4" t="s">
        <v>924</v>
      </c>
      <c r="AF464" s="4" t="s">
        <v>642</v>
      </c>
      <c r="AG464" s="4" t="s">
        <v>1</v>
      </c>
      <c r="AH464" s="4" t="s">
        <v>696</v>
      </c>
      <c r="AI464" s="12" t="s">
        <v>1416</v>
      </c>
      <c r="AK464" s="24" t="str" cm="1">
        <f t="array" ref="AK464">IFERROR(INDEX(Transactions[[Transaction code]:[Transaction name]],_xlfn.XMATCH(Transactions[[#This Row],[Parent code]],Transactions[Transaction name],0),3),Transactions[[#This Row],[Transaction name]])</f>
        <v>Heat plants - Autoproducer - crude oil</v>
      </c>
      <c r="AL464" s="24" t="str" cm="1">
        <f t="array" ref="AL464">IFERROR(INDEX(Transactions[[Transaction code]:[Transaction name]],_xlfn.XMATCH(INDEX(Transactions[[Transaction name]:[Parent code]],_xlfn.XMATCH(Transactions[[#This Row],[L1N]],Transactions[Transaction name],0),3),Transactions[Transaction code],0),2),Transactions[[#This Row],[L1N]])</f>
        <v>Heat plants - crude oil</v>
      </c>
      <c r="AM464" s="24" t="str" cm="1">
        <f t="array" ref="AM464">IFERROR(INDEX(Transactions[[Transaction code]:[Transaction name]],_xlfn.XMATCH(INDEX(Transactions[[Transaction name]:[Parent code]],_xlfn.XMATCH(Transactions[[#This Row],[L2N]],Transactions[Transaction name],0),3),Transactions[Transaction code],0),2),Transactions[[#This Row],[L2N]])</f>
        <v>Heat plants</v>
      </c>
      <c r="AN464" s="24" t="str" cm="1">
        <f t="array" ref="AN464">IFERROR(INDEX(Transactions[[Transaction code]:[Transaction name]],_xlfn.XMATCH(INDEX(Transactions[[Transaction name]:[Parent code]],_xlfn.XMATCH(Transactions[[#This Row],[L3N]],Transactions[Transaction name],0),3),Transactions[Transaction code],0),2),Transactions[[#This Row],[L3N]])</f>
        <v>Electricity, CHP and heat plants (T)</v>
      </c>
      <c r="AO464" s="24" t="str" cm="1">
        <f t="array" ref="AO464">IFERROR(INDEX(Transactions[[Transaction code]:[Transaction name]],_xlfn.XMATCH(INDEX(Transactions[[Transaction name]:[Parent code]],_xlfn.XMATCH(Transactions[[#This Row],[L4N]],Transactions[Transaction name],0),3),Transactions[Transaction code],0),2),Transactions[[#This Row],[L4N]])</f>
        <v>Transformation</v>
      </c>
      <c r="AP464" s="24" t="str" cm="1">
        <f t="array" ref="AP464">IFERROR(INDEX(Transactions[[Transaction code]:[Transaction name]],_xlfn.XMATCH(INDEX(Transactions[[Transaction name]:[Parent code]],_xlfn.XMATCH(Transactions[[#This Row],[L5N]],Transactions[Transaction name],0),3),Transactions[Transaction code],0),2),Transactions[[#This Row],[L5N]])</f>
        <v>Transformation</v>
      </c>
      <c r="AQ464" s="24" t="str" cm="1">
        <f t="array" ref="AQ464">IFERROR(INDEX(Transactions[[Transaction code]:[Transaction name]],_xlfn.XMATCH(INDEX(Transactions[[Transaction name]:[Parent code]],_xlfn.XMATCH(Transactions[[#This Row],[L6N]],Transactions[Transaction name],0),3),Transactions[Transaction code],0),2),Transactions[[#This Row],[L6N]])</f>
        <v>Transformation</v>
      </c>
      <c r="AR464" s="27" t="str">
        <f>IF(Transactions[[#This Row],[L7N]]=Transactions[[#This Row],[L6N]],Transactions[[#This Row],[L7N]],IF(Transactions[[#This Row],[L6N]]=Transactions[[#This Row],[L5N]],Transactions[[#This Row],[L6N]],IF(Transactions[[#This Row],[L5N]]=Transactions[[#This Row],[L4N]],Transactions[[#This Row],[L5N]],IF(Transactions[[#This Row],[L4N]]=Transactions[[#This Row],[L3N]],Transactions[[#This Row],[L4N]],IF(Transactions[[#This Row],[L3N]]=Transactions[[#This Row],[L2N]],Transactions[[#This Row],[L3N]],IF(Transactions[[#This Row],[L2N]]=Transactions[[#This Row],[L1N]],Transactions[[#This Row],[L2N]],IF(Transactions[[#This Row],[L1N]]=Transactions[[#This Row],[Transaction name]],Transactions[[#This Row],[L1N]],Transactions[[#This Row],[Transaction name]])))))))</f>
        <v>Transformation</v>
      </c>
      <c r="AS464" s="24" t="str">
        <f>IF(Transactions[[#This Row],[Level 0]]=Transactions[[#This Row],[Transaction name]],Transactions[[#This Row],[Transaction name]],IF(Transactions[[#This Row],[Level 0]]=Transactions[[#This Row],[L1N]],Transactions[[#This Row],[Transaction name]],IF(Transactions[[#This Row],[Level 0]]=Transactions[[#This Row],[L2N]],Transactions[[#This Row],[L1N]],IF(Transactions[[#This Row],[Level 0]]=Transactions[[#This Row],[L3N]],Transactions[[#This Row],[L2N]],IF(Transactions[[#This Row],[Level 0]]=Transactions[[#This Row],[L4N]],Transactions[[#This Row],[L3N]],IF(Transactions[[#This Row],[Level 0]]=Transactions[[#This Row],[L5N]],Transactions[[#This Row],[L4N]],IF(Transactions[[#This Row],[Level 0]]=Transactions[[#This Row],[L6N]],Transactions[[#This Row],[L5N]],IF(Transactions[[#This Row],[Level 0]]=Transactions[[#This Row],[L7N]],Transactions[[#This Row],[L6N]],Transactions[[#This Row],[L7N]]))))))))</f>
        <v>Electricity, CHP and heat plants (T)</v>
      </c>
      <c r="AT464" s="24" t="str">
        <f>IF(Transactions[[#This Row],[Level 1]]=Transactions[[#This Row],[Transaction name]],Transactions[[#This Row],[Transaction name]],IF(Transactions[[#This Row],[Level 1]]=Transactions[[#This Row],[L1N]],Transactions[[#This Row],[Transaction name]],IF(Transactions[[#This Row],[Level 1]]=Transactions[[#This Row],[L2N]],Transactions[[#This Row],[L1N]],IF(Transactions[[#This Row],[Level 1]]=Transactions[[#This Row],[L3N]],Transactions[[#This Row],[L2N]],IF(Transactions[[#This Row],[Level 1]]=Transactions[[#This Row],[L4N]],Transactions[[#This Row],[L3N]],IF(Transactions[[#This Row],[Level 1]]=Transactions[[#This Row],[L5N]],Transactions[[#This Row],[L4N]],IF(Transactions[[#This Row],[Level 1]]=Transactions[[#This Row],[L6N]],Transactions[[#This Row],[L5N]],IF(Transactions[[#This Row],[Level 1]]=Transactions[[#This Row],[L7N]],Transactions[[#This Row],[L6N]],Transactions[[#This Row],[L7N]]))))))))</f>
        <v>Heat plants</v>
      </c>
      <c r="AU464" s="24" t="str">
        <f>IF(Transactions[[#This Row],[Level 2]]=Transactions[[#This Row],[Transaction name]],Transactions[[#This Row],[Transaction name]],IF(Transactions[[#This Row],[Level 2]]=Transactions[[#This Row],[L1N]],Transactions[[#This Row],[Transaction name]],IF(Transactions[[#This Row],[Level 2]]=Transactions[[#This Row],[L2N]],Transactions[[#This Row],[L1N]],IF(Transactions[[#This Row],[Level 2]]=Transactions[[#This Row],[L3N]],Transactions[[#This Row],[L2N]],IF(Transactions[[#This Row],[Level 2]]=Transactions[[#This Row],[L4N]],Transactions[[#This Row],[L3N]],IF(Transactions[[#This Row],[Level 2]]=Transactions[[#This Row],[L5N]],Transactions[[#This Row],[L4N]],IF(Transactions[[#This Row],[Level 2]]=Transactions[[#This Row],[L6N]],Transactions[[#This Row],[L5N]],IF(Transactions[[#This Row],[Level 2]]=Transactions[[#This Row],[L7N]],Transactions[[#This Row],[L6N]],Transactions[[#This Row],[L7N]]))))))))</f>
        <v>Heat plants - crude oil</v>
      </c>
      <c r="AV464" s="24" t="str">
        <f>IF(Transactions[[#This Row],[Level 3]]=Transactions[[#This Row],[Transaction name]],Transactions[[#This Row],[Transaction name]],IF(Transactions[[#This Row],[Level 3]]=Transactions[[#This Row],[L1N]],Transactions[[#This Row],[Transaction name]],IF(Transactions[[#This Row],[Level 3]]=Transactions[[#This Row],[L2N]],Transactions[[#This Row],[L1N]],IF(Transactions[[#This Row],[Level 3]]=Transactions[[#This Row],[L3N]],Transactions[[#This Row],[L2N]],IF(Transactions[[#This Row],[Level 3]]=Transactions[[#This Row],[L4N]],Transactions[[#This Row],[L3N]],IF(Transactions[[#This Row],[Level 3]]=Transactions[[#This Row],[L5N]],Transactions[[#This Row],[L4N]],IF(Transactions[[#This Row],[Level 3]]=Transactions[[#This Row],[L6N]],Transactions[[#This Row],[L5N]],IF(Transactions[[#This Row],[Level 3]]=Transactions[[#This Row],[L7N]],Transactions[[#This Row],[L6N]],Transactions[[#This Row],[L7N]]))))))))</f>
        <v>Heat plants - Autoproducer - crude oil</v>
      </c>
      <c r="AW464" s="24" t="str">
        <f>IF(Transactions[[#This Row],[Level 4]]=Transactions[[#This Row],[Transaction name]],Transactions[[#This Row],[Transaction name]],IF(Transactions[[#This Row],[Level 4]]=Transactions[[#This Row],[L1N]],Transactions[[#This Row],[Transaction name]],IF(Transactions[[#This Row],[Level 4]]=Transactions[[#This Row],[L2N]],Transactions[[#This Row],[L1N]],IF(Transactions[[#This Row],[Level 4]]=Transactions[[#This Row],[L3N]],Transactions[[#This Row],[L2N]],IF(Transactions[[#This Row],[Level 4]]=Transactions[[#This Row],[L4N]],Transactions[[#This Row],[L3N]],IF(Transactions[[#This Row],[Level 4]]=Transactions[[#This Row],[L5N]],Transactions[[#This Row],[L4N]],IF(Transactions[[#This Row],[Level 4]]=Transactions[[#This Row],[L6N]],Transactions[[#This Row],[L5N]],IF(Transactions[[#This Row],[Level 4]]=Transactions[[#This Row],[L7N]],Transactions[[#This Row],[L6N]],Transactions[[#This Row],[L7N]]))))))))</f>
        <v>Heat plants - Autoproducer - crude oil</v>
      </c>
      <c r="AX464" s="24" t="str">
        <f>IF(Transactions[[#This Row],[Level 5]]=Transactions[[#This Row],[Transaction name]],Transactions[[#This Row],[Transaction name]],IF(Transactions[[#This Row],[Level 5]]=Transactions[[#This Row],[L1N]],Transactions[[#This Row],[Transaction name]],IF(Transactions[[#This Row],[Level 5]]=Transactions[[#This Row],[L2N]],Transactions[[#This Row],[L1N]],IF(Transactions[[#This Row],[Level 5]]=Transactions[[#This Row],[L3N]],Transactions[[#This Row],[L2N]],IF(Transactions[[#This Row],[Level 5]]=Transactions[[#This Row],[L4N]],Transactions[[#This Row],[L3N]],IF(Transactions[[#This Row],[Level 5]]=Transactions[[#This Row],[L5N]],Transactions[[#This Row],[L4N]],IF(Transactions[[#This Row],[Level 5]]=Transactions[[#This Row],[L6N]],Transactions[[#This Row],[L5N]],IF(Transactions[[#This Row],[Level 5]]=Transactions[[#This Row],[L7N]],Transactions[[#This Row],[L6N]],Transactions[[#This Row],[L7N]]))))))))</f>
        <v>Heat plants - Autoproducer - crude oil</v>
      </c>
      <c r="AY464" s="24" t="str">
        <f>IF(Transactions[[#This Row],[Level 6]]=Transactions[[#This Row],[Transaction name]],Transactions[[#This Row],[Transaction name]],IF(Transactions[[#This Row],[Level 6]]=Transactions[[#This Row],[L1N]],Transactions[[#This Row],[Transaction name]],IF(Transactions[[#This Row],[Level 6]]=Transactions[[#This Row],[L2N]],Transactions[[#This Row],[L1N]],IF(Transactions[[#This Row],[Level 6]]=Transactions[[#This Row],[L3N]],Transactions[[#This Row],[L2N]],IF(Transactions[[#This Row],[Level 6]]=Transactions[[#This Row],[L4N]],Transactions[[#This Row],[L3N]],IF(Transactions[[#This Row],[Level 6]]=Transactions[[#This Row],[L5N]],Transactions[[#This Row],[L4N]],IF(Transactions[[#This Row],[Level 6]]=Transactions[[#This Row],[L6N]],Transactions[[#This Row],[L5N]],IF(Transactions[[#This Row],[Level 6]]=Transactions[[#This Row],[L7N]],Transactions[[#This Row],[L6N]],Transactions[[#This Row],[L7N]]))))))))</f>
        <v>Heat plants - Autoproducer - crude oil</v>
      </c>
    </row>
    <row r="465" spans="25:51" x14ac:dyDescent="0.45">
      <c r="Y465" s="19" t="s">
        <v>1498</v>
      </c>
      <c r="Z465" s="18" t="s">
        <v>1401</v>
      </c>
      <c r="AA465" s="18" t="s">
        <v>1401</v>
      </c>
      <c r="AB465" s="19" t="s">
        <v>1574</v>
      </c>
      <c r="AC465" s="26" t="str">
        <f>IFERROR(VLOOKUP(Transactions[[#This Row],[Parent code]],Transactions[[Transaction code]:[Transaction name]],2,0),"")</f>
        <v>Heat plants</v>
      </c>
      <c r="AD465" s="18" t="s">
        <v>189</v>
      </c>
      <c r="AE465" s="18" t="s">
        <v>924</v>
      </c>
      <c r="AF465" s="18" t="s">
        <v>642</v>
      </c>
      <c r="AG465" s="18" t="s">
        <v>1</v>
      </c>
      <c r="AH465" s="18" t="s">
        <v>696</v>
      </c>
      <c r="AI465" s="18" t="s">
        <v>1416</v>
      </c>
      <c r="AJ465" s="18"/>
      <c r="AK465" s="26" t="str" cm="1">
        <f t="array" ref="AK465">IFERROR(INDEX(Transactions[[Transaction code]:[Transaction name]],_xlfn.XMATCH(Transactions[[#This Row],[Parent code]],Transactions[Transaction name],0),3),Transactions[[#This Row],[Transaction name]])</f>
        <v>Heat plants - crude oil</v>
      </c>
      <c r="AL465" s="26" t="str" cm="1">
        <f t="array" ref="AL465">IFERROR(INDEX(Transactions[[Transaction code]:[Transaction name]],_xlfn.XMATCH(INDEX(Transactions[[Transaction name]:[Parent code]],_xlfn.XMATCH(Transactions[[#This Row],[L1N]],Transactions[Transaction name],0),3),Transactions[Transaction code],0),2),Transactions[[#This Row],[L1N]])</f>
        <v>Heat plants</v>
      </c>
      <c r="AM465" s="26" t="str" cm="1">
        <f t="array" ref="AM465">IFERROR(INDEX(Transactions[[Transaction code]:[Transaction name]],_xlfn.XMATCH(INDEX(Transactions[[Transaction name]:[Parent code]],_xlfn.XMATCH(Transactions[[#This Row],[L2N]],Transactions[Transaction name],0),3),Transactions[Transaction code],0),2),Transactions[[#This Row],[L2N]])</f>
        <v>Electricity, CHP and heat plants (T)</v>
      </c>
      <c r="AN465" s="26" t="str" cm="1">
        <f t="array" ref="AN465">IFERROR(INDEX(Transactions[[Transaction code]:[Transaction name]],_xlfn.XMATCH(INDEX(Transactions[[Transaction name]:[Parent code]],_xlfn.XMATCH(Transactions[[#This Row],[L3N]],Transactions[Transaction name],0),3),Transactions[Transaction code],0),2),Transactions[[#This Row],[L3N]])</f>
        <v>Transformation</v>
      </c>
      <c r="AO465" s="26" t="str" cm="1">
        <f t="array" ref="AO465">IFERROR(INDEX(Transactions[[Transaction code]:[Transaction name]],_xlfn.XMATCH(INDEX(Transactions[[Transaction name]:[Parent code]],_xlfn.XMATCH(Transactions[[#This Row],[L4N]],Transactions[Transaction name],0),3),Transactions[Transaction code],0),2),Transactions[[#This Row],[L4N]])</f>
        <v>Transformation</v>
      </c>
      <c r="AP465" s="26" t="str" cm="1">
        <f t="array" ref="AP465">IFERROR(INDEX(Transactions[[Transaction code]:[Transaction name]],_xlfn.XMATCH(INDEX(Transactions[[Transaction name]:[Parent code]],_xlfn.XMATCH(Transactions[[#This Row],[L5N]],Transactions[Transaction name],0),3),Transactions[Transaction code],0),2),Transactions[[#This Row],[L5N]])</f>
        <v>Transformation</v>
      </c>
      <c r="AQ465" s="26" t="str" cm="1">
        <f t="array" ref="AQ465">IFERROR(INDEX(Transactions[[Transaction code]:[Transaction name]],_xlfn.XMATCH(INDEX(Transactions[[Transaction name]:[Parent code]],_xlfn.XMATCH(Transactions[[#This Row],[L6N]],Transactions[Transaction name],0),3),Transactions[Transaction code],0),2),Transactions[[#This Row],[L6N]])</f>
        <v>Transformation</v>
      </c>
      <c r="AR465" s="30" t="str">
        <f>IF(Transactions[[#This Row],[L7N]]=Transactions[[#This Row],[L6N]],Transactions[[#This Row],[L7N]],IF(Transactions[[#This Row],[L6N]]=Transactions[[#This Row],[L5N]],Transactions[[#This Row],[L6N]],IF(Transactions[[#This Row],[L5N]]=Transactions[[#This Row],[L4N]],Transactions[[#This Row],[L5N]],IF(Transactions[[#This Row],[L4N]]=Transactions[[#This Row],[L3N]],Transactions[[#This Row],[L4N]],IF(Transactions[[#This Row],[L3N]]=Transactions[[#This Row],[L2N]],Transactions[[#This Row],[L3N]],IF(Transactions[[#This Row],[L2N]]=Transactions[[#This Row],[L1N]],Transactions[[#This Row],[L2N]],IF(Transactions[[#This Row],[L1N]]=Transactions[[#This Row],[Transaction name]],Transactions[[#This Row],[L1N]],Transactions[[#This Row],[Transaction name]])))))))</f>
        <v>Transformation</v>
      </c>
      <c r="AS465" s="26" t="str">
        <f>IF(Transactions[[#This Row],[Level 0]]=Transactions[[#This Row],[Transaction name]],Transactions[[#This Row],[Transaction name]],IF(Transactions[[#This Row],[Level 0]]=Transactions[[#This Row],[L1N]],Transactions[[#This Row],[Transaction name]],IF(Transactions[[#This Row],[Level 0]]=Transactions[[#This Row],[L2N]],Transactions[[#This Row],[L1N]],IF(Transactions[[#This Row],[Level 0]]=Transactions[[#This Row],[L3N]],Transactions[[#This Row],[L2N]],IF(Transactions[[#This Row],[Level 0]]=Transactions[[#This Row],[L4N]],Transactions[[#This Row],[L3N]],IF(Transactions[[#This Row],[Level 0]]=Transactions[[#This Row],[L5N]],Transactions[[#This Row],[L4N]],IF(Transactions[[#This Row],[Level 0]]=Transactions[[#This Row],[L6N]],Transactions[[#This Row],[L5N]],IF(Transactions[[#This Row],[Level 0]]=Transactions[[#This Row],[L7N]],Transactions[[#This Row],[L6N]],Transactions[[#This Row],[L7N]]))))))))</f>
        <v>Electricity, CHP and heat plants (T)</v>
      </c>
      <c r="AT465" s="26" t="str">
        <f>IF(Transactions[[#This Row],[Level 1]]=Transactions[[#This Row],[Transaction name]],Transactions[[#This Row],[Transaction name]],IF(Transactions[[#This Row],[Level 1]]=Transactions[[#This Row],[L1N]],Transactions[[#This Row],[Transaction name]],IF(Transactions[[#This Row],[Level 1]]=Transactions[[#This Row],[L2N]],Transactions[[#This Row],[L1N]],IF(Transactions[[#This Row],[Level 1]]=Transactions[[#This Row],[L3N]],Transactions[[#This Row],[L2N]],IF(Transactions[[#This Row],[Level 1]]=Transactions[[#This Row],[L4N]],Transactions[[#This Row],[L3N]],IF(Transactions[[#This Row],[Level 1]]=Transactions[[#This Row],[L5N]],Transactions[[#This Row],[L4N]],IF(Transactions[[#This Row],[Level 1]]=Transactions[[#This Row],[L6N]],Transactions[[#This Row],[L5N]],IF(Transactions[[#This Row],[Level 1]]=Transactions[[#This Row],[L7N]],Transactions[[#This Row],[L6N]],Transactions[[#This Row],[L7N]]))))))))</f>
        <v>Heat plants</v>
      </c>
      <c r="AU465" s="26" t="str">
        <f>IF(Transactions[[#This Row],[Level 2]]=Transactions[[#This Row],[Transaction name]],Transactions[[#This Row],[Transaction name]],IF(Transactions[[#This Row],[Level 2]]=Transactions[[#This Row],[L1N]],Transactions[[#This Row],[Transaction name]],IF(Transactions[[#This Row],[Level 2]]=Transactions[[#This Row],[L2N]],Transactions[[#This Row],[L1N]],IF(Transactions[[#This Row],[Level 2]]=Transactions[[#This Row],[L3N]],Transactions[[#This Row],[L2N]],IF(Transactions[[#This Row],[Level 2]]=Transactions[[#This Row],[L4N]],Transactions[[#This Row],[L3N]],IF(Transactions[[#This Row],[Level 2]]=Transactions[[#This Row],[L5N]],Transactions[[#This Row],[L4N]],IF(Transactions[[#This Row],[Level 2]]=Transactions[[#This Row],[L6N]],Transactions[[#This Row],[L5N]],IF(Transactions[[#This Row],[Level 2]]=Transactions[[#This Row],[L7N]],Transactions[[#This Row],[L6N]],Transactions[[#This Row],[L7N]]))))))))</f>
        <v>Heat plants - crude oil</v>
      </c>
      <c r="AV465" s="26" t="str">
        <f>IF(Transactions[[#This Row],[Level 3]]=Transactions[[#This Row],[Transaction name]],Transactions[[#This Row],[Transaction name]],IF(Transactions[[#This Row],[Level 3]]=Transactions[[#This Row],[L1N]],Transactions[[#This Row],[Transaction name]],IF(Transactions[[#This Row],[Level 3]]=Transactions[[#This Row],[L2N]],Transactions[[#This Row],[L1N]],IF(Transactions[[#This Row],[Level 3]]=Transactions[[#This Row],[L3N]],Transactions[[#This Row],[L2N]],IF(Transactions[[#This Row],[Level 3]]=Transactions[[#This Row],[L4N]],Transactions[[#This Row],[L3N]],IF(Transactions[[#This Row],[Level 3]]=Transactions[[#This Row],[L5N]],Transactions[[#This Row],[L4N]],IF(Transactions[[#This Row],[Level 3]]=Transactions[[#This Row],[L6N]],Transactions[[#This Row],[L5N]],IF(Transactions[[#This Row],[Level 3]]=Transactions[[#This Row],[L7N]],Transactions[[#This Row],[L6N]],Transactions[[#This Row],[L7N]]))))))))</f>
        <v>Heat plants - crude oil</v>
      </c>
      <c r="AW465" s="26" t="str">
        <f>IF(Transactions[[#This Row],[Level 4]]=Transactions[[#This Row],[Transaction name]],Transactions[[#This Row],[Transaction name]],IF(Transactions[[#This Row],[Level 4]]=Transactions[[#This Row],[L1N]],Transactions[[#This Row],[Transaction name]],IF(Transactions[[#This Row],[Level 4]]=Transactions[[#This Row],[L2N]],Transactions[[#This Row],[L1N]],IF(Transactions[[#This Row],[Level 4]]=Transactions[[#This Row],[L3N]],Transactions[[#This Row],[L2N]],IF(Transactions[[#This Row],[Level 4]]=Transactions[[#This Row],[L4N]],Transactions[[#This Row],[L3N]],IF(Transactions[[#This Row],[Level 4]]=Transactions[[#This Row],[L5N]],Transactions[[#This Row],[L4N]],IF(Transactions[[#This Row],[Level 4]]=Transactions[[#This Row],[L6N]],Transactions[[#This Row],[L5N]],IF(Transactions[[#This Row],[Level 4]]=Transactions[[#This Row],[L7N]],Transactions[[#This Row],[L6N]],Transactions[[#This Row],[L7N]]))))))))</f>
        <v>Heat plants - crude oil</v>
      </c>
      <c r="AX465" s="26" t="str">
        <f>IF(Transactions[[#This Row],[Level 5]]=Transactions[[#This Row],[Transaction name]],Transactions[[#This Row],[Transaction name]],IF(Transactions[[#This Row],[Level 5]]=Transactions[[#This Row],[L1N]],Transactions[[#This Row],[Transaction name]],IF(Transactions[[#This Row],[Level 5]]=Transactions[[#This Row],[L2N]],Transactions[[#This Row],[L1N]],IF(Transactions[[#This Row],[Level 5]]=Transactions[[#This Row],[L3N]],Transactions[[#This Row],[L2N]],IF(Transactions[[#This Row],[Level 5]]=Transactions[[#This Row],[L4N]],Transactions[[#This Row],[L3N]],IF(Transactions[[#This Row],[Level 5]]=Transactions[[#This Row],[L5N]],Transactions[[#This Row],[L4N]],IF(Transactions[[#This Row],[Level 5]]=Transactions[[#This Row],[L6N]],Transactions[[#This Row],[L5N]],IF(Transactions[[#This Row],[Level 5]]=Transactions[[#This Row],[L7N]],Transactions[[#This Row],[L6N]],Transactions[[#This Row],[L7N]]))))))))</f>
        <v>Heat plants - crude oil</v>
      </c>
      <c r="AY465" s="26" t="str">
        <f>IF(Transactions[[#This Row],[Level 6]]=Transactions[[#This Row],[Transaction name]],Transactions[[#This Row],[Transaction name]],IF(Transactions[[#This Row],[Level 6]]=Transactions[[#This Row],[L1N]],Transactions[[#This Row],[Transaction name]],IF(Transactions[[#This Row],[Level 6]]=Transactions[[#This Row],[L2N]],Transactions[[#This Row],[L1N]],IF(Transactions[[#This Row],[Level 6]]=Transactions[[#This Row],[L3N]],Transactions[[#This Row],[L2N]],IF(Transactions[[#This Row],[Level 6]]=Transactions[[#This Row],[L4N]],Transactions[[#This Row],[L3N]],IF(Transactions[[#This Row],[Level 6]]=Transactions[[#This Row],[L5N]],Transactions[[#This Row],[L4N]],IF(Transactions[[#This Row],[Level 6]]=Transactions[[#This Row],[L6N]],Transactions[[#This Row],[L5N]],IF(Transactions[[#This Row],[Level 6]]=Transactions[[#This Row],[L7N]],Transactions[[#This Row],[L6N]],Transactions[[#This Row],[L7N]]))))))))</f>
        <v>Heat plants - crude oil</v>
      </c>
    </row>
    <row r="466" spans="25:51" x14ac:dyDescent="0.45">
      <c r="Y466" s="5" t="s">
        <v>1279</v>
      </c>
      <c r="Z466" s="7" t="s">
        <v>1227</v>
      </c>
      <c r="AA466" s="4" t="s">
        <v>1401</v>
      </c>
      <c r="AB466" s="19" t="s">
        <v>1498</v>
      </c>
      <c r="AC466" s="24" t="str">
        <f>IFERROR(VLOOKUP(Transactions[[#This Row],[Parent code]],Transactions[[Transaction code]:[Transaction name]],2,0),"")</f>
        <v>Heat plants - crude oil</v>
      </c>
      <c r="AD466" s="4" t="s">
        <v>189</v>
      </c>
      <c r="AE466" s="4" t="s">
        <v>924</v>
      </c>
      <c r="AF466" s="4" t="s">
        <v>642</v>
      </c>
      <c r="AG466" s="4" t="s">
        <v>1</v>
      </c>
      <c r="AH466" s="4" t="s">
        <v>696</v>
      </c>
      <c r="AI466" s="12" t="s">
        <v>1416</v>
      </c>
      <c r="AK466" s="24" t="str" cm="1">
        <f t="array" ref="AK466">IFERROR(INDEX(Transactions[[Transaction code]:[Transaction name]],_xlfn.XMATCH(Transactions[[#This Row],[Parent code]],Transactions[Transaction name],0),3),Transactions[[#This Row],[Transaction name]])</f>
        <v>Heat plants - Main activity - crude oil</v>
      </c>
      <c r="AL466" s="24" t="str" cm="1">
        <f t="array" ref="AL466">IFERROR(INDEX(Transactions[[Transaction code]:[Transaction name]],_xlfn.XMATCH(INDEX(Transactions[[Transaction name]:[Parent code]],_xlfn.XMATCH(Transactions[[#This Row],[L1N]],Transactions[Transaction name],0),3),Transactions[Transaction code],0),2),Transactions[[#This Row],[L1N]])</f>
        <v>Heat plants - crude oil</v>
      </c>
      <c r="AM466" s="24" t="str" cm="1">
        <f t="array" ref="AM466">IFERROR(INDEX(Transactions[[Transaction code]:[Transaction name]],_xlfn.XMATCH(INDEX(Transactions[[Transaction name]:[Parent code]],_xlfn.XMATCH(Transactions[[#This Row],[L2N]],Transactions[Transaction name],0),3),Transactions[Transaction code],0),2),Transactions[[#This Row],[L2N]])</f>
        <v>Heat plants</v>
      </c>
      <c r="AN466" s="24" t="str" cm="1">
        <f t="array" ref="AN466">IFERROR(INDEX(Transactions[[Transaction code]:[Transaction name]],_xlfn.XMATCH(INDEX(Transactions[[Transaction name]:[Parent code]],_xlfn.XMATCH(Transactions[[#This Row],[L3N]],Transactions[Transaction name],0),3),Transactions[Transaction code],0),2),Transactions[[#This Row],[L3N]])</f>
        <v>Electricity, CHP and heat plants (T)</v>
      </c>
      <c r="AO466" s="24" t="str" cm="1">
        <f t="array" ref="AO466">IFERROR(INDEX(Transactions[[Transaction code]:[Transaction name]],_xlfn.XMATCH(INDEX(Transactions[[Transaction name]:[Parent code]],_xlfn.XMATCH(Transactions[[#This Row],[L4N]],Transactions[Transaction name],0),3),Transactions[Transaction code],0),2),Transactions[[#This Row],[L4N]])</f>
        <v>Transformation</v>
      </c>
      <c r="AP466" s="24" t="str" cm="1">
        <f t="array" ref="AP466">IFERROR(INDEX(Transactions[[Transaction code]:[Transaction name]],_xlfn.XMATCH(INDEX(Transactions[[Transaction name]:[Parent code]],_xlfn.XMATCH(Transactions[[#This Row],[L5N]],Transactions[Transaction name],0),3),Transactions[Transaction code],0),2),Transactions[[#This Row],[L5N]])</f>
        <v>Transformation</v>
      </c>
      <c r="AQ466" s="24" t="str" cm="1">
        <f t="array" ref="AQ466">IFERROR(INDEX(Transactions[[Transaction code]:[Transaction name]],_xlfn.XMATCH(INDEX(Transactions[[Transaction name]:[Parent code]],_xlfn.XMATCH(Transactions[[#This Row],[L6N]],Transactions[Transaction name],0),3),Transactions[Transaction code],0),2),Transactions[[#This Row],[L6N]])</f>
        <v>Transformation</v>
      </c>
      <c r="AR466" s="27" t="str">
        <f>IF(Transactions[[#This Row],[L7N]]=Transactions[[#This Row],[L6N]],Transactions[[#This Row],[L7N]],IF(Transactions[[#This Row],[L6N]]=Transactions[[#This Row],[L5N]],Transactions[[#This Row],[L6N]],IF(Transactions[[#This Row],[L5N]]=Transactions[[#This Row],[L4N]],Transactions[[#This Row],[L5N]],IF(Transactions[[#This Row],[L4N]]=Transactions[[#This Row],[L3N]],Transactions[[#This Row],[L4N]],IF(Transactions[[#This Row],[L3N]]=Transactions[[#This Row],[L2N]],Transactions[[#This Row],[L3N]],IF(Transactions[[#This Row],[L2N]]=Transactions[[#This Row],[L1N]],Transactions[[#This Row],[L2N]],IF(Transactions[[#This Row],[L1N]]=Transactions[[#This Row],[Transaction name]],Transactions[[#This Row],[L1N]],Transactions[[#This Row],[Transaction name]])))))))</f>
        <v>Transformation</v>
      </c>
      <c r="AS466" s="24" t="str">
        <f>IF(Transactions[[#This Row],[Level 0]]=Transactions[[#This Row],[Transaction name]],Transactions[[#This Row],[Transaction name]],IF(Transactions[[#This Row],[Level 0]]=Transactions[[#This Row],[L1N]],Transactions[[#This Row],[Transaction name]],IF(Transactions[[#This Row],[Level 0]]=Transactions[[#This Row],[L2N]],Transactions[[#This Row],[L1N]],IF(Transactions[[#This Row],[Level 0]]=Transactions[[#This Row],[L3N]],Transactions[[#This Row],[L2N]],IF(Transactions[[#This Row],[Level 0]]=Transactions[[#This Row],[L4N]],Transactions[[#This Row],[L3N]],IF(Transactions[[#This Row],[Level 0]]=Transactions[[#This Row],[L5N]],Transactions[[#This Row],[L4N]],IF(Transactions[[#This Row],[Level 0]]=Transactions[[#This Row],[L6N]],Transactions[[#This Row],[L5N]],IF(Transactions[[#This Row],[Level 0]]=Transactions[[#This Row],[L7N]],Transactions[[#This Row],[L6N]],Transactions[[#This Row],[L7N]]))))))))</f>
        <v>Electricity, CHP and heat plants (T)</v>
      </c>
      <c r="AT466" s="24" t="str">
        <f>IF(Transactions[[#This Row],[Level 1]]=Transactions[[#This Row],[Transaction name]],Transactions[[#This Row],[Transaction name]],IF(Transactions[[#This Row],[Level 1]]=Transactions[[#This Row],[L1N]],Transactions[[#This Row],[Transaction name]],IF(Transactions[[#This Row],[Level 1]]=Transactions[[#This Row],[L2N]],Transactions[[#This Row],[L1N]],IF(Transactions[[#This Row],[Level 1]]=Transactions[[#This Row],[L3N]],Transactions[[#This Row],[L2N]],IF(Transactions[[#This Row],[Level 1]]=Transactions[[#This Row],[L4N]],Transactions[[#This Row],[L3N]],IF(Transactions[[#This Row],[Level 1]]=Transactions[[#This Row],[L5N]],Transactions[[#This Row],[L4N]],IF(Transactions[[#This Row],[Level 1]]=Transactions[[#This Row],[L6N]],Transactions[[#This Row],[L5N]],IF(Transactions[[#This Row],[Level 1]]=Transactions[[#This Row],[L7N]],Transactions[[#This Row],[L6N]],Transactions[[#This Row],[L7N]]))))))))</f>
        <v>Heat plants</v>
      </c>
      <c r="AU466" s="24" t="str">
        <f>IF(Transactions[[#This Row],[Level 2]]=Transactions[[#This Row],[Transaction name]],Transactions[[#This Row],[Transaction name]],IF(Transactions[[#This Row],[Level 2]]=Transactions[[#This Row],[L1N]],Transactions[[#This Row],[Transaction name]],IF(Transactions[[#This Row],[Level 2]]=Transactions[[#This Row],[L2N]],Transactions[[#This Row],[L1N]],IF(Transactions[[#This Row],[Level 2]]=Transactions[[#This Row],[L3N]],Transactions[[#This Row],[L2N]],IF(Transactions[[#This Row],[Level 2]]=Transactions[[#This Row],[L4N]],Transactions[[#This Row],[L3N]],IF(Transactions[[#This Row],[Level 2]]=Transactions[[#This Row],[L5N]],Transactions[[#This Row],[L4N]],IF(Transactions[[#This Row],[Level 2]]=Transactions[[#This Row],[L6N]],Transactions[[#This Row],[L5N]],IF(Transactions[[#This Row],[Level 2]]=Transactions[[#This Row],[L7N]],Transactions[[#This Row],[L6N]],Transactions[[#This Row],[L7N]]))))))))</f>
        <v>Heat plants - crude oil</v>
      </c>
      <c r="AV466" s="24" t="str">
        <f>IF(Transactions[[#This Row],[Level 3]]=Transactions[[#This Row],[Transaction name]],Transactions[[#This Row],[Transaction name]],IF(Transactions[[#This Row],[Level 3]]=Transactions[[#This Row],[L1N]],Transactions[[#This Row],[Transaction name]],IF(Transactions[[#This Row],[Level 3]]=Transactions[[#This Row],[L2N]],Transactions[[#This Row],[L1N]],IF(Transactions[[#This Row],[Level 3]]=Transactions[[#This Row],[L3N]],Transactions[[#This Row],[L2N]],IF(Transactions[[#This Row],[Level 3]]=Transactions[[#This Row],[L4N]],Transactions[[#This Row],[L3N]],IF(Transactions[[#This Row],[Level 3]]=Transactions[[#This Row],[L5N]],Transactions[[#This Row],[L4N]],IF(Transactions[[#This Row],[Level 3]]=Transactions[[#This Row],[L6N]],Transactions[[#This Row],[L5N]],IF(Transactions[[#This Row],[Level 3]]=Transactions[[#This Row],[L7N]],Transactions[[#This Row],[L6N]],Transactions[[#This Row],[L7N]]))))))))</f>
        <v>Heat plants - Main activity - crude oil</v>
      </c>
      <c r="AW466" s="24" t="str">
        <f>IF(Transactions[[#This Row],[Level 4]]=Transactions[[#This Row],[Transaction name]],Transactions[[#This Row],[Transaction name]],IF(Transactions[[#This Row],[Level 4]]=Transactions[[#This Row],[L1N]],Transactions[[#This Row],[Transaction name]],IF(Transactions[[#This Row],[Level 4]]=Transactions[[#This Row],[L2N]],Transactions[[#This Row],[L1N]],IF(Transactions[[#This Row],[Level 4]]=Transactions[[#This Row],[L3N]],Transactions[[#This Row],[L2N]],IF(Transactions[[#This Row],[Level 4]]=Transactions[[#This Row],[L4N]],Transactions[[#This Row],[L3N]],IF(Transactions[[#This Row],[Level 4]]=Transactions[[#This Row],[L5N]],Transactions[[#This Row],[L4N]],IF(Transactions[[#This Row],[Level 4]]=Transactions[[#This Row],[L6N]],Transactions[[#This Row],[L5N]],IF(Transactions[[#This Row],[Level 4]]=Transactions[[#This Row],[L7N]],Transactions[[#This Row],[L6N]],Transactions[[#This Row],[L7N]]))))))))</f>
        <v>Heat plants - Main activity - crude oil</v>
      </c>
      <c r="AX466" s="24" t="str">
        <f>IF(Transactions[[#This Row],[Level 5]]=Transactions[[#This Row],[Transaction name]],Transactions[[#This Row],[Transaction name]],IF(Transactions[[#This Row],[Level 5]]=Transactions[[#This Row],[L1N]],Transactions[[#This Row],[Transaction name]],IF(Transactions[[#This Row],[Level 5]]=Transactions[[#This Row],[L2N]],Transactions[[#This Row],[L1N]],IF(Transactions[[#This Row],[Level 5]]=Transactions[[#This Row],[L3N]],Transactions[[#This Row],[L2N]],IF(Transactions[[#This Row],[Level 5]]=Transactions[[#This Row],[L4N]],Transactions[[#This Row],[L3N]],IF(Transactions[[#This Row],[Level 5]]=Transactions[[#This Row],[L5N]],Transactions[[#This Row],[L4N]],IF(Transactions[[#This Row],[Level 5]]=Transactions[[#This Row],[L6N]],Transactions[[#This Row],[L5N]],IF(Transactions[[#This Row],[Level 5]]=Transactions[[#This Row],[L7N]],Transactions[[#This Row],[L6N]],Transactions[[#This Row],[L7N]]))))))))</f>
        <v>Heat plants - Main activity - crude oil</v>
      </c>
      <c r="AY466" s="24" t="str">
        <f>IF(Transactions[[#This Row],[Level 6]]=Transactions[[#This Row],[Transaction name]],Transactions[[#This Row],[Transaction name]],IF(Transactions[[#This Row],[Level 6]]=Transactions[[#This Row],[L1N]],Transactions[[#This Row],[Transaction name]],IF(Transactions[[#This Row],[Level 6]]=Transactions[[#This Row],[L2N]],Transactions[[#This Row],[L1N]],IF(Transactions[[#This Row],[Level 6]]=Transactions[[#This Row],[L3N]],Transactions[[#This Row],[L2N]],IF(Transactions[[#This Row],[Level 6]]=Transactions[[#This Row],[L4N]],Transactions[[#This Row],[L3N]],IF(Transactions[[#This Row],[Level 6]]=Transactions[[#This Row],[L5N]],Transactions[[#This Row],[L4N]],IF(Transactions[[#This Row],[Level 6]]=Transactions[[#This Row],[L6N]],Transactions[[#This Row],[L5N]],IF(Transactions[[#This Row],[Level 6]]=Transactions[[#This Row],[L7N]],Transactions[[#This Row],[L6N]],Transactions[[#This Row],[L7N]]))))))))</f>
        <v>Heat plants - Main activity - crude oil</v>
      </c>
    </row>
    <row r="467" spans="25:51" x14ac:dyDescent="0.45">
      <c r="Y467" s="19" t="s">
        <v>1562</v>
      </c>
      <c r="Z467" s="18" t="s">
        <v>1412</v>
      </c>
      <c r="AA467" s="18" t="s">
        <v>1412</v>
      </c>
      <c r="AB467" s="19" t="s">
        <v>1574</v>
      </c>
      <c r="AC467" s="26" t="str">
        <f>IFERROR(VLOOKUP(Transactions[[#This Row],[Parent code]],Transactions[[Transaction code]:[Transaction name]],2,0),"")</f>
        <v>Heat plants</v>
      </c>
      <c r="AD467" s="18" t="s">
        <v>189</v>
      </c>
      <c r="AE467" s="18" t="s">
        <v>924</v>
      </c>
      <c r="AF467" s="18" t="s">
        <v>642</v>
      </c>
      <c r="AG467" s="18" t="s">
        <v>1</v>
      </c>
      <c r="AH467" s="18" t="s">
        <v>696</v>
      </c>
      <c r="AI467" s="18"/>
      <c r="AJ467" s="18"/>
      <c r="AK467" s="26" t="str" cm="1">
        <f t="array" ref="AK467">IFERROR(INDEX(Transactions[[Transaction code]:[Transaction name]],_xlfn.XMATCH(Transactions[[#This Row],[Parent code]],Transactions[Transaction name],0),3),Transactions[[#This Row],[Transaction name]])</f>
        <v>Heat plants - electric boilers</v>
      </c>
      <c r="AL467" s="26" t="str" cm="1">
        <f t="array" ref="AL467">IFERROR(INDEX(Transactions[[Transaction code]:[Transaction name]],_xlfn.XMATCH(INDEX(Transactions[[Transaction name]:[Parent code]],_xlfn.XMATCH(Transactions[[#This Row],[L1N]],Transactions[Transaction name],0),3),Transactions[Transaction code],0),2),Transactions[[#This Row],[L1N]])</f>
        <v>Heat plants</v>
      </c>
      <c r="AM467" s="26" t="str" cm="1">
        <f t="array" ref="AM467">IFERROR(INDEX(Transactions[[Transaction code]:[Transaction name]],_xlfn.XMATCH(INDEX(Transactions[[Transaction name]:[Parent code]],_xlfn.XMATCH(Transactions[[#This Row],[L2N]],Transactions[Transaction name],0),3),Transactions[Transaction code],0),2),Transactions[[#This Row],[L2N]])</f>
        <v>Electricity, CHP and heat plants (T)</v>
      </c>
      <c r="AN467" s="26" t="str" cm="1">
        <f t="array" ref="AN467">IFERROR(INDEX(Transactions[[Transaction code]:[Transaction name]],_xlfn.XMATCH(INDEX(Transactions[[Transaction name]:[Parent code]],_xlfn.XMATCH(Transactions[[#This Row],[L3N]],Transactions[Transaction name],0),3),Transactions[Transaction code],0),2),Transactions[[#This Row],[L3N]])</f>
        <v>Transformation</v>
      </c>
      <c r="AO467" s="26" t="str" cm="1">
        <f t="array" ref="AO467">IFERROR(INDEX(Transactions[[Transaction code]:[Transaction name]],_xlfn.XMATCH(INDEX(Transactions[[Transaction name]:[Parent code]],_xlfn.XMATCH(Transactions[[#This Row],[L4N]],Transactions[Transaction name],0),3),Transactions[Transaction code],0),2),Transactions[[#This Row],[L4N]])</f>
        <v>Transformation</v>
      </c>
      <c r="AP467" s="26" t="str" cm="1">
        <f t="array" ref="AP467">IFERROR(INDEX(Transactions[[Transaction code]:[Transaction name]],_xlfn.XMATCH(INDEX(Transactions[[Transaction name]:[Parent code]],_xlfn.XMATCH(Transactions[[#This Row],[L5N]],Transactions[Transaction name],0),3),Transactions[Transaction code],0),2),Transactions[[#This Row],[L5N]])</f>
        <v>Transformation</v>
      </c>
      <c r="AQ467" s="26" t="str" cm="1">
        <f t="array" ref="AQ467">IFERROR(INDEX(Transactions[[Transaction code]:[Transaction name]],_xlfn.XMATCH(INDEX(Transactions[[Transaction name]:[Parent code]],_xlfn.XMATCH(Transactions[[#This Row],[L6N]],Transactions[Transaction name],0),3),Transactions[Transaction code],0),2),Transactions[[#This Row],[L6N]])</f>
        <v>Transformation</v>
      </c>
      <c r="AR467" s="30" t="str">
        <f>IF(Transactions[[#This Row],[L7N]]=Transactions[[#This Row],[L6N]],Transactions[[#This Row],[L7N]],IF(Transactions[[#This Row],[L6N]]=Transactions[[#This Row],[L5N]],Transactions[[#This Row],[L6N]],IF(Transactions[[#This Row],[L5N]]=Transactions[[#This Row],[L4N]],Transactions[[#This Row],[L5N]],IF(Transactions[[#This Row],[L4N]]=Transactions[[#This Row],[L3N]],Transactions[[#This Row],[L4N]],IF(Transactions[[#This Row],[L3N]]=Transactions[[#This Row],[L2N]],Transactions[[#This Row],[L3N]],IF(Transactions[[#This Row],[L2N]]=Transactions[[#This Row],[L1N]],Transactions[[#This Row],[L2N]],IF(Transactions[[#This Row],[L1N]]=Transactions[[#This Row],[Transaction name]],Transactions[[#This Row],[L1N]],Transactions[[#This Row],[Transaction name]])))))))</f>
        <v>Transformation</v>
      </c>
      <c r="AS467" s="26" t="str">
        <f>IF(Transactions[[#This Row],[Level 0]]=Transactions[[#This Row],[Transaction name]],Transactions[[#This Row],[Transaction name]],IF(Transactions[[#This Row],[Level 0]]=Transactions[[#This Row],[L1N]],Transactions[[#This Row],[Transaction name]],IF(Transactions[[#This Row],[Level 0]]=Transactions[[#This Row],[L2N]],Transactions[[#This Row],[L1N]],IF(Transactions[[#This Row],[Level 0]]=Transactions[[#This Row],[L3N]],Transactions[[#This Row],[L2N]],IF(Transactions[[#This Row],[Level 0]]=Transactions[[#This Row],[L4N]],Transactions[[#This Row],[L3N]],IF(Transactions[[#This Row],[Level 0]]=Transactions[[#This Row],[L5N]],Transactions[[#This Row],[L4N]],IF(Transactions[[#This Row],[Level 0]]=Transactions[[#This Row],[L6N]],Transactions[[#This Row],[L5N]],IF(Transactions[[#This Row],[Level 0]]=Transactions[[#This Row],[L7N]],Transactions[[#This Row],[L6N]],Transactions[[#This Row],[L7N]]))))))))</f>
        <v>Electricity, CHP and heat plants (T)</v>
      </c>
      <c r="AT467" s="26" t="str">
        <f>IF(Transactions[[#This Row],[Level 1]]=Transactions[[#This Row],[Transaction name]],Transactions[[#This Row],[Transaction name]],IF(Transactions[[#This Row],[Level 1]]=Transactions[[#This Row],[L1N]],Transactions[[#This Row],[Transaction name]],IF(Transactions[[#This Row],[Level 1]]=Transactions[[#This Row],[L2N]],Transactions[[#This Row],[L1N]],IF(Transactions[[#This Row],[Level 1]]=Transactions[[#This Row],[L3N]],Transactions[[#This Row],[L2N]],IF(Transactions[[#This Row],[Level 1]]=Transactions[[#This Row],[L4N]],Transactions[[#This Row],[L3N]],IF(Transactions[[#This Row],[Level 1]]=Transactions[[#This Row],[L5N]],Transactions[[#This Row],[L4N]],IF(Transactions[[#This Row],[Level 1]]=Transactions[[#This Row],[L6N]],Transactions[[#This Row],[L5N]],IF(Transactions[[#This Row],[Level 1]]=Transactions[[#This Row],[L7N]],Transactions[[#This Row],[L6N]],Transactions[[#This Row],[L7N]]))))))))</f>
        <v>Heat plants</v>
      </c>
      <c r="AU467" s="26" t="str">
        <f>IF(Transactions[[#This Row],[Level 2]]=Transactions[[#This Row],[Transaction name]],Transactions[[#This Row],[Transaction name]],IF(Transactions[[#This Row],[Level 2]]=Transactions[[#This Row],[L1N]],Transactions[[#This Row],[Transaction name]],IF(Transactions[[#This Row],[Level 2]]=Transactions[[#This Row],[L2N]],Transactions[[#This Row],[L1N]],IF(Transactions[[#This Row],[Level 2]]=Transactions[[#This Row],[L3N]],Transactions[[#This Row],[L2N]],IF(Transactions[[#This Row],[Level 2]]=Transactions[[#This Row],[L4N]],Transactions[[#This Row],[L3N]],IF(Transactions[[#This Row],[Level 2]]=Transactions[[#This Row],[L5N]],Transactions[[#This Row],[L4N]],IF(Transactions[[#This Row],[Level 2]]=Transactions[[#This Row],[L6N]],Transactions[[#This Row],[L5N]],IF(Transactions[[#This Row],[Level 2]]=Transactions[[#This Row],[L7N]],Transactions[[#This Row],[L6N]],Transactions[[#This Row],[L7N]]))))))))</f>
        <v>Heat plants - electric boilers</v>
      </c>
      <c r="AV467" s="26" t="str">
        <f>IF(Transactions[[#This Row],[Level 3]]=Transactions[[#This Row],[Transaction name]],Transactions[[#This Row],[Transaction name]],IF(Transactions[[#This Row],[Level 3]]=Transactions[[#This Row],[L1N]],Transactions[[#This Row],[Transaction name]],IF(Transactions[[#This Row],[Level 3]]=Transactions[[#This Row],[L2N]],Transactions[[#This Row],[L1N]],IF(Transactions[[#This Row],[Level 3]]=Transactions[[#This Row],[L3N]],Transactions[[#This Row],[L2N]],IF(Transactions[[#This Row],[Level 3]]=Transactions[[#This Row],[L4N]],Transactions[[#This Row],[L3N]],IF(Transactions[[#This Row],[Level 3]]=Transactions[[#This Row],[L5N]],Transactions[[#This Row],[L4N]],IF(Transactions[[#This Row],[Level 3]]=Transactions[[#This Row],[L6N]],Transactions[[#This Row],[L5N]],IF(Transactions[[#This Row],[Level 3]]=Transactions[[#This Row],[L7N]],Transactions[[#This Row],[L6N]],Transactions[[#This Row],[L7N]]))))))))</f>
        <v>Heat plants - electric boilers</v>
      </c>
      <c r="AW467" s="26" t="str">
        <f>IF(Transactions[[#This Row],[Level 4]]=Transactions[[#This Row],[Transaction name]],Transactions[[#This Row],[Transaction name]],IF(Transactions[[#This Row],[Level 4]]=Transactions[[#This Row],[L1N]],Transactions[[#This Row],[Transaction name]],IF(Transactions[[#This Row],[Level 4]]=Transactions[[#This Row],[L2N]],Transactions[[#This Row],[L1N]],IF(Transactions[[#This Row],[Level 4]]=Transactions[[#This Row],[L3N]],Transactions[[#This Row],[L2N]],IF(Transactions[[#This Row],[Level 4]]=Transactions[[#This Row],[L4N]],Transactions[[#This Row],[L3N]],IF(Transactions[[#This Row],[Level 4]]=Transactions[[#This Row],[L5N]],Transactions[[#This Row],[L4N]],IF(Transactions[[#This Row],[Level 4]]=Transactions[[#This Row],[L6N]],Transactions[[#This Row],[L5N]],IF(Transactions[[#This Row],[Level 4]]=Transactions[[#This Row],[L7N]],Transactions[[#This Row],[L6N]],Transactions[[#This Row],[L7N]]))))))))</f>
        <v>Heat plants - electric boilers</v>
      </c>
      <c r="AX467" s="26" t="str">
        <f>IF(Transactions[[#This Row],[Level 5]]=Transactions[[#This Row],[Transaction name]],Transactions[[#This Row],[Transaction name]],IF(Transactions[[#This Row],[Level 5]]=Transactions[[#This Row],[L1N]],Transactions[[#This Row],[Transaction name]],IF(Transactions[[#This Row],[Level 5]]=Transactions[[#This Row],[L2N]],Transactions[[#This Row],[L1N]],IF(Transactions[[#This Row],[Level 5]]=Transactions[[#This Row],[L3N]],Transactions[[#This Row],[L2N]],IF(Transactions[[#This Row],[Level 5]]=Transactions[[#This Row],[L4N]],Transactions[[#This Row],[L3N]],IF(Transactions[[#This Row],[Level 5]]=Transactions[[#This Row],[L5N]],Transactions[[#This Row],[L4N]],IF(Transactions[[#This Row],[Level 5]]=Transactions[[#This Row],[L6N]],Transactions[[#This Row],[L5N]],IF(Transactions[[#This Row],[Level 5]]=Transactions[[#This Row],[L7N]],Transactions[[#This Row],[L6N]],Transactions[[#This Row],[L7N]]))))))))</f>
        <v>Heat plants - electric boilers</v>
      </c>
      <c r="AY467" s="26" t="str">
        <f>IF(Transactions[[#This Row],[Level 6]]=Transactions[[#This Row],[Transaction name]],Transactions[[#This Row],[Transaction name]],IF(Transactions[[#This Row],[Level 6]]=Transactions[[#This Row],[L1N]],Transactions[[#This Row],[Transaction name]],IF(Transactions[[#This Row],[Level 6]]=Transactions[[#This Row],[L2N]],Transactions[[#This Row],[L1N]],IF(Transactions[[#This Row],[Level 6]]=Transactions[[#This Row],[L3N]],Transactions[[#This Row],[L2N]],IF(Transactions[[#This Row],[Level 6]]=Transactions[[#This Row],[L4N]],Transactions[[#This Row],[L3N]],IF(Transactions[[#This Row],[Level 6]]=Transactions[[#This Row],[L5N]],Transactions[[#This Row],[L4N]],IF(Transactions[[#This Row],[Level 6]]=Transactions[[#This Row],[L6N]],Transactions[[#This Row],[L5N]],IF(Transactions[[#This Row],[Level 6]]=Transactions[[#This Row],[L7N]],Transactions[[#This Row],[L6N]],Transactions[[#This Row],[L7N]]))))))))</f>
        <v>Heat plants - electric boilers</v>
      </c>
    </row>
    <row r="468" spans="25:51" x14ac:dyDescent="0.45">
      <c r="Y468" s="5" t="s">
        <v>355</v>
      </c>
      <c r="Z468" s="4" t="s">
        <v>1411</v>
      </c>
      <c r="AA468" s="4" t="s">
        <v>1412</v>
      </c>
      <c r="AB468" s="19" t="s">
        <v>1562</v>
      </c>
      <c r="AC468" s="24" t="str">
        <f>IFERROR(VLOOKUP(Transactions[[#This Row],[Parent code]],Transactions[[Transaction code]:[Transaction name]],2,0),"")</f>
        <v>Heat plants - electric boilers</v>
      </c>
      <c r="AD468" s="4" t="s">
        <v>189</v>
      </c>
      <c r="AE468" s="4" t="s">
        <v>924</v>
      </c>
      <c r="AF468" s="4" t="s">
        <v>642</v>
      </c>
      <c r="AG468" s="4" t="s">
        <v>1</v>
      </c>
      <c r="AH468" s="4" t="s">
        <v>696</v>
      </c>
      <c r="AK468" s="24" t="str" cm="1">
        <f t="array" ref="AK468">IFERROR(INDEX(Transactions[[Transaction code]:[Transaction name]],_xlfn.XMATCH(Transactions[[#This Row],[Parent code]],Transactions[Transaction name],0),3),Transactions[[#This Row],[Transaction name]])</f>
        <v>Heat plants - Main activity - electric boilers</v>
      </c>
      <c r="AL468" s="24" t="str" cm="1">
        <f t="array" ref="AL468">IFERROR(INDEX(Transactions[[Transaction code]:[Transaction name]],_xlfn.XMATCH(INDEX(Transactions[[Transaction name]:[Parent code]],_xlfn.XMATCH(Transactions[[#This Row],[L1N]],Transactions[Transaction name],0),3),Transactions[Transaction code],0),2),Transactions[[#This Row],[L1N]])</f>
        <v>Heat plants - electric boilers</v>
      </c>
      <c r="AM468" s="24" t="str" cm="1">
        <f t="array" ref="AM468">IFERROR(INDEX(Transactions[[Transaction code]:[Transaction name]],_xlfn.XMATCH(INDEX(Transactions[[Transaction name]:[Parent code]],_xlfn.XMATCH(Transactions[[#This Row],[L2N]],Transactions[Transaction name],0),3),Transactions[Transaction code],0),2),Transactions[[#This Row],[L2N]])</f>
        <v>Heat plants</v>
      </c>
      <c r="AN468" s="24" t="str" cm="1">
        <f t="array" ref="AN468">IFERROR(INDEX(Transactions[[Transaction code]:[Transaction name]],_xlfn.XMATCH(INDEX(Transactions[[Transaction name]:[Parent code]],_xlfn.XMATCH(Transactions[[#This Row],[L3N]],Transactions[Transaction name],0),3),Transactions[Transaction code],0),2),Transactions[[#This Row],[L3N]])</f>
        <v>Electricity, CHP and heat plants (T)</v>
      </c>
      <c r="AO468" s="24" t="str" cm="1">
        <f t="array" ref="AO468">IFERROR(INDEX(Transactions[[Transaction code]:[Transaction name]],_xlfn.XMATCH(INDEX(Transactions[[Transaction name]:[Parent code]],_xlfn.XMATCH(Transactions[[#This Row],[L4N]],Transactions[Transaction name],0),3),Transactions[Transaction code],0),2),Transactions[[#This Row],[L4N]])</f>
        <v>Transformation</v>
      </c>
      <c r="AP468" s="24" t="str" cm="1">
        <f t="array" ref="AP468">IFERROR(INDEX(Transactions[[Transaction code]:[Transaction name]],_xlfn.XMATCH(INDEX(Transactions[[Transaction name]:[Parent code]],_xlfn.XMATCH(Transactions[[#This Row],[L5N]],Transactions[Transaction name],0),3),Transactions[Transaction code],0),2),Transactions[[#This Row],[L5N]])</f>
        <v>Transformation</v>
      </c>
      <c r="AQ468" s="24" t="str" cm="1">
        <f t="array" ref="AQ468">IFERROR(INDEX(Transactions[[Transaction code]:[Transaction name]],_xlfn.XMATCH(INDEX(Transactions[[Transaction name]:[Parent code]],_xlfn.XMATCH(Transactions[[#This Row],[L6N]],Transactions[Transaction name],0),3),Transactions[Transaction code],0),2),Transactions[[#This Row],[L6N]])</f>
        <v>Transformation</v>
      </c>
      <c r="AR468" s="27" t="str">
        <f>IF(Transactions[[#This Row],[L7N]]=Transactions[[#This Row],[L6N]],Transactions[[#This Row],[L7N]],IF(Transactions[[#This Row],[L6N]]=Transactions[[#This Row],[L5N]],Transactions[[#This Row],[L6N]],IF(Transactions[[#This Row],[L5N]]=Transactions[[#This Row],[L4N]],Transactions[[#This Row],[L5N]],IF(Transactions[[#This Row],[L4N]]=Transactions[[#This Row],[L3N]],Transactions[[#This Row],[L4N]],IF(Transactions[[#This Row],[L3N]]=Transactions[[#This Row],[L2N]],Transactions[[#This Row],[L3N]],IF(Transactions[[#This Row],[L2N]]=Transactions[[#This Row],[L1N]],Transactions[[#This Row],[L2N]],IF(Transactions[[#This Row],[L1N]]=Transactions[[#This Row],[Transaction name]],Transactions[[#This Row],[L1N]],Transactions[[#This Row],[Transaction name]])))))))</f>
        <v>Transformation</v>
      </c>
      <c r="AS468" s="24" t="str">
        <f>IF(Transactions[[#This Row],[Level 0]]=Transactions[[#This Row],[Transaction name]],Transactions[[#This Row],[Transaction name]],IF(Transactions[[#This Row],[Level 0]]=Transactions[[#This Row],[L1N]],Transactions[[#This Row],[Transaction name]],IF(Transactions[[#This Row],[Level 0]]=Transactions[[#This Row],[L2N]],Transactions[[#This Row],[L1N]],IF(Transactions[[#This Row],[Level 0]]=Transactions[[#This Row],[L3N]],Transactions[[#This Row],[L2N]],IF(Transactions[[#This Row],[Level 0]]=Transactions[[#This Row],[L4N]],Transactions[[#This Row],[L3N]],IF(Transactions[[#This Row],[Level 0]]=Transactions[[#This Row],[L5N]],Transactions[[#This Row],[L4N]],IF(Transactions[[#This Row],[Level 0]]=Transactions[[#This Row],[L6N]],Transactions[[#This Row],[L5N]],IF(Transactions[[#This Row],[Level 0]]=Transactions[[#This Row],[L7N]],Transactions[[#This Row],[L6N]],Transactions[[#This Row],[L7N]]))))))))</f>
        <v>Electricity, CHP and heat plants (T)</v>
      </c>
      <c r="AT468" s="24" t="str">
        <f>IF(Transactions[[#This Row],[Level 1]]=Transactions[[#This Row],[Transaction name]],Transactions[[#This Row],[Transaction name]],IF(Transactions[[#This Row],[Level 1]]=Transactions[[#This Row],[L1N]],Transactions[[#This Row],[Transaction name]],IF(Transactions[[#This Row],[Level 1]]=Transactions[[#This Row],[L2N]],Transactions[[#This Row],[L1N]],IF(Transactions[[#This Row],[Level 1]]=Transactions[[#This Row],[L3N]],Transactions[[#This Row],[L2N]],IF(Transactions[[#This Row],[Level 1]]=Transactions[[#This Row],[L4N]],Transactions[[#This Row],[L3N]],IF(Transactions[[#This Row],[Level 1]]=Transactions[[#This Row],[L5N]],Transactions[[#This Row],[L4N]],IF(Transactions[[#This Row],[Level 1]]=Transactions[[#This Row],[L6N]],Transactions[[#This Row],[L5N]],IF(Transactions[[#This Row],[Level 1]]=Transactions[[#This Row],[L7N]],Transactions[[#This Row],[L6N]],Transactions[[#This Row],[L7N]]))))))))</f>
        <v>Heat plants</v>
      </c>
      <c r="AU468" s="24" t="str">
        <f>IF(Transactions[[#This Row],[Level 2]]=Transactions[[#This Row],[Transaction name]],Transactions[[#This Row],[Transaction name]],IF(Transactions[[#This Row],[Level 2]]=Transactions[[#This Row],[L1N]],Transactions[[#This Row],[Transaction name]],IF(Transactions[[#This Row],[Level 2]]=Transactions[[#This Row],[L2N]],Transactions[[#This Row],[L1N]],IF(Transactions[[#This Row],[Level 2]]=Transactions[[#This Row],[L3N]],Transactions[[#This Row],[L2N]],IF(Transactions[[#This Row],[Level 2]]=Transactions[[#This Row],[L4N]],Transactions[[#This Row],[L3N]],IF(Transactions[[#This Row],[Level 2]]=Transactions[[#This Row],[L5N]],Transactions[[#This Row],[L4N]],IF(Transactions[[#This Row],[Level 2]]=Transactions[[#This Row],[L6N]],Transactions[[#This Row],[L5N]],IF(Transactions[[#This Row],[Level 2]]=Transactions[[#This Row],[L7N]],Transactions[[#This Row],[L6N]],Transactions[[#This Row],[L7N]]))))))))</f>
        <v>Heat plants - electric boilers</v>
      </c>
      <c r="AV468" s="24" t="str">
        <f>IF(Transactions[[#This Row],[Level 3]]=Transactions[[#This Row],[Transaction name]],Transactions[[#This Row],[Transaction name]],IF(Transactions[[#This Row],[Level 3]]=Transactions[[#This Row],[L1N]],Transactions[[#This Row],[Transaction name]],IF(Transactions[[#This Row],[Level 3]]=Transactions[[#This Row],[L2N]],Transactions[[#This Row],[L1N]],IF(Transactions[[#This Row],[Level 3]]=Transactions[[#This Row],[L3N]],Transactions[[#This Row],[L2N]],IF(Transactions[[#This Row],[Level 3]]=Transactions[[#This Row],[L4N]],Transactions[[#This Row],[L3N]],IF(Transactions[[#This Row],[Level 3]]=Transactions[[#This Row],[L5N]],Transactions[[#This Row],[L4N]],IF(Transactions[[#This Row],[Level 3]]=Transactions[[#This Row],[L6N]],Transactions[[#This Row],[L5N]],IF(Transactions[[#This Row],[Level 3]]=Transactions[[#This Row],[L7N]],Transactions[[#This Row],[L6N]],Transactions[[#This Row],[L7N]]))))))))</f>
        <v>Heat plants - Main activity - electric boilers</v>
      </c>
      <c r="AW468" s="24" t="str">
        <f>IF(Transactions[[#This Row],[Level 4]]=Transactions[[#This Row],[Transaction name]],Transactions[[#This Row],[Transaction name]],IF(Transactions[[#This Row],[Level 4]]=Transactions[[#This Row],[L1N]],Transactions[[#This Row],[Transaction name]],IF(Transactions[[#This Row],[Level 4]]=Transactions[[#This Row],[L2N]],Transactions[[#This Row],[L1N]],IF(Transactions[[#This Row],[Level 4]]=Transactions[[#This Row],[L3N]],Transactions[[#This Row],[L2N]],IF(Transactions[[#This Row],[Level 4]]=Transactions[[#This Row],[L4N]],Transactions[[#This Row],[L3N]],IF(Transactions[[#This Row],[Level 4]]=Transactions[[#This Row],[L5N]],Transactions[[#This Row],[L4N]],IF(Transactions[[#This Row],[Level 4]]=Transactions[[#This Row],[L6N]],Transactions[[#This Row],[L5N]],IF(Transactions[[#This Row],[Level 4]]=Transactions[[#This Row],[L7N]],Transactions[[#This Row],[L6N]],Transactions[[#This Row],[L7N]]))))))))</f>
        <v>Heat plants - Main activity - electric boilers</v>
      </c>
      <c r="AX468" s="24" t="str">
        <f>IF(Transactions[[#This Row],[Level 5]]=Transactions[[#This Row],[Transaction name]],Transactions[[#This Row],[Transaction name]],IF(Transactions[[#This Row],[Level 5]]=Transactions[[#This Row],[L1N]],Transactions[[#This Row],[Transaction name]],IF(Transactions[[#This Row],[Level 5]]=Transactions[[#This Row],[L2N]],Transactions[[#This Row],[L1N]],IF(Transactions[[#This Row],[Level 5]]=Transactions[[#This Row],[L3N]],Transactions[[#This Row],[L2N]],IF(Transactions[[#This Row],[Level 5]]=Transactions[[#This Row],[L4N]],Transactions[[#This Row],[L3N]],IF(Transactions[[#This Row],[Level 5]]=Transactions[[#This Row],[L5N]],Transactions[[#This Row],[L4N]],IF(Transactions[[#This Row],[Level 5]]=Transactions[[#This Row],[L6N]],Transactions[[#This Row],[L5N]],IF(Transactions[[#This Row],[Level 5]]=Transactions[[#This Row],[L7N]],Transactions[[#This Row],[L6N]],Transactions[[#This Row],[L7N]]))))))))</f>
        <v>Heat plants - Main activity - electric boilers</v>
      </c>
      <c r="AY468" s="24" t="str">
        <f>IF(Transactions[[#This Row],[Level 6]]=Transactions[[#This Row],[Transaction name]],Transactions[[#This Row],[Transaction name]],IF(Transactions[[#This Row],[Level 6]]=Transactions[[#This Row],[L1N]],Transactions[[#This Row],[Transaction name]],IF(Transactions[[#This Row],[Level 6]]=Transactions[[#This Row],[L2N]],Transactions[[#This Row],[L1N]],IF(Transactions[[#This Row],[Level 6]]=Transactions[[#This Row],[L3N]],Transactions[[#This Row],[L2N]],IF(Transactions[[#This Row],[Level 6]]=Transactions[[#This Row],[L4N]],Transactions[[#This Row],[L3N]],IF(Transactions[[#This Row],[Level 6]]=Transactions[[#This Row],[L5N]],Transactions[[#This Row],[L4N]],IF(Transactions[[#This Row],[Level 6]]=Transactions[[#This Row],[L6N]],Transactions[[#This Row],[L5N]],IF(Transactions[[#This Row],[Level 6]]=Transactions[[#This Row],[L7N]],Transactions[[#This Row],[L6N]],Transactions[[#This Row],[L7N]]))))))))</f>
        <v>Heat plants - Main activity - electric boilers</v>
      </c>
    </row>
    <row r="469" spans="25:51" x14ac:dyDescent="0.45">
      <c r="Y469" s="5" t="s">
        <v>1024</v>
      </c>
      <c r="Z469" s="7" t="s">
        <v>1032</v>
      </c>
      <c r="AA469" s="4" t="s">
        <v>1341</v>
      </c>
      <c r="AB469" s="19" t="s">
        <v>1563</v>
      </c>
      <c r="AC469" s="24" t="str">
        <f>IFERROR(VLOOKUP(Transactions[[#This Row],[Parent code]],Transactions[[Transaction code]:[Transaction name]],2,0),"")</f>
        <v>Heat plants - fuel oil</v>
      </c>
      <c r="AD469" s="4" t="s">
        <v>189</v>
      </c>
      <c r="AE469" s="4" t="s">
        <v>924</v>
      </c>
      <c r="AF469" s="4" t="s">
        <v>642</v>
      </c>
      <c r="AG469" s="4" t="s">
        <v>1</v>
      </c>
      <c r="AH469" s="4" t="s">
        <v>696</v>
      </c>
      <c r="AI469" s="12" t="s">
        <v>1416</v>
      </c>
      <c r="AK469" s="24" t="str" cm="1">
        <f t="array" ref="AK469">IFERROR(INDEX(Transactions[[Transaction code]:[Transaction name]],_xlfn.XMATCH(Transactions[[#This Row],[Parent code]],Transactions[Transaction name],0),3),Transactions[[#This Row],[Transaction name]])</f>
        <v>Heat plants - Autoproducer - fuel oil</v>
      </c>
      <c r="AL469" s="24" t="str" cm="1">
        <f t="array" ref="AL469">IFERROR(INDEX(Transactions[[Transaction code]:[Transaction name]],_xlfn.XMATCH(INDEX(Transactions[[Transaction name]:[Parent code]],_xlfn.XMATCH(Transactions[[#This Row],[L1N]],Transactions[Transaction name],0),3),Transactions[Transaction code],0),2),Transactions[[#This Row],[L1N]])</f>
        <v>Heat plants - fuel oil</v>
      </c>
      <c r="AM469" s="24" t="str" cm="1">
        <f t="array" ref="AM469">IFERROR(INDEX(Transactions[[Transaction code]:[Transaction name]],_xlfn.XMATCH(INDEX(Transactions[[Transaction name]:[Parent code]],_xlfn.XMATCH(Transactions[[#This Row],[L2N]],Transactions[Transaction name],0),3),Transactions[Transaction code],0),2),Transactions[[#This Row],[L2N]])</f>
        <v>Heat plants</v>
      </c>
      <c r="AN469" s="24" t="str" cm="1">
        <f t="array" ref="AN469">IFERROR(INDEX(Transactions[[Transaction code]:[Transaction name]],_xlfn.XMATCH(INDEX(Transactions[[Transaction name]:[Parent code]],_xlfn.XMATCH(Transactions[[#This Row],[L3N]],Transactions[Transaction name],0),3),Transactions[Transaction code],0),2),Transactions[[#This Row],[L3N]])</f>
        <v>Electricity, CHP and heat plants (T)</v>
      </c>
      <c r="AO469" s="24" t="str" cm="1">
        <f t="array" ref="AO469">IFERROR(INDEX(Transactions[[Transaction code]:[Transaction name]],_xlfn.XMATCH(INDEX(Transactions[[Transaction name]:[Parent code]],_xlfn.XMATCH(Transactions[[#This Row],[L4N]],Transactions[Transaction name],0),3),Transactions[Transaction code],0),2),Transactions[[#This Row],[L4N]])</f>
        <v>Transformation</v>
      </c>
      <c r="AP469" s="24" t="str" cm="1">
        <f t="array" ref="AP469">IFERROR(INDEX(Transactions[[Transaction code]:[Transaction name]],_xlfn.XMATCH(INDEX(Transactions[[Transaction name]:[Parent code]],_xlfn.XMATCH(Transactions[[#This Row],[L5N]],Transactions[Transaction name],0),3),Transactions[Transaction code],0),2),Transactions[[#This Row],[L5N]])</f>
        <v>Transformation</v>
      </c>
      <c r="AQ469" s="24" t="str" cm="1">
        <f t="array" ref="AQ469">IFERROR(INDEX(Transactions[[Transaction code]:[Transaction name]],_xlfn.XMATCH(INDEX(Transactions[[Transaction name]:[Parent code]],_xlfn.XMATCH(Transactions[[#This Row],[L6N]],Transactions[Transaction name],0),3),Transactions[Transaction code],0),2),Transactions[[#This Row],[L6N]])</f>
        <v>Transformation</v>
      </c>
      <c r="AR469" s="27" t="str">
        <f>IF(Transactions[[#This Row],[L7N]]=Transactions[[#This Row],[L6N]],Transactions[[#This Row],[L7N]],IF(Transactions[[#This Row],[L6N]]=Transactions[[#This Row],[L5N]],Transactions[[#This Row],[L6N]],IF(Transactions[[#This Row],[L5N]]=Transactions[[#This Row],[L4N]],Transactions[[#This Row],[L5N]],IF(Transactions[[#This Row],[L4N]]=Transactions[[#This Row],[L3N]],Transactions[[#This Row],[L4N]],IF(Transactions[[#This Row],[L3N]]=Transactions[[#This Row],[L2N]],Transactions[[#This Row],[L3N]],IF(Transactions[[#This Row],[L2N]]=Transactions[[#This Row],[L1N]],Transactions[[#This Row],[L2N]],IF(Transactions[[#This Row],[L1N]]=Transactions[[#This Row],[Transaction name]],Transactions[[#This Row],[L1N]],Transactions[[#This Row],[Transaction name]])))))))</f>
        <v>Transformation</v>
      </c>
      <c r="AS469" s="24" t="str">
        <f>IF(Transactions[[#This Row],[Level 0]]=Transactions[[#This Row],[Transaction name]],Transactions[[#This Row],[Transaction name]],IF(Transactions[[#This Row],[Level 0]]=Transactions[[#This Row],[L1N]],Transactions[[#This Row],[Transaction name]],IF(Transactions[[#This Row],[Level 0]]=Transactions[[#This Row],[L2N]],Transactions[[#This Row],[L1N]],IF(Transactions[[#This Row],[Level 0]]=Transactions[[#This Row],[L3N]],Transactions[[#This Row],[L2N]],IF(Transactions[[#This Row],[Level 0]]=Transactions[[#This Row],[L4N]],Transactions[[#This Row],[L3N]],IF(Transactions[[#This Row],[Level 0]]=Transactions[[#This Row],[L5N]],Transactions[[#This Row],[L4N]],IF(Transactions[[#This Row],[Level 0]]=Transactions[[#This Row],[L6N]],Transactions[[#This Row],[L5N]],IF(Transactions[[#This Row],[Level 0]]=Transactions[[#This Row],[L7N]],Transactions[[#This Row],[L6N]],Transactions[[#This Row],[L7N]]))))))))</f>
        <v>Electricity, CHP and heat plants (T)</v>
      </c>
      <c r="AT469" s="24" t="str">
        <f>IF(Transactions[[#This Row],[Level 1]]=Transactions[[#This Row],[Transaction name]],Transactions[[#This Row],[Transaction name]],IF(Transactions[[#This Row],[Level 1]]=Transactions[[#This Row],[L1N]],Transactions[[#This Row],[Transaction name]],IF(Transactions[[#This Row],[Level 1]]=Transactions[[#This Row],[L2N]],Transactions[[#This Row],[L1N]],IF(Transactions[[#This Row],[Level 1]]=Transactions[[#This Row],[L3N]],Transactions[[#This Row],[L2N]],IF(Transactions[[#This Row],[Level 1]]=Transactions[[#This Row],[L4N]],Transactions[[#This Row],[L3N]],IF(Transactions[[#This Row],[Level 1]]=Transactions[[#This Row],[L5N]],Transactions[[#This Row],[L4N]],IF(Transactions[[#This Row],[Level 1]]=Transactions[[#This Row],[L6N]],Transactions[[#This Row],[L5N]],IF(Transactions[[#This Row],[Level 1]]=Transactions[[#This Row],[L7N]],Transactions[[#This Row],[L6N]],Transactions[[#This Row],[L7N]]))))))))</f>
        <v>Heat plants</v>
      </c>
      <c r="AU469" s="24" t="str">
        <f>IF(Transactions[[#This Row],[Level 2]]=Transactions[[#This Row],[Transaction name]],Transactions[[#This Row],[Transaction name]],IF(Transactions[[#This Row],[Level 2]]=Transactions[[#This Row],[L1N]],Transactions[[#This Row],[Transaction name]],IF(Transactions[[#This Row],[Level 2]]=Transactions[[#This Row],[L2N]],Transactions[[#This Row],[L1N]],IF(Transactions[[#This Row],[Level 2]]=Transactions[[#This Row],[L3N]],Transactions[[#This Row],[L2N]],IF(Transactions[[#This Row],[Level 2]]=Transactions[[#This Row],[L4N]],Transactions[[#This Row],[L3N]],IF(Transactions[[#This Row],[Level 2]]=Transactions[[#This Row],[L5N]],Transactions[[#This Row],[L4N]],IF(Transactions[[#This Row],[Level 2]]=Transactions[[#This Row],[L6N]],Transactions[[#This Row],[L5N]],IF(Transactions[[#This Row],[Level 2]]=Transactions[[#This Row],[L7N]],Transactions[[#This Row],[L6N]],Transactions[[#This Row],[L7N]]))))))))</f>
        <v>Heat plants - fuel oil</v>
      </c>
      <c r="AV469" s="24" t="str">
        <f>IF(Transactions[[#This Row],[Level 3]]=Transactions[[#This Row],[Transaction name]],Transactions[[#This Row],[Transaction name]],IF(Transactions[[#This Row],[Level 3]]=Transactions[[#This Row],[L1N]],Transactions[[#This Row],[Transaction name]],IF(Transactions[[#This Row],[Level 3]]=Transactions[[#This Row],[L2N]],Transactions[[#This Row],[L1N]],IF(Transactions[[#This Row],[Level 3]]=Transactions[[#This Row],[L3N]],Transactions[[#This Row],[L2N]],IF(Transactions[[#This Row],[Level 3]]=Transactions[[#This Row],[L4N]],Transactions[[#This Row],[L3N]],IF(Transactions[[#This Row],[Level 3]]=Transactions[[#This Row],[L5N]],Transactions[[#This Row],[L4N]],IF(Transactions[[#This Row],[Level 3]]=Transactions[[#This Row],[L6N]],Transactions[[#This Row],[L5N]],IF(Transactions[[#This Row],[Level 3]]=Transactions[[#This Row],[L7N]],Transactions[[#This Row],[L6N]],Transactions[[#This Row],[L7N]]))))))))</f>
        <v>Heat plants - Autoproducer - fuel oil</v>
      </c>
      <c r="AW469" s="24" t="str">
        <f>IF(Transactions[[#This Row],[Level 4]]=Transactions[[#This Row],[Transaction name]],Transactions[[#This Row],[Transaction name]],IF(Transactions[[#This Row],[Level 4]]=Transactions[[#This Row],[L1N]],Transactions[[#This Row],[Transaction name]],IF(Transactions[[#This Row],[Level 4]]=Transactions[[#This Row],[L2N]],Transactions[[#This Row],[L1N]],IF(Transactions[[#This Row],[Level 4]]=Transactions[[#This Row],[L3N]],Transactions[[#This Row],[L2N]],IF(Transactions[[#This Row],[Level 4]]=Transactions[[#This Row],[L4N]],Transactions[[#This Row],[L3N]],IF(Transactions[[#This Row],[Level 4]]=Transactions[[#This Row],[L5N]],Transactions[[#This Row],[L4N]],IF(Transactions[[#This Row],[Level 4]]=Transactions[[#This Row],[L6N]],Transactions[[#This Row],[L5N]],IF(Transactions[[#This Row],[Level 4]]=Transactions[[#This Row],[L7N]],Transactions[[#This Row],[L6N]],Transactions[[#This Row],[L7N]]))))))))</f>
        <v>Heat plants - Autoproducer - fuel oil</v>
      </c>
      <c r="AX469" s="24" t="str">
        <f>IF(Transactions[[#This Row],[Level 5]]=Transactions[[#This Row],[Transaction name]],Transactions[[#This Row],[Transaction name]],IF(Transactions[[#This Row],[Level 5]]=Transactions[[#This Row],[L1N]],Transactions[[#This Row],[Transaction name]],IF(Transactions[[#This Row],[Level 5]]=Transactions[[#This Row],[L2N]],Transactions[[#This Row],[L1N]],IF(Transactions[[#This Row],[Level 5]]=Transactions[[#This Row],[L3N]],Transactions[[#This Row],[L2N]],IF(Transactions[[#This Row],[Level 5]]=Transactions[[#This Row],[L4N]],Transactions[[#This Row],[L3N]],IF(Transactions[[#This Row],[Level 5]]=Transactions[[#This Row],[L5N]],Transactions[[#This Row],[L4N]],IF(Transactions[[#This Row],[Level 5]]=Transactions[[#This Row],[L6N]],Transactions[[#This Row],[L5N]],IF(Transactions[[#This Row],[Level 5]]=Transactions[[#This Row],[L7N]],Transactions[[#This Row],[L6N]],Transactions[[#This Row],[L7N]]))))))))</f>
        <v>Heat plants - Autoproducer - fuel oil</v>
      </c>
      <c r="AY469" s="24" t="str">
        <f>IF(Transactions[[#This Row],[Level 6]]=Transactions[[#This Row],[Transaction name]],Transactions[[#This Row],[Transaction name]],IF(Transactions[[#This Row],[Level 6]]=Transactions[[#This Row],[L1N]],Transactions[[#This Row],[Transaction name]],IF(Transactions[[#This Row],[Level 6]]=Transactions[[#This Row],[L2N]],Transactions[[#This Row],[L1N]],IF(Transactions[[#This Row],[Level 6]]=Transactions[[#This Row],[L3N]],Transactions[[#This Row],[L2N]],IF(Transactions[[#This Row],[Level 6]]=Transactions[[#This Row],[L4N]],Transactions[[#This Row],[L3N]],IF(Transactions[[#This Row],[Level 6]]=Transactions[[#This Row],[L5N]],Transactions[[#This Row],[L4N]],IF(Transactions[[#This Row],[Level 6]]=Transactions[[#This Row],[L6N]],Transactions[[#This Row],[L5N]],IF(Transactions[[#This Row],[Level 6]]=Transactions[[#This Row],[L7N]],Transactions[[#This Row],[L6N]],Transactions[[#This Row],[L7N]]))))))))</f>
        <v>Heat plants - Autoproducer - fuel oil</v>
      </c>
    </row>
    <row r="470" spans="25:51" x14ac:dyDescent="0.45">
      <c r="Y470" s="19" t="s">
        <v>1563</v>
      </c>
      <c r="Z470" s="18" t="s">
        <v>1341</v>
      </c>
      <c r="AA470" s="18" t="s">
        <v>1341</v>
      </c>
      <c r="AB470" s="19" t="s">
        <v>1574</v>
      </c>
      <c r="AC470" s="26" t="str">
        <f>IFERROR(VLOOKUP(Transactions[[#This Row],[Parent code]],Transactions[[Transaction code]:[Transaction name]],2,0),"")</f>
        <v>Heat plants</v>
      </c>
      <c r="AD470" s="18" t="s">
        <v>189</v>
      </c>
      <c r="AE470" s="18" t="s">
        <v>924</v>
      </c>
      <c r="AF470" s="18" t="s">
        <v>642</v>
      </c>
      <c r="AG470" s="18" t="s">
        <v>1</v>
      </c>
      <c r="AH470" s="18" t="s">
        <v>696</v>
      </c>
      <c r="AI470" s="18" t="s">
        <v>1416</v>
      </c>
      <c r="AJ470" s="18"/>
      <c r="AK470" s="26" t="str" cm="1">
        <f t="array" ref="AK470">IFERROR(INDEX(Transactions[[Transaction code]:[Transaction name]],_xlfn.XMATCH(Transactions[[#This Row],[Parent code]],Transactions[Transaction name],0),3),Transactions[[#This Row],[Transaction name]])</f>
        <v>Heat plants - fuel oil</v>
      </c>
      <c r="AL470" s="26" t="str" cm="1">
        <f t="array" ref="AL470">IFERROR(INDEX(Transactions[[Transaction code]:[Transaction name]],_xlfn.XMATCH(INDEX(Transactions[[Transaction name]:[Parent code]],_xlfn.XMATCH(Transactions[[#This Row],[L1N]],Transactions[Transaction name],0),3),Transactions[Transaction code],0),2),Transactions[[#This Row],[L1N]])</f>
        <v>Heat plants</v>
      </c>
      <c r="AM470" s="26" t="str" cm="1">
        <f t="array" ref="AM470">IFERROR(INDEX(Transactions[[Transaction code]:[Transaction name]],_xlfn.XMATCH(INDEX(Transactions[[Transaction name]:[Parent code]],_xlfn.XMATCH(Transactions[[#This Row],[L2N]],Transactions[Transaction name],0),3),Transactions[Transaction code],0),2),Transactions[[#This Row],[L2N]])</f>
        <v>Electricity, CHP and heat plants (T)</v>
      </c>
      <c r="AN470" s="26" t="str" cm="1">
        <f t="array" ref="AN470">IFERROR(INDEX(Transactions[[Transaction code]:[Transaction name]],_xlfn.XMATCH(INDEX(Transactions[[Transaction name]:[Parent code]],_xlfn.XMATCH(Transactions[[#This Row],[L3N]],Transactions[Transaction name],0),3),Transactions[Transaction code],0),2),Transactions[[#This Row],[L3N]])</f>
        <v>Transformation</v>
      </c>
      <c r="AO470" s="26" t="str" cm="1">
        <f t="array" ref="AO470">IFERROR(INDEX(Transactions[[Transaction code]:[Transaction name]],_xlfn.XMATCH(INDEX(Transactions[[Transaction name]:[Parent code]],_xlfn.XMATCH(Transactions[[#This Row],[L4N]],Transactions[Transaction name],0),3),Transactions[Transaction code],0),2),Transactions[[#This Row],[L4N]])</f>
        <v>Transformation</v>
      </c>
      <c r="AP470" s="26" t="str" cm="1">
        <f t="array" ref="AP470">IFERROR(INDEX(Transactions[[Transaction code]:[Transaction name]],_xlfn.XMATCH(INDEX(Transactions[[Transaction name]:[Parent code]],_xlfn.XMATCH(Transactions[[#This Row],[L5N]],Transactions[Transaction name],0),3),Transactions[Transaction code],0),2),Transactions[[#This Row],[L5N]])</f>
        <v>Transformation</v>
      </c>
      <c r="AQ470" s="26" t="str" cm="1">
        <f t="array" ref="AQ470">IFERROR(INDEX(Transactions[[Transaction code]:[Transaction name]],_xlfn.XMATCH(INDEX(Transactions[[Transaction name]:[Parent code]],_xlfn.XMATCH(Transactions[[#This Row],[L6N]],Transactions[Transaction name],0),3),Transactions[Transaction code],0),2),Transactions[[#This Row],[L6N]])</f>
        <v>Transformation</v>
      </c>
      <c r="AR470" s="30" t="str">
        <f>IF(Transactions[[#This Row],[L7N]]=Transactions[[#This Row],[L6N]],Transactions[[#This Row],[L7N]],IF(Transactions[[#This Row],[L6N]]=Transactions[[#This Row],[L5N]],Transactions[[#This Row],[L6N]],IF(Transactions[[#This Row],[L5N]]=Transactions[[#This Row],[L4N]],Transactions[[#This Row],[L5N]],IF(Transactions[[#This Row],[L4N]]=Transactions[[#This Row],[L3N]],Transactions[[#This Row],[L4N]],IF(Transactions[[#This Row],[L3N]]=Transactions[[#This Row],[L2N]],Transactions[[#This Row],[L3N]],IF(Transactions[[#This Row],[L2N]]=Transactions[[#This Row],[L1N]],Transactions[[#This Row],[L2N]],IF(Transactions[[#This Row],[L1N]]=Transactions[[#This Row],[Transaction name]],Transactions[[#This Row],[L1N]],Transactions[[#This Row],[Transaction name]])))))))</f>
        <v>Transformation</v>
      </c>
      <c r="AS470" s="26" t="str">
        <f>IF(Transactions[[#This Row],[Level 0]]=Transactions[[#This Row],[Transaction name]],Transactions[[#This Row],[Transaction name]],IF(Transactions[[#This Row],[Level 0]]=Transactions[[#This Row],[L1N]],Transactions[[#This Row],[Transaction name]],IF(Transactions[[#This Row],[Level 0]]=Transactions[[#This Row],[L2N]],Transactions[[#This Row],[L1N]],IF(Transactions[[#This Row],[Level 0]]=Transactions[[#This Row],[L3N]],Transactions[[#This Row],[L2N]],IF(Transactions[[#This Row],[Level 0]]=Transactions[[#This Row],[L4N]],Transactions[[#This Row],[L3N]],IF(Transactions[[#This Row],[Level 0]]=Transactions[[#This Row],[L5N]],Transactions[[#This Row],[L4N]],IF(Transactions[[#This Row],[Level 0]]=Transactions[[#This Row],[L6N]],Transactions[[#This Row],[L5N]],IF(Transactions[[#This Row],[Level 0]]=Transactions[[#This Row],[L7N]],Transactions[[#This Row],[L6N]],Transactions[[#This Row],[L7N]]))))))))</f>
        <v>Electricity, CHP and heat plants (T)</v>
      </c>
      <c r="AT470" s="26" t="str">
        <f>IF(Transactions[[#This Row],[Level 1]]=Transactions[[#This Row],[Transaction name]],Transactions[[#This Row],[Transaction name]],IF(Transactions[[#This Row],[Level 1]]=Transactions[[#This Row],[L1N]],Transactions[[#This Row],[Transaction name]],IF(Transactions[[#This Row],[Level 1]]=Transactions[[#This Row],[L2N]],Transactions[[#This Row],[L1N]],IF(Transactions[[#This Row],[Level 1]]=Transactions[[#This Row],[L3N]],Transactions[[#This Row],[L2N]],IF(Transactions[[#This Row],[Level 1]]=Transactions[[#This Row],[L4N]],Transactions[[#This Row],[L3N]],IF(Transactions[[#This Row],[Level 1]]=Transactions[[#This Row],[L5N]],Transactions[[#This Row],[L4N]],IF(Transactions[[#This Row],[Level 1]]=Transactions[[#This Row],[L6N]],Transactions[[#This Row],[L5N]],IF(Transactions[[#This Row],[Level 1]]=Transactions[[#This Row],[L7N]],Transactions[[#This Row],[L6N]],Transactions[[#This Row],[L7N]]))))))))</f>
        <v>Heat plants</v>
      </c>
      <c r="AU470" s="26" t="str">
        <f>IF(Transactions[[#This Row],[Level 2]]=Transactions[[#This Row],[Transaction name]],Transactions[[#This Row],[Transaction name]],IF(Transactions[[#This Row],[Level 2]]=Transactions[[#This Row],[L1N]],Transactions[[#This Row],[Transaction name]],IF(Transactions[[#This Row],[Level 2]]=Transactions[[#This Row],[L2N]],Transactions[[#This Row],[L1N]],IF(Transactions[[#This Row],[Level 2]]=Transactions[[#This Row],[L3N]],Transactions[[#This Row],[L2N]],IF(Transactions[[#This Row],[Level 2]]=Transactions[[#This Row],[L4N]],Transactions[[#This Row],[L3N]],IF(Transactions[[#This Row],[Level 2]]=Transactions[[#This Row],[L5N]],Transactions[[#This Row],[L4N]],IF(Transactions[[#This Row],[Level 2]]=Transactions[[#This Row],[L6N]],Transactions[[#This Row],[L5N]],IF(Transactions[[#This Row],[Level 2]]=Transactions[[#This Row],[L7N]],Transactions[[#This Row],[L6N]],Transactions[[#This Row],[L7N]]))))))))</f>
        <v>Heat plants - fuel oil</v>
      </c>
      <c r="AV470" s="26" t="str">
        <f>IF(Transactions[[#This Row],[Level 3]]=Transactions[[#This Row],[Transaction name]],Transactions[[#This Row],[Transaction name]],IF(Transactions[[#This Row],[Level 3]]=Transactions[[#This Row],[L1N]],Transactions[[#This Row],[Transaction name]],IF(Transactions[[#This Row],[Level 3]]=Transactions[[#This Row],[L2N]],Transactions[[#This Row],[L1N]],IF(Transactions[[#This Row],[Level 3]]=Transactions[[#This Row],[L3N]],Transactions[[#This Row],[L2N]],IF(Transactions[[#This Row],[Level 3]]=Transactions[[#This Row],[L4N]],Transactions[[#This Row],[L3N]],IF(Transactions[[#This Row],[Level 3]]=Transactions[[#This Row],[L5N]],Transactions[[#This Row],[L4N]],IF(Transactions[[#This Row],[Level 3]]=Transactions[[#This Row],[L6N]],Transactions[[#This Row],[L5N]],IF(Transactions[[#This Row],[Level 3]]=Transactions[[#This Row],[L7N]],Transactions[[#This Row],[L6N]],Transactions[[#This Row],[L7N]]))))))))</f>
        <v>Heat plants - fuel oil</v>
      </c>
      <c r="AW470" s="26" t="str">
        <f>IF(Transactions[[#This Row],[Level 4]]=Transactions[[#This Row],[Transaction name]],Transactions[[#This Row],[Transaction name]],IF(Transactions[[#This Row],[Level 4]]=Transactions[[#This Row],[L1N]],Transactions[[#This Row],[Transaction name]],IF(Transactions[[#This Row],[Level 4]]=Transactions[[#This Row],[L2N]],Transactions[[#This Row],[L1N]],IF(Transactions[[#This Row],[Level 4]]=Transactions[[#This Row],[L3N]],Transactions[[#This Row],[L2N]],IF(Transactions[[#This Row],[Level 4]]=Transactions[[#This Row],[L4N]],Transactions[[#This Row],[L3N]],IF(Transactions[[#This Row],[Level 4]]=Transactions[[#This Row],[L5N]],Transactions[[#This Row],[L4N]],IF(Transactions[[#This Row],[Level 4]]=Transactions[[#This Row],[L6N]],Transactions[[#This Row],[L5N]],IF(Transactions[[#This Row],[Level 4]]=Transactions[[#This Row],[L7N]],Transactions[[#This Row],[L6N]],Transactions[[#This Row],[L7N]]))))))))</f>
        <v>Heat plants - fuel oil</v>
      </c>
      <c r="AX470" s="26" t="str">
        <f>IF(Transactions[[#This Row],[Level 5]]=Transactions[[#This Row],[Transaction name]],Transactions[[#This Row],[Transaction name]],IF(Transactions[[#This Row],[Level 5]]=Transactions[[#This Row],[L1N]],Transactions[[#This Row],[Transaction name]],IF(Transactions[[#This Row],[Level 5]]=Transactions[[#This Row],[L2N]],Transactions[[#This Row],[L1N]],IF(Transactions[[#This Row],[Level 5]]=Transactions[[#This Row],[L3N]],Transactions[[#This Row],[L2N]],IF(Transactions[[#This Row],[Level 5]]=Transactions[[#This Row],[L4N]],Transactions[[#This Row],[L3N]],IF(Transactions[[#This Row],[Level 5]]=Transactions[[#This Row],[L5N]],Transactions[[#This Row],[L4N]],IF(Transactions[[#This Row],[Level 5]]=Transactions[[#This Row],[L6N]],Transactions[[#This Row],[L5N]],IF(Transactions[[#This Row],[Level 5]]=Transactions[[#This Row],[L7N]],Transactions[[#This Row],[L6N]],Transactions[[#This Row],[L7N]]))))))))</f>
        <v>Heat plants - fuel oil</v>
      </c>
      <c r="AY470" s="26" t="str">
        <f>IF(Transactions[[#This Row],[Level 6]]=Transactions[[#This Row],[Transaction name]],Transactions[[#This Row],[Transaction name]],IF(Transactions[[#This Row],[Level 6]]=Transactions[[#This Row],[L1N]],Transactions[[#This Row],[Transaction name]],IF(Transactions[[#This Row],[Level 6]]=Transactions[[#This Row],[L2N]],Transactions[[#This Row],[L1N]],IF(Transactions[[#This Row],[Level 6]]=Transactions[[#This Row],[L3N]],Transactions[[#This Row],[L2N]],IF(Transactions[[#This Row],[Level 6]]=Transactions[[#This Row],[L4N]],Transactions[[#This Row],[L3N]],IF(Transactions[[#This Row],[Level 6]]=Transactions[[#This Row],[L5N]],Transactions[[#This Row],[L4N]],IF(Transactions[[#This Row],[Level 6]]=Transactions[[#This Row],[L6N]],Transactions[[#This Row],[L5N]],IF(Transactions[[#This Row],[Level 6]]=Transactions[[#This Row],[L7N]],Transactions[[#This Row],[L6N]],Transactions[[#This Row],[L7N]]))))))))</f>
        <v>Heat plants - fuel oil</v>
      </c>
    </row>
    <row r="471" spans="25:51" x14ac:dyDescent="0.45">
      <c r="Y471" s="5" t="s">
        <v>1020</v>
      </c>
      <c r="Z471" s="7" t="s">
        <v>1028</v>
      </c>
      <c r="AA471" s="4" t="s">
        <v>1341</v>
      </c>
      <c r="AB471" s="19" t="s">
        <v>1563</v>
      </c>
      <c r="AC471" s="24" t="str">
        <f>IFERROR(VLOOKUP(Transactions[[#This Row],[Parent code]],Transactions[[Transaction code]:[Transaction name]],2,0),"")</f>
        <v>Heat plants - fuel oil</v>
      </c>
      <c r="AD471" s="4" t="s">
        <v>189</v>
      </c>
      <c r="AE471" s="4" t="s">
        <v>924</v>
      </c>
      <c r="AF471" s="4" t="s">
        <v>642</v>
      </c>
      <c r="AG471" s="4" t="s">
        <v>1</v>
      </c>
      <c r="AH471" s="4" t="s">
        <v>696</v>
      </c>
      <c r="AI471" s="12" t="s">
        <v>1416</v>
      </c>
      <c r="AK471" s="24" t="str" cm="1">
        <f t="array" ref="AK471">IFERROR(INDEX(Transactions[[Transaction code]:[Transaction name]],_xlfn.XMATCH(Transactions[[#This Row],[Parent code]],Transactions[Transaction name],0),3),Transactions[[#This Row],[Transaction name]])</f>
        <v>Heat plants - Main activity - fuel oil</v>
      </c>
      <c r="AL471" s="24" t="str" cm="1">
        <f t="array" ref="AL471">IFERROR(INDEX(Transactions[[Transaction code]:[Transaction name]],_xlfn.XMATCH(INDEX(Transactions[[Transaction name]:[Parent code]],_xlfn.XMATCH(Transactions[[#This Row],[L1N]],Transactions[Transaction name],0),3),Transactions[Transaction code],0),2),Transactions[[#This Row],[L1N]])</f>
        <v>Heat plants - fuel oil</v>
      </c>
      <c r="AM471" s="24" t="str" cm="1">
        <f t="array" ref="AM471">IFERROR(INDEX(Transactions[[Transaction code]:[Transaction name]],_xlfn.XMATCH(INDEX(Transactions[[Transaction name]:[Parent code]],_xlfn.XMATCH(Transactions[[#This Row],[L2N]],Transactions[Transaction name],0),3),Transactions[Transaction code],0),2),Transactions[[#This Row],[L2N]])</f>
        <v>Heat plants</v>
      </c>
      <c r="AN471" s="24" t="str" cm="1">
        <f t="array" ref="AN471">IFERROR(INDEX(Transactions[[Transaction code]:[Transaction name]],_xlfn.XMATCH(INDEX(Transactions[[Transaction name]:[Parent code]],_xlfn.XMATCH(Transactions[[#This Row],[L3N]],Transactions[Transaction name],0),3),Transactions[Transaction code],0),2),Transactions[[#This Row],[L3N]])</f>
        <v>Electricity, CHP and heat plants (T)</v>
      </c>
      <c r="AO471" s="24" t="str" cm="1">
        <f t="array" ref="AO471">IFERROR(INDEX(Transactions[[Transaction code]:[Transaction name]],_xlfn.XMATCH(INDEX(Transactions[[Transaction name]:[Parent code]],_xlfn.XMATCH(Transactions[[#This Row],[L4N]],Transactions[Transaction name],0),3),Transactions[Transaction code],0),2),Transactions[[#This Row],[L4N]])</f>
        <v>Transformation</v>
      </c>
      <c r="AP471" s="24" t="str" cm="1">
        <f t="array" ref="AP471">IFERROR(INDEX(Transactions[[Transaction code]:[Transaction name]],_xlfn.XMATCH(INDEX(Transactions[[Transaction name]:[Parent code]],_xlfn.XMATCH(Transactions[[#This Row],[L5N]],Transactions[Transaction name],0),3),Transactions[Transaction code],0),2),Transactions[[#This Row],[L5N]])</f>
        <v>Transformation</v>
      </c>
      <c r="AQ471" s="24" t="str" cm="1">
        <f t="array" ref="AQ471">IFERROR(INDEX(Transactions[[Transaction code]:[Transaction name]],_xlfn.XMATCH(INDEX(Transactions[[Transaction name]:[Parent code]],_xlfn.XMATCH(Transactions[[#This Row],[L6N]],Transactions[Transaction name],0),3),Transactions[Transaction code],0),2),Transactions[[#This Row],[L6N]])</f>
        <v>Transformation</v>
      </c>
      <c r="AR471" s="27" t="str">
        <f>IF(Transactions[[#This Row],[L7N]]=Transactions[[#This Row],[L6N]],Transactions[[#This Row],[L7N]],IF(Transactions[[#This Row],[L6N]]=Transactions[[#This Row],[L5N]],Transactions[[#This Row],[L6N]],IF(Transactions[[#This Row],[L5N]]=Transactions[[#This Row],[L4N]],Transactions[[#This Row],[L5N]],IF(Transactions[[#This Row],[L4N]]=Transactions[[#This Row],[L3N]],Transactions[[#This Row],[L4N]],IF(Transactions[[#This Row],[L3N]]=Transactions[[#This Row],[L2N]],Transactions[[#This Row],[L3N]],IF(Transactions[[#This Row],[L2N]]=Transactions[[#This Row],[L1N]],Transactions[[#This Row],[L2N]],IF(Transactions[[#This Row],[L1N]]=Transactions[[#This Row],[Transaction name]],Transactions[[#This Row],[L1N]],Transactions[[#This Row],[Transaction name]])))))))</f>
        <v>Transformation</v>
      </c>
      <c r="AS471" s="24" t="str">
        <f>IF(Transactions[[#This Row],[Level 0]]=Transactions[[#This Row],[Transaction name]],Transactions[[#This Row],[Transaction name]],IF(Transactions[[#This Row],[Level 0]]=Transactions[[#This Row],[L1N]],Transactions[[#This Row],[Transaction name]],IF(Transactions[[#This Row],[Level 0]]=Transactions[[#This Row],[L2N]],Transactions[[#This Row],[L1N]],IF(Transactions[[#This Row],[Level 0]]=Transactions[[#This Row],[L3N]],Transactions[[#This Row],[L2N]],IF(Transactions[[#This Row],[Level 0]]=Transactions[[#This Row],[L4N]],Transactions[[#This Row],[L3N]],IF(Transactions[[#This Row],[Level 0]]=Transactions[[#This Row],[L5N]],Transactions[[#This Row],[L4N]],IF(Transactions[[#This Row],[Level 0]]=Transactions[[#This Row],[L6N]],Transactions[[#This Row],[L5N]],IF(Transactions[[#This Row],[Level 0]]=Transactions[[#This Row],[L7N]],Transactions[[#This Row],[L6N]],Transactions[[#This Row],[L7N]]))))))))</f>
        <v>Electricity, CHP and heat plants (T)</v>
      </c>
      <c r="AT471" s="24" t="str">
        <f>IF(Transactions[[#This Row],[Level 1]]=Transactions[[#This Row],[Transaction name]],Transactions[[#This Row],[Transaction name]],IF(Transactions[[#This Row],[Level 1]]=Transactions[[#This Row],[L1N]],Transactions[[#This Row],[Transaction name]],IF(Transactions[[#This Row],[Level 1]]=Transactions[[#This Row],[L2N]],Transactions[[#This Row],[L1N]],IF(Transactions[[#This Row],[Level 1]]=Transactions[[#This Row],[L3N]],Transactions[[#This Row],[L2N]],IF(Transactions[[#This Row],[Level 1]]=Transactions[[#This Row],[L4N]],Transactions[[#This Row],[L3N]],IF(Transactions[[#This Row],[Level 1]]=Transactions[[#This Row],[L5N]],Transactions[[#This Row],[L4N]],IF(Transactions[[#This Row],[Level 1]]=Transactions[[#This Row],[L6N]],Transactions[[#This Row],[L5N]],IF(Transactions[[#This Row],[Level 1]]=Transactions[[#This Row],[L7N]],Transactions[[#This Row],[L6N]],Transactions[[#This Row],[L7N]]))))))))</f>
        <v>Heat plants</v>
      </c>
      <c r="AU471" s="24" t="str">
        <f>IF(Transactions[[#This Row],[Level 2]]=Transactions[[#This Row],[Transaction name]],Transactions[[#This Row],[Transaction name]],IF(Transactions[[#This Row],[Level 2]]=Transactions[[#This Row],[L1N]],Transactions[[#This Row],[Transaction name]],IF(Transactions[[#This Row],[Level 2]]=Transactions[[#This Row],[L2N]],Transactions[[#This Row],[L1N]],IF(Transactions[[#This Row],[Level 2]]=Transactions[[#This Row],[L3N]],Transactions[[#This Row],[L2N]],IF(Transactions[[#This Row],[Level 2]]=Transactions[[#This Row],[L4N]],Transactions[[#This Row],[L3N]],IF(Transactions[[#This Row],[Level 2]]=Transactions[[#This Row],[L5N]],Transactions[[#This Row],[L4N]],IF(Transactions[[#This Row],[Level 2]]=Transactions[[#This Row],[L6N]],Transactions[[#This Row],[L5N]],IF(Transactions[[#This Row],[Level 2]]=Transactions[[#This Row],[L7N]],Transactions[[#This Row],[L6N]],Transactions[[#This Row],[L7N]]))))))))</f>
        <v>Heat plants - fuel oil</v>
      </c>
      <c r="AV471" s="24" t="str">
        <f>IF(Transactions[[#This Row],[Level 3]]=Transactions[[#This Row],[Transaction name]],Transactions[[#This Row],[Transaction name]],IF(Transactions[[#This Row],[Level 3]]=Transactions[[#This Row],[L1N]],Transactions[[#This Row],[Transaction name]],IF(Transactions[[#This Row],[Level 3]]=Transactions[[#This Row],[L2N]],Transactions[[#This Row],[L1N]],IF(Transactions[[#This Row],[Level 3]]=Transactions[[#This Row],[L3N]],Transactions[[#This Row],[L2N]],IF(Transactions[[#This Row],[Level 3]]=Transactions[[#This Row],[L4N]],Transactions[[#This Row],[L3N]],IF(Transactions[[#This Row],[Level 3]]=Transactions[[#This Row],[L5N]],Transactions[[#This Row],[L4N]],IF(Transactions[[#This Row],[Level 3]]=Transactions[[#This Row],[L6N]],Transactions[[#This Row],[L5N]],IF(Transactions[[#This Row],[Level 3]]=Transactions[[#This Row],[L7N]],Transactions[[#This Row],[L6N]],Transactions[[#This Row],[L7N]]))))))))</f>
        <v>Heat plants - Main activity - fuel oil</v>
      </c>
      <c r="AW471" s="24" t="str">
        <f>IF(Transactions[[#This Row],[Level 4]]=Transactions[[#This Row],[Transaction name]],Transactions[[#This Row],[Transaction name]],IF(Transactions[[#This Row],[Level 4]]=Transactions[[#This Row],[L1N]],Transactions[[#This Row],[Transaction name]],IF(Transactions[[#This Row],[Level 4]]=Transactions[[#This Row],[L2N]],Transactions[[#This Row],[L1N]],IF(Transactions[[#This Row],[Level 4]]=Transactions[[#This Row],[L3N]],Transactions[[#This Row],[L2N]],IF(Transactions[[#This Row],[Level 4]]=Transactions[[#This Row],[L4N]],Transactions[[#This Row],[L3N]],IF(Transactions[[#This Row],[Level 4]]=Transactions[[#This Row],[L5N]],Transactions[[#This Row],[L4N]],IF(Transactions[[#This Row],[Level 4]]=Transactions[[#This Row],[L6N]],Transactions[[#This Row],[L5N]],IF(Transactions[[#This Row],[Level 4]]=Transactions[[#This Row],[L7N]],Transactions[[#This Row],[L6N]],Transactions[[#This Row],[L7N]]))))))))</f>
        <v>Heat plants - Main activity - fuel oil</v>
      </c>
      <c r="AX471" s="24" t="str">
        <f>IF(Transactions[[#This Row],[Level 5]]=Transactions[[#This Row],[Transaction name]],Transactions[[#This Row],[Transaction name]],IF(Transactions[[#This Row],[Level 5]]=Transactions[[#This Row],[L1N]],Transactions[[#This Row],[Transaction name]],IF(Transactions[[#This Row],[Level 5]]=Transactions[[#This Row],[L2N]],Transactions[[#This Row],[L1N]],IF(Transactions[[#This Row],[Level 5]]=Transactions[[#This Row],[L3N]],Transactions[[#This Row],[L2N]],IF(Transactions[[#This Row],[Level 5]]=Transactions[[#This Row],[L4N]],Transactions[[#This Row],[L3N]],IF(Transactions[[#This Row],[Level 5]]=Transactions[[#This Row],[L5N]],Transactions[[#This Row],[L4N]],IF(Transactions[[#This Row],[Level 5]]=Transactions[[#This Row],[L6N]],Transactions[[#This Row],[L5N]],IF(Transactions[[#This Row],[Level 5]]=Transactions[[#This Row],[L7N]],Transactions[[#This Row],[L6N]],Transactions[[#This Row],[L7N]]))))))))</f>
        <v>Heat plants - Main activity - fuel oil</v>
      </c>
      <c r="AY471" s="24" t="str">
        <f>IF(Transactions[[#This Row],[Level 6]]=Transactions[[#This Row],[Transaction name]],Transactions[[#This Row],[Transaction name]],IF(Transactions[[#This Row],[Level 6]]=Transactions[[#This Row],[L1N]],Transactions[[#This Row],[Transaction name]],IF(Transactions[[#This Row],[Level 6]]=Transactions[[#This Row],[L2N]],Transactions[[#This Row],[L1N]],IF(Transactions[[#This Row],[Level 6]]=Transactions[[#This Row],[L3N]],Transactions[[#This Row],[L2N]],IF(Transactions[[#This Row],[Level 6]]=Transactions[[#This Row],[L4N]],Transactions[[#This Row],[L3N]],IF(Transactions[[#This Row],[Level 6]]=Transactions[[#This Row],[L5N]],Transactions[[#This Row],[L4N]],IF(Transactions[[#This Row],[Level 6]]=Transactions[[#This Row],[L6N]],Transactions[[#This Row],[L5N]],IF(Transactions[[#This Row],[Level 6]]=Transactions[[#This Row],[L7N]],Transactions[[#This Row],[L6N]],Transactions[[#This Row],[L7N]]))))))))</f>
        <v>Heat plants - Main activity - fuel oil</v>
      </c>
    </row>
    <row r="472" spans="25:51" x14ac:dyDescent="0.45">
      <c r="Y472" s="5" t="s">
        <v>1255</v>
      </c>
      <c r="Z472" s="7" t="s">
        <v>1223</v>
      </c>
      <c r="AA472" s="4" t="s">
        <v>1385</v>
      </c>
      <c r="AB472" s="19" t="s">
        <v>1559</v>
      </c>
      <c r="AC472" s="24" t="str">
        <f>IFERROR(VLOOKUP(Transactions[[#This Row],[Parent code]],Transactions[[Transaction code]:[Transaction name]],2,0),"")</f>
        <v>Heat plants - gas coal products</v>
      </c>
      <c r="AD472" s="4" t="s">
        <v>189</v>
      </c>
      <c r="AE472" s="4" t="s">
        <v>924</v>
      </c>
      <c r="AF472" s="4" t="s">
        <v>642</v>
      </c>
      <c r="AG472" s="4" t="s">
        <v>1</v>
      </c>
      <c r="AH472" s="4" t="s">
        <v>696</v>
      </c>
      <c r="AI472" s="12" t="s">
        <v>1416</v>
      </c>
      <c r="AK472" s="24" t="str" cm="1">
        <f t="array" ref="AK472">IFERROR(INDEX(Transactions[[Transaction code]:[Transaction name]],_xlfn.XMATCH(Transactions[[#This Row],[Parent code]],Transactions[Transaction name],0),3),Transactions[[#This Row],[Transaction name]])</f>
        <v>Heat plants - Autoproducer - gas coal products</v>
      </c>
      <c r="AL472" s="24" t="str" cm="1">
        <f t="array" ref="AL472">IFERROR(INDEX(Transactions[[Transaction code]:[Transaction name]],_xlfn.XMATCH(INDEX(Transactions[[Transaction name]:[Parent code]],_xlfn.XMATCH(Transactions[[#This Row],[L1N]],Transactions[Transaction name],0),3),Transactions[Transaction code],0),2),Transactions[[#This Row],[L1N]])</f>
        <v>Heat plants - gas coal products</v>
      </c>
      <c r="AM472" s="24" t="str" cm="1">
        <f t="array" ref="AM472">IFERROR(INDEX(Transactions[[Transaction code]:[Transaction name]],_xlfn.XMATCH(INDEX(Transactions[[Transaction name]:[Parent code]],_xlfn.XMATCH(Transactions[[#This Row],[L2N]],Transactions[Transaction name],0),3),Transactions[Transaction code],0),2),Transactions[[#This Row],[L2N]])</f>
        <v>Heat plants</v>
      </c>
      <c r="AN472" s="24" t="str" cm="1">
        <f t="array" ref="AN472">IFERROR(INDEX(Transactions[[Transaction code]:[Transaction name]],_xlfn.XMATCH(INDEX(Transactions[[Transaction name]:[Parent code]],_xlfn.XMATCH(Transactions[[#This Row],[L3N]],Transactions[Transaction name],0),3),Transactions[Transaction code],0),2),Transactions[[#This Row],[L3N]])</f>
        <v>Electricity, CHP and heat plants (T)</v>
      </c>
      <c r="AO472" s="24" t="str" cm="1">
        <f t="array" ref="AO472">IFERROR(INDEX(Transactions[[Transaction code]:[Transaction name]],_xlfn.XMATCH(INDEX(Transactions[[Transaction name]:[Parent code]],_xlfn.XMATCH(Transactions[[#This Row],[L4N]],Transactions[Transaction name],0),3),Transactions[Transaction code],0),2),Transactions[[#This Row],[L4N]])</f>
        <v>Transformation</v>
      </c>
      <c r="AP472" s="24" t="str" cm="1">
        <f t="array" ref="AP472">IFERROR(INDEX(Transactions[[Transaction code]:[Transaction name]],_xlfn.XMATCH(INDEX(Transactions[[Transaction name]:[Parent code]],_xlfn.XMATCH(Transactions[[#This Row],[L5N]],Transactions[Transaction name],0),3),Transactions[Transaction code],0),2),Transactions[[#This Row],[L5N]])</f>
        <v>Transformation</v>
      </c>
      <c r="AQ472" s="24" t="str" cm="1">
        <f t="array" ref="AQ472">IFERROR(INDEX(Transactions[[Transaction code]:[Transaction name]],_xlfn.XMATCH(INDEX(Transactions[[Transaction name]:[Parent code]],_xlfn.XMATCH(Transactions[[#This Row],[L6N]],Transactions[Transaction name],0),3),Transactions[Transaction code],0),2),Transactions[[#This Row],[L6N]])</f>
        <v>Transformation</v>
      </c>
      <c r="AR472" s="28" t="str">
        <f>IF(Transactions[[#This Row],[L7N]]=Transactions[[#This Row],[L6N]],Transactions[[#This Row],[L7N]],IF(Transactions[[#This Row],[L6N]]=Transactions[[#This Row],[L5N]],Transactions[[#This Row],[L6N]],IF(Transactions[[#This Row],[L5N]]=Transactions[[#This Row],[L4N]],Transactions[[#This Row],[L5N]],IF(Transactions[[#This Row],[L4N]]=Transactions[[#This Row],[L3N]],Transactions[[#This Row],[L4N]],IF(Transactions[[#This Row],[L3N]]=Transactions[[#This Row],[L2N]],Transactions[[#This Row],[L3N]],IF(Transactions[[#This Row],[L2N]]=Transactions[[#This Row],[L1N]],Transactions[[#This Row],[L2N]],IF(Transactions[[#This Row],[L1N]]=Transactions[[#This Row],[Transaction name]],Transactions[[#This Row],[L1N]],Transactions[[#This Row],[Transaction name]])))))))</f>
        <v>Transformation</v>
      </c>
      <c r="AS472" s="24" t="str">
        <f>IF(Transactions[[#This Row],[Level 0]]=Transactions[[#This Row],[Transaction name]],Transactions[[#This Row],[Transaction name]],IF(Transactions[[#This Row],[Level 0]]=Transactions[[#This Row],[L1N]],Transactions[[#This Row],[Transaction name]],IF(Transactions[[#This Row],[Level 0]]=Transactions[[#This Row],[L2N]],Transactions[[#This Row],[L1N]],IF(Transactions[[#This Row],[Level 0]]=Transactions[[#This Row],[L3N]],Transactions[[#This Row],[L2N]],IF(Transactions[[#This Row],[Level 0]]=Transactions[[#This Row],[L4N]],Transactions[[#This Row],[L3N]],IF(Transactions[[#This Row],[Level 0]]=Transactions[[#This Row],[L5N]],Transactions[[#This Row],[L4N]],IF(Transactions[[#This Row],[Level 0]]=Transactions[[#This Row],[L6N]],Transactions[[#This Row],[L5N]],IF(Transactions[[#This Row],[Level 0]]=Transactions[[#This Row],[L7N]],Transactions[[#This Row],[L6N]],Transactions[[#This Row],[L7N]]))))))))</f>
        <v>Electricity, CHP and heat plants (T)</v>
      </c>
      <c r="AT472" s="24" t="str">
        <f>IF(Transactions[[#This Row],[Level 1]]=Transactions[[#This Row],[Transaction name]],Transactions[[#This Row],[Transaction name]],IF(Transactions[[#This Row],[Level 1]]=Transactions[[#This Row],[L1N]],Transactions[[#This Row],[Transaction name]],IF(Transactions[[#This Row],[Level 1]]=Transactions[[#This Row],[L2N]],Transactions[[#This Row],[L1N]],IF(Transactions[[#This Row],[Level 1]]=Transactions[[#This Row],[L3N]],Transactions[[#This Row],[L2N]],IF(Transactions[[#This Row],[Level 1]]=Transactions[[#This Row],[L4N]],Transactions[[#This Row],[L3N]],IF(Transactions[[#This Row],[Level 1]]=Transactions[[#This Row],[L5N]],Transactions[[#This Row],[L4N]],IF(Transactions[[#This Row],[Level 1]]=Transactions[[#This Row],[L6N]],Transactions[[#This Row],[L5N]],IF(Transactions[[#This Row],[Level 1]]=Transactions[[#This Row],[L7N]],Transactions[[#This Row],[L6N]],Transactions[[#This Row],[L7N]]))))))))</f>
        <v>Heat plants</v>
      </c>
      <c r="AU472" s="24" t="str">
        <f>IF(Transactions[[#This Row],[Level 2]]=Transactions[[#This Row],[Transaction name]],Transactions[[#This Row],[Transaction name]],IF(Transactions[[#This Row],[Level 2]]=Transactions[[#This Row],[L1N]],Transactions[[#This Row],[Transaction name]],IF(Transactions[[#This Row],[Level 2]]=Transactions[[#This Row],[L2N]],Transactions[[#This Row],[L1N]],IF(Transactions[[#This Row],[Level 2]]=Transactions[[#This Row],[L3N]],Transactions[[#This Row],[L2N]],IF(Transactions[[#This Row],[Level 2]]=Transactions[[#This Row],[L4N]],Transactions[[#This Row],[L3N]],IF(Transactions[[#This Row],[Level 2]]=Transactions[[#This Row],[L5N]],Transactions[[#This Row],[L4N]],IF(Transactions[[#This Row],[Level 2]]=Transactions[[#This Row],[L6N]],Transactions[[#This Row],[L5N]],IF(Transactions[[#This Row],[Level 2]]=Transactions[[#This Row],[L7N]],Transactions[[#This Row],[L6N]],Transactions[[#This Row],[L7N]]))))))))</f>
        <v>Heat plants - gas coal products</v>
      </c>
      <c r="AV472" s="24" t="str">
        <f>IF(Transactions[[#This Row],[Level 3]]=Transactions[[#This Row],[Transaction name]],Transactions[[#This Row],[Transaction name]],IF(Transactions[[#This Row],[Level 3]]=Transactions[[#This Row],[L1N]],Transactions[[#This Row],[Transaction name]],IF(Transactions[[#This Row],[Level 3]]=Transactions[[#This Row],[L2N]],Transactions[[#This Row],[L1N]],IF(Transactions[[#This Row],[Level 3]]=Transactions[[#This Row],[L3N]],Transactions[[#This Row],[L2N]],IF(Transactions[[#This Row],[Level 3]]=Transactions[[#This Row],[L4N]],Transactions[[#This Row],[L3N]],IF(Transactions[[#This Row],[Level 3]]=Transactions[[#This Row],[L5N]],Transactions[[#This Row],[L4N]],IF(Transactions[[#This Row],[Level 3]]=Transactions[[#This Row],[L6N]],Transactions[[#This Row],[L5N]],IF(Transactions[[#This Row],[Level 3]]=Transactions[[#This Row],[L7N]],Transactions[[#This Row],[L6N]],Transactions[[#This Row],[L7N]]))))))))</f>
        <v>Heat plants - Autoproducer - gas coal products</v>
      </c>
      <c r="AW472" s="24" t="str">
        <f>IF(Transactions[[#This Row],[Level 4]]=Transactions[[#This Row],[Transaction name]],Transactions[[#This Row],[Transaction name]],IF(Transactions[[#This Row],[Level 4]]=Transactions[[#This Row],[L1N]],Transactions[[#This Row],[Transaction name]],IF(Transactions[[#This Row],[Level 4]]=Transactions[[#This Row],[L2N]],Transactions[[#This Row],[L1N]],IF(Transactions[[#This Row],[Level 4]]=Transactions[[#This Row],[L3N]],Transactions[[#This Row],[L2N]],IF(Transactions[[#This Row],[Level 4]]=Transactions[[#This Row],[L4N]],Transactions[[#This Row],[L3N]],IF(Transactions[[#This Row],[Level 4]]=Transactions[[#This Row],[L5N]],Transactions[[#This Row],[L4N]],IF(Transactions[[#This Row],[Level 4]]=Transactions[[#This Row],[L6N]],Transactions[[#This Row],[L5N]],IF(Transactions[[#This Row],[Level 4]]=Transactions[[#This Row],[L7N]],Transactions[[#This Row],[L6N]],Transactions[[#This Row],[L7N]]))))))))</f>
        <v>Heat plants - Autoproducer - gas coal products</v>
      </c>
      <c r="AX472" s="24" t="str">
        <f>IF(Transactions[[#This Row],[Level 5]]=Transactions[[#This Row],[Transaction name]],Transactions[[#This Row],[Transaction name]],IF(Transactions[[#This Row],[Level 5]]=Transactions[[#This Row],[L1N]],Transactions[[#This Row],[Transaction name]],IF(Transactions[[#This Row],[Level 5]]=Transactions[[#This Row],[L2N]],Transactions[[#This Row],[L1N]],IF(Transactions[[#This Row],[Level 5]]=Transactions[[#This Row],[L3N]],Transactions[[#This Row],[L2N]],IF(Transactions[[#This Row],[Level 5]]=Transactions[[#This Row],[L4N]],Transactions[[#This Row],[L3N]],IF(Transactions[[#This Row],[Level 5]]=Transactions[[#This Row],[L5N]],Transactions[[#This Row],[L4N]],IF(Transactions[[#This Row],[Level 5]]=Transactions[[#This Row],[L6N]],Transactions[[#This Row],[L5N]],IF(Transactions[[#This Row],[Level 5]]=Transactions[[#This Row],[L7N]],Transactions[[#This Row],[L6N]],Transactions[[#This Row],[L7N]]))))))))</f>
        <v>Heat plants - Autoproducer - gas coal products</v>
      </c>
      <c r="AY472" s="24" t="str">
        <f>IF(Transactions[[#This Row],[Level 6]]=Transactions[[#This Row],[Transaction name]],Transactions[[#This Row],[Transaction name]],IF(Transactions[[#This Row],[Level 6]]=Transactions[[#This Row],[L1N]],Transactions[[#This Row],[Transaction name]],IF(Transactions[[#This Row],[Level 6]]=Transactions[[#This Row],[L2N]],Transactions[[#This Row],[L1N]],IF(Transactions[[#This Row],[Level 6]]=Transactions[[#This Row],[L3N]],Transactions[[#This Row],[L2N]],IF(Transactions[[#This Row],[Level 6]]=Transactions[[#This Row],[L4N]],Transactions[[#This Row],[L3N]],IF(Transactions[[#This Row],[Level 6]]=Transactions[[#This Row],[L5N]],Transactions[[#This Row],[L4N]],IF(Transactions[[#This Row],[Level 6]]=Transactions[[#This Row],[L6N]],Transactions[[#This Row],[L5N]],IF(Transactions[[#This Row],[Level 6]]=Transactions[[#This Row],[L7N]],Transactions[[#This Row],[L6N]],Transactions[[#This Row],[L7N]]))))))))</f>
        <v>Heat plants - Autoproducer - gas coal products</v>
      </c>
    </row>
    <row r="473" spans="25:51" x14ac:dyDescent="0.45">
      <c r="Y473" s="19" t="s">
        <v>1559</v>
      </c>
      <c r="Z473" s="18" t="s">
        <v>1385</v>
      </c>
      <c r="AA473" s="18" t="s">
        <v>1385</v>
      </c>
      <c r="AB473" s="19" t="s">
        <v>1574</v>
      </c>
      <c r="AC473" s="26" t="str">
        <f>IFERROR(VLOOKUP(Transactions[[#This Row],[Parent code]],Transactions[[Transaction code]:[Transaction name]],2,0),"")</f>
        <v>Heat plants</v>
      </c>
      <c r="AD473" s="18" t="s">
        <v>189</v>
      </c>
      <c r="AE473" s="18" t="s">
        <v>924</v>
      </c>
      <c r="AF473" s="18" t="s">
        <v>642</v>
      </c>
      <c r="AG473" s="18" t="s">
        <v>1</v>
      </c>
      <c r="AH473" s="18" t="s">
        <v>696</v>
      </c>
      <c r="AI473" s="18" t="s">
        <v>1416</v>
      </c>
      <c r="AJ473" s="18"/>
      <c r="AK473" s="26" t="str" cm="1">
        <f t="array" ref="AK473">IFERROR(INDEX(Transactions[[Transaction code]:[Transaction name]],_xlfn.XMATCH(Transactions[[#This Row],[Parent code]],Transactions[Transaction name],0),3),Transactions[[#This Row],[Transaction name]])</f>
        <v>Heat plants - gas coal products</v>
      </c>
      <c r="AL473" s="26" t="str" cm="1">
        <f t="array" ref="AL473">IFERROR(INDEX(Transactions[[Transaction code]:[Transaction name]],_xlfn.XMATCH(INDEX(Transactions[[Transaction name]:[Parent code]],_xlfn.XMATCH(Transactions[[#This Row],[L1N]],Transactions[Transaction name],0),3),Transactions[Transaction code],0),2),Transactions[[#This Row],[L1N]])</f>
        <v>Heat plants</v>
      </c>
      <c r="AM473" s="26" t="str" cm="1">
        <f t="array" ref="AM473">IFERROR(INDEX(Transactions[[Transaction code]:[Transaction name]],_xlfn.XMATCH(INDEX(Transactions[[Transaction name]:[Parent code]],_xlfn.XMATCH(Transactions[[#This Row],[L2N]],Transactions[Transaction name],0),3),Transactions[Transaction code],0),2),Transactions[[#This Row],[L2N]])</f>
        <v>Electricity, CHP and heat plants (T)</v>
      </c>
      <c r="AN473" s="26" t="str" cm="1">
        <f t="array" ref="AN473">IFERROR(INDEX(Transactions[[Transaction code]:[Transaction name]],_xlfn.XMATCH(INDEX(Transactions[[Transaction name]:[Parent code]],_xlfn.XMATCH(Transactions[[#This Row],[L3N]],Transactions[Transaction name],0),3),Transactions[Transaction code],0),2),Transactions[[#This Row],[L3N]])</f>
        <v>Transformation</v>
      </c>
      <c r="AO473" s="26" t="str" cm="1">
        <f t="array" ref="AO473">IFERROR(INDEX(Transactions[[Transaction code]:[Transaction name]],_xlfn.XMATCH(INDEX(Transactions[[Transaction name]:[Parent code]],_xlfn.XMATCH(Transactions[[#This Row],[L4N]],Transactions[Transaction name],0),3),Transactions[Transaction code],0),2),Transactions[[#This Row],[L4N]])</f>
        <v>Transformation</v>
      </c>
      <c r="AP473" s="26" t="str" cm="1">
        <f t="array" ref="AP473">IFERROR(INDEX(Transactions[[Transaction code]:[Transaction name]],_xlfn.XMATCH(INDEX(Transactions[[Transaction name]:[Parent code]],_xlfn.XMATCH(Transactions[[#This Row],[L5N]],Transactions[Transaction name],0),3),Transactions[Transaction code],0),2),Transactions[[#This Row],[L5N]])</f>
        <v>Transformation</v>
      </c>
      <c r="AQ473" s="26" t="str" cm="1">
        <f t="array" ref="AQ473">IFERROR(INDEX(Transactions[[Transaction code]:[Transaction name]],_xlfn.XMATCH(INDEX(Transactions[[Transaction name]:[Parent code]],_xlfn.XMATCH(Transactions[[#This Row],[L6N]],Transactions[Transaction name],0),3),Transactions[Transaction code],0),2),Transactions[[#This Row],[L6N]])</f>
        <v>Transformation</v>
      </c>
      <c r="AR473" s="29" t="str">
        <f>IF(Transactions[[#This Row],[L7N]]=Transactions[[#This Row],[L6N]],Transactions[[#This Row],[L7N]],IF(Transactions[[#This Row],[L6N]]=Transactions[[#This Row],[L5N]],Transactions[[#This Row],[L6N]],IF(Transactions[[#This Row],[L5N]]=Transactions[[#This Row],[L4N]],Transactions[[#This Row],[L5N]],IF(Transactions[[#This Row],[L4N]]=Transactions[[#This Row],[L3N]],Transactions[[#This Row],[L4N]],IF(Transactions[[#This Row],[L3N]]=Transactions[[#This Row],[L2N]],Transactions[[#This Row],[L3N]],IF(Transactions[[#This Row],[L2N]]=Transactions[[#This Row],[L1N]],Transactions[[#This Row],[L2N]],IF(Transactions[[#This Row],[L1N]]=Transactions[[#This Row],[Transaction name]],Transactions[[#This Row],[L1N]],Transactions[[#This Row],[Transaction name]])))))))</f>
        <v>Transformation</v>
      </c>
      <c r="AS473" s="26" t="str">
        <f>IF(Transactions[[#This Row],[Level 0]]=Transactions[[#This Row],[Transaction name]],Transactions[[#This Row],[Transaction name]],IF(Transactions[[#This Row],[Level 0]]=Transactions[[#This Row],[L1N]],Transactions[[#This Row],[Transaction name]],IF(Transactions[[#This Row],[Level 0]]=Transactions[[#This Row],[L2N]],Transactions[[#This Row],[L1N]],IF(Transactions[[#This Row],[Level 0]]=Transactions[[#This Row],[L3N]],Transactions[[#This Row],[L2N]],IF(Transactions[[#This Row],[Level 0]]=Transactions[[#This Row],[L4N]],Transactions[[#This Row],[L3N]],IF(Transactions[[#This Row],[Level 0]]=Transactions[[#This Row],[L5N]],Transactions[[#This Row],[L4N]],IF(Transactions[[#This Row],[Level 0]]=Transactions[[#This Row],[L6N]],Transactions[[#This Row],[L5N]],IF(Transactions[[#This Row],[Level 0]]=Transactions[[#This Row],[L7N]],Transactions[[#This Row],[L6N]],Transactions[[#This Row],[L7N]]))))))))</f>
        <v>Electricity, CHP and heat plants (T)</v>
      </c>
      <c r="AT473" s="26" t="str">
        <f>IF(Transactions[[#This Row],[Level 1]]=Transactions[[#This Row],[Transaction name]],Transactions[[#This Row],[Transaction name]],IF(Transactions[[#This Row],[Level 1]]=Transactions[[#This Row],[L1N]],Transactions[[#This Row],[Transaction name]],IF(Transactions[[#This Row],[Level 1]]=Transactions[[#This Row],[L2N]],Transactions[[#This Row],[L1N]],IF(Transactions[[#This Row],[Level 1]]=Transactions[[#This Row],[L3N]],Transactions[[#This Row],[L2N]],IF(Transactions[[#This Row],[Level 1]]=Transactions[[#This Row],[L4N]],Transactions[[#This Row],[L3N]],IF(Transactions[[#This Row],[Level 1]]=Transactions[[#This Row],[L5N]],Transactions[[#This Row],[L4N]],IF(Transactions[[#This Row],[Level 1]]=Transactions[[#This Row],[L6N]],Transactions[[#This Row],[L5N]],IF(Transactions[[#This Row],[Level 1]]=Transactions[[#This Row],[L7N]],Transactions[[#This Row],[L6N]],Transactions[[#This Row],[L7N]]))))))))</f>
        <v>Heat plants</v>
      </c>
      <c r="AU473" s="26" t="str">
        <f>IF(Transactions[[#This Row],[Level 2]]=Transactions[[#This Row],[Transaction name]],Transactions[[#This Row],[Transaction name]],IF(Transactions[[#This Row],[Level 2]]=Transactions[[#This Row],[L1N]],Transactions[[#This Row],[Transaction name]],IF(Transactions[[#This Row],[Level 2]]=Transactions[[#This Row],[L2N]],Transactions[[#This Row],[L1N]],IF(Transactions[[#This Row],[Level 2]]=Transactions[[#This Row],[L3N]],Transactions[[#This Row],[L2N]],IF(Transactions[[#This Row],[Level 2]]=Transactions[[#This Row],[L4N]],Transactions[[#This Row],[L3N]],IF(Transactions[[#This Row],[Level 2]]=Transactions[[#This Row],[L5N]],Transactions[[#This Row],[L4N]],IF(Transactions[[#This Row],[Level 2]]=Transactions[[#This Row],[L6N]],Transactions[[#This Row],[L5N]],IF(Transactions[[#This Row],[Level 2]]=Transactions[[#This Row],[L7N]],Transactions[[#This Row],[L6N]],Transactions[[#This Row],[L7N]]))))))))</f>
        <v>Heat plants - gas coal products</v>
      </c>
      <c r="AV473" s="26" t="str">
        <f>IF(Transactions[[#This Row],[Level 3]]=Transactions[[#This Row],[Transaction name]],Transactions[[#This Row],[Transaction name]],IF(Transactions[[#This Row],[Level 3]]=Transactions[[#This Row],[L1N]],Transactions[[#This Row],[Transaction name]],IF(Transactions[[#This Row],[Level 3]]=Transactions[[#This Row],[L2N]],Transactions[[#This Row],[L1N]],IF(Transactions[[#This Row],[Level 3]]=Transactions[[#This Row],[L3N]],Transactions[[#This Row],[L2N]],IF(Transactions[[#This Row],[Level 3]]=Transactions[[#This Row],[L4N]],Transactions[[#This Row],[L3N]],IF(Transactions[[#This Row],[Level 3]]=Transactions[[#This Row],[L5N]],Transactions[[#This Row],[L4N]],IF(Transactions[[#This Row],[Level 3]]=Transactions[[#This Row],[L6N]],Transactions[[#This Row],[L5N]],IF(Transactions[[#This Row],[Level 3]]=Transactions[[#This Row],[L7N]],Transactions[[#This Row],[L6N]],Transactions[[#This Row],[L7N]]))))))))</f>
        <v>Heat plants - gas coal products</v>
      </c>
      <c r="AW473" s="26" t="str">
        <f>IF(Transactions[[#This Row],[Level 4]]=Transactions[[#This Row],[Transaction name]],Transactions[[#This Row],[Transaction name]],IF(Transactions[[#This Row],[Level 4]]=Transactions[[#This Row],[L1N]],Transactions[[#This Row],[Transaction name]],IF(Transactions[[#This Row],[Level 4]]=Transactions[[#This Row],[L2N]],Transactions[[#This Row],[L1N]],IF(Transactions[[#This Row],[Level 4]]=Transactions[[#This Row],[L3N]],Transactions[[#This Row],[L2N]],IF(Transactions[[#This Row],[Level 4]]=Transactions[[#This Row],[L4N]],Transactions[[#This Row],[L3N]],IF(Transactions[[#This Row],[Level 4]]=Transactions[[#This Row],[L5N]],Transactions[[#This Row],[L4N]],IF(Transactions[[#This Row],[Level 4]]=Transactions[[#This Row],[L6N]],Transactions[[#This Row],[L5N]],IF(Transactions[[#This Row],[Level 4]]=Transactions[[#This Row],[L7N]],Transactions[[#This Row],[L6N]],Transactions[[#This Row],[L7N]]))))))))</f>
        <v>Heat plants - gas coal products</v>
      </c>
      <c r="AX473" s="26" t="str">
        <f>IF(Transactions[[#This Row],[Level 5]]=Transactions[[#This Row],[Transaction name]],Transactions[[#This Row],[Transaction name]],IF(Transactions[[#This Row],[Level 5]]=Transactions[[#This Row],[L1N]],Transactions[[#This Row],[Transaction name]],IF(Transactions[[#This Row],[Level 5]]=Transactions[[#This Row],[L2N]],Transactions[[#This Row],[L1N]],IF(Transactions[[#This Row],[Level 5]]=Transactions[[#This Row],[L3N]],Transactions[[#This Row],[L2N]],IF(Transactions[[#This Row],[Level 5]]=Transactions[[#This Row],[L4N]],Transactions[[#This Row],[L3N]],IF(Transactions[[#This Row],[Level 5]]=Transactions[[#This Row],[L5N]],Transactions[[#This Row],[L4N]],IF(Transactions[[#This Row],[Level 5]]=Transactions[[#This Row],[L6N]],Transactions[[#This Row],[L5N]],IF(Transactions[[#This Row],[Level 5]]=Transactions[[#This Row],[L7N]],Transactions[[#This Row],[L6N]],Transactions[[#This Row],[L7N]]))))))))</f>
        <v>Heat plants - gas coal products</v>
      </c>
      <c r="AY473" s="26" t="str">
        <f>IF(Transactions[[#This Row],[Level 6]]=Transactions[[#This Row],[Transaction name]],Transactions[[#This Row],[Transaction name]],IF(Transactions[[#This Row],[Level 6]]=Transactions[[#This Row],[L1N]],Transactions[[#This Row],[Transaction name]],IF(Transactions[[#This Row],[Level 6]]=Transactions[[#This Row],[L2N]],Transactions[[#This Row],[L1N]],IF(Transactions[[#This Row],[Level 6]]=Transactions[[#This Row],[L3N]],Transactions[[#This Row],[L2N]],IF(Transactions[[#This Row],[Level 6]]=Transactions[[#This Row],[L4N]],Transactions[[#This Row],[L3N]],IF(Transactions[[#This Row],[Level 6]]=Transactions[[#This Row],[L5N]],Transactions[[#This Row],[L4N]],IF(Transactions[[#This Row],[Level 6]]=Transactions[[#This Row],[L6N]],Transactions[[#This Row],[L5N]],IF(Transactions[[#This Row],[Level 6]]=Transactions[[#This Row],[L7N]],Transactions[[#This Row],[L6N]],Transactions[[#This Row],[L7N]]))))))))</f>
        <v>Heat plants - gas coal products</v>
      </c>
    </row>
    <row r="474" spans="25:51" x14ac:dyDescent="0.45">
      <c r="Y474" s="5" t="s">
        <v>1251</v>
      </c>
      <c r="Z474" s="7" t="s">
        <v>1219</v>
      </c>
      <c r="AA474" s="4" t="s">
        <v>1385</v>
      </c>
      <c r="AB474" s="19" t="s">
        <v>1559</v>
      </c>
      <c r="AC474" s="24" t="str">
        <f>IFERROR(VLOOKUP(Transactions[[#This Row],[Parent code]],Transactions[[Transaction code]:[Transaction name]],2,0),"")</f>
        <v>Heat plants - gas coal products</v>
      </c>
      <c r="AD474" s="4" t="s">
        <v>189</v>
      </c>
      <c r="AE474" s="4" t="s">
        <v>924</v>
      </c>
      <c r="AF474" s="4" t="s">
        <v>642</v>
      </c>
      <c r="AG474" s="4" t="s">
        <v>1</v>
      </c>
      <c r="AH474" s="4" t="s">
        <v>696</v>
      </c>
      <c r="AI474" s="12" t="s">
        <v>1416</v>
      </c>
      <c r="AK474" s="24" t="str" cm="1">
        <f t="array" ref="AK474">IFERROR(INDEX(Transactions[[Transaction code]:[Transaction name]],_xlfn.XMATCH(Transactions[[#This Row],[Parent code]],Transactions[Transaction name],0),3),Transactions[[#This Row],[Transaction name]])</f>
        <v>Heat plants - Main activity - gas coal products</v>
      </c>
      <c r="AL474" s="24" t="str" cm="1">
        <f t="array" ref="AL474">IFERROR(INDEX(Transactions[[Transaction code]:[Transaction name]],_xlfn.XMATCH(INDEX(Transactions[[Transaction name]:[Parent code]],_xlfn.XMATCH(Transactions[[#This Row],[L1N]],Transactions[Transaction name],0),3),Transactions[Transaction code],0),2),Transactions[[#This Row],[L1N]])</f>
        <v>Heat plants - gas coal products</v>
      </c>
      <c r="AM474" s="24" t="str" cm="1">
        <f t="array" ref="AM474">IFERROR(INDEX(Transactions[[Transaction code]:[Transaction name]],_xlfn.XMATCH(INDEX(Transactions[[Transaction name]:[Parent code]],_xlfn.XMATCH(Transactions[[#This Row],[L2N]],Transactions[Transaction name],0),3),Transactions[Transaction code],0),2),Transactions[[#This Row],[L2N]])</f>
        <v>Heat plants</v>
      </c>
      <c r="AN474" s="24" t="str" cm="1">
        <f t="array" ref="AN474">IFERROR(INDEX(Transactions[[Transaction code]:[Transaction name]],_xlfn.XMATCH(INDEX(Transactions[[Transaction name]:[Parent code]],_xlfn.XMATCH(Transactions[[#This Row],[L3N]],Transactions[Transaction name],0),3),Transactions[Transaction code],0),2),Transactions[[#This Row],[L3N]])</f>
        <v>Electricity, CHP and heat plants (T)</v>
      </c>
      <c r="AO474" s="24" t="str" cm="1">
        <f t="array" ref="AO474">IFERROR(INDEX(Transactions[[Transaction code]:[Transaction name]],_xlfn.XMATCH(INDEX(Transactions[[Transaction name]:[Parent code]],_xlfn.XMATCH(Transactions[[#This Row],[L4N]],Transactions[Transaction name],0),3),Transactions[Transaction code],0),2),Transactions[[#This Row],[L4N]])</f>
        <v>Transformation</v>
      </c>
      <c r="AP474" s="24" t="str" cm="1">
        <f t="array" ref="AP474">IFERROR(INDEX(Transactions[[Transaction code]:[Transaction name]],_xlfn.XMATCH(INDEX(Transactions[[Transaction name]:[Parent code]],_xlfn.XMATCH(Transactions[[#This Row],[L5N]],Transactions[Transaction name],0),3),Transactions[Transaction code],0),2),Transactions[[#This Row],[L5N]])</f>
        <v>Transformation</v>
      </c>
      <c r="AQ474" s="24" t="str" cm="1">
        <f t="array" ref="AQ474">IFERROR(INDEX(Transactions[[Transaction code]:[Transaction name]],_xlfn.XMATCH(INDEX(Transactions[[Transaction name]:[Parent code]],_xlfn.XMATCH(Transactions[[#This Row],[L6N]],Transactions[Transaction name],0),3),Transactions[Transaction code],0),2),Transactions[[#This Row],[L6N]])</f>
        <v>Transformation</v>
      </c>
      <c r="AR474" s="28" t="str">
        <f>IF(Transactions[[#This Row],[L7N]]=Transactions[[#This Row],[L6N]],Transactions[[#This Row],[L7N]],IF(Transactions[[#This Row],[L6N]]=Transactions[[#This Row],[L5N]],Transactions[[#This Row],[L6N]],IF(Transactions[[#This Row],[L5N]]=Transactions[[#This Row],[L4N]],Transactions[[#This Row],[L5N]],IF(Transactions[[#This Row],[L4N]]=Transactions[[#This Row],[L3N]],Transactions[[#This Row],[L4N]],IF(Transactions[[#This Row],[L3N]]=Transactions[[#This Row],[L2N]],Transactions[[#This Row],[L3N]],IF(Transactions[[#This Row],[L2N]]=Transactions[[#This Row],[L1N]],Transactions[[#This Row],[L2N]],IF(Transactions[[#This Row],[L1N]]=Transactions[[#This Row],[Transaction name]],Transactions[[#This Row],[L1N]],Transactions[[#This Row],[Transaction name]])))))))</f>
        <v>Transformation</v>
      </c>
      <c r="AS474" s="24" t="str">
        <f>IF(Transactions[[#This Row],[Level 0]]=Transactions[[#This Row],[Transaction name]],Transactions[[#This Row],[Transaction name]],IF(Transactions[[#This Row],[Level 0]]=Transactions[[#This Row],[L1N]],Transactions[[#This Row],[Transaction name]],IF(Transactions[[#This Row],[Level 0]]=Transactions[[#This Row],[L2N]],Transactions[[#This Row],[L1N]],IF(Transactions[[#This Row],[Level 0]]=Transactions[[#This Row],[L3N]],Transactions[[#This Row],[L2N]],IF(Transactions[[#This Row],[Level 0]]=Transactions[[#This Row],[L4N]],Transactions[[#This Row],[L3N]],IF(Transactions[[#This Row],[Level 0]]=Transactions[[#This Row],[L5N]],Transactions[[#This Row],[L4N]],IF(Transactions[[#This Row],[Level 0]]=Transactions[[#This Row],[L6N]],Transactions[[#This Row],[L5N]],IF(Transactions[[#This Row],[Level 0]]=Transactions[[#This Row],[L7N]],Transactions[[#This Row],[L6N]],Transactions[[#This Row],[L7N]]))))))))</f>
        <v>Electricity, CHP and heat plants (T)</v>
      </c>
      <c r="AT474" s="24" t="str">
        <f>IF(Transactions[[#This Row],[Level 1]]=Transactions[[#This Row],[Transaction name]],Transactions[[#This Row],[Transaction name]],IF(Transactions[[#This Row],[Level 1]]=Transactions[[#This Row],[L1N]],Transactions[[#This Row],[Transaction name]],IF(Transactions[[#This Row],[Level 1]]=Transactions[[#This Row],[L2N]],Transactions[[#This Row],[L1N]],IF(Transactions[[#This Row],[Level 1]]=Transactions[[#This Row],[L3N]],Transactions[[#This Row],[L2N]],IF(Transactions[[#This Row],[Level 1]]=Transactions[[#This Row],[L4N]],Transactions[[#This Row],[L3N]],IF(Transactions[[#This Row],[Level 1]]=Transactions[[#This Row],[L5N]],Transactions[[#This Row],[L4N]],IF(Transactions[[#This Row],[Level 1]]=Transactions[[#This Row],[L6N]],Transactions[[#This Row],[L5N]],IF(Transactions[[#This Row],[Level 1]]=Transactions[[#This Row],[L7N]],Transactions[[#This Row],[L6N]],Transactions[[#This Row],[L7N]]))))))))</f>
        <v>Heat plants</v>
      </c>
      <c r="AU474" s="24" t="str">
        <f>IF(Transactions[[#This Row],[Level 2]]=Transactions[[#This Row],[Transaction name]],Transactions[[#This Row],[Transaction name]],IF(Transactions[[#This Row],[Level 2]]=Transactions[[#This Row],[L1N]],Transactions[[#This Row],[Transaction name]],IF(Transactions[[#This Row],[Level 2]]=Transactions[[#This Row],[L2N]],Transactions[[#This Row],[L1N]],IF(Transactions[[#This Row],[Level 2]]=Transactions[[#This Row],[L3N]],Transactions[[#This Row],[L2N]],IF(Transactions[[#This Row],[Level 2]]=Transactions[[#This Row],[L4N]],Transactions[[#This Row],[L3N]],IF(Transactions[[#This Row],[Level 2]]=Transactions[[#This Row],[L5N]],Transactions[[#This Row],[L4N]],IF(Transactions[[#This Row],[Level 2]]=Transactions[[#This Row],[L6N]],Transactions[[#This Row],[L5N]],IF(Transactions[[#This Row],[Level 2]]=Transactions[[#This Row],[L7N]],Transactions[[#This Row],[L6N]],Transactions[[#This Row],[L7N]]))))))))</f>
        <v>Heat plants - gas coal products</v>
      </c>
      <c r="AV474" s="24" t="str">
        <f>IF(Transactions[[#This Row],[Level 3]]=Transactions[[#This Row],[Transaction name]],Transactions[[#This Row],[Transaction name]],IF(Transactions[[#This Row],[Level 3]]=Transactions[[#This Row],[L1N]],Transactions[[#This Row],[Transaction name]],IF(Transactions[[#This Row],[Level 3]]=Transactions[[#This Row],[L2N]],Transactions[[#This Row],[L1N]],IF(Transactions[[#This Row],[Level 3]]=Transactions[[#This Row],[L3N]],Transactions[[#This Row],[L2N]],IF(Transactions[[#This Row],[Level 3]]=Transactions[[#This Row],[L4N]],Transactions[[#This Row],[L3N]],IF(Transactions[[#This Row],[Level 3]]=Transactions[[#This Row],[L5N]],Transactions[[#This Row],[L4N]],IF(Transactions[[#This Row],[Level 3]]=Transactions[[#This Row],[L6N]],Transactions[[#This Row],[L5N]],IF(Transactions[[#This Row],[Level 3]]=Transactions[[#This Row],[L7N]],Transactions[[#This Row],[L6N]],Transactions[[#This Row],[L7N]]))))))))</f>
        <v>Heat plants - Main activity - gas coal products</v>
      </c>
      <c r="AW474" s="24" t="str">
        <f>IF(Transactions[[#This Row],[Level 4]]=Transactions[[#This Row],[Transaction name]],Transactions[[#This Row],[Transaction name]],IF(Transactions[[#This Row],[Level 4]]=Transactions[[#This Row],[L1N]],Transactions[[#This Row],[Transaction name]],IF(Transactions[[#This Row],[Level 4]]=Transactions[[#This Row],[L2N]],Transactions[[#This Row],[L1N]],IF(Transactions[[#This Row],[Level 4]]=Transactions[[#This Row],[L3N]],Transactions[[#This Row],[L2N]],IF(Transactions[[#This Row],[Level 4]]=Transactions[[#This Row],[L4N]],Transactions[[#This Row],[L3N]],IF(Transactions[[#This Row],[Level 4]]=Transactions[[#This Row],[L5N]],Transactions[[#This Row],[L4N]],IF(Transactions[[#This Row],[Level 4]]=Transactions[[#This Row],[L6N]],Transactions[[#This Row],[L5N]],IF(Transactions[[#This Row],[Level 4]]=Transactions[[#This Row],[L7N]],Transactions[[#This Row],[L6N]],Transactions[[#This Row],[L7N]]))))))))</f>
        <v>Heat plants - Main activity - gas coal products</v>
      </c>
      <c r="AX474" s="24" t="str">
        <f>IF(Transactions[[#This Row],[Level 5]]=Transactions[[#This Row],[Transaction name]],Transactions[[#This Row],[Transaction name]],IF(Transactions[[#This Row],[Level 5]]=Transactions[[#This Row],[L1N]],Transactions[[#This Row],[Transaction name]],IF(Transactions[[#This Row],[Level 5]]=Transactions[[#This Row],[L2N]],Transactions[[#This Row],[L1N]],IF(Transactions[[#This Row],[Level 5]]=Transactions[[#This Row],[L3N]],Transactions[[#This Row],[L2N]],IF(Transactions[[#This Row],[Level 5]]=Transactions[[#This Row],[L4N]],Transactions[[#This Row],[L3N]],IF(Transactions[[#This Row],[Level 5]]=Transactions[[#This Row],[L5N]],Transactions[[#This Row],[L4N]],IF(Transactions[[#This Row],[Level 5]]=Transactions[[#This Row],[L6N]],Transactions[[#This Row],[L5N]],IF(Transactions[[#This Row],[Level 5]]=Transactions[[#This Row],[L7N]],Transactions[[#This Row],[L6N]],Transactions[[#This Row],[L7N]]))))))))</f>
        <v>Heat plants - Main activity - gas coal products</v>
      </c>
      <c r="AY474" s="24" t="str">
        <f>IF(Transactions[[#This Row],[Level 6]]=Transactions[[#This Row],[Transaction name]],Transactions[[#This Row],[Transaction name]],IF(Transactions[[#This Row],[Level 6]]=Transactions[[#This Row],[L1N]],Transactions[[#This Row],[Transaction name]],IF(Transactions[[#This Row],[Level 6]]=Transactions[[#This Row],[L2N]],Transactions[[#This Row],[L1N]],IF(Transactions[[#This Row],[Level 6]]=Transactions[[#This Row],[L3N]],Transactions[[#This Row],[L2N]],IF(Transactions[[#This Row],[Level 6]]=Transactions[[#This Row],[L4N]],Transactions[[#This Row],[L3N]],IF(Transactions[[#This Row],[Level 6]]=Transactions[[#This Row],[L5N]],Transactions[[#This Row],[L4N]],IF(Transactions[[#This Row],[Level 6]]=Transactions[[#This Row],[L6N]],Transactions[[#This Row],[L5N]],IF(Transactions[[#This Row],[Level 6]]=Transactions[[#This Row],[L7N]],Transactions[[#This Row],[L6N]],Transactions[[#This Row],[L7N]]))))))))</f>
        <v>Heat plants - Main activity - gas coal products</v>
      </c>
    </row>
    <row r="475" spans="25:51" x14ac:dyDescent="0.45">
      <c r="Y475" s="5" t="s">
        <v>1048</v>
      </c>
      <c r="Z475" s="7" t="s">
        <v>1040</v>
      </c>
      <c r="AA475" s="4" t="s">
        <v>1345</v>
      </c>
      <c r="AB475" s="19" t="s">
        <v>1561</v>
      </c>
      <c r="AC475" s="24" t="str">
        <f>IFERROR(VLOOKUP(Transactions[[#This Row],[Parent code]],Transactions[[Transaction code]:[Transaction name]],2,0),"")</f>
        <v>Heat plants - gas oil/diesel oil</v>
      </c>
      <c r="AD475" s="4" t="s">
        <v>189</v>
      </c>
      <c r="AE475" s="4" t="s">
        <v>924</v>
      </c>
      <c r="AF475" s="4" t="s">
        <v>642</v>
      </c>
      <c r="AG475" s="4" t="s">
        <v>1</v>
      </c>
      <c r="AH475" s="4" t="s">
        <v>696</v>
      </c>
      <c r="AI475" s="12" t="s">
        <v>1416</v>
      </c>
      <c r="AK475" s="24" t="str" cm="1">
        <f t="array" ref="AK475">IFERROR(INDEX(Transactions[[Transaction code]:[Transaction name]],_xlfn.XMATCH(Transactions[[#This Row],[Parent code]],Transactions[Transaction name],0),3),Transactions[[#This Row],[Transaction name]])</f>
        <v>Heat plants - Autoproducer - gas oil/diesel oil</v>
      </c>
      <c r="AL475" s="24" t="str" cm="1">
        <f t="array" ref="AL475">IFERROR(INDEX(Transactions[[Transaction code]:[Transaction name]],_xlfn.XMATCH(INDEX(Transactions[[Transaction name]:[Parent code]],_xlfn.XMATCH(Transactions[[#This Row],[L1N]],Transactions[Transaction name],0),3),Transactions[Transaction code],0),2),Transactions[[#This Row],[L1N]])</f>
        <v>Heat plants - gas oil/diesel oil</v>
      </c>
      <c r="AM475" s="24" t="str" cm="1">
        <f t="array" ref="AM475">IFERROR(INDEX(Transactions[[Transaction code]:[Transaction name]],_xlfn.XMATCH(INDEX(Transactions[[Transaction name]:[Parent code]],_xlfn.XMATCH(Transactions[[#This Row],[L2N]],Transactions[Transaction name],0),3),Transactions[Transaction code],0),2),Transactions[[#This Row],[L2N]])</f>
        <v>Heat plants</v>
      </c>
      <c r="AN475" s="24" t="str" cm="1">
        <f t="array" ref="AN475">IFERROR(INDEX(Transactions[[Transaction code]:[Transaction name]],_xlfn.XMATCH(INDEX(Transactions[[Transaction name]:[Parent code]],_xlfn.XMATCH(Transactions[[#This Row],[L3N]],Transactions[Transaction name],0),3),Transactions[Transaction code],0),2),Transactions[[#This Row],[L3N]])</f>
        <v>Electricity, CHP and heat plants (T)</v>
      </c>
      <c r="AO475" s="24" t="str" cm="1">
        <f t="array" ref="AO475">IFERROR(INDEX(Transactions[[Transaction code]:[Transaction name]],_xlfn.XMATCH(INDEX(Transactions[[Transaction name]:[Parent code]],_xlfn.XMATCH(Transactions[[#This Row],[L4N]],Transactions[Transaction name],0),3),Transactions[Transaction code],0),2),Transactions[[#This Row],[L4N]])</f>
        <v>Transformation</v>
      </c>
      <c r="AP475" s="24" t="str" cm="1">
        <f t="array" ref="AP475">IFERROR(INDEX(Transactions[[Transaction code]:[Transaction name]],_xlfn.XMATCH(INDEX(Transactions[[Transaction name]:[Parent code]],_xlfn.XMATCH(Transactions[[#This Row],[L5N]],Transactions[Transaction name],0),3),Transactions[Transaction code],0),2),Transactions[[#This Row],[L5N]])</f>
        <v>Transformation</v>
      </c>
      <c r="AQ475" s="24" t="str" cm="1">
        <f t="array" ref="AQ475">IFERROR(INDEX(Transactions[[Transaction code]:[Transaction name]],_xlfn.XMATCH(INDEX(Transactions[[Transaction name]:[Parent code]],_xlfn.XMATCH(Transactions[[#This Row],[L6N]],Transactions[Transaction name],0),3),Transactions[Transaction code],0),2),Transactions[[#This Row],[L6N]])</f>
        <v>Transformation</v>
      </c>
      <c r="AR475" s="28" t="str">
        <f>IF(Transactions[[#This Row],[L7N]]=Transactions[[#This Row],[L6N]],Transactions[[#This Row],[L7N]],IF(Transactions[[#This Row],[L6N]]=Transactions[[#This Row],[L5N]],Transactions[[#This Row],[L6N]],IF(Transactions[[#This Row],[L5N]]=Transactions[[#This Row],[L4N]],Transactions[[#This Row],[L5N]],IF(Transactions[[#This Row],[L4N]]=Transactions[[#This Row],[L3N]],Transactions[[#This Row],[L4N]],IF(Transactions[[#This Row],[L3N]]=Transactions[[#This Row],[L2N]],Transactions[[#This Row],[L3N]],IF(Transactions[[#This Row],[L2N]]=Transactions[[#This Row],[L1N]],Transactions[[#This Row],[L2N]],IF(Transactions[[#This Row],[L1N]]=Transactions[[#This Row],[Transaction name]],Transactions[[#This Row],[L1N]],Transactions[[#This Row],[Transaction name]])))))))</f>
        <v>Transformation</v>
      </c>
      <c r="AS475" s="24" t="str">
        <f>IF(Transactions[[#This Row],[Level 0]]=Transactions[[#This Row],[Transaction name]],Transactions[[#This Row],[Transaction name]],IF(Transactions[[#This Row],[Level 0]]=Transactions[[#This Row],[L1N]],Transactions[[#This Row],[Transaction name]],IF(Transactions[[#This Row],[Level 0]]=Transactions[[#This Row],[L2N]],Transactions[[#This Row],[L1N]],IF(Transactions[[#This Row],[Level 0]]=Transactions[[#This Row],[L3N]],Transactions[[#This Row],[L2N]],IF(Transactions[[#This Row],[Level 0]]=Transactions[[#This Row],[L4N]],Transactions[[#This Row],[L3N]],IF(Transactions[[#This Row],[Level 0]]=Transactions[[#This Row],[L5N]],Transactions[[#This Row],[L4N]],IF(Transactions[[#This Row],[Level 0]]=Transactions[[#This Row],[L6N]],Transactions[[#This Row],[L5N]],IF(Transactions[[#This Row],[Level 0]]=Transactions[[#This Row],[L7N]],Transactions[[#This Row],[L6N]],Transactions[[#This Row],[L7N]]))))))))</f>
        <v>Electricity, CHP and heat plants (T)</v>
      </c>
      <c r="AT475" s="24" t="str">
        <f>IF(Transactions[[#This Row],[Level 1]]=Transactions[[#This Row],[Transaction name]],Transactions[[#This Row],[Transaction name]],IF(Transactions[[#This Row],[Level 1]]=Transactions[[#This Row],[L1N]],Transactions[[#This Row],[Transaction name]],IF(Transactions[[#This Row],[Level 1]]=Transactions[[#This Row],[L2N]],Transactions[[#This Row],[L1N]],IF(Transactions[[#This Row],[Level 1]]=Transactions[[#This Row],[L3N]],Transactions[[#This Row],[L2N]],IF(Transactions[[#This Row],[Level 1]]=Transactions[[#This Row],[L4N]],Transactions[[#This Row],[L3N]],IF(Transactions[[#This Row],[Level 1]]=Transactions[[#This Row],[L5N]],Transactions[[#This Row],[L4N]],IF(Transactions[[#This Row],[Level 1]]=Transactions[[#This Row],[L6N]],Transactions[[#This Row],[L5N]],IF(Transactions[[#This Row],[Level 1]]=Transactions[[#This Row],[L7N]],Transactions[[#This Row],[L6N]],Transactions[[#This Row],[L7N]]))))))))</f>
        <v>Heat plants</v>
      </c>
      <c r="AU475" s="24" t="str">
        <f>IF(Transactions[[#This Row],[Level 2]]=Transactions[[#This Row],[Transaction name]],Transactions[[#This Row],[Transaction name]],IF(Transactions[[#This Row],[Level 2]]=Transactions[[#This Row],[L1N]],Transactions[[#This Row],[Transaction name]],IF(Transactions[[#This Row],[Level 2]]=Transactions[[#This Row],[L2N]],Transactions[[#This Row],[L1N]],IF(Transactions[[#This Row],[Level 2]]=Transactions[[#This Row],[L3N]],Transactions[[#This Row],[L2N]],IF(Transactions[[#This Row],[Level 2]]=Transactions[[#This Row],[L4N]],Transactions[[#This Row],[L3N]],IF(Transactions[[#This Row],[Level 2]]=Transactions[[#This Row],[L5N]],Transactions[[#This Row],[L4N]],IF(Transactions[[#This Row],[Level 2]]=Transactions[[#This Row],[L6N]],Transactions[[#This Row],[L5N]],IF(Transactions[[#This Row],[Level 2]]=Transactions[[#This Row],[L7N]],Transactions[[#This Row],[L6N]],Transactions[[#This Row],[L7N]]))))))))</f>
        <v>Heat plants - gas oil/diesel oil</v>
      </c>
      <c r="AV475" s="24" t="str">
        <f>IF(Transactions[[#This Row],[Level 3]]=Transactions[[#This Row],[Transaction name]],Transactions[[#This Row],[Transaction name]],IF(Transactions[[#This Row],[Level 3]]=Transactions[[#This Row],[L1N]],Transactions[[#This Row],[Transaction name]],IF(Transactions[[#This Row],[Level 3]]=Transactions[[#This Row],[L2N]],Transactions[[#This Row],[L1N]],IF(Transactions[[#This Row],[Level 3]]=Transactions[[#This Row],[L3N]],Transactions[[#This Row],[L2N]],IF(Transactions[[#This Row],[Level 3]]=Transactions[[#This Row],[L4N]],Transactions[[#This Row],[L3N]],IF(Transactions[[#This Row],[Level 3]]=Transactions[[#This Row],[L5N]],Transactions[[#This Row],[L4N]],IF(Transactions[[#This Row],[Level 3]]=Transactions[[#This Row],[L6N]],Transactions[[#This Row],[L5N]],IF(Transactions[[#This Row],[Level 3]]=Transactions[[#This Row],[L7N]],Transactions[[#This Row],[L6N]],Transactions[[#This Row],[L7N]]))))))))</f>
        <v>Heat plants - Autoproducer - gas oil/diesel oil</v>
      </c>
      <c r="AW475" s="24" t="str">
        <f>IF(Transactions[[#This Row],[Level 4]]=Transactions[[#This Row],[Transaction name]],Transactions[[#This Row],[Transaction name]],IF(Transactions[[#This Row],[Level 4]]=Transactions[[#This Row],[L1N]],Transactions[[#This Row],[Transaction name]],IF(Transactions[[#This Row],[Level 4]]=Transactions[[#This Row],[L2N]],Transactions[[#This Row],[L1N]],IF(Transactions[[#This Row],[Level 4]]=Transactions[[#This Row],[L3N]],Transactions[[#This Row],[L2N]],IF(Transactions[[#This Row],[Level 4]]=Transactions[[#This Row],[L4N]],Transactions[[#This Row],[L3N]],IF(Transactions[[#This Row],[Level 4]]=Transactions[[#This Row],[L5N]],Transactions[[#This Row],[L4N]],IF(Transactions[[#This Row],[Level 4]]=Transactions[[#This Row],[L6N]],Transactions[[#This Row],[L5N]],IF(Transactions[[#This Row],[Level 4]]=Transactions[[#This Row],[L7N]],Transactions[[#This Row],[L6N]],Transactions[[#This Row],[L7N]]))))))))</f>
        <v>Heat plants - Autoproducer - gas oil/diesel oil</v>
      </c>
      <c r="AX475" s="24" t="str">
        <f>IF(Transactions[[#This Row],[Level 5]]=Transactions[[#This Row],[Transaction name]],Transactions[[#This Row],[Transaction name]],IF(Transactions[[#This Row],[Level 5]]=Transactions[[#This Row],[L1N]],Transactions[[#This Row],[Transaction name]],IF(Transactions[[#This Row],[Level 5]]=Transactions[[#This Row],[L2N]],Transactions[[#This Row],[L1N]],IF(Transactions[[#This Row],[Level 5]]=Transactions[[#This Row],[L3N]],Transactions[[#This Row],[L2N]],IF(Transactions[[#This Row],[Level 5]]=Transactions[[#This Row],[L4N]],Transactions[[#This Row],[L3N]],IF(Transactions[[#This Row],[Level 5]]=Transactions[[#This Row],[L5N]],Transactions[[#This Row],[L4N]],IF(Transactions[[#This Row],[Level 5]]=Transactions[[#This Row],[L6N]],Transactions[[#This Row],[L5N]],IF(Transactions[[#This Row],[Level 5]]=Transactions[[#This Row],[L7N]],Transactions[[#This Row],[L6N]],Transactions[[#This Row],[L7N]]))))))))</f>
        <v>Heat plants - Autoproducer - gas oil/diesel oil</v>
      </c>
      <c r="AY475" s="24" t="str">
        <f>IF(Transactions[[#This Row],[Level 6]]=Transactions[[#This Row],[Transaction name]],Transactions[[#This Row],[Transaction name]],IF(Transactions[[#This Row],[Level 6]]=Transactions[[#This Row],[L1N]],Transactions[[#This Row],[Transaction name]],IF(Transactions[[#This Row],[Level 6]]=Transactions[[#This Row],[L2N]],Transactions[[#This Row],[L1N]],IF(Transactions[[#This Row],[Level 6]]=Transactions[[#This Row],[L3N]],Transactions[[#This Row],[L2N]],IF(Transactions[[#This Row],[Level 6]]=Transactions[[#This Row],[L4N]],Transactions[[#This Row],[L3N]],IF(Transactions[[#This Row],[Level 6]]=Transactions[[#This Row],[L5N]],Transactions[[#This Row],[L4N]],IF(Transactions[[#This Row],[Level 6]]=Transactions[[#This Row],[L6N]],Transactions[[#This Row],[L5N]],IF(Transactions[[#This Row],[Level 6]]=Transactions[[#This Row],[L7N]],Transactions[[#This Row],[L6N]],Transactions[[#This Row],[L7N]]))))))))</f>
        <v>Heat plants - Autoproducer - gas oil/diesel oil</v>
      </c>
    </row>
    <row r="476" spans="25:51" x14ac:dyDescent="0.45">
      <c r="Y476" s="19" t="s">
        <v>1561</v>
      </c>
      <c r="Z476" s="18" t="s">
        <v>1345</v>
      </c>
      <c r="AA476" s="18" t="s">
        <v>1345</v>
      </c>
      <c r="AB476" s="19" t="s">
        <v>1574</v>
      </c>
      <c r="AC476" s="26" t="str">
        <f>IFERROR(VLOOKUP(Transactions[[#This Row],[Parent code]],Transactions[[Transaction code]:[Transaction name]],2,0),"")</f>
        <v>Heat plants</v>
      </c>
      <c r="AD476" s="18" t="s">
        <v>189</v>
      </c>
      <c r="AE476" s="18" t="s">
        <v>924</v>
      </c>
      <c r="AF476" s="18" t="s">
        <v>642</v>
      </c>
      <c r="AG476" s="18" t="s">
        <v>1</v>
      </c>
      <c r="AH476" s="18" t="s">
        <v>696</v>
      </c>
      <c r="AI476" s="18" t="s">
        <v>1416</v>
      </c>
      <c r="AJ476" s="18"/>
      <c r="AK476" s="26" t="str" cm="1">
        <f t="array" ref="AK476">IFERROR(INDEX(Transactions[[Transaction code]:[Transaction name]],_xlfn.XMATCH(Transactions[[#This Row],[Parent code]],Transactions[Transaction name],0),3),Transactions[[#This Row],[Transaction name]])</f>
        <v>Heat plants - gas oil/diesel oil</v>
      </c>
      <c r="AL476" s="26" t="str" cm="1">
        <f t="array" ref="AL476">IFERROR(INDEX(Transactions[[Transaction code]:[Transaction name]],_xlfn.XMATCH(INDEX(Transactions[[Transaction name]:[Parent code]],_xlfn.XMATCH(Transactions[[#This Row],[L1N]],Transactions[Transaction name],0),3),Transactions[Transaction code],0),2),Transactions[[#This Row],[L1N]])</f>
        <v>Heat plants</v>
      </c>
      <c r="AM476" s="26" t="str" cm="1">
        <f t="array" ref="AM476">IFERROR(INDEX(Transactions[[Transaction code]:[Transaction name]],_xlfn.XMATCH(INDEX(Transactions[[Transaction name]:[Parent code]],_xlfn.XMATCH(Transactions[[#This Row],[L2N]],Transactions[Transaction name],0),3),Transactions[Transaction code],0),2),Transactions[[#This Row],[L2N]])</f>
        <v>Electricity, CHP and heat plants (T)</v>
      </c>
      <c r="AN476" s="26" t="str" cm="1">
        <f t="array" ref="AN476">IFERROR(INDEX(Transactions[[Transaction code]:[Transaction name]],_xlfn.XMATCH(INDEX(Transactions[[Transaction name]:[Parent code]],_xlfn.XMATCH(Transactions[[#This Row],[L3N]],Transactions[Transaction name],0),3),Transactions[Transaction code],0),2),Transactions[[#This Row],[L3N]])</f>
        <v>Transformation</v>
      </c>
      <c r="AO476" s="26" t="str" cm="1">
        <f t="array" ref="AO476">IFERROR(INDEX(Transactions[[Transaction code]:[Transaction name]],_xlfn.XMATCH(INDEX(Transactions[[Transaction name]:[Parent code]],_xlfn.XMATCH(Transactions[[#This Row],[L4N]],Transactions[Transaction name],0),3),Transactions[Transaction code],0),2),Transactions[[#This Row],[L4N]])</f>
        <v>Transformation</v>
      </c>
      <c r="AP476" s="26" t="str" cm="1">
        <f t="array" ref="AP476">IFERROR(INDEX(Transactions[[Transaction code]:[Transaction name]],_xlfn.XMATCH(INDEX(Transactions[[Transaction name]:[Parent code]],_xlfn.XMATCH(Transactions[[#This Row],[L5N]],Transactions[Transaction name],0),3),Transactions[Transaction code],0),2),Transactions[[#This Row],[L5N]])</f>
        <v>Transformation</v>
      </c>
      <c r="AQ476" s="26" t="str" cm="1">
        <f t="array" ref="AQ476">IFERROR(INDEX(Transactions[[Transaction code]:[Transaction name]],_xlfn.XMATCH(INDEX(Transactions[[Transaction name]:[Parent code]],_xlfn.XMATCH(Transactions[[#This Row],[L6N]],Transactions[Transaction name],0),3),Transactions[Transaction code],0),2),Transactions[[#This Row],[L6N]])</f>
        <v>Transformation</v>
      </c>
      <c r="AR476" s="29" t="str">
        <f>IF(Transactions[[#This Row],[L7N]]=Transactions[[#This Row],[L6N]],Transactions[[#This Row],[L7N]],IF(Transactions[[#This Row],[L6N]]=Transactions[[#This Row],[L5N]],Transactions[[#This Row],[L6N]],IF(Transactions[[#This Row],[L5N]]=Transactions[[#This Row],[L4N]],Transactions[[#This Row],[L5N]],IF(Transactions[[#This Row],[L4N]]=Transactions[[#This Row],[L3N]],Transactions[[#This Row],[L4N]],IF(Transactions[[#This Row],[L3N]]=Transactions[[#This Row],[L2N]],Transactions[[#This Row],[L3N]],IF(Transactions[[#This Row],[L2N]]=Transactions[[#This Row],[L1N]],Transactions[[#This Row],[L2N]],IF(Transactions[[#This Row],[L1N]]=Transactions[[#This Row],[Transaction name]],Transactions[[#This Row],[L1N]],Transactions[[#This Row],[Transaction name]])))))))</f>
        <v>Transformation</v>
      </c>
      <c r="AS476" s="26" t="str">
        <f>IF(Transactions[[#This Row],[Level 0]]=Transactions[[#This Row],[Transaction name]],Transactions[[#This Row],[Transaction name]],IF(Transactions[[#This Row],[Level 0]]=Transactions[[#This Row],[L1N]],Transactions[[#This Row],[Transaction name]],IF(Transactions[[#This Row],[Level 0]]=Transactions[[#This Row],[L2N]],Transactions[[#This Row],[L1N]],IF(Transactions[[#This Row],[Level 0]]=Transactions[[#This Row],[L3N]],Transactions[[#This Row],[L2N]],IF(Transactions[[#This Row],[Level 0]]=Transactions[[#This Row],[L4N]],Transactions[[#This Row],[L3N]],IF(Transactions[[#This Row],[Level 0]]=Transactions[[#This Row],[L5N]],Transactions[[#This Row],[L4N]],IF(Transactions[[#This Row],[Level 0]]=Transactions[[#This Row],[L6N]],Transactions[[#This Row],[L5N]],IF(Transactions[[#This Row],[Level 0]]=Transactions[[#This Row],[L7N]],Transactions[[#This Row],[L6N]],Transactions[[#This Row],[L7N]]))))))))</f>
        <v>Electricity, CHP and heat plants (T)</v>
      </c>
      <c r="AT476" s="26" t="str">
        <f>IF(Transactions[[#This Row],[Level 1]]=Transactions[[#This Row],[Transaction name]],Transactions[[#This Row],[Transaction name]],IF(Transactions[[#This Row],[Level 1]]=Transactions[[#This Row],[L1N]],Transactions[[#This Row],[Transaction name]],IF(Transactions[[#This Row],[Level 1]]=Transactions[[#This Row],[L2N]],Transactions[[#This Row],[L1N]],IF(Transactions[[#This Row],[Level 1]]=Transactions[[#This Row],[L3N]],Transactions[[#This Row],[L2N]],IF(Transactions[[#This Row],[Level 1]]=Transactions[[#This Row],[L4N]],Transactions[[#This Row],[L3N]],IF(Transactions[[#This Row],[Level 1]]=Transactions[[#This Row],[L5N]],Transactions[[#This Row],[L4N]],IF(Transactions[[#This Row],[Level 1]]=Transactions[[#This Row],[L6N]],Transactions[[#This Row],[L5N]],IF(Transactions[[#This Row],[Level 1]]=Transactions[[#This Row],[L7N]],Transactions[[#This Row],[L6N]],Transactions[[#This Row],[L7N]]))))))))</f>
        <v>Heat plants</v>
      </c>
      <c r="AU476" s="26" t="str">
        <f>IF(Transactions[[#This Row],[Level 2]]=Transactions[[#This Row],[Transaction name]],Transactions[[#This Row],[Transaction name]],IF(Transactions[[#This Row],[Level 2]]=Transactions[[#This Row],[L1N]],Transactions[[#This Row],[Transaction name]],IF(Transactions[[#This Row],[Level 2]]=Transactions[[#This Row],[L2N]],Transactions[[#This Row],[L1N]],IF(Transactions[[#This Row],[Level 2]]=Transactions[[#This Row],[L3N]],Transactions[[#This Row],[L2N]],IF(Transactions[[#This Row],[Level 2]]=Transactions[[#This Row],[L4N]],Transactions[[#This Row],[L3N]],IF(Transactions[[#This Row],[Level 2]]=Transactions[[#This Row],[L5N]],Transactions[[#This Row],[L4N]],IF(Transactions[[#This Row],[Level 2]]=Transactions[[#This Row],[L6N]],Transactions[[#This Row],[L5N]],IF(Transactions[[#This Row],[Level 2]]=Transactions[[#This Row],[L7N]],Transactions[[#This Row],[L6N]],Transactions[[#This Row],[L7N]]))))))))</f>
        <v>Heat plants - gas oil/diesel oil</v>
      </c>
      <c r="AV476" s="26" t="str">
        <f>IF(Transactions[[#This Row],[Level 3]]=Transactions[[#This Row],[Transaction name]],Transactions[[#This Row],[Transaction name]],IF(Transactions[[#This Row],[Level 3]]=Transactions[[#This Row],[L1N]],Transactions[[#This Row],[Transaction name]],IF(Transactions[[#This Row],[Level 3]]=Transactions[[#This Row],[L2N]],Transactions[[#This Row],[L1N]],IF(Transactions[[#This Row],[Level 3]]=Transactions[[#This Row],[L3N]],Transactions[[#This Row],[L2N]],IF(Transactions[[#This Row],[Level 3]]=Transactions[[#This Row],[L4N]],Transactions[[#This Row],[L3N]],IF(Transactions[[#This Row],[Level 3]]=Transactions[[#This Row],[L5N]],Transactions[[#This Row],[L4N]],IF(Transactions[[#This Row],[Level 3]]=Transactions[[#This Row],[L6N]],Transactions[[#This Row],[L5N]],IF(Transactions[[#This Row],[Level 3]]=Transactions[[#This Row],[L7N]],Transactions[[#This Row],[L6N]],Transactions[[#This Row],[L7N]]))))))))</f>
        <v>Heat plants - gas oil/diesel oil</v>
      </c>
      <c r="AW476" s="26" t="str">
        <f>IF(Transactions[[#This Row],[Level 4]]=Transactions[[#This Row],[Transaction name]],Transactions[[#This Row],[Transaction name]],IF(Transactions[[#This Row],[Level 4]]=Transactions[[#This Row],[L1N]],Transactions[[#This Row],[Transaction name]],IF(Transactions[[#This Row],[Level 4]]=Transactions[[#This Row],[L2N]],Transactions[[#This Row],[L1N]],IF(Transactions[[#This Row],[Level 4]]=Transactions[[#This Row],[L3N]],Transactions[[#This Row],[L2N]],IF(Transactions[[#This Row],[Level 4]]=Transactions[[#This Row],[L4N]],Transactions[[#This Row],[L3N]],IF(Transactions[[#This Row],[Level 4]]=Transactions[[#This Row],[L5N]],Transactions[[#This Row],[L4N]],IF(Transactions[[#This Row],[Level 4]]=Transactions[[#This Row],[L6N]],Transactions[[#This Row],[L5N]],IF(Transactions[[#This Row],[Level 4]]=Transactions[[#This Row],[L7N]],Transactions[[#This Row],[L6N]],Transactions[[#This Row],[L7N]]))))))))</f>
        <v>Heat plants - gas oil/diesel oil</v>
      </c>
      <c r="AX476" s="26" t="str">
        <f>IF(Transactions[[#This Row],[Level 5]]=Transactions[[#This Row],[Transaction name]],Transactions[[#This Row],[Transaction name]],IF(Transactions[[#This Row],[Level 5]]=Transactions[[#This Row],[L1N]],Transactions[[#This Row],[Transaction name]],IF(Transactions[[#This Row],[Level 5]]=Transactions[[#This Row],[L2N]],Transactions[[#This Row],[L1N]],IF(Transactions[[#This Row],[Level 5]]=Transactions[[#This Row],[L3N]],Transactions[[#This Row],[L2N]],IF(Transactions[[#This Row],[Level 5]]=Transactions[[#This Row],[L4N]],Transactions[[#This Row],[L3N]],IF(Transactions[[#This Row],[Level 5]]=Transactions[[#This Row],[L5N]],Transactions[[#This Row],[L4N]],IF(Transactions[[#This Row],[Level 5]]=Transactions[[#This Row],[L6N]],Transactions[[#This Row],[L5N]],IF(Transactions[[#This Row],[Level 5]]=Transactions[[#This Row],[L7N]],Transactions[[#This Row],[L6N]],Transactions[[#This Row],[L7N]]))))))))</f>
        <v>Heat plants - gas oil/diesel oil</v>
      </c>
      <c r="AY476" s="26" t="str">
        <f>IF(Transactions[[#This Row],[Level 6]]=Transactions[[#This Row],[Transaction name]],Transactions[[#This Row],[Transaction name]],IF(Transactions[[#This Row],[Level 6]]=Transactions[[#This Row],[L1N]],Transactions[[#This Row],[Transaction name]],IF(Transactions[[#This Row],[Level 6]]=Transactions[[#This Row],[L2N]],Transactions[[#This Row],[L1N]],IF(Transactions[[#This Row],[Level 6]]=Transactions[[#This Row],[L3N]],Transactions[[#This Row],[L2N]],IF(Transactions[[#This Row],[Level 6]]=Transactions[[#This Row],[L4N]],Transactions[[#This Row],[L3N]],IF(Transactions[[#This Row],[Level 6]]=Transactions[[#This Row],[L5N]],Transactions[[#This Row],[L4N]],IF(Transactions[[#This Row],[Level 6]]=Transactions[[#This Row],[L6N]],Transactions[[#This Row],[L5N]],IF(Transactions[[#This Row],[Level 6]]=Transactions[[#This Row],[L7N]],Transactions[[#This Row],[L6N]],Transactions[[#This Row],[L7N]]))))))))</f>
        <v>Heat plants - gas oil/diesel oil</v>
      </c>
    </row>
    <row r="477" spans="25:51" x14ac:dyDescent="0.45">
      <c r="Y477" s="5" t="s">
        <v>1044</v>
      </c>
      <c r="Z477" s="7" t="s">
        <v>1036</v>
      </c>
      <c r="AA477" s="4" t="s">
        <v>1345</v>
      </c>
      <c r="AB477" s="19" t="s">
        <v>1561</v>
      </c>
      <c r="AC477" s="24" t="str">
        <f>IFERROR(VLOOKUP(Transactions[[#This Row],[Parent code]],Transactions[[Transaction code]:[Transaction name]],2,0),"")</f>
        <v>Heat plants - gas oil/diesel oil</v>
      </c>
      <c r="AD477" s="4" t="s">
        <v>189</v>
      </c>
      <c r="AE477" s="4" t="s">
        <v>924</v>
      </c>
      <c r="AF477" s="4" t="s">
        <v>642</v>
      </c>
      <c r="AG477" s="4" t="s">
        <v>1</v>
      </c>
      <c r="AH477" s="4" t="s">
        <v>696</v>
      </c>
      <c r="AI477" s="12" t="s">
        <v>1416</v>
      </c>
      <c r="AK477" s="24" t="str" cm="1">
        <f t="array" ref="AK477">IFERROR(INDEX(Transactions[[Transaction code]:[Transaction name]],_xlfn.XMATCH(Transactions[[#This Row],[Parent code]],Transactions[Transaction name],0),3),Transactions[[#This Row],[Transaction name]])</f>
        <v>Heat plants - Main activity - gas oil/diesel oil</v>
      </c>
      <c r="AL477" s="24" t="str" cm="1">
        <f t="array" ref="AL477">IFERROR(INDEX(Transactions[[Transaction code]:[Transaction name]],_xlfn.XMATCH(INDEX(Transactions[[Transaction name]:[Parent code]],_xlfn.XMATCH(Transactions[[#This Row],[L1N]],Transactions[Transaction name],0),3),Transactions[Transaction code],0),2),Transactions[[#This Row],[L1N]])</f>
        <v>Heat plants - gas oil/diesel oil</v>
      </c>
      <c r="AM477" s="24" t="str" cm="1">
        <f t="array" ref="AM477">IFERROR(INDEX(Transactions[[Transaction code]:[Transaction name]],_xlfn.XMATCH(INDEX(Transactions[[Transaction name]:[Parent code]],_xlfn.XMATCH(Transactions[[#This Row],[L2N]],Transactions[Transaction name],0),3),Transactions[Transaction code],0),2),Transactions[[#This Row],[L2N]])</f>
        <v>Heat plants</v>
      </c>
      <c r="AN477" s="24" t="str" cm="1">
        <f t="array" ref="AN477">IFERROR(INDEX(Transactions[[Transaction code]:[Transaction name]],_xlfn.XMATCH(INDEX(Transactions[[Transaction name]:[Parent code]],_xlfn.XMATCH(Transactions[[#This Row],[L3N]],Transactions[Transaction name],0),3),Transactions[Transaction code],0),2),Transactions[[#This Row],[L3N]])</f>
        <v>Electricity, CHP and heat plants (T)</v>
      </c>
      <c r="AO477" s="24" t="str" cm="1">
        <f t="array" ref="AO477">IFERROR(INDEX(Transactions[[Transaction code]:[Transaction name]],_xlfn.XMATCH(INDEX(Transactions[[Transaction name]:[Parent code]],_xlfn.XMATCH(Transactions[[#This Row],[L4N]],Transactions[Transaction name],0),3),Transactions[Transaction code],0),2),Transactions[[#This Row],[L4N]])</f>
        <v>Transformation</v>
      </c>
      <c r="AP477" s="24" t="str" cm="1">
        <f t="array" ref="AP477">IFERROR(INDEX(Transactions[[Transaction code]:[Transaction name]],_xlfn.XMATCH(INDEX(Transactions[[Transaction name]:[Parent code]],_xlfn.XMATCH(Transactions[[#This Row],[L5N]],Transactions[Transaction name],0),3),Transactions[Transaction code],0),2),Transactions[[#This Row],[L5N]])</f>
        <v>Transformation</v>
      </c>
      <c r="AQ477" s="24" t="str" cm="1">
        <f t="array" ref="AQ477">IFERROR(INDEX(Transactions[[Transaction code]:[Transaction name]],_xlfn.XMATCH(INDEX(Transactions[[Transaction name]:[Parent code]],_xlfn.XMATCH(Transactions[[#This Row],[L6N]],Transactions[Transaction name],0),3),Transactions[Transaction code],0),2),Transactions[[#This Row],[L6N]])</f>
        <v>Transformation</v>
      </c>
      <c r="AR477" s="28" t="str">
        <f>IF(Transactions[[#This Row],[L7N]]=Transactions[[#This Row],[L6N]],Transactions[[#This Row],[L7N]],IF(Transactions[[#This Row],[L6N]]=Transactions[[#This Row],[L5N]],Transactions[[#This Row],[L6N]],IF(Transactions[[#This Row],[L5N]]=Transactions[[#This Row],[L4N]],Transactions[[#This Row],[L5N]],IF(Transactions[[#This Row],[L4N]]=Transactions[[#This Row],[L3N]],Transactions[[#This Row],[L4N]],IF(Transactions[[#This Row],[L3N]]=Transactions[[#This Row],[L2N]],Transactions[[#This Row],[L3N]],IF(Transactions[[#This Row],[L2N]]=Transactions[[#This Row],[L1N]],Transactions[[#This Row],[L2N]],IF(Transactions[[#This Row],[L1N]]=Transactions[[#This Row],[Transaction name]],Transactions[[#This Row],[L1N]],Transactions[[#This Row],[Transaction name]])))))))</f>
        <v>Transformation</v>
      </c>
      <c r="AS477" s="24" t="str">
        <f>IF(Transactions[[#This Row],[Level 0]]=Transactions[[#This Row],[Transaction name]],Transactions[[#This Row],[Transaction name]],IF(Transactions[[#This Row],[Level 0]]=Transactions[[#This Row],[L1N]],Transactions[[#This Row],[Transaction name]],IF(Transactions[[#This Row],[Level 0]]=Transactions[[#This Row],[L2N]],Transactions[[#This Row],[L1N]],IF(Transactions[[#This Row],[Level 0]]=Transactions[[#This Row],[L3N]],Transactions[[#This Row],[L2N]],IF(Transactions[[#This Row],[Level 0]]=Transactions[[#This Row],[L4N]],Transactions[[#This Row],[L3N]],IF(Transactions[[#This Row],[Level 0]]=Transactions[[#This Row],[L5N]],Transactions[[#This Row],[L4N]],IF(Transactions[[#This Row],[Level 0]]=Transactions[[#This Row],[L6N]],Transactions[[#This Row],[L5N]],IF(Transactions[[#This Row],[Level 0]]=Transactions[[#This Row],[L7N]],Transactions[[#This Row],[L6N]],Transactions[[#This Row],[L7N]]))))))))</f>
        <v>Electricity, CHP and heat plants (T)</v>
      </c>
      <c r="AT477" s="24" t="str">
        <f>IF(Transactions[[#This Row],[Level 1]]=Transactions[[#This Row],[Transaction name]],Transactions[[#This Row],[Transaction name]],IF(Transactions[[#This Row],[Level 1]]=Transactions[[#This Row],[L1N]],Transactions[[#This Row],[Transaction name]],IF(Transactions[[#This Row],[Level 1]]=Transactions[[#This Row],[L2N]],Transactions[[#This Row],[L1N]],IF(Transactions[[#This Row],[Level 1]]=Transactions[[#This Row],[L3N]],Transactions[[#This Row],[L2N]],IF(Transactions[[#This Row],[Level 1]]=Transactions[[#This Row],[L4N]],Transactions[[#This Row],[L3N]],IF(Transactions[[#This Row],[Level 1]]=Transactions[[#This Row],[L5N]],Transactions[[#This Row],[L4N]],IF(Transactions[[#This Row],[Level 1]]=Transactions[[#This Row],[L6N]],Transactions[[#This Row],[L5N]],IF(Transactions[[#This Row],[Level 1]]=Transactions[[#This Row],[L7N]],Transactions[[#This Row],[L6N]],Transactions[[#This Row],[L7N]]))))))))</f>
        <v>Heat plants</v>
      </c>
      <c r="AU477" s="24" t="str">
        <f>IF(Transactions[[#This Row],[Level 2]]=Transactions[[#This Row],[Transaction name]],Transactions[[#This Row],[Transaction name]],IF(Transactions[[#This Row],[Level 2]]=Transactions[[#This Row],[L1N]],Transactions[[#This Row],[Transaction name]],IF(Transactions[[#This Row],[Level 2]]=Transactions[[#This Row],[L2N]],Transactions[[#This Row],[L1N]],IF(Transactions[[#This Row],[Level 2]]=Transactions[[#This Row],[L3N]],Transactions[[#This Row],[L2N]],IF(Transactions[[#This Row],[Level 2]]=Transactions[[#This Row],[L4N]],Transactions[[#This Row],[L3N]],IF(Transactions[[#This Row],[Level 2]]=Transactions[[#This Row],[L5N]],Transactions[[#This Row],[L4N]],IF(Transactions[[#This Row],[Level 2]]=Transactions[[#This Row],[L6N]],Transactions[[#This Row],[L5N]],IF(Transactions[[#This Row],[Level 2]]=Transactions[[#This Row],[L7N]],Transactions[[#This Row],[L6N]],Transactions[[#This Row],[L7N]]))))))))</f>
        <v>Heat plants - gas oil/diesel oil</v>
      </c>
      <c r="AV477" s="24" t="str">
        <f>IF(Transactions[[#This Row],[Level 3]]=Transactions[[#This Row],[Transaction name]],Transactions[[#This Row],[Transaction name]],IF(Transactions[[#This Row],[Level 3]]=Transactions[[#This Row],[L1N]],Transactions[[#This Row],[Transaction name]],IF(Transactions[[#This Row],[Level 3]]=Transactions[[#This Row],[L2N]],Transactions[[#This Row],[L1N]],IF(Transactions[[#This Row],[Level 3]]=Transactions[[#This Row],[L3N]],Transactions[[#This Row],[L2N]],IF(Transactions[[#This Row],[Level 3]]=Transactions[[#This Row],[L4N]],Transactions[[#This Row],[L3N]],IF(Transactions[[#This Row],[Level 3]]=Transactions[[#This Row],[L5N]],Transactions[[#This Row],[L4N]],IF(Transactions[[#This Row],[Level 3]]=Transactions[[#This Row],[L6N]],Transactions[[#This Row],[L5N]],IF(Transactions[[#This Row],[Level 3]]=Transactions[[#This Row],[L7N]],Transactions[[#This Row],[L6N]],Transactions[[#This Row],[L7N]]))))))))</f>
        <v>Heat plants - Main activity - gas oil/diesel oil</v>
      </c>
      <c r="AW477" s="24" t="str">
        <f>IF(Transactions[[#This Row],[Level 4]]=Transactions[[#This Row],[Transaction name]],Transactions[[#This Row],[Transaction name]],IF(Transactions[[#This Row],[Level 4]]=Transactions[[#This Row],[L1N]],Transactions[[#This Row],[Transaction name]],IF(Transactions[[#This Row],[Level 4]]=Transactions[[#This Row],[L2N]],Transactions[[#This Row],[L1N]],IF(Transactions[[#This Row],[Level 4]]=Transactions[[#This Row],[L3N]],Transactions[[#This Row],[L2N]],IF(Transactions[[#This Row],[Level 4]]=Transactions[[#This Row],[L4N]],Transactions[[#This Row],[L3N]],IF(Transactions[[#This Row],[Level 4]]=Transactions[[#This Row],[L5N]],Transactions[[#This Row],[L4N]],IF(Transactions[[#This Row],[Level 4]]=Transactions[[#This Row],[L6N]],Transactions[[#This Row],[L5N]],IF(Transactions[[#This Row],[Level 4]]=Transactions[[#This Row],[L7N]],Transactions[[#This Row],[L6N]],Transactions[[#This Row],[L7N]]))))))))</f>
        <v>Heat plants - Main activity - gas oil/diesel oil</v>
      </c>
      <c r="AX477" s="24" t="str">
        <f>IF(Transactions[[#This Row],[Level 5]]=Transactions[[#This Row],[Transaction name]],Transactions[[#This Row],[Transaction name]],IF(Transactions[[#This Row],[Level 5]]=Transactions[[#This Row],[L1N]],Transactions[[#This Row],[Transaction name]],IF(Transactions[[#This Row],[Level 5]]=Transactions[[#This Row],[L2N]],Transactions[[#This Row],[L1N]],IF(Transactions[[#This Row],[Level 5]]=Transactions[[#This Row],[L3N]],Transactions[[#This Row],[L2N]],IF(Transactions[[#This Row],[Level 5]]=Transactions[[#This Row],[L4N]],Transactions[[#This Row],[L3N]],IF(Transactions[[#This Row],[Level 5]]=Transactions[[#This Row],[L5N]],Transactions[[#This Row],[L4N]],IF(Transactions[[#This Row],[Level 5]]=Transactions[[#This Row],[L6N]],Transactions[[#This Row],[L5N]],IF(Transactions[[#This Row],[Level 5]]=Transactions[[#This Row],[L7N]],Transactions[[#This Row],[L6N]],Transactions[[#This Row],[L7N]]))))))))</f>
        <v>Heat plants - Main activity - gas oil/diesel oil</v>
      </c>
      <c r="AY477" s="24" t="str">
        <f>IF(Transactions[[#This Row],[Level 6]]=Transactions[[#This Row],[Transaction name]],Transactions[[#This Row],[Transaction name]],IF(Transactions[[#This Row],[Level 6]]=Transactions[[#This Row],[L1N]],Transactions[[#This Row],[Transaction name]],IF(Transactions[[#This Row],[Level 6]]=Transactions[[#This Row],[L2N]],Transactions[[#This Row],[L1N]],IF(Transactions[[#This Row],[Level 6]]=Transactions[[#This Row],[L3N]],Transactions[[#This Row],[L2N]],IF(Transactions[[#This Row],[Level 6]]=Transactions[[#This Row],[L4N]],Transactions[[#This Row],[L3N]],IF(Transactions[[#This Row],[Level 6]]=Transactions[[#This Row],[L5N]],Transactions[[#This Row],[L4N]],IF(Transactions[[#This Row],[Level 6]]=Transactions[[#This Row],[L6N]],Transactions[[#This Row],[L5N]],IF(Transactions[[#This Row],[Level 6]]=Transactions[[#This Row],[L7N]],Transactions[[#This Row],[L6N]],Transactions[[#This Row],[L7N]]))))))))</f>
        <v>Heat plants - Main activity - gas oil/diesel oil</v>
      </c>
    </row>
    <row r="478" spans="25:51" x14ac:dyDescent="0.45">
      <c r="Y478" s="5" t="s">
        <v>264</v>
      </c>
      <c r="Z478" s="7" t="s">
        <v>677</v>
      </c>
      <c r="AA478" s="4" t="s">
        <v>1314</v>
      </c>
      <c r="AB478" s="19" t="s">
        <v>1564</v>
      </c>
      <c r="AC478" s="24" t="str">
        <f>IFERROR(VLOOKUP(Transactions[[#This Row],[Parent code]],Transactions[[Transaction code]:[Transaction name]],2,0),"")</f>
        <v>Heat plants - Geothermal</v>
      </c>
      <c r="AD478" s="4" t="s">
        <v>189</v>
      </c>
      <c r="AE478" s="4" t="s">
        <v>924</v>
      </c>
      <c r="AF478" s="4" t="s">
        <v>642</v>
      </c>
      <c r="AG478" s="4" t="s">
        <v>1</v>
      </c>
      <c r="AH478" s="4" t="s">
        <v>696</v>
      </c>
      <c r="AK478" s="24" t="str" cm="1">
        <f t="array" ref="AK478">IFERROR(INDEX(Transactions[[Transaction code]:[Transaction name]],_xlfn.XMATCH(Transactions[[#This Row],[Parent code]],Transactions[Transaction name],0),3),Transactions[[#This Row],[Transaction name]])</f>
        <v>Heat plants - Autoproducer - Geothermal</v>
      </c>
      <c r="AL478" s="24" t="str" cm="1">
        <f t="array" ref="AL478">IFERROR(INDEX(Transactions[[Transaction code]:[Transaction name]],_xlfn.XMATCH(INDEX(Transactions[[Transaction name]:[Parent code]],_xlfn.XMATCH(Transactions[[#This Row],[L1N]],Transactions[Transaction name],0),3),Transactions[Transaction code],0),2),Transactions[[#This Row],[L1N]])</f>
        <v>Heat plants - Geothermal</v>
      </c>
      <c r="AM478" s="24" t="str" cm="1">
        <f t="array" ref="AM478">IFERROR(INDEX(Transactions[[Transaction code]:[Transaction name]],_xlfn.XMATCH(INDEX(Transactions[[Transaction name]:[Parent code]],_xlfn.XMATCH(Transactions[[#This Row],[L2N]],Transactions[Transaction name],0),3),Transactions[Transaction code],0),2),Transactions[[#This Row],[L2N]])</f>
        <v>Heat plants</v>
      </c>
      <c r="AN478" s="24" t="str" cm="1">
        <f t="array" ref="AN478">IFERROR(INDEX(Transactions[[Transaction code]:[Transaction name]],_xlfn.XMATCH(INDEX(Transactions[[Transaction name]:[Parent code]],_xlfn.XMATCH(Transactions[[#This Row],[L3N]],Transactions[Transaction name],0),3),Transactions[Transaction code],0),2),Transactions[[#This Row],[L3N]])</f>
        <v>Electricity, CHP and heat plants (T)</v>
      </c>
      <c r="AO478" s="24" t="str" cm="1">
        <f t="array" ref="AO478">IFERROR(INDEX(Transactions[[Transaction code]:[Transaction name]],_xlfn.XMATCH(INDEX(Transactions[[Transaction name]:[Parent code]],_xlfn.XMATCH(Transactions[[#This Row],[L4N]],Transactions[Transaction name],0),3),Transactions[Transaction code],0),2),Transactions[[#This Row],[L4N]])</f>
        <v>Transformation</v>
      </c>
      <c r="AP478" s="24" t="str" cm="1">
        <f t="array" ref="AP478">IFERROR(INDEX(Transactions[[Transaction code]:[Transaction name]],_xlfn.XMATCH(INDEX(Transactions[[Transaction name]:[Parent code]],_xlfn.XMATCH(Transactions[[#This Row],[L5N]],Transactions[Transaction name],0),3),Transactions[Transaction code],0),2),Transactions[[#This Row],[L5N]])</f>
        <v>Transformation</v>
      </c>
      <c r="AQ478" s="24" t="str" cm="1">
        <f t="array" ref="AQ478">IFERROR(INDEX(Transactions[[Transaction code]:[Transaction name]],_xlfn.XMATCH(INDEX(Transactions[[Transaction name]:[Parent code]],_xlfn.XMATCH(Transactions[[#This Row],[L6N]],Transactions[Transaction name],0),3),Transactions[Transaction code],0),2),Transactions[[#This Row],[L6N]])</f>
        <v>Transformation</v>
      </c>
      <c r="AR478" s="28" t="str">
        <f>IF(Transactions[[#This Row],[L7N]]=Transactions[[#This Row],[L6N]],Transactions[[#This Row],[L7N]],IF(Transactions[[#This Row],[L6N]]=Transactions[[#This Row],[L5N]],Transactions[[#This Row],[L6N]],IF(Transactions[[#This Row],[L5N]]=Transactions[[#This Row],[L4N]],Transactions[[#This Row],[L5N]],IF(Transactions[[#This Row],[L4N]]=Transactions[[#This Row],[L3N]],Transactions[[#This Row],[L4N]],IF(Transactions[[#This Row],[L3N]]=Transactions[[#This Row],[L2N]],Transactions[[#This Row],[L3N]],IF(Transactions[[#This Row],[L2N]]=Transactions[[#This Row],[L1N]],Transactions[[#This Row],[L2N]],IF(Transactions[[#This Row],[L1N]]=Transactions[[#This Row],[Transaction name]],Transactions[[#This Row],[L1N]],Transactions[[#This Row],[Transaction name]])))))))</f>
        <v>Transformation</v>
      </c>
      <c r="AS478" s="24" t="str">
        <f>IF(Transactions[[#This Row],[Level 0]]=Transactions[[#This Row],[Transaction name]],Transactions[[#This Row],[Transaction name]],IF(Transactions[[#This Row],[Level 0]]=Transactions[[#This Row],[L1N]],Transactions[[#This Row],[Transaction name]],IF(Transactions[[#This Row],[Level 0]]=Transactions[[#This Row],[L2N]],Transactions[[#This Row],[L1N]],IF(Transactions[[#This Row],[Level 0]]=Transactions[[#This Row],[L3N]],Transactions[[#This Row],[L2N]],IF(Transactions[[#This Row],[Level 0]]=Transactions[[#This Row],[L4N]],Transactions[[#This Row],[L3N]],IF(Transactions[[#This Row],[Level 0]]=Transactions[[#This Row],[L5N]],Transactions[[#This Row],[L4N]],IF(Transactions[[#This Row],[Level 0]]=Transactions[[#This Row],[L6N]],Transactions[[#This Row],[L5N]],IF(Transactions[[#This Row],[Level 0]]=Transactions[[#This Row],[L7N]],Transactions[[#This Row],[L6N]],Transactions[[#This Row],[L7N]]))))))))</f>
        <v>Electricity, CHP and heat plants (T)</v>
      </c>
      <c r="AT478" s="24" t="str">
        <f>IF(Transactions[[#This Row],[Level 1]]=Transactions[[#This Row],[Transaction name]],Transactions[[#This Row],[Transaction name]],IF(Transactions[[#This Row],[Level 1]]=Transactions[[#This Row],[L1N]],Transactions[[#This Row],[Transaction name]],IF(Transactions[[#This Row],[Level 1]]=Transactions[[#This Row],[L2N]],Transactions[[#This Row],[L1N]],IF(Transactions[[#This Row],[Level 1]]=Transactions[[#This Row],[L3N]],Transactions[[#This Row],[L2N]],IF(Transactions[[#This Row],[Level 1]]=Transactions[[#This Row],[L4N]],Transactions[[#This Row],[L3N]],IF(Transactions[[#This Row],[Level 1]]=Transactions[[#This Row],[L5N]],Transactions[[#This Row],[L4N]],IF(Transactions[[#This Row],[Level 1]]=Transactions[[#This Row],[L6N]],Transactions[[#This Row],[L5N]],IF(Transactions[[#This Row],[Level 1]]=Transactions[[#This Row],[L7N]],Transactions[[#This Row],[L6N]],Transactions[[#This Row],[L7N]]))))))))</f>
        <v>Heat plants</v>
      </c>
      <c r="AU478" s="24" t="str">
        <f>IF(Transactions[[#This Row],[Level 2]]=Transactions[[#This Row],[Transaction name]],Transactions[[#This Row],[Transaction name]],IF(Transactions[[#This Row],[Level 2]]=Transactions[[#This Row],[L1N]],Transactions[[#This Row],[Transaction name]],IF(Transactions[[#This Row],[Level 2]]=Transactions[[#This Row],[L2N]],Transactions[[#This Row],[L1N]],IF(Transactions[[#This Row],[Level 2]]=Transactions[[#This Row],[L3N]],Transactions[[#This Row],[L2N]],IF(Transactions[[#This Row],[Level 2]]=Transactions[[#This Row],[L4N]],Transactions[[#This Row],[L3N]],IF(Transactions[[#This Row],[Level 2]]=Transactions[[#This Row],[L5N]],Transactions[[#This Row],[L4N]],IF(Transactions[[#This Row],[Level 2]]=Transactions[[#This Row],[L6N]],Transactions[[#This Row],[L5N]],IF(Transactions[[#This Row],[Level 2]]=Transactions[[#This Row],[L7N]],Transactions[[#This Row],[L6N]],Transactions[[#This Row],[L7N]]))))))))</f>
        <v>Heat plants - Geothermal</v>
      </c>
      <c r="AV478" s="24" t="str">
        <f>IF(Transactions[[#This Row],[Level 3]]=Transactions[[#This Row],[Transaction name]],Transactions[[#This Row],[Transaction name]],IF(Transactions[[#This Row],[Level 3]]=Transactions[[#This Row],[L1N]],Transactions[[#This Row],[Transaction name]],IF(Transactions[[#This Row],[Level 3]]=Transactions[[#This Row],[L2N]],Transactions[[#This Row],[L1N]],IF(Transactions[[#This Row],[Level 3]]=Transactions[[#This Row],[L3N]],Transactions[[#This Row],[L2N]],IF(Transactions[[#This Row],[Level 3]]=Transactions[[#This Row],[L4N]],Transactions[[#This Row],[L3N]],IF(Transactions[[#This Row],[Level 3]]=Transactions[[#This Row],[L5N]],Transactions[[#This Row],[L4N]],IF(Transactions[[#This Row],[Level 3]]=Transactions[[#This Row],[L6N]],Transactions[[#This Row],[L5N]],IF(Transactions[[#This Row],[Level 3]]=Transactions[[#This Row],[L7N]],Transactions[[#This Row],[L6N]],Transactions[[#This Row],[L7N]]))))))))</f>
        <v>Heat plants - Autoproducer - Geothermal</v>
      </c>
      <c r="AW478" s="24" t="str">
        <f>IF(Transactions[[#This Row],[Level 4]]=Transactions[[#This Row],[Transaction name]],Transactions[[#This Row],[Transaction name]],IF(Transactions[[#This Row],[Level 4]]=Transactions[[#This Row],[L1N]],Transactions[[#This Row],[Transaction name]],IF(Transactions[[#This Row],[Level 4]]=Transactions[[#This Row],[L2N]],Transactions[[#This Row],[L1N]],IF(Transactions[[#This Row],[Level 4]]=Transactions[[#This Row],[L3N]],Transactions[[#This Row],[L2N]],IF(Transactions[[#This Row],[Level 4]]=Transactions[[#This Row],[L4N]],Transactions[[#This Row],[L3N]],IF(Transactions[[#This Row],[Level 4]]=Transactions[[#This Row],[L5N]],Transactions[[#This Row],[L4N]],IF(Transactions[[#This Row],[Level 4]]=Transactions[[#This Row],[L6N]],Transactions[[#This Row],[L5N]],IF(Transactions[[#This Row],[Level 4]]=Transactions[[#This Row],[L7N]],Transactions[[#This Row],[L6N]],Transactions[[#This Row],[L7N]]))))))))</f>
        <v>Heat plants - Autoproducer - Geothermal</v>
      </c>
      <c r="AX478" s="24" t="str">
        <f>IF(Transactions[[#This Row],[Level 5]]=Transactions[[#This Row],[Transaction name]],Transactions[[#This Row],[Transaction name]],IF(Transactions[[#This Row],[Level 5]]=Transactions[[#This Row],[L1N]],Transactions[[#This Row],[Transaction name]],IF(Transactions[[#This Row],[Level 5]]=Transactions[[#This Row],[L2N]],Transactions[[#This Row],[L1N]],IF(Transactions[[#This Row],[Level 5]]=Transactions[[#This Row],[L3N]],Transactions[[#This Row],[L2N]],IF(Transactions[[#This Row],[Level 5]]=Transactions[[#This Row],[L4N]],Transactions[[#This Row],[L3N]],IF(Transactions[[#This Row],[Level 5]]=Transactions[[#This Row],[L5N]],Transactions[[#This Row],[L4N]],IF(Transactions[[#This Row],[Level 5]]=Transactions[[#This Row],[L6N]],Transactions[[#This Row],[L5N]],IF(Transactions[[#This Row],[Level 5]]=Transactions[[#This Row],[L7N]],Transactions[[#This Row],[L6N]],Transactions[[#This Row],[L7N]]))))))))</f>
        <v>Heat plants - Autoproducer - Geothermal</v>
      </c>
      <c r="AY478" s="24" t="str">
        <f>IF(Transactions[[#This Row],[Level 6]]=Transactions[[#This Row],[Transaction name]],Transactions[[#This Row],[Transaction name]],IF(Transactions[[#This Row],[Level 6]]=Transactions[[#This Row],[L1N]],Transactions[[#This Row],[Transaction name]],IF(Transactions[[#This Row],[Level 6]]=Transactions[[#This Row],[L2N]],Transactions[[#This Row],[L1N]],IF(Transactions[[#This Row],[Level 6]]=Transactions[[#This Row],[L3N]],Transactions[[#This Row],[L2N]],IF(Transactions[[#This Row],[Level 6]]=Transactions[[#This Row],[L4N]],Transactions[[#This Row],[L3N]],IF(Transactions[[#This Row],[Level 6]]=Transactions[[#This Row],[L5N]],Transactions[[#This Row],[L4N]],IF(Transactions[[#This Row],[Level 6]]=Transactions[[#This Row],[L6N]],Transactions[[#This Row],[L5N]],IF(Transactions[[#This Row],[Level 6]]=Transactions[[#This Row],[L7N]],Transactions[[#This Row],[L6N]],Transactions[[#This Row],[L7N]]))))))))</f>
        <v>Heat plants - Autoproducer - Geothermal</v>
      </c>
    </row>
    <row r="479" spans="25:51" x14ac:dyDescent="0.45">
      <c r="Y479" s="19" t="s">
        <v>1564</v>
      </c>
      <c r="Z479" s="18" t="s">
        <v>1314</v>
      </c>
      <c r="AA479" s="18" t="s">
        <v>1314</v>
      </c>
      <c r="AB479" s="19" t="s">
        <v>1574</v>
      </c>
      <c r="AC479" s="26" t="str">
        <f>IFERROR(VLOOKUP(Transactions[[#This Row],[Parent code]],Transactions[[Transaction code]:[Transaction name]],2,0),"")</f>
        <v>Heat plants</v>
      </c>
      <c r="AD479" s="18" t="s">
        <v>189</v>
      </c>
      <c r="AE479" s="18" t="s">
        <v>924</v>
      </c>
      <c r="AF479" s="18" t="s">
        <v>642</v>
      </c>
      <c r="AG479" s="18" t="s">
        <v>1</v>
      </c>
      <c r="AH479" s="18" t="s">
        <v>696</v>
      </c>
      <c r="AI479" s="18"/>
      <c r="AJ479" s="18"/>
      <c r="AK479" s="26" t="str" cm="1">
        <f t="array" ref="AK479">IFERROR(INDEX(Transactions[[Transaction code]:[Transaction name]],_xlfn.XMATCH(Transactions[[#This Row],[Parent code]],Transactions[Transaction name],0),3),Transactions[[#This Row],[Transaction name]])</f>
        <v>Heat plants - Geothermal</v>
      </c>
      <c r="AL479" s="26" t="str" cm="1">
        <f t="array" ref="AL479">IFERROR(INDEX(Transactions[[Transaction code]:[Transaction name]],_xlfn.XMATCH(INDEX(Transactions[[Transaction name]:[Parent code]],_xlfn.XMATCH(Transactions[[#This Row],[L1N]],Transactions[Transaction name],0),3),Transactions[Transaction code],0),2),Transactions[[#This Row],[L1N]])</f>
        <v>Heat plants</v>
      </c>
      <c r="AM479" s="26" t="str" cm="1">
        <f t="array" ref="AM479">IFERROR(INDEX(Transactions[[Transaction code]:[Transaction name]],_xlfn.XMATCH(INDEX(Transactions[[Transaction name]:[Parent code]],_xlfn.XMATCH(Transactions[[#This Row],[L2N]],Transactions[Transaction name],0),3),Transactions[Transaction code],0),2),Transactions[[#This Row],[L2N]])</f>
        <v>Electricity, CHP and heat plants (T)</v>
      </c>
      <c r="AN479" s="26" t="str" cm="1">
        <f t="array" ref="AN479">IFERROR(INDEX(Transactions[[Transaction code]:[Transaction name]],_xlfn.XMATCH(INDEX(Transactions[[Transaction name]:[Parent code]],_xlfn.XMATCH(Transactions[[#This Row],[L3N]],Transactions[Transaction name],0),3),Transactions[Transaction code],0),2),Transactions[[#This Row],[L3N]])</f>
        <v>Transformation</v>
      </c>
      <c r="AO479" s="26" t="str" cm="1">
        <f t="array" ref="AO479">IFERROR(INDEX(Transactions[[Transaction code]:[Transaction name]],_xlfn.XMATCH(INDEX(Transactions[[Transaction name]:[Parent code]],_xlfn.XMATCH(Transactions[[#This Row],[L4N]],Transactions[Transaction name],0),3),Transactions[Transaction code],0),2),Transactions[[#This Row],[L4N]])</f>
        <v>Transformation</v>
      </c>
      <c r="AP479" s="26" t="str" cm="1">
        <f t="array" ref="AP479">IFERROR(INDEX(Transactions[[Transaction code]:[Transaction name]],_xlfn.XMATCH(INDEX(Transactions[[Transaction name]:[Parent code]],_xlfn.XMATCH(Transactions[[#This Row],[L5N]],Transactions[Transaction name],0),3),Transactions[Transaction code],0),2),Transactions[[#This Row],[L5N]])</f>
        <v>Transformation</v>
      </c>
      <c r="AQ479" s="26" t="str" cm="1">
        <f t="array" ref="AQ479">IFERROR(INDEX(Transactions[[Transaction code]:[Transaction name]],_xlfn.XMATCH(INDEX(Transactions[[Transaction name]:[Parent code]],_xlfn.XMATCH(Transactions[[#This Row],[L6N]],Transactions[Transaction name],0),3),Transactions[Transaction code],0),2),Transactions[[#This Row],[L6N]])</f>
        <v>Transformation</v>
      </c>
      <c r="AR479" s="29" t="str">
        <f>IF(Transactions[[#This Row],[L7N]]=Transactions[[#This Row],[L6N]],Transactions[[#This Row],[L7N]],IF(Transactions[[#This Row],[L6N]]=Transactions[[#This Row],[L5N]],Transactions[[#This Row],[L6N]],IF(Transactions[[#This Row],[L5N]]=Transactions[[#This Row],[L4N]],Transactions[[#This Row],[L5N]],IF(Transactions[[#This Row],[L4N]]=Transactions[[#This Row],[L3N]],Transactions[[#This Row],[L4N]],IF(Transactions[[#This Row],[L3N]]=Transactions[[#This Row],[L2N]],Transactions[[#This Row],[L3N]],IF(Transactions[[#This Row],[L2N]]=Transactions[[#This Row],[L1N]],Transactions[[#This Row],[L2N]],IF(Transactions[[#This Row],[L1N]]=Transactions[[#This Row],[Transaction name]],Transactions[[#This Row],[L1N]],Transactions[[#This Row],[Transaction name]])))))))</f>
        <v>Transformation</v>
      </c>
      <c r="AS479" s="26" t="str">
        <f>IF(Transactions[[#This Row],[Level 0]]=Transactions[[#This Row],[Transaction name]],Transactions[[#This Row],[Transaction name]],IF(Transactions[[#This Row],[Level 0]]=Transactions[[#This Row],[L1N]],Transactions[[#This Row],[Transaction name]],IF(Transactions[[#This Row],[Level 0]]=Transactions[[#This Row],[L2N]],Transactions[[#This Row],[L1N]],IF(Transactions[[#This Row],[Level 0]]=Transactions[[#This Row],[L3N]],Transactions[[#This Row],[L2N]],IF(Transactions[[#This Row],[Level 0]]=Transactions[[#This Row],[L4N]],Transactions[[#This Row],[L3N]],IF(Transactions[[#This Row],[Level 0]]=Transactions[[#This Row],[L5N]],Transactions[[#This Row],[L4N]],IF(Transactions[[#This Row],[Level 0]]=Transactions[[#This Row],[L6N]],Transactions[[#This Row],[L5N]],IF(Transactions[[#This Row],[Level 0]]=Transactions[[#This Row],[L7N]],Transactions[[#This Row],[L6N]],Transactions[[#This Row],[L7N]]))))))))</f>
        <v>Electricity, CHP and heat plants (T)</v>
      </c>
      <c r="AT479" s="26" t="str">
        <f>IF(Transactions[[#This Row],[Level 1]]=Transactions[[#This Row],[Transaction name]],Transactions[[#This Row],[Transaction name]],IF(Transactions[[#This Row],[Level 1]]=Transactions[[#This Row],[L1N]],Transactions[[#This Row],[Transaction name]],IF(Transactions[[#This Row],[Level 1]]=Transactions[[#This Row],[L2N]],Transactions[[#This Row],[L1N]],IF(Transactions[[#This Row],[Level 1]]=Transactions[[#This Row],[L3N]],Transactions[[#This Row],[L2N]],IF(Transactions[[#This Row],[Level 1]]=Transactions[[#This Row],[L4N]],Transactions[[#This Row],[L3N]],IF(Transactions[[#This Row],[Level 1]]=Transactions[[#This Row],[L5N]],Transactions[[#This Row],[L4N]],IF(Transactions[[#This Row],[Level 1]]=Transactions[[#This Row],[L6N]],Transactions[[#This Row],[L5N]],IF(Transactions[[#This Row],[Level 1]]=Transactions[[#This Row],[L7N]],Transactions[[#This Row],[L6N]],Transactions[[#This Row],[L7N]]))))))))</f>
        <v>Heat plants</v>
      </c>
      <c r="AU479" s="26" t="str">
        <f>IF(Transactions[[#This Row],[Level 2]]=Transactions[[#This Row],[Transaction name]],Transactions[[#This Row],[Transaction name]],IF(Transactions[[#This Row],[Level 2]]=Transactions[[#This Row],[L1N]],Transactions[[#This Row],[Transaction name]],IF(Transactions[[#This Row],[Level 2]]=Transactions[[#This Row],[L2N]],Transactions[[#This Row],[L1N]],IF(Transactions[[#This Row],[Level 2]]=Transactions[[#This Row],[L3N]],Transactions[[#This Row],[L2N]],IF(Transactions[[#This Row],[Level 2]]=Transactions[[#This Row],[L4N]],Transactions[[#This Row],[L3N]],IF(Transactions[[#This Row],[Level 2]]=Transactions[[#This Row],[L5N]],Transactions[[#This Row],[L4N]],IF(Transactions[[#This Row],[Level 2]]=Transactions[[#This Row],[L6N]],Transactions[[#This Row],[L5N]],IF(Transactions[[#This Row],[Level 2]]=Transactions[[#This Row],[L7N]],Transactions[[#This Row],[L6N]],Transactions[[#This Row],[L7N]]))))))))</f>
        <v>Heat plants - Geothermal</v>
      </c>
      <c r="AV479" s="26" t="str">
        <f>IF(Transactions[[#This Row],[Level 3]]=Transactions[[#This Row],[Transaction name]],Transactions[[#This Row],[Transaction name]],IF(Transactions[[#This Row],[Level 3]]=Transactions[[#This Row],[L1N]],Transactions[[#This Row],[Transaction name]],IF(Transactions[[#This Row],[Level 3]]=Transactions[[#This Row],[L2N]],Transactions[[#This Row],[L1N]],IF(Transactions[[#This Row],[Level 3]]=Transactions[[#This Row],[L3N]],Transactions[[#This Row],[L2N]],IF(Transactions[[#This Row],[Level 3]]=Transactions[[#This Row],[L4N]],Transactions[[#This Row],[L3N]],IF(Transactions[[#This Row],[Level 3]]=Transactions[[#This Row],[L5N]],Transactions[[#This Row],[L4N]],IF(Transactions[[#This Row],[Level 3]]=Transactions[[#This Row],[L6N]],Transactions[[#This Row],[L5N]],IF(Transactions[[#This Row],[Level 3]]=Transactions[[#This Row],[L7N]],Transactions[[#This Row],[L6N]],Transactions[[#This Row],[L7N]]))))))))</f>
        <v>Heat plants - Geothermal</v>
      </c>
      <c r="AW479" s="26" t="str">
        <f>IF(Transactions[[#This Row],[Level 4]]=Transactions[[#This Row],[Transaction name]],Transactions[[#This Row],[Transaction name]],IF(Transactions[[#This Row],[Level 4]]=Transactions[[#This Row],[L1N]],Transactions[[#This Row],[Transaction name]],IF(Transactions[[#This Row],[Level 4]]=Transactions[[#This Row],[L2N]],Transactions[[#This Row],[L1N]],IF(Transactions[[#This Row],[Level 4]]=Transactions[[#This Row],[L3N]],Transactions[[#This Row],[L2N]],IF(Transactions[[#This Row],[Level 4]]=Transactions[[#This Row],[L4N]],Transactions[[#This Row],[L3N]],IF(Transactions[[#This Row],[Level 4]]=Transactions[[#This Row],[L5N]],Transactions[[#This Row],[L4N]],IF(Transactions[[#This Row],[Level 4]]=Transactions[[#This Row],[L6N]],Transactions[[#This Row],[L5N]],IF(Transactions[[#This Row],[Level 4]]=Transactions[[#This Row],[L7N]],Transactions[[#This Row],[L6N]],Transactions[[#This Row],[L7N]]))))))))</f>
        <v>Heat plants - Geothermal</v>
      </c>
      <c r="AX479" s="26" t="str">
        <f>IF(Transactions[[#This Row],[Level 5]]=Transactions[[#This Row],[Transaction name]],Transactions[[#This Row],[Transaction name]],IF(Transactions[[#This Row],[Level 5]]=Transactions[[#This Row],[L1N]],Transactions[[#This Row],[Transaction name]],IF(Transactions[[#This Row],[Level 5]]=Transactions[[#This Row],[L2N]],Transactions[[#This Row],[L1N]],IF(Transactions[[#This Row],[Level 5]]=Transactions[[#This Row],[L3N]],Transactions[[#This Row],[L2N]],IF(Transactions[[#This Row],[Level 5]]=Transactions[[#This Row],[L4N]],Transactions[[#This Row],[L3N]],IF(Transactions[[#This Row],[Level 5]]=Transactions[[#This Row],[L5N]],Transactions[[#This Row],[L4N]],IF(Transactions[[#This Row],[Level 5]]=Transactions[[#This Row],[L6N]],Transactions[[#This Row],[L5N]],IF(Transactions[[#This Row],[Level 5]]=Transactions[[#This Row],[L7N]],Transactions[[#This Row],[L6N]],Transactions[[#This Row],[L7N]]))))))))</f>
        <v>Heat plants - Geothermal</v>
      </c>
      <c r="AY479" s="26" t="str">
        <f>IF(Transactions[[#This Row],[Level 6]]=Transactions[[#This Row],[Transaction name]],Transactions[[#This Row],[Transaction name]],IF(Transactions[[#This Row],[Level 6]]=Transactions[[#This Row],[L1N]],Transactions[[#This Row],[Transaction name]],IF(Transactions[[#This Row],[Level 6]]=Transactions[[#This Row],[L2N]],Transactions[[#This Row],[L1N]],IF(Transactions[[#This Row],[Level 6]]=Transactions[[#This Row],[L3N]],Transactions[[#This Row],[L2N]],IF(Transactions[[#This Row],[Level 6]]=Transactions[[#This Row],[L4N]],Transactions[[#This Row],[L3N]],IF(Transactions[[#This Row],[Level 6]]=Transactions[[#This Row],[L5N]],Transactions[[#This Row],[L4N]],IF(Transactions[[#This Row],[Level 6]]=Transactions[[#This Row],[L6N]],Transactions[[#This Row],[L5N]],IF(Transactions[[#This Row],[Level 6]]=Transactions[[#This Row],[L7N]],Transactions[[#This Row],[L6N]],Transactions[[#This Row],[L7N]]))))))))</f>
        <v>Heat plants - Geothermal</v>
      </c>
    </row>
    <row r="480" spans="25:51" x14ac:dyDescent="0.45">
      <c r="Y480" s="5" t="s">
        <v>344</v>
      </c>
      <c r="Z480" s="7" t="s">
        <v>673</v>
      </c>
      <c r="AA480" s="4" t="s">
        <v>1314</v>
      </c>
      <c r="AB480" s="19" t="s">
        <v>1564</v>
      </c>
      <c r="AC480" s="24" t="str">
        <f>IFERROR(VLOOKUP(Transactions[[#This Row],[Parent code]],Transactions[[Transaction code]:[Transaction name]],2,0),"")</f>
        <v>Heat plants - Geothermal</v>
      </c>
      <c r="AD480" s="4" t="s">
        <v>189</v>
      </c>
      <c r="AE480" s="4" t="s">
        <v>924</v>
      </c>
      <c r="AF480" s="4" t="s">
        <v>642</v>
      </c>
      <c r="AG480" s="4" t="s">
        <v>1</v>
      </c>
      <c r="AH480" s="4" t="s">
        <v>696</v>
      </c>
      <c r="AK480" s="24" t="str" cm="1">
        <f t="array" ref="AK480">IFERROR(INDEX(Transactions[[Transaction code]:[Transaction name]],_xlfn.XMATCH(Transactions[[#This Row],[Parent code]],Transactions[Transaction name],0),3),Transactions[[#This Row],[Transaction name]])</f>
        <v>Heat plants - Main activity - Geothermal</v>
      </c>
      <c r="AL480" s="24" t="str" cm="1">
        <f t="array" ref="AL480">IFERROR(INDEX(Transactions[[Transaction code]:[Transaction name]],_xlfn.XMATCH(INDEX(Transactions[[Transaction name]:[Parent code]],_xlfn.XMATCH(Transactions[[#This Row],[L1N]],Transactions[Transaction name],0),3),Transactions[Transaction code],0),2),Transactions[[#This Row],[L1N]])</f>
        <v>Heat plants - Geothermal</v>
      </c>
      <c r="AM480" s="24" t="str" cm="1">
        <f t="array" ref="AM480">IFERROR(INDEX(Transactions[[Transaction code]:[Transaction name]],_xlfn.XMATCH(INDEX(Transactions[[Transaction name]:[Parent code]],_xlfn.XMATCH(Transactions[[#This Row],[L2N]],Transactions[Transaction name],0),3),Transactions[Transaction code],0),2),Transactions[[#This Row],[L2N]])</f>
        <v>Heat plants</v>
      </c>
      <c r="AN480" s="24" t="str" cm="1">
        <f t="array" ref="AN480">IFERROR(INDEX(Transactions[[Transaction code]:[Transaction name]],_xlfn.XMATCH(INDEX(Transactions[[Transaction name]:[Parent code]],_xlfn.XMATCH(Transactions[[#This Row],[L3N]],Transactions[Transaction name],0),3),Transactions[Transaction code],0),2),Transactions[[#This Row],[L3N]])</f>
        <v>Electricity, CHP and heat plants (T)</v>
      </c>
      <c r="AO480" s="24" t="str" cm="1">
        <f t="array" ref="AO480">IFERROR(INDEX(Transactions[[Transaction code]:[Transaction name]],_xlfn.XMATCH(INDEX(Transactions[[Transaction name]:[Parent code]],_xlfn.XMATCH(Transactions[[#This Row],[L4N]],Transactions[Transaction name],0),3),Transactions[Transaction code],0),2),Transactions[[#This Row],[L4N]])</f>
        <v>Transformation</v>
      </c>
      <c r="AP480" s="24" t="str" cm="1">
        <f t="array" ref="AP480">IFERROR(INDEX(Transactions[[Transaction code]:[Transaction name]],_xlfn.XMATCH(INDEX(Transactions[[Transaction name]:[Parent code]],_xlfn.XMATCH(Transactions[[#This Row],[L5N]],Transactions[Transaction name],0),3),Transactions[Transaction code],0),2),Transactions[[#This Row],[L5N]])</f>
        <v>Transformation</v>
      </c>
      <c r="AQ480" s="24" t="str" cm="1">
        <f t="array" ref="AQ480">IFERROR(INDEX(Transactions[[Transaction code]:[Transaction name]],_xlfn.XMATCH(INDEX(Transactions[[Transaction name]:[Parent code]],_xlfn.XMATCH(Transactions[[#This Row],[L6N]],Transactions[Transaction name],0),3),Transactions[Transaction code],0),2),Transactions[[#This Row],[L6N]])</f>
        <v>Transformation</v>
      </c>
      <c r="AR480" s="28" t="str">
        <f>IF(Transactions[[#This Row],[L7N]]=Transactions[[#This Row],[L6N]],Transactions[[#This Row],[L7N]],IF(Transactions[[#This Row],[L6N]]=Transactions[[#This Row],[L5N]],Transactions[[#This Row],[L6N]],IF(Transactions[[#This Row],[L5N]]=Transactions[[#This Row],[L4N]],Transactions[[#This Row],[L5N]],IF(Transactions[[#This Row],[L4N]]=Transactions[[#This Row],[L3N]],Transactions[[#This Row],[L4N]],IF(Transactions[[#This Row],[L3N]]=Transactions[[#This Row],[L2N]],Transactions[[#This Row],[L3N]],IF(Transactions[[#This Row],[L2N]]=Transactions[[#This Row],[L1N]],Transactions[[#This Row],[L2N]],IF(Transactions[[#This Row],[L1N]]=Transactions[[#This Row],[Transaction name]],Transactions[[#This Row],[L1N]],Transactions[[#This Row],[Transaction name]])))))))</f>
        <v>Transformation</v>
      </c>
      <c r="AS480" s="24" t="str">
        <f>IF(Transactions[[#This Row],[Level 0]]=Transactions[[#This Row],[Transaction name]],Transactions[[#This Row],[Transaction name]],IF(Transactions[[#This Row],[Level 0]]=Transactions[[#This Row],[L1N]],Transactions[[#This Row],[Transaction name]],IF(Transactions[[#This Row],[Level 0]]=Transactions[[#This Row],[L2N]],Transactions[[#This Row],[L1N]],IF(Transactions[[#This Row],[Level 0]]=Transactions[[#This Row],[L3N]],Transactions[[#This Row],[L2N]],IF(Transactions[[#This Row],[Level 0]]=Transactions[[#This Row],[L4N]],Transactions[[#This Row],[L3N]],IF(Transactions[[#This Row],[Level 0]]=Transactions[[#This Row],[L5N]],Transactions[[#This Row],[L4N]],IF(Transactions[[#This Row],[Level 0]]=Transactions[[#This Row],[L6N]],Transactions[[#This Row],[L5N]],IF(Transactions[[#This Row],[Level 0]]=Transactions[[#This Row],[L7N]],Transactions[[#This Row],[L6N]],Transactions[[#This Row],[L7N]]))))))))</f>
        <v>Electricity, CHP and heat plants (T)</v>
      </c>
      <c r="AT480" s="24" t="str">
        <f>IF(Transactions[[#This Row],[Level 1]]=Transactions[[#This Row],[Transaction name]],Transactions[[#This Row],[Transaction name]],IF(Transactions[[#This Row],[Level 1]]=Transactions[[#This Row],[L1N]],Transactions[[#This Row],[Transaction name]],IF(Transactions[[#This Row],[Level 1]]=Transactions[[#This Row],[L2N]],Transactions[[#This Row],[L1N]],IF(Transactions[[#This Row],[Level 1]]=Transactions[[#This Row],[L3N]],Transactions[[#This Row],[L2N]],IF(Transactions[[#This Row],[Level 1]]=Transactions[[#This Row],[L4N]],Transactions[[#This Row],[L3N]],IF(Transactions[[#This Row],[Level 1]]=Transactions[[#This Row],[L5N]],Transactions[[#This Row],[L4N]],IF(Transactions[[#This Row],[Level 1]]=Transactions[[#This Row],[L6N]],Transactions[[#This Row],[L5N]],IF(Transactions[[#This Row],[Level 1]]=Transactions[[#This Row],[L7N]],Transactions[[#This Row],[L6N]],Transactions[[#This Row],[L7N]]))))))))</f>
        <v>Heat plants</v>
      </c>
      <c r="AU480" s="24" t="str">
        <f>IF(Transactions[[#This Row],[Level 2]]=Transactions[[#This Row],[Transaction name]],Transactions[[#This Row],[Transaction name]],IF(Transactions[[#This Row],[Level 2]]=Transactions[[#This Row],[L1N]],Transactions[[#This Row],[Transaction name]],IF(Transactions[[#This Row],[Level 2]]=Transactions[[#This Row],[L2N]],Transactions[[#This Row],[L1N]],IF(Transactions[[#This Row],[Level 2]]=Transactions[[#This Row],[L3N]],Transactions[[#This Row],[L2N]],IF(Transactions[[#This Row],[Level 2]]=Transactions[[#This Row],[L4N]],Transactions[[#This Row],[L3N]],IF(Transactions[[#This Row],[Level 2]]=Transactions[[#This Row],[L5N]],Transactions[[#This Row],[L4N]],IF(Transactions[[#This Row],[Level 2]]=Transactions[[#This Row],[L6N]],Transactions[[#This Row],[L5N]],IF(Transactions[[#This Row],[Level 2]]=Transactions[[#This Row],[L7N]],Transactions[[#This Row],[L6N]],Transactions[[#This Row],[L7N]]))))))))</f>
        <v>Heat plants - Geothermal</v>
      </c>
      <c r="AV480" s="24" t="str">
        <f>IF(Transactions[[#This Row],[Level 3]]=Transactions[[#This Row],[Transaction name]],Transactions[[#This Row],[Transaction name]],IF(Transactions[[#This Row],[Level 3]]=Transactions[[#This Row],[L1N]],Transactions[[#This Row],[Transaction name]],IF(Transactions[[#This Row],[Level 3]]=Transactions[[#This Row],[L2N]],Transactions[[#This Row],[L1N]],IF(Transactions[[#This Row],[Level 3]]=Transactions[[#This Row],[L3N]],Transactions[[#This Row],[L2N]],IF(Transactions[[#This Row],[Level 3]]=Transactions[[#This Row],[L4N]],Transactions[[#This Row],[L3N]],IF(Transactions[[#This Row],[Level 3]]=Transactions[[#This Row],[L5N]],Transactions[[#This Row],[L4N]],IF(Transactions[[#This Row],[Level 3]]=Transactions[[#This Row],[L6N]],Transactions[[#This Row],[L5N]],IF(Transactions[[#This Row],[Level 3]]=Transactions[[#This Row],[L7N]],Transactions[[#This Row],[L6N]],Transactions[[#This Row],[L7N]]))))))))</f>
        <v>Heat plants - Main activity - Geothermal</v>
      </c>
      <c r="AW480" s="24" t="str">
        <f>IF(Transactions[[#This Row],[Level 4]]=Transactions[[#This Row],[Transaction name]],Transactions[[#This Row],[Transaction name]],IF(Transactions[[#This Row],[Level 4]]=Transactions[[#This Row],[L1N]],Transactions[[#This Row],[Transaction name]],IF(Transactions[[#This Row],[Level 4]]=Transactions[[#This Row],[L2N]],Transactions[[#This Row],[L1N]],IF(Transactions[[#This Row],[Level 4]]=Transactions[[#This Row],[L3N]],Transactions[[#This Row],[L2N]],IF(Transactions[[#This Row],[Level 4]]=Transactions[[#This Row],[L4N]],Transactions[[#This Row],[L3N]],IF(Transactions[[#This Row],[Level 4]]=Transactions[[#This Row],[L5N]],Transactions[[#This Row],[L4N]],IF(Transactions[[#This Row],[Level 4]]=Transactions[[#This Row],[L6N]],Transactions[[#This Row],[L5N]],IF(Transactions[[#This Row],[Level 4]]=Transactions[[#This Row],[L7N]],Transactions[[#This Row],[L6N]],Transactions[[#This Row],[L7N]]))))))))</f>
        <v>Heat plants - Main activity - Geothermal</v>
      </c>
      <c r="AX480" s="24" t="str">
        <f>IF(Transactions[[#This Row],[Level 5]]=Transactions[[#This Row],[Transaction name]],Transactions[[#This Row],[Transaction name]],IF(Transactions[[#This Row],[Level 5]]=Transactions[[#This Row],[L1N]],Transactions[[#This Row],[Transaction name]],IF(Transactions[[#This Row],[Level 5]]=Transactions[[#This Row],[L2N]],Transactions[[#This Row],[L1N]],IF(Transactions[[#This Row],[Level 5]]=Transactions[[#This Row],[L3N]],Transactions[[#This Row],[L2N]],IF(Transactions[[#This Row],[Level 5]]=Transactions[[#This Row],[L4N]],Transactions[[#This Row],[L3N]],IF(Transactions[[#This Row],[Level 5]]=Transactions[[#This Row],[L5N]],Transactions[[#This Row],[L4N]],IF(Transactions[[#This Row],[Level 5]]=Transactions[[#This Row],[L6N]],Transactions[[#This Row],[L5N]],IF(Transactions[[#This Row],[Level 5]]=Transactions[[#This Row],[L7N]],Transactions[[#This Row],[L6N]],Transactions[[#This Row],[L7N]]))))))))</f>
        <v>Heat plants - Main activity - Geothermal</v>
      </c>
      <c r="AY480" s="24" t="str">
        <f>IF(Transactions[[#This Row],[Level 6]]=Transactions[[#This Row],[Transaction name]],Transactions[[#This Row],[Transaction name]],IF(Transactions[[#This Row],[Level 6]]=Transactions[[#This Row],[L1N]],Transactions[[#This Row],[Transaction name]],IF(Transactions[[#This Row],[Level 6]]=Transactions[[#This Row],[L2N]],Transactions[[#This Row],[L1N]],IF(Transactions[[#This Row],[Level 6]]=Transactions[[#This Row],[L3N]],Transactions[[#This Row],[L2N]],IF(Transactions[[#This Row],[Level 6]]=Transactions[[#This Row],[L4N]],Transactions[[#This Row],[L3N]],IF(Transactions[[#This Row],[Level 6]]=Transactions[[#This Row],[L5N]],Transactions[[#This Row],[L4N]],IF(Transactions[[#This Row],[Level 6]]=Transactions[[#This Row],[L6N]],Transactions[[#This Row],[L5N]],IF(Transactions[[#This Row],[Level 6]]=Transactions[[#This Row],[L7N]],Transactions[[#This Row],[L6N]],Transactions[[#This Row],[L7N]]))))))))</f>
        <v>Heat plants - Main activity - Geothermal</v>
      </c>
    </row>
    <row r="481" spans="25:51" x14ac:dyDescent="0.45">
      <c r="Y481" s="5" t="s">
        <v>1248</v>
      </c>
      <c r="Z481" s="7" t="s">
        <v>1191</v>
      </c>
      <c r="AA481" s="4" t="s">
        <v>1381</v>
      </c>
      <c r="AB481" s="19" t="s">
        <v>1566</v>
      </c>
      <c r="AC481" s="24" t="str">
        <f>IFERROR(VLOOKUP(Transactions[[#This Row],[Parent code]],Transactions[[Transaction code]:[Transaction name]],2,0),"")</f>
        <v>Heat plants - hard coal</v>
      </c>
      <c r="AD481" s="4" t="s">
        <v>189</v>
      </c>
      <c r="AE481" s="4" t="s">
        <v>924</v>
      </c>
      <c r="AF481" s="4" t="s">
        <v>642</v>
      </c>
      <c r="AG481" s="4" t="s">
        <v>1</v>
      </c>
      <c r="AH481" s="4" t="s">
        <v>696</v>
      </c>
      <c r="AI481" s="12" t="s">
        <v>1416</v>
      </c>
      <c r="AK481" s="24" t="str" cm="1">
        <f t="array" ref="AK481">IFERROR(INDEX(Transactions[[Transaction code]:[Transaction name]],_xlfn.XMATCH(Transactions[[#This Row],[Parent code]],Transactions[Transaction name],0),3),Transactions[[#This Row],[Transaction name]])</f>
        <v>Heat plants - Autoproducer - hard coal</v>
      </c>
      <c r="AL481" s="24" t="str" cm="1">
        <f t="array" ref="AL481">IFERROR(INDEX(Transactions[[Transaction code]:[Transaction name]],_xlfn.XMATCH(INDEX(Transactions[[Transaction name]:[Parent code]],_xlfn.XMATCH(Transactions[[#This Row],[L1N]],Transactions[Transaction name],0),3),Transactions[Transaction code],0),2),Transactions[[#This Row],[L1N]])</f>
        <v>Heat plants - hard coal</v>
      </c>
      <c r="AM481" s="24" t="str" cm="1">
        <f t="array" ref="AM481">IFERROR(INDEX(Transactions[[Transaction code]:[Transaction name]],_xlfn.XMATCH(INDEX(Transactions[[Transaction name]:[Parent code]],_xlfn.XMATCH(Transactions[[#This Row],[L2N]],Transactions[Transaction name],0),3),Transactions[Transaction code],0),2),Transactions[[#This Row],[L2N]])</f>
        <v>Heat plants</v>
      </c>
      <c r="AN481" s="24" t="str" cm="1">
        <f t="array" ref="AN481">IFERROR(INDEX(Transactions[[Transaction code]:[Transaction name]],_xlfn.XMATCH(INDEX(Transactions[[Transaction name]:[Parent code]],_xlfn.XMATCH(Transactions[[#This Row],[L3N]],Transactions[Transaction name],0),3),Transactions[Transaction code],0),2),Transactions[[#This Row],[L3N]])</f>
        <v>Electricity, CHP and heat plants (T)</v>
      </c>
      <c r="AO481" s="24" t="str" cm="1">
        <f t="array" ref="AO481">IFERROR(INDEX(Transactions[[Transaction code]:[Transaction name]],_xlfn.XMATCH(INDEX(Transactions[[Transaction name]:[Parent code]],_xlfn.XMATCH(Transactions[[#This Row],[L4N]],Transactions[Transaction name],0),3),Transactions[Transaction code],0),2),Transactions[[#This Row],[L4N]])</f>
        <v>Transformation</v>
      </c>
      <c r="AP481" s="24" t="str" cm="1">
        <f t="array" ref="AP481">IFERROR(INDEX(Transactions[[Transaction code]:[Transaction name]],_xlfn.XMATCH(INDEX(Transactions[[Transaction name]:[Parent code]],_xlfn.XMATCH(Transactions[[#This Row],[L5N]],Transactions[Transaction name],0),3),Transactions[Transaction code],0),2),Transactions[[#This Row],[L5N]])</f>
        <v>Transformation</v>
      </c>
      <c r="AQ481" s="24" t="str" cm="1">
        <f t="array" ref="AQ481">IFERROR(INDEX(Transactions[[Transaction code]:[Transaction name]],_xlfn.XMATCH(INDEX(Transactions[[Transaction name]:[Parent code]],_xlfn.XMATCH(Transactions[[#This Row],[L6N]],Transactions[Transaction name],0),3),Transactions[Transaction code],0),2),Transactions[[#This Row],[L6N]])</f>
        <v>Transformation</v>
      </c>
      <c r="AR481" s="28" t="str">
        <f>IF(Transactions[[#This Row],[L7N]]=Transactions[[#This Row],[L6N]],Transactions[[#This Row],[L7N]],IF(Transactions[[#This Row],[L6N]]=Transactions[[#This Row],[L5N]],Transactions[[#This Row],[L6N]],IF(Transactions[[#This Row],[L5N]]=Transactions[[#This Row],[L4N]],Transactions[[#This Row],[L5N]],IF(Transactions[[#This Row],[L4N]]=Transactions[[#This Row],[L3N]],Transactions[[#This Row],[L4N]],IF(Transactions[[#This Row],[L3N]]=Transactions[[#This Row],[L2N]],Transactions[[#This Row],[L3N]],IF(Transactions[[#This Row],[L2N]]=Transactions[[#This Row],[L1N]],Transactions[[#This Row],[L2N]],IF(Transactions[[#This Row],[L1N]]=Transactions[[#This Row],[Transaction name]],Transactions[[#This Row],[L1N]],Transactions[[#This Row],[Transaction name]])))))))</f>
        <v>Transformation</v>
      </c>
      <c r="AS481" s="24" t="str">
        <f>IF(Transactions[[#This Row],[Level 0]]=Transactions[[#This Row],[Transaction name]],Transactions[[#This Row],[Transaction name]],IF(Transactions[[#This Row],[Level 0]]=Transactions[[#This Row],[L1N]],Transactions[[#This Row],[Transaction name]],IF(Transactions[[#This Row],[Level 0]]=Transactions[[#This Row],[L2N]],Transactions[[#This Row],[L1N]],IF(Transactions[[#This Row],[Level 0]]=Transactions[[#This Row],[L3N]],Transactions[[#This Row],[L2N]],IF(Transactions[[#This Row],[Level 0]]=Transactions[[#This Row],[L4N]],Transactions[[#This Row],[L3N]],IF(Transactions[[#This Row],[Level 0]]=Transactions[[#This Row],[L5N]],Transactions[[#This Row],[L4N]],IF(Transactions[[#This Row],[Level 0]]=Transactions[[#This Row],[L6N]],Transactions[[#This Row],[L5N]],IF(Transactions[[#This Row],[Level 0]]=Transactions[[#This Row],[L7N]],Transactions[[#This Row],[L6N]],Transactions[[#This Row],[L7N]]))))))))</f>
        <v>Electricity, CHP and heat plants (T)</v>
      </c>
      <c r="AT481" s="24" t="str">
        <f>IF(Transactions[[#This Row],[Level 1]]=Transactions[[#This Row],[Transaction name]],Transactions[[#This Row],[Transaction name]],IF(Transactions[[#This Row],[Level 1]]=Transactions[[#This Row],[L1N]],Transactions[[#This Row],[Transaction name]],IF(Transactions[[#This Row],[Level 1]]=Transactions[[#This Row],[L2N]],Transactions[[#This Row],[L1N]],IF(Transactions[[#This Row],[Level 1]]=Transactions[[#This Row],[L3N]],Transactions[[#This Row],[L2N]],IF(Transactions[[#This Row],[Level 1]]=Transactions[[#This Row],[L4N]],Transactions[[#This Row],[L3N]],IF(Transactions[[#This Row],[Level 1]]=Transactions[[#This Row],[L5N]],Transactions[[#This Row],[L4N]],IF(Transactions[[#This Row],[Level 1]]=Transactions[[#This Row],[L6N]],Transactions[[#This Row],[L5N]],IF(Transactions[[#This Row],[Level 1]]=Transactions[[#This Row],[L7N]],Transactions[[#This Row],[L6N]],Transactions[[#This Row],[L7N]]))))))))</f>
        <v>Heat plants</v>
      </c>
      <c r="AU481" s="24" t="str">
        <f>IF(Transactions[[#This Row],[Level 2]]=Transactions[[#This Row],[Transaction name]],Transactions[[#This Row],[Transaction name]],IF(Transactions[[#This Row],[Level 2]]=Transactions[[#This Row],[L1N]],Transactions[[#This Row],[Transaction name]],IF(Transactions[[#This Row],[Level 2]]=Transactions[[#This Row],[L2N]],Transactions[[#This Row],[L1N]],IF(Transactions[[#This Row],[Level 2]]=Transactions[[#This Row],[L3N]],Transactions[[#This Row],[L2N]],IF(Transactions[[#This Row],[Level 2]]=Transactions[[#This Row],[L4N]],Transactions[[#This Row],[L3N]],IF(Transactions[[#This Row],[Level 2]]=Transactions[[#This Row],[L5N]],Transactions[[#This Row],[L4N]],IF(Transactions[[#This Row],[Level 2]]=Transactions[[#This Row],[L6N]],Transactions[[#This Row],[L5N]],IF(Transactions[[#This Row],[Level 2]]=Transactions[[#This Row],[L7N]],Transactions[[#This Row],[L6N]],Transactions[[#This Row],[L7N]]))))))))</f>
        <v>Heat plants - hard coal</v>
      </c>
      <c r="AV481" s="24" t="str">
        <f>IF(Transactions[[#This Row],[Level 3]]=Transactions[[#This Row],[Transaction name]],Transactions[[#This Row],[Transaction name]],IF(Transactions[[#This Row],[Level 3]]=Transactions[[#This Row],[L1N]],Transactions[[#This Row],[Transaction name]],IF(Transactions[[#This Row],[Level 3]]=Transactions[[#This Row],[L2N]],Transactions[[#This Row],[L1N]],IF(Transactions[[#This Row],[Level 3]]=Transactions[[#This Row],[L3N]],Transactions[[#This Row],[L2N]],IF(Transactions[[#This Row],[Level 3]]=Transactions[[#This Row],[L4N]],Transactions[[#This Row],[L3N]],IF(Transactions[[#This Row],[Level 3]]=Transactions[[#This Row],[L5N]],Transactions[[#This Row],[L4N]],IF(Transactions[[#This Row],[Level 3]]=Transactions[[#This Row],[L6N]],Transactions[[#This Row],[L5N]],IF(Transactions[[#This Row],[Level 3]]=Transactions[[#This Row],[L7N]],Transactions[[#This Row],[L6N]],Transactions[[#This Row],[L7N]]))))))))</f>
        <v>Heat plants - Autoproducer - hard coal</v>
      </c>
      <c r="AW481" s="24" t="str">
        <f>IF(Transactions[[#This Row],[Level 4]]=Transactions[[#This Row],[Transaction name]],Transactions[[#This Row],[Transaction name]],IF(Transactions[[#This Row],[Level 4]]=Transactions[[#This Row],[L1N]],Transactions[[#This Row],[Transaction name]],IF(Transactions[[#This Row],[Level 4]]=Transactions[[#This Row],[L2N]],Transactions[[#This Row],[L1N]],IF(Transactions[[#This Row],[Level 4]]=Transactions[[#This Row],[L3N]],Transactions[[#This Row],[L2N]],IF(Transactions[[#This Row],[Level 4]]=Transactions[[#This Row],[L4N]],Transactions[[#This Row],[L3N]],IF(Transactions[[#This Row],[Level 4]]=Transactions[[#This Row],[L5N]],Transactions[[#This Row],[L4N]],IF(Transactions[[#This Row],[Level 4]]=Transactions[[#This Row],[L6N]],Transactions[[#This Row],[L5N]],IF(Transactions[[#This Row],[Level 4]]=Transactions[[#This Row],[L7N]],Transactions[[#This Row],[L6N]],Transactions[[#This Row],[L7N]]))))))))</f>
        <v>Heat plants - Autoproducer - hard coal</v>
      </c>
      <c r="AX481" s="24" t="str">
        <f>IF(Transactions[[#This Row],[Level 5]]=Transactions[[#This Row],[Transaction name]],Transactions[[#This Row],[Transaction name]],IF(Transactions[[#This Row],[Level 5]]=Transactions[[#This Row],[L1N]],Transactions[[#This Row],[Transaction name]],IF(Transactions[[#This Row],[Level 5]]=Transactions[[#This Row],[L2N]],Transactions[[#This Row],[L1N]],IF(Transactions[[#This Row],[Level 5]]=Transactions[[#This Row],[L3N]],Transactions[[#This Row],[L2N]],IF(Transactions[[#This Row],[Level 5]]=Transactions[[#This Row],[L4N]],Transactions[[#This Row],[L3N]],IF(Transactions[[#This Row],[Level 5]]=Transactions[[#This Row],[L5N]],Transactions[[#This Row],[L4N]],IF(Transactions[[#This Row],[Level 5]]=Transactions[[#This Row],[L6N]],Transactions[[#This Row],[L5N]],IF(Transactions[[#This Row],[Level 5]]=Transactions[[#This Row],[L7N]],Transactions[[#This Row],[L6N]],Transactions[[#This Row],[L7N]]))))))))</f>
        <v>Heat plants - Autoproducer - hard coal</v>
      </c>
      <c r="AY481" s="24" t="str">
        <f>IF(Transactions[[#This Row],[Level 6]]=Transactions[[#This Row],[Transaction name]],Transactions[[#This Row],[Transaction name]],IF(Transactions[[#This Row],[Level 6]]=Transactions[[#This Row],[L1N]],Transactions[[#This Row],[Transaction name]],IF(Transactions[[#This Row],[Level 6]]=Transactions[[#This Row],[L2N]],Transactions[[#This Row],[L1N]],IF(Transactions[[#This Row],[Level 6]]=Transactions[[#This Row],[L3N]],Transactions[[#This Row],[L2N]],IF(Transactions[[#This Row],[Level 6]]=Transactions[[#This Row],[L4N]],Transactions[[#This Row],[L3N]],IF(Transactions[[#This Row],[Level 6]]=Transactions[[#This Row],[L5N]],Transactions[[#This Row],[L4N]],IF(Transactions[[#This Row],[Level 6]]=Transactions[[#This Row],[L6N]],Transactions[[#This Row],[L5N]],IF(Transactions[[#This Row],[Level 6]]=Transactions[[#This Row],[L7N]],Transactions[[#This Row],[L6N]],Transactions[[#This Row],[L7N]]))))))))</f>
        <v>Heat plants - Autoproducer - hard coal</v>
      </c>
    </row>
    <row r="482" spans="25:51" x14ac:dyDescent="0.45">
      <c r="Y482" s="19" t="s">
        <v>1566</v>
      </c>
      <c r="Z482" s="18" t="s">
        <v>1381</v>
      </c>
      <c r="AA482" s="18" t="s">
        <v>1381</v>
      </c>
      <c r="AB482" s="19" t="s">
        <v>1574</v>
      </c>
      <c r="AC482" s="26" t="str">
        <f>IFERROR(VLOOKUP(Transactions[[#This Row],[Parent code]],Transactions[[Transaction code]:[Transaction name]],2,0),"")</f>
        <v>Heat plants</v>
      </c>
      <c r="AD482" s="18" t="s">
        <v>189</v>
      </c>
      <c r="AE482" s="18" t="s">
        <v>924</v>
      </c>
      <c r="AF482" s="18" t="s">
        <v>642</v>
      </c>
      <c r="AG482" s="18" t="s">
        <v>1</v>
      </c>
      <c r="AH482" s="18" t="s">
        <v>696</v>
      </c>
      <c r="AI482" s="18" t="s">
        <v>1416</v>
      </c>
      <c r="AJ482" s="18"/>
      <c r="AK482" s="26" t="str" cm="1">
        <f t="array" ref="AK482">IFERROR(INDEX(Transactions[[Transaction code]:[Transaction name]],_xlfn.XMATCH(Transactions[[#This Row],[Parent code]],Transactions[Transaction name],0),3),Transactions[[#This Row],[Transaction name]])</f>
        <v>Heat plants - hard coal</v>
      </c>
      <c r="AL482" s="26" t="str" cm="1">
        <f t="array" ref="AL482">IFERROR(INDEX(Transactions[[Transaction code]:[Transaction name]],_xlfn.XMATCH(INDEX(Transactions[[Transaction name]:[Parent code]],_xlfn.XMATCH(Transactions[[#This Row],[L1N]],Transactions[Transaction name],0),3),Transactions[Transaction code],0),2),Transactions[[#This Row],[L1N]])</f>
        <v>Heat plants</v>
      </c>
      <c r="AM482" s="26" t="str" cm="1">
        <f t="array" ref="AM482">IFERROR(INDEX(Transactions[[Transaction code]:[Transaction name]],_xlfn.XMATCH(INDEX(Transactions[[Transaction name]:[Parent code]],_xlfn.XMATCH(Transactions[[#This Row],[L2N]],Transactions[Transaction name],0),3),Transactions[Transaction code],0),2),Transactions[[#This Row],[L2N]])</f>
        <v>Electricity, CHP and heat plants (T)</v>
      </c>
      <c r="AN482" s="26" t="str" cm="1">
        <f t="array" ref="AN482">IFERROR(INDEX(Transactions[[Transaction code]:[Transaction name]],_xlfn.XMATCH(INDEX(Transactions[[Transaction name]:[Parent code]],_xlfn.XMATCH(Transactions[[#This Row],[L3N]],Transactions[Transaction name],0),3),Transactions[Transaction code],0),2),Transactions[[#This Row],[L3N]])</f>
        <v>Transformation</v>
      </c>
      <c r="AO482" s="26" t="str" cm="1">
        <f t="array" ref="AO482">IFERROR(INDEX(Transactions[[Transaction code]:[Transaction name]],_xlfn.XMATCH(INDEX(Transactions[[Transaction name]:[Parent code]],_xlfn.XMATCH(Transactions[[#This Row],[L4N]],Transactions[Transaction name],0),3),Transactions[Transaction code],0),2),Transactions[[#This Row],[L4N]])</f>
        <v>Transformation</v>
      </c>
      <c r="AP482" s="26" t="str" cm="1">
        <f t="array" ref="AP482">IFERROR(INDEX(Transactions[[Transaction code]:[Transaction name]],_xlfn.XMATCH(INDEX(Transactions[[Transaction name]:[Parent code]],_xlfn.XMATCH(Transactions[[#This Row],[L5N]],Transactions[Transaction name],0),3),Transactions[Transaction code],0),2),Transactions[[#This Row],[L5N]])</f>
        <v>Transformation</v>
      </c>
      <c r="AQ482" s="26" t="str" cm="1">
        <f t="array" ref="AQ482">IFERROR(INDEX(Transactions[[Transaction code]:[Transaction name]],_xlfn.XMATCH(INDEX(Transactions[[Transaction name]:[Parent code]],_xlfn.XMATCH(Transactions[[#This Row],[L6N]],Transactions[Transaction name],0),3),Transactions[Transaction code],0),2),Transactions[[#This Row],[L6N]])</f>
        <v>Transformation</v>
      </c>
      <c r="AR482" s="29" t="str">
        <f>IF(Transactions[[#This Row],[L7N]]=Transactions[[#This Row],[L6N]],Transactions[[#This Row],[L7N]],IF(Transactions[[#This Row],[L6N]]=Transactions[[#This Row],[L5N]],Transactions[[#This Row],[L6N]],IF(Transactions[[#This Row],[L5N]]=Transactions[[#This Row],[L4N]],Transactions[[#This Row],[L5N]],IF(Transactions[[#This Row],[L4N]]=Transactions[[#This Row],[L3N]],Transactions[[#This Row],[L4N]],IF(Transactions[[#This Row],[L3N]]=Transactions[[#This Row],[L2N]],Transactions[[#This Row],[L3N]],IF(Transactions[[#This Row],[L2N]]=Transactions[[#This Row],[L1N]],Transactions[[#This Row],[L2N]],IF(Transactions[[#This Row],[L1N]]=Transactions[[#This Row],[Transaction name]],Transactions[[#This Row],[L1N]],Transactions[[#This Row],[Transaction name]])))))))</f>
        <v>Transformation</v>
      </c>
      <c r="AS482" s="26" t="str">
        <f>IF(Transactions[[#This Row],[Level 0]]=Transactions[[#This Row],[Transaction name]],Transactions[[#This Row],[Transaction name]],IF(Transactions[[#This Row],[Level 0]]=Transactions[[#This Row],[L1N]],Transactions[[#This Row],[Transaction name]],IF(Transactions[[#This Row],[Level 0]]=Transactions[[#This Row],[L2N]],Transactions[[#This Row],[L1N]],IF(Transactions[[#This Row],[Level 0]]=Transactions[[#This Row],[L3N]],Transactions[[#This Row],[L2N]],IF(Transactions[[#This Row],[Level 0]]=Transactions[[#This Row],[L4N]],Transactions[[#This Row],[L3N]],IF(Transactions[[#This Row],[Level 0]]=Transactions[[#This Row],[L5N]],Transactions[[#This Row],[L4N]],IF(Transactions[[#This Row],[Level 0]]=Transactions[[#This Row],[L6N]],Transactions[[#This Row],[L5N]],IF(Transactions[[#This Row],[Level 0]]=Transactions[[#This Row],[L7N]],Transactions[[#This Row],[L6N]],Transactions[[#This Row],[L7N]]))))))))</f>
        <v>Electricity, CHP and heat plants (T)</v>
      </c>
      <c r="AT482" s="26" t="str">
        <f>IF(Transactions[[#This Row],[Level 1]]=Transactions[[#This Row],[Transaction name]],Transactions[[#This Row],[Transaction name]],IF(Transactions[[#This Row],[Level 1]]=Transactions[[#This Row],[L1N]],Transactions[[#This Row],[Transaction name]],IF(Transactions[[#This Row],[Level 1]]=Transactions[[#This Row],[L2N]],Transactions[[#This Row],[L1N]],IF(Transactions[[#This Row],[Level 1]]=Transactions[[#This Row],[L3N]],Transactions[[#This Row],[L2N]],IF(Transactions[[#This Row],[Level 1]]=Transactions[[#This Row],[L4N]],Transactions[[#This Row],[L3N]],IF(Transactions[[#This Row],[Level 1]]=Transactions[[#This Row],[L5N]],Transactions[[#This Row],[L4N]],IF(Transactions[[#This Row],[Level 1]]=Transactions[[#This Row],[L6N]],Transactions[[#This Row],[L5N]],IF(Transactions[[#This Row],[Level 1]]=Transactions[[#This Row],[L7N]],Transactions[[#This Row],[L6N]],Transactions[[#This Row],[L7N]]))))))))</f>
        <v>Heat plants</v>
      </c>
      <c r="AU482" s="26" t="str">
        <f>IF(Transactions[[#This Row],[Level 2]]=Transactions[[#This Row],[Transaction name]],Transactions[[#This Row],[Transaction name]],IF(Transactions[[#This Row],[Level 2]]=Transactions[[#This Row],[L1N]],Transactions[[#This Row],[Transaction name]],IF(Transactions[[#This Row],[Level 2]]=Transactions[[#This Row],[L2N]],Transactions[[#This Row],[L1N]],IF(Transactions[[#This Row],[Level 2]]=Transactions[[#This Row],[L3N]],Transactions[[#This Row],[L2N]],IF(Transactions[[#This Row],[Level 2]]=Transactions[[#This Row],[L4N]],Transactions[[#This Row],[L3N]],IF(Transactions[[#This Row],[Level 2]]=Transactions[[#This Row],[L5N]],Transactions[[#This Row],[L4N]],IF(Transactions[[#This Row],[Level 2]]=Transactions[[#This Row],[L6N]],Transactions[[#This Row],[L5N]],IF(Transactions[[#This Row],[Level 2]]=Transactions[[#This Row],[L7N]],Transactions[[#This Row],[L6N]],Transactions[[#This Row],[L7N]]))))))))</f>
        <v>Heat plants - hard coal</v>
      </c>
      <c r="AV482" s="26" t="str">
        <f>IF(Transactions[[#This Row],[Level 3]]=Transactions[[#This Row],[Transaction name]],Transactions[[#This Row],[Transaction name]],IF(Transactions[[#This Row],[Level 3]]=Transactions[[#This Row],[L1N]],Transactions[[#This Row],[Transaction name]],IF(Transactions[[#This Row],[Level 3]]=Transactions[[#This Row],[L2N]],Transactions[[#This Row],[L1N]],IF(Transactions[[#This Row],[Level 3]]=Transactions[[#This Row],[L3N]],Transactions[[#This Row],[L2N]],IF(Transactions[[#This Row],[Level 3]]=Transactions[[#This Row],[L4N]],Transactions[[#This Row],[L3N]],IF(Transactions[[#This Row],[Level 3]]=Transactions[[#This Row],[L5N]],Transactions[[#This Row],[L4N]],IF(Transactions[[#This Row],[Level 3]]=Transactions[[#This Row],[L6N]],Transactions[[#This Row],[L5N]],IF(Transactions[[#This Row],[Level 3]]=Transactions[[#This Row],[L7N]],Transactions[[#This Row],[L6N]],Transactions[[#This Row],[L7N]]))))))))</f>
        <v>Heat plants - hard coal</v>
      </c>
      <c r="AW482" s="26" t="str">
        <f>IF(Transactions[[#This Row],[Level 4]]=Transactions[[#This Row],[Transaction name]],Transactions[[#This Row],[Transaction name]],IF(Transactions[[#This Row],[Level 4]]=Transactions[[#This Row],[L1N]],Transactions[[#This Row],[Transaction name]],IF(Transactions[[#This Row],[Level 4]]=Transactions[[#This Row],[L2N]],Transactions[[#This Row],[L1N]],IF(Transactions[[#This Row],[Level 4]]=Transactions[[#This Row],[L3N]],Transactions[[#This Row],[L2N]],IF(Transactions[[#This Row],[Level 4]]=Transactions[[#This Row],[L4N]],Transactions[[#This Row],[L3N]],IF(Transactions[[#This Row],[Level 4]]=Transactions[[#This Row],[L5N]],Transactions[[#This Row],[L4N]],IF(Transactions[[#This Row],[Level 4]]=Transactions[[#This Row],[L6N]],Transactions[[#This Row],[L5N]],IF(Transactions[[#This Row],[Level 4]]=Transactions[[#This Row],[L7N]],Transactions[[#This Row],[L6N]],Transactions[[#This Row],[L7N]]))))))))</f>
        <v>Heat plants - hard coal</v>
      </c>
      <c r="AX482" s="26" t="str">
        <f>IF(Transactions[[#This Row],[Level 5]]=Transactions[[#This Row],[Transaction name]],Transactions[[#This Row],[Transaction name]],IF(Transactions[[#This Row],[Level 5]]=Transactions[[#This Row],[L1N]],Transactions[[#This Row],[Transaction name]],IF(Transactions[[#This Row],[Level 5]]=Transactions[[#This Row],[L2N]],Transactions[[#This Row],[L1N]],IF(Transactions[[#This Row],[Level 5]]=Transactions[[#This Row],[L3N]],Transactions[[#This Row],[L2N]],IF(Transactions[[#This Row],[Level 5]]=Transactions[[#This Row],[L4N]],Transactions[[#This Row],[L3N]],IF(Transactions[[#This Row],[Level 5]]=Transactions[[#This Row],[L5N]],Transactions[[#This Row],[L4N]],IF(Transactions[[#This Row],[Level 5]]=Transactions[[#This Row],[L6N]],Transactions[[#This Row],[L5N]],IF(Transactions[[#This Row],[Level 5]]=Transactions[[#This Row],[L7N]],Transactions[[#This Row],[L6N]],Transactions[[#This Row],[L7N]]))))))))</f>
        <v>Heat plants - hard coal</v>
      </c>
      <c r="AY482" s="26" t="str">
        <f>IF(Transactions[[#This Row],[Level 6]]=Transactions[[#This Row],[Transaction name]],Transactions[[#This Row],[Transaction name]],IF(Transactions[[#This Row],[Level 6]]=Transactions[[#This Row],[L1N]],Transactions[[#This Row],[Transaction name]],IF(Transactions[[#This Row],[Level 6]]=Transactions[[#This Row],[L2N]],Transactions[[#This Row],[L1N]],IF(Transactions[[#This Row],[Level 6]]=Transactions[[#This Row],[L3N]],Transactions[[#This Row],[L2N]],IF(Transactions[[#This Row],[Level 6]]=Transactions[[#This Row],[L4N]],Transactions[[#This Row],[L3N]],IF(Transactions[[#This Row],[Level 6]]=Transactions[[#This Row],[L5N]],Transactions[[#This Row],[L4N]],IF(Transactions[[#This Row],[Level 6]]=Transactions[[#This Row],[L6N]],Transactions[[#This Row],[L5N]],IF(Transactions[[#This Row],[Level 6]]=Transactions[[#This Row],[L7N]],Transactions[[#This Row],[L6N]],Transactions[[#This Row],[L7N]]))))))))</f>
        <v>Heat plants - hard coal</v>
      </c>
    </row>
    <row r="483" spans="25:51" x14ac:dyDescent="0.45">
      <c r="Y483" s="5" t="s">
        <v>1244</v>
      </c>
      <c r="Z483" s="7" t="s">
        <v>1187</v>
      </c>
      <c r="AA483" s="4" t="s">
        <v>1381</v>
      </c>
      <c r="AB483" s="19" t="s">
        <v>1566</v>
      </c>
      <c r="AC483" s="24" t="str">
        <f>IFERROR(VLOOKUP(Transactions[[#This Row],[Parent code]],Transactions[[Transaction code]:[Transaction name]],2,0),"")</f>
        <v>Heat plants - hard coal</v>
      </c>
      <c r="AD483" s="4" t="s">
        <v>189</v>
      </c>
      <c r="AE483" s="4" t="s">
        <v>924</v>
      </c>
      <c r="AF483" s="4" t="s">
        <v>642</v>
      </c>
      <c r="AG483" s="4" t="s">
        <v>1</v>
      </c>
      <c r="AH483" s="4" t="s">
        <v>696</v>
      </c>
      <c r="AI483" s="12" t="s">
        <v>1416</v>
      </c>
      <c r="AK483" s="24" t="str" cm="1">
        <f t="array" ref="AK483">IFERROR(INDEX(Transactions[[Transaction code]:[Transaction name]],_xlfn.XMATCH(Transactions[[#This Row],[Parent code]],Transactions[Transaction name],0),3),Transactions[[#This Row],[Transaction name]])</f>
        <v>Heat plants - Main activity - hard coal</v>
      </c>
      <c r="AL483" s="24" t="str" cm="1">
        <f t="array" ref="AL483">IFERROR(INDEX(Transactions[[Transaction code]:[Transaction name]],_xlfn.XMATCH(INDEX(Transactions[[Transaction name]:[Parent code]],_xlfn.XMATCH(Transactions[[#This Row],[L1N]],Transactions[Transaction name],0),3),Transactions[Transaction code],0),2),Transactions[[#This Row],[L1N]])</f>
        <v>Heat plants - hard coal</v>
      </c>
      <c r="AM483" s="24" t="str" cm="1">
        <f t="array" ref="AM483">IFERROR(INDEX(Transactions[[Transaction code]:[Transaction name]],_xlfn.XMATCH(INDEX(Transactions[[Transaction name]:[Parent code]],_xlfn.XMATCH(Transactions[[#This Row],[L2N]],Transactions[Transaction name],0),3),Transactions[Transaction code],0),2),Transactions[[#This Row],[L2N]])</f>
        <v>Heat plants</v>
      </c>
      <c r="AN483" s="24" t="str" cm="1">
        <f t="array" ref="AN483">IFERROR(INDEX(Transactions[[Transaction code]:[Transaction name]],_xlfn.XMATCH(INDEX(Transactions[[Transaction name]:[Parent code]],_xlfn.XMATCH(Transactions[[#This Row],[L3N]],Transactions[Transaction name],0),3),Transactions[Transaction code],0),2),Transactions[[#This Row],[L3N]])</f>
        <v>Electricity, CHP and heat plants (T)</v>
      </c>
      <c r="AO483" s="24" t="str" cm="1">
        <f t="array" ref="AO483">IFERROR(INDEX(Transactions[[Transaction code]:[Transaction name]],_xlfn.XMATCH(INDEX(Transactions[[Transaction name]:[Parent code]],_xlfn.XMATCH(Transactions[[#This Row],[L4N]],Transactions[Transaction name],0),3),Transactions[Transaction code],0),2),Transactions[[#This Row],[L4N]])</f>
        <v>Transformation</v>
      </c>
      <c r="AP483" s="24" t="str" cm="1">
        <f t="array" ref="AP483">IFERROR(INDEX(Transactions[[Transaction code]:[Transaction name]],_xlfn.XMATCH(INDEX(Transactions[[Transaction name]:[Parent code]],_xlfn.XMATCH(Transactions[[#This Row],[L5N]],Transactions[Transaction name],0),3),Transactions[Transaction code],0),2),Transactions[[#This Row],[L5N]])</f>
        <v>Transformation</v>
      </c>
      <c r="AQ483" s="24" t="str" cm="1">
        <f t="array" ref="AQ483">IFERROR(INDEX(Transactions[[Transaction code]:[Transaction name]],_xlfn.XMATCH(INDEX(Transactions[[Transaction name]:[Parent code]],_xlfn.XMATCH(Transactions[[#This Row],[L6N]],Transactions[Transaction name],0),3),Transactions[Transaction code],0),2),Transactions[[#This Row],[L6N]])</f>
        <v>Transformation</v>
      </c>
      <c r="AR483" s="28" t="str">
        <f>IF(Transactions[[#This Row],[L7N]]=Transactions[[#This Row],[L6N]],Transactions[[#This Row],[L7N]],IF(Transactions[[#This Row],[L6N]]=Transactions[[#This Row],[L5N]],Transactions[[#This Row],[L6N]],IF(Transactions[[#This Row],[L5N]]=Transactions[[#This Row],[L4N]],Transactions[[#This Row],[L5N]],IF(Transactions[[#This Row],[L4N]]=Transactions[[#This Row],[L3N]],Transactions[[#This Row],[L4N]],IF(Transactions[[#This Row],[L3N]]=Transactions[[#This Row],[L2N]],Transactions[[#This Row],[L3N]],IF(Transactions[[#This Row],[L2N]]=Transactions[[#This Row],[L1N]],Transactions[[#This Row],[L2N]],IF(Transactions[[#This Row],[L1N]]=Transactions[[#This Row],[Transaction name]],Transactions[[#This Row],[L1N]],Transactions[[#This Row],[Transaction name]])))))))</f>
        <v>Transformation</v>
      </c>
      <c r="AS483" s="24" t="str">
        <f>IF(Transactions[[#This Row],[Level 0]]=Transactions[[#This Row],[Transaction name]],Transactions[[#This Row],[Transaction name]],IF(Transactions[[#This Row],[Level 0]]=Transactions[[#This Row],[L1N]],Transactions[[#This Row],[Transaction name]],IF(Transactions[[#This Row],[Level 0]]=Transactions[[#This Row],[L2N]],Transactions[[#This Row],[L1N]],IF(Transactions[[#This Row],[Level 0]]=Transactions[[#This Row],[L3N]],Transactions[[#This Row],[L2N]],IF(Transactions[[#This Row],[Level 0]]=Transactions[[#This Row],[L4N]],Transactions[[#This Row],[L3N]],IF(Transactions[[#This Row],[Level 0]]=Transactions[[#This Row],[L5N]],Transactions[[#This Row],[L4N]],IF(Transactions[[#This Row],[Level 0]]=Transactions[[#This Row],[L6N]],Transactions[[#This Row],[L5N]],IF(Transactions[[#This Row],[Level 0]]=Transactions[[#This Row],[L7N]],Transactions[[#This Row],[L6N]],Transactions[[#This Row],[L7N]]))))))))</f>
        <v>Electricity, CHP and heat plants (T)</v>
      </c>
      <c r="AT483" s="24" t="str">
        <f>IF(Transactions[[#This Row],[Level 1]]=Transactions[[#This Row],[Transaction name]],Transactions[[#This Row],[Transaction name]],IF(Transactions[[#This Row],[Level 1]]=Transactions[[#This Row],[L1N]],Transactions[[#This Row],[Transaction name]],IF(Transactions[[#This Row],[Level 1]]=Transactions[[#This Row],[L2N]],Transactions[[#This Row],[L1N]],IF(Transactions[[#This Row],[Level 1]]=Transactions[[#This Row],[L3N]],Transactions[[#This Row],[L2N]],IF(Transactions[[#This Row],[Level 1]]=Transactions[[#This Row],[L4N]],Transactions[[#This Row],[L3N]],IF(Transactions[[#This Row],[Level 1]]=Transactions[[#This Row],[L5N]],Transactions[[#This Row],[L4N]],IF(Transactions[[#This Row],[Level 1]]=Transactions[[#This Row],[L6N]],Transactions[[#This Row],[L5N]],IF(Transactions[[#This Row],[Level 1]]=Transactions[[#This Row],[L7N]],Transactions[[#This Row],[L6N]],Transactions[[#This Row],[L7N]]))))))))</f>
        <v>Heat plants</v>
      </c>
      <c r="AU483" s="24" t="str">
        <f>IF(Transactions[[#This Row],[Level 2]]=Transactions[[#This Row],[Transaction name]],Transactions[[#This Row],[Transaction name]],IF(Transactions[[#This Row],[Level 2]]=Transactions[[#This Row],[L1N]],Transactions[[#This Row],[Transaction name]],IF(Transactions[[#This Row],[Level 2]]=Transactions[[#This Row],[L2N]],Transactions[[#This Row],[L1N]],IF(Transactions[[#This Row],[Level 2]]=Transactions[[#This Row],[L3N]],Transactions[[#This Row],[L2N]],IF(Transactions[[#This Row],[Level 2]]=Transactions[[#This Row],[L4N]],Transactions[[#This Row],[L3N]],IF(Transactions[[#This Row],[Level 2]]=Transactions[[#This Row],[L5N]],Transactions[[#This Row],[L4N]],IF(Transactions[[#This Row],[Level 2]]=Transactions[[#This Row],[L6N]],Transactions[[#This Row],[L5N]],IF(Transactions[[#This Row],[Level 2]]=Transactions[[#This Row],[L7N]],Transactions[[#This Row],[L6N]],Transactions[[#This Row],[L7N]]))))))))</f>
        <v>Heat plants - hard coal</v>
      </c>
      <c r="AV483" s="24" t="str">
        <f>IF(Transactions[[#This Row],[Level 3]]=Transactions[[#This Row],[Transaction name]],Transactions[[#This Row],[Transaction name]],IF(Transactions[[#This Row],[Level 3]]=Transactions[[#This Row],[L1N]],Transactions[[#This Row],[Transaction name]],IF(Transactions[[#This Row],[Level 3]]=Transactions[[#This Row],[L2N]],Transactions[[#This Row],[L1N]],IF(Transactions[[#This Row],[Level 3]]=Transactions[[#This Row],[L3N]],Transactions[[#This Row],[L2N]],IF(Transactions[[#This Row],[Level 3]]=Transactions[[#This Row],[L4N]],Transactions[[#This Row],[L3N]],IF(Transactions[[#This Row],[Level 3]]=Transactions[[#This Row],[L5N]],Transactions[[#This Row],[L4N]],IF(Transactions[[#This Row],[Level 3]]=Transactions[[#This Row],[L6N]],Transactions[[#This Row],[L5N]],IF(Transactions[[#This Row],[Level 3]]=Transactions[[#This Row],[L7N]],Transactions[[#This Row],[L6N]],Transactions[[#This Row],[L7N]]))))))))</f>
        <v>Heat plants - Main activity - hard coal</v>
      </c>
      <c r="AW483" s="24" t="str">
        <f>IF(Transactions[[#This Row],[Level 4]]=Transactions[[#This Row],[Transaction name]],Transactions[[#This Row],[Transaction name]],IF(Transactions[[#This Row],[Level 4]]=Transactions[[#This Row],[L1N]],Transactions[[#This Row],[Transaction name]],IF(Transactions[[#This Row],[Level 4]]=Transactions[[#This Row],[L2N]],Transactions[[#This Row],[L1N]],IF(Transactions[[#This Row],[Level 4]]=Transactions[[#This Row],[L3N]],Transactions[[#This Row],[L2N]],IF(Transactions[[#This Row],[Level 4]]=Transactions[[#This Row],[L4N]],Transactions[[#This Row],[L3N]],IF(Transactions[[#This Row],[Level 4]]=Transactions[[#This Row],[L5N]],Transactions[[#This Row],[L4N]],IF(Transactions[[#This Row],[Level 4]]=Transactions[[#This Row],[L6N]],Transactions[[#This Row],[L5N]],IF(Transactions[[#This Row],[Level 4]]=Transactions[[#This Row],[L7N]],Transactions[[#This Row],[L6N]],Transactions[[#This Row],[L7N]]))))))))</f>
        <v>Heat plants - Main activity - hard coal</v>
      </c>
      <c r="AX483" s="24" t="str">
        <f>IF(Transactions[[#This Row],[Level 5]]=Transactions[[#This Row],[Transaction name]],Transactions[[#This Row],[Transaction name]],IF(Transactions[[#This Row],[Level 5]]=Transactions[[#This Row],[L1N]],Transactions[[#This Row],[Transaction name]],IF(Transactions[[#This Row],[Level 5]]=Transactions[[#This Row],[L2N]],Transactions[[#This Row],[L1N]],IF(Transactions[[#This Row],[Level 5]]=Transactions[[#This Row],[L3N]],Transactions[[#This Row],[L2N]],IF(Transactions[[#This Row],[Level 5]]=Transactions[[#This Row],[L4N]],Transactions[[#This Row],[L3N]],IF(Transactions[[#This Row],[Level 5]]=Transactions[[#This Row],[L5N]],Transactions[[#This Row],[L4N]],IF(Transactions[[#This Row],[Level 5]]=Transactions[[#This Row],[L6N]],Transactions[[#This Row],[L5N]],IF(Transactions[[#This Row],[Level 5]]=Transactions[[#This Row],[L7N]],Transactions[[#This Row],[L6N]],Transactions[[#This Row],[L7N]]))))))))</f>
        <v>Heat plants - Main activity - hard coal</v>
      </c>
      <c r="AY483" s="24" t="str">
        <f>IF(Transactions[[#This Row],[Level 6]]=Transactions[[#This Row],[Transaction name]],Transactions[[#This Row],[Transaction name]],IF(Transactions[[#This Row],[Level 6]]=Transactions[[#This Row],[L1N]],Transactions[[#This Row],[Transaction name]],IF(Transactions[[#This Row],[Level 6]]=Transactions[[#This Row],[L2N]],Transactions[[#This Row],[L1N]],IF(Transactions[[#This Row],[Level 6]]=Transactions[[#This Row],[L3N]],Transactions[[#This Row],[L2N]],IF(Transactions[[#This Row],[Level 6]]=Transactions[[#This Row],[L4N]],Transactions[[#This Row],[L3N]],IF(Transactions[[#This Row],[Level 6]]=Transactions[[#This Row],[L5N]],Transactions[[#This Row],[L4N]],IF(Transactions[[#This Row],[Level 6]]=Transactions[[#This Row],[L6N]],Transactions[[#This Row],[L5N]],IF(Transactions[[#This Row],[Level 6]]=Transactions[[#This Row],[L7N]],Transactions[[#This Row],[L6N]],Transactions[[#This Row],[L7N]]))))))))</f>
        <v>Heat plants - Main activity - hard coal</v>
      </c>
    </row>
    <row r="484" spans="25:51" x14ac:dyDescent="0.45">
      <c r="Y484" s="19" t="s">
        <v>1567</v>
      </c>
      <c r="Z484" s="18" t="s">
        <v>1332</v>
      </c>
      <c r="AA484" s="18" t="s">
        <v>1332</v>
      </c>
      <c r="AB484" s="19" t="s">
        <v>1574</v>
      </c>
      <c r="AC484" s="26" t="str">
        <f>IFERROR(VLOOKUP(Transactions[[#This Row],[Parent code]],Transactions[[Transaction code]:[Transaction name]],2,0),"")</f>
        <v>Heat plants</v>
      </c>
      <c r="AD484" s="18" t="s">
        <v>189</v>
      </c>
      <c r="AE484" s="18" t="s">
        <v>924</v>
      </c>
      <c r="AF484" s="18" t="s">
        <v>642</v>
      </c>
      <c r="AG484" s="18" t="s">
        <v>1</v>
      </c>
      <c r="AH484" s="18" t="s">
        <v>696</v>
      </c>
      <c r="AI484" s="18"/>
      <c r="AJ484" s="18"/>
      <c r="AK484" s="26" t="str" cm="1">
        <f t="array" ref="AK484">IFERROR(INDEX(Transactions[[Transaction code]:[Transaction name]],_xlfn.XMATCH(Transactions[[#This Row],[Parent code]],Transactions[Transaction name],0),3),Transactions[[#This Row],[Transaction name]])</f>
        <v>Heat plants - heat pumps</v>
      </c>
      <c r="AL484" s="26" t="str" cm="1">
        <f t="array" ref="AL484">IFERROR(INDEX(Transactions[[Transaction code]:[Transaction name]],_xlfn.XMATCH(INDEX(Transactions[[Transaction name]:[Parent code]],_xlfn.XMATCH(Transactions[[#This Row],[L1N]],Transactions[Transaction name],0),3),Transactions[Transaction code],0),2),Transactions[[#This Row],[L1N]])</f>
        <v>Heat plants</v>
      </c>
      <c r="AM484" s="26" t="str" cm="1">
        <f t="array" ref="AM484">IFERROR(INDEX(Transactions[[Transaction code]:[Transaction name]],_xlfn.XMATCH(INDEX(Transactions[[Transaction name]:[Parent code]],_xlfn.XMATCH(Transactions[[#This Row],[L2N]],Transactions[Transaction name],0),3),Transactions[Transaction code],0),2),Transactions[[#This Row],[L2N]])</f>
        <v>Electricity, CHP and heat plants (T)</v>
      </c>
      <c r="AN484" s="26" t="str" cm="1">
        <f t="array" ref="AN484">IFERROR(INDEX(Transactions[[Transaction code]:[Transaction name]],_xlfn.XMATCH(INDEX(Transactions[[Transaction name]:[Parent code]],_xlfn.XMATCH(Transactions[[#This Row],[L3N]],Transactions[Transaction name],0),3),Transactions[Transaction code],0),2),Transactions[[#This Row],[L3N]])</f>
        <v>Transformation</v>
      </c>
      <c r="AO484" s="26" t="str" cm="1">
        <f t="array" ref="AO484">IFERROR(INDEX(Transactions[[Transaction code]:[Transaction name]],_xlfn.XMATCH(INDEX(Transactions[[Transaction name]:[Parent code]],_xlfn.XMATCH(Transactions[[#This Row],[L4N]],Transactions[Transaction name],0),3),Transactions[Transaction code],0),2),Transactions[[#This Row],[L4N]])</f>
        <v>Transformation</v>
      </c>
      <c r="AP484" s="26" t="str" cm="1">
        <f t="array" ref="AP484">IFERROR(INDEX(Transactions[[Transaction code]:[Transaction name]],_xlfn.XMATCH(INDEX(Transactions[[Transaction name]:[Parent code]],_xlfn.XMATCH(Transactions[[#This Row],[L5N]],Transactions[Transaction name],0),3),Transactions[Transaction code],0),2),Transactions[[#This Row],[L5N]])</f>
        <v>Transformation</v>
      </c>
      <c r="AQ484" s="26" t="str" cm="1">
        <f t="array" ref="AQ484">IFERROR(INDEX(Transactions[[Transaction code]:[Transaction name]],_xlfn.XMATCH(INDEX(Transactions[[Transaction name]:[Parent code]],_xlfn.XMATCH(Transactions[[#This Row],[L6N]],Transactions[Transaction name],0),3),Transactions[Transaction code],0),2),Transactions[[#This Row],[L6N]])</f>
        <v>Transformation</v>
      </c>
      <c r="AR484" s="29" t="str">
        <f>IF(Transactions[[#This Row],[L7N]]=Transactions[[#This Row],[L6N]],Transactions[[#This Row],[L7N]],IF(Transactions[[#This Row],[L6N]]=Transactions[[#This Row],[L5N]],Transactions[[#This Row],[L6N]],IF(Transactions[[#This Row],[L5N]]=Transactions[[#This Row],[L4N]],Transactions[[#This Row],[L5N]],IF(Transactions[[#This Row],[L4N]]=Transactions[[#This Row],[L3N]],Transactions[[#This Row],[L4N]],IF(Transactions[[#This Row],[L3N]]=Transactions[[#This Row],[L2N]],Transactions[[#This Row],[L3N]],IF(Transactions[[#This Row],[L2N]]=Transactions[[#This Row],[L1N]],Transactions[[#This Row],[L2N]],IF(Transactions[[#This Row],[L1N]]=Transactions[[#This Row],[Transaction name]],Transactions[[#This Row],[L1N]],Transactions[[#This Row],[Transaction name]])))))))</f>
        <v>Transformation</v>
      </c>
      <c r="AS484" s="26" t="str">
        <f>IF(Transactions[[#This Row],[Level 0]]=Transactions[[#This Row],[Transaction name]],Transactions[[#This Row],[Transaction name]],IF(Transactions[[#This Row],[Level 0]]=Transactions[[#This Row],[L1N]],Transactions[[#This Row],[Transaction name]],IF(Transactions[[#This Row],[Level 0]]=Transactions[[#This Row],[L2N]],Transactions[[#This Row],[L1N]],IF(Transactions[[#This Row],[Level 0]]=Transactions[[#This Row],[L3N]],Transactions[[#This Row],[L2N]],IF(Transactions[[#This Row],[Level 0]]=Transactions[[#This Row],[L4N]],Transactions[[#This Row],[L3N]],IF(Transactions[[#This Row],[Level 0]]=Transactions[[#This Row],[L5N]],Transactions[[#This Row],[L4N]],IF(Transactions[[#This Row],[Level 0]]=Transactions[[#This Row],[L6N]],Transactions[[#This Row],[L5N]],IF(Transactions[[#This Row],[Level 0]]=Transactions[[#This Row],[L7N]],Transactions[[#This Row],[L6N]],Transactions[[#This Row],[L7N]]))))))))</f>
        <v>Electricity, CHP and heat plants (T)</v>
      </c>
      <c r="AT484" s="26" t="str">
        <f>IF(Transactions[[#This Row],[Level 1]]=Transactions[[#This Row],[Transaction name]],Transactions[[#This Row],[Transaction name]],IF(Transactions[[#This Row],[Level 1]]=Transactions[[#This Row],[L1N]],Transactions[[#This Row],[Transaction name]],IF(Transactions[[#This Row],[Level 1]]=Transactions[[#This Row],[L2N]],Transactions[[#This Row],[L1N]],IF(Transactions[[#This Row],[Level 1]]=Transactions[[#This Row],[L3N]],Transactions[[#This Row],[L2N]],IF(Transactions[[#This Row],[Level 1]]=Transactions[[#This Row],[L4N]],Transactions[[#This Row],[L3N]],IF(Transactions[[#This Row],[Level 1]]=Transactions[[#This Row],[L5N]],Transactions[[#This Row],[L4N]],IF(Transactions[[#This Row],[Level 1]]=Transactions[[#This Row],[L6N]],Transactions[[#This Row],[L5N]],IF(Transactions[[#This Row],[Level 1]]=Transactions[[#This Row],[L7N]],Transactions[[#This Row],[L6N]],Transactions[[#This Row],[L7N]]))))))))</f>
        <v>Heat plants</v>
      </c>
      <c r="AU484" s="26" t="str">
        <f>IF(Transactions[[#This Row],[Level 2]]=Transactions[[#This Row],[Transaction name]],Transactions[[#This Row],[Transaction name]],IF(Transactions[[#This Row],[Level 2]]=Transactions[[#This Row],[L1N]],Transactions[[#This Row],[Transaction name]],IF(Transactions[[#This Row],[Level 2]]=Transactions[[#This Row],[L2N]],Transactions[[#This Row],[L1N]],IF(Transactions[[#This Row],[Level 2]]=Transactions[[#This Row],[L3N]],Transactions[[#This Row],[L2N]],IF(Transactions[[#This Row],[Level 2]]=Transactions[[#This Row],[L4N]],Transactions[[#This Row],[L3N]],IF(Transactions[[#This Row],[Level 2]]=Transactions[[#This Row],[L5N]],Transactions[[#This Row],[L4N]],IF(Transactions[[#This Row],[Level 2]]=Transactions[[#This Row],[L6N]],Transactions[[#This Row],[L5N]],IF(Transactions[[#This Row],[Level 2]]=Transactions[[#This Row],[L7N]],Transactions[[#This Row],[L6N]],Transactions[[#This Row],[L7N]]))))))))</f>
        <v>Heat plants - heat pumps</v>
      </c>
      <c r="AV484" s="26" t="str">
        <f>IF(Transactions[[#This Row],[Level 3]]=Transactions[[#This Row],[Transaction name]],Transactions[[#This Row],[Transaction name]],IF(Transactions[[#This Row],[Level 3]]=Transactions[[#This Row],[L1N]],Transactions[[#This Row],[Transaction name]],IF(Transactions[[#This Row],[Level 3]]=Transactions[[#This Row],[L2N]],Transactions[[#This Row],[L1N]],IF(Transactions[[#This Row],[Level 3]]=Transactions[[#This Row],[L3N]],Transactions[[#This Row],[L2N]],IF(Transactions[[#This Row],[Level 3]]=Transactions[[#This Row],[L4N]],Transactions[[#This Row],[L3N]],IF(Transactions[[#This Row],[Level 3]]=Transactions[[#This Row],[L5N]],Transactions[[#This Row],[L4N]],IF(Transactions[[#This Row],[Level 3]]=Transactions[[#This Row],[L6N]],Transactions[[#This Row],[L5N]],IF(Transactions[[#This Row],[Level 3]]=Transactions[[#This Row],[L7N]],Transactions[[#This Row],[L6N]],Transactions[[#This Row],[L7N]]))))))))</f>
        <v>Heat plants - heat pumps</v>
      </c>
      <c r="AW484" s="26" t="str">
        <f>IF(Transactions[[#This Row],[Level 4]]=Transactions[[#This Row],[Transaction name]],Transactions[[#This Row],[Transaction name]],IF(Transactions[[#This Row],[Level 4]]=Transactions[[#This Row],[L1N]],Transactions[[#This Row],[Transaction name]],IF(Transactions[[#This Row],[Level 4]]=Transactions[[#This Row],[L2N]],Transactions[[#This Row],[L1N]],IF(Transactions[[#This Row],[Level 4]]=Transactions[[#This Row],[L3N]],Transactions[[#This Row],[L2N]],IF(Transactions[[#This Row],[Level 4]]=Transactions[[#This Row],[L4N]],Transactions[[#This Row],[L3N]],IF(Transactions[[#This Row],[Level 4]]=Transactions[[#This Row],[L5N]],Transactions[[#This Row],[L4N]],IF(Transactions[[#This Row],[Level 4]]=Transactions[[#This Row],[L6N]],Transactions[[#This Row],[L5N]],IF(Transactions[[#This Row],[Level 4]]=Transactions[[#This Row],[L7N]],Transactions[[#This Row],[L6N]],Transactions[[#This Row],[L7N]]))))))))</f>
        <v>Heat plants - heat pumps</v>
      </c>
      <c r="AX484" s="26" t="str">
        <f>IF(Transactions[[#This Row],[Level 5]]=Transactions[[#This Row],[Transaction name]],Transactions[[#This Row],[Transaction name]],IF(Transactions[[#This Row],[Level 5]]=Transactions[[#This Row],[L1N]],Transactions[[#This Row],[Transaction name]],IF(Transactions[[#This Row],[Level 5]]=Transactions[[#This Row],[L2N]],Transactions[[#This Row],[L1N]],IF(Transactions[[#This Row],[Level 5]]=Transactions[[#This Row],[L3N]],Transactions[[#This Row],[L2N]],IF(Transactions[[#This Row],[Level 5]]=Transactions[[#This Row],[L4N]],Transactions[[#This Row],[L3N]],IF(Transactions[[#This Row],[Level 5]]=Transactions[[#This Row],[L5N]],Transactions[[#This Row],[L4N]],IF(Transactions[[#This Row],[Level 5]]=Transactions[[#This Row],[L6N]],Transactions[[#This Row],[L5N]],IF(Transactions[[#This Row],[Level 5]]=Transactions[[#This Row],[L7N]],Transactions[[#This Row],[L6N]],Transactions[[#This Row],[L7N]]))))))))</f>
        <v>Heat plants - heat pumps</v>
      </c>
      <c r="AY484" s="26" t="str">
        <f>IF(Transactions[[#This Row],[Level 6]]=Transactions[[#This Row],[Transaction name]],Transactions[[#This Row],[Transaction name]],IF(Transactions[[#This Row],[Level 6]]=Transactions[[#This Row],[L1N]],Transactions[[#This Row],[Transaction name]],IF(Transactions[[#This Row],[Level 6]]=Transactions[[#This Row],[L2N]],Transactions[[#This Row],[L1N]],IF(Transactions[[#This Row],[Level 6]]=Transactions[[#This Row],[L3N]],Transactions[[#This Row],[L2N]],IF(Transactions[[#This Row],[Level 6]]=Transactions[[#This Row],[L4N]],Transactions[[#This Row],[L3N]],IF(Transactions[[#This Row],[Level 6]]=Transactions[[#This Row],[L5N]],Transactions[[#This Row],[L4N]],IF(Transactions[[#This Row],[Level 6]]=Transactions[[#This Row],[L6N]],Transactions[[#This Row],[L5N]],IF(Transactions[[#This Row],[Level 6]]=Transactions[[#This Row],[L7N]],Transactions[[#This Row],[L6N]],Transactions[[#This Row],[L7N]]))))))))</f>
        <v>Heat plants - heat pumps</v>
      </c>
    </row>
    <row r="485" spans="25:51" x14ac:dyDescent="0.45">
      <c r="Y485" s="5" t="s">
        <v>332</v>
      </c>
      <c r="Z485" s="4" t="s">
        <v>807</v>
      </c>
      <c r="AA485" s="4" t="s">
        <v>1332</v>
      </c>
      <c r="AB485" s="19" t="s">
        <v>1567</v>
      </c>
      <c r="AC485" s="24" t="str">
        <f>IFERROR(VLOOKUP(Transactions[[#This Row],[Parent code]],Transactions[[Transaction code]:[Transaction name]],2,0),"")</f>
        <v>Heat plants - heat pumps</v>
      </c>
      <c r="AD485" s="4" t="s">
        <v>189</v>
      </c>
      <c r="AE485" s="4" t="s">
        <v>924</v>
      </c>
      <c r="AF485" s="4" t="s">
        <v>642</v>
      </c>
      <c r="AG485" s="4" t="s">
        <v>1</v>
      </c>
      <c r="AH485" s="4" t="s">
        <v>696</v>
      </c>
      <c r="AK485" s="24" t="str" cm="1">
        <f t="array" ref="AK485">IFERROR(INDEX(Transactions[[Transaction code]:[Transaction name]],_xlfn.XMATCH(Transactions[[#This Row],[Parent code]],Transactions[Transaction name],0),3),Transactions[[#This Row],[Transaction name]])</f>
        <v>Heat plants - Main activity - heat pumps</v>
      </c>
      <c r="AL485" s="24" t="str" cm="1">
        <f t="array" ref="AL485">IFERROR(INDEX(Transactions[[Transaction code]:[Transaction name]],_xlfn.XMATCH(INDEX(Transactions[[Transaction name]:[Parent code]],_xlfn.XMATCH(Transactions[[#This Row],[L1N]],Transactions[Transaction name],0),3),Transactions[Transaction code],0),2),Transactions[[#This Row],[L1N]])</f>
        <v>Heat plants - heat pumps</v>
      </c>
      <c r="AM485" s="24" t="str" cm="1">
        <f t="array" ref="AM485">IFERROR(INDEX(Transactions[[Transaction code]:[Transaction name]],_xlfn.XMATCH(INDEX(Transactions[[Transaction name]:[Parent code]],_xlfn.XMATCH(Transactions[[#This Row],[L2N]],Transactions[Transaction name],0),3),Transactions[Transaction code],0),2),Transactions[[#This Row],[L2N]])</f>
        <v>Heat plants</v>
      </c>
      <c r="AN485" s="24" t="str" cm="1">
        <f t="array" ref="AN485">IFERROR(INDEX(Transactions[[Transaction code]:[Transaction name]],_xlfn.XMATCH(INDEX(Transactions[[Transaction name]:[Parent code]],_xlfn.XMATCH(Transactions[[#This Row],[L3N]],Transactions[Transaction name],0),3),Transactions[Transaction code],0),2),Transactions[[#This Row],[L3N]])</f>
        <v>Electricity, CHP and heat plants (T)</v>
      </c>
      <c r="AO485" s="24" t="str" cm="1">
        <f t="array" ref="AO485">IFERROR(INDEX(Transactions[[Transaction code]:[Transaction name]],_xlfn.XMATCH(INDEX(Transactions[[Transaction name]:[Parent code]],_xlfn.XMATCH(Transactions[[#This Row],[L4N]],Transactions[Transaction name],0),3),Transactions[Transaction code],0),2),Transactions[[#This Row],[L4N]])</f>
        <v>Transformation</v>
      </c>
      <c r="AP485" s="24" t="str" cm="1">
        <f t="array" ref="AP485">IFERROR(INDEX(Transactions[[Transaction code]:[Transaction name]],_xlfn.XMATCH(INDEX(Transactions[[Transaction name]:[Parent code]],_xlfn.XMATCH(Transactions[[#This Row],[L5N]],Transactions[Transaction name],0),3),Transactions[Transaction code],0),2),Transactions[[#This Row],[L5N]])</f>
        <v>Transformation</v>
      </c>
      <c r="AQ485" s="24" t="str" cm="1">
        <f t="array" ref="AQ485">IFERROR(INDEX(Transactions[[Transaction code]:[Transaction name]],_xlfn.XMATCH(INDEX(Transactions[[Transaction name]:[Parent code]],_xlfn.XMATCH(Transactions[[#This Row],[L6N]],Transactions[Transaction name],0),3),Transactions[Transaction code],0),2),Transactions[[#This Row],[L6N]])</f>
        <v>Transformation</v>
      </c>
      <c r="AR485" s="28" t="str">
        <f>IF(Transactions[[#This Row],[L7N]]=Transactions[[#This Row],[L6N]],Transactions[[#This Row],[L7N]],IF(Transactions[[#This Row],[L6N]]=Transactions[[#This Row],[L5N]],Transactions[[#This Row],[L6N]],IF(Transactions[[#This Row],[L5N]]=Transactions[[#This Row],[L4N]],Transactions[[#This Row],[L5N]],IF(Transactions[[#This Row],[L4N]]=Transactions[[#This Row],[L3N]],Transactions[[#This Row],[L4N]],IF(Transactions[[#This Row],[L3N]]=Transactions[[#This Row],[L2N]],Transactions[[#This Row],[L3N]],IF(Transactions[[#This Row],[L2N]]=Transactions[[#This Row],[L1N]],Transactions[[#This Row],[L2N]],IF(Transactions[[#This Row],[L1N]]=Transactions[[#This Row],[Transaction name]],Transactions[[#This Row],[L1N]],Transactions[[#This Row],[Transaction name]])))))))</f>
        <v>Transformation</v>
      </c>
      <c r="AS485" s="24" t="str">
        <f>IF(Transactions[[#This Row],[Level 0]]=Transactions[[#This Row],[Transaction name]],Transactions[[#This Row],[Transaction name]],IF(Transactions[[#This Row],[Level 0]]=Transactions[[#This Row],[L1N]],Transactions[[#This Row],[Transaction name]],IF(Transactions[[#This Row],[Level 0]]=Transactions[[#This Row],[L2N]],Transactions[[#This Row],[L1N]],IF(Transactions[[#This Row],[Level 0]]=Transactions[[#This Row],[L3N]],Transactions[[#This Row],[L2N]],IF(Transactions[[#This Row],[Level 0]]=Transactions[[#This Row],[L4N]],Transactions[[#This Row],[L3N]],IF(Transactions[[#This Row],[Level 0]]=Transactions[[#This Row],[L5N]],Transactions[[#This Row],[L4N]],IF(Transactions[[#This Row],[Level 0]]=Transactions[[#This Row],[L6N]],Transactions[[#This Row],[L5N]],IF(Transactions[[#This Row],[Level 0]]=Transactions[[#This Row],[L7N]],Transactions[[#This Row],[L6N]],Transactions[[#This Row],[L7N]]))))))))</f>
        <v>Electricity, CHP and heat plants (T)</v>
      </c>
      <c r="AT485" s="24" t="str">
        <f>IF(Transactions[[#This Row],[Level 1]]=Transactions[[#This Row],[Transaction name]],Transactions[[#This Row],[Transaction name]],IF(Transactions[[#This Row],[Level 1]]=Transactions[[#This Row],[L1N]],Transactions[[#This Row],[Transaction name]],IF(Transactions[[#This Row],[Level 1]]=Transactions[[#This Row],[L2N]],Transactions[[#This Row],[L1N]],IF(Transactions[[#This Row],[Level 1]]=Transactions[[#This Row],[L3N]],Transactions[[#This Row],[L2N]],IF(Transactions[[#This Row],[Level 1]]=Transactions[[#This Row],[L4N]],Transactions[[#This Row],[L3N]],IF(Transactions[[#This Row],[Level 1]]=Transactions[[#This Row],[L5N]],Transactions[[#This Row],[L4N]],IF(Transactions[[#This Row],[Level 1]]=Transactions[[#This Row],[L6N]],Transactions[[#This Row],[L5N]],IF(Transactions[[#This Row],[Level 1]]=Transactions[[#This Row],[L7N]],Transactions[[#This Row],[L6N]],Transactions[[#This Row],[L7N]]))))))))</f>
        <v>Heat plants</v>
      </c>
      <c r="AU485" s="24" t="str">
        <f>IF(Transactions[[#This Row],[Level 2]]=Transactions[[#This Row],[Transaction name]],Transactions[[#This Row],[Transaction name]],IF(Transactions[[#This Row],[Level 2]]=Transactions[[#This Row],[L1N]],Transactions[[#This Row],[Transaction name]],IF(Transactions[[#This Row],[Level 2]]=Transactions[[#This Row],[L2N]],Transactions[[#This Row],[L1N]],IF(Transactions[[#This Row],[Level 2]]=Transactions[[#This Row],[L3N]],Transactions[[#This Row],[L2N]],IF(Transactions[[#This Row],[Level 2]]=Transactions[[#This Row],[L4N]],Transactions[[#This Row],[L3N]],IF(Transactions[[#This Row],[Level 2]]=Transactions[[#This Row],[L5N]],Transactions[[#This Row],[L4N]],IF(Transactions[[#This Row],[Level 2]]=Transactions[[#This Row],[L6N]],Transactions[[#This Row],[L5N]],IF(Transactions[[#This Row],[Level 2]]=Transactions[[#This Row],[L7N]],Transactions[[#This Row],[L6N]],Transactions[[#This Row],[L7N]]))))))))</f>
        <v>Heat plants - heat pumps</v>
      </c>
      <c r="AV485" s="24" t="str">
        <f>IF(Transactions[[#This Row],[Level 3]]=Transactions[[#This Row],[Transaction name]],Transactions[[#This Row],[Transaction name]],IF(Transactions[[#This Row],[Level 3]]=Transactions[[#This Row],[L1N]],Transactions[[#This Row],[Transaction name]],IF(Transactions[[#This Row],[Level 3]]=Transactions[[#This Row],[L2N]],Transactions[[#This Row],[L1N]],IF(Transactions[[#This Row],[Level 3]]=Transactions[[#This Row],[L3N]],Transactions[[#This Row],[L2N]],IF(Transactions[[#This Row],[Level 3]]=Transactions[[#This Row],[L4N]],Transactions[[#This Row],[L3N]],IF(Transactions[[#This Row],[Level 3]]=Transactions[[#This Row],[L5N]],Transactions[[#This Row],[L4N]],IF(Transactions[[#This Row],[Level 3]]=Transactions[[#This Row],[L6N]],Transactions[[#This Row],[L5N]],IF(Transactions[[#This Row],[Level 3]]=Transactions[[#This Row],[L7N]],Transactions[[#This Row],[L6N]],Transactions[[#This Row],[L7N]]))))))))</f>
        <v>Heat plants - Main activity - heat pumps</v>
      </c>
      <c r="AW485" s="24" t="str">
        <f>IF(Transactions[[#This Row],[Level 4]]=Transactions[[#This Row],[Transaction name]],Transactions[[#This Row],[Transaction name]],IF(Transactions[[#This Row],[Level 4]]=Transactions[[#This Row],[L1N]],Transactions[[#This Row],[Transaction name]],IF(Transactions[[#This Row],[Level 4]]=Transactions[[#This Row],[L2N]],Transactions[[#This Row],[L1N]],IF(Transactions[[#This Row],[Level 4]]=Transactions[[#This Row],[L3N]],Transactions[[#This Row],[L2N]],IF(Transactions[[#This Row],[Level 4]]=Transactions[[#This Row],[L4N]],Transactions[[#This Row],[L3N]],IF(Transactions[[#This Row],[Level 4]]=Transactions[[#This Row],[L5N]],Transactions[[#This Row],[L4N]],IF(Transactions[[#This Row],[Level 4]]=Transactions[[#This Row],[L6N]],Transactions[[#This Row],[L5N]],IF(Transactions[[#This Row],[Level 4]]=Transactions[[#This Row],[L7N]],Transactions[[#This Row],[L6N]],Transactions[[#This Row],[L7N]]))))))))</f>
        <v>Heat plants - Main activity - heat pumps</v>
      </c>
      <c r="AX485" s="24" t="str">
        <f>IF(Transactions[[#This Row],[Level 5]]=Transactions[[#This Row],[Transaction name]],Transactions[[#This Row],[Transaction name]],IF(Transactions[[#This Row],[Level 5]]=Transactions[[#This Row],[L1N]],Transactions[[#This Row],[Transaction name]],IF(Transactions[[#This Row],[Level 5]]=Transactions[[#This Row],[L2N]],Transactions[[#This Row],[L1N]],IF(Transactions[[#This Row],[Level 5]]=Transactions[[#This Row],[L3N]],Transactions[[#This Row],[L2N]],IF(Transactions[[#This Row],[Level 5]]=Transactions[[#This Row],[L4N]],Transactions[[#This Row],[L3N]],IF(Transactions[[#This Row],[Level 5]]=Transactions[[#This Row],[L5N]],Transactions[[#This Row],[L4N]],IF(Transactions[[#This Row],[Level 5]]=Transactions[[#This Row],[L6N]],Transactions[[#This Row],[L5N]],IF(Transactions[[#This Row],[Level 5]]=Transactions[[#This Row],[L7N]],Transactions[[#This Row],[L6N]],Transactions[[#This Row],[L7N]]))))))))</f>
        <v>Heat plants - Main activity - heat pumps</v>
      </c>
      <c r="AY485" s="24" t="str">
        <f>IF(Transactions[[#This Row],[Level 6]]=Transactions[[#This Row],[Transaction name]],Transactions[[#This Row],[Transaction name]],IF(Transactions[[#This Row],[Level 6]]=Transactions[[#This Row],[L1N]],Transactions[[#This Row],[Transaction name]],IF(Transactions[[#This Row],[Level 6]]=Transactions[[#This Row],[L2N]],Transactions[[#This Row],[L1N]],IF(Transactions[[#This Row],[Level 6]]=Transactions[[#This Row],[L3N]],Transactions[[#This Row],[L2N]],IF(Transactions[[#This Row],[Level 6]]=Transactions[[#This Row],[L4N]],Transactions[[#This Row],[L3N]],IF(Transactions[[#This Row],[Level 6]]=Transactions[[#This Row],[L5N]],Transactions[[#This Row],[L4N]],IF(Transactions[[#This Row],[Level 6]]=Transactions[[#This Row],[L6N]],Transactions[[#This Row],[L5N]],IF(Transactions[[#This Row],[Level 6]]=Transactions[[#This Row],[L7N]],Transactions[[#This Row],[L6N]],Transactions[[#This Row],[L7N]]))))))))</f>
        <v>Heat plants - Main activity - heat pumps</v>
      </c>
    </row>
    <row r="486" spans="25:51" x14ac:dyDescent="0.45">
      <c r="Y486" s="5" t="s">
        <v>1168</v>
      </c>
      <c r="Z486" s="7" t="s">
        <v>1160</v>
      </c>
      <c r="AA486" s="4" t="s">
        <v>1373</v>
      </c>
      <c r="AB486" s="19" t="s">
        <v>1568</v>
      </c>
      <c r="AC486" s="24" t="str">
        <f>IFERROR(VLOOKUP(Transactions[[#This Row],[Parent code]],Transactions[[Transaction code]:[Transaction name]],2,0),"")</f>
        <v>Heat plants - industrial solid waste</v>
      </c>
      <c r="AD486" s="4" t="s">
        <v>189</v>
      </c>
      <c r="AE486" s="4" t="s">
        <v>924</v>
      </c>
      <c r="AF486" s="4" t="s">
        <v>642</v>
      </c>
      <c r="AG486" s="4" t="s">
        <v>1</v>
      </c>
      <c r="AH486" s="4" t="s">
        <v>696</v>
      </c>
      <c r="AI486" s="12" t="s">
        <v>1416</v>
      </c>
      <c r="AK486" s="24" t="str" cm="1">
        <f t="array" ref="AK486">IFERROR(INDEX(Transactions[[Transaction code]:[Transaction name]],_xlfn.XMATCH(Transactions[[#This Row],[Parent code]],Transactions[Transaction name],0),3),Transactions[[#This Row],[Transaction name]])</f>
        <v>Heat plants - Autoproducer - industrial solid waste</v>
      </c>
      <c r="AL486" s="24" t="str" cm="1">
        <f t="array" ref="AL486">IFERROR(INDEX(Transactions[[Transaction code]:[Transaction name]],_xlfn.XMATCH(INDEX(Transactions[[Transaction name]:[Parent code]],_xlfn.XMATCH(Transactions[[#This Row],[L1N]],Transactions[Transaction name],0),3),Transactions[Transaction code],0),2),Transactions[[#This Row],[L1N]])</f>
        <v>Heat plants - industrial solid waste</v>
      </c>
      <c r="AM486" s="24" t="str" cm="1">
        <f t="array" ref="AM486">IFERROR(INDEX(Transactions[[Transaction code]:[Transaction name]],_xlfn.XMATCH(INDEX(Transactions[[Transaction name]:[Parent code]],_xlfn.XMATCH(Transactions[[#This Row],[L2N]],Transactions[Transaction name],0),3),Transactions[Transaction code],0),2),Transactions[[#This Row],[L2N]])</f>
        <v>Heat plants</v>
      </c>
      <c r="AN486" s="24" t="str" cm="1">
        <f t="array" ref="AN486">IFERROR(INDEX(Transactions[[Transaction code]:[Transaction name]],_xlfn.XMATCH(INDEX(Transactions[[Transaction name]:[Parent code]],_xlfn.XMATCH(Transactions[[#This Row],[L3N]],Transactions[Transaction name],0),3),Transactions[Transaction code],0),2),Transactions[[#This Row],[L3N]])</f>
        <v>Electricity, CHP and heat plants (T)</v>
      </c>
      <c r="AO486" s="24" t="str" cm="1">
        <f t="array" ref="AO486">IFERROR(INDEX(Transactions[[Transaction code]:[Transaction name]],_xlfn.XMATCH(INDEX(Transactions[[Transaction name]:[Parent code]],_xlfn.XMATCH(Transactions[[#This Row],[L4N]],Transactions[Transaction name],0),3),Transactions[Transaction code],0),2),Transactions[[#This Row],[L4N]])</f>
        <v>Transformation</v>
      </c>
      <c r="AP486" s="24" t="str" cm="1">
        <f t="array" ref="AP486">IFERROR(INDEX(Transactions[[Transaction code]:[Transaction name]],_xlfn.XMATCH(INDEX(Transactions[[Transaction name]:[Parent code]],_xlfn.XMATCH(Transactions[[#This Row],[L5N]],Transactions[Transaction name],0),3),Transactions[Transaction code],0),2),Transactions[[#This Row],[L5N]])</f>
        <v>Transformation</v>
      </c>
      <c r="AQ486" s="24" t="str" cm="1">
        <f t="array" ref="AQ486">IFERROR(INDEX(Transactions[[Transaction code]:[Transaction name]],_xlfn.XMATCH(INDEX(Transactions[[Transaction name]:[Parent code]],_xlfn.XMATCH(Transactions[[#This Row],[L6N]],Transactions[Transaction name],0),3),Transactions[Transaction code],0),2),Transactions[[#This Row],[L6N]])</f>
        <v>Transformation</v>
      </c>
      <c r="AR486" s="28" t="str">
        <f>IF(Transactions[[#This Row],[L7N]]=Transactions[[#This Row],[L6N]],Transactions[[#This Row],[L7N]],IF(Transactions[[#This Row],[L6N]]=Transactions[[#This Row],[L5N]],Transactions[[#This Row],[L6N]],IF(Transactions[[#This Row],[L5N]]=Transactions[[#This Row],[L4N]],Transactions[[#This Row],[L5N]],IF(Transactions[[#This Row],[L4N]]=Transactions[[#This Row],[L3N]],Transactions[[#This Row],[L4N]],IF(Transactions[[#This Row],[L3N]]=Transactions[[#This Row],[L2N]],Transactions[[#This Row],[L3N]],IF(Transactions[[#This Row],[L2N]]=Transactions[[#This Row],[L1N]],Transactions[[#This Row],[L2N]],IF(Transactions[[#This Row],[L1N]]=Transactions[[#This Row],[Transaction name]],Transactions[[#This Row],[L1N]],Transactions[[#This Row],[Transaction name]])))))))</f>
        <v>Transformation</v>
      </c>
      <c r="AS486" s="24" t="str">
        <f>IF(Transactions[[#This Row],[Level 0]]=Transactions[[#This Row],[Transaction name]],Transactions[[#This Row],[Transaction name]],IF(Transactions[[#This Row],[Level 0]]=Transactions[[#This Row],[L1N]],Transactions[[#This Row],[Transaction name]],IF(Transactions[[#This Row],[Level 0]]=Transactions[[#This Row],[L2N]],Transactions[[#This Row],[L1N]],IF(Transactions[[#This Row],[Level 0]]=Transactions[[#This Row],[L3N]],Transactions[[#This Row],[L2N]],IF(Transactions[[#This Row],[Level 0]]=Transactions[[#This Row],[L4N]],Transactions[[#This Row],[L3N]],IF(Transactions[[#This Row],[Level 0]]=Transactions[[#This Row],[L5N]],Transactions[[#This Row],[L4N]],IF(Transactions[[#This Row],[Level 0]]=Transactions[[#This Row],[L6N]],Transactions[[#This Row],[L5N]],IF(Transactions[[#This Row],[Level 0]]=Transactions[[#This Row],[L7N]],Transactions[[#This Row],[L6N]],Transactions[[#This Row],[L7N]]))))))))</f>
        <v>Electricity, CHP and heat plants (T)</v>
      </c>
      <c r="AT486" s="24" t="str">
        <f>IF(Transactions[[#This Row],[Level 1]]=Transactions[[#This Row],[Transaction name]],Transactions[[#This Row],[Transaction name]],IF(Transactions[[#This Row],[Level 1]]=Transactions[[#This Row],[L1N]],Transactions[[#This Row],[Transaction name]],IF(Transactions[[#This Row],[Level 1]]=Transactions[[#This Row],[L2N]],Transactions[[#This Row],[L1N]],IF(Transactions[[#This Row],[Level 1]]=Transactions[[#This Row],[L3N]],Transactions[[#This Row],[L2N]],IF(Transactions[[#This Row],[Level 1]]=Transactions[[#This Row],[L4N]],Transactions[[#This Row],[L3N]],IF(Transactions[[#This Row],[Level 1]]=Transactions[[#This Row],[L5N]],Transactions[[#This Row],[L4N]],IF(Transactions[[#This Row],[Level 1]]=Transactions[[#This Row],[L6N]],Transactions[[#This Row],[L5N]],IF(Transactions[[#This Row],[Level 1]]=Transactions[[#This Row],[L7N]],Transactions[[#This Row],[L6N]],Transactions[[#This Row],[L7N]]))))))))</f>
        <v>Heat plants</v>
      </c>
      <c r="AU486" s="24" t="str">
        <f>IF(Transactions[[#This Row],[Level 2]]=Transactions[[#This Row],[Transaction name]],Transactions[[#This Row],[Transaction name]],IF(Transactions[[#This Row],[Level 2]]=Transactions[[#This Row],[L1N]],Transactions[[#This Row],[Transaction name]],IF(Transactions[[#This Row],[Level 2]]=Transactions[[#This Row],[L2N]],Transactions[[#This Row],[L1N]],IF(Transactions[[#This Row],[Level 2]]=Transactions[[#This Row],[L3N]],Transactions[[#This Row],[L2N]],IF(Transactions[[#This Row],[Level 2]]=Transactions[[#This Row],[L4N]],Transactions[[#This Row],[L3N]],IF(Transactions[[#This Row],[Level 2]]=Transactions[[#This Row],[L5N]],Transactions[[#This Row],[L4N]],IF(Transactions[[#This Row],[Level 2]]=Transactions[[#This Row],[L6N]],Transactions[[#This Row],[L5N]],IF(Transactions[[#This Row],[Level 2]]=Transactions[[#This Row],[L7N]],Transactions[[#This Row],[L6N]],Transactions[[#This Row],[L7N]]))))))))</f>
        <v>Heat plants - industrial solid waste</v>
      </c>
      <c r="AV486" s="24" t="str">
        <f>IF(Transactions[[#This Row],[Level 3]]=Transactions[[#This Row],[Transaction name]],Transactions[[#This Row],[Transaction name]],IF(Transactions[[#This Row],[Level 3]]=Transactions[[#This Row],[L1N]],Transactions[[#This Row],[Transaction name]],IF(Transactions[[#This Row],[Level 3]]=Transactions[[#This Row],[L2N]],Transactions[[#This Row],[L1N]],IF(Transactions[[#This Row],[Level 3]]=Transactions[[#This Row],[L3N]],Transactions[[#This Row],[L2N]],IF(Transactions[[#This Row],[Level 3]]=Transactions[[#This Row],[L4N]],Transactions[[#This Row],[L3N]],IF(Transactions[[#This Row],[Level 3]]=Transactions[[#This Row],[L5N]],Transactions[[#This Row],[L4N]],IF(Transactions[[#This Row],[Level 3]]=Transactions[[#This Row],[L6N]],Transactions[[#This Row],[L5N]],IF(Transactions[[#This Row],[Level 3]]=Transactions[[#This Row],[L7N]],Transactions[[#This Row],[L6N]],Transactions[[#This Row],[L7N]]))))))))</f>
        <v>Heat plants - Autoproducer - industrial solid waste</v>
      </c>
      <c r="AW486" s="24" t="str">
        <f>IF(Transactions[[#This Row],[Level 4]]=Transactions[[#This Row],[Transaction name]],Transactions[[#This Row],[Transaction name]],IF(Transactions[[#This Row],[Level 4]]=Transactions[[#This Row],[L1N]],Transactions[[#This Row],[Transaction name]],IF(Transactions[[#This Row],[Level 4]]=Transactions[[#This Row],[L2N]],Transactions[[#This Row],[L1N]],IF(Transactions[[#This Row],[Level 4]]=Transactions[[#This Row],[L3N]],Transactions[[#This Row],[L2N]],IF(Transactions[[#This Row],[Level 4]]=Transactions[[#This Row],[L4N]],Transactions[[#This Row],[L3N]],IF(Transactions[[#This Row],[Level 4]]=Transactions[[#This Row],[L5N]],Transactions[[#This Row],[L4N]],IF(Transactions[[#This Row],[Level 4]]=Transactions[[#This Row],[L6N]],Transactions[[#This Row],[L5N]],IF(Transactions[[#This Row],[Level 4]]=Transactions[[#This Row],[L7N]],Transactions[[#This Row],[L6N]],Transactions[[#This Row],[L7N]]))))))))</f>
        <v>Heat plants - Autoproducer - industrial solid waste</v>
      </c>
      <c r="AX486" s="24" t="str">
        <f>IF(Transactions[[#This Row],[Level 5]]=Transactions[[#This Row],[Transaction name]],Transactions[[#This Row],[Transaction name]],IF(Transactions[[#This Row],[Level 5]]=Transactions[[#This Row],[L1N]],Transactions[[#This Row],[Transaction name]],IF(Transactions[[#This Row],[Level 5]]=Transactions[[#This Row],[L2N]],Transactions[[#This Row],[L1N]],IF(Transactions[[#This Row],[Level 5]]=Transactions[[#This Row],[L3N]],Transactions[[#This Row],[L2N]],IF(Transactions[[#This Row],[Level 5]]=Transactions[[#This Row],[L4N]],Transactions[[#This Row],[L3N]],IF(Transactions[[#This Row],[Level 5]]=Transactions[[#This Row],[L5N]],Transactions[[#This Row],[L4N]],IF(Transactions[[#This Row],[Level 5]]=Transactions[[#This Row],[L6N]],Transactions[[#This Row],[L5N]],IF(Transactions[[#This Row],[Level 5]]=Transactions[[#This Row],[L7N]],Transactions[[#This Row],[L6N]],Transactions[[#This Row],[L7N]]))))))))</f>
        <v>Heat plants - Autoproducer - industrial solid waste</v>
      </c>
      <c r="AY486" s="24" t="str">
        <f>IF(Transactions[[#This Row],[Level 6]]=Transactions[[#This Row],[Transaction name]],Transactions[[#This Row],[Transaction name]],IF(Transactions[[#This Row],[Level 6]]=Transactions[[#This Row],[L1N]],Transactions[[#This Row],[Transaction name]],IF(Transactions[[#This Row],[Level 6]]=Transactions[[#This Row],[L2N]],Transactions[[#This Row],[L1N]],IF(Transactions[[#This Row],[Level 6]]=Transactions[[#This Row],[L3N]],Transactions[[#This Row],[L2N]],IF(Transactions[[#This Row],[Level 6]]=Transactions[[#This Row],[L4N]],Transactions[[#This Row],[L3N]],IF(Transactions[[#This Row],[Level 6]]=Transactions[[#This Row],[L5N]],Transactions[[#This Row],[L4N]],IF(Transactions[[#This Row],[Level 6]]=Transactions[[#This Row],[L6N]],Transactions[[#This Row],[L5N]],IF(Transactions[[#This Row],[Level 6]]=Transactions[[#This Row],[L7N]],Transactions[[#This Row],[L6N]],Transactions[[#This Row],[L7N]]))))))))</f>
        <v>Heat plants - Autoproducer - industrial solid waste</v>
      </c>
    </row>
    <row r="487" spans="25:51" x14ac:dyDescent="0.45">
      <c r="Y487" s="19" t="s">
        <v>1568</v>
      </c>
      <c r="Z487" s="18" t="s">
        <v>1373</v>
      </c>
      <c r="AA487" s="18" t="s">
        <v>1373</v>
      </c>
      <c r="AB487" s="19" t="s">
        <v>1574</v>
      </c>
      <c r="AC487" s="26" t="str">
        <f>IFERROR(VLOOKUP(Transactions[[#This Row],[Parent code]],Transactions[[Transaction code]:[Transaction name]],2,0),"")</f>
        <v>Heat plants</v>
      </c>
      <c r="AD487" s="18" t="s">
        <v>189</v>
      </c>
      <c r="AE487" s="18" t="s">
        <v>924</v>
      </c>
      <c r="AF487" s="18" t="s">
        <v>642</v>
      </c>
      <c r="AG487" s="18" t="s">
        <v>1</v>
      </c>
      <c r="AH487" s="18" t="s">
        <v>696</v>
      </c>
      <c r="AI487" s="18" t="s">
        <v>1416</v>
      </c>
      <c r="AJ487" s="18"/>
      <c r="AK487" s="26" t="str" cm="1">
        <f t="array" ref="AK487">IFERROR(INDEX(Transactions[[Transaction code]:[Transaction name]],_xlfn.XMATCH(Transactions[[#This Row],[Parent code]],Transactions[Transaction name],0),3),Transactions[[#This Row],[Transaction name]])</f>
        <v>Heat plants - industrial solid waste</v>
      </c>
      <c r="AL487" s="26" t="str" cm="1">
        <f t="array" ref="AL487">IFERROR(INDEX(Transactions[[Transaction code]:[Transaction name]],_xlfn.XMATCH(INDEX(Transactions[[Transaction name]:[Parent code]],_xlfn.XMATCH(Transactions[[#This Row],[L1N]],Transactions[Transaction name],0),3),Transactions[Transaction code],0),2),Transactions[[#This Row],[L1N]])</f>
        <v>Heat plants</v>
      </c>
      <c r="AM487" s="26" t="str" cm="1">
        <f t="array" ref="AM487">IFERROR(INDEX(Transactions[[Transaction code]:[Transaction name]],_xlfn.XMATCH(INDEX(Transactions[[Transaction name]:[Parent code]],_xlfn.XMATCH(Transactions[[#This Row],[L2N]],Transactions[Transaction name],0),3),Transactions[Transaction code],0),2),Transactions[[#This Row],[L2N]])</f>
        <v>Electricity, CHP and heat plants (T)</v>
      </c>
      <c r="AN487" s="26" t="str" cm="1">
        <f t="array" ref="AN487">IFERROR(INDEX(Transactions[[Transaction code]:[Transaction name]],_xlfn.XMATCH(INDEX(Transactions[[Transaction name]:[Parent code]],_xlfn.XMATCH(Transactions[[#This Row],[L3N]],Transactions[Transaction name],0),3),Transactions[Transaction code],0),2),Transactions[[#This Row],[L3N]])</f>
        <v>Transformation</v>
      </c>
      <c r="AO487" s="26" t="str" cm="1">
        <f t="array" ref="AO487">IFERROR(INDEX(Transactions[[Transaction code]:[Transaction name]],_xlfn.XMATCH(INDEX(Transactions[[Transaction name]:[Parent code]],_xlfn.XMATCH(Transactions[[#This Row],[L4N]],Transactions[Transaction name],0),3),Transactions[Transaction code],0),2),Transactions[[#This Row],[L4N]])</f>
        <v>Transformation</v>
      </c>
      <c r="AP487" s="26" t="str" cm="1">
        <f t="array" ref="AP487">IFERROR(INDEX(Transactions[[Transaction code]:[Transaction name]],_xlfn.XMATCH(INDEX(Transactions[[Transaction name]:[Parent code]],_xlfn.XMATCH(Transactions[[#This Row],[L5N]],Transactions[Transaction name],0),3),Transactions[Transaction code],0),2),Transactions[[#This Row],[L5N]])</f>
        <v>Transformation</v>
      </c>
      <c r="AQ487" s="26" t="str" cm="1">
        <f t="array" ref="AQ487">IFERROR(INDEX(Transactions[[Transaction code]:[Transaction name]],_xlfn.XMATCH(INDEX(Transactions[[Transaction name]:[Parent code]],_xlfn.XMATCH(Transactions[[#This Row],[L6N]],Transactions[Transaction name],0),3),Transactions[Transaction code],0),2),Transactions[[#This Row],[L6N]])</f>
        <v>Transformation</v>
      </c>
      <c r="AR487" s="29" t="str">
        <f>IF(Transactions[[#This Row],[L7N]]=Transactions[[#This Row],[L6N]],Transactions[[#This Row],[L7N]],IF(Transactions[[#This Row],[L6N]]=Transactions[[#This Row],[L5N]],Transactions[[#This Row],[L6N]],IF(Transactions[[#This Row],[L5N]]=Transactions[[#This Row],[L4N]],Transactions[[#This Row],[L5N]],IF(Transactions[[#This Row],[L4N]]=Transactions[[#This Row],[L3N]],Transactions[[#This Row],[L4N]],IF(Transactions[[#This Row],[L3N]]=Transactions[[#This Row],[L2N]],Transactions[[#This Row],[L3N]],IF(Transactions[[#This Row],[L2N]]=Transactions[[#This Row],[L1N]],Transactions[[#This Row],[L2N]],IF(Transactions[[#This Row],[L1N]]=Transactions[[#This Row],[Transaction name]],Transactions[[#This Row],[L1N]],Transactions[[#This Row],[Transaction name]])))))))</f>
        <v>Transformation</v>
      </c>
      <c r="AS487" s="26" t="str">
        <f>IF(Transactions[[#This Row],[Level 0]]=Transactions[[#This Row],[Transaction name]],Transactions[[#This Row],[Transaction name]],IF(Transactions[[#This Row],[Level 0]]=Transactions[[#This Row],[L1N]],Transactions[[#This Row],[Transaction name]],IF(Transactions[[#This Row],[Level 0]]=Transactions[[#This Row],[L2N]],Transactions[[#This Row],[L1N]],IF(Transactions[[#This Row],[Level 0]]=Transactions[[#This Row],[L3N]],Transactions[[#This Row],[L2N]],IF(Transactions[[#This Row],[Level 0]]=Transactions[[#This Row],[L4N]],Transactions[[#This Row],[L3N]],IF(Transactions[[#This Row],[Level 0]]=Transactions[[#This Row],[L5N]],Transactions[[#This Row],[L4N]],IF(Transactions[[#This Row],[Level 0]]=Transactions[[#This Row],[L6N]],Transactions[[#This Row],[L5N]],IF(Transactions[[#This Row],[Level 0]]=Transactions[[#This Row],[L7N]],Transactions[[#This Row],[L6N]],Transactions[[#This Row],[L7N]]))))))))</f>
        <v>Electricity, CHP and heat plants (T)</v>
      </c>
      <c r="AT487" s="26" t="str">
        <f>IF(Transactions[[#This Row],[Level 1]]=Transactions[[#This Row],[Transaction name]],Transactions[[#This Row],[Transaction name]],IF(Transactions[[#This Row],[Level 1]]=Transactions[[#This Row],[L1N]],Transactions[[#This Row],[Transaction name]],IF(Transactions[[#This Row],[Level 1]]=Transactions[[#This Row],[L2N]],Transactions[[#This Row],[L1N]],IF(Transactions[[#This Row],[Level 1]]=Transactions[[#This Row],[L3N]],Transactions[[#This Row],[L2N]],IF(Transactions[[#This Row],[Level 1]]=Transactions[[#This Row],[L4N]],Transactions[[#This Row],[L3N]],IF(Transactions[[#This Row],[Level 1]]=Transactions[[#This Row],[L5N]],Transactions[[#This Row],[L4N]],IF(Transactions[[#This Row],[Level 1]]=Transactions[[#This Row],[L6N]],Transactions[[#This Row],[L5N]],IF(Transactions[[#This Row],[Level 1]]=Transactions[[#This Row],[L7N]],Transactions[[#This Row],[L6N]],Transactions[[#This Row],[L7N]]))))))))</f>
        <v>Heat plants</v>
      </c>
      <c r="AU487" s="26" t="str">
        <f>IF(Transactions[[#This Row],[Level 2]]=Transactions[[#This Row],[Transaction name]],Transactions[[#This Row],[Transaction name]],IF(Transactions[[#This Row],[Level 2]]=Transactions[[#This Row],[L1N]],Transactions[[#This Row],[Transaction name]],IF(Transactions[[#This Row],[Level 2]]=Transactions[[#This Row],[L2N]],Transactions[[#This Row],[L1N]],IF(Transactions[[#This Row],[Level 2]]=Transactions[[#This Row],[L3N]],Transactions[[#This Row],[L2N]],IF(Transactions[[#This Row],[Level 2]]=Transactions[[#This Row],[L4N]],Transactions[[#This Row],[L3N]],IF(Transactions[[#This Row],[Level 2]]=Transactions[[#This Row],[L5N]],Transactions[[#This Row],[L4N]],IF(Transactions[[#This Row],[Level 2]]=Transactions[[#This Row],[L6N]],Transactions[[#This Row],[L5N]],IF(Transactions[[#This Row],[Level 2]]=Transactions[[#This Row],[L7N]],Transactions[[#This Row],[L6N]],Transactions[[#This Row],[L7N]]))))))))</f>
        <v>Heat plants - industrial solid waste</v>
      </c>
      <c r="AV487" s="26" t="str">
        <f>IF(Transactions[[#This Row],[Level 3]]=Transactions[[#This Row],[Transaction name]],Transactions[[#This Row],[Transaction name]],IF(Transactions[[#This Row],[Level 3]]=Transactions[[#This Row],[L1N]],Transactions[[#This Row],[Transaction name]],IF(Transactions[[#This Row],[Level 3]]=Transactions[[#This Row],[L2N]],Transactions[[#This Row],[L1N]],IF(Transactions[[#This Row],[Level 3]]=Transactions[[#This Row],[L3N]],Transactions[[#This Row],[L2N]],IF(Transactions[[#This Row],[Level 3]]=Transactions[[#This Row],[L4N]],Transactions[[#This Row],[L3N]],IF(Transactions[[#This Row],[Level 3]]=Transactions[[#This Row],[L5N]],Transactions[[#This Row],[L4N]],IF(Transactions[[#This Row],[Level 3]]=Transactions[[#This Row],[L6N]],Transactions[[#This Row],[L5N]],IF(Transactions[[#This Row],[Level 3]]=Transactions[[#This Row],[L7N]],Transactions[[#This Row],[L6N]],Transactions[[#This Row],[L7N]]))))))))</f>
        <v>Heat plants - industrial solid waste</v>
      </c>
      <c r="AW487" s="26" t="str">
        <f>IF(Transactions[[#This Row],[Level 4]]=Transactions[[#This Row],[Transaction name]],Transactions[[#This Row],[Transaction name]],IF(Transactions[[#This Row],[Level 4]]=Transactions[[#This Row],[L1N]],Transactions[[#This Row],[Transaction name]],IF(Transactions[[#This Row],[Level 4]]=Transactions[[#This Row],[L2N]],Transactions[[#This Row],[L1N]],IF(Transactions[[#This Row],[Level 4]]=Transactions[[#This Row],[L3N]],Transactions[[#This Row],[L2N]],IF(Transactions[[#This Row],[Level 4]]=Transactions[[#This Row],[L4N]],Transactions[[#This Row],[L3N]],IF(Transactions[[#This Row],[Level 4]]=Transactions[[#This Row],[L5N]],Transactions[[#This Row],[L4N]],IF(Transactions[[#This Row],[Level 4]]=Transactions[[#This Row],[L6N]],Transactions[[#This Row],[L5N]],IF(Transactions[[#This Row],[Level 4]]=Transactions[[#This Row],[L7N]],Transactions[[#This Row],[L6N]],Transactions[[#This Row],[L7N]]))))))))</f>
        <v>Heat plants - industrial solid waste</v>
      </c>
      <c r="AX487" s="26" t="str">
        <f>IF(Transactions[[#This Row],[Level 5]]=Transactions[[#This Row],[Transaction name]],Transactions[[#This Row],[Transaction name]],IF(Transactions[[#This Row],[Level 5]]=Transactions[[#This Row],[L1N]],Transactions[[#This Row],[Transaction name]],IF(Transactions[[#This Row],[Level 5]]=Transactions[[#This Row],[L2N]],Transactions[[#This Row],[L1N]],IF(Transactions[[#This Row],[Level 5]]=Transactions[[#This Row],[L3N]],Transactions[[#This Row],[L2N]],IF(Transactions[[#This Row],[Level 5]]=Transactions[[#This Row],[L4N]],Transactions[[#This Row],[L3N]],IF(Transactions[[#This Row],[Level 5]]=Transactions[[#This Row],[L5N]],Transactions[[#This Row],[L4N]],IF(Transactions[[#This Row],[Level 5]]=Transactions[[#This Row],[L6N]],Transactions[[#This Row],[L5N]],IF(Transactions[[#This Row],[Level 5]]=Transactions[[#This Row],[L7N]],Transactions[[#This Row],[L6N]],Transactions[[#This Row],[L7N]]))))))))</f>
        <v>Heat plants - industrial solid waste</v>
      </c>
      <c r="AY487" s="26" t="str">
        <f>IF(Transactions[[#This Row],[Level 6]]=Transactions[[#This Row],[Transaction name]],Transactions[[#This Row],[Transaction name]],IF(Transactions[[#This Row],[Level 6]]=Transactions[[#This Row],[L1N]],Transactions[[#This Row],[Transaction name]],IF(Transactions[[#This Row],[Level 6]]=Transactions[[#This Row],[L2N]],Transactions[[#This Row],[L1N]],IF(Transactions[[#This Row],[Level 6]]=Transactions[[#This Row],[L3N]],Transactions[[#This Row],[L2N]],IF(Transactions[[#This Row],[Level 6]]=Transactions[[#This Row],[L4N]],Transactions[[#This Row],[L3N]],IF(Transactions[[#This Row],[Level 6]]=Transactions[[#This Row],[L5N]],Transactions[[#This Row],[L4N]],IF(Transactions[[#This Row],[Level 6]]=Transactions[[#This Row],[L6N]],Transactions[[#This Row],[L5N]],IF(Transactions[[#This Row],[Level 6]]=Transactions[[#This Row],[L7N]],Transactions[[#This Row],[L6N]],Transactions[[#This Row],[L7N]]))))))))</f>
        <v>Heat plants - industrial solid waste</v>
      </c>
    </row>
    <row r="488" spans="25:51" x14ac:dyDescent="0.45">
      <c r="Y488" s="5" t="s">
        <v>1164</v>
      </c>
      <c r="Z488" s="7" t="s">
        <v>1156</v>
      </c>
      <c r="AA488" s="4" t="s">
        <v>1373</v>
      </c>
      <c r="AB488" s="19" t="s">
        <v>1568</v>
      </c>
      <c r="AC488" s="24" t="str">
        <f>IFERROR(VLOOKUP(Transactions[[#This Row],[Parent code]],Transactions[[Transaction code]:[Transaction name]],2,0),"")</f>
        <v>Heat plants - industrial solid waste</v>
      </c>
      <c r="AD488" s="4" t="s">
        <v>189</v>
      </c>
      <c r="AE488" s="4" t="s">
        <v>924</v>
      </c>
      <c r="AF488" s="4" t="s">
        <v>642</v>
      </c>
      <c r="AG488" s="4" t="s">
        <v>1</v>
      </c>
      <c r="AH488" s="4" t="s">
        <v>696</v>
      </c>
      <c r="AI488" s="12" t="s">
        <v>1416</v>
      </c>
      <c r="AK488" s="24" t="str" cm="1">
        <f t="array" ref="AK488">IFERROR(INDEX(Transactions[[Transaction code]:[Transaction name]],_xlfn.XMATCH(Transactions[[#This Row],[Parent code]],Transactions[Transaction name],0),3),Transactions[[#This Row],[Transaction name]])</f>
        <v>Heat plants - Main activity - industrial solid waste</v>
      </c>
      <c r="AL488" s="24" t="str" cm="1">
        <f t="array" ref="AL488">IFERROR(INDEX(Transactions[[Transaction code]:[Transaction name]],_xlfn.XMATCH(INDEX(Transactions[[Transaction name]:[Parent code]],_xlfn.XMATCH(Transactions[[#This Row],[L1N]],Transactions[Transaction name],0),3),Transactions[Transaction code],0),2),Transactions[[#This Row],[L1N]])</f>
        <v>Heat plants - industrial solid waste</v>
      </c>
      <c r="AM488" s="24" t="str" cm="1">
        <f t="array" ref="AM488">IFERROR(INDEX(Transactions[[Transaction code]:[Transaction name]],_xlfn.XMATCH(INDEX(Transactions[[Transaction name]:[Parent code]],_xlfn.XMATCH(Transactions[[#This Row],[L2N]],Transactions[Transaction name],0),3),Transactions[Transaction code],0),2),Transactions[[#This Row],[L2N]])</f>
        <v>Heat plants</v>
      </c>
      <c r="AN488" s="24" t="str" cm="1">
        <f t="array" ref="AN488">IFERROR(INDEX(Transactions[[Transaction code]:[Transaction name]],_xlfn.XMATCH(INDEX(Transactions[[Transaction name]:[Parent code]],_xlfn.XMATCH(Transactions[[#This Row],[L3N]],Transactions[Transaction name],0),3),Transactions[Transaction code],0),2),Transactions[[#This Row],[L3N]])</f>
        <v>Electricity, CHP and heat plants (T)</v>
      </c>
      <c r="AO488" s="24" t="str" cm="1">
        <f t="array" ref="AO488">IFERROR(INDEX(Transactions[[Transaction code]:[Transaction name]],_xlfn.XMATCH(INDEX(Transactions[[Transaction name]:[Parent code]],_xlfn.XMATCH(Transactions[[#This Row],[L4N]],Transactions[Transaction name],0),3),Transactions[Transaction code],0),2),Transactions[[#This Row],[L4N]])</f>
        <v>Transformation</v>
      </c>
      <c r="AP488" s="24" t="str" cm="1">
        <f t="array" ref="AP488">IFERROR(INDEX(Transactions[[Transaction code]:[Transaction name]],_xlfn.XMATCH(INDEX(Transactions[[Transaction name]:[Parent code]],_xlfn.XMATCH(Transactions[[#This Row],[L5N]],Transactions[Transaction name],0),3),Transactions[Transaction code],0),2),Transactions[[#This Row],[L5N]])</f>
        <v>Transformation</v>
      </c>
      <c r="AQ488" s="24" t="str" cm="1">
        <f t="array" ref="AQ488">IFERROR(INDEX(Transactions[[Transaction code]:[Transaction name]],_xlfn.XMATCH(INDEX(Transactions[[Transaction name]:[Parent code]],_xlfn.XMATCH(Transactions[[#This Row],[L6N]],Transactions[Transaction name],0),3),Transactions[Transaction code],0),2),Transactions[[#This Row],[L6N]])</f>
        <v>Transformation</v>
      </c>
      <c r="AR488" s="28" t="str">
        <f>IF(Transactions[[#This Row],[L7N]]=Transactions[[#This Row],[L6N]],Transactions[[#This Row],[L7N]],IF(Transactions[[#This Row],[L6N]]=Transactions[[#This Row],[L5N]],Transactions[[#This Row],[L6N]],IF(Transactions[[#This Row],[L5N]]=Transactions[[#This Row],[L4N]],Transactions[[#This Row],[L5N]],IF(Transactions[[#This Row],[L4N]]=Transactions[[#This Row],[L3N]],Transactions[[#This Row],[L4N]],IF(Transactions[[#This Row],[L3N]]=Transactions[[#This Row],[L2N]],Transactions[[#This Row],[L3N]],IF(Transactions[[#This Row],[L2N]]=Transactions[[#This Row],[L1N]],Transactions[[#This Row],[L2N]],IF(Transactions[[#This Row],[L1N]]=Transactions[[#This Row],[Transaction name]],Transactions[[#This Row],[L1N]],Transactions[[#This Row],[Transaction name]])))))))</f>
        <v>Transformation</v>
      </c>
      <c r="AS488" s="24" t="str">
        <f>IF(Transactions[[#This Row],[Level 0]]=Transactions[[#This Row],[Transaction name]],Transactions[[#This Row],[Transaction name]],IF(Transactions[[#This Row],[Level 0]]=Transactions[[#This Row],[L1N]],Transactions[[#This Row],[Transaction name]],IF(Transactions[[#This Row],[Level 0]]=Transactions[[#This Row],[L2N]],Transactions[[#This Row],[L1N]],IF(Transactions[[#This Row],[Level 0]]=Transactions[[#This Row],[L3N]],Transactions[[#This Row],[L2N]],IF(Transactions[[#This Row],[Level 0]]=Transactions[[#This Row],[L4N]],Transactions[[#This Row],[L3N]],IF(Transactions[[#This Row],[Level 0]]=Transactions[[#This Row],[L5N]],Transactions[[#This Row],[L4N]],IF(Transactions[[#This Row],[Level 0]]=Transactions[[#This Row],[L6N]],Transactions[[#This Row],[L5N]],IF(Transactions[[#This Row],[Level 0]]=Transactions[[#This Row],[L7N]],Transactions[[#This Row],[L6N]],Transactions[[#This Row],[L7N]]))))))))</f>
        <v>Electricity, CHP and heat plants (T)</v>
      </c>
      <c r="AT488" s="24" t="str">
        <f>IF(Transactions[[#This Row],[Level 1]]=Transactions[[#This Row],[Transaction name]],Transactions[[#This Row],[Transaction name]],IF(Transactions[[#This Row],[Level 1]]=Transactions[[#This Row],[L1N]],Transactions[[#This Row],[Transaction name]],IF(Transactions[[#This Row],[Level 1]]=Transactions[[#This Row],[L2N]],Transactions[[#This Row],[L1N]],IF(Transactions[[#This Row],[Level 1]]=Transactions[[#This Row],[L3N]],Transactions[[#This Row],[L2N]],IF(Transactions[[#This Row],[Level 1]]=Transactions[[#This Row],[L4N]],Transactions[[#This Row],[L3N]],IF(Transactions[[#This Row],[Level 1]]=Transactions[[#This Row],[L5N]],Transactions[[#This Row],[L4N]],IF(Transactions[[#This Row],[Level 1]]=Transactions[[#This Row],[L6N]],Transactions[[#This Row],[L5N]],IF(Transactions[[#This Row],[Level 1]]=Transactions[[#This Row],[L7N]],Transactions[[#This Row],[L6N]],Transactions[[#This Row],[L7N]]))))))))</f>
        <v>Heat plants</v>
      </c>
      <c r="AU488" s="24" t="str">
        <f>IF(Transactions[[#This Row],[Level 2]]=Transactions[[#This Row],[Transaction name]],Transactions[[#This Row],[Transaction name]],IF(Transactions[[#This Row],[Level 2]]=Transactions[[#This Row],[L1N]],Transactions[[#This Row],[Transaction name]],IF(Transactions[[#This Row],[Level 2]]=Transactions[[#This Row],[L2N]],Transactions[[#This Row],[L1N]],IF(Transactions[[#This Row],[Level 2]]=Transactions[[#This Row],[L3N]],Transactions[[#This Row],[L2N]],IF(Transactions[[#This Row],[Level 2]]=Transactions[[#This Row],[L4N]],Transactions[[#This Row],[L3N]],IF(Transactions[[#This Row],[Level 2]]=Transactions[[#This Row],[L5N]],Transactions[[#This Row],[L4N]],IF(Transactions[[#This Row],[Level 2]]=Transactions[[#This Row],[L6N]],Transactions[[#This Row],[L5N]],IF(Transactions[[#This Row],[Level 2]]=Transactions[[#This Row],[L7N]],Transactions[[#This Row],[L6N]],Transactions[[#This Row],[L7N]]))))))))</f>
        <v>Heat plants - industrial solid waste</v>
      </c>
      <c r="AV488" s="24" t="str">
        <f>IF(Transactions[[#This Row],[Level 3]]=Transactions[[#This Row],[Transaction name]],Transactions[[#This Row],[Transaction name]],IF(Transactions[[#This Row],[Level 3]]=Transactions[[#This Row],[L1N]],Transactions[[#This Row],[Transaction name]],IF(Transactions[[#This Row],[Level 3]]=Transactions[[#This Row],[L2N]],Transactions[[#This Row],[L1N]],IF(Transactions[[#This Row],[Level 3]]=Transactions[[#This Row],[L3N]],Transactions[[#This Row],[L2N]],IF(Transactions[[#This Row],[Level 3]]=Transactions[[#This Row],[L4N]],Transactions[[#This Row],[L3N]],IF(Transactions[[#This Row],[Level 3]]=Transactions[[#This Row],[L5N]],Transactions[[#This Row],[L4N]],IF(Transactions[[#This Row],[Level 3]]=Transactions[[#This Row],[L6N]],Transactions[[#This Row],[L5N]],IF(Transactions[[#This Row],[Level 3]]=Transactions[[#This Row],[L7N]],Transactions[[#This Row],[L6N]],Transactions[[#This Row],[L7N]]))))))))</f>
        <v>Heat plants - Main activity - industrial solid waste</v>
      </c>
      <c r="AW488" s="24" t="str">
        <f>IF(Transactions[[#This Row],[Level 4]]=Transactions[[#This Row],[Transaction name]],Transactions[[#This Row],[Transaction name]],IF(Transactions[[#This Row],[Level 4]]=Transactions[[#This Row],[L1N]],Transactions[[#This Row],[Transaction name]],IF(Transactions[[#This Row],[Level 4]]=Transactions[[#This Row],[L2N]],Transactions[[#This Row],[L1N]],IF(Transactions[[#This Row],[Level 4]]=Transactions[[#This Row],[L3N]],Transactions[[#This Row],[L2N]],IF(Transactions[[#This Row],[Level 4]]=Transactions[[#This Row],[L4N]],Transactions[[#This Row],[L3N]],IF(Transactions[[#This Row],[Level 4]]=Transactions[[#This Row],[L5N]],Transactions[[#This Row],[L4N]],IF(Transactions[[#This Row],[Level 4]]=Transactions[[#This Row],[L6N]],Transactions[[#This Row],[L5N]],IF(Transactions[[#This Row],[Level 4]]=Transactions[[#This Row],[L7N]],Transactions[[#This Row],[L6N]],Transactions[[#This Row],[L7N]]))))))))</f>
        <v>Heat plants - Main activity - industrial solid waste</v>
      </c>
      <c r="AX488" s="24" t="str">
        <f>IF(Transactions[[#This Row],[Level 5]]=Transactions[[#This Row],[Transaction name]],Transactions[[#This Row],[Transaction name]],IF(Transactions[[#This Row],[Level 5]]=Transactions[[#This Row],[L1N]],Transactions[[#This Row],[Transaction name]],IF(Transactions[[#This Row],[Level 5]]=Transactions[[#This Row],[L2N]],Transactions[[#This Row],[L1N]],IF(Transactions[[#This Row],[Level 5]]=Transactions[[#This Row],[L3N]],Transactions[[#This Row],[L2N]],IF(Transactions[[#This Row],[Level 5]]=Transactions[[#This Row],[L4N]],Transactions[[#This Row],[L3N]],IF(Transactions[[#This Row],[Level 5]]=Transactions[[#This Row],[L5N]],Transactions[[#This Row],[L4N]],IF(Transactions[[#This Row],[Level 5]]=Transactions[[#This Row],[L6N]],Transactions[[#This Row],[L5N]],IF(Transactions[[#This Row],[Level 5]]=Transactions[[#This Row],[L7N]],Transactions[[#This Row],[L6N]],Transactions[[#This Row],[L7N]]))))))))</f>
        <v>Heat plants - Main activity - industrial solid waste</v>
      </c>
      <c r="AY488" s="24" t="str">
        <f>IF(Transactions[[#This Row],[Level 6]]=Transactions[[#This Row],[Transaction name]],Transactions[[#This Row],[Transaction name]],IF(Transactions[[#This Row],[Level 6]]=Transactions[[#This Row],[L1N]],Transactions[[#This Row],[Transaction name]],IF(Transactions[[#This Row],[Level 6]]=Transactions[[#This Row],[L2N]],Transactions[[#This Row],[L1N]],IF(Transactions[[#This Row],[Level 6]]=Transactions[[#This Row],[L3N]],Transactions[[#This Row],[L2N]],IF(Transactions[[#This Row],[Level 6]]=Transactions[[#This Row],[L4N]],Transactions[[#This Row],[L3N]],IF(Transactions[[#This Row],[Level 6]]=Transactions[[#This Row],[L5N]],Transactions[[#This Row],[L4N]],IF(Transactions[[#This Row],[Level 6]]=Transactions[[#This Row],[L6N]],Transactions[[#This Row],[L5N]],IF(Transactions[[#This Row],[Level 6]]=Transactions[[#This Row],[L7N]],Transactions[[#This Row],[L6N]],Transactions[[#This Row],[L7N]]))))))))</f>
        <v>Heat plants - Main activity - industrial solid waste</v>
      </c>
    </row>
    <row r="489" spans="25:51" x14ac:dyDescent="0.45">
      <c r="Y489" s="5" t="s">
        <v>1104</v>
      </c>
      <c r="Z489" s="7" t="s">
        <v>1080</v>
      </c>
      <c r="AA489" s="4" t="s">
        <v>1357</v>
      </c>
      <c r="AB489" s="19" t="s">
        <v>1555</v>
      </c>
      <c r="AC489" s="24" t="str">
        <f>IFERROR(VLOOKUP(Transactions[[#This Row],[Parent code]],Transactions[[Transaction code]:[Transaction name]],2,0),"")</f>
        <v>Heat plants - liquid biofuels</v>
      </c>
      <c r="AD489" s="4" t="s">
        <v>189</v>
      </c>
      <c r="AE489" s="4" t="s">
        <v>924</v>
      </c>
      <c r="AF489" s="4" t="s">
        <v>642</v>
      </c>
      <c r="AG489" s="4" t="s">
        <v>1</v>
      </c>
      <c r="AH489" s="4" t="s">
        <v>696</v>
      </c>
      <c r="AI489" s="12" t="s">
        <v>1416</v>
      </c>
      <c r="AK489" s="24" t="str" cm="1">
        <f t="array" ref="AK489">IFERROR(INDEX(Transactions[[Transaction code]:[Transaction name]],_xlfn.XMATCH(Transactions[[#This Row],[Parent code]],Transactions[Transaction name],0),3),Transactions[[#This Row],[Transaction name]])</f>
        <v>Heat plants - Autoproducer - liquid biofuels</v>
      </c>
      <c r="AL489" s="24" t="str" cm="1">
        <f t="array" ref="AL489">IFERROR(INDEX(Transactions[[Transaction code]:[Transaction name]],_xlfn.XMATCH(INDEX(Transactions[[Transaction name]:[Parent code]],_xlfn.XMATCH(Transactions[[#This Row],[L1N]],Transactions[Transaction name],0),3),Transactions[Transaction code],0),2),Transactions[[#This Row],[L1N]])</f>
        <v>Heat plants - liquid biofuels</v>
      </c>
      <c r="AM489" s="24" t="str" cm="1">
        <f t="array" ref="AM489">IFERROR(INDEX(Transactions[[Transaction code]:[Transaction name]],_xlfn.XMATCH(INDEX(Transactions[[Transaction name]:[Parent code]],_xlfn.XMATCH(Transactions[[#This Row],[L2N]],Transactions[Transaction name],0),3),Transactions[Transaction code],0),2),Transactions[[#This Row],[L2N]])</f>
        <v>Heat plants</v>
      </c>
      <c r="AN489" s="24" t="str" cm="1">
        <f t="array" ref="AN489">IFERROR(INDEX(Transactions[[Transaction code]:[Transaction name]],_xlfn.XMATCH(INDEX(Transactions[[Transaction name]:[Parent code]],_xlfn.XMATCH(Transactions[[#This Row],[L3N]],Transactions[Transaction name],0),3),Transactions[Transaction code],0),2),Transactions[[#This Row],[L3N]])</f>
        <v>Electricity, CHP and heat plants (T)</v>
      </c>
      <c r="AO489" s="24" t="str" cm="1">
        <f t="array" ref="AO489">IFERROR(INDEX(Transactions[[Transaction code]:[Transaction name]],_xlfn.XMATCH(INDEX(Transactions[[Transaction name]:[Parent code]],_xlfn.XMATCH(Transactions[[#This Row],[L4N]],Transactions[Transaction name],0),3),Transactions[Transaction code],0),2),Transactions[[#This Row],[L4N]])</f>
        <v>Transformation</v>
      </c>
      <c r="AP489" s="24" t="str" cm="1">
        <f t="array" ref="AP489">IFERROR(INDEX(Transactions[[Transaction code]:[Transaction name]],_xlfn.XMATCH(INDEX(Transactions[[Transaction name]:[Parent code]],_xlfn.XMATCH(Transactions[[#This Row],[L5N]],Transactions[Transaction name],0),3),Transactions[Transaction code],0),2),Transactions[[#This Row],[L5N]])</f>
        <v>Transformation</v>
      </c>
      <c r="AQ489" s="24" t="str" cm="1">
        <f t="array" ref="AQ489">IFERROR(INDEX(Transactions[[Transaction code]:[Transaction name]],_xlfn.XMATCH(INDEX(Transactions[[Transaction name]:[Parent code]],_xlfn.XMATCH(Transactions[[#This Row],[L6N]],Transactions[Transaction name],0),3),Transactions[Transaction code],0),2),Transactions[[#This Row],[L6N]])</f>
        <v>Transformation</v>
      </c>
      <c r="AR489" s="28" t="str">
        <f>IF(Transactions[[#This Row],[L7N]]=Transactions[[#This Row],[L6N]],Transactions[[#This Row],[L7N]],IF(Transactions[[#This Row],[L6N]]=Transactions[[#This Row],[L5N]],Transactions[[#This Row],[L6N]],IF(Transactions[[#This Row],[L5N]]=Transactions[[#This Row],[L4N]],Transactions[[#This Row],[L5N]],IF(Transactions[[#This Row],[L4N]]=Transactions[[#This Row],[L3N]],Transactions[[#This Row],[L4N]],IF(Transactions[[#This Row],[L3N]]=Transactions[[#This Row],[L2N]],Transactions[[#This Row],[L3N]],IF(Transactions[[#This Row],[L2N]]=Transactions[[#This Row],[L1N]],Transactions[[#This Row],[L2N]],IF(Transactions[[#This Row],[L1N]]=Transactions[[#This Row],[Transaction name]],Transactions[[#This Row],[L1N]],Transactions[[#This Row],[Transaction name]])))))))</f>
        <v>Transformation</v>
      </c>
      <c r="AS489" s="24" t="str">
        <f>IF(Transactions[[#This Row],[Level 0]]=Transactions[[#This Row],[Transaction name]],Transactions[[#This Row],[Transaction name]],IF(Transactions[[#This Row],[Level 0]]=Transactions[[#This Row],[L1N]],Transactions[[#This Row],[Transaction name]],IF(Transactions[[#This Row],[Level 0]]=Transactions[[#This Row],[L2N]],Transactions[[#This Row],[L1N]],IF(Transactions[[#This Row],[Level 0]]=Transactions[[#This Row],[L3N]],Transactions[[#This Row],[L2N]],IF(Transactions[[#This Row],[Level 0]]=Transactions[[#This Row],[L4N]],Transactions[[#This Row],[L3N]],IF(Transactions[[#This Row],[Level 0]]=Transactions[[#This Row],[L5N]],Transactions[[#This Row],[L4N]],IF(Transactions[[#This Row],[Level 0]]=Transactions[[#This Row],[L6N]],Transactions[[#This Row],[L5N]],IF(Transactions[[#This Row],[Level 0]]=Transactions[[#This Row],[L7N]],Transactions[[#This Row],[L6N]],Transactions[[#This Row],[L7N]]))))))))</f>
        <v>Electricity, CHP and heat plants (T)</v>
      </c>
      <c r="AT489" s="24" t="str">
        <f>IF(Transactions[[#This Row],[Level 1]]=Transactions[[#This Row],[Transaction name]],Transactions[[#This Row],[Transaction name]],IF(Transactions[[#This Row],[Level 1]]=Transactions[[#This Row],[L1N]],Transactions[[#This Row],[Transaction name]],IF(Transactions[[#This Row],[Level 1]]=Transactions[[#This Row],[L2N]],Transactions[[#This Row],[L1N]],IF(Transactions[[#This Row],[Level 1]]=Transactions[[#This Row],[L3N]],Transactions[[#This Row],[L2N]],IF(Transactions[[#This Row],[Level 1]]=Transactions[[#This Row],[L4N]],Transactions[[#This Row],[L3N]],IF(Transactions[[#This Row],[Level 1]]=Transactions[[#This Row],[L5N]],Transactions[[#This Row],[L4N]],IF(Transactions[[#This Row],[Level 1]]=Transactions[[#This Row],[L6N]],Transactions[[#This Row],[L5N]],IF(Transactions[[#This Row],[Level 1]]=Transactions[[#This Row],[L7N]],Transactions[[#This Row],[L6N]],Transactions[[#This Row],[L7N]]))))))))</f>
        <v>Heat plants</v>
      </c>
      <c r="AU489" s="24" t="str">
        <f>IF(Transactions[[#This Row],[Level 2]]=Transactions[[#This Row],[Transaction name]],Transactions[[#This Row],[Transaction name]],IF(Transactions[[#This Row],[Level 2]]=Transactions[[#This Row],[L1N]],Transactions[[#This Row],[Transaction name]],IF(Transactions[[#This Row],[Level 2]]=Transactions[[#This Row],[L2N]],Transactions[[#This Row],[L1N]],IF(Transactions[[#This Row],[Level 2]]=Transactions[[#This Row],[L3N]],Transactions[[#This Row],[L2N]],IF(Transactions[[#This Row],[Level 2]]=Transactions[[#This Row],[L4N]],Transactions[[#This Row],[L3N]],IF(Transactions[[#This Row],[Level 2]]=Transactions[[#This Row],[L5N]],Transactions[[#This Row],[L4N]],IF(Transactions[[#This Row],[Level 2]]=Transactions[[#This Row],[L6N]],Transactions[[#This Row],[L5N]],IF(Transactions[[#This Row],[Level 2]]=Transactions[[#This Row],[L7N]],Transactions[[#This Row],[L6N]],Transactions[[#This Row],[L7N]]))))))))</f>
        <v>Heat plants - liquid biofuels</v>
      </c>
      <c r="AV489" s="24" t="str">
        <f>IF(Transactions[[#This Row],[Level 3]]=Transactions[[#This Row],[Transaction name]],Transactions[[#This Row],[Transaction name]],IF(Transactions[[#This Row],[Level 3]]=Transactions[[#This Row],[L1N]],Transactions[[#This Row],[Transaction name]],IF(Transactions[[#This Row],[Level 3]]=Transactions[[#This Row],[L2N]],Transactions[[#This Row],[L1N]],IF(Transactions[[#This Row],[Level 3]]=Transactions[[#This Row],[L3N]],Transactions[[#This Row],[L2N]],IF(Transactions[[#This Row],[Level 3]]=Transactions[[#This Row],[L4N]],Transactions[[#This Row],[L3N]],IF(Transactions[[#This Row],[Level 3]]=Transactions[[#This Row],[L5N]],Transactions[[#This Row],[L4N]],IF(Transactions[[#This Row],[Level 3]]=Transactions[[#This Row],[L6N]],Transactions[[#This Row],[L5N]],IF(Transactions[[#This Row],[Level 3]]=Transactions[[#This Row],[L7N]],Transactions[[#This Row],[L6N]],Transactions[[#This Row],[L7N]]))))))))</f>
        <v>Heat plants - Autoproducer - liquid biofuels</v>
      </c>
      <c r="AW489" s="24" t="str">
        <f>IF(Transactions[[#This Row],[Level 4]]=Transactions[[#This Row],[Transaction name]],Transactions[[#This Row],[Transaction name]],IF(Transactions[[#This Row],[Level 4]]=Transactions[[#This Row],[L1N]],Transactions[[#This Row],[Transaction name]],IF(Transactions[[#This Row],[Level 4]]=Transactions[[#This Row],[L2N]],Transactions[[#This Row],[L1N]],IF(Transactions[[#This Row],[Level 4]]=Transactions[[#This Row],[L3N]],Transactions[[#This Row],[L2N]],IF(Transactions[[#This Row],[Level 4]]=Transactions[[#This Row],[L4N]],Transactions[[#This Row],[L3N]],IF(Transactions[[#This Row],[Level 4]]=Transactions[[#This Row],[L5N]],Transactions[[#This Row],[L4N]],IF(Transactions[[#This Row],[Level 4]]=Transactions[[#This Row],[L6N]],Transactions[[#This Row],[L5N]],IF(Transactions[[#This Row],[Level 4]]=Transactions[[#This Row],[L7N]],Transactions[[#This Row],[L6N]],Transactions[[#This Row],[L7N]]))))))))</f>
        <v>Heat plants - Autoproducer - liquid biofuels</v>
      </c>
      <c r="AX489" s="24" t="str">
        <f>IF(Transactions[[#This Row],[Level 5]]=Transactions[[#This Row],[Transaction name]],Transactions[[#This Row],[Transaction name]],IF(Transactions[[#This Row],[Level 5]]=Transactions[[#This Row],[L1N]],Transactions[[#This Row],[Transaction name]],IF(Transactions[[#This Row],[Level 5]]=Transactions[[#This Row],[L2N]],Transactions[[#This Row],[L1N]],IF(Transactions[[#This Row],[Level 5]]=Transactions[[#This Row],[L3N]],Transactions[[#This Row],[L2N]],IF(Transactions[[#This Row],[Level 5]]=Transactions[[#This Row],[L4N]],Transactions[[#This Row],[L3N]],IF(Transactions[[#This Row],[Level 5]]=Transactions[[#This Row],[L5N]],Transactions[[#This Row],[L4N]],IF(Transactions[[#This Row],[Level 5]]=Transactions[[#This Row],[L6N]],Transactions[[#This Row],[L5N]],IF(Transactions[[#This Row],[Level 5]]=Transactions[[#This Row],[L7N]],Transactions[[#This Row],[L6N]],Transactions[[#This Row],[L7N]]))))))))</f>
        <v>Heat plants - Autoproducer - liquid biofuels</v>
      </c>
      <c r="AY489" s="24" t="str">
        <f>IF(Transactions[[#This Row],[Level 6]]=Transactions[[#This Row],[Transaction name]],Transactions[[#This Row],[Transaction name]],IF(Transactions[[#This Row],[Level 6]]=Transactions[[#This Row],[L1N]],Transactions[[#This Row],[Transaction name]],IF(Transactions[[#This Row],[Level 6]]=Transactions[[#This Row],[L2N]],Transactions[[#This Row],[L1N]],IF(Transactions[[#This Row],[Level 6]]=Transactions[[#This Row],[L3N]],Transactions[[#This Row],[L2N]],IF(Transactions[[#This Row],[Level 6]]=Transactions[[#This Row],[L4N]],Transactions[[#This Row],[L3N]],IF(Transactions[[#This Row],[Level 6]]=Transactions[[#This Row],[L5N]],Transactions[[#This Row],[L4N]],IF(Transactions[[#This Row],[Level 6]]=Transactions[[#This Row],[L6N]],Transactions[[#This Row],[L5N]],IF(Transactions[[#This Row],[Level 6]]=Transactions[[#This Row],[L7N]],Transactions[[#This Row],[L6N]],Transactions[[#This Row],[L7N]]))))))))</f>
        <v>Heat plants - Autoproducer - liquid biofuels</v>
      </c>
    </row>
    <row r="490" spans="25:51" x14ac:dyDescent="0.45">
      <c r="Y490" s="19" t="s">
        <v>1555</v>
      </c>
      <c r="Z490" s="18" t="s">
        <v>1357</v>
      </c>
      <c r="AA490" s="18" t="s">
        <v>1357</v>
      </c>
      <c r="AB490" s="19" t="s">
        <v>1574</v>
      </c>
      <c r="AC490" s="26" t="str">
        <f>IFERROR(VLOOKUP(Transactions[[#This Row],[Parent code]],Transactions[[Transaction code]:[Transaction name]],2,0),"")</f>
        <v>Heat plants</v>
      </c>
      <c r="AD490" s="18" t="s">
        <v>189</v>
      </c>
      <c r="AE490" s="18" t="s">
        <v>924</v>
      </c>
      <c r="AF490" s="18" t="s">
        <v>642</v>
      </c>
      <c r="AG490" s="18" t="s">
        <v>1</v>
      </c>
      <c r="AH490" s="18" t="s">
        <v>696</v>
      </c>
      <c r="AI490" s="18" t="s">
        <v>1416</v>
      </c>
      <c r="AJ490" s="18"/>
      <c r="AK490" s="26" t="str" cm="1">
        <f t="array" ref="AK490">IFERROR(INDEX(Transactions[[Transaction code]:[Transaction name]],_xlfn.XMATCH(Transactions[[#This Row],[Parent code]],Transactions[Transaction name],0),3),Transactions[[#This Row],[Transaction name]])</f>
        <v>Heat plants - liquid biofuels</v>
      </c>
      <c r="AL490" s="26" t="str" cm="1">
        <f t="array" ref="AL490">IFERROR(INDEX(Transactions[[Transaction code]:[Transaction name]],_xlfn.XMATCH(INDEX(Transactions[[Transaction name]:[Parent code]],_xlfn.XMATCH(Transactions[[#This Row],[L1N]],Transactions[Transaction name],0),3),Transactions[Transaction code],0),2),Transactions[[#This Row],[L1N]])</f>
        <v>Heat plants</v>
      </c>
      <c r="AM490" s="26" t="str" cm="1">
        <f t="array" ref="AM490">IFERROR(INDEX(Transactions[[Transaction code]:[Transaction name]],_xlfn.XMATCH(INDEX(Transactions[[Transaction name]:[Parent code]],_xlfn.XMATCH(Transactions[[#This Row],[L2N]],Transactions[Transaction name],0),3),Transactions[Transaction code],0),2),Transactions[[#This Row],[L2N]])</f>
        <v>Electricity, CHP and heat plants (T)</v>
      </c>
      <c r="AN490" s="26" t="str" cm="1">
        <f t="array" ref="AN490">IFERROR(INDEX(Transactions[[Transaction code]:[Transaction name]],_xlfn.XMATCH(INDEX(Transactions[[Transaction name]:[Parent code]],_xlfn.XMATCH(Transactions[[#This Row],[L3N]],Transactions[Transaction name],0),3),Transactions[Transaction code],0),2),Transactions[[#This Row],[L3N]])</f>
        <v>Transformation</v>
      </c>
      <c r="AO490" s="26" t="str" cm="1">
        <f t="array" ref="AO490">IFERROR(INDEX(Transactions[[Transaction code]:[Transaction name]],_xlfn.XMATCH(INDEX(Transactions[[Transaction name]:[Parent code]],_xlfn.XMATCH(Transactions[[#This Row],[L4N]],Transactions[Transaction name],0),3),Transactions[Transaction code],0),2),Transactions[[#This Row],[L4N]])</f>
        <v>Transformation</v>
      </c>
      <c r="AP490" s="26" t="str" cm="1">
        <f t="array" ref="AP490">IFERROR(INDEX(Transactions[[Transaction code]:[Transaction name]],_xlfn.XMATCH(INDEX(Transactions[[Transaction name]:[Parent code]],_xlfn.XMATCH(Transactions[[#This Row],[L5N]],Transactions[Transaction name],0),3),Transactions[Transaction code],0),2),Transactions[[#This Row],[L5N]])</f>
        <v>Transformation</v>
      </c>
      <c r="AQ490" s="26" t="str" cm="1">
        <f t="array" ref="AQ490">IFERROR(INDEX(Transactions[[Transaction code]:[Transaction name]],_xlfn.XMATCH(INDEX(Transactions[[Transaction name]:[Parent code]],_xlfn.XMATCH(Transactions[[#This Row],[L6N]],Transactions[Transaction name],0),3),Transactions[Transaction code],0),2),Transactions[[#This Row],[L6N]])</f>
        <v>Transformation</v>
      </c>
      <c r="AR490" s="29" t="str">
        <f>IF(Transactions[[#This Row],[L7N]]=Transactions[[#This Row],[L6N]],Transactions[[#This Row],[L7N]],IF(Transactions[[#This Row],[L6N]]=Transactions[[#This Row],[L5N]],Transactions[[#This Row],[L6N]],IF(Transactions[[#This Row],[L5N]]=Transactions[[#This Row],[L4N]],Transactions[[#This Row],[L5N]],IF(Transactions[[#This Row],[L4N]]=Transactions[[#This Row],[L3N]],Transactions[[#This Row],[L4N]],IF(Transactions[[#This Row],[L3N]]=Transactions[[#This Row],[L2N]],Transactions[[#This Row],[L3N]],IF(Transactions[[#This Row],[L2N]]=Transactions[[#This Row],[L1N]],Transactions[[#This Row],[L2N]],IF(Transactions[[#This Row],[L1N]]=Transactions[[#This Row],[Transaction name]],Transactions[[#This Row],[L1N]],Transactions[[#This Row],[Transaction name]])))))))</f>
        <v>Transformation</v>
      </c>
      <c r="AS490" s="26" t="str">
        <f>IF(Transactions[[#This Row],[Level 0]]=Transactions[[#This Row],[Transaction name]],Transactions[[#This Row],[Transaction name]],IF(Transactions[[#This Row],[Level 0]]=Transactions[[#This Row],[L1N]],Transactions[[#This Row],[Transaction name]],IF(Transactions[[#This Row],[Level 0]]=Transactions[[#This Row],[L2N]],Transactions[[#This Row],[L1N]],IF(Transactions[[#This Row],[Level 0]]=Transactions[[#This Row],[L3N]],Transactions[[#This Row],[L2N]],IF(Transactions[[#This Row],[Level 0]]=Transactions[[#This Row],[L4N]],Transactions[[#This Row],[L3N]],IF(Transactions[[#This Row],[Level 0]]=Transactions[[#This Row],[L5N]],Transactions[[#This Row],[L4N]],IF(Transactions[[#This Row],[Level 0]]=Transactions[[#This Row],[L6N]],Transactions[[#This Row],[L5N]],IF(Transactions[[#This Row],[Level 0]]=Transactions[[#This Row],[L7N]],Transactions[[#This Row],[L6N]],Transactions[[#This Row],[L7N]]))))))))</f>
        <v>Electricity, CHP and heat plants (T)</v>
      </c>
      <c r="AT490" s="26" t="str">
        <f>IF(Transactions[[#This Row],[Level 1]]=Transactions[[#This Row],[Transaction name]],Transactions[[#This Row],[Transaction name]],IF(Transactions[[#This Row],[Level 1]]=Transactions[[#This Row],[L1N]],Transactions[[#This Row],[Transaction name]],IF(Transactions[[#This Row],[Level 1]]=Transactions[[#This Row],[L2N]],Transactions[[#This Row],[L1N]],IF(Transactions[[#This Row],[Level 1]]=Transactions[[#This Row],[L3N]],Transactions[[#This Row],[L2N]],IF(Transactions[[#This Row],[Level 1]]=Transactions[[#This Row],[L4N]],Transactions[[#This Row],[L3N]],IF(Transactions[[#This Row],[Level 1]]=Transactions[[#This Row],[L5N]],Transactions[[#This Row],[L4N]],IF(Transactions[[#This Row],[Level 1]]=Transactions[[#This Row],[L6N]],Transactions[[#This Row],[L5N]],IF(Transactions[[#This Row],[Level 1]]=Transactions[[#This Row],[L7N]],Transactions[[#This Row],[L6N]],Transactions[[#This Row],[L7N]]))))))))</f>
        <v>Heat plants</v>
      </c>
      <c r="AU490" s="26" t="str">
        <f>IF(Transactions[[#This Row],[Level 2]]=Transactions[[#This Row],[Transaction name]],Transactions[[#This Row],[Transaction name]],IF(Transactions[[#This Row],[Level 2]]=Transactions[[#This Row],[L1N]],Transactions[[#This Row],[Transaction name]],IF(Transactions[[#This Row],[Level 2]]=Transactions[[#This Row],[L2N]],Transactions[[#This Row],[L1N]],IF(Transactions[[#This Row],[Level 2]]=Transactions[[#This Row],[L3N]],Transactions[[#This Row],[L2N]],IF(Transactions[[#This Row],[Level 2]]=Transactions[[#This Row],[L4N]],Transactions[[#This Row],[L3N]],IF(Transactions[[#This Row],[Level 2]]=Transactions[[#This Row],[L5N]],Transactions[[#This Row],[L4N]],IF(Transactions[[#This Row],[Level 2]]=Transactions[[#This Row],[L6N]],Transactions[[#This Row],[L5N]],IF(Transactions[[#This Row],[Level 2]]=Transactions[[#This Row],[L7N]],Transactions[[#This Row],[L6N]],Transactions[[#This Row],[L7N]]))))))))</f>
        <v>Heat plants - liquid biofuels</v>
      </c>
      <c r="AV490" s="26" t="str">
        <f>IF(Transactions[[#This Row],[Level 3]]=Transactions[[#This Row],[Transaction name]],Transactions[[#This Row],[Transaction name]],IF(Transactions[[#This Row],[Level 3]]=Transactions[[#This Row],[L1N]],Transactions[[#This Row],[Transaction name]],IF(Transactions[[#This Row],[Level 3]]=Transactions[[#This Row],[L2N]],Transactions[[#This Row],[L1N]],IF(Transactions[[#This Row],[Level 3]]=Transactions[[#This Row],[L3N]],Transactions[[#This Row],[L2N]],IF(Transactions[[#This Row],[Level 3]]=Transactions[[#This Row],[L4N]],Transactions[[#This Row],[L3N]],IF(Transactions[[#This Row],[Level 3]]=Transactions[[#This Row],[L5N]],Transactions[[#This Row],[L4N]],IF(Transactions[[#This Row],[Level 3]]=Transactions[[#This Row],[L6N]],Transactions[[#This Row],[L5N]],IF(Transactions[[#This Row],[Level 3]]=Transactions[[#This Row],[L7N]],Transactions[[#This Row],[L6N]],Transactions[[#This Row],[L7N]]))))))))</f>
        <v>Heat plants - liquid biofuels</v>
      </c>
      <c r="AW490" s="26" t="str">
        <f>IF(Transactions[[#This Row],[Level 4]]=Transactions[[#This Row],[Transaction name]],Transactions[[#This Row],[Transaction name]],IF(Transactions[[#This Row],[Level 4]]=Transactions[[#This Row],[L1N]],Transactions[[#This Row],[Transaction name]],IF(Transactions[[#This Row],[Level 4]]=Transactions[[#This Row],[L2N]],Transactions[[#This Row],[L1N]],IF(Transactions[[#This Row],[Level 4]]=Transactions[[#This Row],[L3N]],Transactions[[#This Row],[L2N]],IF(Transactions[[#This Row],[Level 4]]=Transactions[[#This Row],[L4N]],Transactions[[#This Row],[L3N]],IF(Transactions[[#This Row],[Level 4]]=Transactions[[#This Row],[L5N]],Transactions[[#This Row],[L4N]],IF(Transactions[[#This Row],[Level 4]]=Transactions[[#This Row],[L6N]],Transactions[[#This Row],[L5N]],IF(Transactions[[#This Row],[Level 4]]=Transactions[[#This Row],[L7N]],Transactions[[#This Row],[L6N]],Transactions[[#This Row],[L7N]]))))))))</f>
        <v>Heat plants - liquid biofuels</v>
      </c>
      <c r="AX490" s="26" t="str">
        <f>IF(Transactions[[#This Row],[Level 5]]=Transactions[[#This Row],[Transaction name]],Transactions[[#This Row],[Transaction name]],IF(Transactions[[#This Row],[Level 5]]=Transactions[[#This Row],[L1N]],Transactions[[#This Row],[Transaction name]],IF(Transactions[[#This Row],[Level 5]]=Transactions[[#This Row],[L2N]],Transactions[[#This Row],[L1N]],IF(Transactions[[#This Row],[Level 5]]=Transactions[[#This Row],[L3N]],Transactions[[#This Row],[L2N]],IF(Transactions[[#This Row],[Level 5]]=Transactions[[#This Row],[L4N]],Transactions[[#This Row],[L3N]],IF(Transactions[[#This Row],[Level 5]]=Transactions[[#This Row],[L5N]],Transactions[[#This Row],[L4N]],IF(Transactions[[#This Row],[Level 5]]=Transactions[[#This Row],[L6N]],Transactions[[#This Row],[L5N]],IF(Transactions[[#This Row],[Level 5]]=Transactions[[#This Row],[L7N]],Transactions[[#This Row],[L6N]],Transactions[[#This Row],[L7N]]))))))))</f>
        <v>Heat plants - liquid biofuels</v>
      </c>
      <c r="AY490" s="26" t="str">
        <f>IF(Transactions[[#This Row],[Level 6]]=Transactions[[#This Row],[Transaction name]],Transactions[[#This Row],[Transaction name]],IF(Transactions[[#This Row],[Level 6]]=Transactions[[#This Row],[L1N]],Transactions[[#This Row],[Transaction name]],IF(Transactions[[#This Row],[Level 6]]=Transactions[[#This Row],[L2N]],Transactions[[#This Row],[L1N]],IF(Transactions[[#This Row],[Level 6]]=Transactions[[#This Row],[L3N]],Transactions[[#This Row],[L2N]],IF(Transactions[[#This Row],[Level 6]]=Transactions[[#This Row],[L4N]],Transactions[[#This Row],[L3N]],IF(Transactions[[#This Row],[Level 6]]=Transactions[[#This Row],[L5N]],Transactions[[#This Row],[L4N]],IF(Transactions[[#This Row],[Level 6]]=Transactions[[#This Row],[L6N]],Transactions[[#This Row],[L5N]],IF(Transactions[[#This Row],[Level 6]]=Transactions[[#This Row],[L7N]],Transactions[[#This Row],[L6N]],Transactions[[#This Row],[L7N]]))))))))</f>
        <v>Heat plants - liquid biofuels</v>
      </c>
    </row>
    <row r="491" spans="25:51" x14ac:dyDescent="0.45">
      <c r="Y491" s="5" t="s">
        <v>1100</v>
      </c>
      <c r="Z491" s="7" t="s">
        <v>1076</v>
      </c>
      <c r="AA491" s="4" t="s">
        <v>1357</v>
      </c>
      <c r="AB491" s="19" t="s">
        <v>1555</v>
      </c>
      <c r="AC491" s="24" t="str">
        <f>IFERROR(VLOOKUP(Transactions[[#This Row],[Parent code]],Transactions[[Transaction code]:[Transaction name]],2,0),"")</f>
        <v>Heat plants - liquid biofuels</v>
      </c>
      <c r="AD491" s="4" t="s">
        <v>189</v>
      </c>
      <c r="AE491" s="4" t="s">
        <v>924</v>
      </c>
      <c r="AF491" s="4" t="s">
        <v>642</v>
      </c>
      <c r="AG491" s="4" t="s">
        <v>1</v>
      </c>
      <c r="AH491" s="4" t="s">
        <v>696</v>
      </c>
      <c r="AI491" s="12" t="s">
        <v>1416</v>
      </c>
      <c r="AK491" s="24" t="str" cm="1">
        <f t="array" ref="AK491">IFERROR(INDEX(Transactions[[Transaction code]:[Transaction name]],_xlfn.XMATCH(Transactions[[#This Row],[Parent code]],Transactions[Transaction name],0),3),Transactions[[#This Row],[Transaction name]])</f>
        <v>Heat plants - Main activity - liquid biofuels</v>
      </c>
      <c r="AL491" s="24" t="str" cm="1">
        <f t="array" ref="AL491">IFERROR(INDEX(Transactions[[Transaction code]:[Transaction name]],_xlfn.XMATCH(INDEX(Transactions[[Transaction name]:[Parent code]],_xlfn.XMATCH(Transactions[[#This Row],[L1N]],Transactions[Transaction name],0),3),Transactions[Transaction code],0),2),Transactions[[#This Row],[L1N]])</f>
        <v>Heat plants - liquid biofuels</v>
      </c>
      <c r="AM491" s="24" t="str" cm="1">
        <f t="array" ref="AM491">IFERROR(INDEX(Transactions[[Transaction code]:[Transaction name]],_xlfn.XMATCH(INDEX(Transactions[[Transaction name]:[Parent code]],_xlfn.XMATCH(Transactions[[#This Row],[L2N]],Transactions[Transaction name],0),3),Transactions[Transaction code],0),2),Transactions[[#This Row],[L2N]])</f>
        <v>Heat plants</v>
      </c>
      <c r="AN491" s="24" t="str" cm="1">
        <f t="array" ref="AN491">IFERROR(INDEX(Transactions[[Transaction code]:[Transaction name]],_xlfn.XMATCH(INDEX(Transactions[[Transaction name]:[Parent code]],_xlfn.XMATCH(Transactions[[#This Row],[L3N]],Transactions[Transaction name],0),3),Transactions[Transaction code],0),2),Transactions[[#This Row],[L3N]])</f>
        <v>Electricity, CHP and heat plants (T)</v>
      </c>
      <c r="AO491" s="24" t="str" cm="1">
        <f t="array" ref="AO491">IFERROR(INDEX(Transactions[[Transaction code]:[Transaction name]],_xlfn.XMATCH(INDEX(Transactions[[Transaction name]:[Parent code]],_xlfn.XMATCH(Transactions[[#This Row],[L4N]],Transactions[Transaction name],0),3),Transactions[Transaction code],0),2),Transactions[[#This Row],[L4N]])</f>
        <v>Transformation</v>
      </c>
      <c r="AP491" s="24" t="str" cm="1">
        <f t="array" ref="AP491">IFERROR(INDEX(Transactions[[Transaction code]:[Transaction name]],_xlfn.XMATCH(INDEX(Transactions[[Transaction name]:[Parent code]],_xlfn.XMATCH(Transactions[[#This Row],[L5N]],Transactions[Transaction name],0),3),Transactions[Transaction code],0),2),Transactions[[#This Row],[L5N]])</f>
        <v>Transformation</v>
      </c>
      <c r="AQ491" s="24" t="str" cm="1">
        <f t="array" ref="AQ491">IFERROR(INDEX(Transactions[[Transaction code]:[Transaction name]],_xlfn.XMATCH(INDEX(Transactions[[Transaction name]:[Parent code]],_xlfn.XMATCH(Transactions[[#This Row],[L6N]],Transactions[Transaction name],0),3),Transactions[Transaction code],0),2),Transactions[[#This Row],[L6N]])</f>
        <v>Transformation</v>
      </c>
      <c r="AR491" s="28" t="str">
        <f>IF(Transactions[[#This Row],[L7N]]=Transactions[[#This Row],[L6N]],Transactions[[#This Row],[L7N]],IF(Transactions[[#This Row],[L6N]]=Transactions[[#This Row],[L5N]],Transactions[[#This Row],[L6N]],IF(Transactions[[#This Row],[L5N]]=Transactions[[#This Row],[L4N]],Transactions[[#This Row],[L5N]],IF(Transactions[[#This Row],[L4N]]=Transactions[[#This Row],[L3N]],Transactions[[#This Row],[L4N]],IF(Transactions[[#This Row],[L3N]]=Transactions[[#This Row],[L2N]],Transactions[[#This Row],[L3N]],IF(Transactions[[#This Row],[L2N]]=Transactions[[#This Row],[L1N]],Transactions[[#This Row],[L2N]],IF(Transactions[[#This Row],[L1N]]=Transactions[[#This Row],[Transaction name]],Transactions[[#This Row],[L1N]],Transactions[[#This Row],[Transaction name]])))))))</f>
        <v>Transformation</v>
      </c>
      <c r="AS491" s="24" t="str">
        <f>IF(Transactions[[#This Row],[Level 0]]=Transactions[[#This Row],[Transaction name]],Transactions[[#This Row],[Transaction name]],IF(Transactions[[#This Row],[Level 0]]=Transactions[[#This Row],[L1N]],Transactions[[#This Row],[Transaction name]],IF(Transactions[[#This Row],[Level 0]]=Transactions[[#This Row],[L2N]],Transactions[[#This Row],[L1N]],IF(Transactions[[#This Row],[Level 0]]=Transactions[[#This Row],[L3N]],Transactions[[#This Row],[L2N]],IF(Transactions[[#This Row],[Level 0]]=Transactions[[#This Row],[L4N]],Transactions[[#This Row],[L3N]],IF(Transactions[[#This Row],[Level 0]]=Transactions[[#This Row],[L5N]],Transactions[[#This Row],[L4N]],IF(Transactions[[#This Row],[Level 0]]=Transactions[[#This Row],[L6N]],Transactions[[#This Row],[L5N]],IF(Transactions[[#This Row],[Level 0]]=Transactions[[#This Row],[L7N]],Transactions[[#This Row],[L6N]],Transactions[[#This Row],[L7N]]))))))))</f>
        <v>Electricity, CHP and heat plants (T)</v>
      </c>
      <c r="AT491" s="24" t="str">
        <f>IF(Transactions[[#This Row],[Level 1]]=Transactions[[#This Row],[Transaction name]],Transactions[[#This Row],[Transaction name]],IF(Transactions[[#This Row],[Level 1]]=Transactions[[#This Row],[L1N]],Transactions[[#This Row],[Transaction name]],IF(Transactions[[#This Row],[Level 1]]=Transactions[[#This Row],[L2N]],Transactions[[#This Row],[L1N]],IF(Transactions[[#This Row],[Level 1]]=Transactions[[#This Row],[L3N]],Transactions[[#This Row],[L2N]],IF(Transactions[[#This Row],[Level 1]]=Transactions[[#This Row],[L4N]],Transactions[[#This Row],[L3N]],IF(Transactions[[#This Row],[Level 1]]=Transactions[[#This Row],[L5N]],Transactions[[#This Row],[L4N]],IF(Transactions[[#This Row],[Level 1]]=Transactions[[#This Row],[L6N]],Transactions[[#This Row],[L5N]],IF(Transactions[[#This Row],[Level 1]]=Transactions[[#This Row],[L7N]],Transactions[[#This Row],[L6N]],Transactions[[#This Row],[L7N]]))))))))</f>
        <v>Heat plants</v>
      </c>
      <c r="AU491" s="24" t="str">
        <f>IF(Transactions[[#This Row],[Level 2]]=Transactions[[#This Row],[Transaction name]],Transactions[[#This Row],[Transaction name]],IF(Transactions[[#This Row],[Level 2]]=Transactions[[#This Row],[L1N]],Transactions[[#This Row],[Transaction name]],IF(Transactions[[#This Row],[Level 2]]=Transactions[[#This Row],[L2N]],Transactions[[#This Row],[L1N]],IF(Transactions[[#This Row],[Level 2]]=Transactions[[#This Row],[L3N]],Transactions[[#This Row],[L2N]],IF(Transactions[[#This Row],[Level 2]]=Transactions[[#This Row],[L4N]],Transactions[[#This Row],[L3N]],IF(Transactions[[#This Row],[Level 2]]=Transactions[[#This Row],[L5N]],Transactions[[#This Row],[L4N]],IF(Transactions[[#This Row],[Level 2]]=Transactions[[#This Row],[L6N]],Transactions[[#This Row],[L5N]],IF(Transactions[[#This Row],[Level 2]]=Transactions[[#This Row],[L7N]],Transactions[[#This Row],[L6N]],Transactions[[#This Row],[L7N]]))))))))</f>
        <v>Heat plants - liquid biofuels</v>
      </c>
      <c r="AV491" s="24" t="str">
        <f>IF(Transactions[[#This Row],[Level 3]]=Transactions[[#This Row],[Transaction name]],Transactions[[#This Row],[Transaction name]],IF(Transactions[[#This Row],[Level 3]]=Transactions[[#This Row],[L1N]],Transactions[[#This Row],[Transaction name]],IF(Transactions[[#This Row],[Level 3]]=Transactions[[#This Row],[L2N]],Transactions[[#This Row],[L1N]],IF(Transactions[[#This Row],[Level 3]]=Transactions[[#This Row],[L3N]],Transactions[[#This Row],[L2N]],IF(Transactions[[#This Row],[Level 3]]=Transactions[[#This Row],[L4N]],Transactions[[#This Row],[L3N]],IF(Transactions[[#This Row],[Level 3]]=Transactions[[#This Row],[L5N]],Transactions[[#This Row],[L4N]],IF(Transactions[[#This Row],[Level 3]]=Transactions[[#This Row],[L6N]],Transactions[[#This Row],[L5N]],IF(Transactions[[#This Row],[Level 3]]=Transactions[[#This Row],[L7N]],Transactions[[#This Row],[L6N]],Transactions[[#This Row],[L7N]]))))))))</f>
        <v>Heat plants - Main activity - liquid biofuels</v>
      </c>
      <c r="AW491" s="24" t="str">
        <f>IF(Transactions[[#This Row],[Level 4]]=Transactions[[#This Row],[Transaction name]],Transactions[[#This Row],[Transaction name]],IF(Transactions[[#This Row],[Level 4]]=Transactions[[#This Row],[L1N]],Transactions[[#This Row],[Transaction name]],IF(Transactions[[#This Row],[Level 4]]=Transactions[[#This Row],[L2N]],Transactions[[#This Row],[L1N]],IF(Transactions[[#This Row],[Level 4]]=Transactions[[#This Row],[L3N]],Transactions[[#This Row],[L2N]],IF(Transactions[[#This Row],[Level 4]]=Transactions[[#This Row],[L4N]],Transactions[[#This Row],[L3N]],IF(Transactions[[#This Row],[Level 4]]=Transactions[[#This Row],[L5N]],Transactions[[#This Row],[L4N]],IF(Transactions[[#This Row],[Level 4]]=Transactions[[#This Row],[L6N]],Transactions[[#This Row],[L5N]],IF(Transactions[[#This Row],[Level 4]]=Transactions[[#This Row],[L7N]],Transactions[[#This Row],[L6N]],Transactions[[#This Row],[L7N]]))))))))</f>
        <v>Heat plants - Main activity - liquid biofuels</v>
      </c>
      <c r="AX491" s="24" t="str">
        <f>IF(Transactions[[#This Row],[Level 5]]=Transactions[[#This Row],[Transaction name]],Transactions[[#This Row],[Transaction name]],IF(Transactions[[#This Row],[Level 5]]=Transactions[[#This Row],[L1N]],Transactions[[#This Row],[Transaction name]],IF(Transactions[[#This Row],[Level 5]]=Transactions[[#This Row],[L2N]],Transactions[[#This Row],[L1N]],IF(Transactions[[#This Row],[Level 5]]=Transactions[[#This Row],[L3N]],Transactions[[#This Row],[L2N]],IF(Transactions[[#This Row],[Level 5]]=Transactions[[#This Row],[L4N]],Transactions[[#This Row],[L3N]],IF(Transactions[[#This Row],[Level 5]]=Transactions[[#This Row],[L5N]],Transactions[[#This Row],[L4N]],IF(Transactions[[#This Row],[Level 5]]=Transactions[[#This Row],[L6N]],Transactions[[#This Row],[L5N]],IF(Transactions[[#This Row],[Level 5]]=Transactions[[#This Row],[L7N]],Transactions[[#This Row],[L6N]],Transactions[[#This Row],[L7N]]))))))))</f>
        <v>Heat plants - Main activity - liquid biofuels</v>
      </c>
      <c r="AY491" s="24" t="str">
        <f>IF(Transactions[[#This Row],[Level 6]]=Transactions[[#This Row],[Transaction name]],Transactions[[#This Row],[Transaction name]],IF(Transactions[[#This Row],[Level 6]]=Transactions[[#This Row],[L1N]],Transactions[[#This Row],[Transaction name]],IF(Transactions[[#This Row],[Level 6]]=Transactions[[#This Row],[L2N]],Transactions[[#This Row],[L1N]],IF(Transactions[[#This Row],[Level 6]]=Transactions[[#This Row],[L3N]],Transactions[[#This Row],[L2N]],IF(Transactions[[#This Row],[Level 6]]=Transactions[[#This Row],[L4N]],Transactions[[#This Row],[L3N]],IF(Transactions[[#This Row],[Level 6]]=Transactions[[#This Row],[L5N]],Transactions[[#This Row],[L4N]],IF(Transactions[[#This Row],[Level 6]]=Transactions[[#This Row],[L6N]],Transactions[[#This Row],[L5N]],IF(Transactions[[#This Row],[Level 6]]=Transactions[[#This Row],[L7N]],Transactions[[#This Row],[L6N]],Transactions[[#This Row],[L7N]]))))))))</f>
        <v>Heat plants - Main activity - liquid biofuels</v>
      </c>
    </row>
    <row r="492" spans="25:51" x14ac:dyDescent="0.45">
      <c r="Y492" s="5" t="s">
        <v>173</v>
      </c>
      <c r="Z492" s="4" t="s">
        <v>693</v>
      </c>
      <c r="AA492" s="4" t="s">
        <v>693</v>
      </c>
      <c r="AB492" s="19" t="s">
        <v>1574</v>
      </c>
      <c r="AC492" s="24" t="str">
        <f>IFERROR(VLOOKUP(Transactions[[#This Row],[Parent code]],Transactions[[Transaction code]:[Transaction name]],2,0),"")</f>
        <v>Heat plants</v>
      </c>
      <c r="AD492" s="4" t="s">
        <v>189</v>
      </c>
      <c r="AE492" s="4" t="s">
        <v>924</v>
      </c>
      <c r="AF492" s="4" t="s">
        <v>642</v>
      </c>
      <c r="AG492" s="4" t="s">
        <v>1</v>
      </c>
      <c r="AH492" s="4" t="s">
        <v>695</v>
      </c>
      <c r="AJ492" s="4" t="s">
        <v>0</v>
      </c>
      <c r="AK492" s="24" t="str" cm="1">
        <f t="array" ref="AK492">IFERROR(INDEX(Transactions[[Transaction code]:[Transaction name]],_xlfn.XMATCH(Transactions[[#This Row],[Parent code]],Transactions[Transaction name],0),3),Transactions[[#This Row],[Transaction name]])</f>
        <v>Heat plants - Main activity</v>
      </c>
      <c r="AL492" s="24" t="str" cm="1">
        <f t="array" ref="AL492">IFERROR(INDEX(Transactions[[Transaction code]:[Transaction name]],_xlfn.XMATCH(INDEX(Transactions[[Transaction name]:[Parent code]],_xlfn.XMATCH(Transactions[[#This Row],[L1N]],Transactions[Transaction name],0),3),Transactions[Transaction code],0),2),Transactions[[#This Row],[L1N]])</f>
        <v>Heat plants</v>
      </c>
      <c r="AM492" s="24" t="str" cm="1">
        <f t="array" ref="AM492">IFERROR(INDEX(Transactions[[Transaction code]:[Transaction name]],_xlfn.XMATCH(INDEX(Transactions[[Transaction name]:[Parent code]],_xlfn.XMATCH(Transactions[[#This Row],[L2N]],Transactions[Transaction name],0),3),Transactions[Transaction code],0),2),Transactions[[#This Row],[L2N]])</f>
        <v>Electricity, CHP and heat plants (T)</v>
      </c>
      <c r="AN492" s="24" t="str" cm="1">
        <f t="array" ref="AN492">IFERROR(INDEX(Transactions[[Transaction code]:[Transaction name]],_xlfn.XMATCH(INDEX(Transactions[[Transaction name]:[Parent code]],_xlfn.XMATCH(Transactions[[#This Row],[L3N]],Transactions[Transaction name],0),3),Transactions[Transaction code],0),2),Transactions[[#This Row],[L3N]])</f>
        <v>Transformation</v>
      </c>
      <c r="AO492" s="24" t="str" cm="1">
        <f t="array" ref="AO492">IFERROR(INDEX(Transactions[[Transaction code]:[Transaction name]],_xlfn.XMATCH(INDEX(Transactions[[Transaction name]:[Parent code]],_xlfn.XMATCH(Transactions[[#This Row],[L4N]],Transactions[Transaction name],0),3),Transactions[Transaction code],0),2),Transactions[[#This Row],[L4N]])</f>
        <v>Transformation</v>
      </c>
      <c r="AP492" s="24" t="str" cm="1">
        <f t="array" ref="AP492">IFERROR(INDEX(Transactions[[Transaction code]:[Transaction name]],_xlfn.XMATCH(INDEX(Transactions[[Transaction name]:[Parent code]],_xlfn.XMATCH(Transactions[[#This Row],[L5N]],Transactions[Transaction name],0),3),Transactions[Transaction code],0),2),Transactions[[#This Row],[L5N]])</f>
        <v>Transformation</v>
      </c>
      <c r="AQ492" s="24" t="str" cm="1">
        <f t="array" ref="AQ492">IFERROR(INDEX(Transactions[[Transaction code]:[Transaction name]],_xlfn.XMATCH(INDEX(Transactions[[Transaction name]:[Parent code]],_xlfn.XMATCH(Transactions[[#This Row],[L6N]],Transactions[Transaction name],0),3),Transactions[Transaction code],0),2),Transactions[[#This Row],[L6N]])</f>
        <v>Transformation</v>
      </c>
      <c r="AR492" s="28" t="str">
        <f>IF(Transactions[[#This Row],[L7N]]=Transactions[[#This Row],[L6N]],Transactions[[#This Row],[L7N]],IF(Transactions[[#This Row],[L6N]]=Transactions[[#This Row],[L5N]],Transactions[[#This Row],[L6N]],IF(Transactions[[#This Row],[L5N]]=Transactions[[#This Row],[L4N]],Transactions[[#This Row],[L5N]],IF(Transactions[[#This Row],[L4N]]=Transactions[[#This Row],[L3N]],Transactions[[#This Row],[L4N]],IF(Transactions[[#This Row],[L3N]]=Transactions[[#This Row],[L2N]],Transactions[[#This Row],[L3N]],IF(Transactions[[#This Row],[L2N]]=Transactions[[#This Row],[L1N]],Transactions[[#This Row],[L2N]],IF(Transactions[[#This Row],[L1N]]=Transactions[[#This Row],[Transaction name]],Transactions[[#This Row],[L1N]],Transactions[[#This Row],[Transaction name]])))))))</f>
        <v>Transformation</v>
      </c>
      <c r="AS492" s="24" t="str">
        <f>IF(Transactions[[#This Row],[Level 0]]=Transactions[[#This Row],[Transaction name]],Transactions[[#This Row],[Transaction name]],IF(Transactions[[#This Row],[Level 0]]=Transactions[[#This Row],[L1N]],Transactions[[#This Row],[Transaction name]],IF(Transactions[[#This Row],[Level 0]]=Transactions[[#This Row],[L2N]],Transactions[[#This Row],[L1N]],IF(Transactions[[#This Row],[Level 0]]=Transactions[[#This Row],[L3N]],Transactions[[#This Row],[L2N]],IF(Transactions[[#This Row],[Level 0]]=Transactions[[#This Row],[L4N]],Transactions[[#This Row],[L3N]],IF(Transactions[[#This Row],[Level 0]]=Transactions[[#This Row],[L5N]],Transactions[[#This Row],[L4N]],IF(Transactions[[#This Row],[Level 0]]=Transactions[[#This Row],[L6N]],Transactions[[#This Row],[L5N]],IF(Transactions[[#This Row],[Level 0]]=Transactions[[#This Row],[L7N]],Transactions[[#This Row],[L6N]],Transactions[[#This Row],[L7N]]))))))))</f>
        <v>Electricity, CHP and heat plants (T)</v>
      </c>
      <c r="AT492" s="24" t="str">
        <f>IF(Transactions[[#This Row],[Level 1]]=Transactions[[#This Row],[Transaction name]],Transactions[[#This Row],[Transaction name]],IF(Transactions[[#This Row],[Level 1]]=Transactions[[#This Row],[L1N]],Transactions[[#This Row],[Transaction name]],IF(Transactions[[#This Row],[Level 1]]=Transactions[[#This Row],[L2N]],Transactions[[#This Row],[L1N]],IF(Transactions[[#This Row],[Level 1]]=Transactions[[#This Row],[L3N]],Transactions[[#This Row],[L2N]],IF(Transactions[[#This Row],[Level 1]]=Transactions[[#This Row],[L4N]],Transactions[[#This Row],[L3N]],IF(Transactions[[#This Row],[Level 1]]=Transactions[[#This Row],[L5N]],Transactions[[#This Row],[L4N]],IF(Transactions[[#This Row],[Level 1]]=Transactions[[#This Row],[L6N]],Transactions[[#This Row],[L5N]],IF(Transactions[[#This Row],[Level 1]]=Transactions[[#This Row],[L7N]],Transactions[[#This Row],[L6N]],Transactions[[#This Row],[L7N]]))))))))</f>
        <v>Heat plants</v>
      </c>
      <c r="AU492" s="24" t="str">
        <f>IF(Transactions[[#This Row],[Level 2]]=Transactions[[#This Row],[Transaction name]],Transactions[[#This Row],[Transaction name]],IF(Transactions[[#This Row],[Level 2]]=Transactions[[#This Row],[L1N]],Transactions[[#This Row],[Transaction name]],IF(Transactions[[#This Row],[Level 2]]=Transactions[[#This Row],[L2N]],Transactions[[#This Row],[L1N]],IF(Transactions[[#This Row],[Level 2]]=Transactions[[#This Row],[L3N]],Transactions[[#This Row],[L2N]],IF(Transactions[[#This Row],[Level 2]]=Transactions[[#This Row],[L4N]],Transactions[[#This Row],[L3N]],IF(Transactions[[#This Row],[Level 2]]=Transactions[[#This Row],[L5N]],Transactions[[#This Row],[L4N]],IF(Transactions[[#This Row],[Level 2]]=Transactions[[#This Row],[L6N]],Transactions[[#This Row],[L5N]],IF(Transactions[[#This Row],[Level 2]]=Transactions[[#This Row],[L7N]],Transactions[[#This Row],[L6N]],Transactions[[#This Row],[L7N]]))))))))</f>
        <v>Heat plants - Main activity</v>
      </c>
      <c r="AV492" s="24" t="str">
        <f>IF(Transactions[[#This Row],[Level 3]]=Transactions[[#This Row],[Transaction name]],Transactions[[#This Row],[Transaction name]],IF(Transactions[[#This Row],[Level 3]]=Transactions[[#This Row],[L1N]],Transactions[[#This Row],[Transaction name]],IF(Transactions[[#This Row],[Level 3]]=Transactions[[#This Row],[L2N]],Transactions[[#This Row],[L1N]],IF(Transactions[[#This Row],[Level 3]]=Transactions[[#This Row],[L3N]],Transactions[[#This Row],[L2N]],IF(Transactions[[#This Row],[Level 3]]=Transactions[[#This Row],[L4N]],Transactions[[#This Row],[L3N]],IF(Transactions[[#This Row],[Level 3]]=Transactions[[#This Row],[L5N]],Transactions[[#This Row],[L4N]],IF(Transactions[[#This Row],[Level 3]]=Transactions[[#This Row],[L6N]],Transactions[[#This Row],[L5N]],IF(Transactions[[#This Row],[Level 3]]=Transactions[[#This Row],[L7N]],Transactions[[#This Row],[L6N]],Transactions[[#This Row],[L7N]]))))))))</f>
        <v>Heat plants - Main activity</v>
      </c>
      <c r="AW492" s="24" t="str">
        <f>IF(Transactions[[#This Row],[Level 4]]=Transactions[[#This Row],[Transaction name]],Transactions[[#This Row],[Transaction name]],IF(Transactions[[#This Row],[Level 4]]=Transactions[[#This Row],[L1N]],Transactions[[#This Row],[Transaction name]],IF(Transactions[[#This Row],[Level 4]]=Transactions[[#This Row],[L2N]],Transactions[[#This Row],[L1N]],IF(Transactions[[#This Row],[Level 4]]=Transactions[[#This Row],[L3N]],Transactions[[#This Row],[L2N]],IF(Transactions[[#This Row],[Level 4]]=Transactions[[#This Row],[L4N]],Transactions[[#This Row],[L3N]],IF(Transactions[[#This Row],[Level 4]]=Transactions[[#This Row],[L5N]],Transactions[[#This Row],[L4N]],IF(Transactions[[#This Row],[Level 4]]=Transactions[[#This Row],[L6N]],Transactions[[#This Row],[L5N]],IF(Transactions[[#This Row],[Level 4]]=Transactions[[#This Row],[L7N]],Transactions[[#This Row],[L6N]],Transactions[[#This Row],[L7N]]))))))))</f>
        <v>Heat plants - Main activity</v>
      </c>
      <c r="AX492" s="24" t="str">
        <f>IF(Transactions[[#This Row],[Level 5]]=Transactions[[#This Row],[Transaction name]],Transactions[[#This Row],[Transaction name]],IF(Transactions[[#This Row],[Level 5]]=Transactions[[#This Row],[L1N]],Transactions[[#This Row],[Transaction name]],IF(Transactions[[#This Row],[Level 5]]=Transactions[[#This Row],[L2N]],Transactions[[#This Row],[L1N]],IF(Transactions[[#This Row],[Level 5]]=Transactions[[#This Row],[L3N]],Transactions[[#This Row],[L2N]],IF(Transactions[[#This Row],[Level 5]]=Transactions[[#This Row],[L4N]],Transactions[[#This Row],[L3N]],IF(Transactions[[#This Row],[Level 5]]=Transactions[[#This Row],[L5N]],Transactions[[#This Row],[L4N]],IF(Transactions[[#This Row],[Level 5]]=Transactions[[#This Row],[L6N]],Transactions[[#This Row],[L5N]],IF(Transactions[[#This Row],[Level 5]]=Transactions[[#This Row],[L7N]],Transactions[[#This Row],[L6N]],Transactions[[#This Row],[L7N]]))))))))</f>
        <v>Heat plants - Main activity</v>
      </c>
      <c r="AY492" s="24" t="str">
        <f>IF(Transactions[[#This Row],[Level 6]]=Transactions[[#This Row],[Transaction name]],Transactions[[#This Row],[Transaction name]],IF(Transactions[[#This Row],[Level 6]]=Transactions[[#This Row],[L1N]],Transactions[[#This Row],[Transaction name]],IF(Transactions[[#This Row],[Level 6]]=Transactions[[#This Row],[L2N]],Transactions[[#This Row],[L1N]],IF(Transactions[[#This Row],[Level 6]]=Transactions[[#This Row],[L3N]],Transactions[[#This Row],[L2N]],IF(Transactions[[#This Row],[Level 6]]=Transactions[[#This Row],[L4N]],Transactions[[#This Row],[L3N]],IF(Transactions[[#This Row],[Level 6]]=Transactions[[#This Row],[L5N]],Transactions[[#This Row],[L4N]],IF(Transactions[[#This Row],[Level 6]]=Transactions[[#This Row],[L6N]],Transactions[[#This Row],[L5N]],IF(Transactions[[#This Row],[Level 6]]=Transactions[[#This Row],[L7N]],Transactions[[#This Row],[L6N]],Transactions[[#This Row],[L7N]]))))))))</f>
        <v>Heat plants - Main activity</v>
      </c>
    </row>
    <row r="493" spans="25:51" x14ac:dyDescent="0.45">
      <c r="Y493" s="5" t="s">
        <v>1152</v>
      </c>
      <c r="Z493" s="7" t="s">
        <v>1144</v>
      </c>
      <c r="AA493" s="4" t="s">
        <v>1369</v>
      </c>
      <c r="AB493" s="19" t="s">
        <v>1569</v>
      </c>
      <c r="AC493" s="24" t="str">
        <f>IFERROR(VLOOKUP(Transactions[[#This Row],[Parent code]],Transactions[[Transaction code]:[Transaction name]],2,0),"")</f>
        <v>Heat plants - municipal solid waste</v>
      </c>
      <c r="AD493" s="4" t="s">
        <v>189</v>
      </c>
      <c r="AE493" s="4" t="s">
        <v>924</v>
      </c>
      <c r="AF493" s="4" t="s">
        <v>642</v>
      </c>
      <c r="AG493" s="4" t="s">
        <v>1</v>
      </c>
      <c r="AH493" s="4" t="s">
        <v>696</v>
      </c>
      <c r="AI493" s="12" t="s">
        <v>1416</v>
      </c>
      <c r="AK493" s="24" t="str" cm="1">
        <f t="array" ref="AK493">IFERROR(INDEX(Transactions[[Transaction code]:[Transaction name]],_xlfn.XMATCH(Transactions[[#This Row],[Parent code]],Transactions[Transaction name],0),3),Transactions[[#This Row],[Transaction name]])</f>
        <v>Heat plants - Autoproducer - municipal solid waste</v>
      </c>
      <c r="AL493" s="24" t="str" cm="1">
        <f t="array" ref="AL493">IFERROR(INDEX(Transactions[[Transaction code]:[Transaction name]],_xlfn.XMATCH(INDEX(Transactions[[Transaction name]:[Parent code]],_xlfn.XMATCH(Transactions[[#This Row],[L1N]],Transactions[Transaction name],0),3),Transactions[Transaction code],0),2),Transactions[[#This Row],[L1N]])</f>
        <v>Heat plants - municipal solid waste</v>
      </c>
      <c r="AM493" s="24" t="str" cm="1">
        <f t="array" ref="AM493">IFERROR(INDEX(Transactions[[Transaction code]:[Transaction name]],_xlfn.XMATCH(INDEX(Transactions[[Transaction name]:[Parent code]],_xlfn.XMATCH(Transactions[[#This Row],[L2N]],Transactions[Transaction name],0),3),Transactions[Transaction code],0),2),Transactions[[#This Row],[L2N]])</f>
        <v>Heat plants</v>
      </c>
      <c r="AN493" s="24" t="str" cm="1">
        <f t="array" ref="AN493">IFERROR(INDEX(Transactions[[Transaction code]:[Transaction name]],_xlfn.XMATCH(INDEX(Transactions[[Transaction name]:[Parent code]],_xlfn.XMATCH(Transactions[[#This Row],[L3N]],Transactions[Transaction name],0),3),Transactions[Transaction code],0),2),Transactions[[#This Row],[L3N]])</f>
        <v>Electricity, CHP and heat plants (T)</v>
      </c>
      <c r="AO493" s="24" t="str" cm="1">
        <f t="array" ref="AO493">IFERROR(INDEX(Transactions[[Transaction code]:[Transaction name]],_xlfn.XMATCH(INDEX(Transactions[[Transaction name]:[Parent code]],_xlfn.XMATCH(Transactions[[#This Row],[L4N]],Transactions[Transaction name],0),3),Transactions[Transaction code],0),2),Transactions[[#This Row],[L4N]])</f>
        <v>Transformation</v>
      </c>
      <c r="AP493" s="24" t="str" cm="1">
        <f t="array" ref="AP493">IFERROR(INDEX(Transactions[[Transaction code]:[Transaction name]],_xlfn.XMATCH(INDEX(Transactions[[Transaction name]:[Parent code]],_xlfn.XMATCH(Transactions[[#This Row],[L5N]],Transactions[Transaction name],0),3),Transactions[Transaction code],0),2),Transactions[[#This Row],[L5N]])</f>
        <v>Transformation</v>
      </c>
      <c r="AQ493" s="24" t="str" cm="1">
        <f t="array" ref="AQ493">IFERROR(INDEX(Transactions[[Transaction code]:[Transaction name]],_xlfn.XMATCH(INDEX(Transactions[[Transaction name]:[Parent code]],_xlfn.XMATCH(Transactions[[#This Row],[L6N]],Transactions[Transaction name],0),3),Transactions[Transaction code],0),2),Transactions[[#This Row],[L6N]])</f>
        <v>Transformation</v>
      </c>
      <c r="AR493" s="28" t="str">
        <f>IF(Transactions[[#This Row],[L7N]]=Transactions[[#This Row],[L6N]],Transactions[[#This Row],[L7N]],IF(Transactions[[#This Row],[L6N]]=Transactions[[#This Row],[L5N]],Transactions[[#This Row],[L6N]],IF(Transactions[[#This Row],[L5N]]=Transactions[[#This Row],[L4N]],Transactions[[#This Row],[L5N]],IF(Transactions[[#This Row],[L4N]]=Transactions[[#This Row],[L3N]],Transactions[[#This Row],[L4N]],IF(Transactions[[#This Row],[L3N]]=Transactions[[#This Row],[L2N]],Transactions[[#This Row],[L3N]],IF(Transactions[[#This Row],[L2N]]=Transactions[[#This Row],[L1N]],Transactions[[#This Row],[L2N]],IF(Transactions[[#This Row],[L1N]]=Transactions[[#This Row],[Transaction name]],Transactions[[#This Row],[L1N]],Transactions[[#This Row],[Transaction name]])))))))</f>
        <v>Transformation</v>
      </c>
      <c r="AS493" s="24" t="str">
        <f>IF(Transactions[[#This Row],[Level 0]]=Transactions[[#This Row],[Transaction name]],Transactions[[#This Row],[Transaction name]],IF(Transactions[[#This Row],[Level 0]]=Transactions[[#This Row],[L1N]],Transactions[[#This Row],[Transaction name]],IF(Transactions[[#This Row],[Level 0]]=Transactions[[#This Row],[L2N]],Transactions[[#This Row],[L1N]],IF(Transactions[[#This Row],[Level 0]]=Transactions[[#This Row],[L3N]],Transactions[[#This Row],[L2N]],IF(Transactions[[#This Row],[Level 0]]=Transactions[[#This Row],[L4N]],Transactions[[#This Row],[L3N]],IF(Transactions[[#This Row],[Level 0]]=Transactions[[#This Row],[L5N]],Transactions[[#This Row],[L4N]],IF(Transactions[[#This Row],[Level 0]]=Transactions[[#This Row],[L6N]],Transactions[[#This Row],[L5N]],IF(Transactions[[#This Row],[Level 0]]=Transactions[[#This Row],[L7N]],Transactions[[#This Row],[L6N]],Transactions[[#This Row],[L7N]]))))))))</f>
        <v>Electricity, CHP and heat plants (T)</v>
      </c>
      <c r="AT493" s="24" t="str">
        <f>IF(Transactions[[#This Row],[Level 1]]=Transactions[[#This Row],[Transaction name]],Transactions[[#This Row],[Transaction name]],IF(Transactions[[#This Row],[Level 1]]=Transactions[[#This Row],[L1N]],Transactions[[#This Row],[Transaction name]],IF(Transactions[[#This Row],[Level 1]]=Transactions[[#This Row],[L2N]],Transactions[[#This Row],[L1N]],IF(Transactions[[#This Row],[Level 1]]=Transactions[[#This Row],[L3N]],Transactions[[#This Row],[L2N]],IF(Transactions[[#This Row],[Level 1]]=Transactions[[#This Row],[L4N]],Transactions[[#This Row],[L3N]],IF(Transactions[[#This Row],[Level 1]]=Transactions[[#This Row],[L5N]],Transactions[[#This Row],[L4N]],IF(Transactions[[#This Row],[Level 1]]=Transactions[[#This Row],[L6N]],Transactions[[#This Row],[L5N]],IF(Transactions[[#This Row],[Level 1]]=Transactions[[#This Row],[L7N]],Transactions[[#This Row],[L6N]],Transactions[[#This Row],[L7N]]))))))))</f>
        <v>Heat plants</v>
      </c>
      <c r="AU493" s="24" t="str">
        <f>IF(Transactions[[#This Row],[Level 2]]=Transactions[[#This Row],[Transaction name]],Transactions[[#This Row],[Transaction name]],IF(Transactions[[#This Row],[Level 2]]=Transactions[[#This Row],[L1N]],Transactions[[#This Row],[Transaction name]],IF(Transactions[[#This Row],[Level 2]]=Transactions[[#This Row],[L2N]],Transactions[[#This Row],[L1N]],IF(Transactions[[#This Row],[Level 2]]=Transactions[[#This Row],[L3N]],Transactions[[#This Row],[L2N]],IF(Transactions[[#This Row],[Level 2]]=Transactions[[#This Row],[L4N]],Transactions[[#This Row],[L3N]],IF(Transactions[[#This Row],[Level 2]]=Transactions[[#This Row],[L5N]],Transactions[[#This Row],[L4N]],IF(Transactions[[#This Row],[Level 2]]=Transactions[[#This Row],[L6N]],Transactions[[#This Row],[L5N]],IF(Transactions[[#This Row],[Level 2]]=Transactions[[#This Row],[L7N]],Transactions[[#This Row],[L6N]],Transactions[[#This Row],[L7N]]))))))))</f>
        <v>Heat plants - municipal solid waste</v>
      </c>
      <c r="AV493" s="24" t="str">
        <f>IF(Transactions[[#This Row],[Level 3]]=Transactions[[#This Row],[Transaction name]],Transactions[[#This Row],[Transaction name]],IF(Transactions[[#This Row],[Level 3]]=Transactions[[#This Row],[L1N]],Transactions[[#This Row],[Transaction name]],IF(Transactions[[#This Row],[Level 3]]=Transactions[[#This Row],[L2N]],Transactions[[#This Row],[L1N]],IF(Transactions[[#This Row],[Level 3]]=Transactions[[#This Row],[L3N]],Transactions[[#This Row],[L2N]],IF(Transactions[[#This Row],[Level 3]]=Transactions[[#This Row],[L4N]],Transactions[[#This Row],[L3N]],IF(Transactions[[#This Row],[Level 3]]=Transactions[[#This Row],[L5N]],Transactions[[#This Row],[L4N]],IF(Transactions[[#This Row],[Level 3]]=Transactions[[#This Row],[L6N]],Transactions[[#This Row],[L5N]],IF(Transactions[[#This Row],[Level 3]]=Transactions[[#This Row],[L7N]],Transactions[[#This Row],[L6N]],Transactions[[#This Row],[L7N]]))))))))</f>
        <v>Heat plants - Autoproducer - municipal solid waste</v>
      </c>
      <c r="AW493" s="24" t="str">
        <f>IF(Transactions[[#This Row],[Level 4]]=Transactions[[#This Row],[Transaction name]],Transactions[[#This Row],[Transaction name]],IF(Transactions[[#This Row],[Level 4]]=Transactions[[#This Row],[L1N]],Transactions[[#This Row],[Transaction name]],IF(Transactions[[#This Row],[Level 4]]=Transactions[[#This Row],[L2N]],Transactions[[#This Row],[L1N]],IF(Transactions[[#This Row],[Level 4]]=Transactions[[#This Row],[L3N]],Transactions[[#This Row],[L2N]],IF(Transactions[[#This Row],[Level 4]]=Transactions[[#This Row],[L4N]],Transactions[[#This Row],[L3N]],IF(Transactions[[#This Row],[Level 4]]=Transactions[[#This Row],[L5N]],Transactions[[#This Row],[L4N]],IF(Transactions[[#This Row],[Level 4]]=Transactions[[#This Row],[L6N]],Transactions[[#This Row],[L5N]],IF(Transactions[[#This Row],[Level 4]]=Transactions[[#This Row],[L7N]],Transactions[[#This Row],[L6N]],Transactions[[#This Row],[L7N]]))))))))</f>
        <v>Heat plants - Autoproducer - municipal solid waste</v>
      </c>
      <c r="AX493" s="24" t="str">
        <f>IF(Transactions[[#This Row],[Level 5]]=Transactions[[#This Row],[Transaction name]],Transactions[[#This Row],[Transaction name]],IF(Transactions[[#This Row],[Level 5]]=Transactions[[#This Row],[L1N]],Transactions[[#This Row],[Transaction name]],IF(Transactions[[#This Row],[Level 5]]=Transactions[[#This Row],[L2N]],Transactions[[#This Row],[L1N]],IF(Transactions[[#This Row],[Level 5]]=Transactions[[#This Row],[L3N]],Transactions[[#This Row],[L2N]],IF(Transactions[[#This Row],[Level 5]]=Transactions[[#This Row],[L4N]],Transactions[[#This Row],[L3N]],IF(Transactions[[#This Row],[Level 5]]=Transactions[[#This Row],[L5N]],Transactions[[#This Row],[L4N]],IF(Transactions[[#This Row],[Level 5]]=Transactions[[#This Row],[L6N]],Transactions[[#This Row],[L5N]],IF(Transactions[[#This Row],[Level 5]]=Transactions[[#This Row],[L7N]],Transactions[[#This Row],[L6N]],Transactions[[#This Row],[L7N]]))))))))</f>
        <v>Heat plants - Autoproducer - municipal solid waste</v>
      </c>
      <c r="AY493" s="24" t="str">
        <f>IF(Transactions[[#This Row],[Level 6]]=Transactions[[#This Row],[Transaction name]],Transactions[[#This Row],[Transaction name]],IF(Transactions[[#This Row],[Level 6]]=Transactions[[#This Row],[L1N]],Transactions[[#This Row],[Transaction name]],IF(Transactions[[#This Row],[Level 6]]=Transactions[[#This Row],[L2N]],Transactions[[#This Row],[L1N]],IF(Transactions[[#This Row],[Level 6]]=Transactions[[#This Row],[L3N]],Transactions[[#This Row],[L2N]],IF(Transactions[[#This Row],[Level 6]]=Transactions[[#This Row],[L4N]],Transactions[[#This Row],[L3N]],IF(Transactions[[#This Row],[Level 6]]=Transactions[[#This Row],[L5N]],Transactions[[#This Row],[L4N]],IF(Transactions[[#This Row],[Level 6]]=Transactions[[#This Row],[L6N]],Transactions[[#This Row],[L5N]],IF(Transactions[[#This Row],[Level 6]]=Transactions[[#This Row],[L7N]],Transactions[[#This Row],[L6N]],Transactions[[#This Row],[L7N]]))))))))</f>
        <v>Heat plants - Autoproducer - municipal solid waste</v>
      </c>
    </row>
    <row r="494" spans="25:51" x14ac:dyDescent="0.45">
      <c r="Y494" s="5" t="s">
        <v>1148</v>
      </c>
      <c r="Z494" s="7" t="s">
        <v>1140</v>
      </c>
      <c r="AA494" s="4" t="s">
        <v>1369</v>
      </c>
      <c r="AB494" s="19" t="s">
        <v>1569</v>
      </c>
      <c r="AC494" s="24" t="str">
        <f>IFERROR(VLOOKUP(Transactions[[#This Row],[Parent code]],Transactions[[Transaction code]:[Transaction name]],2,0),"")</f>
        <v>Heat plants - municipal solid waste</v>
      </c>
      <c r="AD494" s="4" t="s">
        <v>189</v>
      </c>
      <c r="AE494" s="4" t="s">
        <v>924</v>
      </c>
      <c r="AF494" s="4" t="s">
        <v>642</v>
      </c>
      <c r="AG494" s="4" t="s">
        <v>1</v>
      </c>
      <c r="AH494" s="4" t="s">
        <v>696</v>
      </c>
      <c r="AI494" s="12" t="s">
        <v>1416</v>
      </c>
      <c r="AK494" s="24" t="str" cm="1">
        <f t="array" ref="AK494">IFERROR(INDEX(Transactions[[Transaction code]:[Transaction name]],_xlfn.XMATCH(Transactions[[#This Row],[Parent code]],Transactions[Transaction name],0),3),Transactions[[#This Row],[Transaction name]])</f>
        <v>Heat plants - Main activity - municipal solid waste</v>
      </c>
      <c r="AL494" s="24" t="str" cm="1">
        <f t="array" ref="AL494">IFERROR(INDEX(Transactions[[Transaction code]:[Transaction name]],_xlfn.XMATCH(INDEX(Transactions[[Transaction name]:[Parent code]],_xlfn.XMATCH(Transactions[[#This Row],[L1N]],Transactions[Transaction name],0),3),Transactions[Transaction code],0),2),Transactions[[#This Row],[L1N]])</f>
        <v>Heat plants - municipal solid waste</v>
      </c>
      <c r="AM494" s="24" t="str" cm="1">
        <f t="array" ref="AM494">IFERROR(INDEX(Transactions[[Transaction code]:[Transaction name]],_xlfn.XMATCH(INDEX(Transactions[[Transaction name]:[Parent code]],_xlfn.XMATCH(Transactions[[#This Row],[L2N]],Transactions[Transaction name],0),3),Transactions[Transaction code],0),2),Transactions[[#This Row],[L2N]])</f>
        <v>Heat plants</v>
      </c>
      <c r="AN494" s="24" t="str" cm="1">
        <f t="array" ref="AN494">IFERROR(INDEX(Transactions[[Transaction code]:[Transaction name]],_xlfn.XMATCH(INDEX(Transactions[[Transaction name]:[Parent code]],_xlfn.XMATCH(Transactions[[#This Row],[L3N]],Transactions[Transaction name],0),3),Transactions[Transaction code],0),2),Transactions[[#This Row],[L3N]])</f>
        <v>Electricity, CHP and heat plants (T)</v>
      </c>
      <c r="AO494" s="24" t="str" cm="1">
        <f t="array" ref="AO494">IFERROR(INDEX(Transactions[[Transaction code]:[Transaction name]],_xlfn.XMATCH(INDEX(Transactions[[Transaction name]:[Parent code]],_xlfn.XMATCH(Transactions[[#This Row],[L4N]],Transactions[Transaction name],0),3),Transactions[Transaction code],0),2),Transactions[[#This Row],[L4N]])</f>
        <v>Transformation</v>
      </c>
      <c r="AP494" s="24" t="str" cm="1">
        <f t="array" ref="AP494">IFERROR(INDEX(Transactions[[Transaction code]:[Transaction name]],_xlfn.XMATCH(INDEX(Transactions[[Transaction name]:[Parent code]],_xlfn.XMATCH(Transactions[[#This Row],[L5N]],Transactions[Transaction name],0),3),Transactions[Transaction code],0),2),Transactions[[#This Row],[L5N]])</f>
        <v>Transformation</v>
      </c>
      <c r="AQ494" s="24" t="str" cm="1">
        <f t="array" ref="AQ494">IFERROR(INDEX(Transactions[[Transaction code]:[Transaction name]],_xlfn.XMATCH(INDEX(Transactions[[Transaction name]:[Parent code]],_xlfn.XMATCH(Transactions[[#This Row],[L6N]],Transactions[Transaction name],0),3),Transactions[Transaction code],0),2),Transactions[[#This Row],[L6N]])</f>
        <v>Transformation</v>
      </c>
      <c r="AR494" s="28" t="str">
        <f>IF(Transactions[[#This Row],[L7N]]=Transactions[[#This Row],[L6N]],Transactions[[#This Row],[L7N]],IF(Transactions[[#This Row],[L6N]]=Transactions[[#This Row],[L5N]],Transactions[[#This Row],[L6N]],IF(Transactions[[#This Row],[L5N]]=Transactions[[#This Row],[L4N]],Transactions[[#This Row],[L5N]],IF(Transactions[[#This Row],[L4N]]=Transactions[[#This Row],[L3N]],Transactions[[#This Row],[L4N]],IF(Transactions[[#This Row],[L3N]]=Transactions[[#This Row],[L2N]],Transactions[[#This Row],[L3N]],IF(Transactions[[#This Row],[L2N]]=Transactions[[#This Row],[L1N]],Transactions[[#This Row],[L2N]],IF(Transactions[[#This Row],[L1N]]=Transactions[[#This Row],[Transaction name]],Transactions[[#This Row],[L1N]],Transactions[[#This Row],[Transaction name]])))))))</f>
        <v>Transformation</v>
      </c>
      <c r="AS494" s="24" t="str">
        <f>IF(Transactions[[#This Row],[Level 0]]=Transactions[[#This Row],[Transaction name]],Transactions[[#This Row],[Transaction name]],IF(Transactions[[#This Row],[Level 0]]=Transactions[[#This Row],[L1N]],Transactions[[#This Row],[Transaction name]],IF(Transactions[[#This Row],[Level 0]]=Transactions[[#This Row],[L2N]],Transactions[[#This Row],[L1N]],IF(Transactions[[#This Row],[Level 0]]=Transactions[[#This Row],[L3N]],Transactions[[#This Row],[L2N]],IF(Transactions[[#This Row],[Level 0]]=Transactions[[#This Row],[L4N]],Transactions[[#This Row],[L3N]],IF(Transactions[[#This Row],[Level 0]]=Transactions[[#This Row],[L5N]],Transactions[[#This Row],[L4N]],IF(Transactions[[#This Row],[Level 0]]=Transactions[[#This Row],[L6N]],Transactions[[#This Row],[L5N]],IF(Transactions[[#This Row],[Level 0]]=Transactions[[#This Row],[L7N]],Transactions[[#This Row],[L6N]],Transactions[[#This Row],[L7N]]))))))))</f>
        <v>Electricity, CHP and heat plants (T)</v>
      </c>
      <c r="AT494" s="24" t="str">
        <f>IF(Transactions[[#This Row],[Level 1]]=Transactions[[#This Row],[Transaction name]],Transactions[[#This Row],[Transaction name]],IF(Transactions[[#This Row],[Level 1]]=Transactions[[#This Row],[L1N]],Transactions[[#This Row],[Transaction name]],IF(Transactions[[#This Row],[Level 1]]=Transactions[[#This Row],[L2N]],Transactions[[#This Row],[L1N]],IF(Transactions[[#This Row],[Level 1]]=Transactions[[#This Row],[L3N]],Transactions[[#This Row],[L2N]],IF(Transactions[[#This Row],[Level 1]]=Transactions[[#This Row],[L4N]],Transactions[[#This Row],[L3N]],IF(Transactions[[#This Row],[Level 1]]=Transactions[[#This Row],[L5N]],Transactions[[#This Row],[L4N]],IF(Transactions[[#This Row],[Level 1]]=Transactions[[#This Row],[L6N]],Transactions[[#This Row],[L5N]],IF(Transactions[[#This Row],[Level 1]]=Transactions[[#This Row],[L7N]],Transactions[[#This Row],[L6N]],Transactions[[#This Row],[L7N]]))))))))</f>
        <v>Heat plants</v>
      </c>
      <c r="AU494" s="24" t="str">
        <f>IF(Transactions[[#This Row],[Level 2]]=Transactions[[#This Row],[Transaction name]],Transactions[[#This Row],[Transaction name]],IF(Transactions[[#This Row],[Level 2]]=Transactions[[#This Row],[L1N]],Transactions[[#This Row],[Transaction name]],IF(Transactions[[#This Row],[Level 2]]=Transactions[[#This Row],[L2N]],Transactions[[#This Row],[L1N]],IF(Transactions[[#This Row],[Level 2]]=Transactions[[#This Row],[L3N]],Transactions[[#This Row],[L2N]],IF(Transactions[[#This Row],[Level 2]]=Transactions[[#This Row],[L4N]],Transactions[[#This Row],[L3N]],IF(Transactions[[#This Row],[Level 2]]=Transactions[[#This Row],[L5N]],Transactions[[#This Row],[L4N]],IF(Transactions[[#This Row],[Level 2]]=Transactions[[#This Row],[L6N]],Transactions[[#This Row],[L5N]],IF(Transactions[[#This Row],[Level 2]]=Transactions[[#This Row],[L7N]],Transactions[[#This Row],[L6N]],Transactions[[#This Row],[L7N]]))))))))</f>
        <v>Heat plants - municipal solid waste</v>
      </c>
      <c r="AV494" s="24" t="str">
        <f>IF(Transactions[[#This Row],[Level 3]]=Transactions[[#This Row],[Transaction name]],Transactions[[#This Row],[Transaction name]],IF(Transactions[[#This Row],[Level 3]]=Transactions[[#This Row],[L1N]],Transactions[[#This Row],[Transaction name]],IF(Transactions[[#This Row],[Level 3]]=Transactions[[#This Row],[L2N]],Transactions[[#This Row],[L1N]],IF(Transactions[[#This Row],[Level 3]]=Transactions[[#This Row],[L3N]],Transactions[[#This Row],[L2N]],IF(Transactions[[#This Row],[Level 3]]=Transactions[[#This Row],[L4N]],Transactions[[#This Row],[L3N]],IF(Transactions[[#This Row],[Level 3]]=Transactions[[#This Row],[L5N]],Transactions[[#This Row],[L4N]],IF(Transactions[[#This Row],[Level 3]]=Transactions[[#This Row],[L6N]],Transactions[[#This Row],[L5N]],IF(Transactions[[#This Row],[Level 3]]=Transactions[[#This Row],[L7N]],Transactions[[#This Row],[L6N]],Transactions[[#This Row],[L7N]]))))))))</f>
        <v>Heat plants - Main activity - municipal solid waste</v>
      </c>
      <c r="AW494" s="24" t="str">
        <f>IF(Transactions[[#This Row],[Level 4]]=Transactions[[#This Row],[Transaction name]],Transactions[[#This Row],[Transaction name]],IF(Transactions[[#This Row],[Level 4]]=Transactions[[#This Row],[L1N]],Transactions[[#This Row],[Transaction name]],IF(Transactions[[#This Row],[Level 4]]=Transactions[[#This Row],[L2N]],Transactions[[#This Row],[L1N]],IF(Transactions[[#This Row],[Level 4]]=Transactions[[#This Row],[L3N]],Transactions[[#This Row],[L2N]],IF(Transactions[[#This Row],[Level 4]]=Transactions[[#This Row],[L4N]],Transactions[[#This Row],[L3N]],IF(Transactions[[#This Row],[Level 4]]=Transactions[[#This Row],[L5N]],Transactions[[#This Row],[L4N]],IF(Transactions[[#This Row],[Level 4]]=Transactions[[#This Row],[L6N]],Transactions[[#This Row],[L5N]],IF(Transactions[[#This Row],[Level 4]]=Transactions[[#This Row],[L7N]],Transactions[[#This Row],[L6N]],Transactions[[#This Row],[L7N]]))))))))</f>
        <v>Heat plants - Main activity - municipal solid waste</v>
      </c>
      <c r="AX494" s="24" t="str">
        <f>IF(Transactions[[#This Row],[Level 5]]=Transactions[[#This Row],[Transaction name]],Transactions[[#This Row],[Transaction name]],IF(Transactions[[#This Row],[Level 5]]=Transactions[[#This Row],[L1N]],Transactions[[#This Row],[Transaction name]],IF(Transactions[[#This Row],[Level 5]]=Transactions[[#This Row],[L2N]],Transactions[[#This Row],[L1N]],IF(Transactions[[#This Row],[Level 5]]=Transactions[[#This Row],[L3N]],Transactions[[#This Row],[L2N]],IF(Transactions[[#This Row],[Level 5]]=Transactions[[#This Row],[L4N]],Transactions[[#This Row],[L3N]],IF(Transactions[[#This Row],[Level 5]]=Transactions[[#This Row],[L5N]],Transactions[[#This Row],[L4N]],IF(Transactions[[#This Row],[Level 5]]=Transactions[[#This Row],[L6N]],Transactions[[#This Row],[L5N]],IF(Transactions[[#This Row],[Level 5]]=Transactions[[#This Row],[L7N]],Transactions[[#This Row],[L6N]],Transactions[[#This Row],[L7N]]))))))))</f>
        <v>Heat plants - Main activity - municipal solid waste</v>
      </c>
      <c r="AY494" s="24" t="str">
        <f>IF(Transactions[[#This Row],[Level 6]]=Transactions[[#This Row],[Transaction name]],Transactions[[#This Row],[Transaction name]],IF(Transactions[[#This Row],[Level 6]]=Transactions[[#This Row],[L1N]],Transactions[[#This Row],[Transaction name]],IF(Transactions[[#This Row],[Level 6]]=Transactions[[#This Row],[L2N]],Transactions[[#This Row],[L1N]],IF(Transactions[[#This Row],[Level 6]]=Transactions[[#This Row],[L3N]],Transactions[[#This Row],[L2N]],IF(Transactions[[#This Row],[Level 6]]=Transactions[[#This Row],[L4N]],Transactions[[#This Row],[L3N]],IF(Transactions[[#This Row],[Level 6]]=Transactions[[#This Row],[L5N]],Transactions[[#This Row],[L4N]],IF(Transactions[[#This Row],[Level 6]]=Transactions[[#This Row],[L6N]],Transactions[[#This Row],[L5N]],IF(Transactions[[#This Row],[Level 6]]=Transactions[[#This Row],[L7N]],Transactions[[#This Row],[L6N]],Transactions[[#This Row],[L7N]]))))))))</f>
        <v>Heat plants - Main activity - municipal solid waste</v>
      </c>
    </row>
    <row r="495" spans="25:51" x14ac:dyDescent="0.45">
      <c r="Y495" s="19" t="s">
        <v>1569</v>
      </c>
      <c r="Z495" s="18" t="s">
        <v>1369</v>
      </c>
      <c r="AA495" s="18" t="s">
        <v>1369</v>
      </c>
      <c r="AB495" s="19" t="s">
        <v>1574</v>
      </c>
      <c r="AC495" s="26" t="str">
        <f>IFERROR(VLOOKUP(Transactions[[#This Row],[Parent code]],Transactions[[Transaction code]:[Transaction name]],2,0),"")</f>
        <v>Heat plants</v>
      </c>
      <c r="AD495" s="18" t="s">
        <v>189</v>
      </c>
      <c r="AE495" s="18" t="s">
        <v>924</v>
      </c>
      <c r="AF495" s="18" t="s">
        <v>642</v>
      </c>
      <c r="AG495" s="18" t="s">
        <v>1</v>
      </c>
      <c r="AH495" s="18" t="s">
        <v>696</v>
      </c>
      <c r="AI495" s="18" t="s">
        <v>1416</v>
      </c>
      <c r="AJ495" s="18"/>
      <c r="AK495" s="26" t="str" cm="1">
        <f t="array" ref="AK495">IFERROR(INDEX(Transactions[[Transaction code]:[Transaction name]],_xlfn.XMATCH(Transactions[[#This Row],[Parent code]],Transactions[Transaction name],0),3),Transactions[[#This Row],[Transaction name]])</f>
        <v>Heat plants - municipal solid waste</v>
      </c>
      <c r="AL495" s="26" t="str" cm="1">
        <f t="array" ref="AL495">IFERROR(INDEX(Transactions[[Transaction code]:[Transaction name]],_xlfn.XMATCH(INDEX(Transactions[[Transaction name]:[Parent code]],_xlfn.XMATCH(Transactions[[#This Row],[L1N]],Transactions[Transaction name],0),3),Transactions[Transaction code],0),2),Transactions[[#This Row],[L1N]])</f>
        <v>Heat plants</v>
      </c>
      <c r="AM495" s="26" t="str" cm="1">
        <f t="array" ref="AM495">IFERROR(INDEX(Transactions[[Transaction code]:[Transaction name]],_xlfn.XMATCH(INDEX(Transactions[[Transaction name]:[Parent code]],_xlfn.XMATCH(Transactions[[#This Row],[L2N]],Transactions[Transaction name],0),3),Transactions[Transaction code],0),2),Transactions[[#This Row],[L2N]])</f>
        <v>Electricity, CHP and heat plants (T)</v>
      </c>
      <c r="AN495" s="26" t="str" cm="1">
        <f t="array" ref="AN495">IFERROR(INDEX(Transactions[[Transaction code]:[Transaction name]],_xlfn.XMATCH(INDEX(Transactions[[Transaction name]:[Parent code]],_xlfn.XMATCH(Transactions[[#This Row],[L3N]],Transactions[Transaction name],0),3),Transactions[Transaction code],0),2),Transactions[[#This Row],[L3N]])</f>
        <v>Transformation</v>
      </c>
      <c r="AO495" s="26" t="str" cm="1">
        <f t="array" ref="AO495">IFERROR(INDEX(Transactions[[Transaction code]:[Transaction name]],_xlfn.XMATCH(INDEX(Transactions[[Transaction name]:[Parent code]],_xlfn.XMATCH(Transactions[[#This Row],[L4N]],Transactions[Transaction name],0),3),Transactions[Transaction code],0),2),Transactions[[#This Row],[L4N]])</f>
        <v>Transformation</v>
      </c>
      <c r="AP495" s="26" t="str" cm="1">
        <f t="array" ref="AP495">IFERROR(INDEX(Transactions[[Transaction code]:[Transaction name]],_xlfn.XMATCH(INDEX(Transactions[[Transaction name]:[Parent code]],_xlfn.XMATCH(Transactions[[#This Row],[L5N]],Transactions[Transaction name],0),3),Transactions[Transaction code],0),2),Transactions[[#This Row],[L5N]])</f>
        <v>Transformation</v>
      </c>
      <c r="AQ495" s="26" t="str" cm="1">
        <f t="array" ref="AQ495">IFERROR(INDEX(Transactions[[Transaction code]:[Transaction name]],_xlfn.XMATCH(INDEX(Transactions[[Transaction name]:[Parent code]],_xlfn.XMATCH(Transactions[[#This Row],[L6N]],Transactions[Transaction name],0),3),Transactions[Transaction code],0),2),Transactions[[#This Row],[L6N]])</f>
        <v>Transformation</v>
      </c>
      <c r="AR495" s="29" t="str">
        <f>IF(Transactions[[#This Row],[L7N]]=Transactions[[#This Row],[L6N]],Transactions[[#This Row],[L7N]],IF(Transactions[[#This Row],[L6N]]=Transactions[[#This Row],[L5N]],Transactions[[#This Row],[L6N]],IF(Transactions[[#This Row],[L5N]]=Transactions[[#This Row],[L4N]],Transactions[[#This Row],[L5N]],IF(Transactions[[#This Row],[L4N]]=Transactions[[#This Row],[L3N]],Transactions[[#This Row],[L4N]],IF(Transactions[[#This Row],[L3N]]=Transactions[[#This Row],[L2N]],Transactions[[#This Row],[L3N]],IF(Transactions[[#This Row],[L2N]]=Transactions[[#This Row],[L1N]],Transactions[[#This Row],[L2N]],IF(Transactions[[#This Row],[L1N]]=Transactions[[#This Row],[Transaction name]],Transactions[[#This Row],[L1N]],Transactions[[#This Row],[Transaction name]])))))))</f>
        <v>Transformation</v>
      </c>
      <c r="AS495" s="26" t="str">
        <f>IF(Transactions[[#This Row],[Level 0]]=Transactions[[#This Row],[Transaction name]],Transactions[[#This Row],[Transaction name]],IF(Transactions[[#This Row],[Level 0]]=Transactions[[#This Row],[L1N]],Transactions[[#This Row],[Transaction name]],IF(Transactions[[#This Row],[Level 0]]=Transactions[[#This Row],[L2N]],Transactions[[#This Row],[L1N]],IF(Transactions[[#This Row],[Level 0]]=Transactions[[#This Row],[L3N]],Transactions[[#This Row],[L2N]],IF(Transactions[[#This Row],[Level 0]]=Transactions[[#This Row],[L4N]],Transactions[[#This Row],[L3N]],IF(Transactions[[#This Row],[Level 0]]=Transactions[[#This Row],[L5N]],Transactions[[#This Row],[L4N]],IF(Transactions[[#This Row],[Level 0]]=Transactions[[#This Row],[L6N]],Transactions[[#This Row],[L5N]],IF(Transactions[[#This Row],[Level 0]]=Transactions[[#This Row],[L7N]],Transactions[[#This Row],[L6N]],Transactions[[#This Row],[L7N]]))))))))</f>
        <v>Electricity, CHP and heat plants (T)</v>
      </c>
      <c r="AT495" s="26" t="str">
        <f>IF(Transactions[[#This Row],[Level 1]]=Transactions[[#This Row],[Transaction name]],Transactions[[#This Row],[Transaction name]],IF(Transactions[[#This Row],[Level 1]]=Transactions[[#This Row],[L1N]],Transactions[[#This Row],[Transaction name]],IF(Transactions[[#This Row],[Level 1]]=Transactions[[#This Row],[L2N]],Transactions[[#This Row],[L1N]],IF(Transactions[[#This Row],[Level 1]]=Transactions[[#This Row],[L3N]],Transactions[[#This Row],[L2N]],IF(Transactions[[#This Row],[Level 1]]=Transactions[[#This Row],[L4N]],Transactions[[#This Row],[L3N]],IF(Transactions[[#This Row],[Level 1]]=Transactions[[#This Row],[L5N]],Transactions[[#This Row],[L4N]],IF(Transactions[[#This Row],[Level 1]]=Transactions[[#This Row],[L6N]],Transactions[[#This Row],[L5N]],IF(Transactions[[#This Row],[Level 1]]=Transactions[[#This Row],[L7N]],Transactions[[#This Row],[L6N]],Transactions[[#This Row],[L7N]]))))))))</f>
        <v>Heat plants</v>
      </c>
      <c r="AU495" s="26" t="str">
        <f>IF(Transactions[[#This Row],[Level 2]]=Transactions[[#This Row],[Transaction name]],Transactions[[#This Row],[Transaction name]],IF(Transactions[[#This Row],[Level 2]]=Transactions[[#This Row],[L1N]],Transactions[[#This Row],[Transaction name]],IF(Transactions[[#This Row],[Level 2]]=Transactions[[#This Row],[L2N]],Transactions[[#This Row],[L1N]],IF(Transactions[[#This Row],[Level 2]]=Transactions[[#This Row],[L3N]],Transactions[[#This Row],[L2N]],IF(Transactions[[#This Row],[Level 2]]=Transactions[[#This Row],[L4N]],Transactions[[#This Row],[L3N]],IF(Transactions[[#This Row],[Level 2]]=Transactions[[#This Row],[L5N]],Transactions[[#This Row],[L4N]],IF(Transactions[[#This Row],[Level 2]]=Transactions[[#This Row],[L6N]],Transactions[[#This Row],[L5N]],IF(Transactions[[#This Row],[Level 2]]=Transactions[[#This Row],[L7N]],Transactions[[#This Row],[L6N]],Transactions[[#This Row],[L7N]]))))))))</f>
        <v>Heat plants - municipal solid waste</v>
      </c>
      <c r="AV495" s="26" t="str">
        <f>IF(Transactions[[#This Row],[Level 3]]=Transactions[[#This Row],[Transaction name]],Transactions[[#This Row],[Transaction name]],IF(Transactions[[#This Row],[Level 3]]=Transactions[[#This Row],[L1N]],Transactions[[#This Row],[Transaction name]],IF(Transactions[[#This Row],[Level 3]]=Transactions[[#This Row],[L2N]],Transactions[[#This Row],[L1N]],IF(Transactions[[#This Row],[Level 3]]=Transactions[[#This Row],[L3N]],Transactions[[#This Row],[L2N]],IF(Transactions[[#This Row],[Level 3]]=Transactions[[#This Row],[L4N]],Transactions[[#This Row],[L3N]],IF(Transactions[[#This Row],[Level 3]]=Transactions[[#This Row],[L5N]],Transactions[[#This Row],[L4N]],IF(Transactions[[#This Row],[Level 3]]=Transactions[[#This Row],[L6N]],Transactions[[#This Row],[L5N]],IF(Transactions[[#This Row],[Level 3]]=Transactions[[#This Row],[L7N]],Transactions[[#This Row],[L6N]],Transactions[[#This Row],[L7N]]))))))))</f>
        <v>Heat plants - municipal solid waste</v>
      </c>
      <c r="AW495" s="26" t="str">
        <f>IF(Transactions[[#This Row],[Level 4]]=Transactions[[#This Row],[Transaction name]],Transactions[[#This Row],[Transaction name]],IF(Transactions[[#This Row],[Level 4]]=Transactions[[#This Row],[L1N]],Transactions[[#This Row],[Transaction name]],IF(Transactions[[#This Row],[Level 4]]=Transactions[[#This Row],[L2N]],Transactions[[#This Row],[L1N]],IF(Transactions[[#This Row],[Level 4]]=Transactions[[#This Row],[L3N]],Transactions[[#This Row],[L2N]],IF(Transactions[[#This Row],[Level 4]]=Transactions[[#This Row],[L4N]],Transactions[[#This Row],[L3N]],IF(Transactions[[#This Row],[Level 4]]=Transactions[[#This Row],[L5N]],Transactions[[#This Row],[L4N]],IF(Transactions[[#This Row],[Level 4]]=Transactions[[#This Row],[L6N]],Transactions[[#This Row],[L5N]],IF(Transactions[[#This Row],[Level 4]]=Transactions[[#This Row],[L7N]],Transactions[[#This Row],[L6N]],Transactions[[#This Row],[L7N]]))))))))</f>
        <v>Heat plants - municipal solid waste</v>
      </c>
      <c r="AX495" s="26" t="str">
        <f>IF(Transactions[[#This Row],[Level 5]]=Transactions[[#This Row],[Transaction name]],Transactions[[#This Row],[Transaction name]],IF(Transactions[[#This Row],[Level 5]]=Transactions[[#This Row],[L1N]],Transactions[[#This Row],[Transaction name]],IF(Transactions[[#This Row],[Level 5]]=Transactions[[#This Row],[L2N]],Transactions[[#This Row],[L1N]],IF(Transactions[[#This Row],[Level 5]]=Transactions[[#This Row],[L3N]],Transactions[[#This Row],[L2N]],IF(Transactions[[#This Row],[Level 5]]=Transactions[[#This Row],[L4N]],Transactions[[#This Row],[L3N]],IF(Transactions[[#This Row],[Level 5]]=Transactions[[#This Row],[L5N]],Transactions[[#This Row],[L4N]],IF(Transactions[[#This Row],[Level 5]]=Transactions[[#This Row],[L6N]],Transactions[[#This Row],[L5N]],IF(Transactions[[#This Row],[Level 5]]=Transactions[[#This Row],[L7N]],Transactions[[#This Row],[L6N]],Transactions[[#This Row],[L7N]]))))))))</f>
        <v>Heat plants - municipal solid waste</v>
      </c>
      <c r="AY495" s="26" t="str">
        <f>IF(Transactions[[#This Row],[Level 6]]=Transactions[[#This Row],[Transaction name]],Transactions[[#This Row],[Transaction name]],IF(Transactions[[#This Row],[Level 6]]=Transactions[[#This Row],[L1N]],Transactions[[#This Row],[Transaction name]],IF(Transactions[[#This Row],[Level 6]]=Transactions[[#This Row],[L2N]],Transactions[[#This Row],[L1N]],IF(Transactions[[#This Row],[Level 6]]=Transactions[[#This Row],[L3N]],Transactions[[#This Row],[L2N]],IF(Transactions[[#This Row],[Level 6]]=Transactions[[#This Row],[L4N]],Transactions[[#This Row],[L3N]],IF(Transactions[[#This Row],[Level 6]]=Transactions[[#This Row],[L5N]],Transactions[[#This Row],[L4N]],IF(Transactions[[#This Row],[Level 6]]=Transactions[[#This Row],[L6N]],Transactions[[#This Row],[L5N]],IF(Transactions[[#This Row],[Level 6]]=Transactions[[#This Row],[L7N]],Transactions[[#This Row],[L6N]],Transactions[[#This Row],[L7N]]))))))))</f>
        <v>Heat plants - municipal solid waste</v>
      </c>
    </row>
    <row r="496" spans="25:51" x14ac:dyDescent="0.45">
      <c r="Y496" s="5" t="s">
        <v>1290</v>
      </c>
      <c r="Z496" s="7" t="s">
        <v>1239</v>
      </c>
      <c r="AA496" s="4" t="s">
        <v>1405</v>
      </c>
      <c r="AB496" s="19" t="s">
        <v>1571</v>
      </c>
      <c r="AC496" s="24" t="str">
        <f>IFERROR(VLOOKUP(Transactions[[#This Row],[Parent code]],Transactions[[Transaction code]:[Transaction name]],2,0),"")</f>
        <v>Heat plants - natural gas</v>
      </c>
      <c r="AD496" s="4" t="s">
        <v>189</v>
      </c>
      <c r="AE496" s="4" t="s">
        <v>924</v>
      </c>
      <c r="AF496" s="4" t="s">
        <v>642</v>
      </c>
      <c r="AG496" s="4" t="s">
        <v>1</v>
      </c>
      <c r="AH496" s="4" t="s">
        <v>696</v>
      </c>
      <c r="AI496" s="12" t="s">
        <v>1416</v>
      </c>
      <c r="AK496" s="24" t="str" cm="1">
        <f t="array" ref="AK496">IFERROR(INDEX(Transactions[[Transaction code]:[Transaction name]],_xlfn.XMATCH(Transactions[[#This Row],[Parent code]],Transactions[Transaction name],0),3),Transactions[[#This Row],[Transaction name]])</f>
        <v>Heat plants - Autoproducer - natural gas</v>
      </c>
      <c r="AL496" s="24" t="str" cm="1">
        <f t="array" ref="AL496">IFERROR(INDEX(Transactions[[Transaction code]:[Transaction name]],_xlfn.XMATCH(INDEX(Transactions[[Transaction name]:[Parent code]],_xlfn.XMATCH(Transactions[[#This Row],[L1N]],Transactions[Transaction name],0),3),Transactions[Transaction code],0),2),Transactions[[#This Row],[L1N]])</f>
        <v>Heat plants - natural gas</v>
      </c>
      <c r="AM496" s="24" t="str" cm="1">
        <f t="array" ref="AM496">IFERROR(INDEX(Transactions[[Transaction code]:[Transaction name]],_xlfn.XMATCH(INDEX(Transactions[[Transaction name]:[Parent code]],_xlfn.XMATCH(Transactions[[#This Row],[L2N]],Transactions[Transaction name],0),3),Transactions[Transaction code],0),2),Transactions[[#This Row],[L2N]])</f>
        <v>Heat plants</v>
      </c>
      <c r="AN496" s="24" t="str" cm="1">
        <f t="array" ref="AN496">IFERROR(INDEX(Transactions[[Transaction code]:[Transaction name]],_xlfn.XMATCH(INDEX(Transactions[[Transaction name]:[Parent code]],_xlfn.XMATCH(Transactions[[#This Row],[L3N]],Transactions[Transaction name],0),3),Transactions[Transaction code],0),2),Transactions[[#This Row],[L3N]])</f>
        <v>Electricity, CHP and heat plants (T)</v>
      </c>
      <c r="AO496" s="24" t="str" cm="1">
        <f t="array" ref="AO496">IFERROR(INDEX(Transactions[[Transaction code]:[Transaction name]],_xlfn.XMATCH(INDEX(Transactions[[Transaction name]:[Parent code]],_xlfn.XMATCH(Transactions[[#This Row],[L4N]],Transactions[Transaction name],0),3),Transactions[Transaction code],0),2),Transactions[[#This Row],[L4N]])</f>
        <v>Transformation</v>
      </c>
      <c r="AP496" s="24" t="str" cm="1">
        <f t="array" ref="AP496">IFERROR(INDEX(Transactions[[Transaction code]:[Transaction name]],_xlfn.XMATCH(INDEX(Transactions[[Transaction name]:[Parent code]],_xlfn.XMATCH(Transactions[[#This Row],[L5N]],Transactions[Transaction name],0),3),Transactions[Transaction code],0),2),Transactions[[#This Row],[L5N]])</f>
        <v>Transformation</v>
      </c>
      <c r="AQ496" s="24" t="str" cm="1">
        <f t="array" ref="AQ496">IFERROR(INDEX(Transactions[[Transaction code]:[Transaction name]],_xlfn.XMATCH(INDEX(Transactions[[Transaction name]:[Parent code]],_xlfn.XMATCH(Transactions[[#This Row],[L6N]],Transactions[Transaction name],0),3),Transactions[Transaction code],0),2),Transactions[[#This Row],[L6N]])</f>
        <v>Transformation</v>
      </c>
      <c r="AR496" s="28" t="str">
        <f>IF(Transactions[[#This Row],[L7N]]=Transactions[[#This Row],[L6N]],Transactions[[#This Row],[L7N]],IF(Transactions[[#This Row],[L6N]]=Transactions[[#This Row],[L5N]],Transactions[[#This Row],[L6N]],IF(Transactions[[#This Row],[L5N]]=Transactions[[#This Row],[L4N]],Transactions[[#This Row],[L5N]],IF(Transactions[[#This Row],[L4N]]=Transactions[[#This Row],[L3N]],Transactions[[#This Row],[L4N]],IF(Transactions[[#This Row],[L3N]]=Transactions[[#This Row],[L2N]],Transactions[[#This Row],[L3N]],IF(Transactions[[#This Row],[L2N]]=Transactions[[#This Row],[L1N]],Transactions[[#This Row],[L2N]],IF(Transactions[[#This Row],[L1N]]=Transactions[[#This Row],[Transaction name]],Transactions[[#This Row],[L1N]],Transactions[[#This Row],[Transaction name]])))))))</f>
        <v>Transformation</v>
      </c>
      <c r="AS496" s="24" t="str">
        <f>IF(Transactions[[#This Row],[Level 0]]=Transactions[[#This Row],[Transaction name]],Transactions[[#This Row],[Transaction name]],IF(Transactions[[#This Row],[Level 0]]=Transactions[[#This Row],[L1N]],Transactions[[#This Row],[Transaction name]],IF(Transactions[[#This Row],[Level 0]]=Transactions[[#This Row],[L2N]],Transactions[[#This Row],[L1N]],IF(Transactions[[#This Row],[Level 0]]=Transactions[[#This Row],[L3N]],Transactions[[#This Row],[L2N]],IF(Transactions[[#This Row],[Level 0]]=Transactions[[#This Row],[L4N]],Transactions[[#This Row],[L3N]],IF(Transactions[[#This Row],[Level 0]]=Transactions[[#This Row],[L5N]],Transactions[[#This Row],[L4N]],IF(Transactions[[#This Row],[Level 0]]=Transactions[[#This Row],[L6N]],Transactions[[#This Row],[L5N]],IF(Transactions[[#This Row],[Level 0]]=Transactions[[#This Row],[L7N]],Transactions[[#This Row],[L6N]],Transactions[[#This Row],[L7N]]))))))))</f>
        <v>Electricity, CHP and heat plants (T)</v>
      </c>
      <c r="AT496" s="24" t="str">
        <f>IF(Transactions[[#This Row],[Level 1]]=Transactions[[#This Row],[Transaction name]],Transactions[[#This Row],[Transaction name]],IF(Transactions[[#This Row],[Level 1]]=Transactions[[#This Row],[L1N]],Transactions[[#This Row],[Transaction name]],IF(Transactions[[#This Row],[Level 1]]=Transactions[[#This Row],[L2N]],Transactions[[#This Row],[L1N]],IF(Transactions[[#This Row],[Level 1]]=Transactions[[#This Row],[L3N]],Transactions[[#This Row],[L2N]],IF(Transactions[[#This Row],[Level 1]]=Transactions[[#This Row],[L4N]],Transactions[[#This Row],[L3N]],IF(Transactions[[#This Row],[Level 1]]=Transactions[[#This Row],[L5N]],Transactions[[#This Row],[L4N]],IF(Transactions[[#This Row],[Level 1]]=Transactions[[#This Row],[L6N]],Transactions[[#This Row],[L5N]],IF(Transactions[[#This Row],[Level 1]]=Transactions[[#This Row],[L7N]],Transactions[[#This Row],[L6N]],Transactions[[#This Row],[L7N]]))))))))</f>
        <v>Heat plants</v>
      </c>
      <c r="AU496" s="24" t="str">
        <f>IF(Transactions[[#This Row],[Level 2]]=Transactions[[#This Row],[Transaction name]],Transactions[[#This Row],[Transaction name]],IF(Transactions[[#This Row],[Level 2]]=Transactions[[#This Row],[L1N]],Transactions[[#This Row],[Transaction name]],IF(Transactions[[#This Row],[Level 2]]=Transactions[[#This Row],[L2N]],Transactions[[#This Row],[L1N]],IF(Transactions[[#This Row],[Level 2]]=Transactions[[#This Row],[L3N]],Transactions[[#This Row],[L2N]],IF(Transactions[[#This Row],[Level 2]]=Transactions[[#This Row],[L4N]],Transactions[[#This Row],[L3N]],IF(Transactions[[#This Row],[Level 2]]=Transactions[[#This Row],[L5N]],Transactions[[#This Row],[L4N]],IF(Transactions[[#This Row],[Level 2]]=Transactions[[#This Row],[L6N]],Transactions[[#This Row],[L5N]],IF(Transactions[[#This Row],[Level 2]]=Transactions[[#This Row],[L7N]],Transactions[[#This Row],[L6N]],Transactions[[#This Row],[L7N]]))))))))</f>
        <v>Heat plants - natural gas</v>
      </c>
      <c r="AV496" s="24" t="str">
        <f>IF(Transactions[[#This Row],[Level 3]]=Transactions[[#This Row],[Transaction name]],Transactions[[#This Row],[Transaction name]],IF(Transactions[[#This Row],[Level 3]]=Transactions[[#This Row],[L1N]],Transactions[[#This Row],[Transaction name]],IF(Transactions[[#This Row],[Level 3]]=Transactions[[#This Row],[L2N]],Transactions[[#This Row],[L1N]],IF(Transactions[[#This Row],[Level 3]]=Transactions[[#This Row],[L3N]],Transactions[[#This Row],[L2N]],IF(Transactions[[#This Row],[Level 3]]=Transactions[[#This Row],[L4N]],Transactions[[#This Row],[L3N]],IF(Transactions[[#This Row],[Level 3]]=Transactions[[#This Row],[L5N]],Transactions[[#This Row],[L4N]],IF(Transactions[[#This Row],[Level 3]]=Transactions[[#This Row],[L6N]],Transactions[[#This Row],[L5N]],IF(Transactions[[#This Row],[Level 3]]=Transactions[[#This Row],[L7N]],Transactions[[#This Row],[L6N]],Transactions[[#This Row],[L7N]]))))))))</f>
        <v>Heat plants - Autoproducer - natural gas</v>
      </c>
      <c r="AW496" s="24" t="str">
        <f>IF(Transactions[[#This Row],[Level 4]]=Transactions[[#This Row],[Transaction name]],Transactions[[#This Row],[Transaction name]],IF(Transactions[[#This Row],[Level 4]]=Transactions[[#This Row],[L1N]],Transactions[[#This Row],[Transaction name]],IF(Transactions[[#This Row],[Level 4]]=Transactions[[#This Row],[L2N]],Transactions[[#This Row],[L1N]],IF(Transactions[[#This Row],[Level 4]]=Transactions[[#This Row],[L3N]],Transactions[[#This Row],[L2N]],IF(Transactions[[#This Row],[Level 4]]=Transactions[[#This Row],[L4N]],Transactions[[#This Row],[L3N]],IF(Transactions[[#This Row],[Level 4]]=Transactions[[#This Row],[L5N]],Transactions[[#This Row],[L4N]],IF(Transactions[[#This Row],[Level 4]]=Transactions[[#This Row],[L6N]],Transactions[[#This Row],[L5N]],IF(Transactions[[#This Row],[Level 4]]=Transactions[[#This Row],[L7N]],Transactions[[#This Row],[L6N]],Transactions[[#This Row],[L7N]]))))))))</f>
        <v>Heat plants - Autoproducer - natural gas</v>
      </c>
      <c r="AX496" s="24" t="str">
        <f>IF(Transactions[[#This Row],[Level 5]]=Transactions[[#This Row],[Transaction name]],Transactions[[#This Row],[Transaction name]],IF(Transactions[[#This Row],[Level 5]]=Transactions[[#This Row],[L1N]],Transactions[[#This Row],[Transaction name]],IF(Transactions[[#This Row],[Level 5]]=Transactions[[#This Row],[L2N]],Transactions[[#This Row],[L1N]],IF(Transactions[[#This Row],[Level 5]]=Transactions[[#This Row],[L3N]],Transactions[[#This Row],[L2N]],IF(Transactions[[#This Row],[Level 5]]=Transactions[[#This Row],[L4N]],Transactions[[#This Row],[L3N]],IF(Transactions[[#This Row],[Level 5]]=Transactions[[#This Row],[L5N]],Transactions[[#This Row],[L4N]],IF(Transactions[[#This Row],[Level 5]]=Transactions[[#This Row],[L6N]],Transactions[[#This Row],[L5N]],IF(Transactions[[#This Row],[Level 5]]=Transactions[[#This Row],[L7N]],Transactions[[#This Row],[L6N]],Transactions[[#This Row],[L7N]]))))))))</f>
        <v>Heat plants - Autoproducer - natural gas</v>
      </c>
      <c r="AY496" s="24" t="str">
        <f>IF(Transactions[[#This Row],[Level 6]]=Transactions[[#This Row],[Transaction name]],Transactions[[#This Row],[Transaction name]],IF(Transactions[[#This Row],[Level 6]]=Transactions[[#This Row],[L1N]],Transactions[[#This Row],[Transaction name]],IF(Transactions[[#This Row],[Level 6]]=Transactions[[#This Row],[L2N]],Transactions[[#This Row],[L1N]],IF(Transactions[[#This Row],[Level 6]]=Transactions[[#This Row],[L3N]],Transactions[[#This Row],[L2N]],IF(Transactions[[#This Row],[Level 6]]=Transactions[[#This Row],[L4N]],Transactions[[#This Row],[L3N]],IF(Transactions[[#This Row],[Level 6]]=Transactions[[#This Row],[L5N]],Transactions[[#This Row],[L4N]],IF(Transactions[[#This Row],[Level 6]]=Transactions[[#This Row],[L6N]],Transactions[[#This Row],[L5N]],IF(Transactions[[#This Row],[Level 6]]=Transactions[[#This Row],[L7N]],Transactions[[#This Row],[L6N]],Transactions[[#This Row],[L7N]]))))))))</f>
        <v>Heat plants - Autoproducer - natural gas</v>
      </c>
    </row>
    <row r="497" spans="25:51" x14ac:dyDescent="0.45">
      <c r="Y497" s="5" t="s">
        <v>1286</v>
      </c>
      <c r="Z497" s="7" t="s">
        <v>1235</v>
      </c>
      <c r="AA497" s="4" t="s">
        <v>1405</v>
      </c>
      <c r="AB497" s="19" t="s">
        <v>1571</v>
      </c>
      <c r="AC497" s="24" t="str">
        <f>IFERROR(VLOOKUP(Transactions[[#This Row],[Parent code]],Transactions[[Transaction code]:[Transaction name]],2,0),"")</f>
        <v>Heat plants - natural gas</v>
      </c>
      <c r="AD497" s="4" t="s">
        <v>189</v>
      </c>
      <c r="AE497" s="4" t="s">
        <v>924</v>
      </c>
      <c r="AF497" s="4" t="s">
        <v>642</v>
      </c>
      <c r="AG497" s="4" t="s">
        <v>1</v>
      </c>
      <c r="AH497" s="4" t="s">
        <v>696</v>
      </c>
      <c r="AI497" s="12" t="s">
        <v>1416</v>
      </c>
      <c r="AK497" s="24" t="str" cm="1">
        <f t="array" ref="AK497">IFERROR(INDEX(Transactions[[Transaction code]:[Transaction name]],_xlfn.XMATCH(Transactions[[#This Row],[Parent code]],Transactions[Transaction name],0),3),Transactions[[#This Row],[Transaction name]])</f>
        <v>Heat plants - Main activity - natural gas</v>
      </c>
      <c r="AL497" s="24" t="str" cm="1">
        <f t="array" ref="AL497">IFERROR(INDEX(Transactions[[Transaction code]:[Transaction name]],_xlfn.XMATCH(INDEX(Transactions[[Transaction name]:[Parent code]],_xlfn.XMATCH(Transactions[[#This Row],[L1N]],Transactions[Transaction name],0),3),Transactions[Transaction code],0),2),Transactions[[#This Row],[L1N]])</f>
        <v>Heat plants - natural gas</v>
      </c>
      <c r="AM497" s="24" t="str" cm="1">
        <f t="array" ref="AM497">IFERROR(INDEX(Transactions[[Transaction code]:[Transaction name]],_xlfn.XMATCH(INDEX(Transactions[[Transaction name]:[Parent code]],_xlfn.XMATCH(Transactions[[#This Row],[L2N]],Transactions[Transaction name],0),3),Transactions[Transaction code],0),2),Transactions[[#This Row],[L2N]])</f>
        <v>Heat plants</v>
      </c>
      <c r="AN497" s="24" t="str" cm="1">
        <f t="array" ref="AN497">IFERROR(INDEX(Transactions[[Transaction code]:[Transaction name]],_xlfn.XMATCH(INDEX(Transactions[[Transaction name]:[Parent code]],_xlfn.XMATCH(Transactions[[#This Row],[L3N]],Transactions[Transaction name],0),3),Transactions[Transaction code],0),2),Transactions[[#This Row],[L3N]])</f>
        <v>Electricity, CHP and heat plants (T)</v>
      </c>
      <c r="AO497" s="24" t="str" cm="1">
        <f t="array" ref="AO497">IFERROR(INDEX(Transactions[[Transaction code]:[Transaction name]],_xlfn.XMATCH(INDEX(Transactions[[Transaction name]:[Parent code]],_xlfn.XMATCH(Transactions[[#This Row],[L4N]],Transactions[Transaction name],0),3),Transactions[Transaction code],0),2),Transactions[[#This Row],[L4N]])</f>
        <v>Transformation</v>
      </c>
      <c r="AP497" s="24" t="str" cm="1">
        <f t="array" ref="AP497">IFERROR(INDEX(Transactions[[Transaction code]:[Transaction name]],_xlfn.XMATCH(INDEX(Transactions[[Transaction name]:[Parent code]],_xlfn.XMATCH(Transactions[[#This Row],[L5N]],Transactions[Transaction name],0),3),Transactions[Transaction code],0),2),Transactions[[#This Row],[L5N]])</f>
        <v>Transformation</v>
      </c>
      <c r="AQ497" s="24" t="str" cm="1">
        <f t="array" ref="AQ497">IFERROR(INDEX(Transactions[[Transaction code]:[Transaction name]],_xlfn.XMATCH(INDEX(Transactions[[Transaction name]:[Parent code]],_xlfn.XMATCH(Transactions[[#This Row],[L6N]],Transactions[Transaction name],0),3),Transactions[Transaction code],0),2),Transactions[[#This Row],[L6N]])</f>
        <v>Transformation</v>
      </c>
      <c r="AR497" s="28" t="str">
        <f>IF(Transactions[[#This Row],[L7N]]=Transactions[[#This Row],[L6N]],Transactions[[#This Row],[L7N]],IF(Transactions[[#This Row],[L6N]]=Transactions[[#This Row],[L5N]],Transactions[[#This Row],[L6N]],IF(Transactions[[#This Row],[L5N]]=Transactions[[#This Row],[L4N]],Transactions[[#This Row],[L5N]],IF(Transactions[[#This Row],[L4N]]=Transactions[[#This Row],[L3N]],Transactions[[#This Row],[L4N]],IF(Transactions[[#This Row],[L3N]]=Transactions[[#This Row],[L2N]],Transactions[[#This Row],[L3N]],IF(Transactions[[#This Row],[L2N]]=Transactions[[#This Row],[L1N]],Transactions[[#This Row],[L2N]],IF(Transactions[[#This Row],[L1N]]=Transactions[[#This Row],[Transaction name]],Transactions[[#This Row],[L1N]],Transactions[[#This Row],[Transaction name]])))))))</f>
        <v>Transformation</v>
      </c>
      <c r="AS497" s="24" t="str">
        <f>IF(Transactions[[#This Row],[Level 0]]=Transactions[[#This Row],[Transaction name]],Transactions[[#This Row],[Transaction name]],IF(Transactions[[#This Row],[Level 0]]=Transactions[[#This Row],[L1N]],Transactions[[#This Row],[Transaction name]],IF(Transactions[[#This Row],[Level 0]]=Transactions[[#This Row],[L2N]],Transactions[[#This Row],[L1N]],IF(Transactions[[#This Row],[Level 0]]=Transactions[[#This Row],[L3N]],Transactions[[#This Row],[L2N]],IF(Transactions[[#This Row],[Level 0]]=Transactions[[#This Row],[L4N]],Transactions[[#This Row],[L3N]],IF(Transactions[[#This Row],[Level 0]]=Transactions[[#This Row],[L5N]],Transactions[[#This Row],[L4N]],IF(Transactions[[#This Row],[Level 0]]=Transactions[[#This Row],[L6N]],Transactions[[#This Row],[L5N]],IF(Transactions[[#This Row],[Level 0]]=Transactions[[#This Row],[L7N]],Transactions[[#This Row],[L6N]],Transactions[[#This Row],[L7N]]))))))))</f>
        <v>Electricity, CHP and heat plants (T)</v>
      </c>
      <c r="AT497" s="24" t="str">
        <f>IF(Transactions[[#This Row],[Level 1]]=Transactions[[#This Row],[Transaction name]],Transactions[[#This Row],[Transaction name]],IF(Transactions[[#This Row],[Level 1]]=Transactions[[#This Row],[L1N]],Transactions[[#This Row],[Transaction name]],IF(Transactions[[#This Row],[Level 1]]=Transactions[[#This Row],[L2N]],Transactions[[#This Row],[L1N]],IF(Transactions[[#This Row],[Level 1]]=Transactions[[#This Row],[L3N]],Transactions[[#This Row],[L2N]],IF(Transactions[[#This Row],[Level 1]]=Transactions[[#This Row],[L4N]],Transactions[[#This Row],[L3N]],IF(Transactions[[#This Row],[Level 1]]=Transactions[[#This Row],[L5N]],Transactions[[#This Row],[L4N]],IF(Transactions[[#This Row],[Level 1]]=Transactions[[#This Row],[L6N]],Transactions[[#This Row],[L5N]],IF(Transactions[[#This Row],[Level 1]]=Transactions[[#This Row],[L7N]],Transactions[[#This Row],[L6N]],Transactions[[#This Row],[L7N]]))))))))</f>
        <v>Heat plants</v>
      </c>
      <c r="AU497" s="24" t="str">
        <f>IF(Transactions[[#This Row],[Level 2]]=Transactions[[#This Row],[Transaction name]],Transactions[[#This Row],[Transaction name]],IF(Transactions[[#This Row],[Level 2]]=Transactions[[#This Row],[L1N]],Transactions[[#This Row],[Transaction name]],IF(Transactions[[#This Row],[Level 2]]=Transactions[[#This Row],[L2N]],Transactions[[#This Row],[L1N]],IF(Transactions[[#This Row],[Level 2]]=Transactions[[#This Row],[L3N]],Transactions[[#This Row],[L2N]],IF(Transactions[[#This Row],[Level 2]]=Transactions[[#This Row],[L4N]],Transactions[[#This Row],[L3N]],IF(Transactions[[#This Row],[Level 2]]=Transactions[[#This Row],[L5N]],Transactions[[#This Row],[L4N]],IF(Transactions[[#This Row],[Level 2]]=Transactions[[#This Row],[L6N]],Transactions[[#This Row],[L5N]],IF(Transactions[[#This Row],[Level 2]]=Transactions[[#This Row],[L7N]],Transactions[[#This Row],[L6N]],Transactions[[#This Row],[L7N]]))))))))</f>
        <v>Heat plants - natural gas</v>
      </c>
      <c r="AV497" s="24" t="str">
        <f>IF(Transactions[[#This Row],[Level 3]]=Transactions[[#This Row],[Transaction name]],Transactions[[#This Row],[Transaction name]],IF(Transactions[[#This Row],[Level 3]]=Transactions[[#This Row],[L1N]],Transactions[[#This Row],[Transaction name]],IF(Transactions[[#This Row],[Level 3]]=Transactions[[#This Row],[L2N]],Transactions[[#This Row],[L1N]],IF(Transactions[[#This Row],[Level 3]]=Transactions[[#This Row],[L3N]],Transactions[[#This Row],[L2N]],IF(Transactions[[#This Row],[Level 3]]=Transactions[[#This Row],[L4N]],Transactions[[#This Row],[L3N]],IF(Transactions[[#This Row],[Level 3]]=Transactions[[#This Row],[L5N]],Transactions[[#This Row],[L4N]],IF(Transactions[[#This Row],[Level 3]]=Transactions[[#This Row],[L6N]],Transactions[[#This Row],[L5N]],IF(Transactions[[#This Row],[Level 3]]=Transactions[[#This Row],[L7N]],Transactions[[#This Row],[L6N]],Transactions[[#This Row],[L7N]]))))))))</f>
        <v>Heat plants - Main activity - natural gas</v>
      </c>
      <c r="AW497" s="24" t="str">
        <f>IF(Transactions[[#This Row],[Level 4]]=Transactions[[#This Row],[Transaction name]],Transactions[[#This Row],[Transaction name]],IF(Transactions[[#This Row],[Level 4]]=Transactions[[#This Row],[L1N]],Transactions[[#This Row],[Transaction name]],IF(Transactions[[#This Row],[Level 4]]=Transactions[[#This Row],[L2N]],Transactions[[#This Row],[L1N]],IF(Transactions[[#This Row],[Level 4]]=Transactions[[#This Row],[L3N]],Transactions[[#This Row],[L2N]],IF(Transactions[[#This Row],[Level 4]]=Transactions[[#This Row],[L4N]],Transactions[[#This Row],[L3N]],IF(Transactions[[#This Row],[Level 4]]=Transactions[[#This Row],[L5N]],Transactions[[#This Row],[L4N]],IF(Transactions[[#This Row],[Level 4]]=Transactions[[#This Row],[L6N]],Transactions[[#This Row],[L5N]],IF(Transactions[[#This Row],[Level 4]]=Transactions[[#This Row],[L7N]],Transactions[[#This Row],[L6N]],Transactions[[#This Row],[L7N]]))))))))</f>
        <v>Heat plants - Main activity - natural gas</v>
      </c>
      <c r="AX497" s="24" t="str">
        <f>IF(Transactions[[#This Row],[Level 5]]=Transactions[[#This Row],[Transaction name]],Transactions[[#This Row],[Transaction name]],IF(Transactions[[#This Row],[Level 5]]=Transactions[[#This Row],[L1N]],Transactions[[#This Row],[Transaction name]],IF(Transactions[[#This Row],[Level 5]]=Transactions[[#This Row],[L2N]],Transactions[[#This Row],[L1N]],IF(Transactions[[#This Row],[Level 5]]=Transactions[[#This Row],[L3N]],Transactions[[#This Row],[L2N]],IF(Transactions[[#This Row],[Level 5]]=Transactions[[#This Row],[L4N]],Transactions[[#This Row],[L3N]],IF(Transactions[[#This Row],[Level 5]]=Transactions[[#This Row],[L5N]],Transactions[[#This Row],[L4N]],IF(Transactions[[#This Row],[Level 5]]=Transactions[[#This Row],[L6N]],Transactions[[#This Row],[L5N]],IF(Transactions[[#This Row],[Level 5]]=Transactions[[#This Row],[L7N]],Transactions[[#This Row],[L6N]],Transactions[[#This Row],[L7N]]))))))))</f>
        <v>Heat plants - Main activity - natural gas</v>
      </c>
      <c r="AY497" s="24" t="str">
        <f>IF(Transactions[[#This Row],[Level 6]]=Transactions[[#This Row],[Transaction name]],Transactions[[#This Row],[Transaction name]],IF(Transactions[[#This Row],[Level 6]]=Transactions[[#This Row],[L1N]],Transactions[[#This Row],[Transaction name]],IF(Transactions[[#This Row],[Level 6]]=Transactions[[#This Row],[L2N]],Transactions[[#This Row],[L1N]],IF(Transactions[[#This Row],[Level 6]]=Transactions[[#This Row],[L3N]],Transactions[[#This Row],[L2N]],IF(Transactions[[#This Row],[Level 6]]=Transactions[[#This Row],[L4N]],Transactions[[#This Row],[L3N]],IF(Transactions[[#This Row],[Level 6]]=Transactions[[#This Row],[L5N]],Transactions[[#This Row],[L4N]],IF(Transactions[[#This Row],[Level 6]]=Transactions[[#This Row],[L6N]],Transactions[[#This Row],[L5N]],IF(Transactions[[#This Row],[Level 6]]=Transactions[[#This Row],[L7N]],Transactions[[#This Row],[L6N]],Transactions[[#This Row],[L7N]]))))))))</f>
        <v>Heat plants - Main activity - natural gas</v>
      </c>
    </row>
    <row r="498" spans="25:51" x14ac:dyDescent="0.45">
      <c r="Y498" s="19" t="s">
        <v>1571</v>
      </c>
      <c r="Z498" s="18" t="s">
        <v>1405</v>
      </c>
      <c r="AA498" s="18" t="s">
        <v>1405</v>
      </c>
      <c r="AB498" s="19" t="s">
        <v>1574</v>
      </c>
      <c r="AC498" s="26" t="str">
        <f>IFERROR(VLOOKUP(Transactions[[#This Row],[Parent code]],Transactions[[Transaction code]:[Transaction name]],2,0),"")</f>
        <v>Heat plants</v>
      </c>
      <c r="AD498" s="18" t="s">
        <v>189</v>
      </c>
      <c r="AE498" s="18" t="s">
        <v>924</v>
      </c>
      <c r="AF498" s="18" t="s">
        <v>642</v>
      </c>
      <c r="AG498" s="18" t="s">
        <v>1</v>
      </c>
      <c r="AH498" s="18" t="s">
        <v>696</v>
      </c>
      <c r="AI498" s="18" t="s">
        <v>1416</v>
      </c>
      <c r="AJ498" s="18"/>
      <c r="AK498" s="26" t="str" cm="1">
        <f t="array" ref="AK498">IFERROR(INDEX(Transactions[[Transaction code]:[Transaction name]],_xlfn.XMATCH(Transactions[[#This Row],[Parent code]],Transactions[Transaction name],0),3),Transactions[[#This Row],[Transaction name]])</f>
        <v>Heat plants - natural gas</v>
      </c>
      <c r="AL498" s="26" t="str" cm="1">
        <f t="array" ref="AL498">IFERROR(INDEX(Transactions[[Transaction code]:[Transaction name]],_xlfn.XMATCH(INDEX(Transactions[[Transaction name]:[Parent code]],_xlfn.XMATCH(Transactions[[#This Row],[L1N]],Transactions[Transaction name],0),3),Transactions[Transaction code],0),2),Transactions[[#This Row],[L1N]])</f>
        <v>Heat plants</v>
      </c>
      <c r="AM498" s="26" t="str" cm="1">
        <f t="array" ref="AM498">IFERROR(INDEX(Transactions[[Transaction code]:[Transaction name]],_xlfn.XMATCH(INDEX(Transactions[[Transaction name]:[Parent code]],_xlfn.XMATCH(Transactions[[#This Row],[L2N]],Transactions[Transaction name],0),3),Transactions[Transaction code],0),2),Transactions[[#This Row],[L2N]])</f>
        <v>Electricity, CHP and heat plants (T)</v>
      </c>
      <c r="AN498" s="26" t="str" cm="1">
        <f t="array" ref="AN498">IFERROR(INDEX(Transactions[[Transaction code]:[Transaction name]],_xlfn.XMATCH(INDEX(Transactions[[Transaction name]:[Parent code]],_xlfn.XMATCH(Transactions[[#This Row],[L3N]],Transactions[Transaction name],0),3),Transactions[Transaction code],0),2),Transactions[[#This Row],[L3N]])</f>
        <v>Transformation</v>
      </c>
      <c r="AO498" s="26" t="str" cm="1">
        <f t="array" ref="AO498">IFERROR(INDEX(Transactions[[Transaction code]:[Transaction name]],_xlfn.XMATCH(INDEX(Transactions[[Transaction name]:[Parent code]],_xlfn.XMATCH(Transactions[[#This Row],[L4N]],Transactions[Transaction name],0),3),Transactions[Transaction code],0),2),Transactions[[#This Row],[L4N]])</f>
        <v>Transformation</v>
      </c>
      <c r="AP498" s="26" t="str" cm="1">
        <f t="array" ref="AP498">IFERROR(INDEX(Transactions[[Transaction code]:[Transaction name]],_xlfn.XMATCH(INDEX(Transactions[[Transaction name]:[Parent code]],_xlfn.XMATCH(Transactions[[#This Row],[L5N]],Transactions[Transaction name],0),3),Transactions[Transaction code],0),2),Transactions[[#This Row],[L5N]])</f>
        <v>Transformation</v>
      </c>
      <c r="AQ498" s="26" t="str" cm="1">
        <f t="array" ref="AQ498">IFERROR(INDEX(Transactions[[Transaction code]:[Transaction name]],_xlfn.XMATCH(INDEX(Transactions[[Transaction name]:[Parent code]],_xlfn.XMATCH(Transactions[[#This Row],[L6N]],Transactions[Transaction name],0),3),Transactions[Transaction code],0),2),Transactions[[#This Row],[L6N]])</f>
        <v>Transformation</v>
      </c>
      <c r="AR498" s="30" t="str">
        <f>IF(Transactions[[#This Row],[L7N]]=Transactions[[#This Row],[L6N]],Transactions[[#This Row],[L7N]],IF(Transactions[[#This Row],[L6N]]=Transactions[[#This Row],[L5N]],Transactions[[#This Row],[L6N]],IF(Transactions[[#This Row],[L5N]]=Transactions[[#This Row],[L4N]],Transactions[[#This Row],[L5N]],IF(Transactions[[#This Row],[L4N]]=Transactions[[#This Row],[L3N]],Transactions[[#This Row],[L4N]],IF(Transactions[[#This Row],[L3N]]=Transactions[[#This Row],[L2N]],Transactions[[#This Row],[L3N]],IF(Transactions[[#This Row],[L2N]]=Transactions[[#This Row],[L1N]],Transactions[[#This Row],[L2N]],IF(Transactions[[#This Row],[L1N]]=Transactions[[#This Row],[Transaction name]],Transactions[[#This Row],[L1N]],Transactions[[#This Row],[Transaction name]])))))))</f>
        <v>Transformation</v>
      </c>
      <c r="AS498" s="26" t="str">
        <f>IF(Transactions[[#This Row],[Level 0]]=Transactions[[#This Row],[Transaction name]],Transactions[[#This Row],[Transaction name]],IF(Transactions[[#This Row],[Level 0]]=Transactions[[#This Row],[L1N]],Transactions[[#This Row],[Transaction name]],IF(Transactions[[#This Row],[Level 0]]=Transactions[[#This Row],[L2N]],Transactions[[#This Row],[L1N]],IF(Transactions[[#This Row],[Level 0]]=Transactions[[#This Row],[L3N]],Transactions[[#This Row],[L2N]],IF(Transactions[[#This Row],[Level 0]]=Transactions[[#This Row],[L4N]],Transactions[[#This Row],[L3N]],IF(Transactions[[#This Row],[Level 0]]=Transactions[[#This Row],[L5N]],Transactions[[#This Row],[L4N]],IF(Transactions[[#This Row],[Level 0]]=Transactions[[#This Row],[L6N]],Transactions[[#This Row],[L5N]],IF(Transactions[[#This Row],[Level 0]]=Transactions[[#This Row],[L7N]],Transactions[[#This Row],[L6N]],Transactions[[#This Row],[L7N]]))))))))</f>
        <v>Electricity, CHP and heat plants (T)</v>
      </c>
      <c r="AT498" s="26" t="str">
        <f>IF(Transactions[[#This Row],[Level 1]]=Transactions[[#This Row],[Transaction name]],Transactions[[#This Row],[Transaction name]],IF(Transactions[[#This Row],[Level 1]]=Transactions[[#This Row],[L1N]],Transactions[[#This Row],[Transaction name]],IF(Transactions[[#This Row],[Level 1]]=Transactions[[#This Row],[L2N]],Transactions[[#This Row],[L1N]],IF(Transactions[[#This Row],[Level 1]]=Transactions[[#This Row],[L3N]],Transactions[[#This Row],[L2N]],IF(Transactions[[#This Row],[Level 1]]=Transactions[[#This Row],[L4N]],Transactions[[#This Row],[L3N]],IF(Transactions[[#This Row],[Level 1]]=Transactions[[#This Row],[L5N]],Transactions[[#This Row],[L4N]],IF(Transactions[[#This Row],[Level 1]]=Transactions[[#This Row],[L6N]],Transactions[[#This Row],[L5N]],IF(Transactions[[#This Row],[Level 1]]=Transactions[[#This Row],[L7N]],Transactions[[#This Row],[L6N]],Transactions[[#This Row],[L7N]]))))))))</f>
        <v>Heat plants</v>
      </c>
      <c r="AU498" s="26" t="str">
        <f>IF(Transactions[[#This Row],[Level 2]]=Transactions[[#This Row],[Transaction name]],Transactions[[#This Row],[Transaction name]],IF(Transactions[[#This Row],[Level 2]]=Transactions[[#This Row],[L1N]],Transactions[[#This Row],[Transaction name]],IF(Transactions[[#This Row],[Level 2]]=Transactions[[#This Row],[L2N]],Transactions[[#This Row],[L1N]],IF(Transactions[[#This Row],[Level 2]]=Transactions[[#This Row],[L3N]],Transactions[[#This Row],[L2N]],IF(Transactions[[#This Row],[Level 2]]=Transactions[[#This Row],[L4N]],Transactions[[#This Row],[L3N]],IF(Transactions[[#This Row],[Level 2]]=Transactions[[#This Row],[L5N]],Transactions[[#This Row],[L4N]],IF(Transactions[[#This Row],[Level 2]]=Transactions[[#This Row],[L6N]],Transactions[[#This Row],[L5N]],IF(Transactions[[#This Row],[Level 2]]=Transactions[[#This Row],[L7N]],Transactions[[#This Row],[L6N]],Transactions[[#This Row],[L7N]]))))))))</f>
        <v>Heat plants - natural gas</v>
      </c>
      <c r="AV498" s="26" t="str">
        <f>IF(Transactions[[#This Row],[Level 3]]=Transactions[[#This Row],[Transaction name]],Transactions[[#This Row],[Transaction name]],IF(Transactions[[#This Row],[Level 3]]=Transactions[[#This Row],[L1N]],Transactions[[#This Row],[Transaction name]],IF(Transactions[[#This Row],[Level 3]]=Transactions[[#This Row],[L2N]],Transactions[[#This Row],[L1N]],IF(Transactions[[#This Row],[Level 3]]=Transactions[[#This Row],[L3N]],Transactions[[#This Row],[L2N]],IF(Transactions[[#This Row],[Level 3]]=Transactions[[#This Row],[L4N]],Transactions[[#This Row],[L3N]],IF(Transactions[[#This Row],[Level 3]]=Transactions[[#This Row],[L5N]],Transactions[[#This Row],[L4N]],IF(Transactions[[#This Row],[Level 3]]=Transactions[[#This Row],[L6N]],Transactions[[#This Row],[L5N]],IF(Transactions[[#This Row],[Level 3]]=Transactions[[#This Row],[L7N]],Transactions[[#This Row],[L6N]],Transactions[[#This Row],[L7N]]))))))))</f>
        <v>Heat plants - natural gas</v>
      </c>
      <c r="AW498" s="26" t="str">
        <f>IF(Transactions[[#This Row],[Level 4]]=Transactions[[#This Row],[Transaction name]],Transactions[[#This Row],[Transaction name]],IF(Transactions[[#This Row],[Level 4]]=Transactions[[#This Row],[L1N]],Transactions[[#This Row],[Transaction name]],IF(Transactions[[#This Row],[Level 4]]=Transactions[[#This Row],[L2N]],Transactions[[#This Row],[L1N]],IF(Transactions[[#This Row],[Level 4]]=Transactions[[#This Row],[L3N]],Transactions[[#This Row],[L2N]],IF(Transactions[[#This Row],[Level 4]]=Transactions[[#This Row],[L4N]],Transactions[[#This Row],[L3N]],IF(Transactions[[#This Row],[Level 4]]=Transactions[[#This Row],[L5N]],Transactions[[#This Row],[L4N]],IF(Transactions[[#This Row],[Level 4]]=Transactions[[#This Row],[L6N]],Transactions[[#This Row],[L5N]],IF(Transactions[[#This Row],[Level 4]]=Transactions[[#This Row],[L7N]],Transactions[[#This Row],[L6N]],Transactions[[#This Row],[L7N]]))))))))</f>
        <v>Heat plants - natural gas</v>
      </c>
      <c r="AX498" s="26" t="str">
        <f>IF(Transactions[[#This Row],[Level 5]]=Transactions[[#This Row],[Transaction name]],Transactions[[#This Row],[Transaction name]],IF(Transactions[[#This Row],[Level 5]]=Transactions[[#This Row],[L1N]],Transactions[[#This Row],[Transaction name]],IF(Transactions[[#This Row],[Level 5]]=Transactions[[#This Row],[L2N]],Transactions[[#This Row],[L1N]],IF(Transactions[[#This Row],[Level 5]]=Transactions[[#This Row],[L3N]],Transactions[[#This Row],[L2N]],IF(Transactions[[#This Row],[Level 5]]=Transactions[[#This Row],[L4N]],Transactions[[#This Row],[L3N]],IF(Transactions[[#This Row],[Level 5]]=Transactions[[#This Row],[L5N]],Transactions[[#This Row],[L4N]],IF(Transactions[[#This Row],[Level 5]]=Transactions[[#This Row],[L6N]],Transactions[[#This Row],[L5N]],IF(Transactions[[#This Row],[Level 5]]=Transactions[[#This Row],[L7N]],Transactions[[#This Row],[L6N]],Transactions[[#This Row],[L7N]]))))))))</f>
        <v>Heat plants - natural gas</v>
      </c>
      <c r="AY498" s="26" t="str">
        <f>IF(Transactions[[#This Row],[Level 6]]=Transactions[[#This Row],[Transaction name]],Transactions[[#This Row],[Transaction name]],IF(Transactions[[#This Row],[Level 6]]=Transactions[[#This Row],[L1N]],Transactions[[#This Row],[Transaction name]],IF(Transactions[[#This Row],[Level 6]]=Transactions[[#This Row],[L2N]],Transactions[[#This Row],[L1N]],IF(Transactions[[#This Row],[Level 6]]=Transactions[[#This Row],[L3N]],Transactions[[#This Row],[L2N]],IF(Transactions[[#This Row],[Level 6]]=Transactions[[#This Row],[L4N]],Transactions[[#This Row],[L3N]],IF(Transactions[[#This Row],[Level 6]]=Transactions[[#This Row],[L5N]],Transactions[[#This Row],[L4N]],IF(Transactions[[#This Row],[Level 6]]=Transactions[[#This Row],[L6N]],Transactions[[#This Row],[L5N]],IF(Transactions[[#This Row],[Level 6]]=Transactions[[#This Row],[L7N]],Transactions[[#This Row],[L6N]],Transactions[[#This Row],[L7N]]))))))))</f>
        <v>Heat plants - natural gas</v>
      </c>
    </row>
    <row r="499" spans="25:51" x14ac:dyDescent="0.45">
      <c r="Y499" s="5" t="s">
        <v>320</v>
      </c>
      <c r="Z499" s="7" t="s">
        <v>674</v>
      </c>
      <c r="AA499" s="4" t="s">
        <v>1333</v>
      </c>
      <c r="AB499" s="19" t="s">
        <v>1570</v>
      </c>
      <c r="AC499" s="24" t="str">
        <f>IFERROR(VLOOKUP(Transactions[[#This Row],[Parent code]],Transactions[[Transaction code]:[Transaction name]],2,0),"")</f>
        <v>Heat plants - Nuclear</v>
      </c>
      <c r="AD499" s="4" t="s">
        <v>189</v>
      </c>
      <c r="AE499" s="4" t="s">
        <v>924</v>
      </c>
      <c r="AF499" s="4" t="s">
        <v>642</v>
      </c>
      <c r="AG499" s="4" t="s">
        <v>1</v>
      </c>
      <c r="AH499" s="4" t="s">
        <v>696</v>
      </c>
      <c r="AK499" s="24" t="str" cm="1">
        <f t="array" ref="AK499">IFERROR(INDEX(Transactions[[Transaction code]:[Transaction name]],_xlfn.XMATCH(Transactions[[#This Row],[Parent code]],Transactions[Transaction name],0),3),Transactions[[#This Row],[Transaction name]])</f>
        <v>Heat plants - Main activity - Nuclear</v>
      </c>
      <c r="AL499" s="24" t="str" cm="1">
        <f t="array" ref="AL499">IFERROR(INDEX(Transactions[[Transaction code]:[Transaction name]],_xlfn.XMATCH(INDEX(Transactions[[Transaction name]:[Parent code]],_xlfn.XMATCH(Transactions[[#This Row],[L1N]],Transactions[Transaction name],0),3),Transactions[Transaction code],0),2),Transactions[[#This Row],[L1N]])</f>
        <v>Heat plants - Nuclear</v>
      </c>
      <c r="AM499" s="24" t="str" cm="1">
        <f t="array" ref="AM499">IFERROR(INDEX(Transactions[[Transaction code]:[Transaction name]],_xlfn.XMATCH(INDEX(Transactions[[Transaction name]:[Parent code]],_xlfn.XMATCH(Transactions[[#This Row],[L2N]],Transactions[Transaction name],0),3),Transactions[Transaction code],0),2),Transactions[[#This Row],[L2N]])</f>
        <v>Heat plants</v>
      </c>
      <c r="AN499" s="24" t="str" cm="1">
        <f t="array" ref="AN499">IFERROR(INDEX(Transactions[[Transaction code]:[Transaction name]],_xlfn.XMATCH(INDEX(Transactions[[Transaction name]:[Parent code]],_xlfn.XMATCH(Transactions[[#This Row],[L3N]],Transactions[Transaction name],0),3),Transactions[Transaction code],0),2),Transactions[[#This Row],[L3N]])</f>
        <v>Electricity, CHP and heat plants (T)</v>
      </c>
      <c r="AO499" s="24" t="str" cm="1">
        <f t="array" ref="AO499">IFERROR(INDEX(Transactions[[Transaction code]:[Transaction name]],_xlfn.XMATCH(INDEX(Transactions[[Transaction name]:[Parent code]],_xlfn.XMATCH(Transactions[[#This Row],[L4N]],Transactions[Transaction name],0),3),Transactions[Transaction code],0),2),Transactions[[#This Row],[L4N]])</f>
        <v>Transformation</v>
      </c>
      <c r="AP499" s="24" t="str" cm="1">
        <f t="array" ref="AP499">IFERROR(INDEX(Transactions[[Transaction code]:[Transaction name]],_xlfn.XMATCH(INDEX(Transactions[[Transaction name]:[Parent code]],_xlfn.XMATCH(Transactions[[#This Row],[L5N]],Transactions[Transaction name],0),3),Transactions[Transaction code],0),2),Transactions[[#This Row],[L5N]])</f>
        <v>Transformation</v>
      </c>
      <c r="AQ499" s="24" t="str" cm="1">
        <f t="array" ref="AQ499">IFERROR(INDEX(Transactions[[Transaction code]:[Transaction name]],_xlfn.XMATCH(INDEX(Transactions[[Transaction name]:[Parent code]],_xlfn.XMATCH(Transactions[[#This Row],[L6N]],Transactions[Transaction name],0),3),Transactions[Transaction code],0),2),Transactions[[#This Row],[L6N]])</f>
        <v>Transformation</v>
      </c>
      <c r="AR499" s="27" t="str">
        <f>IF(Transactions[[#This Row],[L7N]]=Transactions[[#This Row],[L6N]],Transactions[[#This Row],[L7N]],IF(Transactions[[#This Row],[L6N]]=Transactions[[#This Row],[L5N]],Transactions[[#This Row],[L6N]],IF(Transactions[[#This Row],[L5N]]=Transactions[[#This Row],[L4N]],Transactions[[#This Row],[L5N]],IF(Transactions[[#This Row],[L4N]]=Transactions[[#This Row],[L3N]],Transactions[[#This Row],[L4N]],IF(Transactions[[#This Row],[L3N]]=Transactions[[#This Row],[L2N]],Transactions[[#This Row],[L3N]],IF(Transactions[[#This Row],[L2N]]=Transactions[[#This Row],[L1N]],Transactions[[#This Row],[L2N]],IF(Transactions[[#This Row],[L1N]]=Transactions[[#This Row],[Transaction name]],Transactions[[#This Row],[L1N]],Transactions[[#This Row],[Transaction name]])))))))</f>
        <v>Transformation</v>
      </c>
      <c r="AS499" s="24" t="str">
        <f>IF(Transactions[[#This Row],[Level 0]]=Transactions[[#This Row],[Transaction name]],Transactions[[#This Row],[Transaction name]],IF(Transactions[[#This Row],[Level 0]]=Transactions[[#This Row],[L1N]],Transactions[[#This Row],[Transaction name]],IF(Transactions[[#This Row],[Level 0]]=Transactions[[#This Row],[L2N]],Transactions[[#This Row],[L1N]],IF(Transactions[[#This Row],[Level 0]]=Transactions[[#This Row],[L3N]],Transactions[[#This Row],[L2N]],IF(Transactions[[#This Row],[Level 0]]=Transactions[[#This Row],[L4N]],Transactions[[#This Row],[L3N]],IF(Transactions[[#This Row],[Level 0]]=Transactions[[#This Row],[L5N]],Transactions[[#This Row],[L4N]],IF(Transactions[[#This Row],[Level 0]]=Transactions[[#This Row],[L6N]],Transactions[[#This Row],[L5N]],IF(Transactions[[#This Row],[Level 0]]=Transactions[[#This Row],[L7N]],Transactions[[#This Row],[L6N]],Transactions[[#This Row],[L7N]]))))))))</f>
        <v>Electricity, CHP and heat plants (T)</v>
      </c>
      <c r="AT499" s="24" t="str">
        <f>IF(Transactions[[#This Row],[Level 1]]=Transactions[[#This Row],[Transaction name]],Transactions[[#This Row],[Transaction name]],IF(Transactions[[#This Row],[Level 1]]=Transactions[[#This Row],[L1N]],Transactions[[#This Row],[Transaction name]],IF(Transactions[[#This Row],[Level 1]]=Transactions[[#This Row],[L2N]],Transactions[[#This Row],[L1N]],IF(Transactions[[#This Row],[Level 1]]=Transactions[[#This Row],[L3N]],Transactions[[#This Row],[L2N]],IF(Transactions[[#This Row],[Level 1]]=Transactions[[#This Row],[L4N]],Transactions[[#This Row],[L3N]],IF(Transactions[[#This Row],[Level 1]]=Transactions[[#This Row],[L5N]],Transactions[[#This Row],[L4N]],IF(Transactions[[#This Row],[Level 1]]=Transactions[[#This Row],[L6N]],Transactions[[#This Row],[L5N]],IF(Transactions[[#This Row],[Level 1]]=Transactions[[#This Row],[L7N]],Transactions[[#This Row],[L6N]],Transactions[[#This Row],[L7N]]))))))))</f>
        <v>Heat plants</v>
      </c>
      <c r="AU499" s="24" t="str">
        <f>IF(Transactions[[#This Row],[Level 2]]=Transactions[[#This Row],[Transaction name]],Transactions[[#This Row],[Transaction name]],IF(Transactions[[#This Row],[Level 2]]=Transactions[[#This Row],[L1N]],Transactions[[#This Row],[Transaction name]],IF(Transactions[[#This Row],[Level 2]]=Transactions[[#This Row],[L2N]],Transactions[[#This Row],[L1N]],IF(Transactions[[#This Row],[Level 2]]=Transactions[[#This Row],[L3N]],Transactions[[#This Row],[L2N]],IF(Transactions[[#This Row],[Level 2]]=Transactions[[#This Row],[L4N]],Transactions[[#This Row],[L3N]],IF(Transactions[[#This Row],[Level 2]]=Transactions[[#This Row],[L5N]],Transactions[[#This Row],[L4N]],IF(Transactions[[#This Row],[Level 2]]=Transactions[[#This Row],[L6N]],Transactions[[#This Row],[L5N]],IF(Transactions[[#This Row],[Level 2]]=Transactions[[#This Row],[L7N]],Transactions[[#This Row],[L6N]],Transactions[[#This Row],[L7N]]))))))))</f>
        <v>Heat plants - Nuclear</v>
      </c>
      <c r="AV499" s="24" t="str">
        <f>IF(Transactions[[#This Row],[Level 3]]=Transactions[[#This Row],[Transaction name]],Transactions[[#This Row],[Transaction name]],IF(Transactions[[#This Row],[Level 3]]=Transactions[[#This Row],[L1N]],Transactions[[#This Row],[Transaction name]],IF(Transactions[[#This Row],[Level 3]]=Transactions[[#This Row],[L2N]],Transactions[[#This Row],[L1N]],IF(Transactions[[#This Row],[Level 3]]=Transactions[[#This Row],[L3N]],Transactions[[#This Row],[L2N]],IF(Transactions[[#This Row],[Level 3]]=Transactions[[#This Row],[L4N]],Transactions[[#This Row],[L3N]],IF(Transactions[[#This Row],[Level 3]]=Transactions[[#This Row],[L5N]],Transactions[[#This Row],[L4N]],IF(Transactions[[#This Row],[Level 3]]=Transactions[[#This Row],[L6N]],Transactions[[#This Row],[L5N]],IF(Transactions[[#This Row],[Level 3]]=Transactions[[#This Row],[L7N]],Transactions[[#This Row],[L6N]],Transactions[[#This Row],[L7N]]))))))))</f>
        <v>Heat plants - Main activity - Nuclear</v>
      </c>
      <c r="AW499" s="24" t="str">
        <f>IF(Transactions[[#This Row],[Level 4]]=Transactions[[#This Row],[Transaction name]],Transactions[[#This Row],[Transaction name]],IF(Transactions[[#This Row],[Level 4]]=Transactions[[#This Row],[L1N]],Transactions[[#This Row],[Transaction name]],IF(Transactions[[#This Row],[Level 4]]=Transactions[[#This Row],[L2N]],Transactions[[#This Row],[L1N]],IF(Transactions[[#This Row],[Level 4]]=Transactions[[#This Row],[L3N]],Transactions[[#This Row],[L2N]],IF(Transactions[[#This Row],[Level 4]]=Transactions[[#This Row],[L4N]],Transactions[[#This Row],[L3N]],IF(Transactions[[#This Row],[Level 4]]=Transactions[[#This Row],[L5N]],Transactions[[#This Row],[L4N]],IF(Transactions[[#This Row],[Level 4]]=Transactions[[#This Row],[L6N]],Transactions[[#This Row],[L5N]],IF(Transactions[[#This Row],[Level 4]]=Transactions[[#This Row],[L7N]],Transactions[[#This Row],[L6N]],Transactions[[#This Row],[L7N]]))))))))</f>
        <v>Heat plants - Main activity - Nuclear</v>
      </c>
      <c r="AX499" s="24" t="str">
        <f>IF(Transactions[[#This Row],[Level 5]]=Transactions[[#This Row],[Transaction name]],Transactions[[#This Row],[Transaction name]],IF(Transactions[[#This Row],[Level 5]]=Transactions[[#This Row],[L1N]],Transactions[[#This Row],[Transaction name]],IF(Transactions[[#This Row],[Level 5]]=Transactions[[#This Row],[L2N]],Transactions[[#This Row],[L1N]],IF(Transactions[[#This Row],[Level 5]]=Transactions[[#This Row],[L3N]],Transactions[[#This Row],[L2N]],IF(Transactions[[#This Row],[Level 5]]=Transactions[[#This Row],[L4N]],Transactions[[#This Row],[L3N]],IF(Transactions[[#This Row],[Level 5]]=Transactions[[#This Row],[L5N]],Transactions[[#This Row],[L4N]],IF(Transactions[[#This Row],[Level 5]]=Transactions[[#This Row],[L6N]],Transactions[[#This Row],[L5N]],IF(Transactions[[#This Row],[Level 5]]=Transactions[[#This Row],[L7N]],Transactions[[#This Row],[L6N]],Transactions[[#This Row],[L7N]]))))))))</f>
        <v>Heat plants - Main activity - Nuclear</v>
      </c>
      <c r="AY499" s="24" t="str">
        <f>IF(Transactions[[#This Row],[Level 6]]=Transactions[[#This Row],[Transaction name]],Transactions[[#This Row],[Transaction name]],IF(Transactions[[#This Row],[Level 6]]=Transactions[[#This Row],[L1N]],Transactions[[#This Row],[Transaction name]],IF(Transactions[[#This Row],[Level 6]]=Transactions[[#This Row],[L2N]],Transactions[[#This Row],[L1N]],IF(Transactions[[#This Row],[Level 6]]=Transactions[[#This Row],[L3N]],Transactions[[#This Row],[L2N]],IF(Transactions[[#This Row],[Level 6]]=Transactions[[#This Row],[L4N]],Transactions[[#This Row],[L3N]],IF(Transactions[[#This Row],[Level 6]]=Transactions[[#This Row],[L5N]],Transactions[[#This Row],[L4N]],IF(Transactions[[#This Row],[Level 6]]=Transactions[[#This Row],[L6N]],Transactions[[#This Row],[L5N]],IF(Transactions[[#This Row],[Level 6]]=Transactions[[#This Row],[L7N]],Transactions[[#This Row],[L6N]],Transactions[[#This Row],[L7N]]))))))))</f>
        <v>Heat plants - Main activity - Nuclear</v>
      </c>
    </row>
    <row r="500" spans="25:51" x14ac:dyDescent="0.45">
      <c r="Y500" s="19" t="s">
        <v>1676</v>
      </c>
      <c r="Z500" s="20" t="s">
        <v>1677</v>
      </c>
      <c r="AA500" s="4" t="s">
        <v>1333</v>
      </c>
      <c r="AB500" s="19" t="s">
        <v>1570</v>
      </c>
      <c r="AC500" s="24" t="str">
        <f>IFERROR(VLOOKUP(Transactions[[#This Row],[Parent code]],Transactions[[Transaction code]:[Transaction name]],2,0),"")</f>
        <v>Heat plants - Nuclear</v>
      </c>
      <c r="AD500" s="4" t="s">
        <v>189</v>
      </c>
      <c r="AE500" s="4" t="s">
        <v>924</v>
      </c>
      <c r="AF500" s="4" t="s">
        <v>642</v>
      </c>
      <c r="AG500" s="4" t="s">
        <v>1</v>
      </c>
      <c r="AH500" s="4" t="s">
        <v>696</v>
      </c>
      <c r="AK500" s="24" t="str" cm="1">
        <f t="array" ref="AK500">IFERROR(INDEX(Transactions[[Transaction code]:[Transaction name]],_xlfn.XMATCH(Transactions[[#This Row],[Parent code]],Transactions[Transaction name],0),3),Transactions[[#This Row],[Transaction name]])</f>
        <v>Heat plants - Autoproducer - Nuclear</v>
      </c>
      <c r="AL500" s="24" t="str" cm="1">
        <f t="array" ref="AL500">IFERROR(INDEX(Transactions[[Transaction code]:[Transaction name]],_xlfn.XMATCH(INDEX(Transactions[[Transaction name]:[Parent code]],_xlfn.XMATCH(Transactions[[#This Row],[L1N]],Transactions[Transaction name],0),3),Transactions[Transaction code],0),2),Transactions[[#This Row],[L1N]])</f>
        <v>Heat plants - Nuclear</v>
      </c>
      <c r="AM500" s="24" t="str" cm="1">
        <f t="array" ref="AM500">IFERROR(INDEX(Transactions[[Transaction code]:[Transaction name]],_xlfn.XMATCH(INDEX(Transactions[[Transaction name]:[Parent code]],_xlfn.XMATCH(Transactions[[#This Row],[L2N]],Transactions[Transaction name],0),3),Transactions[Transaction code],0),2),Transactions[[#This Row],[L2N]])</f>
        <v>Heat plants</v>
      </c>
      <c r="AN500" s="24" t="str" cm="1">
        <f t="array" ref="AN500">IFERROR(INDEX(Transactions[[Transaction code]:[Transaction name]],_xlfn.XMATCH(INDEX(Transactions[[Transaction name]:[Parent code]],_xlfn.XMATCH(Transactions[[#This Row],[L3N]],Transactions[Transaction name],0),3),Transactions[Transaction code],0),2),Transactions[[#This Row],[L3N]])</f>
        <v>Electricity, CHP and heat plants (T)</v>
      </c>
      <c r="AO500" s="24" t="str" cm="1">
        <f t="array" ref="AO500">IFERROR(INDEX(Transactions[[Transaction code]:[Transaction name]],_xlfn.XMATCH(INDEX(Transactions[[Transaction name]:[Parent code]],_xlfn.XMATCH(Transactions[[#This Row],[L4N]],Transactions[Transaction name],0),3),Transactions[Transaction code],0),2),Transactions[[#This Row],[L4N]])</f>
        <v>Transformation</v>
      </c>
      <c r="AP500" s="24" t="str" cm="1">
        <f t="array" ref="AP500">IFERROR(INDEX(Transactions[[Transaction code]:[Transaction name]],_xlfn.XMATCH(INDEX(Transactions[[Transaction name]:[Parent code]],_xlfn.XMATCH(Transactions[[#This Row],[L5N]],Transactions[Transaction name],0),3),Transactions[Transaction code],0),2),Transactions[[#This Row],[L5N]])</f>
        <v>Transformation</v>
      </c>
      <c r="AQ500" s="24" t="str" cm="1">
        <f t="array" ref="AQ500">IFERROR(INDEX(Transactions[[Transaction code]:[Transaction name]],_xlfn.XMATCH(INDEX(Transactions[[Transaction name]:[Parent code]],_xlfn.XMATCH(Transactions[[#This Row],[L6N]],Transactions[Transaction name],0),3),Transactions[Transaction code],0),2),Transactions[[#This Row],[L6N]])</f>
        <v>Transformation</v>
      </c>
      <c r="AR500" s="27" t="str">
        <f>IF(Transactions[[#This Row],[L7N]]=Transactions[[#This Row],[L6N]],Transactions[[#This Row],[L7N]],IF(Transactions[[#This Row],[L6N]]=Transactions[[#This Row],[L5N]],Transactions[[#This Row],[L6N]],IF(Transactions[[#This Row],[L5N]]=Transactions[[#This Row],[L4N]],Transactions[[#This Row],[L5N]],IF(Transactions[[#This Row],[L4N]]=Transactions[[#This Row],[L3N]],Transactions[[#This Row],[L4N]],IF(Transactions[[#This Row],[L3N]]=Transactions[[#This Row],[L2N]],Transactions[[#This Row],[L3N]],IF(Transactions[[#This Row],[L2N]]=Transactions[[#This Row],[L1N]],Transactions[[#This Row],[L2N]],IF(Transactions[[#This Row],[L1N]]=Transactions[[#This Row],[Transaction name]],Transactions[[#This Row],[L1N]],Transactions[[#This Row],[Transaction name]])))))))</f>
        <v>Transformation</v>
      </c>
      <c r="AS500" s="24" t="str">
        <f>IF(Transactions[[#This Row],[Level 0]]=Transactions[[#This Row],[Transaction name]],Transactions[[#This Row],[Transaction name]],IF(Transactions[[#This Row],[Level 0]]=Transactions[[#This Row],[L1N]],Transactions[[#This Row],[Transaction name]],IF(Transactions[[#This Row],[Level 0]]=Transactions[[#This Row],[L2N]],Transactions[[#This Row],[L1N]],IF(Transactions[[#This Row],[Level 0]]=Transactions[[#This Row],[L3N]],Transactions[[#This Row],[L2N]],IF(Transactions[[#This Row],[Level 0]]=Transactions[[#This Row],[L4N]],Transactions[[#This Row],[L3N]],IF(Transactions[[#This Row],[Level 0]]=Transactions[[#This Row],[L5N]],Transactions[[#This Row],[L4N]],IF(Transactions[[#This Row],[Level 0]]=Transactions[[#This Row],[L6N]],Transactions[[#This Row],[L5N]],IF(Transactions[[#This Row],[Level 0]]=Transactions[[#This Row],[L7N]],Transactions[[#This Row],[L6N]],Transactions[[#This Row],[L7N]]))))))))</f>
        <v>Electricity, CHP and heat plants (T)</v>
      </c>
      <c r="AT500" s="24" t="str">
        <f>IF(Transactions[[#This Row],[Level 1]]=Transactions[[#This Row],[Transaction name]],Transactions[[#This Row],[Transaction name]],IF(Transactions[[#This Row],[Level 1]]=Transactions[[#This Row],[L1N]],Transactions[[#This Row],[Transaction name]],IF(Transactions[[#This Row],[Level 1]]=Transactions[[#This Row],[L2N]],Transactions[[#This Row],[L1N]],IF(Transactions[[#This Row],[Level 1]]=Transactions[[#This Row],[L3N]],Transactions[[#This Row],[L2N]],IF(Transactions[[#This Row],[Level 1]]=Transactions[[#This Row],[L4N]],Transactions[[#This Row],[L3N]],IF(Transactions[[#This Row],[Level 1]]=Transactions[[#This Row],[L5N]],Transactions[[#This Row],[L4N]],IF(Transactions[[#This Row],[Level 1]]=Transactions[[#This Row],[L6N]],Transactions[[#This Row],[L5N]],IF(Transactions[[#This Row],[Level 1]]=Transactions[[#This Row],[L7N]],Transactions[[#This Row],[L6N]],Transactions[[#This Row],[L7N]]))))))))</f>
        <v>Heat plants</v>
      </c>
      <c r="AU500" s="24" t="str">
        <f>IF(Transactions[[#This Row],[Level 2]]=Transactions[[#This Row],[Transaction name]],Transactions[[#This Row],[Transaction name]],IF(Transactions[[#This Row],[Level 2]]=Transactions[[#This Row],[L1N]],Transactions[[#This Row],[Transaction name]],IF(Transactions[[#This Row],[Level 2]]=Transactions[[#This Row],[L2N]],Transactions[[#This Row],[L1N]],IF(Transactions[[#This Row],[Level 2]]=Transactions[[#This Row],[L3N]],Transactions[[#This Row],[L2N]],IF(Transactions[[#This Row],[Level 2]]=Transactions[[#This Row],[L4N]],Transactions[[#This Row],[L3N]],IF(Transactions[[#This Row],[Level 2]]=Transactions[[#This Row],[L5N]],Transactions[[#This Row],[L4N]],IF(Transactions[[#This Row],[Level 2]]=Transactions[[#This Row],[L6N]],Transactions[[#This Row],[L5N]],IF(Transactions[[#This Row],[Level 2]]=Transactions[[#This Row],[L7N]],Transactions[[#This Row],[L6N]],Transactions[[#This Row],[L7N]]))))))))</f>
        <v>Heat plants - Nuclear</v>
      </c>
      <c r="AV500" s="24" t="str">
        <f>IF(Transactions[[#This Row],[Level 3]]=Transactions[[#This Row],[Transaction name]],Transactions[[#This Row],[Transaction name]],IF(Transactions[[#This Row],[Level 3]]=Transactions[[#This Row],[L1N]],Transactions[[#This Row],[Transaction name]],IF(Transactions[[#This Row],[Level 3]]=Transactions[[#This Row],[L2N]],Transactions[[#This Row],[L1N]],IF(Transactions[[#This Row],[Level 3]]=Transactions[[#This Row],[L3N]],Transactions[[#This Row],[L2N]],IF(Transactions[[#This Row],[Level 3]]=Transactions[[#This Row],[L4N]],Transactions[[#This Row],[L3N]],IF(Transactions[[#This Row],[Level 3]]=Transactions[[#This Row],[L5N]],Transactions[[#This Row],[L4N]],IF(Transactions[[#This Row],[Level 3]]=Transactions[[#This Row],[L6N]],Transactions[[#This Row],[L5N]],IF(Transactions[[#This Row],[Level 3]]=Transactions[[#This Row],[L7N]],Transactions[[#This Row],[L6N]],Transactions[[#This Row],[L7N]]))))))))</f>
        <v>Heat plants - Autoproducer - Nuclear</v>
      </c>
      <c r="AW500" s="24" t="str">
        <f>IF(Transactions[[#This Row],[Level 4]]=Transactions[[#This Row],[Transaction name]],Transactions[[#This Row],[Transaction name]],IF(Transactions[[#This Row],[Level 4]]=Transactions[[#This Row],[L1N]],Transactions[[#This Row],[Transaction name]],IF(Transactions[[#This Row],[Level 4]]=Transactions[[#This Row],[L2N]],Transactions[[#This Row],[L1N]],IF(Transactions[[#This Row],[Level 4]]=Transactions[[#This Row],[L3N]],Transactions[[#This Row],[L2N]],IF(Transactions[[#This Row],[Level 4]]=Transactions[[#This Row],[L4N]],Transactions[[#This Row],[L3N]],IF(Transactions[[#This Row],[Level 4]]=Transactions[[#This Row],[L5N]],Transactions[[#This Row],[L4N]],IF(Transactions[[#This Row],[Level 4]]=Transactions[[#This Row],[L6N]],Transactions[[#This Row],[L5N]],IF(Transactions[[#This Row],[Level 4]]=Transactions[[#This Row],[L7N]],Transactions[[#This Row],[L6N]],Transactions[[#This Row],[L7N]]))))))))</f>
        <v>Heat plants - Autoproducer - Nuclear</v>
      </c>
      <c r="AX500" s="24" t="str">
        <f>IF(Transactions[[#This Row],[Level 5]]=Transactions[[#This Row],[Transaction name]],Transactions[[#This Row],[Transaction name]],IF(Transactions[[#This Row],[Level 5]]=Transactions[[#This Row],[L1N]],Transactions[[#This Row],[Transaction name]],IF(Transactions[[#This Row],[Level 5]]=Transactions[[#This Row],[L2N]],Transactions[[#This Row],[L1N]],IF(Transactions[[#This Row],[Level 5]]=Transactions[[#This Row],[L3N]],Transactions[[#This Row],[L2N]],IF(Transactions[[#This Row],[Level 5]]=Transactions[[#This Row],[L4N]],Transactions[[#This Row],[L3N]],IF(Transactions[[#This Row],[Level 5]]=Transactions[[#This Row],[L5N]],Transactions[[#This Row],[L4N]],IF(Transactions[[#This Row],[Level 5]]=Transactions[[#This Row],[L6N]],Transactions[[#This Row],[L5N]],IF(Transactions[[#This Row],[Level 5]]=Transactions[[#This Row],[L7N]],Transactions[[#This Row],[L6N]],Transactions[[#This Row],[L7N]]))))))))</f>
        <v>Heat plants - Autoproducer - Nuclear</v>
      </c>
      <c r="AY500" s="24" t="str">
        <f>IF(Transactions[[#This Row],[Level 6]]=Transactions[[#This Row],[Transaction name]],Transactions[[#This Row],[Transaction name]],IF(Transactions[[#This Row],[Level 6]]=Transactions[[#This Row],[L1N]],Transactions[[#This Row],[Transaction name]],IF(Transactions[[#This Row],[Level 6]]=Transactions[[#This Row],[L2N]],Transactions[[#This Row],[L1N]],IF(Transactions[[#This Row],[Level 6]]=Transactions[[#This Row],[L3N]],Transactions[[#This Row],[L2N]],IF(Transactions[[#This Row],[Level 6]]=Transactions[[#This Row],[L4N]],Transactions[[#This Row],[L3N]],IF(Transactions[[#This Row],[Level 6]]=Transactions[[#This Row],[L5N]],Transactions[[#This Row],[L4N]],IF(Transactions[[#This Row],[Level 6]]=Transactions[[#This Row],[L6N]],Transactions[[#This Row],[L5N]],IF(Transactions[[#This Row],[Level 6]]=Transactions[[#This Row],[L7N]],Transactions[[#This Row],[L6N]],Transactions[[#This Row],[L7N]]))))))))</f>
        <v>Heat plants - Autoproducer - Nuclear</v>
      </c>
    </row>
    <row r="501" spans="25:51" x14ac:dyDescent="0.45">
      <c r="Y501" s="19" t="s">
        <v>1570</v>
      </c>
      <c r="Z501" s="18" t="s">
        <v>1333</v>
      </c>
      <c r="AA501" s="18" t="s">
        <v>1333</v>
      </c>
      <c r="AB501" s="19" t="s">
        <v>1574</v>
      </c>
      <c r="AC501" s="26" t="str">
        <f>IFERROR(VLOOKUP(Transactions[[#This Row],[Parent code]],Transactions[[Transaction code]:[Transaction name]],2,0),"")</f>
        <v>Heat plants</v>
      </c>
      <c r="AD501" s="18" t="s">
        <v>189</v>
      </c>
      <c r="AE501" s="18" t="s">
        <v>924</v>
      </c>
      <c r="AF501" s="18" t="s">
        <v>642</v>
      </c>
      <c r="AG501" s="18" t="s">
        <v>1</v>
      </c>
      <c r="AH501" s="18" t="s">
        <v>696</v>
      </c>
      <c r="AI501" s="18"/>
      <c r="AJ501" s="18"/>
      <c r="AK501" s="26" t="str" cm="1">
        <f t="array" ref="AK501">IFERROR(INDEX(Transactions[[Transaction code]:[Transaction name]],_xlfn.XMATCH(Transactions[[#This Row],[Parent code]],Transactions[Transaction name],0),3),Transactions[[#This Row],[Transaction name]])</f>
        <v>Heat plants - Nuclear</v>
      </c>
      <c r="AL501" s="26" t="str" cm="1">
        <f t="array" ref="AL501">IFERROR(INDEX(Transactions[[Transaction code]:[Transaction name]],_xlfn.XMATCH(INDEX(Transactions[[Transaction name]:[Parent code]],_xlfn.XMATCH(Transactions[[#This Row],[L1N]],Transactions[Transaction name],0),3),Transactions[Transaction code],0),2),Transactions[[#This Row],[L1N]])</f>
        <v>Heat plants</v>
      </c>
      <c r="AM501" s="26" t="str" cm="1">
        <f t="array" ref="AM501">IFERROR(INDEX(Transactions[[Transaction code]:[Transaction name]],_xlfn.XMATCH(INDEX(Transactions[[Transaction name]:[Parent code]],_xlfn.XMATCH(Transactions[[#This Row],[L2N]],Transactions[Transaction name],0),3),Transactions[Transaction code],0),2),Transactions[[#This Row],[L2N]])</f>
        <v>Electricity, CHP and heat plants (T)</v>
      </c>
      <c r="AN501" s="26" t="str" cm="1">
        <f t="array" ref="AN501">IFERROR(INDEX(Transactions[[Transaction code]:[Transaction name]],_xlfn.XMATCH(INDEX(Transactions[[Transaction name]:[Parent code]],_xlfn.XMATCH(Transactions[[#This Row],[L3N]],Transactions[Transaction name],0),3),Transactions[Transaction code],0),2),Transactions[[#This Row],[L3N]])</f>
        <v>Transformation</v>
      </c>
      <c r="AO501" s="26" t="str" cm="1">
        <f t="array" ref="AO501">IFERROR(INDEX(Transactions[[Transaction code]:[Transaction name]],_xlfn.XMATCH(INDEX(Transactions[[Transaction name]:[Parent code]],_xlfn.XMATCH(Transactions[[#This Row],[L4N]],Transactions[Transaction name],0),3),Transactions[Transaction code],0),2),Transactions[[#This Row],[L4N]])</f>
        <v>Transformation</v>
      </c>
      <c r="AP501" s="26" t="str" cm="1">
        <f t="array" ref="AP501">IFERROR(INDEX(Transactions[[Transaction code]:[Transaction name]],_xlfn.XMATCH(INDEX(Transactions[[Transaction name]:[Parent code]],_xlfn.XMATCH(Transactions[[#This Row],[L5N]],Transactions[Transaction name],0),3),Transactions[Transaction code],0),2),Transactions[[#This Row],[L5N]])</f>
        <v>Transformation</v>
      </c>
      <c r="AQ501" s="26" t="str" cm="1">
        <f t="array" ref="AQ501">IFERROR(INDEX(Transactions[[Transaction code]:[Transaction name]],_xlfn.XMATCH(INDEX(Transactions[[Transaction name]:[Parent code]],_xlfn.XMATCH(Transactions[[#This Row],[L6N]],Transactions[Transaction name],0),3),Transactions[Transaction code],0),2),Transactions[[#This Row],[L6N]])</f>
        <v>Transformation</v>
      </c>
      <c r="AR501" s="30" t="str">
        <f>IF(Transactions[[#This Row],[L7N]]=Transactions[[#This Row],[L6N]],Transactions[[#This Row],[L7N]],IF(Transactions[[#This Row],[L6N]]=Transactions[[#This Row],[L5N]],Transactions[[#This Row],[L6N]],IF(Transactions[[#This Row],[L5N]]=Transactions[[#This Row],[L4N]],Transactions[[#This Row],[L5N]],IF(Transactions[[#This Row],[L4N]]=Transactions[[#This Row],[L3N]],Transactions[[#This Row],[L4N]],IF(Transactions[[#This Row],[L3N]]=Transactions[[#This Row],[L2N]],Transactions[[#This Row],[L3N]],IF(Transactions[[#This Row],[L2N]]=Transactions[[#This Row],[L1N]],Transactions[[#This Row],[L2N]],IF(Transactions[[#This Row],[L1N]]=Transactions[[#This Row],[Transaction name]],Transactions[[#This Row],[L1N]],Transactions[[#This Row],[Transaction name]])))))))</f>
        <v>Transformation</v>
      </c>
      <c r="AS501" s="26" t="str">
        <f>IF(Transactions[[#This Row],[Level 0]]=Transactions[[#This Row],[Transaction name]],Transactions[[#This Row],[Transaction name]],IF(Transactions[[#This Row],[Level 0]]=Transactions[[#This Row],[L1N]],Transactions[[#This Row],[Transaction name]],IF(Transactions[[#This Row],[Level 0]]=Transactions[[#This Row],[L2N]],Transactions[[#This Row],[L1N]],IF(Transactions[[#This Row],[Level 0]]=Transactions[[#This Row],[L3N]],Transactions[[#This Row],[L2N]],IF(Transactions[[#This Row],[Level 0]]=Transactions[[#This Row],[L4N]],Transactions[[#This Row],[L3N]],IF(Transactions[[#This Row],[Level 0]]=Transactions[[#This Row],[L5N]],Transactions[[#This Row],[L4N]],IF(Transactions[[#This Row],[Level 0]]=Transactions[[#This Row],[L6N]],Transactions[[#This Row],[L5N]],IF(Transactions[[#This Row],[Level 0]]=Transactions[[#This Row],[L7N]],Transactions[[#This Row],[L6N]],Transactions[[#This Row],[L7N]]))))))))</f>
        <v>Electricity, CHP and heat plants (T)</v>
      </c>
      <c r="AT501" s="26" t="str">
        <f>IF(Transactions[[#This Row],[Level 1]]=Transactions[[#This Row],[Transaction name]],Transactions[[#This Row],[Transaction name]],IF(Transactions[[#This Row],[Level 1]]=Transactions[[#This Row],[L1N]],Transactions[[#This Row],[Transaction name]],IF(Transactions[[#This Row],[Level 1]]=Transactions[[#This Row],[L2N]],Transactions[[#This Row],[L1N]],IF(Transactions[[#This Row],[Level 1]]=Transactions[[#This Row],[L3N]],Transactions[[#This Row],[L2N]],IF(Transactions[[#This Row],[Level 1]]=Transactions[[#This Row],[L4N]],Transactions[[#This Row],[L3N]],IF(Transactions[[#This Row],[Level 1]]=Transactions[[#This Row],[L5N]],Transactions[[#This Row],[L4N]],IF(Transactions[[#This Row],[Level 1]]=Transactions[[#This Row],[L6N]],Transactions[[#This Row],[L5N]],IF(Transactions[[#This Row],[Level 1]]=Transactions[[#This Row],[L7N]],Transactions[[#This Row],[L6N]],Transactions[[#This Row],[L7N]]))))))))</f>
        <v>Heat plants</v>
      </c>
      <c r="AU501" s="26" t="str">
        <f>IF(Transactions[[#This Row],[Level 2]]=Transactions[[#This Row],[Transaction name]],Transactions[[#This Row],[Transaction name]],IF(Transactions[[#This Row],[Level 2]]=Transactions[[#This Row],[L1N]],Transactions[[#This Row],[Transaction name]],IF(Transactions[[#This Row],[Level 2]]=Transactions[[#This Row],[L2N]],Transactions[[#This Row],[L1N]],IF(Transactions[[#This Row],[Level 2]]=Transactions[[#This Row],[L3N]],Transactions[[#This Row],[L2N]],IF(Transactions[[#This Row],[Level 2]]=Transactions[[#This Row],[L4N]],Transactions[[#This Row],[L3N]],IF(Transactions[[#This Row],[Level 2]]=Transactions[[#This Row],[L5N]],Transactions[[#This Row],[L4N]],IF(Transactions[[#This Row],[Level 2]]=Transactions[[#This Row],[L6N]],Transactions[[#This Row],[L5N]],IF(Transactions[[#This Row],[Level 2]]=Transactions[[#This Row],[L7N]],Transactions[[#This Row],[L6N]],Transactions[[#This Row],[L7N]]))))))))</f>
        <v>Heat plants - Nuclear</v>
      </c>
      <c r="AV501" s="26" t="str">
        <f>IF(Transactions[[#This Row],[Level 3]]=Transactions[[#This Row],[Transaction name]],Transactions[[#This Row],[Transaction name]],IF(Transactions[[#This Row],[Level 3]]=Transactions[[#This Row],[L1N]],Transactions[[#This Row],[Transaction name]],IF(Transactions[[#This Row],[Level 3]]=Transactions[[#This Row],[L2N]],Transactions[[#This Row],[L1N]],IF(Transactions[[#This Row],[Level 3]]=Transactions[[#This Row],[L3N]],Transactions[[#This Row],[L2N]],IF(Transactions[[#This Row],[Level 3]]=Transactions[[#This Row],[L4N]],Transactions[[#This Row],[L3N]],IF(Transactions[[#This Row],[Level 3]]=Transactions[[#This Row],[L5N]],Transactions[[#This Row],[L4N]],IF(Transactions[[#This Row],[Level 3]]=Transactions[[#This Row],[L6N]],Transactions[[#This Row],[L5N]],IF(Transactions[[#This Row],[Level 3]]=Transactions[[#This Row],[L7N]],Transactions[[#This Row],[L6N]],Transactions[[#This Row],[L7N]]))))))))</f>
        <v>Heat plants - Nuclear</v>
      </c>
      <c r="AW501" s="26" t="str">
        <f>IF(Transactions[[#This Row],[Level 4]]=Transactions[[#This Row],[Transaction name]],Transactions[[#This Row],[Transaction name]],IF(Transactions[[#This Row],[Level 4]]=Transactions[[#This Row],[L1N]],Transactions[[#This Row],[Transaction name]],IF(Transactions[[#This Row],[Level 4]]=Transactions[[#This Row],[L2N]],Transactions[[#This Row],[L1N]],IF(Transactions[[#This Row],[Level 4]]=Transactions[[#This Row],[L3N]],Transactions[[#This Row],[L2N]],IF(Transactions[[#This Row],[Level 4]]=Transactions[[#This Row],[L4N]],Transactions[[#This Row],[L3N]],IF(Transactions[[#This Row],[Level 4]]=Transactions[[#This Row],[L5N]],Transactions[[#This Row],[L4N]],IF(Transactions[[#This Row],[Level 4]]=Transactions[[#This Row],[L6N]],Transactions[[#This Row],[L5N]],IF(Transactions[[#This Row],[Level 4]]=Transactions[[#This Row],[L7N]],Transactions[[#This Row],[L6N]],Transactions[[#This Row],[L7N]]))))))))</f>
        <v>Heat plants - Nuclear</v>
      </c>
      <c r="AX501" s="26" t="str">
        <f>IF(Transactions[[#This Row],[Level 5]]=Transactions[[#This Row],[Transaction name]],Transactions[[#This Row],[Transaction name]],IF(Transactions[[#This Row],[Level 5]]=Transactions[[#This Row],[L1N]],Transactions[[#This Row],[Transaction name]],IF(Transactions[[#This Row],[Level 5]]=Transactions[[#This Row],[L2N]],Transactions[[#This Row],[L1N]],IF(Transactions[[#This Row],[Level 5]]=Transactions[[#This Row],[L3N]],Transactions[[#This Row],[L2N]],IF(Transactions[[#This Row],[Level 5]]=Transactions[[#This Row],[L4N]],Transactions[[#This Row],[L3N]],IF(Transactions[[#This Row],[Level 5]]=Transactions[[#This Row],[L5N]],Transactions[[#This Row],[L4N]],IF(Transactions[[#This Row],[Level 5]]=Transactions[[#This Row],[L6N]],Transactions[[#This Row],[L5N]],IF(Transactions[[#This Row],[Level 5]]=Transactions[[#This Row],[L7N]],Transactions[[#This Row],[L6N]],Transactions[[#This Row],[L7N]]))))))))</f>
        <v>Heat plants - Nuclear</v>
      </c>
      <c r="AY501" s="26" t="str">
        <f>IF(Transactions[[#This Row],[Level 6]]=Transactions[[#This Row],[Transaction name]],Transactions[[#This Row],[Transaction name]],IF(Transactions[[#This Row],[Level 6]]=Transactions[[#This Row],[L1N]],Transactions[[#This Row],[Transaction name]],IF(Transactions[[#This Row],[Level 6]]=Transactions[[#This Row],[L2N]],Transactions[[#This Row],[L1N]],IF(Transactions[[#This Row],[Level 6]]=Transactions[[#This Row],[L3N]],Transactions[[#This Row],[L2N]],IF(Transactions[[#This Row],[Level 6]]=Transactions[[#This Row],[L4N]],Transactions[[#This Row],[L3N]],IF(Transactions[[#This Row],[Level 6]]=Transactions[[#This Row],[L5N]],Transactions[[#This Row],[L4N]],IF(Transactions[[#This Row],[Level 6]]=Transactions[[#This Row],[L6N]],Transactions[[#This Row],[L5N]],IF(Transactions[[#This Row],[Level 6]]=Transactions[[#This Row],[L7N]],Transactions[[#This Row],[L6N]],Transactions[[#This Row],[L7N]]))))))))</f>
        <v>Heat plants - Nuclear</v>
      </c>
    </row>
    <row r="502" spans="25:51" x14ac:dyDescent="0.45">
      <c r="Y502" s="5" t="s">
        <v>1016</v>
      </c>
      <c r="Z502" s="7" t="s">
        <v>1056</v>
      </c>
      <c r="AA502" s="4" t="s">
        <v>1337</v>
      </c>
      <c r="AB502" s="19" t="s">
        <v>1573</v>
      </c>
      <c r="AC502" s="24" t="str">
        <f>IFERROR(VLOOKUP(Transactions[[#This Row],[Parent code]],Transactions[[Transaction code]:[Transaction name]],2,0),"")</f>
        <v>Heat plants - other oil products</v>
      </c>
      <c r="AD502" s="4" t="s">
        <v>189</v>
      </c>
      <c r="AE502" s="4" t="s">
        <v>924</v>
      </c>
      <c r="AF502" s="4" t="s">
        <v>642</v>
      </c>
      <c r="AG502" s="4" t="s">
        <v>1</v>
      </c>
      <c r="AH502" s="4" t="s">
        <v>696</v>
      </c>
      <c r="AI502" s="12" t="s">
        <v>1416</v>
      </c>
      <c r="AK502" s="24" t="str" cm="1">
        <f t="array" ref="AK502">IFERROR(INDEX(Transactions[[Transaction code]:[Transaction name]],_xlfn.XMATCH(Transactions[[#This Row],[Parent code]],Transactions[Transaction name],0),3),Transactions[[#This Row],[Transaction name]])</f>
        <v>Heat plants - Autoproducer - other oil products</v>
      </c>
      <c r="AL502" s="24" t="str" cm="1">
        <f t="array" ref="AL502">IFERROR(INDEX(Transactions[[Transaction code]:[Transaction name]],_xlfn.XMATCH(INDEX(Transactions[[Transaction name]:[Parent code]],_xlfn.XMATCH(Transactions[[#This Row],[L1N]],Transactions[Transaction name],0),3),Transactions[Transaction code],0),2),Transactions[[#This Row],[L1N]])</f>
        <v>Heat plants - other oil products</v>
      </c>
      <c r="AM502" s="24" t="str" cm="1">
        <f t="array" ref="AM502">IFERROR(INDEX(Transactions[[Transaction code]:[Transaction name]],_xlfn.XMATCH(INDEX(Transactions[[Transaction name]:[Parent code]],_xlfn.XMATCH(Transactions[[#This Row],[L2N]],Transactions[Transaction name],0),3),Transactions[Transaction code],0),2),Transactions[[#This Row],[L2N]])</f>
        <v>Heat plants</v>
      </c>
      <c r="AN502" s="24" t="str" cm="1">
        <f t="array" ref="AN502">IFERROR(INDEX(Transactions[[Transaction code]:[Transaction name]],_xlfn.XMATCH(INDEX(Transactions[[Transaction name]:[Parent code]],_xlfn.XMATCH(Transactions[[#This Row],[L3N]],Transactions[Transaction name],0),3),Transactions[Transaction code],0),2),Transactions[[#This Row],[L3N]])</f>
        <v>Electricity, CHP and heat plants (T)</v>
      </c>
      <c r="AO502" s="24" t="str" cm="1">
        <f t="array" ref="AO502">IFERROR(INDEX(Transactions[[Transaction code]:[Transaction name]],_xlfn.XMATCH(INDEX(Transactions[[Transaction name]:[Parent code]],_xlfn.XMATCH(Transactions[[#This Row],[L4N]],Transactions[Transaction name],0),3),Transactions[Transaction code],0),2),Transactions[[#This Row],[L4N]])</f>
        <v>Transformation</v>
      </c>
      <c r="AP502" s="24" t="str" cm="1">
        <f t="array" ref="AP502">IFERROR(INDEX(Transactions[[Transaction code]:[Transaction name]],_xlfn.XMATCH(INDEX(Transactions[[Transaction name]:[Parent code]],_xlfn.XMATCH(Transactions[[#This Row],[L5N]],Transactions[Transaction name],0),3),Transactions[Transaction code],0),2),Transactions[[#This Row],[L5N]])</f>
        <v>Transformation</v>
      </c>
      <c r="AQ502" s="24" t="str" cm="1">
        <f t="array" ref="AQ502">IFERROR(INDEX(Transactions[[Transaction code]:[Transaction name]],_xlfn.XMATCH(INDEX(Transactions[[Transaction name]:[Parent code]],_xlfn.XMATCH(Transactions[[#This Row],[L6N]],Transactions[Transaction name],0),3),Transactions[Transaction code],0),2),Transactions[[#This Row],[L6N]])</f>
        <v>Transformation</v>
      </c>
      <c r="AR502" s="27" t="str">
        <f>IF(Transactions[[#This Row],[L7N]]=Transactions[[#This Row],[L6N]],Transactions[[#This Row],[L7N]],IF(Transactions[[#This Row],[L6N]]=Transactions[[#This Row],[L5N]],Transactions[[#This Row],[L6N]],IF(Transactions[[#This Row],[L5N]]=Transactions[[#This Row],[L4N]],Transactions[[#This Row],[L5N]],IF(Transactions[[#This Row],[L4N]]=Transactions[[#This Row],[L3N]],Transactions[[#This Row],[L4N]],IF(Transactions[[#This Row],[L3N]]=Transactions[[#This Row],[L2N]],Transactions[[#This Row],[L3N]],IF(Transactions[[#This Row],[L2N]]=Transactions[[#This Row],[L1N]],Transactions[[#This Row],[L2N]],IF(Transactions[[#This Row],[L1N]]=Transactions[[#This Row],[Transaction name]],Transactions[[#This Row],[L1N]],Transactions[[#This Row],[Transaction name]])))))))</f>
        <v>Transformation</v>
      </c>
      <c r="AS502" s="24" t="str">
        <f>IF(Transactions[[#This Row],[Level 0]]=Transactions[[#This Row],[Transaction name]],Transactions[[#This Row],[Transaction name]],IF(Transactions[[#This Row],[Level 0]]=Transactions[[#This Row],[L1N]],Transactions[[#This Row],[Transaction name]],IF(Transactions[[#This Row],[Level 0]]=Transactions[[#This Row],[L2N]],Transactions[[#This Row],[L1N]],IF(Transactions[[#This Row],[Level 0]]=Transactions[[#This Row],[L3N]],Transactions[[#This Row],[L2N]],IF(Transactions[[#This Row],[Level 0]]=Transactions[[#This Row],[L4N]],Transactions[[#This Row],[L3N]],IF(Transactions[[#This Row],[Level 0]]=Transactions[[#This Row],[L5N]],Transactions[[#This Row],[L4N]],IF(Transactions[[#This Row],[Level 0]]=Transactions[[#This Row],[L6N]],Transactions[[#This Row],[L5N]],IF(Transactions[[#This Row],[Level 0]]=Transactions[[#This Row],[L7N]],Transactions[[#This Row],[L6N]],Transactions[[#This Row],[L7N]]))))))))</f>
        <v>Electricity, CHP and heat plants (T)</v>
      </c>
      <c r="AT502" s="24" t="str">
        <f>IF(Transactions[[#This Row],[Level 1]]=Transactions[[#This Row],[Transaction name]],Transactions[[#This Row],[Transaction name]],IF(Transactions[[#This Row],[Level 1]]=Transactions[[#This Row],[L1N]],Transactions[[#This Row],[Transaction name]],IF(Transactions[[#This Row],[Level 1]]=Transactions[[#This Row],[L2N]],Transactions[[#This Row],[L1N]],IF(Transactions[[#This Row],[Level 1]]=Transactions[[#This Row],[L3N]],Transactions[[#This Row],[L2N]],IF(Transactions[[#This Row],[Level 1]]=Transactions[[#This Row],[L4N]],Transactions[[#This Row],[L3N]],IF(Transactions[[#This Row],[Level 1]]=Transactions[[#This Row],[L5N]],Transactions[[#This Row],[L4N]],IF(Transactions[[#This Row],[Level 1]]=Transactions[[#This Row],[L6N]],Transactions[[#This Row],[L5N]],IF(Transactions[[#This Row],[Level 1]]=Transactions[[#This Row],[L7N]],Transactions[[#This Row],[L6N]],Transactions[[#This Row],[L7N]]))))))))</f>
        <v>Heat plants</v>
      </c>
      <c r="AU502" s="24" t="str">
        <f>IF(Transactions[[#This Row],[Level 2]]=Transactions[[#This Row],[Transaction name]],Transactions[[#This Row],[Transaction name]],IF(Transactions[[#This Row],[Level 2]]=Transactions[[#This Row],[L1N]],Transactions[[#This Row],[Transaction name]],IF(Transactions[[#This Row],[Level 2]]=Transactions[[#This Row],[L2N]],Transactions[[#This Row],[L1N]],IF(Transactions[[#This Row],[Level 2]]=Transactions[[#This Row],[L3N]],Transactions[[#This Row],[L2N]],IF(Transactions[[#This Row],[Level 2]]=Transactions[[#This Row],[L4N]],Transactions[[#This Row],[L3N]],IF(Transactions[[#This Row],[Level 2]]=Transactions[[#This Row],[L5N]],Transactions[[#This Row],[L4N]],IF(Transactions[[#This Row],[Level 2]]=Transactions[[#This Row],[L6N]],Transactions[[#This Row],[L5N]],IF(Transactions[[#This Row],[Level 2]]=Transactions[[#This Row],[L7N]],Transactions[[#This Row],[L6N]],Transactions[[#This Row],[L7N]]))))))))</f>
        <v>Heat plants - other oil products</v>
      </c>
      <c r="AV502" s="24" t="str">
        <f>IF(Transactions[[#This Row],[Level 3]]=Transactions[[#This Row],[Transaction name]],Transactions[[#This Row],[Transaction name]],IF(Transactions[[#This Row],[Level 3]]=Transactions[[#This Row],[L1N]],Transactions[[#This Row],[Transaction name]],IF(Transactions[[#This Row],[Level 3]]=Transactions[[#This Row],[L2N]],Transactions[[#This Row],[L1N]],IF(Transactions[[#This Row],[Level 3]]=Transactions[[#This Row],[L3N]],Transactions[[#This Row],[L2N]],IF(Transactions[[#This Row],[Level 3]]=Transactions[[#This Row],[L4N]],Transactions[[#This Row],[L3N]],IF(Transactions[[#This Row],[Level 3]]=Transactions[[#This Row],[L5N]],Transactions[[#This Row],[L4N]],IF(Transactions[[#This Row],[Level 3]]=Transactions[[#This Row],[L6N]],Transactions[[#This Row],[L5N]],IF(Transactions[[#This Row],[Level 3]]=Transactions[[#This Row],[L7N]],Transactions[[#This Row],[L6N]],Transactions[[#This Row],[L7N]]))))))))</f>
        <v>Heat plants - Autoproducer - other oil products</v>
      </c>
      <c r="AW502" s="24" t="str">
        <f>IF(Transactions[[#This Row],[Level 4]]=Transactions[[#This Row],[Transaction name]],Transactions[[#This Row],[Transaction name]],IF(Transactions[[#This Row],[Level 4]]=Transactions[[#This Row],[L1N]],Transactions[[#This Row],[Transaction name]],IF(Transactions[[#This Row],[Level 4]]=Transactions[[#This Row],[L2N]],Transactions[[#This Row],[L1N]],IF(Transactions[[#This Row],[Level 4]]=Transactions[[#This Row],[L3N]],Transactions[[#This Row],[L2N]],IF(Transactions[[#This Row],[Level 4]]=Transactions[[#This Row],[L4N]],Transactions[[#This Row],[L3N]],IF(Transactions[[#This Row],[Level 4]]=Transactions[[#This Row],[L5N]],Transactions[[#This Row],[L4N]],IF(Transactions[[#This Row],[Level 4]]=Transactions[[#This Row],[L6N]],Transactions[[#This Row],[L5N]],IF(Transactions[[#This Row],[Level 4]]=Transactions[[#This Row],[L7N]],Transactions[[#This Row],[L6N]],Transactions[[#This Row],[L7N]]))))))))</f>
        <v>Heat plants - Autoproducer - other oil products</v>
      </c>
      <c r="AX502" s="24" t="str">
        <f>IF(Transactions[[#This Row],[Level 5]]=Transactions[[#This Row],[Transaction name]],Transactions[[#This Row],[Transaction name]],IF(Transactions[[#This Row],[Level 5]]=Transactions[[#This Row],[L1N]],Transactions[[#This Row],[Transaction name]],IF(Transactions[[#This Row],[Level 5]]=Transactions[[#This Row],[L2N]],Transactions[[#This Row],[L1N]],IF(Transactions[[#This Row],[Level 5]]=Transactions[[#This Row],[L3N]],Transactions[[#This Row],[L2N]],IF(Transactions[[#This Row],[Level 5]]=Transactions[[#This Row],[L4N]],Transactions[[#This Row],[L3N]],IF(Transactions[[#This Row],[Level 5]]=Transactions[[#This Row],[L5N]],Transactions[[#This Row],[L4N]],IF(Transactions[[#This Row],[Level 5]]=Transactions[[#This Row],[L6N]],Transactions[[#This Row],[L5N]],IF(Transactions[[#This Row],[Level 5]]=Transactions[[#This Row],[L7N]],Transactions[[#This Row],[L6N]],Transactions[[#This Row],[L7N]]))))))))</f>
        <v>Heat plants - Autoproducer - other oil products</v>
      </c>
      <c r="AY502" s="24" t="str">
        <f>IF(Transactions[[#This Row],[Level 6]]=Transactions[[#This Row],[Transaction name]],Transactions[[#This Row],[Transaction name]],IF(Transactions[[#This Row],[Level 6]]=Transactions[[#This Row],[L1N]],Transactions[[#This Row],[Transaction name]],IF(Transactions[[#This Row],[Level 6]]=Transactions[[#This Row],[L2N]],Transactions[[#This Row],[L1N]],IF(Transactions[[#This Row],[Level 6]]=Transactions[[#This Row],[L3N]],Transactions[[#This Row],[L2N]],IF(Transactions[[#This Row],[Level 6]]=Transactions[[#This Row],[L4N]],Transactions[[#This Row],[L3N]],IF(Transactions[[#This Row],[Level 6]]=Transactions[[#This Row],[L5N]],Transactions[[#This Row],[L4N]],IF(Transactions[[#This Row],[Level 6]]=Transactions[[#This Row],[L6N]],Transactions[[#This Row],[L5N]],IF(Transactions[[#This Row],[Level 6]]=Transactions[[#This Row],[L7N]],Transactions[[#This Row],[L6N]],Transactions[[#This Row],[L7N]]))))))))</f>
        <v>Heat plants - Autoproducer - other oil products</v>
      </c>
    </row>
    <row r="503" spans="25:51" x14ac:dyDescent="0.45">
      <c r="Y503" s="5" t="s">
        <v>1012</v>
      </c>
      <c r="Z503" s="7" t="s">
        <v>1052</v>
      </c>
      <c r="AA503" s="4" t="s">
        <v>1337</v>
      </c>
      <c r="AB503" s="19" t="s">
        <v>1573</v>
      </c>
      <c r="AC503" s="24" t="str">
        <f>IFERROR(VLOOKUP(Transactions[[#This Row],[Parent code]],Transactions[[Transaction code]:[Transaction name]],2,0),"")</f>
        <v>Heat plants - other oil products</v>
      </c>
      <c r="AD503" s="4" t="s">
        <v>189</v>
      </c>
      <c r="AE503" s="4" t="s">
        <v>924</v>
      </c>
      <c r="AF503" s="4" t="s">
        <v>642</v>
      </c>
      <c r="AG503" s="4" t="s">
        <v>1</v>
      </c>
      <c r="AH503" s="4" t="s">
        <v>696</v>
      </c>
      <c r="AI503" s="12" t="s">
        <v>1416</v>
      </c>
      <c r="AK503" s="24" t="str" cm="1">
        <f t="array" ref="AK503">IFERROR(INDEX(Transactions[[Transaction code]:[Transaction name]],_xlfn.XMATCH(Transactions[[#This Row],[Parent code]],Transactions[Transaction name],0),3),Transactions[[#This Row],[Transaction name]])</f>
        <v>Heat plants - Main activity - other oil products</v>
      </c>
      <c r="AL503" s="24" t="str" cm="1">
        <f t="array" ref="AL503">IFERROR(INDEX(Transactions[[Transaction code]:[Transaction name]],_xlfn.XMATCH(INDEX(Transactions[[Transaction name]:[Parent code]],_xlfn.XMATCH(Transactions[[#This Row],[L1N]],Transactions[Transaction name],0),3),Transactions[Transaction code],0),2),Transactions[[#This Row],[L1N]])</f>
        <v>Heat plants - other oil products</v>
      </c>
      <c r="AM503" s="24" t="str" cm="1">
        <f t="array" ref="AM503">IFERROR(INDEX(Transactions[[Transaction code]:[Transaction name]],_xlfn.XMATCH(INDEX(Transactions[[Transaction name]:[Parent code]],_xlfn.XMATCH(Transactions[[#This Row],[L2N]],Transactions[Transaction name],0),3),Transactions[Transaction code],0),2),Transactions[[#This Row],[L2N]])</f>
        <v>Heat plants</v>
      </c>
      <c r="AN503" s="24" t="str" cm="1">
        <f t="array" ref="AN503">IFERROR(INDEX(Transactions[[Transaction code]:[Transaction name]],_xlfn.XMATCH(INDEX(Transactions[[Transaction name]:[Parent code]],_xlfn.XMATCH(Transactions[[#This Row],[L3N]],Transactions[Transaction name],0),3),Transactions[Transaction code],0),2),Transactions[[#This Row],[L3N]])</f>
        <v>Electricity, CHP and heat plants (T)</v>
      </c>
      <c r="AO503" s="24" t="str" cm="1">
        <f t="array" ref="AO503">IFERROR(INDEX(Transactions[[Transaction code]:[Transaction name]],_xlfn.XMATCH(INDEX(Transactions[[Transaction name]:[Parent code]],_xlfn.XMATCH(Transactions[[#This Row],[L4N]],Transactions[Transaction name],0),3),Transactions[Transaction code],0),2),Transactions[[#This Row],[L4N]])</f>
        <v>Transformation</v>
      </c>
      <c r="AP503" s="24" t="str" cm="1">
        <f t="array" ref="AP503">IFERROR(INDEX(Transactions[[Transaction code]:[Transaction name]],_xlfn.XMATCH(INDEX(Transactions[[Transaction name]:[Parent code]],_xlfn.XMATCH(Transactions[[#This Row],[L5N]],Transactions[Transaction name],0),3),Transactions[Transaction code],0),2),Transactions[[#This Row],[L5N]])</f>
        <v>Transformation</v>
      </c>
      <c r="AQ503" s="24" t="str" cm="1">
        <f t="array" ref="AQ503">IFERROR(INDEX(Transactions[[Transaction code]:[Transaction name]],_xlfn.XMATCH(INDEX(Transactions[[Transaction name]:[Parent code]],_xlfn.XMATCH(Transactions[[#This Row],[L6N]],Transactions[Transaction name],0),3),Transactions[Transaction code],0),2),Transactions[[#This Row],[L6N]])</f>
        <v>Transformation</v>
      </c>
      <c r="AR503" s="27" t="str">
        <f>IF(Transactions[[#This Row],[L7N]]=Transactions[[#This Row],[L6N]],Transactions[[#This Row],[L7N]],IF(Transactions[[#This Row],[L6N]]=Transactions[[#This Row],[L5N]],Transactions[[#This Row],[L6N]],IF(Transactions[[#This Row],[L5N]]=Transactions[[#This Row],[L4N]],Transactions[[#This Row],[L5N]],IF(Transactions[[#This Row],[L4N]]=Transactions[[#This Row],[L3N]],Transactions[[#This Row],[L4N]],IF(Transactions[[#This Row],[L3N]]=Transactions[[#This Row],[L2N]],Transactions[[#This Row],[L3N]],IF(Transactions[[#This Row],[L2N]]=Transactions[[#This Row],[L1N]],Transactions[[#This Row],[L2N]],IF(Transactions[[#This Row],[L1N]]=Transactions[[#This Row],[Transaction name]],Transactions[[#This Row],[L1N]],Transactions[[#This Row],[Transaction name]])))))))</f>
        <v>Transformation</v>
      </c>
      <c r="AS503" s="24" t="str">
        <f>IF(Transactions[[#This Row],[Level 0]]=Transactions[[#This Row],[Transaction name]],Transactions[[#This Row],[Transaction name]],IF(Transactions[[#This Row],[Level 0]]=Transactions[[#This Row],[L1N]],Transactions[[#This Row],[Transaction name]],IF(Transactions[[#This Row],[Level 0]]=Transactions[[#This Row],[L2N]],Transactions[[#This Row],[L1N]],IF(Transactions[[#This Row],[Level 0]]=Transactions[[#This Row],[L3N]],Transactions[[#This Row],[L2N]],IF(Transactions[[#This Row],[Level 0]]=Transactions[[#This Row],[L4N]],Transactions[[#This Row],[L3N]],IF(Transactions[[#This Row],[Level 0]]=Transactions[[#This Row],[L5N]],Transactions[[#This Row],[L4N]],IF(Transactions[[#This Row],[Level 0]]=Transactions[[#This Row],[L6N]],Transactions[[#This Row],[L5N]],IF(Transactions[[#This Row],[Level 0]]=Transactions[[#This Row],[L7N]],Transactions[[#This Row],[L6N]],Transactions[[#This Row],[L7N]]))))))))</f>
        <v>Electricity, CHP and heat plants (T)</v>
      </c>
      <c r="AT503" s="24" t="str">
        <f>IF(Transactions[[#This Row],[Level 1]]=Transactions[[#This Row],[Transaction name]],Transactions[[#This Row],[Transaction name]],IF(Transactions[[#This Row],[Level 1]]=Transactions[[#This Row],[L1N]],Transactions[[#This Row],[Transaction name]],IF(Transactions[[#This Row],[Level 1]]=Transactions[[#This Row],[L2N]],Transactions[[#This Row],[L1N]],IF(Transactions[[#This Row],[Level 1]]=Transactions[[#This Row],[L3N]],Transactions[[#This Row],[L2N]],IF(Transactions[[#This Row],[Level 1]]=Transactions[[#This Row],[L4N]],Transactions[[#This Row],[L3N]],IF(Transactions[[#This Row],[Level 1]]=Transactions[[#This Row],[L5N]],Transactions[[#This Row],[L4N]],IF(Transactions[[#This Row],[Level 1]]=Transactions[[#This Row],[L6N]],Transactions[[#This Row],[L5N]],IF(Transactions[[#This Row],[Level 1]]=Transactions[[#This Row],[L7N]],Transactions[[#This Row],[L6N]],Transactions[[#This Row],[L7N]]))))))))</f>
        <v>Heat plants</v>
      </c>
      <c r="AU503" s="24" t="str">
        <f>IF(Transactions[[#This Row],[Level 2]]=Transactions[[#This Row],[Transaction name]],Transactions[[#This Row],[Transaction name]],IF(Transactions[[#This Row],[Level 2]]=Transactions[[#This Row],[L1N]],Transactions[[#This Row],[Transaction name]],IF(Transactions[[#This Row],[Level 2]]=Transactions[[#This Row],[L2N]],Transactions[[#This Row],[L1N]],IF(Transactions[[#This Row],[Level 2]]=Transactions[[#This Row],[L3N]],Transactions[[#This Row],[L2N]],IF(Transactions[[#This Row],[Level 2]]=Transactions[[#This Row],[L4N]],Transactions[[#This Row],[L3N]],IF(Transactions[[#This Row],[Level 2]]=Transactions[[#This Row],[L5N]],Transactions[[#This Row],[L4N]],IF(Transactions[[#This Row],[Level 2]]=Transactions[[#This Row],[L6N]],Transactions[[#This Row],[L5N]],IF(Transactions[[#This Row],[Level 2]]=Transactions[[#This Row],[L7N]],Transactions[[#This Row],[L6N]],Transactions[[#This Row],[L7N]]))))))))</f>
        <v>Heat plants - other oil products</v>
      </c>
      <c r="AV503" s="24" t="str">
        <f>IF(Transactions[[#This Row],[Level 3]]=Transactions[[#This Row],[Transaction name]],Transactions[[#This Row],[Transaction name]],IF(Transactions[[#This Row],[Level 3]]=Transactions[[#This Row],[L1N]],Transactions[[#This Row],[Transaction name]],IF(Transactions[[#This Row],[Level 3]]=Transactions[[#This Row],[L2N]],Transactions[[#This Row],[L1N]],IF(Transactions[[#This Row],[Level 3]]=Transactions[[#This Row],[L3N]],Transactions[[#This Row],[L2N]],IF(Transactions[[#This Row],[Level 3]]=Transactions[[#This Row],[L4N]],Transactions[[#This Row],[L3N]],IF(Transactions[[#This Row],[Level 3]]=Transactions[[#This Row],[L5N]],Transactions[[#This Row],[L4N]],IF(Transactions[[#This Row],[Level 3]]=Transactions[[#This Row],[L6N]],Transactions[[#This Row],[L5N]],IF(Transactions[[#This Row],[Level 3]]=Transactions[[#This Row],[L7N]],Transactions[[#This Row],[L6N]],Transactions[[#This Row],[L7N]]))))))))</f>
        <v>Heat plants - Main activity - other oil products</v>
      </c>
      <c r="AW503" s="24" t="str">
        <f>IF(Transactions[[#This Row],[Level 4]]=Transactions[[#This Row],[Transaction name]],Transactions[[#This Row],[Transaction name]],IF(Transactions[[#This Row],[Level 4]]=Transactions[[#This Row],[L1N]],Transactions[[#This Row],[Transaction name]],IF(Transactions[[#This Row],[Level 4]]=Transactions[[#This Row],[L2N]],Transactions[[#This Row],[L1N]],IF(Transactions[[#This Row],[Level 4]]=Transactions[[#This Row],[L3N]],Transactions[[#This Row],[L2N]],IF(Transactions[[#This Row],[Level 4]]=Transactions[[#This Row],[L4N]],Transactions[[#This Row],[L3N]],IF(Transactions[[#This Row],[Level 4]]=Transactions[[#This Row],[L5N]],Transactions[[#This Row],[L4N]],IF(Transactions[[#This Row],[Level 4]]=Transactions[[#This Row],[L6N]],Transactions[[#This Row],[L5N]],IF(Transactions[[#This Row],[Level 4]]=Transactions[[#This Row],[L7N]],Transactions[[#This Row],[L6N]],Transactions[[#This Row],[L7N]]))))))))</f>
        <v>Heat plants - Main activity - other oil products</v>
      </c>
      <c r="AX503" s="24" t="str">
        <f>IF(Transactions[[#This Row],[Level 5]]=Transactions[[#This Row],[Transaction name]],Transactions[[#This Row],[Transaction name]],IF(Transactions[[#This Row],[Level 5]]=Transactions[[#This Row],[L1N]],Transactions[[#This Row],[Transaction name]],IF(Transactions[[#This Row],[Level 5]]=Transactions[[#This Row],[L2N]],Transactions[[#This Row],[L1N]],IF(Transactions[[#This Row],[Level 5]]=Transactions[[#This Row],[L3N]],Transactions[[#This Row],[L2N]],IF(Transactions[[#This Row],[Level 5]]=Transactions[[#This Row],[L4N]],Transactions[[#This Row],[L3N]],IF(Transactions[[#This Row],[Level 5]]=Transactions[[#This Row],[L5N]],Transactions[[#This Row],[L4N]],IF(Transactions[[#This Row],[Level 5]]=Transactions[[#This Row],[L6N]],Transactions[[#This Row],[L5N]],IF(Transactions[[#This Row],[Level 5]]=Transactions[[#This Row],[L7N]],Transactions[[#This Row],[L6N]],Transactions[[#This Row],[L7N]]))))))))</f>
        <v>Heat plants - Main activity - other oil products</v>
      </c>
      <c r="AY503" s="24" t="str">
        <f>IF(Transactions[[#This Row],[Level 6]]=Transactions[[#This Row],[Transaction name]],Transactions[[#This Row],[Transaction name]],IF(Transactions[[#This Row],[Level 6]]=Transactions[[#This Row],[L1N]],Transactions[[#This Row],[Transaction name]],IF(Transactions[[#This Row],[Level 6]]=Transactions[[#This Row],[L2N]],Transactions[[#This Row],[L1N]],IF(Transactions[[#This Row],[Level 6]]=Transactions[[#This Row],[L3N]],Transactions[[#This Row],[L2N]],IF(Transactions[[#This Row],[Level 6]]=Transactions[[#This Row],[L4N]],Transactions[[#This Row],[L3N]],IF(Transactions[[#This Row],[Level 6]]=Transactions[[#This Row],[L5N]],Transactions[[#This Row],[L4N]],IF(Transactions[[#This Row],[Level 6]]=Transactions[[#This Row],[L6N]],Transactions[[#This Row],[L5N]],IF(Transactions[[#This Row],[Level 6]]=Transactions[[#This Row],[L7N]],Transactions[[#This Row],[L6N]],Transactions[[#This Row],[L7N]]))))))))</f>
        <v>Heat plants - Main activity - other oil products</v>
      </c>
    </row>
    <row r="504" spans="25:51" x14ac:dyDescent="0.45">
      <c r="Y504" s="19" t="s">
        <v>1573</v>
      </c>
      <c r="Z504" s="18" t="s">
        <v>1337</v>
      </c>
      <c r="AA504" s="18" t="s">
        <v>1337</v>
      </c>
      <c r="AB504" s="19" t="s">
        <v>1574</v>
      </c>
      <c r="AC504" s="26" t="str">
        <f>IFERROR(VLOOKUP(Transactions[[#This Row],[Parent code]],Transactions[[Transaction code]:[Transaction name]],2,0),"")</f>
        <v>Heat plants</v>
      </c>
      <c r="AD504" s="18" t="s">
        <v>189</v>
      </c>
      <c r="AE504" s="18" t="s">
        <v>924</v>
      </c>
      <c r="AF504" s="18" t="s">
        <v>642</v>
      </c>
      <c r="AG504" s="18" t="s">
        <v>1</v>
      </c>
      <c r="AH504" s="18" t="s">
        <v>696</v>
      </c>
      <c r="AI504" s="18" t="s">
        <v>1416</v>
      </c>
      <c r="AJ504" s="18"/>
      <c r="AK504" s="26" t="str" cm="1">
        <f t="array" ref="AK504">IFERROR(INDEX(Transactions[[Transaction code]:[Transaction name]],_xlfn.XMATCH(Transactions[[#This Row],[Parent code]],Transactions[Transaction name],0),3),Transactions[[#This Row],[Transaction name]])</f>
        <v>Heat plants - other oil products</v>
      </c>
      <c r="AL504" s="26" t="str" cm="1">
        <f t="array" ref="AL504">IFERROR(INDEX(Transactions[[Transaction code]:[Transaction name]],_xlfn.XMATCH(INDEX(Transactions[[Transaction name]:[Parent code]],_xlfn.XMATCH(Transactions[[#This Row],[L1N]],Transactions[Transaction name],0),3),Transactions[Transaction code],0),2),Transactions[[#This Row],[L1N]])</f>
        <v>Heat plants</v>
      </c>
      <c r="AM504" s="26" t="str" cm="1">
        <f t="array" ref="AM504">IFERROR(INDEX(Transactions[[Transaction code]:[Transaction name]],_xlfn.XMATCH(INDEX(Transactions[[Transaction name]:[Parent code]],_xlfn.XMATCH(Transactions[[#This Row],[L2N]],Transactions[Transaction name],0),3),Transactions[Transaction code],0),2),Transactions[[#This Row],[L2N]])</f>
        <v>Electricity, CHP and heat plants (T)</v>
      </c>
      <c r="AN504" s="26" t="str" cm="1">
        <f t="array" ref="AN504">IFERROR(INDEX(Transactions[[Transaction code]:[Transaction name]],_xlfn.XMATCH(INDEX(Transactions[[Transaction name]:[Parent code]],_xlfn.XMATCH(Transactions[[#This Row],[L3N]],Transactions[Transaction name],0),3),Transactions[Transaction code],0),2),Transactions[[#This Row],[L3N]])</f>
        <v>Transformation</v>
      </c>
      <c r="AO504" s="26" t="str" cm="1">
        <f t="array" ref="AO504">IFERROR(INDEX(Transactions[[Transaction code]:[Transaction name]],_xlfn.XMATCH(INDEX(Transactions[[Transaction name]:[Parent code]],_xlfn.XMATCH(Transactions[[#This Row],[L4N]],Transactions[Transaction name],0),3),Transactions[Transaction code],0),2),Transactions[[#This Row],[L4N]])</f>
        <v>Transformation</v>
      </c>
      <c r="AP504" s="26" t="str" cm="1">
        <f t="array" ref="AP504">IFERROR(INDEX(Transactions[[Transaction code]:[Transaction name]],_xlfn.XMATCH(INDEX(Transactions[[Transaction name]:[Parent code]],_xlfn.XMATCH(Transactions[[#This Row],[L5N]],Transactions[Transaction name],0),3),Transactions[Transaction code],0),2),Transactions[[#This Row],[L5N]])</f>
        <v>Transformation</v>
      </c>
      <c r="AQ504" s="26" t="str" cm="1">
        <f t="array" ref="AQ504">IFERROR(INDEX(Transactions[[Transaction code]:[Transaction name]],_xlfn.XMATCH(INDEX(Transactions[[Transaction name]:[Parent code]],_xlfn.XMATCH(Transactions[[#This Row],[L6N]],Transactions[Transaction name],0),3),Transactions[Transaction code],0),2),Transactions[[#This Row],[L6N]])</f>
        <v>Transformation</v>
      </c>
      <c r="AR504" s="30" t="str">
        <f>IF(Transactions[[#This Row],[L7N]]=Transactions[[#This Row],[L6N]],Transactions[[#This Row],[L7N]],IF(Transactions[[#This Row],[L6N]]=Transactions[[#This Row],[L5N]],Transactions[[#This Row],[L6N]],IF(Transactions[[#This Row],[L5N]]=Transactions[[#This Row],[L4N]],Transactions[[#This Row],[L5N]],IF(Transactions[[#This Row],[L4N]]=Transactions[[#This Row],[L3N]],Transactions[[#This Row],[L4N]],IF(Transactions[[#This Row],[L3N]]=Transactions[[#This Row],[L2N]],Transactions[[#This Row],[L3N]],IF(Transactions[[#This Row],[L2N]]=Transactions[[#This Row],[L1N]],Transactions[[#This Row],[L2N]],IF(Transactions[[#This Row],[L1N]]=Transactions[[#This Row],[Transaction name]],Transactions[[#This Row],[L1N]],Transactions[[#This Row],[Transaction name]])))))))</f>
        <v>Transformation</v>
      </c>
      <c r="AS504" s="26" t="str">
        <f>IF(Transactions[[#This Row],[Level 0]]=Transactions[[#This Row],[Transaction name]],Transactions[[#This Row],[Transaction name]],IF(Transactions[[#This Row],[Level 0]]=Transactions[[#This Row],[L1N]],Transactions[[#This Row],[Transaction name]],IF(Transactions[[#This Row],[Level 0]]=Transactions[[#This Row],[L2N]],Transactions[[#This Row],[L1N]],IF(Transactions[[#This Row],[Level 0]]=Transactions[[#This Row],[L3N]],Transactions[[#This Row],[L2N]],IF(Transactions[[#This Row],[Level 0]]=Transactions[[#This Row],[L4N]],Transactions[[#This Row],[L3N]],IF(Transactions[[#This Row],[Level 0]]=Transactions[[#This Row],[L5N]],Transactions[[#This Row],[L4N]],IF(Transactions[[#This Row],[Level 0]]=Transactions[[#This Row],[L6N]],Transactions[[#This Row],[L5N]],IF(Transactions[[#This Row],[Level 0]]=Transactions[[#This Row],[L7N]],Transactions[[#This Row],[L6N]],Transactions[[#This Row],[L7N]]))))))))</f>
        <v>Electricity, CHP and heat plants (T)</v>
      </c>
      <c r="AT504" s="26" t="str">
        <f>IF(Transactions[[#This Row],[Level 1]]=Transactions[[#This Row],[Transaction name]],Transactions[[#This Row],[Transaction name]],IF(Transactions[[#This Row],[Level 1]]=Transactions[[#This Row],[L1N]],Transactions[[#This Row],[Transaction name]],IF(Transactions[[#This Row],[Level 1]]=Transactions[[#This Row],[L2N]],Transactions[[#This Row],[L1N]],IF(Transactions[[#This Row],[Level 1]]=Transactions[[#This Row],[L3N]],Transactions[[#This Row],[L2N]],IF(Transactions[[#This Row],[Level 1]]=Transactions[[#This Row],[L4N]],Transactions[[#This Row],[L3N]],IF(Transactions[[#This Row],[Level 1]]=Transactions[[#This Row],[L5N]],Transactions[[#This Row],[L4N]],IF(Transactions[[#This Row],[Level 1]]=Transactions[[#This Row],[L6N]],Transactions[[#This Row],[L5N]],IF(Transactions[[#This Row],[Level 1]]=Transactions[[#This Row],[L7N]],Transactions[[#This Row],[L6N]],Transactions[[#This Row],[L7N]]))))))))</f>
        <v>Heat plants</v>
      </c>
      <c r="AU504" s="26" t="str">
        <f>IF(Transactions[[#This Row],[Level 2]]=Transactions[[#This Row],[Transaction name]],Transactions[[#This Row],[Transaction name]],IF(Transactions[[#This Row],[Level 2]]=Transactions[[#This Row],[L1N]],Transactions[[#This Row],[Transaction name]],IF(Transactions[[#This Row],[Level 2]]=Transactions[[#This Row],[L2N]],Transactions[[#This Row],[L1N]],IF(Transactions[[#This Row],[Level 2]]=Transactions[[#This Row],[L3N]],Transactions[[#This Row],[L2N]],IF(Transactions[[#This Row],[Level 2]]=Transactions[[#This Row],[L4N]],Transactions[[#This Row],[L3N]],IF(Transactions[[#This Row],[Level 2]]=Transactions[[#This Row],[L5N]],Transactions[[#This Row],[L4N]],IF(Transactions[[#This Row],[Level 2]]=Transactions[[#This Row],[L6N]],Transactions[[#This Row],[L5N]],IF(Transactions[[#This Row],[Level 2]]=Transactions[[#This Row],[L7N]],Transactions[[#This Row],[L6N]],Transactions[[#This Row],[L7N]]))))))))</f>
        <v>Heat plants - other oil products</v>
      </c>
      <c r="AV504" s="26" t="str">
        <f>IF(Transactions[[#This Row],[Level 3]]=Transactions[[#This Row],[Transaction name]],Transactions[[#This Row],[Transaction name]],IF(Transactions[[#This Row],[Level 3]]=Transactions[[#This Row],[L1N]],Transactions[[#This Row],[Transaction name]],IF(Transactions[[#This Row],[Level 3]]=Transactions[[#This Row],[L2N]],Transactions[[#This Row],[L1N]],IF(Transactions[[#This Row],[Level 3]]=Transactions[[#This Row],[L3N]],Transactions[[#This Row],[L2N]],IF(Transactions[[#This Row],[Level 3]]=Transactions[[#This Row],[L4N]],Transactions[[#This Row],[L3N]],IF(Transactions[[#This Row],[Level 3]]=Transactions[[#This Row],[L5N]],Transactions[[#This Row],[L4N]],IF(Transactions[[#This Row],[Level 3]]=Transactions[[#This Row],[L6N]],Transactions[[#This Row],[L5N]],IF(Transactions[[#This Row],[Level 3]]=Transactions[[#This Row],[L7N]],Transactions[[#This Row],[L6N]],Transactions[[#This Row],[L7N]]))))))))</f>
        <v>Heat plants - other oil products</v>
      </c>
      <c r="AW504" s="26" t="str">
        <f>IF(Transactions[[#This Row],[Level 4]]=Transactions[[#This Row],[Transaction name]],Transactions[[#This Row],[Transaction name]],IF(Transactions[[#This Row],[Level 4]]=Transactions[[#This Row],[L1N]],Transactions[[#This Row],[Transaction name]],IF(Transactions[[#This Row],[Level 4]]=Transactions[[#This Row],[L2N]],Transactions[[#This Row],[L1N]],IF(Transactions[[#This Row],[Level 4]]=Transactions[[#This Row],[L3N]],Transactions[[#This Row],[L2N]],IF(Transactions[[#This Row],[Level 4]]=Transactions[[#This Row],[L4N]],Transactions[[#This Row],[L3N]],IF(Transactions[[#This Row],[Level 4]]=Transactions[[#This Row],[L5N]],Transactions[[#This Row],[L4N]],IF(Transactions[[#This Row],[Level 4]]=Transactions[[#This Row],[L6N]],Transactions[[#This Row],[L5N]],IF(Transactions[[#This Row],[Level 4]]=Transactions[[#This Row],[L7N]],Transactions[[#This Row],[L6N]],Transactions[[#This Row],[L7N]]))))))))</f>
        <v>Heat plants - other oil products</v>
      </c>
      <c r="AX504" s="26" t="str">
        <f>IF(Transactions[[#This Row],[Level 5]]=Transactions[[#This Row],[Transaction name]],Transactions[[#This Row],[Transaction name]],IF(Transactions[[#This Row],[Level 5]]=Transactions[[#This Row],[L1N]],Transactions[[#This Row],[Transaction name]],IF(Transactions[[#This Row],[Level 5]]=Transactions[[#This Row],[L2N]],Transactions[[#This Row],[L1N]],IF(Transactions[[#This Row],[Level 5]]=Transactions[[#This Row],[L3N]],Transactions[[#This Row],[L2N]],IF(Transactions[[#This Row],[Level 5]]=Transactions[[#This Row],[L4N]],Transactions[[#This Row],[L3N]],IF(Transactions[[#This Row],[Level 5]]=Transactions[[#This Row],[L5N]],Transactions[[#This Row],[L4N]],IF(Transactions[[#This Row],[Level 5]]=Transactions[[#This Row],[L6N]],Transactions[[#This Row],[L5N]],IF(Transactions[[#This Row],[Level 5]]=Transactions[[#This Row],[L7N]],Transactions[[#This Row],[L6N]],Transactions[[#This Row],[L7N]]))))))))</f>
        <v>Heat plants - other oil products</v>
      </c>
      <c r="AY504" s="26" t="str">
        <f>IF(Transactions[[#This Row],[Level 6]]=Transactions[[#This Row],[Transaction name]],Transactions[[#This Row],[Transaction name]],IF(Transactions[[#This Row],[Level 6]]=Transactions[[#This Row],[L1N]],Transactions[[#This Row],[Transaction name]],IF(Transactions[[#This Row],[Level 6]]=Transactions[[#This Row],[L2N]],Transactions[[#This Row],[L1N]],IF(Transactions[[#This Row],[Level 6]]=Transactions[[#This Row],[L3N]],Transactions[[#This Row],[L2N]],IF(Transactions[[#This Row],[Level 6]]=Transactions[[#This Row],[L4N]],Transactions[[#This Row],[L3N]],IF(Transactions[[#This Row],[Level 6]]=Transactions[[#This Row],[L5N]],Transactions[[#This Row],[L4N]],IF(Transactions[[#This Row],[Level 6]]=Transactions[[#This Row],[L6N]],Transactions[[#This Row],[L5N]],IF(Transactions[[#This Row],[Level 6]]=Transactions[[#This Row],[L7N]],Transactions[[#This Row],[L6N]],Transactions[[#This Row],[L7N]]))))))))</f>
        <v>Heat plants - other oil products</v>
      </c>
    </row>
    <row r="505" spans="25:51" x14ac:dyDescent="0.45">
      <c r="Y505" s="5" t="s">
        <v>1136</v>
      </c>
      <c r="Z505" s="7" t="s">
        <v>1128</v>
      </c>
      <c r="AA505" s="4" t="s">
        <v>1365</v>
      </c>
      <c r="AB505" s="19" t="s">
        <v>1556</v>
      </c>
      <c r="AC505" s="24" t="str">
        <f>IFERROR(VLOOKUP(Transactions[[#This Row],[Parent code]],Transactions[[Transaction code]:[Transaction name]],2,0),"")</f>
        <v>Heat plants - other solid biofuels</v>
      </c>
      <c r="AD505" s="4" t="s">
        <v>189</v>
      </c>
      <c r="AE505" s="4" t="s">
        <v>924</v>
      </c>
      <c r="AF505" s="4" t="s">
        <v>642</v>
      </c>
      <c r="AG505" s="4" t="s">
        <v>1</v>
      </c>
      <c r="AH505" s="4" t="s">
        <v>696</v>
      </c>
      <c r="AI505" s="12" t="s">
        <v>1416</v>
      </c>
      <c r="AK505" s="24" t="str" cm="1">
        <f t="array" ref="AK505">IFERROR(INDEX(Transactions[[Transaction code]:[Transaction name]],_xlfn.XMATCH(Transactions[[#This Row],[Parent code]],Transactions[Transaction name],0),3),Transactions[[#This Row],[Transaction name]])</f>
        <v>Heat plants - Autoproducer - other solid biofuels</v>
      </c>
      <c r="AL505" s="24" t="str" cm="1">
        <f t="array" ref="AL505">IFERROR(INDEX(Transactions[[Transaction code]:[Transaction name]],_xlfn.XMATCH(INDEX(Transactions[[Transaction name]:[Parent code]],_xlfn.XMATCH(Transactions[[#This Row],[L1N]],Transactions[Transaction name],0),3),Transactions[Transaction code],0),2),Transactions[[#This Row],[L1N]])</f>
        <v>Heat plants - other solid biofuels</v>
      </c>
      <c r="AM505" s="24" t="str" cm="1">
        <f t="array" ref="AM505">IFERROR(INDEX(Transactions[[Transaction code]:[Transaction name]],_xlfn.XMATCH(INDEX(Transactions[[Transaction name]:[Parent code]],_xlfn.XMATCH(Transactions[[#This Row],[L2N]],Transactions[Transaction name],0),3),Transactions[Transaction code],0),2),Transactions[[#This Row],[L2N]])</f>
        <v>Heat plants</v>
      </c>
      <c r="AN505" s="24" t="str" cm="1">
        <f t="array" ref="AN505">IFERROR(INDEX(Transactions[[Transaction code]:[Transaction name]],_xlfn.XMATCH(INDEX(Transactions[[Transaction name]:[Parent code]],_xlfn.XMATCH(Transactions[[#This Row],[L3N]],Transactions[Transaction name],0),3),Transactions[Transaction code],0),2),Transactions[[#This Row],[L3N]])</f>
        <v>Electricity, CHP and heat plants (T)</v>
      </c>
      <c r="AO505" s="24" t="str" cm="1">
        <f t="array" ref="AO505">IFERROR(INDEX(Transactions[[Transaction code]:[Transaction name]],_xlfn.XMATCH(INDEX(Transactions[[Transaction name]:[Parent code]],_xlfn.XMATCH(Transactions[[#This Row],[L4N]],Transactions[Transaction name],0),3),Transactions[Transaction code],0),2),Transactions[[#This Row],[L4N]])</f>
        <v>Transformation</v>
      </c>
      <c r="AP505" s="24" t="str" cm="1">
        <f t="array" ref="AP505">IFERROR(INDEX(Transactions[[Transaction code]:[Transaction name]],_xlfn.XMATCH(INDEX(Transactions[[Transaction name]:[Parent code]],_xlfn.XMATCH(Transactions[[#This Row],[L5N]],Transactions[Transaction name],0),3),Transactions[Transaction code],0),2),Transactions[[#This Row],[L5N]])</f>
        <v>Transformation</v>
      </c>
      <c r="AQ505" s="24" t="str" cm="1">
        <f t="array" ref="AQ505">IFERROR(INDEX(Transactions[[Transaction code]:[Transaction name]],_xlfn.XMATCH(INDEX(Transactions[[Transaction name]:[Parent code]],_xlfn.XMATCH(Transactions[[#This Row],[L6N]],Transactions[Transaction name],0),3),Transactions[Transaction code],0),2),Transactions[[#This Row],[L6N]])</f>
        <v>Transformation</v>
      </c>
      <c r="AR505" s="27" t="str">
        <f>IF(Transactions[[#This Row],[L7N]]=Transactions[[#This Row],[L6N]],Transactions[[#This Row],[L7N]],IF(Transactions[[#This Row],[L6N]]=Transactions[[#This Row],[L5N]],Transactions[[#This Row],[L6N]],IF(Transactions[[#This Row],[L5N]]=Transactions[[#This Row],[L4N]],Transactions[[#This Row],[L5N]],IF(Transactions[[#This Row],[L4N]]=Transactions[[#This Row],[L3N]],Transactions[[#This Row],[L4N]],IF(Transactions[[#This Row],[L3N]]=Transactions[[#This Row],[L2N]],Transactions[[#This Row],[L3N]],IF(Transactions[[#This Row],[L2N]]=Transactions[[#This Row],[L1N]],Transactions[[#This Row],[L2N]],IF(Transactions[[#This Row],[L1N]]=Transactions[[#This Row],[Transaction name]],Transactions[[#This Row],[L1N]],Transactions[[#This Row],[Transaction name]])))))))</f>
        <v>Transformation</v>
      </c>
      <c r="AS505" s="24" t="str">
        <f>IF(Transactions[[#This Row],[Level 0]]=Transactions[[#This Row],[Transaction name]],Transactions[[#This Row],[Transaction name]],IF(Transactions[[#This Row],[Level 0]]=Transactions[[#This Row],[L1N]],Transactions[[#This Row],[Transaction name]],IF(Transactions[[#This Row],[Level 0]]=Transactions[[#This Row],[L2N]],Transactions[[#This Row],[L1N]],IF(Transactions[[#This Row],[Level 0]]=Transactions[[#This Row],[L3N]],Transactions[[#This Row],[L2N]],IF(Transactions[[#This Row],[Level 0]]=Transactions[[#This Row],[L4N]],Transactions[[#This Row],[L3N]],IF(Transactions[[#This Row],[Level 0]]=Transactions[[#This Row],[L5N]],Transactions[[#This Row],[L4N]],IF(Transactions[[#This Row],[Level 0]]=Transactions[[#This Row],[L6N]],Transactions[[#This Row],[L5N]],IF(Transactions[[#This Row],[Level 0]]=Transactions[[#This Row],[L7N]],Transactions[[#This Row],[L6N]],Transactions[[#This Row],[L7N]]))))))))</f>
        <v>Electricity, CHP and heat plants (T)</v>
      </c>
      <c r="AT505" s="24" t="str">
        <f>IF(Transactions[[#This Row],[Level 1]]=Transactions[[#This Row],[Transaction name]],Transactions[[#This Row],[Transaction name]],IF(Transactions[[#This Row],[Level 1]]=Transactions[[#This Row],[L1N]],Transactions[[#This Row],[Transaction name]],IF(Transactions[[#This Row],[Level 1]]=Transactions[[#This Row],[L2N]],Transactions[[#This Row],[L1N]],IF(Transactions[[#This Row],[Level 1]]=Transactions[[#This Row],[L3N]],Transactions[[#This Row],[L2N]],IF(Transactions[[#This Row],[Level 1]]=Transactions[[#This Row],[L4N]],Transactions[[#This Row],[L3N]],IF(Transactions[[#This Row],[Level 1]]=Transactions[[#This Row],[L5N]],Transactions[[#This Row],[L4N]],IF(Transactions[[#This Row],[Level 1]]=Transactions[[#This Row],[L6N]],Transactions[[#This Row],[L5N]],IF(Transactions[[#This Row],[Level 1]]=Transactions[[#This Row],[L7N]],Transactions[[#This Row],[L6N]],Transactions[[#This Row],[L7N]]))))))))</f>
        <v>Heat plants</v>
      </c>
      <c r="AU505" s="24" t="str">
        <f>IF(Transactions[[#This Row],[Level 2]]=Transactions[[#This Row],[Transaction name]],Transactions[[#This Row],[Transaction name]],IF(Transactions[[#This Row],[Level 2]]=Transactions[[#This Row],[L1N]],Transactions[[#This Row],[Transaction name]],IF(Transactions[[#This Row],[Level 2]]=Transactions[[#This Row],[L2N]],Transactions[[#This Row],[L1N]],IF(Transactions[[#This Row],[Level 2]]=Transactions[[#This Row],[L3N]],Transactions[[#This Row],[L2N]],IF(Transactions[[#This Row],[Level 2]]=Transactions[[#This Row],[L4N]],Transactions[[#This Row],[L3N]],IF(Transactions[[#This Row],[Level 2]]=Transactions[[#This Row],[L5N]],Transactions[[#This Row],[L4N]],IF(Transactions[[#This Row],[Level 2]]=Transactions[[#This Row],[L6N]],Transactions[[#This Row],[L5N]],IF(Transactions[[#This Row],[Level 2]]=Transactions[[#This Row],[L7N]],Transactions[[#This Row],[L6N]],Transactions[[#This Row],[L7N]]))))))))</f>
        <v>Heat plants - other solid biofuels</v>
      </c>
      <c r="AV505" s="24" t="str">
        <f>IF(Transactions[[#This Row],[Level 3]]=Transactions[[#This Row],[Transaction name]],Transactions[[#This Row],[Transaction name]],IF(Transactions[[#This Row],[Level 3]]=Transactions[[#This Row],[L1N]],Transactions[[#This Row],[Transaction name]],IF(Transactions[[#This Row],[Level 3]]=Transactions[[#This Row],[L2N]],Transactions[[#This Row],[L1N]],IF(Transactions[[#This Row],[Level 3]]=Transactions[[#This Row],[L3N]],Transactions[[#This Row],[L2N]],IF(Transactions[[#This Row],[Level 3]]=Transactions[[#This Row],[L4N]],Transactions[[#This Row],[L3N]],IF(Transactions[[#This Row],[Level 3]]=Transactions[[#This Row],[L5N]],Transactions[[#This Row],[L4N]],IF(Transactions[[#This Row],[Level 3]]=Transactions[[#This Row],[L6N]],Transactions[[#This Row],[L5N]],IF(Transactions[[#This Row],[Level 3]]=Transactions[[#This Row],[L7N]],Transactions[[#This Row],[L6N]],Transactions[[#This Row],[L7N]]))))))))</f>
        <v>Heat plants - Autoproducer - other solid biofuels</v>
      </c>
      <c r="AW505" s="24" t="str">
        <f>IF(Transactions[[#This Row],[Level 4]]=Transactions[[#This Row],[Transaction name]],Transactions[[#This Row],[Transaction name]],IF(Transactions[[#This Row],[Level 4]]=Transactions[[#This Row],[L1N]],Transactions[[#This Row],[Transaction name]],IF(Transactions[[#This Row],[Level 4]]=Transactions[[#This Row],[L2N]],Transactions[[#This Row],[L1N]],IF(Transactions[[#This Row],[Level 4]]=Transactions[[#This Row],[L3N]],Transactions[[#This Row],[L2N]],IF(Transactions[[#This Row],[Level 4]]=Transactions[[#This Row],[L4N]],Transactions[[#This Row],[L3N]],IF(Transactions[[#This Row],[Level 4]]=Transactions[[#This Row],[L5N]],Transactions[[#This Row],[L4N]],IF(Transactions[[#This Row],[Level 4]]=Transactions[[#This Row],[L6N]],Transactions[[#This Row],[L5N]],IF(Transactions[[#This Row],[Level 4]]=Transactions[[#This Row],[L7N]],Transactions[[#This Row],[L6N]],Transactions[[#This Row],[L7N]]))))))))</f>
        <v>Heat plants - Autoproducer - other solid biofuels</v>
      </c>
      <c r="AX505" s="24" t="str">
        <f>IF(Transactions[[#This Row],[Level 5]]=Transactions[[#This Row],[Transaction name]],Transactions[[#This Row],[Transaction name]],IF(Transactions[[#This Row],[Level 5]]=Transactions[[#This Row],[L1N]],Transactions[[#This Row],[Transaction name]],IF(Transactions[[#This Row],[Level 5]]=Transactions[[#This Row],[L2N]],Transactions[[#This Row],[L1N]],IF(Transactions[[#This Row],[Level 5]]=Transactions[[#This Row],[L3N]],Transactions[[#This Row],[L2N]],IF(Transactions[[#This Row],[Level 5]]=Transactions[[#This Row],[L4N]],Transactions[[#This Row],[L3N]],IF(Transactions[[#This Row],[Level 5]]=Transactions[[#This Row],[L5N]],Transactions[[#This Row],[L4N]],IF(Transactions[[#This Row],[Level 5]]=Transactions[[#This Row],[L6N]],Transactions[[#This Row],[L5N]],IF(Transactions[[#This Row],[Level 5]]=Transactions[[#This Row],[L7N]],Transactions[[#This Row],[L6N]],Transactions[[#This Row],[L7N]]))))))))</f>
        <v>Heat plants - Autoproducer - other solid biofuels</v>
      </c>
      <c r="AY505" s="24" t="str">
        <f>IF(Transactions[[#This Row],[Level 6]]=Transactions[[#This Row],[Transaction name]],Transactions[[#This Row],[Transaction name]],IF(Transactions[[#This Row],[Level 6]]=Transactions[[#This Row],[L1N]],Transactions[[#This Row],[Transaction name]],IF(Transactions[[#This Row],[Level 6]]=Transactions[[#This Row],[L2N]],Transactions[[#This Row],[L1N]],IF(Transactions[[#This Row],[Level 6]]=Transactions[[#This Row],[L3N]],Transactions[[#This Row],[L2N]],IF(Transactions[[#This Row],[Level 6]]=Transactions[[#This Row],[L4N]],Transactions[[#This Row],[L3N]],IF(Transactions[[#This Row],[Level 6]]=Transactions[[#This Row],[L5N]],Transactions[[#This Row],[L4N]],IF(Transactions[[#This Row],[Level 6]]=Transactions[[#This Row],[L6N]],Transactions[[#This Row],[L5N]],IF(Transactions[[#This Row],[Level 6]]=Transactions[[#This Row],[L7N]],Transactions[[#This Row],[L6N]],Transactions[[#This Row],[L7N]]))))))))</f>
        <v>Heat plants - Autoproducer - other solid biofuels</v>
      </c>
    </row>
    <row r="506" spans="25:51" x14ac:dyDescent="0.45">
      <c r="Y506" s="5" t="s">
        <v>1132</v>
      </c>
      <c r="Z506" s="7" t="s">
        <v>1124</v>
      </c>
      <c r="AA506" s="4" t="s">
        <v>1365</v>
      </c>
      <c r="AB506" s="19" t="s">
        <v>1556</v>
      </c>
      <c r="AC506" s="24" t="str">
        <f>IFERROR(VLOOKUP(Transactions[[#This Row],[Parent code]],Transactions[[Transaction code]:[Transaction name]],2,0),"")</f>
        <v>Heat plants - other solid biofuels</v>
      </c>
      <c r="AD506" s="4" t="s">
        <v>189</v>
      </c>
      <c r="AE506" s="4" t="s">
        <v>924</v>
      </c>
      <c r="AF506" s="4" t="s">
        <v>642</v>
      </c>
      <c r="AG506" s="4" t="s">
        <v>1</v>
      </c>
      <c r="AH506" s="4" t="s">
        <v>696</v>
      </c>
      <c r="AI506" s="12" t="s">
        <v>1416</v>
      </c>
      <c r="AK506" s="24" t="str" cm="1">
        <f t="array" ref="AK506">IFERROR(INDEX(Transactions[[Transaction code]:[Transaction name]],_xlfn.XMATCH(Transactions[[#This Row],[Parent code]],Transactions[Transaction name],0),3),Transactions[[#This Row],[Transaction name]])</f>
        <v>Heat plants - Main activity - other solid biofuels</v>
      </c>
      <c r="AL506" s="24" t="str" cm="1">
        <f t="array" ref="AL506">IFERROR(INDEX(Transactions[[Transaction code]:[Transaction name]],_xlfn.XMATCH(INDEX(Transactions[[Transaction name]:[Parent code]],_xlfn.XMATCH(Transactions[[#This Row],[L1N]],Transactions[Transaction name],0),3),Transactions[Transaction code],0),2),Transactions[[#This Row],[L1N]])</f>
        <v>Heat plants - other solid biofuels</v>
      </c>
      <c r="AM506" s="24" t="str" cm="1">
        <f t="array" ref="AM506">IFERROR(INDEX(Transactions[[Transaction code]:[Transaction name]],_xlfn.XMATCH(INDEX(Transactions[[Transaction name]:[Parent code]],_xlfn.XMATCH(Transactions[[#This Row],[L2N]],Transactions[Transaction name],0),3),Transactions[Transaction code],0),2),Transactions[[#This Row],[L2N]])</f>
        <v>Heat plants</v>
      </c>
      <c r="AN506" s="24" t="str" cm="1">
        <f t="array" ref="AN506">IFERROR(INDEX(Transactions[[Transaction code]:[Transaction name]],_xlfn.XMATCH(INDEX(Transactions[[Transaction name]:[Parent code]],_xlfn.XMATCH(Transactions[[#This Row],[L3N]],Transactions[Transaction name],0),3),Transactions[Transaction code],0),2),Transactions[[#This Row],[L3N]])</f>
        <v>Electricity, CHP and heat plants (T)</v>
      </c>
      <c r="AO506" s="24" t="str" cm="1">
        <f t="array" ref="AO506">IFERROR(INDEX(Transactions[[Transaction code]:[Transaction name]],_xlfn.XMATCH(INDEX(Transactions[[Transaction name]:[Parent code]],_xlfn.XMATCH(Transactions[[#This Row],[L4N]],Transactions[Transaction name],0),3),Transactions[Transaction code],0),2),Transactions[[#This Row],[L4N]])</f>
        <v>Transformation</v>
      </c>
      <c r="AP506" s="24" t="str" cm="1">
        <f t="array" ref="AP506">IFERROR(INDEX(Transactions[[Transaction code]:[Transaction name]],_xlfn.XMATCH(INDEX(Transactions[[Transaction name]:[Parent code]],_xlfn.XMATCH(Transactions[[#This Row],[L5N]],Transactions[Transaction name],0),3),Transactions[Transaction code],0),2),Transactions[[#This Row],[L5N]])</f>
        <v>Transformation</v>
      </c>
      <c r="AQ506" s="24" t="str" cm="1">
        <f t="array" ref="AQ506">IFERROR(INDEX(Transactions[[Transaction code]:[Transaction name]],_xlfn.XMATCH(INDEX(Transactions[[Transaction name]:[Parent code]],_xlfn.XMATCH(Transactions[[#This Row],[L6N]],Transactions[Transaction name],0),3),Transactions[Transaction code],0),2),Transactions[[#This Row],[L6N]])</f>
        <v>Transformation</v>
      </c>
      <c r="AR506" s="27" t="str">
        <f>IF(Transactions[[#This Row],[L7N]]=Transactions[[#This Row],[L6N]],Transactions[[#This Row],[L7N]],IF(Transactions[[#This Row],[L6N]]=Transactions[[#This Row],[L5N]],Transactions[[#This Row],[L6N]],IF(Transactions[[#This Row],[L5N]]=Transactions[[#This Row],[L4N]],Transactions[[#This Row],[L5N]],IF(Transactions[[#This Row],[L4N]]=Transactions[[#This Row],[L3N]],Transactions[[#This Row],[L4N]],IF(Transactions[[#This Row],[L3N]]=Transactions[[#This Row],[L2N]],Transactions[[#This Row],[L3N]],IF(Transactions[[#This Row],[L2N]]=Transactions[[#This Row],[L1N]],Transactions[[#This Row],[L2N]],IF(Transactions[[#This Row],[L1N]]=Transactions[[#This Row],[Transaction name]],Transactions[[#This Row],[L1N]],Transactions[[#This Row],[Transaction name]])))))))</f>
        <v>Transformation</v>
      </c>
      <c r="AS506" s="24" t="str">
        <f>IF(Transactions[[#This Row],[Level 0]]=Transactions[[#This Row],[Transaction name]],Transactions[[#This Row],[Transaction name]],IF(Transactions[[#This Row],[Level 0]]=Transactions[[#This Row],[L1N]],Transactions[[#This Row],[Transaction name]],IF(Transactions[[#This Row],[Level 0]]=Transactions[[#This Row],[L2N]],Transactions[[#This Row],[L1N]],IF(Transactions[[#This Row],[Level 0]]=Transactions[[#This Row],[L3N]],Transactions[[#This Row],[L2N]],IF(Transactions[[#This Row],[Level 0]]=Transactions[[#This Row],[L4N]],Transactions[[#This Row],[L3N]],IF(Transactions[[#This Row],[Level 0]]=Transactions[[#This Row],[L5N]],Transactions[[#This Row],[L4N]],IF(Transactions[[#This Row],[Level 0]]=Transactions[[#This Row],[L6N]],Transactions[[#This Row],[L5N]],IF(Transactions[[#This Row],[Level 0]]=Transactions[[#This Row],[L7N]],Transactions[[#This Row],[L6N]],Transactions[[#This Row],[L7N]]))))))))</f>
        <v>Electricity, CHP and heat plants (T)</v>
      </c>
      <c r="AT506" s="24" t="str">
        <f>IF(Transactions[[#This Row],[Level 1]]=Transactions[[#This Row],[Transaction name]],Transactions[[#This Row],[Transaction name]],IF(Transactions[[#This Row],[Level 1]]=Transactions[[#This Row],[L1N]],Transactions[[#This Row],[Transaction name]],IF(Transactions[[#This Row],[Level 1]]=Transactions[[#This Row],[L2N]],Transactions[[#This Row],[L1N]],IF(Transactions[[#This Row],[Level 1]]=Transactions[[#This Row],[L3N]],Transactions[[#This Row],[L2N]],IF(Transactions[[#This Row],[Level 1]]=Transactions[[#This Row],[L4N]],Transactions[[#This Row],[L3N]],IF(Transactions[[#This Row],[Level 1]]=Transactions[[#This Row],[L5N]],Transactions[[#This Row],[L4N]],IF(Transactions[[#This Row],[Level 1]]=Transactions[[#This Row],[L6N]],Transactions[[#This Row],[L5N]],IF(Transactions[[#This Row],[Level 1]]=Transactions[[#This Row],[L7N]],Transactions[[#This Row],[L6N]],Transactions[[#This Row],[L7N]]))))))))</f>
        <v>Heat plants</v>
      </c>
      <c r="AU506" s="24" t="str">
        <f>IF(Transactions[[#This Row],[Level 2]]=Transactions[[#This Row],[Transaction name]],Transactions[[#This Row],[Transaction name]],IF(Transactions[[#This Row],[Level 2]]=Transactions[[#This Row],[L1N]],Transactions[[#This Row],[Transaction name]],IF(Transactions[[#This Row],[Level 2]]=Transactions[[#This Row],[L2N]],Transactions[[#This Row],[L1N]],IF(Transactions[[#This Row],[Level 2]]=Transactions[[#This Row],[L3N]],Transactions[[#This Row],[L2N]],IF(Transactions[[#This Row],[Level 2]]=Transactions[[#This Row],[L4N]],Transactions[[#This Row],[L3N]],IF(Transactions[[#This Row],[Level 2]]=Transactions[[#This Row],[L5N]],Transactions[[#This Row],[L4N]],IF(Transactions[[#This Row],[Level 2]]=Transactions[[#This Row],[L6N]],Transactions[[#This Row],[L5N]],IF(Transactions[[#This Row],[Level 2]]=Transactions[[#This Row],[L7N]],Transactions[[#This Row],[L6N]],Transactions[[#This Row],[L7N]]))))))))</f>
        <v>Heat plants - other solid biofuels</v>
      </c>
      <c r="AV506" s="24" t="str">
        <f>IF(Transactions[[#This Row],[Level 3]]=Transactions[[#This Row],[Transaction name]],Transactions[[#This Row],[Transaction name]],IF(Transactions[[#This Row],[Level 3]]=Transactions[[#This Row],[L1N]],Transactions[[#This Row],[Transaction name]],IF(Transactions[[#This Row],[Level 3]]=Transactions[[#This Row],[L2N]],Transactions[[#This Row],[L1N]],IF(Transactions[[#This Row],[Level 3]]=Transactions[[#This Row],[L3N]],Transactions[[#This Row],[L2N]],IF(Transactions[[#This Row],[Level 3]]=Transactions[[#This Row],[L4N]],Transactions[[#This Row],[L3N]],IF(Transactions[[#This Row],[Level 3]]=Transactions[[#This Row],[L5N]],Transactions[[#This Row],[L4N]],IF(Transactions[[#This Row],[Level 3]]=Transactions[[#This Row],[L6N]],Transactions[[#This Row],[L5N]],IF(Transactions[[#This Row],[Level 3]]=Transactions[[#This Row],[L7N]],Transactions[[#This Row],[L6N]],Transactions[[#This Row],[L7N]]))))))))</f>
        <v>Heat plants - Main activity - other solid biofuels</v>
      </c>
      <c r="AW506" s="24" t="str">
        <f>IF(Transactions[[#This Row],[Level 4]]=Transactions[[#This Row],[Transaction name]],Transactions[[#This Row],[Transaction name]],IF(Transactions[[#This Row],[Level 4]]=Transactions[[#This Row],[L1N]],Transactions[[#This Row],[Transaction name]],IF(Transactions[[#This Row],[Level 4]]=Transactions[[#This Row],[L2N]],Transactions[[#This Row],[L1N]],IF(Transactions[[#This Row],[Level 4]]=Transactions[[#This Row],[L3N]],Transactions[[#This Row],[L2N]],IF(Transactions[[#This Row],[Level 4]]=Transactions[[#This Row],[L4N]],Transactions[[#This Row],[L3N]],IF(Transactions[[#This Row],[Level 4]]=Transactions[[#This Row],[L5N]],Transactions[[#This Row],[L4N]],IF(Transactions[[#This Row],[Level 4]]=Transactions[[#This Row],[L6N]],Transactions[[#This Row],[L5N]],IF(Transactions[[#This Row],[Level 4]]=Transactions[[#This Row],[L7N]],Transactions[[#This Row],[L6N]],Transactions[[#This Row],[L7N]]))))))))</f>
        <v>Heat plants - Main activity - other solid biofuels</v>
      </c>
      <c r="AX506" s="24" t="str">
        <f>IF(Transactions[[#This Row],[Level 5]]=Transactions[[#This Row],[Transaction name]],Transactions[[#This Row],[Transaction name]],IF(Transactions[[#This Row],[Level 5]]=Transactions[[#This Row],[L1N]],Transactions[[#This Row],[Transaction name]],IF(Transactions[[#This Row],[Level 5]]=Transactions[[#This Row],[L2N]],Transactions[[#This Row],[L1N]],IF(Transactions[[#This Row],[Level 5]]=Transactions[[#This Row],[L3N]],Transactions[[#This Row],[L2N]],IF(Transactions[[#This Row],[Level 5]]=Transactions[[#This Row],[L4N]],Transactions[[#This Row],[L3N]],IF(Transactions[[#This Row],[Level 5]]=Transactions[[#This Row],[L5N]],Transactions[[#This Row],[L4N]],IF(Transactions[[#This Row],[Level 5]]=Transactions[[#This Row],[L6N]],Transactions[[#This Row],[L5N]],IF(Transactions[[#This Row],[Level 5]]=Transactions[[#This Row],[L7N]],Transactions[[#This Row],[L6N]],Transactions[[#This Row],[L7N]]))))))))</f>
        <v>Heat plants - Main activity - other solid biofuels</v>
      </c>
      <c r="AY506" s="24" t="str">
        <f>IF(Transactions[[#This Row],[Level 6]]=Transactions[[#This Row],[Transaction name]],Transactions[[#This Row],[Transaction name]],IF(Transactions[[#This Row],[Level 6]]=Transactions[[#This Row],[L1N]],Transactions[[#This Row],[Transaction name]],IF(Transactions[[#This Row],[Level 6]]=Transactions[[#This Row],[L2N]],Transactions[[#This Row],[L1N]],IF(Transactions[[#This Row],[Level 6]]=Transactions[[#This Row],[L3N]],Transactions[[#This Row],[L2N]],IF(Transactions[[#This Row],[Level 6]]=Transactions[[#This Row],[L4N]],Transactions[[#This Row],[L3N]],IF(Transactions[[#This Row],[Level 6]]=Transactions[[#This Row],[L5N]],Transactions[[#This Row],[L4N]],IF(Transactions[[#This Row],[Level 6]]=Transactions[[#This Row],[L6N]],Transactions[[#This Row],[L5N]],IF(Transactions[[#This Row],[Level 6]]=Transactions[[#This Row],[L7N]],Transactions[[#This Row],[L6N]],Transactions[[#This Row],[L7N]]))))))))</f>
        <v>Heat plants - Main activity - other solid biofuels</v>
      </c>
    </row>
    <row r="507" spans="25:51" x14ac:dyDescent="0.45">
      <c r="Y507" s="19" t="s">
        <v>1556</v>
      </c>
      <c r="Z507" s="18" t="s">
        <v>1365</v>
      </c>
      <c r="AA507" s="18" t="s">
        <v>1365</v>
      </c>
      <c r="AB507" s="19" t="s">
        <v>1574</v>
      </c>
      <c r="AC507" s="26" t="str">
        <f>IFERROR(VLOOKUP(Transactions[[#This Row],[Parent code]],Transactions[[Transaction code]:[Transaction name]],2,0),"")</f>
        <v>Heat plants</v>
      </c>
      <c r="AD507" s="18" t="s">
        <v>189</v>
      </c>
      <c r="AE507" s="18" t="s">
        <v>924</v>
      </c>
      <c r="AF507" s="18" t="s">
        <v>642</v>
      </c>
      <c r="AG507" s="18" t="s">
        <v>1</v>
      </c>
      <c r="AH507" s="18" t="s">
        <v>696</v>
      </c>
      <c r="AI507" s="18" t="s">
        <v>1416</v>
      </c>
      <c r="AJ507" s="18"/>
      <c r="AK507" s="26" t="str" cm="1">
        <f t="array" ref="AK507">IFERROR(INDEX(Transactions[[Transaction code]:[Transaction name]],_xlfn.XMATCH(Transactions[[#This Row],[Parent code]],Transactions[Transaction name],0),3),Transactions[[#This Row],[Transaction name]])</f>
        <v>Heat plants - other solid biofuels</v>
      </c>
      <c r="AL507" s="26" t="str" cm="1">
        <f t="array" ref="AL507">IFERROR(INDEX(Transactions[[Transaction code]:[Transaction name]],_xlfn.XMATCH(INDEX(Transactions[[Transaction name]:[Parent code]],_xlfn.XMATCH(Transactions[[#This Row],[L1N]],Transactions[Transaction name],0),3),Transactions[Transaction code],0),2),Transactions[[#This Row],[L1N]])</f>
        <v>Heat plants</v>
      </c>
      <c r="AM507" s="26" t="str" cm="1">
        <f t="array" ref="AM507">IFERROR(INDEX(Transactions[[Transaction code]:[Transaction name]],_xlfn.XMATCH(INDEX(Transactions[[Transaction name]:[Parent code]],_xlfn.XMATCH(Transactions[[#This Row],[L2N]],Transactions[Transaction name],0),3),Transactions[Transaction code],0),2),Transactions[[#This Row],[L2N]])</f>
        <v>Electricity, CHP and heat plants (T)</v>
      </c>
      <c r="AN507" s="26" t="str" cm="1">
        <f t="array" ref="AN507">IFERROR(INDEX(Transactions[[Transaction code]:[Transaction name]],_xlfn.XMATCH(INDEX(Transactions[[Transaction name]:[Parent code]],_xlfn.XMATCH(Transactions[[#This Row],[L3N]],Transactions[Transaction name],0),3),Transactions[Transaction code],0),2),Transactions[[#This Row],[L3N]])</f>
        <v>Transformation</v>
      </c>
      <c r="AO507" s="26" t="str" cm="1">
        <f t="array" ref="AO507">IFERROR(INDEX(Transactions[[Transaction code]:[Transaction name]],_xlfn.XMATCH(INDEX(Transactions[[Transaction name]:[Parent code]],_xlfn.XMATCH(Transactions[[#This Row],[L4N]],Transactions[Transaction name],0),3),Transactions[Transaction code],0),2),Transactions[[#This Row],[L4N]])</f>
        <v>Transformation</v>
      </c>
      <c r="AP507" s="26" t="str" cm="1">
        <f t="array" ref="AP507">IFERROR(INDEX(Transactions[[Transaction code]:[Transaction name]],_xlfn.XMATCH(INDEX(Transactions[[Transaction name]:[Parent code]],_xlfn.XMATCH(Transactions[[#This Row],[L5N]],Transactions[Transaction name],0),3),Transactions[Transaction code],0),2),Transactions[[#This Row],[L5N]])</f>
        <v>Transformation</v>
      </c>
      <c r="AQ507" s="26" t="str" cm="1">
        <f t="array" ref="AQ507">IFERROR(INDEX(Transactions[[Transaction code]:[Transaction name]],_xlfn.XMATCH(INDEX(Transactions[[Transaction name]:[Parent code]],_xlfn.XMATCH(Transactions[[#This Row],[L6N]],Transactions[Transaction name],0),3),Transactions[Transaction code],0),2),Transactions[[#This Row],[L6N]])</f>
        <v>Transformation</v>
      </c>
      <c r="AR507" s="30" t="str">
        <f>IF(Transactions[[#This Row],[L7N]]=Transactions[[#This Row],[L6N]],Transactions[[#This Row],[L7N]],IF(Transactions[[#This Row],[L6N]]=Transactions[[#This Row],[L5N]],Transactions[[#This Row],[L6N]],IF(Transactions[[#This Row],[L5N]]=Transactions[[#This Row],[L4N]],Transactions[[#This Row],[L5N]],IF(Transactions[[#This Row],[L4N]]=Transactions[[#This Row],[L3N]],Transactions[[#This Row],[L4N]],IF(Transactions[[#This Row],[L3N]]=Transactions[[#This Row],[L2N]],Transactions[[#This Row],[L3N]],IF(Transactions[[#This Row],[L2N]]=Transactions[[#This Row],[L1N]],Transactions[[#This Row],[L2N]],IF(Transactions[[#This Row],[L1N]]=Transactions[[#This Row],[Transaction name]],Transactions[[#This Row],[L1N]],Transactions[[#This Row],[Transaction name]])))))))</f>
        <v>Transformation</v>
      </c>
      <c r="AS507" s="26" t="str">
        <f>IF(Transactions[[#This Row],[Level 0]]=Transactions[[#This Row],[Transaction name]],Transactions[[#This Row],[Transaction name]],IF(Transactions[[#This Row],[Level 0]]=Transactions[[#This Row],[L1N]],Transactions[[#This Row],[Transaction name]],IF(Transactions[[#This Row],[Level 0]]=Transactions[[#This Row],[L2N]],Transactions[[#This Row],[L1N]],IF(Transactions[[#This Row],[Level 0]]=Transactions[[#This Row],[L3N]],Transactions[[#This Row],[L2N]],IF(Transactions[[#This Row],[Level 0]]=Transactions[[#This Row],[L4N]],Transactions[[#This Row],[L3N]],IF(Transactions[[#This Row],[Level 0]]=Transactions[[#This Row],[L5N]],Transactions[[#This Row],[L4N]],IF(Transactions[[#This Row],[Level 0]]=Transactions[[#This Row],[L6N]],Transactions[[#This Row],[L5N]],IF(Transactions[[#This Row],[Level 0]]=Transactions[[#This Row],[L7N]],Transactions[[#This Row],[L6N]],Transactions[[#This Row],[L7N]]))))))))</f>
        <v>Electricity, CHP and heat plants (T)</v>
      </c>
      <c r="AT507" s="26" t="str">
        <f>IF(Transactions[[#This Row],[Level 1]]=Transactions[[#This Row],[Transaction name]],Transactions[[#This Row],[Transaction name]],IF(Transactions[[#This Row],[Level 1]]=Transactions[[#This Row],[L1N]],Transactions[[#This Row],[Transaction name]],IF(Transactions[[#This Row],[Level 1]]=Transactions[[#This Row],[L2N]],Transactions[[#This Row],[L1N]],IF(Transactions[[#This Row],[Level 1]]=Transactions[[#This Row],[L3N]],Transactions[[#This Row],[L2N]],IF(Transactions[[#This Row],[Level 1]]=Transactions[[#This Row],[L4N]],Transactions[[#This Row],[L3N]],IF(Transactions[[#This Row],[Level 1]]=Transactions[[#This Row],[L5N]],Transactions[[#This Row],[L4N]],IF(Transactions[[#This Row],[Level 1]]=Transactions[[#This Row],[L6N]],Transactions[[#This Row],[L5N]],IF(Transactions[[#This Row],[Level 1]]=Transactions[[#This Row],[L7N]],Transactions[[#This Row],[L6N]],Transactions[[#This Row],[L7N]]))))))))</f>
        <v>Heat plants</v>
      </c>
      <c r="AU507" s="26" t="str">
        <f>IF(Transactions[[#This Row],[Level 2]]=Transactions[[#This Row],[Transaction name]],Transactions[[#This Row],[Transaction name]],IF(Transactions[[#This Row],[Level 2]]=Transactions[[#This Row],[L1N]],Transactions[[#This Row],[Transaction name]],IF(Transactions[[#This Row],[Level 2]]=Transactions[[#This Row],[L2N]],Transactions[[#This Row],[L1N]],IF(Transactions[[#This Row],[Level 2]]=Transactions[[#This Row],[L3N]],Transactions[[#This Row],[L2N]],IF(Transactions[[#This Row],[Level 2]]=Transactions[[#This Row],[L4N]],Transactions[[#This Row],[L3N]],IF(Transactions[[#This Row],[Level 2]]=Transactions[[#This Row],[L5N]],Transactions[[#This Row],[L4N]],IF(Transactions[[#This Row],[Level 2]]=Transactions[[#This Row],[L6N]],Transactions[[#This Row],[L5N]],IF(Transactions[[#This Row],[Level 2]]=Transactions[[#This Row],[L7N]],Transactions[[#This Row],[L6N]],Transactions[[#This Row],[L7N]]))))))))</f>
        <v>Heat plants - other solid biofuels</v>
      </c>
      <c r="AV507" s="26" t="str">
        <f>IF(Transactions[[#This Row],[Level 3]]=Transactions[[#This Row],[Transaction name]],Transactions[[#This Row],[Transaction name]],IF(Transactions[[#This Row],[Level 3]]=Transactions[[#This Row],[L1N]],Transactions[[#This Row],[Transaction name]],IF(Transactions[[#This Row],[Level 3]]=Transactions[[#This Row],[L2N]],Transactions[[#This Row],[L1N]],IF(Transactions[[#This Row],[Level 3]]=Transactions[[#This Row],[L3N]],Transactions[[#This Row],[L2N]],IF(Transactions[[#This Row],[Level 3]]=Transactions[[#This Row],[L4N]],Transactions[[#This Row],[L3N]],IF(Transactions[[#This Row],[Level 3]]=Transactions[[#This Row],[L5N]],Transactions[[#This Row],[L4N]],IF(Transactions[[#This Row],[Level 3]]=Transactions[[#This Row],[L6N]],Transactions[[#This Row],[L5N]],IF(Transactions[[#This Row],[Level 3]]=Transactions[[#This Row],[L7N]],Transactions[[#This Row],[L6N]],Transactions[[#This Row],[L7N]]))))))))</f>
        <v>Heat plants - other solid biofuels</v>
      </c>
      <c r="AW507" s="26" t="str">
        <f>IF(Transactions[[#This Row],[Level 4]]=Transactions[[#This Row],[Transaction name]],Transactions[[#This Row],[Transaction name]],IF(Transactions[[#This Row],[Level 4]]=Transactions[[#This Row],[L1N]],Transactions[[#This Row],[Transaction name]],IF(Transactions[[#This Row],[Level 4]]=Transactions[[#This Row],[L2N]],Transactions[[#This Row],[L1N]],IF(Transactions[[#This Row],[Level 4]]=Transactions[[#This Row],[L3N]],Transactions[[#This Row],[L2N]],IF(Transactions[[#This Row],[Level 4]]=Transactions[[#This Row],[L4N]],Transactions[[#This Row],[L3N]],IF(Transactions[[#This Row],[Level 4]]=Transactions[[#This Row],[L5N]],Transactions[[#This Row],[L4N]],IF(Transactions[[#This Row],[Level 4]]=Transactions[[#This Row],[L6N]],Transactions[[#This Row],[L5N]],IF(Transactions[[#This Row],[Level 4]]=Transactions[[#This Row],[L7N]],Transactions[[#This Row],[L6N]],Transactions[[#This Row],[L7N]]))))))))</f>
        <v>Heat plants - other solid biofuels</v>
      </c>
      <c r="AX507" s="26" t="str">
        <f>IF(Transactions[[#This Row],[Level 5]]=Transactions[[#This Row],[Transaction name]],Transactions[[#This Row],[Transaction name]],IF(Transactions[[#This Row],[Level 5]]=Transactions[[#This Row],[L1N]],Transactions[[#This Row],[Transaction name]],IF(Transactions[[#This Row],[Level 5]]=Transactions[[#This Row],[L2N]],Transactions[[#This Row],[L1N]],IF(Transactions[[#This Row],[Level 5]]=Transactions[[#This Row],[L3N]],Transactions[[#This Row],[L2N]],IF(Transactions[[#This Row],[Level 5]]=Transactions[[#This Row],[L4N]],Transactions[[#This Row],[L3N]],IF(Transactions[[#This Row],[Level 5]]=Transactions[[#This Row],[L5N]],Transactions[[#This Row],[L4N]],IF(Transactions[[#This Row],[Level 5]]=Transactions[[#This Row],[L6N]],Transactions[[#This Row],[L5N]],IF(Transactions[[#This Row],[Level 5]]=Transactions[[#This Row],[L7N]],Transactions[[#This Row],[L6N]],Transactions[[#This Row],[L7N]]))))))))</f>
        <v>Heat plants - other solid biofuels</v>
      </c>
      <c r="AY507" s="26" t="str">
        <f>IF(Transactions[[#This Row],[Level 6]]=Transactions[[#This Row],[Transaction name]],Transactions[[#This Row],[Transaction name]],IF(Transactions[[#This Row],[Level 6]]=Transactions[[#This Row],[L1N]],Transactions[[#This Row],[Transaction name]],IF(Transactions[[#This Row],[Level 6]]=Transactions[[#This Row],[L2N]],Transactions[[#This Row],[L1N]],IF(Transactions[[#This Row],[Level 6]]=Transactions[[#This Row],[L3N]],Transactions[[#This Row],[L2N]],IF(Transactions[[#This Row],[Level 6]]=Transactions[[#This Row],[L4N]],Transactions[[#This Row],[L3N]],IF(Transactions[[#This Row],[Level 6]]=Transactions[[#This Row],[L5N]],Transactions[[#This Row],[L4N]],IF(Transactions[[#This Row],[Level 6]]=Transactions[[#This Row],[L6N]],Transactions[[#This Row],[L5N]],IF(Transactions[[#This Row],[Level 6]]=Transactions[[#This Row],[L7N]],Transactions[[#This Row],[L6N]],Transactions[[#This Row],[L7N]]))))))))</f>
        <v>Heat plants - other solid biofuels</v>
      </c>
    </row>
    <row r="508" spans="25:51" x14ac:dyDescent="0.45">
      <c r="Y508" s="5" t="s">
        <v>236</v>
      </c>
      <c r="Z508" s="7" t="s">
        <v>679</v>
      </c>
      <c r="AA508" s="4" t="s">
        <v>1326</v>
      </c>
      <c r="AB508" s="19" t="s">
        <v>1572</v>
      </c>
      <c r="AC508" s="24" t="str">
        <f>IFERROR(VLOOKUP(Transactions[[#This Row],[Parent code]],Transactions[[Transaction code]:[Transaction name]],2,0),"")</f>
        <v>Heat plants - other sources</v>
      </c>
      <c r="AD508" s="4" t="s">
        <v>189</v>
      </c>
      <c r="AE508" s="4" t="s">
        <v>924</v>
      </c>
      <c r="AF508" s="4" t="s">
        <v>642</v>
      </c>
      <c r="AG508" s="4" t="s">
        <v>1</v>
      </c>
      <c r="AH508" s="4" t="s">
        <v>696</v>
      </c>
      <c r="AK508" s="24" t="str" cm="1">
        <f t="array" ref="AK508">IFERROR(INDEX(Transactions[[Transaction code]:[Transaction name]],_xlfn.XMATCH(Transactions[[#This Row],[Parent code]],Transactions[Transaction name],0),3),Transactions[[#This Row],[Transaction name]])</f>
        <v>Heat plants - Autoproducer - other sources</v>
      </c>
      <c r="AL508" s="24" t="str" cm="1">
        <f t="array" ref="AL508">IFERROR(INDEX(Transactions[[Transaction code]:[Transaction name]],_xlfn.XMATCH(INDEX(Transactions[[Transaction name]:[Parent code]],_xlfn.XMATCH(Transactions[[#This Row],[L1N]],Transactions[Transaction name],0),3),Transactions[Transaction code],0),2),Transactions[[#This Row],[L1N]])</f>
        <v>Heat plants - other sources</v>
      </c>
      <c r="AM508" s="24" t="str" cm="1">
        <f t="array" ref="AM508">IFERROR(INDEX(Transactions[[Transaction code]:[Transaction name]],_xlfn.XMATCH(INDEX(Transactions[[Transaction name]:[Parent code]],_xlfn.XMATCH(Transactions[[#This Row],[L2N]],Transactions[Transaction name],0),3),Transactions[Transaction code],0),2),Transactions[[#This Row],[L2N]])</f>
        <v>Heat plants</v>
      </c>
      <c r="AN508" s="24" t="str" cm="1">
        <f t="array" ref="AN508">IFERROR(INDEX(Transactions[[Transaction code]:[Transaction name]],_xlfn.XMATCH(INDEX(Transactions[[Transaction name]:[Parent code]],_xlfn.XMATCH(Transactions[[#This Row],[L3N]],Transactions[Transaction name],0),3),Transactions[Transaction code],0),2),Transactions[[#This Row],[L3N]])</f>
        <v>Electricity, CHP and heat plants (T)</v>
      </c>
      <c r="AO508" s="24" t="str" cm="1">
        <f t="array" ref="AO508">IFERROR(INDEX(Transactions[[Transaction code]:[Transaction name]],_xlfn.XMATCH(INDEX(Transactions[[Transaction name]:[Parent code]],_xlfn.XMATCH(Transactions[[#This Row],[L4N]],Transactions[Transaction name],0),3),Transactions[Transaction code],0),2),Transactions[[#This Row],[L4N]])</f>
        <v>Transformation</v>
      </c>
      <c r="AP508" s="24" t="str" cm="1">
        <f t="array" ref="AP508">IFERROR(INDEX(Transactions[[Transaction code]:[Transaction name]],_xlfn.XMATCH(INDEX(Transactions[[Transaction name]:[Parent code]],_xlfn.XMATCH(Transactions[[#This Row],[L5N]],Transactions[Transaction name],0),3),Transactions[Transaction code],0),2),Transactions[[#This Row],[L5N]])</f>
        <v>Transformation</v>
      </c>
      <c r="AQ508" s="24" t="str" cm="1">
        <f t="array" ref="AQ508">IFERROR(INDEX(Transactions[[Transaction code]:[Transaction name]],_xlfn.XMATCH(INDEX(Transactions[[Transaction name]:[Parent code]],_xlfn.XMATCH(Transactions[[#This Row],[L6N]],Transactions[Transaction name],0),3),Transactions[Transaction code],0),2),Transactions[[#This Row],[L6N]])</f>
        <v>Transformation</v>
      </c>
      <c r="AR508" s="27" t="str">
        <f>IF(Transactions[[#This Row],[L7N]]=Transactions[[#This Row],[L6N]],Transactions[[#This Row],[L7N]],IF(Transactions[[#This Row],[L6N]]=Transactions[[#This Row],[L5N]],Transactions[[#This Row],[L6N]],IF(Transactions[[#This Row],[L5N]]=Transactions[[#This Row],[L4N]],Transactions[[#This Row],[L5N]],IF(Transactions[[#This Row],[L4N]]=Transactions[[#This Row],[L3N]],Transactions[[#This Row],[L4N]],IF(Transactions[[#This Row],[L3N]]=Transactions[[#This Row],[L2N]],Transactions[[#This Row],[L3N]],IF(Transactions[[#This Row],[L2N]]=Transactions[[#This Row],[L1N]],Transactions[[#This Row],[L2N]],IF(Transactions[[#This Row],[L1N]]=Transactions[[#This Row],[Transaction name]],Transactions[[#This Row],[L1N]],Transactions[[#This Row],[Transaction name]])))))))</f>
        <v>Transformation</v>
      </c>
      <c r="AS508" s="24" t="str">
        <f>IF(Transactions[[#This Row],[Level 0]]=Transactions[[#This Row],[Transaction name]],Transactions[[#This Row],[Transaction name]],IF(Transactions[[#This Row],[Level 0]]=Transactions[[#This Row],[L1N]],Transactions[[#This Row],[Transaction name]],IF(Transactions[[#This Row],[Level 0]]=Transactions[[#This Row],[L2N]],Transactions[[#This Row],[L1N]],IF(Transactions[[#This Row],[Level 0]]=Transactions[[#This Row],[L3N]],Transactions[[#This Row],[L2N]],IF(Transactions[[#This Row],[Level 0]]=Transactions[[#This Row],[L4N]],Transactions[[#This Row],[L3N]],IF(Transactions[[#This Row],[Level 0]]=Transactions[[#This Row],[L5N]],Transactions[[#This Row],[L4N]],IF(Transactions[[#This Row],[Level 0]]=Transactions[[#This Row],[L6N]],Transactions[[#This Row],[L5N]],IF(Transactions[[#This Row],[Level 0]]=Transactions[[#This Row],[L7N]],Transactions[[#This Row],[L6N]],Transactions[[#This Row],[L7N]]))))))))</f>
        <v>Electricity, CHP and heat plants (T)</v>
      </c>
      <c r="AT508" s="24" t="str">
        <f>IF(Transactions[[#This Row],[Level 1]]=Transactions[[#This Row],[Transaction name]],Transactions[[#This Row],[Transaction name]],IF(Transactions[[#This Row],[Level 1]]=Transactions[[#This Row],[L1N]],Transactions[[#This Row],[Transaction name]],IF(Transactions[[#This Row],[Level 1]]=Transactions[[#This Row],[L2N]],Transactions[[#This Row],[L1N]],IF(Transactions[[#This Row],[Level 1]]=Transactions[[#This Row],[L3N]],Transactions[[#This Row],[L2N]],IF(Transactions[[#This Row],[Level 1]]=Transactions[[#This Row],[L4N]],Transactions[[#This Row],[L3N]],IF(Transactions[[#This Row],[Level 1]]=Transactions[[#This Row],[L5N]],Transactions[[#This Row],[L4N]],IF(Transactions[[#This Row],[Level 1]]=Transactions[[#This Row],[L6N]],Transactions[[#This Row],[L5N]],IF(Transactions[[#This Row],[Level 1]]=Transactions[[#This Row],[L7N]],Transactions[[#This Row],[L6N]],Transactions[[#This Row],[L7N]]))))))))</f>
        <v>Heat plants</v>
      </c>
      <c r="AU508" s="24" t="str">
        <f>IF(Transactions[[#This Row],[Level 2]]=Transactions[[#This Row],[Transaction name]],Transactions[[#This Row],[Transaction name]],IF(Transactions[[#This Row],[Level 2]]=Transactions[[#This Row],[L1N]],Transactions[[#This Row],[Transaction name]],IF(Transactions[[#This Row],[Level 2]]=Transactions[[#This Row],[L2N]],Transactions[[#This Row],[L1N]],IF(Transactions[[#This Row],[Level 2]]=Transactions[[#This Row],[L3N]],Transactions[[#This Row],[L2N]],IF(Transactions[[#This Row],[Level 2]]=Transactions[[#This Row],[L4N]],Transactions[[#This Row],[L3N]],IF(Transactions[[#This Row],[Level 2]]=Transactions[[#This Row],[L5N]],Transactions[[#This Row],[L4N]],IF(Transactions[[#This Row],[Level 2]]=Transactions[[#This Row],[L6N]],Transactions[[#This Row],[L5N]],IF(Transactions[[#This Row],[Level 2]]=Transactions[[#This Row],[L7N]],Transactions[[#This Row],[L6N]],Transactions[[#This Row],[L7N]]))))))))</f>
        <v>Heat plants - other sources</v>
      </c>
      <c r="AV508" s="24" t="str">
        <f>IF(Transactions[[#This Row],[Level 3]]=Transactions[[#This Row],[Transaction name]],Transactions[[#This Row],[Transaction name]],IF(Transactions[[#This Row],[Level 3]]=Transactions[[#This Row],[L1N]],Transactions[[#This Row],[Transaction name]],IF(Transactions[[#This Row],[Level 3]]=Transactions[[#This Row],[L2N]],Transactions[[#This Row],[L1N]],IF(Transactions[[#This Row],[Level 3]]=Transactions[[#This Row],[L3N]],Transactions[[#This Row],[L2N]],IF(Transactions[[#This Row],[Level 3]]=Transactions[[#This Row],[L4N]],Transactions[[#This Row],[L3N]],IF(Transactions[[#This Row],[Level 3]]=Transactions[[#This Row],[L5N]],Transactions[[#This Row],[L4N]],IF(Transactions[[#This Row],[Level 3]]=Transactions[[#This Row],[L6N]],Transactions[[#This Row],[L5N]],IF(Transactions[[#This Row],[Level 3]]=Transactions[[#This Row],[L7N]],Transactions[[#This Row],[L6N]],Transactions[[#This Row],[L7N]]))))))))</f>
        <v>Heat plants - Autoproducer - other sources</v>
      </c>
      <c r="AW508" s="24" t="str">
        <f>IF(Transactions[[#This Row],[Level 4]]=Transactions[[#This Row],[Transaction name]],Transactions[[#This Row],[Transaction name]],IF(Transactions[[#This Row],[Level 4]]=Transactions[[#This Row],[L1N]],Transactions[[#This Row],[Transaction name]],IF(Transactions[[#This Row],[Level 4]]=Transactions[[#This Row],[L2N]],Transactions[[#This Row],[L1N]],IF(Transactions[[#This Row],[Level 4]]=Transactions[[#This Row],[L3N]],Transactions[[#This Row],[L2N]],IF(Transactions[[#This Row],[Level 4]]=Transactions[[#This Row],[L4N]],Transactions[[#This Row],[L3N]],IF(Transactions[[#This Row],[Level 4]]=Transactions[[#This Row],[L5N]],Transactions[[#This Row],[L4N]],IF(Transactions[[#This Row],[Level 4]]=Transactions[[#This Row],[L6N]],Transactions[[#This Row],[L5N]],IF(Transactions[[#This Row],[Level 4]]=Transactions[[#This Row],[L7N]],Transactions[[#This Row],[L6N]],Transactions[[#This Row],[L7N]]))))))))</f>
        <v>Heat plants - Autoproducer - other sources</v>
      </c>
      <c r="AX508" s="24" t="str">
        <f>IF(Transactions[[#This Row],[Level 5]]=Transactions[[#This Row],[Transaction name]],Transactions[[#This Row],[Transaction name]],IF(Transactions[[#This Row],[Level 5]]=Transactions[[#This Row],[L1N]],Transactions[[#This Row],[Transaction name]],IF(Transactions[[#This Row],[Level 5]]=Transactions[[#This Row],[L2N]],Transactions[[#This Row],[L1N]],IF(Transactions[[#This Row],[Level 5]]=Transactions[[#This Row],[L3N]],Transactions[[#This Row],[L2N]],IF(Transactions[[#This Row],[Level 5]]=Transactions[[#This Row],[L4N]],Transactions[[#This Row],[L3N]],IF(Transactions[[#This Row],[Level 5]]=Transactions[[#This Row],[L5N]],Transactions[[#This Row],[L4N]],IF(Transactions[[#This Row],[Level 5]]=Transactions[[#This Row],[L6N]],Transactions[[#This Row],[L5N]],IF(Transactions[[#This Row],[Level 5]]=Transactions[[#This Row],[L7N]],Transactions[[#This Row],[L6N]],Transactions[[#This Row],[L7N]]))))))))</f>
        <v>Heat plants - Autoproducer - other sources</v>
      </c>
      <c r="AY508" s="24" t="str">
        <f>IF(Transactions[[#This Row],[Level 6]]=Transactions[[#This Row],[Transaction name]],Transactions[[#This Row],[Transaction name]],IF(Transactions[[#This Row],[Level 6]]=Transactions[[#This Row],[L1N]],Transactions[[#This Row],[Transaction name]],IF(Transactions[[#This Row],[Level 6]]=Transactions[[#This Row],[L2N]],Transactions[[#This Row],[L1N]],IF(Transactions[[#This Row],[Level 6]]=Transactions[[#This Row],[L3N]],Transactions[[#This Row],[L2N]],IF(Transactions[[#This Row],[Level 6]]=Transactions[[#This Row],[L4N]],Transactions[[#This Row],[L3N]],IF(Transactions[[#This Row],[Level 6]]=Transactions[[#This Row],[L5N]],Transactions[[#This Row],[L4N]],IF(Transactions[[#This Row],[Level 6]]=Transactions[[#This Row],[L6N]],Transactions[[#This Row],[L5N]],IF(Transactions[[#This Row],[Level 6]]=Transactions[[#This Row],[L7N]],Transactions[[#This Row],[L6N]],Transactions[[#This Row],[L7N]]))))))))</f>
        <v>Heat plants - Autoproducer - other sources</v>
      </c>
    </row>
    <row r="509" spans="25:51" x14ac:dyDescent="0.45">
      <c r="Y509" s="5" t="s">
        <v>309</v>
      </c>
      <c r="Z509" s="7" t="s">
        <v>675</v>
      </c>
      <c r="AA509" s="4" t="s">
        <v>1326</v>
      </c>
      <c r="AB509" s="19" t="s">
        <v>1572</v>
      </c>
      <c r="AC509" s="24" t="str">
        <f>IFERROR(VLOOKUP(Transactions[[#This Row],[Parent code]],Transactions[[Transaction code]:[Transaction name]],2,0),"")</f>
        <v>Heat plants - other sources</v>
      </c>
      <c r="AD509" s="4" t="s">
        <v>189</v>
      </c>
      <c r="AE509" s="4" t="s">
        <v>924</v>
      </c>
      <c r="AF509" s="4" t="s">
        <v>642</v>
      </c>
      <c r="AG509" s="4" t="s">
        <v>1</v>
      </c>
      <c r="AH509" s="4" t="s">
        <v>696</v>
      </c>
      <c r="AK509" s="24" t="str" cm="1">
        <f t="array" ref="AK509">IFERROR(INDEX(Transactions[[Transaction code]:[Transaction name]],_xlfn.XMATCH(Transactions[[#This Row],[Parent code]],Transactions[Transaction name],0),3),Transactions[[#This Row],[Transaction name]])</f>
        <v>Heat plants - Main activity - other sources</v>
      </c>
      <c r="AL509" s="24" t="str" cm="1">
        <f t="array" ref="AL509">IFERROR(INDEX(Transactions[[Transaction code]:[Transaction name]],_xlfn.XMATCH(INDEX(Transactions[[Transaction name]:[Parent code]],_xlfn.XMATCH(Transactions[[#This Row],[L1N]],Transactions[Transaction name],0),3),Transactions[Transaction code],0),2),Transactions[[#This Row],[L1N]])</f>
        <v>Heat plants - other sources</v>
      </c>
      <c r="AM509" s="24" t="str" cm="1">
        <f t="array" ref="AM509">IFERROR(INDEX(Transactions[[Transaction code]:[Transaction name]],_xlfn.XMATCH(INDEX(Transactions[[Transaction name]:[Parent code]],_xlfn.XMATCH(Transactions[[#This Row],[L2N]],Transactions[Transaction name],0),3),Transactions[Transaction code],0),2),Transactions[[#This Row],[L2N]])</f>
        <v>Heat plants</v>
      </c>
      <c r="AN509" s="24" t="str" cm="1">
        <f t="array" ref="AN509">IFERROR(INDEX(Transactions[[Transaction code]:[Transaction name]],_xlfn.XMATCH(INDEX(Transactions[[Transaction name]:[Parent code]],_xlfn.XMATCH(Transactions[[#This Row],[L3N]],Transactions[Transaction name],0),3),Transactions[Transaction code],0),2),Transactions[[#This Row],[L3N]])</f>
        <v>Electricity, CHP and heat plants (T)</v>
      </c>
      <c r="AO509" s="24" t="str" cm="1">
        <f t="array" ref="AO509">IFERROR(INDEX(Transactions[[Transaction code]:[Transaction name]],_xlfn.XMATCH(INDEX(Transactions[[Transaction name]:[Parent code]],_xlfn.XMATCH(Transactions[[#This Row],[L4N]],Transactions[Transaction name],0),3),Transactions[Transaction code],0),2),Transactions[[#This Row],[L4N]])</f>
        <v>Transformation</v>
      </c>
      <c r="AP509" s="24" t="str" cm="1">
        <f t="array" ref="AP509">IFERROR(INDEX(Transactions[[Transaction code]:[Transaction name]],_xlfn.XMATCH(INDEX(Transactions[[Transaction name]:[Parent code]],_xlfn.XMATCH(Transactions[[#This Row],[L5N]],Transactions[Transaction name],0),3),Transactions[Transaction code],0),2),Transactions[[#This Row],[L5N]])</f>
        <v>Transformation</v>
      </c>
      <c r="AQ509" s="24" t="str" cm="1">
        <f t="array" ref="AQ509">IFERROR(INDEX(Transactions[[Transaction code]:[Transaction name]],_xlfn.XMATCH(INDEX(Transactions[[Transaction name]:[Parent code]],_xlfn.XMATCH(Transactions[[#This Row],[L6N]],Transactions[Transaction name],0),3),Transactions[Transaction code],0),2),Transactions[[#This Row],[L6N]])</f>
        <v>Transformation</v>
      </c>
      <c r="AR509" s="27" t="str">
        <f>IF(Transactions[[#This Row],[L7N]]=Transactions[[#This Row],[L6N]],Transactions[[#This Row],[L7N]],IF(Transactions[[#This Row],[L6N]]=Transactions[[#This Row],[L5N]],Transactions[[#This Row],[L6N]],IF(Transactions[[#This Row],[L5N]]=Transactions[[#This Row],[L4N]],Transactions[[#This Row],[L5N]],IF(Transactions[[#This Row],[L4N]]=Transactions[[#This Row],[L3N]],Transactions[[#This Row],[L4N]],IF(Transactions[[#This Row],[L3N]]=Transactions[[#This Row],[L2N]],Transactions[[#This Row],[L3N]],IF(Transactions[[#This Row],[L2N]]=Transactions[[#This Row],[L1N]],Transactions[[#This Row],[L2N]],IF(Transactions[[#This Row],[L1N]]=Transactions[[#This Row],[Transaction name]],Transactions[[#This Row],[L1N]],Transactions[[#This Row],[Transaction name]])))))))</f>
        <v>Transformation</v>
      </c>
      <c r="AS509" s="24" t="str">
        <f>IF(Transactions[[#This Row],[Level 0]]=Transactions[[#This Row],[Transaction name]],Transactions[[#This Row],[Transaction name]],IF(Transactions[[#This Row],[Level 0]]=Transactions[[#This Row],[L1N]],Transactions[[#This Row],[Transaction name]],IF(Transactions[[#This Row],[Level 0]]=Transactions[[#This Row],[L2N]],Transactions[[#This Row],[L1N]],IF(Transactions[[#This Row],[Level 0]]=Transactions[[#This Row],[L3N]],Transactions[[#This Row],[L2N]],IF(Transactions[[#This Row],[Level 0]]=Transactions[[#This Row],[L4N]],Transactions[[#This Row],[L3N]],IF(Transactions[[#This Row],[Level 0]]=Transactions[[#This Row],[L5N]],Transactions[[#This Row],[L4N]],IF(Transactions[[#This Row],[Level 0]]=Transactions[[#This Row],[L6N]],Transactions[[#This Row],[L5N]],IF(Transactions[[#This Row],[Level 0]]=Transactions[[#This Row],[L7N]],Transactions[[#This Row],[L6N]],Transactions[[#This Row],[L7N]]))))))))</f>
        <v>Electricity, CHP and heat plants (T)</v>
      </c>
      <c r="AT509" s="24" t="str">
        <f>IF(Transactions[[#This Row],[Level 1]]=Transactions[[#This Row],[Transaction name]],Transactions[[#This Row],[Transaction name]],IF(Transactions[[#This Row],[Level 1]]=Transactions[[#This Row],[L1N]],Transactions[[#This Row],[Transaction name]],IF(Transactions[[#This Row],[Level 1]]=Transactions[[#This Row],[L2N]],Transactions[[#This Row],[L1N]],IF(Transactions[[#This Row],[Level 1]]=Transactions[[#This Row],[L3N]],Transactions[[#This Row],[L2N]],IF(Transactions[[#This Row],[Level 1]]=Transactions[[#This Row],[L4N]],Transactions[[#This Row],[L3N]],IF(Transactions[[#This Row],[Level 1]]=Transactions[[#This Row],[L5N]],Transactions[[#This Row],[L4N]],IF(Transactions[[#This Row],[Level 1]]=Transactions[[#This Row],[L6N]],Transactions[[#This Row],[L5N]],IF(Transactions[[#This Row],[Level 1]]=Transactions[[#This Row],[L7N]],Transactions[[#This Row],[L6N]],Transactions[[#This Row],[L7N]]))))))))</f>
        <v>Heat plants</v>
      </c>
      <c r="AU509" s="24" t="str">
        <f>IF(Transactions[[#This Row],[Level 2]]=Transactions[[#This Row],[Transaction name]],Transactions[[#This Row],[Transaction name]],IF(Transactions[[#This Row],[Level 2]]=Transactions[[#This Row],[L1N]],Transactions[[#This Row],[Transaction name]],IF(Transactions[[#This Row],[Level 2]]=Transactions[[#This Row],[L2N]],Transactions[[#This Row],[L1N]],IF(Transactions[[#This Row],[Level 2]]=Transactions[[#This Row],[L3N]],Transactions[[#This Row],[L2N]],IF(Transactions[[#This Row],[Level 2]]=Transactions[[#This Row],[L4N]],Transactions[[#This Row],[L3N]],IF(Transactions[[#This Row],[Level 2]]=Transactions[[#This Row],[L5N]],Transactions[[#This Row],[L4N]],IF(Transactions[[#This Row],[Level 2]]=Transactions[[#This Row],[L6N]],Transactions[[#This Row],[L5N]],IF(Transactions[[#This Row],[Level 2]]=Transactions[[#This Row],[L7N]],Transactions[[#This Row],[L6N]],Transactions[[#This Row],[L7N]]))))))))</f>
        <v>Heat plants - other sources</v>
      </c>
      <c r="AV509" s="24" t="str">
        <f>IF(Transactions[[#This Row],[Level 3]]=Transactions[[#This Row],[Transaction name]],Transactions[[#This Row],[Transaction name]],IF(Transactions[[#This Row],[Level 3]]=Transactions[[#This Row],[L1N]],Transactions[[#This Row],[Transaction name]],IF(Transactions[[#This Row],[Level 3]]=Transactions[[#This Row],[L2N]],Transactions[[#This Row],[L1N]],IF(Transactions[[#This Row],[Level 3]]=Transactions[[#This Row],[L3N]],Transactions[[#This Row],[L2N]],IF(Transactions[[#This Row],[Level 3]]=Transactions[[#This Row],[L4N]],Transactions[[#This Row],[L3N]],IF(Transactions[[#This Row],[Level 3]]=Transactions[[#This Row],[L5N]],Transactions[[#This Row],[L4N]],IF(Transactions[[#This Row],[Level 3]]=Transactions[[#This Row],[L6N]],Transactions[[#This Row],[L5N]],IF(Transactions[[#This Row],[Level 3]]=Transactions[[#This Row],[L7N]],Transactions[[#This Row],[L6N]],Transactions[[#This Row],[L7N]]))))))))</f>
        <v>Heat plants - Main activity - other sources</v>
      </c>
      <c r="AW509" s="24" t="str">
        <f>IF(Transactions[[#This Row],[Level 4]]=Transactions[[#This Row],[Transaction name]],Transactions[[#This Row],[Transaction name]],IF(Transactions[[#This Row],[Level 4]]=Transactions[[#This Row],[L1N]],Transactions[[#This Row],[Transaction name]],IF(Transactions[[#This Row],[Level 4]]=Transactions[[#This Row],[L2N]],Transactions[[#This Row],[L1N]],IF(Transactions[[#This Row],[Level 4]]=Transactions[[#This Row],[L3N]],Transactions[[#This Row],[L2N]],IF(Transactions[[#This Row],[Level 4]]=Transactions[[#This Row],[L4N]],Transactions[[#This Row],[L3N]],IF(Transactions[[#This Row],[Level 4]]=Transactions[[#This Row],[L5N]],Transactions[[#This Row],[L4N]],IF(Transactions[[#This Row],[Level 4]]=Transactions[[#This Row],[L6N]],Transactions[[#This Row],[L5N]],IF(Transactions[[#This Row],[Level 4]]=Transactions[[#This Row],[L7N]],Transactions[[#This Row],[L6N]],Transactions[[#This Row],[L7N]]))))))))</f>
        <v>Heat plants - Main activity - other sources</v>
      </c>
      <c r="AX509" s="24" t="str">
        <f>IF(Transactions[[#This Row],[Level 5]]=Transactions[[#This Row],[Transaction name]],Transactions[[#This Row],[Transaction name]],IF(Transactions[[#This Row],[Level 5]]=Transactions[[#This Row],[L1N]],Transactions[[#This Row],[Transaction name]],IF(Transactions[[#This Row],[Level 5]]=Transactions[[#This Row],[L2N]],Transactions[[#This Row],[L1N]],IF(Transactions[[#This Row],[Level 5]]=Transactions[[#This Row],[L3N]],Transactions[[#This Row],[L2N]],IF(Transactions[[#This Row],[Level 5]]=Transactions[[#This Row],[L4N]],Transactions[[#This Row],[L3N]],IF(Transactions[[#This Row],[Level 5]]=Transactions[[#This Row],[L5N]],Transactions[[#This Row],[L4N]],IF(Transactions[[#This Row],[Level 5]]=Transactions[[#This Row],[L6N]],Transactions[[#This Row],[L5N]],IF(Transactions[[#This Row],[Level 5]]=Transactions[[#This Row],[L7N]],Transactions[[#This Row],[L6N]],Transactions[[#This Row],[L7N]]))))))))</f>
        <v>Heat plants - Main activity - other sources</v>
      </c>
      <c r="AY509" s="24" t="str">
        <f>IF(Transactions[[#This Row],[Level 6]]=Transactions[[#This Row],[Transaction name]],Transactions[[#This Row],[Transaction name]],IF(Transactions[[#This Row],[Level 6]]=Transactions[[#This Row],[L1N]],Transactions[[#This Row],[Transaction name]],IF(Transactions[[#This Row],[Level 6]]=Transactions[[#This Row],[L2N]],Transactions[[#This Row],[L1N]],IF(Transactions[[#This Row],[Level 6]]=Transactions[[#This Row],[L3N]],Transactions[[#This Row],[L2N]],IF(Transactions[[#This Row],[Level 6]]=Transactions[[#This Row],[L4N]],Transactions[[#This Row],[L3N]],IF(Transactions[[#This Row],[Level 6]]=Transactions[[#This Row],[L5N]],Transactions[[#This Row],[L4N]],IF(Transactions[[#This Row],[Level 6]]=Transactions[[#This Row],[L6N]],Transactions[[#This Row],[L5N]],IF(Transactions[[#This Row],[Level 6]]=Transactions[[#This Row],[L7N]],Transactions[[#This Row],[L6N]],Transactions[[#This Row],[L7N]]))))))))</f>
        <v>Heat plants - Main activity - other sources</v>
      </c>
    </row>
    <row r="510" spans="25:51" x14ac:dyDescent="0.45">
      <c r="Y510" s="19" t="s">
        <v>1572</v>
      </c>
      <c r="Z510" s="18" t="s">
        <v>1326</v>
      </c>
      <c r="AA510" s="18" t="s">
        <v>1326</v>
      </c>
      <c r="AB510" s="19" t="s">
        <v>1574</v>
      </c>
      <c r="AC510" s="26" t="str">
        <f>IFERROR(VLOOKUP(Transactions[[#This Row],[Parent code]],Transactions[[Transaction code]:[Transaction name]],2,0),"")</f>
        <v>Heat plants</v>
      </c>
      <c r="AD510" s="18" t="s">
        <v>189</v>
      </c>
      <c r="AE510" s="18" t="s">
        <v>924</v>
      </c>
      <c r="AF510" s="18" t="s">
        <v>642</v>
      </c>
      <c r="AG510" s="18" t="s">
        <v>1</v>
      </c>
      <c r="AH510" s="18" t="s">
        <v>696</v>
      </c>
      <c r="AI510" s="18"/>
      <c r="AJ510" s="18"/>
      <c r="AK510" s="26" t="str" cm="1">
        <f t="array" ref="AK510">IFERROR(INDEX(Transactions[[Transaction code]:[Transaction name]],_xlfn.XMATCH(Transactions[[#This Row],[Parent code]],Transactions[Transaction name],0),3),Transactions[[#This Row],[Transaction name]])</f>
        <v>Heat plants - other sources</v>
      </c>
      <c r="AL510" s="26" t="str" cm="1">
        <f t="array" ref="AL510">IFERROR(INDEX(Transactions[[Transaction code]:[Transaction name]],_xlfn.XMATCH(INDEX(Transactions[[Transaction name]:[Parent code]],_xlfn.XMATCH(Transactions[[#This Row],[L1N]],Transactions[Transaction name],0),3),Transactions[Transaction code],0),2),Transactions[[#This Row],[L1N]])</f>
        <v>Heat plants</v>
      </c>
      <c r="AM510" s="26" t="str" cm="1">
        <f t="array" ref="AM510">IFERROR(INDEX(Transactions[[Transaction code]:[Transaction name]],_xlfn.XMATCH(INDEX(Transactions[[Transaction name]:[Parent code]],_xlfn.XMATCH(Transactions[[#This Row],[L2N]],Transactions[Transaction name],0),3),Transactions[Transaction code],0),2),Transactions[[#This Row],[L2N]])</f>
        <v>Electricity, CHP and heat plants (T)</v>
      </c>
      <c r="AN510" s="26" t="str" cm="1">
        <f t="array" ref="AN510">IFERROR(INDEX(Transactions[[Transaction code]:[Transaction name]],_xlfn.XMATCH(INDEX(Transactions[[Transaction name]:[Parent code]],_xlfn.XMATCH(Transactions[[#This Row],[L3N]],Transactions[Transaction name],0),3),Transactions[Transaction code],0),2),Transactions[[#This Row],[L3N]])</f>
        <v>Transformation</v>
      </c>
      <c r="AO510" s="26" t="str" cm="1">
        <f t="array" ref="AO510">IFERROR(INDEX(Transactions[[Transaction code]:[Transaction name]],_xlfn.XMATCH(INDEX(Transactions[[Transaction name]:[Parent code]],_xlfn.XMATCH(Transactions[[#This Row],[L4N]],Transactions[Transaction name],0),3),Transactions[Transaction code],0),2),Transactions[[#This Row],[L4N]])</f>
        <v>Transformation</v>
      </c>
      <c r="AP510" s="26" t="str" cm="1">
        <f t="array" ref="AP510">IFERROR(INDEX(Transactions[[Transaction code]:[Transaction name]],_xlfn.XMATCH(INDEX(Transactions[[Transaction name]:[Parent code]],_xlfn.XMATCH(Transactions[[#This Row],[L5N]],Transactions[Transaction name],0),3),Transactions[Transaction code],0),2),Transactions[[#This Row],[L5N]])</f>
        <v>Transformation</v>
      </c>
      <c r="AQ510" s="26" t="str" cm="1">
        <f t="array" ref="AQ510">IFERROR(INDEX(Transactions[[Transaction code]:[Transaction name]],_xlfn.XMATCH(INDEX(Transactions[[Transaction name]:[Parent code]],_xlfn.XMATCH(Transactions[[#This Row],[L6N]],Transactions[Transaction name],0),3),Transactions[Transaction code],0),2),Transactions[[#This Row],[L6N]])</f>
        <v>Transformation</v>
      </c>
      <c r="AR510" s="30" t="str">
        <f>IF(Transactions[[#This Row],[L7N]]=Transactions[[#This Row],[L6N]],Transactions[[#This Row],[L7N]],IF(Transactions[[#This Row],[L6N]]=Transactions[[#This Row],[L5N]],Transactions[[#This Row],[L6N]],IF(Transactions[[#This Row],[L5N]]=Transactions[[#This Row],[L4N]],Transactions[[#This Row],[L5N]],IF(Transactions[[#This Row],[L4N]]=Transactions[[#This Row],[L3N]],Transactions[[#This Row],[L4N]],IF(Transactions[[#This Row],[L3N]]=Transactions[[#This Row],[L2N]],Transactions[[#This Row],[L3N]],IF(Transactions[[#This Row],[L2N]]=Transactions[[#This Row],[L1N]],Transactions[[#This Row],[L2N]],IF(Transactions[[#This Row],[L1N]]=Transactions[[#This Row],[Transaction name]],Transactions[[#This Row],[L1N]],Transactions[[#This Row],[Transaction name]])))))))</f>
        <v>Transformation</v>
      </c>
      <c r="AS510" s="26" t="str">
        <f>IF(Transactions[[#This Row],[Level 0]]=Transactions[[#This Row],[Transaction name]],Transactions[[#This Row],[Transaction name]],IF(Transactions[[#This Row],[Level 0]]=Transactions[[#This Row],[L1N]],Transactions[[#This Row],[Transaction name]],IF(Transactions[[#This Row],[Level 0]]=Transactions[[#This Row],[L2N]],Transactions[[#This Row],[L1N]],IF(Transactions[[#This Row],[Level 0]]=Transactions[[#This Row],[L3N]],Transactions[[#This Row],[L2N]],IF(Transactions[[#This Row],[Level 0]]=Transactions[[#This Row],[L4N]],Transactions[[#This Row],[L3N]],IF(Transactions[[#This Row],[Level 0]]=Transactions[[#This Row],[L5N]],Transactions[[#This Row],[L4N]],IF(Transactions[[#This Row],[Level 0]]=Transactions[[#This Row],[L6N]],Transactions[[#This Row],[L5N]],IF(Transactions[[#This Row],[Level 0]]=Transactions[[#This Row],[L7N]],Transactions[[#This Row],[L6N]],Transactions[[#This Row],[L7N]]))))))))</f>
        <v>Electricity, CHP and heat plants (T)</v>
      </c>
      <c r="AT510" s="26" t="str">
        <f>IF(Transactions[[#This Row],[Level 1]]=Transactions[[#This Row],[Transaction name]],Transactions[[#This Row],[Transaction name]],IF(Transactions[[#This Row],[Level 1]]=Transactions[[#This Row],[L1N]],Transactions[[#This Row],[Transaction name]],IF(Transactions[[#This Row],[Level 1]]=Transactions[[#This Row],[L2N]],Transactions[[#This Row],[L1N]],IF(Transactions[[#This Row],[Level 1]]=Transactions[[#This Row],[L3N]],Transactions[[#This Row],[L2N]],IF(Transactions[[#This Row],[Level 1]]=Transactions[[#This Row],[L4N]],Transactions[[#This Row],[L3N]],IF(Transactions[[#This Row],[Level 1]]=Transactions[[#This Row],[L5N]],Transactions[[#This Row],[L4N]],IF(Transactions[[#This Row],[Level 1]]=Transactions[[#This Row],[L6N]],Transactions[[#This Row],[L5N]],IF(Transactions[[#This Row],[Level 1]]=Transactions[[#This Row],[L7N]],Transactions[[#This Row],[L6N]],Transactions[[#This Row],[L7N]]))))))))</f>
        <v>Heat plants</v>
      </c>
      <c r="AU510" s="26" t="str">
        <f>IF(Transactions[[#This Row],[Level 2]]=Transactions[[#This Row],[Transaction name]],Transactions[[#This Row],[Transaction name]],IF(Transactions[[#This Row],[Level 2]]=Transactions[[#This Row],[L1N]],Transactions[[#This Row],[Transaction name]],IF(Transactions[[#This Row],[Level 2]]=Transactions[[#This Row],[L2N]],Transactions[[#This Row],[L1N]],IF(Transactions[[#This Row],[Level 2]]=Transactions[[#This Row],[L3N]],Transactions[[#This Row],[L2N]],IF(Transactions[[#This Row],[Level 2]]=Transactions[[#This Row],[L4N]],Transactions[[#This Row],[L3N]],IF(Transactions[[#This Row],[Level 2]]=Transactions[[#This Row],[L5N]],Transactions[[#This Row],[L4N]],IF(Transactions[[#This Row],[Level 2]]=Transactions[[#This Row],[L6N]],Transactions[[#This Row],[L5N]],IF(Transactions[[#This Row],[Level 2]]=Transactions[[#This Row],[L7N]],Transactions[[#This Row],[L6N]],Transactions[[#This Row],[L7N]]))))))))</f>
        <v>Heat plants - other sources</v>
      </c>
      <c r="AV510" s="26" t="str">
        <f>IF(Transactions[[#This Row],[Level 3]]=Transactions[[#This Row],[Transaction name]],Transactions[[#This Row],[Transaction name]],IF(Transactions[[#This Row],[Level 3]]=Transactions[[#This Row],[L1N]],Transactions[[#This Row],[Transaction name]],IF(Transactions[[#This Row],[Level 3]]=Transactions[[#This Row],[L2N]],Transactions[[#This Row],[L1N]],IF(Transactions[[#This Row],[Level 3]]=Transactions[[#This Row],[L3N]],Transactions[[#This Row],[L2N]],IF(Transactions[[#This Row],[Level 3]]=Transactions[[#This Row],[L4N]],Transactions[[#This Row],[L3N]],IF(Transactions[[#This Row],[Level 3]]=Transactions[[#This Row],[L5N]],Transactions[[#This Row],[L4N]],IF(Transactions[[#This Row],[Level 3]]=Transactions[[#This Row],[L6N]],Transactions[[#This Row],[L5N]],IF(Transactions[[#This Row],[Level 3]]=Transactions[[#This Row],[L7N]],Transactions[[#This Row],[L6N]],Transactions[[#This Row],[L7N]]))))))))</f>
        <v>Heat plants - other sources</v>
      </c>
      <c r="AW510" s="26" t="str">
        <f>IF(Transactions[[#This Row],[Level 4]]=Transactions[[#This Row],[Transaction name]],Transactions[[#This Row],[Transaction name]],IF(Transactions[[#This Row],[Level 4]]=Transactions[[#This Row],[L1N]],Transactions[[#This Row],[Transaction name]],IF(Transactions[[#This Row],[Level 4]]=Transactions[[#This Row],[L2N]],Transactions[[#This Row],[L1N]],IF(Transactions[[#This Row],[Level 4]]=Transactions[[#This Row],[L3N]],Transactions[[#This Row],[L2N]],IF(Transactions[[#This Row],[Level 4]]=Transactions[[#This Row],[L4N]],Transactions[[#This Row],[L3N]],IF(Transactions[[#This Row],[Level 4]]=Transactions[[#This Row],[L5N]],Transactions[[#This Row],[L4N]],IF(Transactions[[#This Row],[Level 4]]=Transactions[[#This Row],[L6N]],Transactions[[#This Row],[L5N]],IF(Transactions[[#This Row],[Level 4]]=Transactions[[#This Row],[L7N]],Transactions[[#This Row],[L6N]],Transactions[[#This Row],[L7N]]))))))))</f>
        <v>Heat plants - other sources</v>
      </c>
      <c r="AX510" s="26" t="str">
        <f>IF(Transactions[[#This Row],[Level 5]]=Transactions[[#This Row],[Transaction name]],Transactions[[#This Row],[Transaction name]],IF(Transactions[[#This Row],[Level 5]]=Transactions[[#This Row],[L1N]],Transactions[[#This Row],[Transaction name]],IF(Transactions[[#This Row],[Level 5]]=Transactions[[#This Row],[L2N]],Transactions[[#This Row],[L1N]],IF(Transactions[[#This Row],[Level 5]]=Transactions[[#This Row],[L3N]],Transactions[[#This Row],[L2N]],IF(Transactions[[#This Row],[Level 5]]=Transactions[[#This Row],[L4N]],Transactions[[#This Row],[L3N]],IF(Transactions[[#This Row],[Level 5]]=Transactions[[#This Row],[L5N]],Transactions[[#This Row],[L4N]],IF(Transactions[[#This Row],[Level 5]]=Transactions[[#This Row],[L6N]],Transactions[[#This Row],[L5N]],IF(Transactions[[#This Row],[Level 5]]=Transactions[[#This Row],[L7N]],Transactions[[#This Row],[L6N]],Transactions[[#This Row],[L7N]]))))))))</f>
        <v>Heat plants - other sources</v>
      </c>
      <c r="AY510" s="26" t="str">
        <f>IF(Transactions[[#This Row],[Level 6]]=Transactions[[#This Row],[Transaction name]],Transactions[[#This Row],[Transaction name]],IF(Transactions[[#This Row],[Level 6]]=Transactions[[#This Row],[L1N]],Transactions[[#This Row],[Transaction name]],IF(Transactions[[#This Row],[Level 6]]=Transactions[[#This Row],[L2N]],Transactions[[#This Row],[L1N]],IF(Transactions[[#This Row],[Level 6]]=Transactions[[#This Row],[L3N]],Transactions[[#This Row],[L2N]],IF(Transactions[[#This Row],[Level 6]]=Transactions[[#This Row],[L4N]],Transactions[[#This Row],[L3N]],IF(Transactions[[#This Row],[Level 6]]=Transactions[[#This Row],[L5N]],Transactions[[#This Row],[L4N]],IF(Transactions[[#This Row],[Level 6]]=Transactions[[#This Row],[L6N]],Transactions[[#This Row],[L5N]],IF(Transactions[[#This Row],[Level 6]]=Transactions[[#This Row],[L7N]],Transactions[[#This Row],[L6N]],Transactions[[#This Row],[L7N]]))))))))</f>
        <v>Heat plants - other sources</v>
      </c>
    </row>
    <row r="511" spans="25:51" x14ac:dyDescent="0.45">
      <c r="Y511" s="5" t="s">
        <v>1269</v>
      </c>
      <c r="Z511" s="7" t="s">
        <v>1207</v>
      </c>
      <c r="AA511" s="4" t="s">
        <v>1393</v>
      </c>
      <c r="AB511" s="19" t="s">
        <v>1575</v>
      </c>
      <c r="AC511" s="24" t="str">
        <f>IFERROR(VLOOKUP(Transactions[[#This Row],[Parent code]],Transactions[[Transaction code]:[Transaction name]],2,0),"")</f>
        <v>Heat plants - peat</v>
      </c>
      <c r="AD511" s="4" t="s">
        <v>189</v>
      </c>
      <c r="AE511" s="4" t="s">
        <v>924</v>
      </c>
      <c r="AF511" s="4" t="s">
        <v>642</v>
      </c>
      <c r="AG511" s="4" t="s">
        <v>1</v>
      </c>
      <c r="AH511" s="4" t="s">
        <v>696</v>
      </c>
      <c r="AI511" s="12" t="s">
        <v>1416</v>
      </c>
      <c r="AK511" s="24" t="str" cm="1">
        <f t="array" ref="AK511">IFERROR(INDEX(Transactions[[Transaction code]:[Transaction name]],_xlfn.XMATCH(Transactions[[#This Row],[Parent code]],Transactions[Transaction name],0),3),Transactions[[#This Row],[Transaction name]])</f>
        <v>Heat plants - Autoproducer - peat</v>
      </c>
      <c r="AL511" s="24" t="str" cm="1">
        <f t="array" ref="AL511">IFERROR(INDEX(Transactions[[Transaction code]:[Transaction name]],_xlfn.XMATCH(INDEX(Transactions[[Transaction name]:[Parent code]],_xlfn.XMATCH(Transactions[[#This Row],[L1N]],Transactions[Transaction name],0),3),Transactions[Transaction code],0),2),Transactions[[#This Row],[L1N]])</f>
        <v>Heat plants - peat</v>
      </c>
      <c r="AM511" s="24" t="str" cm="1">
        <f t="array" ref="AM511">IFERROR(INDEX(Transactions[[Transaction code]:[Transaction name]],_xlfn.XMATCH(INDEX(Transactions[[Transaction name]:[Parent code]],_xlfn.XMATCH(Transactions[[#This Row],[L2N]],Transactions[Transaction name],0),3),Transactions[Transaction code],0),2),Transactions[[#This Row],[L2N]])</f>
        <v>Heat plants</v>
      </c>
      <c r="AN511" s="24" t="str" cm="1">
        <f t="array" ref="AN511">IFERROR(INDEX(Transactions[[Transaction code]:[Transaction name]],_xlfn.XMATCH(INDEX(Transactions[[Transaction name]:[Parent code]],_xlfn.XMATCH(Transactions[[#This Row],[L3N]],Transactions[Transaction name],0),3),Transactions[Transaction code],0),2),Transactions[[#This Row],[L3N]])</f>
        <v>Electricity, CHP and heat plants (T)</v>
      </c>
      <c r="AO511" s="24" t="str" cm="1">
        <f t="array" ref="AO511">IFERROR(INDEX(Transactions[[Transaction code]:[Transaction name]],_xlfn.XMATCH(INDEX(Transactions[[Transaction name]:[Parent code]],_xlfn.XMATCH(Transactions[[#This Row],[L4N]],Transactions[Transaction name],0),3),Transactions[Transaction code],0),2),Transactions[[#This Row],[L4N]])</f>
        <v>Transformation</v>
      </c>
      <c r="AP511" s="24" t="str" cm="1">
        <f t="array" ref="AP511">IFERROR(INDEX(Transactions[[Transaction code]:[Transaction name]],_xlfn.XMATCH(INDEX(Transactions[[Transaction name]:[Parent code]],_xlfn.XMATCH(Transactions[[#This Row],[L5N]],Transactions[Transaction name],0),3),Transactions[Transaction code],0),2),Transactions[[#This Row],[L5N]])</f>
        <v>Transformation</v>
      </c>
      <c r="AQ511" s="24" t="str" cm="1">
        <f t="array" ref="AQ511">IFERROR(INDEX(Transactions[[Transaction code]:[Transaction name]],_xlfn.XMATCH(INDEX(Transactions[[Transaction name]:[Parent code]],_xlfn.XMATCH(Transactions[[#This Row],[L6N]],Transactions[Transaction name],0),3),Transactions[Transaction code],0),2),Transactions[[#This Row],[L6N]])</f>
        <v>Transformation</v>
      </c>
      <c r="AR511" s="27" t="str">
        <f>IF(Transactions[[#This Row],[L7N]]=Transactions[[#This Row],[L6N]],Transactions[[#This Row],[L7N]],IF(Transactions[[#This Row],[L6N]]=Transactions[[#This Row],[L5N]],Transactions[[#This Row],[L6N]],IF(Transactions[[#This Row],[L5N]]=Transactions[[#This Row],[L4N]],Transactions[[#This Row],[L5N]],IF(Transactions[[#This Row],[L4N]]=Transactions[[#This Row],[L3N]],Transactions[[#This Row],[L4N]],IF(Transactions[[#This Row],[L3N]]=Transactions[[#This Row],[L2N]],Transactions[[#This Row],[L3N]],IF(Transactions[[#This Row],[L2N]]=Transactions[[#This Row],[L1N]],Transactions[[#This Row],[L2N]],IF(Transactions[[#This Row],[L1N]]=Transactions[[#This Row],[Transaction name]],Transactions[[#This Row],[L1N]],Transactions[[#This Row],[Transaction name]])))))))</f>
        <v>Transformation</v>
      </c>
      <c r="AS511" s="24" t="str">
        <f>IF(Transactions[[#This Row],[Level 0]]=Transactions[[#This Row],[Transaction name]],Transactions[[#This Row],[Transaction name]],IF(Transactions[[#This Row],[Level 0]]=Transactions[[#This Row],[L1N]],Transactions[[#This Row],[Transaction name]],IF(Transactions[[#This Row],[Level 0]]=Transactions[[#This Row],[L2N]],Transactions[[#This Row],[L1N]],IF(Transactions[[#This Row],[Level 0]]=Transactions[[#This Row],[L3N]],Transactions[[#This Row],[L2N]],IF(Transactions[[#This Row],[Level 0]]=Transactions[[#This Row],[L4N]],Transactions[[#This Row],[L3N]],IF(Transactions[[#This Row],[Level 0]]=Transactions[[#This Row],[L5N]],Transactions[[#This Row],[L4N]],IF(Transactions[[#This Row],[Level 0]]=Transactions[[#This Row],[L6N]],Transactions[[#This Row],[L5N]],IF(Transactions[[#This Row],[Level 0]]=Transactions[[#This Row],[L7N]],Transactions[[#This Row],[L6N]],Transactions[[#This Row],[L7N]]))))))))</f>
        <v>Electricity, CHP and heat plants (T)</v>
      </c>
      <c r="AT511" s="24" t="str">
        <f>IF(Transactions[[#This Row],[Level 1]]=Transactions[[#This Row],[Transaction name]],Transactions[[#This Row],[Transaction name]],IF(Transactions[[#This Row],[Level 1]]=Transactions[[#This Row],[L1N]],Transactions[[#This Row],[Transaction name]],IF(Transactions[[#This Row],[Level 1]]=Transactions[[#This Row],[L2N]],Transactions[[#This Row],[L1N]],IF(Transactions[[#This Row],[Level 1]]=Transactions[[#This Row],[L3N]],Transactions[[#This Row],[L2N]],IF(Transactions[[#This Row],[Level 1]]=Transactions[[#This Row],[L4N]],Transactions[[#This Row],[L3N]],IF(Transactions[[#This Row],[Level 1]]=Transactions[[#This Row],[L5N]],Transactions[[#This Row],[L4N]],IF(Transactions[[#This Row],[Level 1]]=Transactions[[#This Row],[L6N]],Transactions[[#This Row],[L5N]],IF(Transactions[[#This Row],[Level 1]]=Transactions[[#This Row],[L7N]],Transactions[[#This Row],[L6N]],Transactions[[#This Row],[L7N]]))))))))</f>
        <v>Heat plants</v>
      </c>
      <c r="AU511" s="24" t="str">
        <f>IF(Transactions[[#This Row],[Level 2]]=Transactions[[#This Row],[Transaction name]],Transactions[[#This Row],[Transaction name]],IF(Transactions[[#This Row],[Level 2]]=Transactions[[#This Row],[L1N]],Transactions[[#This Row],[Transaction name]],IF(Transactions[[#This Row],[Level 2]]=Transactions[[#This Row],[L2N]],Transactions[[#This Row],[L1N]],IF(Transactions[[#This Row],[Level 2]]=Transactions[[#This Row],[L3N]],Transactions[[#This Row],[L2N]],IF(Transactions[[#This Row],[Level 2]]=Transactions[[#This Row],[L4N]],Transactions[[#This Row],[L3N]],IF(Transactions[[#This Row],[Level 2]]=Transactions[[#This Row],[L5N]],Transactions[[#This Row],[L4N]],IF(Transactions[[#This Row],[Level 2]]=Transactions[[#This Row],[L6N]],Transactions[[#This Row],[L5N]],IF(Transactions[[#This Row],[Level 2]]=Transactions[[#This Row],[L7N]],Transactions[[#This Row],[L6N]],Transactions[[#This Row],[L7N]]))))))))</f>
        <v>Heat plants - peat</v>
      </c>
      <c r="AV511" s="24" t="str">
        <f>IF(Transactions[[#This Row],[Level 3]]=Transactions[[#This Row],[Transaction name]],Transactions[[#This Row],[Transaction name]],IF(Transactions[[#This Row],[Level 3]]=Transactions[[#This Row],[L1N]],Transactions[[#This Row],[Transaction name]],IF(Transactions[[#This Row],[Level 3]]=Transactions[[#This Row],[L2N]],Transactions[[#This Row],[L1N]],IF(Transactions[[#This Row],[Level 3]]=Transactions[[#This Row],[L3N]],Transactions[[#This Row],[L2N]],IF(Transactions[[#This Row],[Level 3]]=Transactions[[#This Row],[L4N]],Transactions[[#This Row],[L3N]],IF(Transactions[[#This Row],[Level 3]]=Transactions[[#This Row],[L5N]],Transactions[[#This Row],[L4N]],IF(Transactions[[#This Row],[Level 3]]=Transactions[[#This Row],[L6N]],Transactions[[#This Row],[L5N]],IF(Transactions[[#This Row],[Level 3]]=Transactions[[#This Row],[L7N]],Transactions[[#This Row],[L6N]],Transactions[[#This Row],[L7N]]))))))))</f>
        <v>Heat plants - Autoproducer - peat</v>
      </c>
      <c r="AW511" s="24" t="str">
        <f>IF(Transactions[[#This Row],[Level 4]]=Transactions[[#This Row],[Transaction name]],Transactions[[#This Row],[Transaction name]],IF(Transactions[[#This Row],[Level 4]]=Transactions[[#This Row],[L1N]],Transactions[[#This Row],[Transaction name]],IF(Transactions[[#This Row],[Level 4]]=Transactions[[#This Row],[L2N]],Transactions[[#This Row],[L1N]],IF(Transactions[[#This Row],[Level 4]]=Transactions[[#This Row],[L3N]],Transactions[[#This Row],[L2N]],IF(Transactions[[#This Row],[Level 4]]=Transactions[[#This Row],[L4N]],Transactions[[#This Row],[L3N]],IF(Transactions[[#This Row],[Level 4]]=Transactions[[#This Row],[L5N]],Transactions[[#This Row],[L4N]],IF(Transactions[[#This Row],[Level 4]]=Transactions[[#This Row],[L6N]],Transactions[[#This Row],[L5N]],IF(Transactions[[#This Row],[Level 4]]=Transactions[[#This Row],[L7N]],Transactions[[#This Row],[L6N]],Transactions[[#This Row],[L7N]]))))))))</f>
        <v>Heat plants - Autoproducer - peat</v>
      </c>
      <c r="AX511" s="24" t="str">
        <f>IF(Transactions[[#This Row],[Level 5]]=Transactions[[#This Row],[Transaction name]],Transactions[[#This Row],[Transaction name]],IF(Transactions[[#This Row],[Level 5]]=Transactions[[#This Row],[L1N]],Transactions[[#This Row],[Transaction name]],IF(Transactions[[#This Row],[Level 5]]=Transactions[[#This Row],[L2N]],Transactions[[#This Row],[L1N]],IF(Transactions[[#This Row],[Level 5]]=Transactions[[#This Row],[L3N]],Transactions[[#This Row],[L2N]],IF(Transactions[[#This Row],[Level 5]]=Transactions[[#This Row],[L4N]],Transactions[[#This Row],[L3N]],IF(Transactions[[#This Row],[Level 5]]=Transactions[[#This Row],[L5N]],Transactions[[#This Row],[L4N]],IF(Transactions[[#This Row],[Level 5]]=Transactions[[#This Row],[L6N]],Transactions[[#This Row],[L5N]],IF(Transactions[[#This Row],[Level 5]]=Transactions[[#This Row],[L7N]],Transactions[[#This Row],[L6N]],Transactions[[#This Row],[L7N]]))))))))</f>
        <v>Heat plants - Autoproducer - peat</v>
      </c>
      <c r="AY511" s="24" t="str">
        <f>IF(Transactions[[#This Row],[Level 6]]=Transactions[[#This Row],[Transaction name]],Transactions[[#This Row],[Transaction name]],IF(Transactions[[#This Row],[Level 6]]=Transactions[[#This Row],[L1N]],Transactions[[#This Row],[Transaction name]],IF(Transactions[[#This Row],[Level 6]]=Transactions[[#This Row],[L2N]],Transactions[[#This Row],[L1N]],IF(Transactions[[#This Row],[Level 6]]=Transactions[[#This Row],[L3N]],Transactions[[#This Row],[L2N]],IF(Transactions[[#This Row],[Level 6]]=Transactions[[#This Row],[L4N]],Transactions[[#This Row],[L3N]],IF(Transactions[[#This Row],[Level 6]]=Transactions[[#This Row],[L5N]],Transactions[[#This Row],[L4N]],IF(Transactions[[#This Row],[Level 6]]=Transactions[[#This Row],[L6N]],Transactions[[#This Row],[L5N]],IF(Transactions[[#This Row],[Level 6]]=Transactions[[#This Row],[L7N]],Transactions[[#This Row],[L6N]],Transactions[[#This Row],[L7N]]))))))))</f>
        <v>Heat plants - Autoproducer - peat</v>
      </c>
    </row>
    <row r="512" spans="25:51" x14ac:dyDescent="0.45">
      <c r="Y512" s="5" t="s">
        <v>1265</v>
      </c>
      <c r="Z512" s="7" t="s">
        <v>1203</v>
      </c>
      <c r="AA512" s="4" t="s">
        <v>1393</v>
      </c>
      <c r="AB512" s="19" t="s">
        <v>1575</v>
      </c>
      <c r="AC512" s="24" t="str">
        <f>IFERROR(VLOOKUP(Transactions[[#This Row],[Parent code]],Transactions[[Transaction code]:[Transaction name]],2,0),"")</f>
        <v>Heat plants - peat</v>
      </c>
      <c r="AD512" s="4" t="s">
        <v>189</v>
      </c>
      <c r="AE512" s="4" t="s">
        <v>924</v>
      </c>
      <c r="AF512" s="4" t="s">
        <v>642</v>
      </c>
      <c r="AG512" s="4" t="s">
        <v>1</v>
      </c>
      <c r="AH512" s="4" t="s">
        <v>696</v>
      </c>
      <c r="AI512" s="12" t="s">
        <v>1416</v>
      </c>
      <c r="AK512" s="24" t="str" cm="1">
        <f t="array" ref="AK512">IFERROR(INDEX(Transactions[[Transaction code]:[Transaction name]],_xlfn.XMATCH(Transactions[[#This Row],[Parent code]],Transactions[Transaction name],0),3),Transactions[[#This Row],[Transaction name]])</f>
        <v>Heat plants - Main activity - peat</v>
      </c>
      <c r="AL512" s="24" t="str" cm="1">
        <f t="array" ref="AL512">IFERROR(INDEX(Transactions[[Transaction code]:[Transaction name]],_xlfn.XMATCH(INDEX(Transactions[[Transaction name]:[Parent code]],_xlfn.XMATCH(Transactions[[#This Row],[L1N]],Transactions[Transaction name],0),3),Transactions[Transaction code],0),2),Transactions[[#This Row],[L1N]])</f>
        <v>Heat plants - peat</v>
      </c>
      <c r="AM512" s="24" t="str" cm="1">
        <f t="array" ref="AM512">IFERROR(INDEX(Transactions[[Transaction code]:[Transaction name]],_xlfn.XMATCH(INDEX(Transactions[[Transaction name]:[Parent code]],_xlfn.XMATCH(Transactions[[#This Row],[L2N]],Transactions[Transaction name],0),3),Transactions[Transaction code],0),2),Transactions[[#This Row],[L2N]])</f>
        <v>Heat plants</v>
      </c>
      <c r="AN512" s="24" t="str" cm="1">
        <f t="array" ref="AN512">IFERROR(INDEX(Transactions[[Transaction code]:[Transaction name]],_xlfn.XMATCH(INDEX(Transactions[[Transaction name]:[Parent code]],_xlfn.XMATCH(Transactions[[#This Row],[L3N]],Transactions[Transaction name],0),3),Transactions[Transaction code],0),2),Transactions[[#This Row],[L3N]])</f>
        <v>Electricity, CHP and heat plants (T)</v>
      </c>
      <c r="AO512" s="24" t="str" cm="1">
        <f t="array" ref="AO512">IFERROR(INDEX(Transactions[[Transaction code]:[Transaction name]],_xlfn.XMATCH(INDEX(Transactions[[Transaction name]:[Parent code]],_xlfn.XMATCH(Transactions[[#This Row],[L4N]],Transactions[Transaction name],0),3),Transactions[Transaction code],0),2),Transactions[[#This Row],[L4N]])</f>
        <v>Transformation</v>
      </c>
      <c r="AP512" s="24" t="str" cm="1">
        <f t="array" ref="AP512">IFERROR(INDEX(Transactions[[Transaction code]:[Transaction name]],_xlfn.XMATCH(INDEX(Transactions[[Transaction name]:[Parent code]],_xlfn.XMATCH(Transactions[[#This Row],[L5N]],Transactions[Transaction name],0),3),Transactions[Transaction code],0),2),Transactions[[#This Row],[L5N]])</f>
        <v>Transformation</v>
      </c>
      <c r="AQ512" s="24" t="str" cm="1">
        <f t="array" ref="AQ512">IFERROR(INDEX(Transactions[[Transaction code]:[Transaction name]],_xlfn.XMATCH(INDEX(Transactions[[Transaction name]:[Parent code]],_xlfn.XMATCH(Transactions[[#This Row],[L6N]],Transactions[Transaction name],0),3),Transactions[Transaction code],0),2),Transactions[[#This Row],[L6N]])</f>
        <v>Transformation</v>
      </c>
      <c r="AR512" s="27" t="str">
        <f>IF(Transactions[[#This Row],[L7N]]=Transactions[[#This Row],[L6N]],Transactions[[#This Row],[L7N]],IF(Transactions[[#This Row],[L6N]]=Transactions[[#This Row],[L5N]],Transactions[[#This Row],[L6N]],IF(Transactions[[#This Row],[L5N]]=Transactions[[#This Row],[L4N]],Transactions[[#This Row],[L5N]],IF(Transactions[[#This Row],[L4N]]=Transactions[[#This Row],[L3N]],Transactions[[#This Row],[L4N]],IF(Transactions[[#This Row],[L3N]]=Transactions[[#This Row],[L2N]],Transactions[[#This Row],[L3N]],IF(Transactions[[#This Row],[L2N]]=Transactions[[#This Row],[L1N]],Transactions[[#This Row],[L2N]],IF(Transactions[[#This Row],[L1N]]=Transactions[[#This Row],[Transaction name]],Transactions[[#This Row],[L1N]],Transactions[[#This Row],[Transaction name]])))))))</f>
        <v>Transformation</v>
      </c>
      <c r="AS512" s="24" t="str">
        <f>IF(Transactions[[#This Row],[Level 0]]=Transactions[[#This Row],[Transaction name]],Transactions[[#This Row],[Transaction name]],IF(Transactions[[#This Row],[Level 0]]=Transactions[[#This Row],[L1N]],Transactions[[#This Row],[Transaction name]],IF(Transactions[[#This Row],[Level 0]]=Transactions[[#This Row],[L2N]],Transactions[[#This Row],[L1N]],IF(Transactions[[#This Row],[Level 0]]=Transactions[[#This Row],[L3N]],Transactions[[#This Row],[L2N]],IF(Transactions[[#This Row],[Level 0]]=Transactions[[#This Row],[L4N]],Transactions[[#This Row],[L3N]],IF(Transactions[[#This Row],[Level 0]]=Transactions[[#This Row],[L5N]],Transactions[[#This Row],[L4N]],IF(Transactions[[#This Row],[Level 0]]=Transactions[[#This Row],[L6N]],Transactions[[#This Row],[L5N]],IF(Transactions[[#This Row],[Level 0]]=Transactions[[#This Row],[L7N]],Transactions[[#This Row],[L6N]],Transactions[[#This Row],[L7N]]))))))))</f>
        <v>Electricity, CHP and heat plants (T)</v>
      </c>
      <c r="AT512" s="24" t="str">
        <f>IF(Transactions[[#This Row],[Level 1]]=Transactions[[#This Row],[Transaction name]],Transactions[[#This Row],[Transaction name]],IF(Transactions[[#This Row],[Level 1]]=Transactions[[#This Row],[L1N]],Transactions[[#This Row],[Transaction name]],IF(Transactions[[#This Row],[Level 1]]=Transactions[[#This Row],[L2N]],Transactions[[#This Row],[L1N]],IF(Transactions[[#This Row],[Level 1]]=Transactions[[#This Row],[L3N]],Transactions[[#This Row],[L2N]],IF(Transactions[[#This Row],[Level 1]]=Transactions[[#This Row],[L4N]],Transactions[[#This Row],[L3N]],IF(Transactions[[#This Row],[Level 1]]=Transactions[[#This Row],[L5N]],Transactions[[#This Row],[L4N]],IF(Transactions[[#This Row],[Level 1]]=Transactions[[#This Row],[L6N]],Transactions[[#This Row],[L5N]],IF(Transactions[[#This Row],[Level 1]]=Transactions[[#This Row],[L7N]],Transactions[[#This Row],[L6N]],Transactions[[#This Row],[L7N]]))))))))</f>
        <v>Heat plants</v>
      </c>
      <c r="AU512" s="24" t="str">
        <f>IF(Transactions[[#This Row],[Level 2]]=Transactions[[#This Row],[Transaction name]],Transactions[[#This Row],[Transaction name]],IF(Transactions[[#This Row],[Level 2]]=Transactions[[#This Row],[L1N]],Transactions[[#This Row],[Transaction name]],IF(Transactions[[#This Row],[Level 2]]=Transactions[[#This Row],[L2N]],Transactions[[#This Row],[L1N]],IF(Transactions[[#This Row],[Level 2]]=Transactions[[#This Row],[L3N]],Transactions[[#This Row],[L2N]],IF(Transactions[[#This Row],[Level 2]]=Transactions[[#This Row],[L4N]],Transactions[[#This Row],[L3N]],IF(Transactions[[#This Row],[Level 2]]=Transactions[[#This Row],[L5N]],Transactions[[#This Row],[L4N]],IF(Transactions[[#This Row],[Level 2]]=Transactions[[#This Row],[L6N]],Transactions[[#This Row],[L5N]],IF(Transactions[[#This Row],[Level 2]]=Transactions[[#This Row],[L7N]],Transactions[[#This Row],[L6N]],Transactions[[#This Row],[L7N]]))))))))</f>
        <v>Heat plants - peat</v>
      </c>
      <c r="AV512" s="24" t="str">
        <f>IF(Transactions[[#This Row],[Level 3]]=Transactions[[#This Row],[Transaction name]],Transactions[[#This Row],[Transaction name]],IF(Transactions[[#This Row],[Level 3]]=Transactions[[#This Row],[L1N]],Transactions[[#This Row],[Transaction name]],IF(Transactions[[#This Row],[Level 3]]=Transactions[[#This Row],[L2N]],Transactions[[#This Row],[L1N]],IF(Transactions[[#This Row],[Level 3]]=Transactions[[#This Row],[L3N]],Transactions[[#This Row],[L2N]],IF(Transactions[[#This Row],[Level 3]]=Transactions[[#This Row],[L4N]],Transactions[[#This Row],[L3N]],IF(Transactions[[#This Row],[Level 3]]=Transactions[[#This Row],[L5N]],Transactions[[#This Row],[L4N]],IF(Transactions[[#This Row],[Level 3]]=Transactions[[#This Row],[L6N]],Transactions[[#This Row],[L5N]],IF(Transactions[[#This Row],[Level 3]]=Transactions[[#This Row],[L7N]],Transactions[[#This Row],[L6N]],Transactions[[#This Row],[L7N]]))))))))</f>
        <v>Heat plants - Main activity - peat</v>
      </c>
      <c r="AW512" s="24" t="str">
        <f>IF(Transactions[[#This Row],[Level 4]]=Transactions[[#This Row],[Transaction name]],Transactions[[#This Row],[Transaction name]],IF(Transactions[[#This Row],[Level 4]]=Transactions[[#This Row],[L1N]],Transactions[[#This Row],[Transaction name]],IF(Transactions[[#This Row],[Level 4]]=Transactions[[#This Row],[L2N]],Transactions[[#This Row],[L1N]],IF(Transactions[[#This Row],[Level 4]]=Transactions[[#This Row],[L3N]],Transactions[[#This Row],[L2N]],IF(Transactions[[#This Row],[Level 4]]=Transactions[[#This Row],[L4N]],Transactions[[#This Row],[L3N]],IF(Transactions[[#This Row],[Level 4]]=Transactions[[#This Row],[L5N]],Transactions[[#This Row],[L4N]],IF(Transactions[[#This Row],[Level 4]]=Transactions[[#This Row],[L6N]],Transactions[[#This Row],[L5N]],IF(Transactions[[#This Row],[Level 4]]=Transactions[[#This Row],[L7N]],Transactions[[#This Row],[L6N]],Transactions[[#This Row],[L7N]]))))))))</f>
        <v>Heat plants - Main activity - peat</v>
      </c>
      <c r="AX512" s="24" t="str">
        <f>IF(Transactions[[#This Row],[Level 5]]=Transactions[[#This Row],[Transaction name]],Transactions[[#This Row],[Transaction name]],IF(Transactions[[#This Row],[Level 5]]=Transactions[[#This Row],[L1N]],Transactions[[#This Row],[Transaction name]],IF(Transactions[[#This Row],[Level 5]]=Transactions[[#This Row],[L2N]],Transactions[[#This Row],[L1N]],IF(Transactions[[#This Row],[Level 5]]=Transactions[[#This Row],[L3N]],Transactions[[#This Row],[L2N]],IF(Transactions[[#This Row],[Level 5]]=Transactions[[#This Row],[L4N]],Transactions[[#This Row],[L3N]],IF(Transactions[[#This Row],[Level 5]]=Transactions[[#This Row],[L5N]],Transactions[[#This Row],[L4N]],IF(Transactions[[#This Row],[Level 5]]=Transactions[[#This Row],[L6N]],Transactions[[#This Row],[L5N]],IF(Transactions[[#This Row],[Level 5]]=Transactions[[#This Row],[L7N]],Transactions[[#This Row],[L6N]],Transactions[[#This Row],[L7N]]))))))))</f>
        <v>Heat plants - Main activity - peat</v>
      </c>
      <c r="AY512" s="24" t="str">
        <f>IF(Transactions[[#This Row],[Level 6]]=Transactions[[#This Row],[Transaction name]],Transactions[[#This Row],[Transaction name]],IF(Transactions[[#This Row],[Level 6]]=Transactions[[#This Row],[L1N]],Transactions[[#This Row],[Transaction name]],IF(Transactions[[#This Row],[Level 6]]=Transactions[[#This Row],[L2N]],Transactions[[#This Row],[L1N]],IF(Transactions[[#This Row],[Level 6]]=Transactions[[#This Row],[L3N]],Transactions[[#This Row],[L2N]],IF(Transactions[[#This Row],[Level 6]]=Transactions[[#This Row],[L4N]],Transactions[[#This Row],[L3N]],IF(Transactions[[#This Row],[Level 6]]=Transactions[[#This Row],[L5N]],Transactions[[#This Row],[L4N]],IF(Transactions[[#This Row],[Level 6]]=Transactions[[#This Row],[L6N]],Transactions[[#This Row],[L5N]],IF(Transactions[[#This Row],[Level 6]]=Transactions[[#This Row],[L7N]],Transactions[[#This Row],[L6N]],Transactions[[#This Row],[L7N]]))))))))</f>
        <v>Heat plants - Main activity - peat</v>
      </c>
    </row>
    <row r="513" spans="25:51" x14ac:dyDescent="0.45">
      <c r="Y513" s="19" t="s">
        <v>1575</v>
      </c>
      <c r="Z513" s="18" t="s">
        <v>1393</v>
      </c>
      <c r="AA513" s="18" t="s">
        <v>1393</v>
      </c>
      <c r="AB513" s="19" t="s">
        <v>1574</v>
      </c>
      <c r="AC513" s="26" t="str">
        <f>IFERROR(VLOOKUP(Transactions[[#This Row],[Parent code]],Transactions[[Transaction code]:[Transaction name]],2,0),"")</f>
        <v>Heat plants</v>
      </c>
      <c r="AD513" s="18" t="s">
        <v>189</v>
      </c>
      <c r="AE513" s="18" t="s">
        <v>924</v>
      </c>
      <c r="AF513" s="18" t="s">
        <v>642</v>
      </c>
      <c r="AG513" s="18" t="s">
        <v>1</v>
      </c>
      <c r="AH513" s="18" t="s">
        <v>696</v>
      </c>
      <c r="AI513" s="18" t="s">
        <v>1416</v>
      </c>
      <c r="AJ513" s="18"/>
      <c r="AK513" s="26" t="str" cm="1">
        <f t="array" ref="AK513">IFERROR(INDEX(Transactions[[Transaction code]:[Transaction name]],_xlfn.XMATCH(Transactions[[#This Row],[Parent code]],Transactions[Transaction name],0),3),Transactions[[#This Row],[Transaction name]])</f>
        <v>Heat plants - peat</v>
      </c>
      <c r="AL513" s="26" t="str" cm="1">
        <f t="array" ref="AL513">IFERROR(INDEX(Transactions[[Transaction code]:[Transaction name]],_xlfn.XMATCH(INDEX(Transactions[[Transaction name]:[Parent code]],_xlfn.XMATCH(Transactions[[#This Row],[L1N]],Transactions[Transaction name],0),3),Transactions[Transaction code],0),2),Transactions[[#This Row],[L1N]])</f>
        <v>Heat plants</v>
      </c>
      <c r="AM513" s="26" t="str" cm="1">
        <f t="array" ref="AM513">IFERROR(INDEX(Transactions[[Transaction code]:[Transaction name]],_xlfn.XMATCH(INDEX(Transactions[[Transaction name]:[Parent code]],_xlfn.XMATCH(Transactions[[#This Row],[L2N]],Transactions[Transaction name],0),3),Transactions[Transaction code],0),2),Transactions[[#This Row],[L2N]])</f>
        <v>Electricity, CHP and heat plants (T)</v>
      </c>
      <c r="AN513" s="26" t="str" cm="1">
        <f t="array" ref="AN513">IFERROR(INDEX(Transactions[[Transaction code]:[Transaction name]],_xlfn.XMATCH(INDEX(Transactions[[Transaction name]:[Parent code]],_xlfn.XMATCH(Transactions[[#This Row],[L3N]],Transactions[Transaction name],0),3),Transactions[Transaction code],0),2),Transactions[[#This Row],[L3N]])</f>
        <v>Transformation</v>
      </c>
      <c r="AO513" s="26" t="str" cm="1">
        <f t="array" ref="AO513">IFERROR(INDEX(Transactions[[Transaction code]:[Transaction name]],_xlfn.XMATCH(INDEX(Transactions[[Transaction name]:[Parent code]],_xlfn.XMATCH(Transactions[[#This Row],[L4N]],Transactions[Transaction name],0),3),Transactions[Transaction code],0),2),Transactions[[#This Row],[L4N]])</f>
        <v>Transformation</v>
      </c>
      <c r="AP513" s="26" t="str" cm="1">
        <f t="array" ref="AP513">IFERROR(INDEX(Transactions[[Transaction code]:[Transaction name]],_xlfn.XMATCH(INDEX(Transactions[[Transaction name]:[Parent code]],_xlfn.XMATCH(Transactions[[#This Row],[L5N]],Transactions[Transaction name],0),3),Transactions[Transaction code],0),2),Transactions[[#This Row],[L5N]])</f>
        <v>Transformation</v>
      </c>
      <c r="AQ513" s="26" t="str" cm="1">
        <f t="array" ref="AQ513">IFERROR(INDEX(Transactions[[Transaction code]:[Transaction name]],_xlfn.XMATCH(INDEX(Transactions[[Transaction name]:[Parent code]],_xlfn.XMATCH(Transactions[[#This Row],[L6N]],Transactions[Transaction name],0),3),Transactions[Transaction code],0),2),Transactions[[#This Row],[L6N]])</f>
        <v>Transformation</v>
      </c>
      <c r="AR513" s="29" t="str">
        <f>IF(Transactions[[#This Row],[L7N]]=Transactions[[#This Row],[L6N]],Transactions[[#This Row],[L7N]],IF(Transactions[[#This Row],[L6N]]=Transactions[[#This Row],[L5N]],Transactions[[#This Row],[L6N]],IF(Transactions[[#This Row],[L5N]]=Transactions[[#This Row],[L4N]],Transactions[[#This Row],[L5N]],IF(Transactions[[#This Row],[L4N]]=Transactions[[#This Row],[L3N]],Transactions[[#This Row],[L4N]],IF(Transactions[[#This Row],[L3N]]=Transactions[[#This Row],[L2N]],Transactions[[#This Row],[L3N]],IF(Transactions[[#This Row],[L2N]]=Transactions[[#This Row],[L1N]],Transactions[[#This Row],[L2N]],IF(Transactions[[#This Row],[L1N]]=Transactions[[#This Row],[Transaction name]],Transactions[[#This Row],[L1N]],Transactions[[#This Row],[Transaction name]])))))))</f>
        <v>Transformation</v>
      </c>
      <c r="AS513" s="26" t="str">
        <f>IF(Transactions[[#This Row],[Level 0]]=Transactions[[#This Row],[Transaction name]],Transactions[[#This Row],[Transaction name]],IF(Transactions[[#This Row],[Level 0]]=Transactions[[#This Row],[L1N]],Transactions[[#This Row],[Transaction name]],IF(Transactions[[#This Row],[Level 0]]=Transactions[[#This Row],[L2N]],Transactions[[#This Row],[L1N]],IF(Transactions[[#This Row],[Level 0]]=Transactions[[#This Row],[L3N]],Transactions[[#This Row],[L2N]],IF(Transactions[[#This Row],[Level 0]]=Transactions[[#This Row],[L4N]],Transactions[[#This Row],[L3N]],IF(Transactions[[#This Row],[Level 0]]=Transactions[[#This Row],[L5N]],Transactions[[#This Row],[L4N]],IF(Transactions[[#This Row],[Level 0]]=Transactions[[#This Row],[L6N]],Transactions[[#This Row],[L5N]],IF(Transactions[[#This Row],[Level 0]]=Transactions[[#This Row],[L7N]],Transactions[[#This Row],[L6N]],Transactions[[#This Row],[L7N]]))))))))</f>
        <v>Electricity, CHP and heat plants (T)</v>
      </c>
      <c r="AT513" s="26" t="str">
        <f>IF(Transactions[[#This Row],[Level 1]]=Transactions[[#This Row],[Transaction name]],Transactions[[#This Row],[Transaction name]],IF(Transactions[[#This Row],[Level 1]]=Transactions[[#This Row],[L1N]],Transactions[[#This Row],[Transaction name]],IF(Transactions[[#This Row],[Level 1]]=Transactions[[#This Row],[L2N]],Transactions[[#This Row],[L1N]],IF(Transactions[[#This Row],[Level 1]]=Transactions[[#This Row],[L3N]],Transactions[[#This Row],[L2N]],IF(Transactions[[#This Row],[Level 1]]=Transactions[[#This Row],[L4N]],Transactions[[#This Row],[L3N]],IF(Transactions[[#This Row],[Level 1]]=Transactions[[#This Row],[L5N]],Transactions[[#This Row],[L4N]],IF(Transactions[[#This Row],[Level 1]]=Transactions[[#This Row],[L6N]],Transactions[[#This Row],[L5N]],IF(Transactions[[#This Row],[Level 1]]=Transactions[[#This Row],[L7N]],Transactions[[#This Row],[L6N]],Transactions[[#This Row],[L7N]]))))))))</f>
        <v>Heat plants</v>
      </c>
      <c r="AU513" s="26" t="str">
        <f>IF(Transactions[[#This Row],[Level 2]]=Transactions[[#This Row],[Transaction name]],Transactions[[#This Row],[Transaction name]],IF(Transactions[[#This Row],[Level 2]]=Transactions[[#This Row],[L1N]],Transactions[[#This Row],[Transaction name]],IF(Transactions[[#This Row],[Level 2]]=Transactions[[#This Row],[L2N]],Transactions[[#This Row],[L1N]],IF(Transactions[[#This Row],[Level 2]]=Transactions[[#This Row],[L3N]],Transactions[[#This Row],[L2N]],IF(Transactions[[#This Row],[Level 2]]=Transactions[[#This Row],[L4N]],Transactions[[#This Row],[L3N]],IF(Transactions[[#This Row],[Level 2]]=Transactions[[#This Row],[L5N]],Transactions[[#This Row],[L4N]],IF(Transactions[[#This Row],[Level 2]]=Transactions[[#This Row],[L6N]],Transactions[[#This Row],[L5N]],IF(Transactions[[#This Row],[Level 2]]=Transactions[[#This Row],[L7N]],Transactions[[#This Row],[L6N]],Transactions[[#This Row],[L7N]]))))))))</f>
        <v>Heat plants - peat</v>
      </c>
      <c r="AV513" s="26" t="str">
        <f>IF(Transactions[[#This Row],[Level 3]]=Transactions[[#This Row],[Transaction name]],Transactions[[#This Row],[Transaction name]],IF(Transactions[[#This Row],[Level 3]]=Transactions[[#This Row],[L1N]],Transactions[[#This Row],[Transaction name]],IF(Transactions[[#This Row],[Level 3]]=Transactions[[#This Row],[L2N]],Transactions[[#This Row],[L1N]],IF(Transactions[[#This Row],[Level 3]]=Transactions[[#This Row],[L3N]],Transactions[[#This Row],[L2N]],IF(Transactions[[#This Row],[Level 3]]=Transactions[[#This Row],[L4N]],Transactions[[#This Row],[L3N]],IF(Transactions[[#This Row],[Level 3]]=Transactions[[#This Row],[L5N]],Transactions[[#This Row],[L4N]],IF(Transactions[[#This Row],[Level 3]]=Transactions[[#This Row],[L6N]],Transactions[[#This Row],[L5N]],IF(Transactions[[#This Row],[Level 3]]=Transactions[[#This Row],[L7N]],Transactions[[#This Row],[L6N]],Transactions[[#This Row],[L7N]]))))))))</f>
        <v>Heat plants - peat</v>
      </c>
      <c r="AW513" s="26" t="str">
        <f>IF(Transactions[[#This Row],[Level 4]]=Transactions[[#This Row],[Transaction name]],Transactions[[#This Row],[Transaction name]],IF(Transactions[[#This Row],[Level 4]]=Transactions[[#This Row],[L1N]],Transactions[[#This Row],[Transaction name]],IF(Transactions[[#This Row],[Level 4]]=Transactions[[#This Row],[L2N]],Transactions[[#This Row],[L1N]],IF(Transactions[[#This Row],[Level 4]]=Transactions[[#This Row],[L3N]],Transactions[[#This Row],[L2N]],IF(Transactions[[#This Row],[Level 4]]=Transactions[[#This Row],[L4N]],Transactions[[#This Row],[L3N]],IF(Transactions[[#This Row],[Level 4]]=Transactions[[#This Row],[L5N]],Transactions[[#This Row],[L4N]],IF(Transactions[[#This Row],[Level 4]]=Transactions[[#This Row],[L6N]],Transactions[[#This Row],[L5N]],IF(Transactions[[#This Row],[Level 4]]=Transactions[[#This Row],[L7N]],Transactions[[#This Row],[L6N]],Transactions[[#This Row],[L7N]]))))))))</f>
        <v>Heat plants - peat</v>
      </c>
      <c r="AX513" s="26" t="str">
        <f>IF(Transactions[[#This Row],[Level 5]]=Transactions[[#This Row],[Transaction name]],Transactions[[#This Row],[Transaction name]],IF(Transactions[[#This Row],[Level 5]]=Transactions[[#This Row],[L1N]],Transactions[[#This Row],[Transaction name]],IF(Transactions[[#This Row],[Level 5]]=Transactions[[#This Row],[L2N]],Transactions[[#This Row],[L1N]],IF(Transactions[[#This Row],[Level 5]]=Transactions[[#This Row],[L3N]],Transactions[[#This Row],[L2N]],IF(Transactions[[#This Row],[Level 5]]=Transactions[[#This Row],[L4N]],Transactions[[#This Row],[L3N]],IF(Transactions[[#This Row],[Level 5]]=Transactions[[#This Row],[L5N]],Transactions[[#This Row],[L4N]],IF(Transactions[[#This Row],[Level 5]]=Transactions[[#This Row],[L6N]],Transactions[[#This Row],[L5N]],IF(Transactions[[#This Row],[Level 5]]=Transactions[[#This Row],[L7N]],Transactions[[#This Row],[L6N]],Transactions[[#This Row],[L7N]]))))))))</f>
        <v>Heat plants - peat</v>
      </c>
      <c r="AY513" s="26" t="str">
        <f>IF(Transactions[[#This Row],[Level 6]]=Transactions[[#This Row],[Transaction name]],Transactions[[#This Row],[Transaction name]],IF(Transactions[[#This Row],[Level 6]]=Transactions[[#This Row],[L1N]],Transactions[[#This Row],[Transaction name]],IF(Transactions[[#This Row],[Level 6]]=Transactions[[#This Row],[L2N]],Transactions[[#This Row],[L1N]],IF(Transactions[[#This Row],[Level 6]]=Transactions[[#This Row],[L3N]],Transactions[[#This Row],[L2N]],IF(Transactions[[#This Row],[Level 6]]=Transactions[[#This Row],[L4N]],Transactions[[#This Row],[L3N]],IF(Transactions[[#This Row],[Level 6]]=Transactions[[#This Row],[L5N]],Transactions[[#This Row],[L4N]],IF(Transactions[[#This Row],[Level 6]]=Transactions[[#This Row],[L6N]],Transactions[[#This Row],[L5N]],IF(Transactions[[#This Row],[Level 6]]=Transactions[[#This Row],[L7N]],Transactions[[#This Row],[L6N]],Transactions[[#This Row],[L7N]]))))))))</f>
        <v>Heat plants - peat</v>
      </c>
    </row>
    <row r="514" spans="25:51" x14ac:dyDescent="0.45">
      <c r="Y514" s="5" t="s">
        <v>1262</v>
      </c>
      <c r="Z514" s="7" t="s">
        <v>1199</v>
      </c>
      <c r="AA514" s="4" t="s">
        <v>1389</v>
      </c>
      <c r="AB514" s="19" t="s">
        <v>1576</v>
      </c>
      <c r="AC514" s="24" t="str">
        <f>IFERROR(VLOOKUP(Transactions[[#This Row],[Parent code]],Transactions[[Transaction code]:[Transaction name]],2,0),"")</f>
        <v>Heat plants - shale</v>
      </c>
      <c r="AD514" s="4" t="s">
        <v>189</v>
      </c>
      <c r="AE514" s="4" t="s">
        <v>924</v>
      </c>
      <c r="AF514" s="4" t="s">
        <v>642</v>
      </c>
      <c r="AG514" s="4" t="s">
        <v>1</v>
      </c>
      <c r="AH514" s="4" t="s">
        <v>696</v>
      </c>
      <c r="AI514" s="12" t="s">
        <v>1416</v>
      </c>
      <c r="AK514" s="24" t="str" cm="1">
        <f t="array" ref="AK514">IFERROR(INDEX(Transactions[[Transaction code]:[Transaction name]],_xlfn.XMATCH(Transactions[[#This Row],[Parent code]],Transactions[Transaction name],0),3),Transactions[[#This Row],[Transaction name]])</f>
        <v>Heat plants - Autoproducer - shale</v>
      </c>
      <c r="AL514" s="24" t="str" cm="1">
        <f t="array" ref="AL514">IFERROR(INDEX(Transactions[[Transaction code]:[Transaction name]],_xlfn.XMATCH(INDEX(Transactions[[Transaction name]:[Parent code]],_xlfn.XMATCH(Transactions[[#This Row],[L1N]],Transactions[Transaction name],0),3),Transactions[Transaction code],0),2),Transactions[[#This Row],[L1N]])</f>
        <v>Heat plants - shale</v>
      </c>
      <c r="AM514" s="24" t="str" cm="1">
        <f t="array" ref="AM514">IFERROR(INDEX(Transactions[[Transaction code]:[Transaction name]],_xlfn.XMATCH(INDEX(Transactions[[Transaction name]:[Parent code]],_xlfn.XMATCH(Transactions[[#This Row],[L2N]],Transactions[Transaction name],0),3),Transactions[Transaction code],0),2),Transactions[[#This Row],[L2N]])</f>
        <v>Heat plants</v>
      </c>
      <c r="AN514" s="24" t="str" cm="1">
        <f t="array" ref="AN514">IFERROR(INDEX(Transactions[[Transaction code]:[Transaction name]],_xlfn.XMATCH(INDEX(Transactions[[Transaction name]:[Parent code]],_xlfn.XMATCH(Transactions[[#This Row],[L3N]],Transactions[Transaction name],0),3),Transactions[Transaction code],0),2),Transactions[[#This Row],[L3N]])</f>
        <v>Electricity, CHP and heat plants (T)</v>
      </c>
      <c r="AO514" s="24" t="str" cm="1">
        <f t="array" ref="AO514">IFERROR(INDEX(Transactions[[Transaction code]:[Transaction name]],_xlfn.XMATCH(INDEX(Transactions[[Transaction name]:[Parent code]],_xlfn.XMATCH(Transactions[[#This Row],[L4N]],Transactions[Transaction name],0),3),Transactions[Transaction code],0),2),Transactions[[#This Row],[L4N]])</f>
        <v>Transformation</v>
      </c>
      <c r="AP514" s="24" t="str" cm="1">
        <f t="array" ref="AP514">IFERROR(INDEX(Transactions[[Transaction code]:[Transaction name]],_xlfn.XMATCH(INDEX(Transactions[[Transaction name]:[Parent code]],_xlfn.XMATCH(Transactions[[#This Row],[L5N]],Transactions[Transaction name],0),3),Transactions[Transaction code],0),2),Transactions[[#This Row],[L5N]])</f>
        <v>Transformation</v>
      </c>
      <c r="AQ514" s="24" t="str" cm="1">
        <f t="array" ref="AQ514">IFERROR(INDEX(Transactions[[Transaction code]:[Transaction name]],_xlfn.XMATCH(INDEX(Transactions[[Transaction name]:[Parent code]],_xlfn.XMATCH(Transactions[[#This Row],[L6N]],Transactions[Transaction name],0),3),Transactions[Transaction code],0),2),Transactions[[#This Row],[L6N]])</f>
        <v>Transformation</v>
      </c>
      <c r="AR514" s="28" t="str">
        <f>IF(Transactions[[#This Row],[L7N]]=Transactions[[#This Row],[L6N]],Transactions[[#This Row],[L7N]],IF(Transactions[[#This Row],[L6N]]=Transactions[[#This Row],[L5N]],Transactions[[#This Row],[L6N]],IF(Transactions[[#This Row],[L5N]]=Transactions[[#This Row],[L4N]],Transactions[[#This Row],[L5N]],IF(Transactions[[#This Row],[L4N]]=Transactions[[#This Row],[L3N]],Transactions[[#This Row],[L4N]],IF(Transactions[[#This Row],[L3N]]=Transactions[[#This Row],[L2N]],Transactions[[#This Row],[L3N]],IF(Transactions[[#This Row],[L2N]]=Transactions[[#This Row],[L1N]],Transactions[[#This Row],[L2N]],IF(Transactions[[#This Row],[L1N]]=Transactions[[#This Row],[Transaction name]],Transactions[[#This Row],[L1N]],Transactions[[#This Row],[Transaction name]])))))))</f>
        <v>Transformation</v>
      </c>
      <c r="AS514" s="24" t="str">
        <f>IF(Transactions[[#This Row],[Level 0]]=Transactions[[#This Row],[Transaction name]],Transactions[[#This Row],[Transaction name]],IF(Transactions[[#This Row],[Level 0]]=Transactions[[#This Row],[L1N]],Transactions[[#This Row],[Transaction name]],IF(Transactions[[#This Row],[Level 0]]=Transactions[[#This Row],[L2N]],Transactions[[#This Row],[L1N]],IF(Transactions[[#This Row],[Level 0]]=Transactions[[#This Row],[L3N]],Transactions[[#This Row],[L2N]],IF(Transactions[[#This Row],[Level 0]]=Transactions[[#This Row],[L4N]],Transactions[[#This Row],[L3N]],IF(Transactions[[#This Row],[Level 0]]=Transactions[[#This Row],[L5N]],Transactions[[#This Row],[L4N]],IF(Transactions[[#This Row],[Level 0]]=Transactions[[#This Row],[L6N]],Transactions[[#This Row],[L5N]],IF(Transactions[[#This Row],[Level 0]]=Transactions[[#This Row],[L7N]],Transactions[[#This Row],[L6N]],Transactions[[#This Row],[L7N]]))))))))</f>
        <v>Electricity, CHP and heat plants (T)</v>
      </c>
      <c r="AT514" s="24" t="str">
        <f>IF(Transactions[[#This Row],[Level 1]]=Transactions[[#This Row],[Transaction name]],Transactions[[#This Row],[Transaction name]],IF(Transactions[[#This Row],[Level 1]]=Transactions[[#This Row],[L1N]],Transactions[[#This Row],[Transaction name]],IF(Transactions[[#This Row],[Level 1]]=Transactions[[#This Row],[L2N]],Transactions[[#This Row],[L1N]],IF(Transactions[[#This Row],[Level 1]]=Transactions[[#This Row],[L3N]],Transactions[[#This Row],[L2N]],IF(Transactions[[#This Row],[Level 1]]=Transactions[[#This Row],[L4N]],Transactions[[#This Row],[L3N]],IF(Transactions[[#This Row],[Level 1]]=Transactions[[#This Row],[L5N]],Transactions[[#This Row],[L4N]],IF(Transactions[[#This Row],[Level 1]]=Transactions[[#This Row],[L6N]],Transactions[[#This Row],[L5N]],IF(Transactions[[#This Row],[Level 1]]=Transactions[[#This Row],[L7N]],Transactions[[#This Row],[L6N]],Transactions[[#This Row],[L7N]]))))))))</f>
        <v>Heat plants</v>
      </c>
      <c r="AU514" s="24" t="str">
        <f>IF(Transactions[[#This Row],[Level 2]]=Transactions[[#This Row],[Transaction name]],Transactions[[#This Row],[Transaction name]],IF(Transactions[[#This Row],[Level 2]]=Transactions[[#This Row],[L1N]],Transactions[[#This Row],[Transaction name]],IF(Transactions[[#This Row],[Level 2]]=Transactions[[#This Row],[L2N]],Transactions[[#This Row],[L1N]],IF(Transactions[[#This Row],[Level 2]]=Transactions[[#This Row],[L3N]],Transactions[[#This Row],[L2N]],IF(Transactions[[#This Row],[Level 2]]=Transactions[[#This Row],[L4N]],Transactions[[#This Row],[L3N]],IF(Transactions[[#This Row],[Level 2]]=Transactions[[#This Row],[L5N]],Transactions[[#This Row],[L4N]],IF(Transactions[[#This Row],[Level 2]]=Transactions[[#This Row],[L6N]],Transactions[[#This Row],[L5N]],IF(Transactions[[#This Row],[Level 2]]=Transactions[[#This Row],[L7N]],Transactions[[#This Row],[L6N]],Transactions[[#This Row],[L7N]]))))))))</f>
        <v>Heat plants - shale</v>
      </c>
      <c r="AV514" s="24" t="str">
        <f>IF(Transactions[[#This Row],[Level 3]]=Transactions[[#This Row],[Transaction name]],Transactions[[#This Row],[Transaction name]],IF(Transactions[[#This Row],[Level 3]]=Transactions[[#This Row],[L1N]],Transactions[[#This Row],[Transaction name]],IF(Transactions[[#This Row],[Level 3]]=Transactions[[#This Row],[L2N]],Transactions[[#This Row],[L1N]],IF(Transactions[[#This Row],[Level 3]]=Transactions[[#This Row],[L3N]],Transactions[[#This Row],[L2N]],IF(Transactions[[#This Row],[Level 3]]=Transactions[[#This Row],[L4N]],Transactions[[#This Row],[L3N]],IF(Transactions[[#This Row],[Level 3]]=Transactions[[#This Row],[L5N]],Transactions[[#This Row],[L4N]],IF(Transactions[[#This Row],[Level 3]]=Transactions[[#This Row],[L6N]],Transactions[[#This Row],[L5N]],IF(Transactions[[#This Row],[Level 3]]=Transactions[[#This Row],[L7N]],Transactions[[#This Row],[L6N]],Transactions[[#This Row],[L7N]]))))))))</f>
        <v>Heat plants - Autoproducer - shale</v>
      </c>
      <c r="AW514" s="24" t="str">
        <f>IF(Transactions[[#This Row],[Level 4]]=Transactions[[#This Row],[Transaction name]],Transactions[[#This Row],[Transaction name]],IF(Transactions[[#This Row],[Level 4]]=Transactions[[#This Row],[L1N]],Transactions[[#This Row],[Transaction name]],IF(Transactions[[#This Row],[Level 4]]=Transactions[[#This Row],[L2N]],Transactions[[#This Row],[L1N]],IF(Transactions[[#This Row],[Level 4]]=Transactions[[#This Row],[L3N]],Transactions[[#This Row],[L2N]],IF(Transactions[[#This Row],[Level 4]]=Transactions[[#This Row],[L4N]],Transactions[[#This Row],[L3N]],IF(Transactions[[#This Row],[Level 4]]=Transactions[[#This Row],[L5N]],Transactions[[#This Row],[L4N]],IF(Transactions[[#This Row],[Level 4]]=Transactions[[#This Row],[L6N]],Transactions[[#This Row],[L5N]],IF(Transactions[[#This Row],[Level 4]]=Transactions[[#This Row],[L7N]],Transactions[[#This Row],[L6N]],Transactions[[#This Row],[L7N]]))))))))</f>
        <v>Heat plants - Autoproducer - shale</v>
      </c>
      <c r="AX514" s="24" t="str">
        <f>IF(Transactions[[#This Row],[Level 5]]=Transactions[[#This Row],[Transaction name]],Transactions[[#This Row],[Transaction name]],IF(Transactions[[#This Row],[Level 5]]=Transactions[[#This Row],[L1N]],Transactions[[#This Row],[Transaction name]],IF(Transactions[[#This Row],[Level 5]]=Transactions[[#This Row],[L2N]],Transactions[[#This Row],[L1N]],IF(Transactions[[#This Row],[Level 5]]=Transactions[[#This Row],[L3N]],Transactions[[#This Row],[L2N]],IF(Transactions[[#This Row],[Level 5]]=Transactions[[#This Row],[L4N]],Transactions[[#This Row],[L3N]],IF(Transactions[[#This Row],[Level 5]]=Transactions[[#This Row],[L5N]],Transactions[[#This Row],[L4N]],IF(Transactions[[#This Row],[Level 5]]=Transactions[[#This Row],[L6N]],Transactions[[#This Row],[L5N]],IF(Transactions[[#This Row],[Level 5]]=Transactions[[#This Row],[L7N]],Transactions[[#This Row],[L6N]],Transactions[[#This Row],[L7N]]))))))))</f>
        <v>Heat plants - Autoproducer - shale</v>
      </c>
      <c r="AY514" s="24" t="str">
        <f>IF(Transactions[[#This Row],[Level 6]]=Transactions[[#This Row],[Transaction name]],Transactions[[#This Row],[Transaction name]],IF(Transactions[[#This Row],[Level 6]]=Transactions[[#This Row],[L1N]],Transactions[[#This Row],[Transaction name]],IF(Transactions[[#This Row],[Level 6]]=Transactions[[#This Row],[L2N]],Transactions[[#This Row],[L1N]],IF(Transactions[[#This Row],[Level 6]]=Transactions[[#This Row],[L3N]],Transactions[[#This Row],[L2N]],IF(Transactions[[#This Row],[Level 6]]=Transactions[[#This Row],[L4N]],Transactions[[#This Row],[L3N]],IF(Transactions[[#This Row],[Level 6]]=Transactions[[#This Row],[L5N]],Transactions[[#This Row],[L4N]],IF(Transactions[[#This Row],[Level 6]]=Transactions[[#This Row],[L6N]],Transactions[[#This Row],[L5N]],IF(Transactions[[#This Row],[Level 6]]=Transactions[[#This Row],[L7N]],Transactions[[#This Row],[L6N]],Transactions[[#This Row],[L7N]]))))))))</f>
        <v>Heat plants - Autoproducer - shale</v>
      </c>
    </row>
    <row r="515" spans="25:51" x14ac:dyDescent="0.45">
      <c r="Y515" s="5" t="s">
        <v>1258</v>
      </c>
      <c r="Z515" s="7" t="s">
        <v>1195</v>
      </c>
      <c r="AA515" s="4" t="s">
        <v>1389</v>
      </c>
      <c r="AB515" s="19" t="s">
        <v>1576</v>
      </c>
      <c r="AC515" s="24" t="str">
        <f>IFERROR(VLOOKUP(Transactions[[#This Row],[Parent code]],Transactions[[Transaction code]:[Transaction name]],2,0),"")</f>
        <v>Heat plants - shale</v>
      </c>
      <c r="AD515" s="4" t="s">
        <v>189</v>
      </c>
      <c r="AE515" s="4" t="s">
        <v>924</v>
      </c>
      <c r="AF515" s="4" t="s">
        <v>642</v>
      </c>
      <c r="AG515" s="4" t="s">
        <v>1</v>
      </c>
      <c r="AH515" s="4" t="s">
        <v>696</v>
      </c>
      <c r="AI515" s="12" t="s">
        <v>1416</v>
      </c>
      <c r="AK515" s="24" t="str" cm="1">
        <f t="array" ref="AK515">IFERROR(INDEX(Transactions[[Transaction code]:[Transaction name]],_xlfn.XMATCH(Transactions[[#This Row],[Parent code]],Transactions[Transaction name],0),3),Transactions[[#This Row],[Transaction name]])</f>
        <v>Heat plants - Main activity - shale</v>
      </c>
      <c r="AL515" s="24" t="str" cm="1">
        <f t="array" ref="AL515">IFERROR(INDEX(Transactions[[Transaction code]:[Transaction name]],_xlfn.XMATCH(INDEX(Transactions[[Transaction name]:[Parent code]],_xlfn.XMATCH(Transactions[[#This Row],[L1N]],Transactions[Transaction name],0),3),Transactions[Transaction code],0),2),Transactions[[#This Row],[L1N]])</f>
        <v>Heat plants - shale</v>
      </c>
      <c r="AM515" s="24" t="str" cm="1">
        <f t="array" ref="AM515">IFERROR(INDEX(Transactions[[Transaction code]:[Transaction name]],_xlfn.XMATCH(INDEX(Transactions[[Transaction name]:[Parent code]],_xlfn.XMATCH(Transactions[[#This Row],[L2N]],Transactions[Transaction name],0),3),Transactions[Transaction code],0),2),Transactions[[#This Row],[L2N]])</f>
        <v>Heat plants</v>
      </c>
      <c r="AN515" s="24" t="str" cm="1">
        <f t="array" ref="AN515">IFERROR(INDEX(Transactions[[Transaction code]:[Transaction name]],_xlfn.XMATCH(INDEX(Transactions[[Transaction name]:[Parent code]],_xlfn.XMATCH(Transactions[[#This Row],[L3N]],Transactions[Transaction name],0),3),Transactions[Transaction code],0),2),Transactions[[#This Row],[L3N]])</f>
        <v>Electricity, CHP and heat plants (T)</v>
      </c>
      <c r="AO515" s="24" t="str" cm="1">
        <f t="array" ref="AO515">IFERROR(INDEX(Transactions[[Transaction code]:[Transaction name]],_xlfn.XMATCH(INDEX(Transactions[[Transaction name]:[Parent code]],_xlfn.XMATCH(Transactions[[#This Row],[L4N]],Transactions[Transaction name],0),3),Transactions[Transaction code],0),2),Transactions[[#This Row],[L4N]])</f>
        <v>Transformation</v>
      </c>
      <c r="AP515" s="24" t="str" cm="1">
        <f t="array" ref="AP515">IFERROR(INDEX(Transactions[[Transaction code]:[Transaction name]],_xlfn.XMATCH(INDEX(Transactions[[Transaction name]:[Parent code]],_xlfn.XMATCH(Transactions[[#This Row],[L5N]],Transactions[Transaction name],0),3),Transactions[Transaction code],0),2),Transactions[[#This Row],[L5N]])</f>
        <v>Transformation</v>
      </c>
      <c r="AQ515" s="24" t="str" cm="1">
        <f t="array" ref="AQ515">IFERROR(INDEX(Transactions[[Transaction code]:[Transaction name]],_xlfn.XMATCH(INDEX(Transactions[[Transaction name]:[Parent code]],_xlfn.XMATCH(Transactions[[#This Row],[L6N]],Transactions[Transaction name],0),3),Transactions[Transaction code],0),2),Transactions[[#This Row],[L6N]])</f>
        <v>Transformation</v>
      </c>
      <c r="AR515" s="28" t="str">
        <f>IF(Transactions[[#This Row],[L7N]]=Transactions[[#This Row],[L6N]],Transactions[[#This Row],[L7N]],IF(Transactions[[#This Row],[L6N]]=Transactions[[#This Row],[L5N]],Transactions[[#This Row],[L6N]],IF(Transactions[[#This Row],[L5N]]=Transactions[[#This Row],[L4N]],Transactions[[#This Row],[L5N]],IF(Transactions[[#This Row],[L4N]]=Transactions[[#This Row],[L3N]],Transactions[[#This Row],[L4N]],IF(Transactions[[#This Row],[L3N]]=Transactions[[#This Row],[L2N]],Transactions[[#This Row],[L3N]],IF(Transactions[[#This Row],[L2N]]=Transactions[[#This Row],[L1N]],Transactions[[#This Row],[L2N]],IF(Transactions[[#This Row],[L1N]]=Transactions[[#This Row],[Transaction name]],Transactions[[#This Row],[L1N]],Transactions[[#This Row],[Transaction name]])))))))</f>
        <v>Transformation</v>
      </c>
      <c r="AS515" s="24" t="str">
        <f>IF(Transactions[[#This Row],[Level 0]]=Transactions[[#This Row],[Transaction name]],Transactions[[#This Row],[Transaction name]],IF(Transactions[[#This Row],[Level 0]]=Transactions[[#This Row],[L1N]],Transactions[[#This Row],[Transaction name]],IF(Transactions[[#This Row],[Level 0]]=Transactions[[#This Row],[L2N]],Transactions[[#This Row],[L1N]],IF(Transactions[[#This Row],[Level 0]]=Transactions[[#This Row],[L3N]],Transactions[[#This Row],[L2N]],IF(Transactions[[#This Row],[Level 0]]=Transactions[[#This Row],[L4N]],Transactions[[#This Row],[L3N]],IF(Transactions[[#This Row],[Level 0]]=Transactions[[#This Row],[L5N]],Transactions[[#This Row],[L4N]],IF(Transactions[[#This Row],[Level 0]]=Transactions[[#This Row],[L6N]],Transactions[[#This Row],[L5N]],IF(Transactions[[#This Row],[Level 0]]=Transactions[[#This Row],[L7N]],Transactions[[#This Row],[L6N]],Transactions[[#This Row],[L7N]]))))))))</f>
        <v>Electricity, CHP and heat plants (T)</v>
      </c>
      <c r="AT515" s="24" t="str">
        <f>IF(Transactions[[#This Row],[Level 1]]=Transactions[[#This Row],[Transaction name]],Transactions[[#This Row],[Transaction name]],IF(Transactions[[#This Row],[Level 1]]=Transactions[[#This Row],[L1N]],Transactions[[#This Row],[Transaction name]],IF(Transactions[[#This Row],[Level 1]]=Transactions[[#This Row],[L2N]],Transactions[[#This Row],[L1N]],IF(Transactions[[#This Row],[Level 1]]=Transactions[[#This Row],[L3N]],Transactions[[#This Row],[L2N]],IF(Transactions[[#This Row],[Level 1]]=Transactions[[#This Row],[L4N]],Transactions[[#This Row],[L3N]],IF(Transactions[[#This Row],[Level 1]]=Transactions[[#This Row],[L5N]],Transactions[[#This Row],[L4N]],IF(Transactions[[#This Row],[Level 1]]=Transactions[[#This Row],[L6N]],Transactions[[#This Row],[L5N]],IF(Transactions[[#This Row],[Level 1]]=Transactions[[#This Row],[L7N]],Transactions[[#This Row],[L6N]],Transactions[[#This Row],[L7N]]))))))))</f>
        <v>Heat plants</v>
      </c>
      <c r="AU515" s="24" t="str">
        <f>IF(Transactions[[#This Row],[Level 2]]=Transactions[[#This Row],[Transaction name]],Transactions[[#This Row],[Transaction name]],IF(Transactions[[#This Row],[Level 2]]=Transactions[[#This Row],[L1N]],Transactions[[#This Row],[Transaction name]],IF(Transactions[[#This Row],[Level 2]]=Transactions[[#This Row],[L2N]],Transactions[[#This Row],[L1N]],IF(Transactions[[#This Row],[Level 2]]=Transactions[[#This Row],[L3N]],Transactions[[#This Row],[L2N]],IF(Transactions[[#This Row],[Level 2]]=Transactions[[#This Row],[L4N]],Transactions[[#This Row],[L3N]],IF(Transactions[[#This Row],[Level 2]]=Transactions[[#This Row],[L5N]],Transactions[[#This Row],[L4N]],IF(Transactions[[#This Row],[Level 2]]=Transactions[[#This Row],[L6N]],Transactions[[#This Row],[L5N]],IF(Transactions[[#This Row],[Level 2]]=Transactions[[#This Row],[L7N]],Transactions[[#This Row],[L6N]],Transactions[[#This Row],[L7N]]))))))))</f>
        <v>Heat plants - shale</v>
      </c>
      <c r="AV515" s="24" t="str">
        <f>IF(Transactions[[#This Row],[Level 3]]=Transactions[[#This Row],[Transaction name]],Transactions[[#This Row],[Transaction name]],IF(Transactions[[#This Row],[Level 3]]=Transactions[[#This Row],[L1N]],Transactions[[#This Row],[Transaction name]],IF(Transactions[[#This Row],[Level 3]]=Transactions[[#This Row],[L2N]],Transactions[[#This Row],[L1N]],IF(Transactions[[#This Row],[Level 3]]=Transactions[[#This Row],[L3N]],Transactions[[#This Row],[L2N]],IF(Transactions[[#This Row],[Level 3]]=Transactions[[#This Row],[L4N]],Transactions[[#This Row],[L3N]],IF(Transactions[[#This Row],[Level 3]]=Transactions[[#This Row],[L5N]],Transactions[[#This Row],[L4N]],IF(Transactions[[#This Row],[Level 3]]=Transactions[[#This Row],[L6N]],Transactions[[#This Row],[L5N]],IF(Transactions[[#This Row],[Level 3]]=Transactions[[#This Row],[L7N]],Transactions[[#This Row],[L6N]],Transactions[[#This Row],[L7N]]))))))))</f>
        <v>Heat plants - Main activity - shale</v>
      </c>
      <c r="AW515" s="24" t="str">
        <f>IF(Transactions[[#This Row],[Level 4]]=Transactions[[#This Row],[Transaction name]],Transactions[[#This Row],[Transaction name]],IF(Transactions[[#This Row],[Level 4]]=Transactions[[#This Row],[L1N]],Transactions[[#This Row],[Transaction name]],IF(Transactions[[#This Row],[Level 4]]=Transactions[[#This Row],[L2N]],Transactions[[#This Row],[L1N]],IF(Transactions[[#This Row],[Level 4]]=Transactions[[#This Row],[L3N]],Transactions[[#This Row],[L2N]],IF(Transactions[[#This Row],[Level 4]]=Transactions[[#This Row],[L4N]],Transactions[[#This Row],[L3N]],IF(Transactions[[#This Row],[Level 4]]=Transactions[[#This Row],[L5N]],Transactions[[#This Row],[L4N]],IF(Transactions[[#This Row],[Level 4]]=Transactions[[#This Row],[L6N]],Transactions[[#This Row],[L5N]],IF(Transactions[[#This Row],[Level 4]]=Transactions[[#This Row],[L7N]],Transactions[[#This Row],[L6N]],Transactions[[#This Row],[L7N]]))))))))</f>
        <v>Heat plants - Main activity - shale</v>
      </c>
      <c r="AX515" s="24" t="str">
        <f>IF(Transactions[[#This Row],[Level 5]]=Transactions[[#This Row],[Transaction name]],Transactions[[#This Row],[Transaction name]],IF(Transactions[[#This Row],[Level 5]]=Transactions[[#This Row],[L1N]],Transactions[[#This Row],[Transaction name]],IF(Transactions[[#This Row],[Level 5]]=Transactions[[#This Row],[L2N]],Transactions[[#This Row],[L1N]],IF(Transactions[[#This Row],[Level 5]]=Transactions[[#This Row],[L3N]],Transactions[[#This Row],[L2N]],IF(Transactions[[#This Row],[Level 5]]=Transactions[[#This Row],[L4N]],Transactions[[#This Row],[L3N]],IF(Transactions[[#This Row],[Level 5]]=Transactions[[#This Row],[L5N]],Transactions[[#This Row],[L4N]],IF(Transactions[[#This Row],[Level 5]]=Transactions[[#This Row],[L6N]],Transactions[[#This Row],[L5N]],IF(Transactions[[#This Row],[Level 5]]=Transactions[[#This Row],[L7N]],Transactions[[#This Row],[L6N]],Transactions[[#This Row],[L7N]]))))))))</f>
        <v>Heat plants - Main activity - shale</v>
      </c>
      <c r="AY515" s="24" t="str">
        <f>IF(Transactions[[#This Row],[Level 6]]=Transactions[[#This Row],[Transaction name]],Transactions[[#This Row],[Transaction name]],IF(Transactions[[#This Row],[Level 6]]=Transactions[[#This Row],[L1N]],Transactions[[#This Row],[Transaction name]],IF(Transactions[[#This Row],[Level 6]]=Transactions[[#This Row],[L2N]],Transactions[[#This Row],[L1N]],IF(Transactions[[#This Row],[Level 6]]=Transactions[[#This Row],[L3N]],Transactions[[#This Row],[L2N]],IF(Transactions[[#This Row],[Level 6]]=Transactions[[#This Row],[L4N]],Transactions[[#This Row],[L3N]],IF(Transactions[[#This Row],[Level 6]]=Transactions[[#This Row],[L5N]],Transactions[[#This Row],[L4N]],IF(Transactions[[#This Row],[Level 6]]=Transactions[[#This Row],[L6N]],Transactions[[#This Row],[L5N]],IF(Transactions[[#This Row],[Level 6]]=Transactions[[#This Row],[L7N]],Transactions[[#This Row],[L6N]],Transactions[[#This Row],[L7N]]))))))))</f>
        <v>Heat plants - Main activity - shale</v>
      </c>
    </row>
    <row r="516" spans="25:51" x14ac:dyDescent="0.45">
      <c r="Y516" s="19" t="s">
        <v>1576</v>
      </c>
      <c r="Z516" s="18" t="s">
        <v>1389</v>
      </c>
      <c r="AA516" s="18" t="s">
        <v>1389</v>
      </c>
      <c r="AB516" s="19" t="s">
        <v>1574</v>
      </c>
      <c r="AC516" s="26" t="str">
        <f>IFERROR(VLOOKUP(Transactions[[#This Row],[Parent code]],Transactions[[Transaction code]:[Transaction name]],2,0),"")</f>
        <v>Heat plants</v>
      </c>
      <c r="AD516" s="18" t="s">
        <v>189</v>
      </c>
      <c r="AE516" s="18" t="s">
        <v>924</v>
      </c>
      <c r="AF516" s="18" t="s">
        <v>642</v>
      </c>
      <c r="AG516" s="18" t="s">
        <v>1</v>
      </c>
      <c r="AH516" s="18" t="s">
        <v>696</v>
      </c>
      <c r="AI516" s="18" t="s">
        <v>1416</v>
      </c>
      <c r="AJ516" s="18"/>
      <c r="AK516" s="26" t="str" cm="1">
        <f t="array" ref="AK516">IFERROR(INDEX(Transactions[[Transaction code]:[Transaction name]],_xlfn.XMATCH(Transactions[[#This Row],[Parent code]],Transactions[Transaction name],0),3),Transactions[[#This Row],[Transaction name]])</f>
        <v>Heat plants - shale</v>
      </c>
      <c r="AL516" s="26" t="str" cm="1">
        <f t="array" ref="AL516">IFERROR(INDEX(Transactions[[Transaction code]:[Transaction name]],_xlfn.XMATCH(INDEX(Transactions[[Transaction name]:[Parent code]],_xlfn.XMATCH(Transactions[[#This Row],[L1N]],Transactions[Transaction name],0),3),Transactions[Transaction code],0),2),Transactions[[#This Row],[L1N]])</f>
        <v>Heat plants</v>
      </c>
      <c r="AM516" s="26" t="str" cm="1">
        <f t="array" ref="AM516">IFERROR(INDEX(Transactions[[Transaction code]:[Transaction name]],_xlfn.XMATCH(INDEX(Transactions[[Transaction name]:[Parent code]],_xlfn.XMATCH(Transactions[[#This Row],[L2N]],Transactions[Transaction name],0),3),Transactions[Transaction code],0),2),Transactions[[#This Row],[L2N]])</f>
        <v>Electricity, CHP and heat plants (T)</v>
      </c>
      <c r="AN516" s="26" t="str" cm="1">
        <f t="array" ref="AN516">IFERROR(INDEX(Transactions[[Transaction code]:[Transaction name]],_xlfn.XMATCH(INDEX(Transactions[[Transaction name]:[Parent code]],_xlfn.XMATCH(Transactions[[#This Row],[L3N]],Transactions[Transaction name],0),3),Transactions[Transaction code],0),2),Transactions[[#This Row],[L3N]])</f>
        <v>Transformation</v>
      </c>
      <c r="AO516" s="26" t="str" cm="1">
        <f t="array" ref="AO516">IFERROR(INDEX(Transactions[[Transaction code]:[Transaction name]],_xlfn.XMATCH(INDEX(Transactions[[Transaction name]:[Parent code]],_xlfn.XMATCH(Transactions[[#This Row],[L4N]],Transactions[Transaction name],0),3),Transactions[Transaction code],0),2),Transactions[[#This Row],[L4N]])</f>
        <v>Transformation</v>
      </c>
      <c r="AP516" s="26" t="str" cm="1">
        <f t="array" ref="AP516">IFERROR(INDEX(Transactions[[Transaction code]:[Transaction name]],_xlfn.XMATCH(INDEX(Transactions[[Transaction name]:[Parent code]],_xlfn.XMATCH(Transactions[[#This Row],[L5N]],Transactions[Transaction name],0),3),Transactions[Transaction code],0),2),Transactions[[#This Row],[L5N]])</f>
        <v>Transformation</v>
      </c>
      <c r="AQ516" s="26" t="str" cm="1">
        <f t="array" ref="AQ516">IFERROR(INDEX(Transactions[[Transaction code]:[Transaction name]],_xlfn.XMATCH(INDEX(Transactions[[Transaction name]:[Parent code]],_xlfn.XMATCH(Transactions[[#This Row],[L6N]],Transactions[Transaction name],0),3),Transactions[Transaction code],0),2),Transactions[[#This Row],[L6N]])</f>
        <v>Transformation</v>
      </c>
      <c r="AR516" s="29" t="str">
        <f>IF(Transactions[[#This Row],[L7N]]=Transactions[[#This Row],[L6N]],Transactions[[#This Row],[L7N]],IF(Transactions[[#This Row],[L6N]]=Transactions[[#This Row],[L5N]],Transactions[[#This Row],[L6N]],IF(Transactions[[#This Row],[L5N]]=Transactions[[#This Row],[L4N]],Transactions[[#This Row],[L5N]],IF(Transactions[[#This Row],[L4N]]=Transactions[[#This Row],[L3N]],Transactions[[#This Row],[L4N]],IF(Transactions[[#This Row],[L3N]]=Transactions[[#This Row],[L2N]],Transactions[[#This Row],[L3N]],IF(Transactions[[#This Row],[L2N]]=Transactions[[#This Row],[L1N]],Transactions[[#This Row],[L2N]],IF(Transactions[[#This Row],[L1N]]=Transactions[[#This Row],[Transaction name]],Transactions[[#This Row],[L1N]],Transactions[[#This Row],[Transaction name]])))))))</f>
        <v>Transformation</v>
      </c>
      <c r="AS516" s="26" t="str">
        <f>IF(Transactions[[#This Row],[Level 0]]=Transactions[[#This Row],[Transaction name]],Transactions[[#This Row],[Transaction name]],IF(Transactions[[#This Row],[Level 0]]=Transactions[[#This Row],[L1N]],Transactions[[#This Row],[Transaction name]],IF(Transactions[[#This Row],[Level 0]]=Transactions[[#This Row],[L2N]],Transactions[[#This Row],[L1N]],IF(Transactions[[#This Row],[Level 0]]=Transactions[[#This Row],[L3N]],Transactions[[#This Row],[L2N]],IF(Transactions[[#This Row],[Level 0]]=Transactions[[#This Row],[L4N]],Transactions[[#This Row],[L3N]],IF(Transactions[[#This Row],[Level 0]]=Transactions[[#This Row],[L5N]],Transactions[[#This Row],[L4N]],IF(Transactions[[#This Row],[Level 0]]=Transactions[[#This Row],[L6N]],Transactions[[#This Row],[L5N]],IF(Transactions[[#This Row],[Level 0]]=Transactions[[#This Row],[L7N]],Transactions[[#This Row],[L6N]],Transactions[[#This Row],[L7N]]))))))))</f>
        <v>Electricity, CHP and heat plants (T)</v>
      </c>
      <c r="AT516" s="26" t="str">
        <f>IF(Transactions[[#This Row],[Level 1]]=Transactions[[#This Row],[Transaction name]],Transactions[[#This Row],[Transaction name]],IF(Transactions[[#This Row],[Level 1]]=Transactions[[#This Row],[L1N]],Transactions[[#This Row],[Transaction name]],IF(Transactions[[#This Row],[Level 1]]=Transactions[[#This Row],[L2N]],Transactions[[#This Row],[L1N]],IF(Transactions[[#This Row],[Level 1]]=Transactions[[#This Row],[L3N]],Transactions[[#This Row],[L2N]],IF(Transactions[[#This Row],[Level 1]]=Transactions[[#This Row],[L4N]],Transactions[[#This Row],[L3N]],IF(Transactions[[#This Row],[Level 1]]=Transactions[[#This Row],[L5N]],Transactions[[#This Row],[L4N]],IF(Transactions[[#This Row],[Level 1]]=Transactions[[#This Row],[L6N]],Transactions[[#This Row],[L5N]],IF(Transactions[[#This Row],[Level 1]]=Transactions[[#This Row],[L7N]],Transactions[[#This Row],[L6N]],Transactions[[#This Row],[L7N]]))))))))</f>
        <v>Heat plants</v>
      </c>
      <c r="AU516" s="26" t="str">
        <f>IF(Transactions[[#This Row],[Level 2]]=Transactions[[#This Row],[Transaction name]],Transactions[[#This Row],[Transaction name]],IF(Transactions[[#This Row],[Level 2]]=Transactions[[#This Row],[L1N]],Transactions[[#This Row],[Transaction name]],IF(Transactions[[#This Row],[Level 2]]=Transactions[[#This Row],[L2N]],Transactions[[#This Row],[L1N]],IF(Transactions[[#This Row],[Level 2]]=Transactions[[#This Row],[L3N]],Transactions[[#This Row],[L2N]],IF(Transactions[[#This Row],[Level 2]]=Transactions[[#This Row],[L4N]],Transactions[[#This Row],[L3N]],IF(Transactions[[#This Row],[Level 2]]=Transactions[[#This Row],[L5N]],Transactions[[#This Row],[L4N]],IF(Transactions[[#This Row],[Level 2]]=Transactions[[#This Row],[L6N]],Transactions[[#This Row],[L5N]],IF(Transactions[[#This Row],[Level 2]]=Transactions[[#This Row],[L7N]],Transactions[[#This Row],[L6N]],Transactions[[#This Row],[L7N]]))))))))</f>
        <v>Heat plants - shale</v>
      </c>
      <c r="AV516" s="26" t="str">
        <f>IF(Transactions[[#This Row],[Level 3]]=Transactions[[#This Row],[Transaction name]],Transactions[[#This Row],[Transaction name]],IF(Transactions[[#This Row],[Level 3]]=Transactions[[#This Row],[L1N]],Transactions[[#This Row],[Transaction name]],IF(Transactions[[#This Row],[Level 3]]=Transactions[[#This Row],[L2N]],Transactions[[#This Row],[L1N]],IF(Transactions[[#This Row],[Level 3]]=Transactions[[#This Row],[L3N]],Transactions[[#This Row],[L2N]],IF(Transactions[[#This Row],[Level 3]]=Transactions[[#This Row],[L4N]],Transactions[[#This Row],[L3N]],IF(Transactions[[#This Row],[Level 3]]=Transactions[[#This Row],[L5N]],Transactions[[#This Row],[L4N]],IF(Transactions[[#This Row],[Level 3]]=Transactions[[#This Row],[L6N]],Transactions[[#This Row],[L5N]],IF(Transactions[[#This Row],[Level 3]]=Transactions[[#This Row],[L7N]],Transactions[[#This Row],[L6N]],Transactions[[#This Row],[L7N]]))))))))</f>
        <v>Heat plants - shale</v>
      </c>
      <c r="AW516" s="26" t="str">
        <f>IF(Transactions[[#This Row],[Level 4]]=Transactions[[#This Row],[Transaction name]],Transactions[[#This Row],[Transaction name]],IF(Transactions[[#This Row],[Level 4]]=Transactions[[#This Row],[L1N]],Transactions[[#This Row],[Transaction name]],IF(Transactions[[#This Row],[Level 4]]=Transactions[[#This Row],[L2N]],Transactions[[#This Row],[L1N]],IF(Transactions[[#This Row],[Level 4]]=Transactions[[#This Row],[L3N]],Transactions[[#This Row],[L2N]],IF(Transactions[[#This Row],[Level 4]]=Transactions[[#This Row],[L4N]],Transactions[[#This Row],[L3N]],IF(Transactions[[#This Row],[Level 4]]=Transactions[[#This Row],[L5N]],Transactions[[#This Row],[L4N]],IF(Transactions[[#This Row],[Level 4]]=Transactions[[#This Row],[L6N]],Transactions[[#This Row],[L5N]],IF(Transactions[[#This Row],[Level 4]]=Transactions[[#This Row],[L7N]],Transactions[[#This Row],[L6N]],Transactions[[#This Row],[L7N]]))))))))</f>
        <v>Heat plants - shale</v>
      </c>
      <c r="AX516" s="26" t="str">
        <f>IF(Transactions[[#This Row],[Level 5]]=Transactions[[#This Row],[Transaction name]],Transactions[[#This Row],[Transaction name]],IF(Transactions[[#This Row],[Level 5]]=Transactions[[#This Row],[L1N]],Transactions[[#This Row],[Transaction name]],IF(Transactions[[#This Row],[Level 5]]=Transactions[[#This Row],[L2N]],Transactions[[#This Row],[L1N]],IF(Transactions[[#This Row],[Level 5]]=Transactions[[#This Row],[L3N]],Transactions[[#This Row],[L2N]],IF(Transactions[[#This Row],[Level 5]]=Transactions[[#This Row],[L4N]],Transactions[[#This Row],[L3N]],IF(Transactions[[#This Row],[Level 5]]=Transactions[[#This Row],[L5N]],Transactions[[#This Row],[L4N]],IF(Transactions[[#This Row],[Level 5]]=Transactions[[#This Row],[L6N]],Transactions[[#This Row],[L5N]],IF(Transactions[[#This Row],[Level 5]]=Transactions[[#This Row],[L7N]],Transactions[[#This Row],[L6N]],Transactions[[#This Row],[L7N]]))))))))</f>
        <v>Heat plants - shale</v>
      </c>
      <c r="AY516" s="26" t="str">
        <f>IF(Transactions[[#This Row],[Level 6]]=Transactions[[#This Row],[Transaction name]],Transactions[[#This Row],[Transaction name]],IF(Transactions[[#This Row],[Level 6]]=Transactions[[#This Row],[L1N]],Transactions[[#This Row],[Transaction name]],IF(Transactions[[#This Row],[Level 6]]=Transactions[[#This Row],[L2N]],Transactions[[#This Row],[L1N]],IF(Transactions[[#This Row],[Level 6]]=Transactions[[#This Row],[L3N]],Transactions[[#This Row],[L2N]],IF(Transactions[[#This Row],[Level 6]]=Transactions[[#This Row],[L4N]],Transactions[[#This Row],[L3N]],IF(Transactions[[#This Row],[Level 6]]=Transactions[[#This Row],[L5N]],Transactions[[#This Row],[L4N]],IF(Transactions[[#This Row],[Level 6]]=Transactions[[#This Row],[L6N]],Transactions[[#This Row],[L5N]],IF(Transactions[[#This Row],[Level 6]]=Transactions[[#This Row],[L7N]],Transactions[[#This Row],[L6N]],Transactions[[#This Row],[L7N]]))))))))</f>
        <v>Heat plants - shale</v>
      </c>
    </row>
    <row r="517" spans="25:51" x14ac:dyDescent="0.45">
      <c r="Y517" s="19" t="s">
        <v>1661</v>
      </c>
      <c r="Z517" s="7" t="s">
        <v>1304</v>
      </c>
      <c r="AA517" s="4" t="s">
        <v>1409</v>
      </c>
      <c r="AB517" s="19" t="s">
        <v>1663</v>
      </c>
      <c r="AC517" s="24" t="str">
        <f>IFERROR(VLOOKUP(Transactions[[#This Row],[Parent code]],Transactions[[Transaction code]:[Transaction name]],2,0),"")</f>
        <v>Heat plants - Solar CSP</v>
      </c>
      <c r="AD517" s="4" t="s">
        <v>189</v>
      </c>
      <c r="AE517" s="4" t="s">
        <v>924</v>
      </c>
      <c r="AF517" s="4" t="s">
        <v>642</v>
      </c>
      <c r="AG517" s="4" t="s">
        <v>1</v>
      </c>
      <c r="AH517" s="4" t="s">
        <v>696</v>
      </c>
      <c r="AK517" s="24" t="str" cm="1">
        <f t="array" ref="AK517">IFERROR(INDEX(Transactions[[Transaction code]:[Transaction name]],_xlfn.XMATCH(Transactions[[#This Row],[Parent code]],Transactions[Transaction name],0),3),Transactions[[#This Row],[Transaction name]])</f>
        <v>Heat plants - Autoproducer - Solar CSP</v>
      </c>
      <c r="AL517" s="24" t="str" cm="1">
        <f t="array" ref="AL517">IFERROR(INDEX(Transactions[[Transaction code]:[Transaction name]],_xlfn.XMATCH(INDEX(Transactions[[Transaction name]:[Parent code]],_xlfn.XMATCH(Transactions[[#This Row],[L1N]],Transactions[Transaction name],0),3),Transactions[Transaction code],0),2),Transactions[[#This Row],[L1N]])</f>
        <v>Heat plants - Solar CSP</v>
      </c>
      <c r="AM517" s="24" t="str" cm="1">
        <f t="array" ref="AM517">IFERROR(INDEX(Transactions[[Transaction code]:[Transaction name]],_xlfn.XMATCH(INDEX(Transactions[[Transaction name]:[Parent code]],_xlfn.XMATCH(Transactions[[#This Row],[L2N]],Transactions[Transaction name],0),3),Transactions[Transaction code],0),2),Transactions[[#This Row],[L2N]])</f>
        <v>Heat plants</v>
      </c>
      <c r="AN517" s="24" t="str" cm="1">
        <f t="array" ref="AN517">IFERROR(INDEX(Transactions[[Transaction code]:[Transaction name]],_xlfn.XMATCH(INDEX(Transactions[[Transaction name]:[Parent code]],_xlfn.XMATCH(Transactions[[#This Row],[L3N]],Transactions[Transaction name],0),3),Transactions[Transaction code],0),2),Transactions[[#This Row],[L3N]])</f>
        <v>Electricity, CHP and heat plants (T)</v>
      </c>
      <c r="AO517" s="24" t="str" cm="1">
        <f t="array" ref="AO517">IFERROR(INDEX(Transactions[[Transaction code]:[Transaction name]],_xlfn.XMATCH(INDEX(Transactions[[Transaction name]:[Parent code]],_xlfn.XMATCH(Transactions[[#This Row],[L4N]],Transactions[Transaction name],0),3),Transactions[Transaction code],0),2),Transactions[[#This Row],[L4N]])</f>
        <v>Transformation</v>
      </c>
      <c r="AP517" s="24" t="str" cm="1">
        <f t="array" ref="AP517">IFERROR(INDEX(Transactions[[Transaction code]:[Transaction name]],_xlfn.XMATCH(INDEX(Transactions[[Transaction name]:[Parent code]],_xlfn.XMATCH(Transactions[[#This Row],[L5N]],Transactions[Transaction name],0),3),Transactions[Transaction code],0),2),Transactions[[#This Row],[L5N]])</f>
        <v>Transformation</v>
      </c>
      <c r="AQ517" s="24" t="str" cm="1">
        <f t="array" ref="AQ517">IFERROR(INDEX(Transactions[[Transaction code]:[Transaction name]],_xlfn.XMATCH(INDEX(Transactions[[Transaction name]:[Parent code]],_xlfn.XMATCH(Transactions[[#This Row],[L6N]],Transactions[Transaction name],0),3),Transactions[Transaction code],0),2),Transactions[[#This Row],[L6N]])</f>
        <v>Transformation</v>
      </c>
      <c r="AR517" s="28" t="str">
        <f>IF(Transactions[[#This Row],[L7N]]=Transactions[[#This Row],[L6N]],Transactions[[#This Row],[L7N]],IF(Transactions[[#This Row],[L6N]]=Transactions[[#This Row],[L5N]],Transactions[[#This Row],[L6N]],IF(Transactions[[#This Row],[L5N]]=Transactions[[#This Row],[L4N]],Transactions[[#This Row],[L5N]],IF(Transactions[[#This Row],[L4N]]=Transactions[[#This Row],[L3N]],Transactions[[#This Row],[L4N]],IF(Transactions[[#This Row],[L3N]]=Transactions[[#This Row],[L2N]],Transactions[[#This Row],[L3N]],IF(Transactions[[#This Row],[L2N]]=Transactions[[#This Row],[L1N]],Transactions[[#This Row],[L2N]],IF(Transactions[[#This Row],[L1N]]=Transactions[[#This Row],[Transaction name]],Transactions[[#This Row],[L1N]],Transactions[[#This Row],[Transaction name]])))))))</f>
        <v>Transformation</v>
      </c>
      <c r="AS517" s="24" t="str">
        <f>IF(Transactions[[#This Row],[Level 0]]=Transactions[[#This Row],[Transaction name]],Transactions[[#This Row],[Transaction name]],IF(Transactions[[#This Row],[Level 0]]=Transactions[[#This Row],[L1N]],Transactions[[#This Row],[Transaction name]],IF(Transactions[[#This Row],[Level 0]]=Transactions[[#This Row],[L2N]],Transactions[[#This Row],[L1N]],IF(Transactions[[#This Row],[Level 0]]=Transactions[[#This Row],[L3N]],Transactions[[#This Row],[L2N]],IF(Transactions[[#This Row],[Level 0]]=Transactions[[#This Row],[L4N]],Transactions[[#This Row],[L3N]],IF(Transactions[[#This Row],[Level 0]]=Transactions[[#This Row],[L5N]],Transactions[[#This Row],[L4N]],IF(Transactions[[#This Row],[Level 0]]=Transactions[[#This Row],[L6N]],Transactions[[#This Row],[L5N]],IF(Transactions[[#This Row],[Level 0]]=Transactions[[#This Row],[L7N]],Transactions[[#This Row],[L6N]],Transactions[[#This Row],[L7N]]))))))))</f>
        <v>Electricity, CHP and heat plants (T)</v>
      </c>
      <c r="AT517" s="24" t="str">
        <f>IF(Transactions[[#This Row],[Level 1]]=Transactions[[#This Row],[Transaction name]],Transactions[[#This Row],[Transaction name]],IF(Transactions[[#This Row],[Level 1]]=Transactions[[#This Row],[L1N]],Transactions[[#This Row],[Transaction name]],IF(Transactions[[#This Row],[Level 1]]=Transactions[[#This Row],[L2N]],Transactions[[#This Row],[L1N]],IF(Transactions[[#This Row],[Level 1]]=Transactions[[#This Row],[L3N]],Transactions[[#This Row],[L2N]],IF(Transactions[[#This Row],[Level 1]]=Transactions[[#This Row],[L4N]],Transactions[[#This Row],[L3N]],IF(Transactions[[#This Row],[Level 1]]=Transactions[[#This Row],[L5N]],Transactions[[#This Row],[L4N]],IF(Transactions[[#This Row],[Level 1]]=Transactions[[#This Row],[L6N]],Transactions[[#This Row],[L5N]],IF(Transactions[[#This Row],[Level 1]]=Transactions[[#This Row],[L7N]],Transactions[[#This Row],[L6N]],Transactions[[#This Row],[L7N]]))))))))</f>
        <v>Heat plants</v>
      </c>
      <c r="AU517" s="24" t="str">
        <f>IF(Transactions[[#This Row],[Level 2]]=Transactions[[#This Row],[Transaction name]],Transactions[[#This Row],[Transaction name]],IF(Transactions[[#This Row],[Level 2]]=Transactions[[#This Row],[L1N]],Transactions[[#This Row],[Transaction name]],IF(Transactions[[#This Row],[Level 2]]=Transactions[[#This Row],[L2N]],Transactions[[#This Row],[L1N]],IF(Transactions[[#This Row],[Level 2]]=Transactions[[#This Row],[L3N]],Transactions[[#This Row],[L2N]],IF(Transactions[[#This Row],[Level 2]]=Transactions[[#This Row],[L4N]],Transactions[[#This Row],[L3N]],IF(Transactions[[#This Row],[Level 2]]=Transactions[[#This Row],[L5N]],Transactions[[#This Row],[L4N]],IF(Transactions[[#This Row],[Level 2]]=Transactions[[#This Row],[L6N]],Transactions[[#This Row],[L5N]],IF(Transactions[[#This Row],[Level 2]]=Transactions[[#This Row],[L7N]],Transactions[[#This Row],[L6N]],Transactions[[#This Row],[L7N]]))))))))</f>
        <v>Heat plants - Solar CSP</v>
      </c>
      <c r="AV517" s="24" t="str">
        <f>IF(Transactions[[#This Row],[Level 3]]=Transactions[[#This Row],[Transaction name]],Transactions[[#This Row],[Transaction name]],IF(Transactions[[#This Row],[Level 3]]=Transactions[[#This Row],[L1N]],Transactions[[#This Row],[Transaction name]],IF(Transactions[[#This Row],[Level 3]]=Transactions[[#This Row],[L2N]],Transactions[[#This Row],[L1N]],IF(Transactions[[#This Row],[Level 3]]=Transactions[[#This Row],[L3N]],Transactions[[#This Row],[L2N]],IF(Transactions[[#This Row],[Level 3]]=Transactions[[#This Row],[L4N]],Transactions[[#This Row],[L3N]],IF(Transactions[[#This Row],[Level 3]]=Transactions[[#This Row],[L5N]],Transactions[[#This Row],[L4N]],IF(Transactions[[#This Row],[Level 3]]=Transactions[[#This Row],[L6N]],Transactions[[#This Row],[L5N]],IF(Transactions[[#This Row],[Level 3]]=Transactions[[#This Row],[L7N]],Transactions[[#This Row],[L6N]],Transactions[[#This Row],[L7N]]))))))))</f>
        <v>Heat plants - Autoproducer - Solar CSP</v>
      </c>
      <c r="AW517" s="24" t="str">
        <f>IF(Transactions[[#This Row],[Level 4]]=Transactions[[#This Row],[Transaction name]],Transactions[[#This Row],[Transaction name]],IF(Transactions[[#This Row],[Level 4]]=Transactions[[#This Row],[L1N]],Transactions[[#This Row],[Transaction name]],IF(Transactions[[#This Row],[Level 4]]=Transactions[[#This Row],[L2N]],Transactions[[#This Row],[L1N]],IF(Transactions[[#This Row],[Level 4]]=Transactions[[#This Row],[L3N]],Transactions[[#This Row],[L2N]],IF(Transactions[[#This Row],[Level 4]]=Transactions[[#This Row],[L4N]],Transactions[[#This Row],[L3N]],IF(Transactions[[#This Row],[Level 4]]=Transactions[[#This Row],[L5N]],Transactions[[#This Row],[L4N]],IF(Transactions[[#This Row],[Level 4]]=Transactions[[#This Row],[L6N]],Transactions[[#This Row],[L5N]],IF(Transactions[[#This Row],[Level 4]]=Transactions[[#This Row],[L7N]],Transactions[[#This Row],[L6N]],Transactions[[#This Row],[L7N]]))))))))</f>
        <v>Heat plants - Autoproducer - Solar CSP</v>
      </c>
      <c r="AX517" s="24" t="str">
        <f>IF(Transactions[[#This Row],[Level 5]]=Transactions[[#This Row],[Transaction name]],Transactions[[#This Row],[Transaction name]],IF(Transactions[[#This Row],[Level 5]]=Transactions[[#This Row],[L1N]],Transactions[[#This Row],[Transaction name]],IF(Transactions[[#This Row],[Level 5]]=Transactions[[#This Row],[L2N]],Transactions[[#This Row],[L1N]],IF(Transactions[[#This Row],[Level 5]]=Transactions[[#This Row],[L3N]],Transactions[[#This Row],[L2N]],IF(Transactions[[#This Row],[Level 5]]=Transactions[[#This Row],[L4N]],Transactions[[#This Row],[L3N]],IF(Transactions[[#This Row],[Level 5]]=Transactions[[#This Row],[L5N]],Transactions[[#This Row],[L4N]],IF(Transactions[[#This Row],[Level 5]]=Transactions[[#This Row],[L6N]],Transactions[[#This Row],[L5N]],IF(Transactions[[#This Row],[Level 5]]=Transactions[[#This Row],[L7N]],Transactions[[#This Row],[L6N]],Transactions[[#This Row],[L7N]]))))))))</f>
        <v>Heat plants - Autoproducer - Solar CSP</v>
      </c>
      <c r="AY517" s="24" t="str">
        <f>IF(Transactions[[#This Row],[Level 6]]=Transactions[[#This Row],[Transaction name]],Transactions[[#This Row],[Transaction name]],IF(Transactions[[#This Row],[Level 6]]=Transactions[[#This Row],[L1N]],Transactions[[#This Row],[Transaction name]],IF(Transactions[[#This Row],[Level 6]]=Transactions[[#This Row],[L2N]],Transactions[[#This Row],[L1N]],IF(Transactions[[#This Row],[Level 6]]=Transactions[[#This Row],[L3N]],Transactions[[#This Row],[L2N]],IF(Transactions[[#This Row],[Level 6]]=Transactions[[#This Row],[L4N]],Transactions[[#This Row],[L3N]],IF(Transactions[[#This Row],[Level 6]]=Transactions[[#This Row],[L5N]],Transactions[[#This Row],[L4N]],IF(Transactions[[#This Row],[Level 6]]=Transactions[[#This Row],[L6N]],Transactions[[#This Row],[L5N]],IF(Transactions[[#This Row],[Level 6]]=Transactions[[#This Row],[L7N]],Transactions[[#This Row],[L6N]],Transactions[[#This Row],[L7N]]))))))))</f>
        <v>Heat plants - Autoproducer - Solar CSP</v>
      </c>
    </row>
    <row r="518" spans="25:51" x14ac:dyDescent="0.45">
      <c r="Y518" s="19" t="s">
        <v>1662</v>
      </c>
      <c r="Z518" s="7" t="s">
        <v>1300</v>
      </c>
      <c r="AA518" s="4" t="s">
        <v>1409</v>
      </c>
      <c r="AB518" s="19" t="s">
        <v>1663</v>
      </c>
      <c r="AC518" s="24" t="str">
        <f>IFERROR(VLOOKUP(Transactions[[#This Row],[Parent code]],Transactions[[Transaction code]:[Transaction name]],2,0),"")</f>
        <v>Heat plants - Solar CSP</v>
      </c>
      <c r="AD518" s="4" t="s">
        <v>189</v>
      </c>
      <c r="AE518" s="4" t="s">
        <v>924</v>
      </c>
      <c r="AF518" s="4" t="s">
        <v>642</v>
      </c>
      <c r="AG518" s="4" t="s">
        <v>1</v>
      </c>
      <c r="AH518" s="4" t="s">
        <v>696</v>
      </c>
      <c r="AK518" s="24" t="str" cm="1">
        <f t="array" ref="AK518">IFERROR(INDEX(Transactions[[Transaction code]:[Transaction name]],_xlfn.XMATCH(Transactions[[#This Row],[Parent code]],Transactions[Transaction name],0),3),Transactions[[#This Row],[Transaction name]])</f>
        <v>Heat plants - Main activity - Solar CSP</v>
      </c>
      <c r="AL518" s="24" t="str" cm="1">
        <f t="array" ref="AL518">IFERROR(INDEX(Transactions[[Transaction code]:[Transaction name]],_xlfn.XMATCH(INDEX(Transactions[[Transaction name]:[Parent code]],_xlfn.XMATCH(Transactions[[#This Row],[L1N]],Transactions[Transaction name],0),3),Transactions[Transaction code],0),2),Transactions[[#This Row],[L1N]])</f>
        <v>Heat plants - Solar CSP</v>
      </c>
      <c r="AM518" s="24" t="str" cm="1">
        <f t="array" ref="AM518">IFERROR(INDEX(Transactions[[Transaction code]:[Transaction name]],_xlfn.XMATCH(INDEX(Transactions[[Transaction name]:[Parent code]],_xlfn.XMATCH(Transactions[[#This Row],[L2N]],Transactions[Transaction name],0),3),Transactions[Transaction code],0),2),Transactions[[#This Row],[L2N]])</f>
        <v>Heat plants</v>
      </c>
      <c r="AN518" s="24" t="str" cm="1">
        <f t="array" ref="AN518">IFERROR(INDEX(Transactions[[Transaction code]:[Transaction name]],_xlfn.XMATCH(INDEX(Transactions[[Transaction name]:[Parent code]],_xlfn.XMATCH(Transactions[[#This Row],[L3N]],Transactions[Transaction name],0),3),Transactions[Transaction code],0),2),Transactions[[#This Row],[L3N]])</f>
        <v>Electricity, CHP and heat plants (T)</v>
      </c>
      <c r="AO518" s="24" t="str" cm="1">
        <f t="array" ref="AO518">IFERROR(INDEX(Transactions[[Transaction code]:[Transaction name]],_xlfn.XMATCH(INDEX(Transactions[[Transaction name]:[Parent code]],_xlfn.XMATCH(Transactions[[#This Row],[L4N]],Transactions[Transaction name],0),3),Transactions[Transaction code],0),2),Transactions[[#This Row],[L4N]])</f>
        <v>Transformation</v>
      </c>
      <c r="AP518" s="24" t="str" cm="1">
        <f t="array" ref="AP518">IFERROR(INDEX(Transactions[[Transaction code]:[Transaction name]],_xlfn.XMATCH(INDEX(Transactions[[Transaction name]:[Parent code]],_xlfn.XMATCH(Transactions[[#This Row],[L5N]],Transactions[Transaction name],0),3),Transactions[Transaction code],0),2),Transactions[[#This Row],[L5N]])</f>
        <v>Transformation</v>
      </c>
      <c r="AQ518" s="24" t="str" cm="1">
        <f t="array" ref="AQ518">IFERROR(INDEX(Transactions[[Transaction code]:[Transaction name]],_xlfn.XMATCH(INDEX(Transactions[[Transaction name]:[Parent code]],_xlfn.XMATCH(Transactions[[#This Row],[L6N]],Transactions[Transaction name],0),3),Transactions[Transaction code],0),2),Transactions[[#This Row],[L6N]])</f>
        <v>Transformation</v>
      </c>
      <c r="AR518" s="27" t="str">
        <f>IF(Transactions[[#This Row],[L7N]]=Transactions[[#This Row],[L6N]],Transactions[[#This Row],[L7N]],IF(Transactions[[#This Row],[L6N]]=Transactions[[#This Row],[L5N]],Transactions[[#This Row],[L6N]],IF(Transactions[[#This Row],[L5N]]=Transactions[[#This Row],[L4N]],Transactions[[#This Row],[L5N]],IF(Transactions[[#This Row],[L4N]]=Transactions[[#This Row],[L3N]],Transactions[[#This Row],[L4N]],IF(Transactions[[#This Row],[L3N]]=Transactions[[#This Row],[L2N]],Transactions[[#This Row],[L3N]],IF(Transactions[[#This Row],[L2N]]=Transactions[[#This Row],[L1N]],Transactions[[#This Row],[L2N]],IF(Transactions[[#This Row],[L1N]]=Transactions[[#This Row],[Transaction name]],Transactions[[#This Row],[L1N]],Transactions[[#This Row],[Transaction name]])))))))</f>
        <v>Transformation</v>
      </c>
      <c r="AS518" s="24" t="str">
        <f>IF(Transactions[[#This Row],[Level 0]]=Transactions[[#This Row],[Transaction name]],Transactions[[#This Row],[Transaction name]],IF(Transactions[[#This Row],[Level 0]]=Transactions[[#This Row],[L1N]],Transactions[[#This Row],[Transaction name]],IF(Transactions[[#This Row],[Level 0]]=Transactions[[#This Row],[L2N]],Transactions[[#This Row],[L1N]],IF(Transactions[[#This Row],[Level 0]]=Transactions[[#This Row],[L3N]],Transactions[[#This Row],[L2N]],IF(Transactions[[#This Row],[Level 0]]=Transactions[[#This Row],[L4N]],Transactions[[#This Row],[L3N]],IF(Transactions[[#This Row],[Level 0]]=Transactions[[#This Row],[L5N]],Transactions[[#This Row],[L4N]],IF(Transactions[[#This Row],[Level 0]]=Transactions[[#This Row],[L6N]],Transactions[[#This Row],[L5N]],IF(Transactions[[#This Row],[Level 0]]=Transactions[[#This Row],[L7N]],Transactions[[#This Row],[L6N]],Transactions[[#This Row],[L7N]]))))))))</f>
        <v>Electricity, CHP and heat plants (T)</v>
      </c>
      <c r="AT518" s="24" t="str">
        <f>IF(Transactions[[#This Row],[Level 1]]=Transactions[[#This Row],[Transaction name]],Transactions[[#This Row],[Transaction name]],IF(Transactions[[#This Row],[Level 1]]=Transactions[[#This Row],[L1N]],Transactions[[#This Row],[Transaction name]],IF(Transactions[[#This Row],[Level 1]]=Transactions[[#This Row],[L2N]],Transactions[[#This Row],[L1N]],IF(Transactions[[#This Row],[Level 1]]=Transactions[[#This Row],[L3N]],Transactions[[#This Row],[L2N]],IF(Transactions[[#This Row],[Level 1]]=Transactions[[#This Row],[L4N]],Transactions[[#This Row],[L3N]],IF(Transactions[[#This Row],[Level 1]]=Transactions[[#This Row],[L5N]],Transactions[[#This Row],[L4N]],IF(Transactions[[#This Row],[Level 1]]=Transactions[[#This Row],[L6N]],Transactions[[#This Row],[L5N]],IF(Transactions[[#This Row],[Level 1]]=Transactions[[#This Row],[L7N]],Transactions[[#This Row],[L6N]],Transactions[[#This Row],[L7N]]))))))))</f>
        <v>Heat plants</v>
      </c>
      <c r="AU518" s="24" t="str">
        <f>IF(Transactions[[#This Row],[Level 2]]=Transactions[[#This Row],[Transaction name]],Transactions[[#This Row],[Transaction name]],IF(Transactions[[#This Row],[Level 2]]=Transactions[[#This Row],[L1N]],Transactions[[#This Row],[Transaction name]],IF(Transactions[[#This Row],[Level 2]]=Transactions[[#This Row],[L2N]],Transactions[[#This Row],[L1N]],IF(Transactions[[#This Row],[Level 2]]=Transactions[[#This Row],[L3N]],Transactions[[#This Row],[L2N]],IF(Transactions[[#This Row],[Level 2]]=Transactions[[#This Row],[L4N]],Transactions[[#This Row],[L3N]],IF(Transactions[[#This Row],[Level 2]]=Transactions[[#This Row],[L5N]],Transactions[[#This Row],[L4N]],IF(Transactions[[#This Row],[Level 2]]=Transactions[[#This Row],[L6N]],Transactions[[#This Row],[L5N]],IF(Transactions[[#This Row],[Level 2]]=Transactions[[#This Row],[L7N]],Transactions[[#This Row],[L6N]],Transactions[[#This Row],[L7N]]))))))))</f>
        <v>Heat plants - Solar CSP</v>
      </c>
      <c r="AV518" s="24" t="str">
        <f>IF(Transactions[[#This Row],[Level 3]]=Transactions[[#This Row],[Transaction name]],Transactions[[#This Row],[Transaction name]],IF(Transactions[[#This Row],[Level 3]]=Transactions[[#This Row],[L1N]],Transactions[[#This Row],[Transaction name]],IF(Transactions[[#This Row],[Level 3]]=Transactions[[#This Row],[L2N]],Transactions[[#This Row],[L1N]],IF(Transactions[[#This Row],[Level 3]]=Transactions[[#This Row],[L3N]],Transactions[[#This Row],[L2N]],IF(Transactions[[#This Row],[Level 3]]=Transactions[[#This Row],[L4N]],Transactions[[#This Row],[L3N]],IF(Transactions[[#This Row],[Level 3]]=Transactions[[#This Row],[L5N]],Transactions[[#This Row],[L4N]],IF(Transactions[[#This Row],[Level 3]]=Transactions[[#This Row],[L6N]],Transactions[[#This Row],[L5N]],IF(Transactions[[#This Row],[Level 3]]=Transactions[[#This Row],[L7N]],Transactions[[#This Row],[L6N]],Transactions[[#This Row],[L7N]]))))))))</f>
        <v>Heat plants - Main activity - Solar CSP</v>
      </c>
      <c r="AW518" s="24" t="str">
        <f>IF(Transactions[[#This Row],[Level 4]]=Transactions[[#This Row],[Transaction name]],Transactions[[#This Row],[Transaction name]],IF(Transactions[[#This Row],[Level 4]]=Transactions[[#This Row],[L1N]],Transactions[[#This Row],[Transaction name]],IF(Transactions[[#This Row],[Level 4]]=Transactions[[#This Row],[L2N]],Transactions[[#This Row],[L1N]],IF(Transactions[[#This Row],[Level 4]]=Transactions[[#This Row],[L3N]],Transactions[[#This Row],[L2N]],IF(Transactions[[#This Row],[Level 4]]=Transactions[[#This Row],[L4N]],Transactions[[#This Row],[L3N]],IF(Transactions[[#This Row],[Level 4]]=Transactions[[#This Row],[L5N]],Transactions[[#This Row],[L4N]],IF(Transactions[[#This Row],[Level 4]]=Transactions[[#This Row],[L6N]],Transactions[[#This Row],[L5N]],IF(Transactions[[#This Row],[Level 4]]=Transactions[[#This Row],[L7N]],Transactions[[#This Row],[L6N]],Transactions[[#This Row],[L7N]]))))))))</f>
        <v>Heat plants - Main activity - Solar CSP</v>
      </c>
      <c r="AX518" s="24" t="str">
        <f>IF(Transactions[[#This Row],[Level 5]]=Transactions[[#This Row],[Transaction name]],Transactions[[#This Row],[Transaction name]],IF(Transactions[[#This Row],[Level 5]]=Transactions[[#This Row],[L1N]],Transactions[[#This Row],[Transaction name]],IF(Transactions[[#This Row],[Level 5]]=Transactions[[#This Row],[L2N]],Transactions[[#This Row],[L1N]],IF(Transactions[[#This Row],[Level 5]]=Transactions[[#This Row],[L3N]],Transactions[[#This Row],[L2N]],IF(Transactions[[#This Row],[Level 5]]=Transactions[[#This Row],[L4N]],Transactions[[#This Row],[L3N]],IF(Transactions[[#This Row],[Level 5]]=Transactions[[#This Row],[L5N]],Transactions[[#This Row],[L4N]],IF(Transactions[[#This Row],[Level 5]]=Transactions[[#This Row],[L6N]],Transactions[[#This Row],[L5N]],IF(Transactions[[#This Row],[Level 5]]=Transactions[[#This Row],[L7N]],Transactions[[#This Row],[L6N]],Transactions[[#This Row],[L7N]]))))))))</f>
        <v>Heat plants - Main activity - Solar CSP</v>
      </c>
      <c r="AY518" s="24" t="str">
        <f>IF(Transactions[[#This Row],[Level 6]]=Transactions[[#This Row],[Transaction name]],Transactions[[#This Row],[Transaction name]],IF(Transactions[[#This Row],[Level 6]]=Transactions[[#This Row],[L1N]],Transactions[[#This Row],[Transaction name]],IF(Transactions[[#This Row],[Level 6]]=Transactions[[#This Row],[L2N]],Transactions[[#This Row],[L1N]],IF(Transactions[[#This Row],[Level 6]]=Transactions[[#This Row],[L3N]],Transactions[[#This Row],[L2N]],IF(Transactions[[#This Row],[Level 6]]=Transactions[[#This Row],[L4N]],Transactions[[#This Row],[L3N]],IF(Transactions[[#This Row],[Level 6]]=Transactions[[#This Row],[L5N]],Transactions[[#This Row],[L4N]],IF(Transactions[[#This Row],[Level 6]]=Transactions[[#This Row],[L6N]],Transactions[[#This Row],[L5N]],IF(Transactions[[#This Row],[Level 6]]=Transactions[[#This Row],[L7N]],Transactions[[#This Row],[L6N]],Transactions[[#This Row],[L7N]]))))))))</f>
        <v>Heat plants - Main activity - Solar CSP</v>
      </c>
    </row>
    <row r="519" spans="25:51" x14ac:dyDescent="0.45">
      <c r="Y519" s="19" t="s">
        <v>1663</v>
      </c>
      <c r="Z519" s="18" t="s">
        <v>1409</v>
      </c>
      <c r="AA519" s="18" t="s">
        <v>1409</v>
      </c>
      <c r="AB519" s="19" t="s">
        <v>1574</v>
      </c>
      <c r="AC519" s="26" t="str">
        <f>IFERROR(VLOOKUP(Transactions[[#This Row],[Parent code]],Transactions[[Transaction code]:[Transaction name]],2,0),"")</f>
        <v>Heat plants</v>
      </c>
      <c r="AD519" s="18" t="s">
        <v>189</v>
      </c>
      <c r="AE519" s="18" t="s">
        <v>924</v>
      </c>
      <c r="AF519" s="18" t="s">
        <v>642</v>
      </c>
      <c r="AG519" s="18" t="s">
        <v>1</v>
      </c>
      <c r="AH519" s="18" t="s">
        <v>696</v>
      </c>
      <c r="AI519" s="18"/>
      <c r="AJ519" s="18"/>
      <c r="AK519" s="26" t="str" cm="1">
        <f t="array" ref="AK519">IFERROR(INDEX(Transactions[[Transaction code]:[Transaction name]],_xlfn.XMATCH(Transactions[[#This Row],[Parent code]],Transactions[Transaction name],0),3),Transactions[[#This Row],[Transaction name]])</f>
        <v>Heat plants - Solar CSP</v>
      </c>
      <c r="AL519" s="26" t="str" cm="1">
        <f t="array" ref="AL519">IFERROR(INDEX(Transactions[[Transaction code]:[Transaction name]],_xlfn.XMATCH(INDEX(Transactions[[Transaction name]:[Parent code]],_xlfn.XMATCH(Transactions[[#This Row],[L1N]],Transactions[Transaction name],0),3),Transactions[Transaction code],0),2),Transactions[[#This Row],[L1N]])</f>
        <v>Heat plants</v>
      </c>
      <c r="AM519" s="26" t="str" cm="1">
        <f t="array" ref="AM519">IFERROR(INDEX(Transactions[[Transaction code]:[Transaction name]],_xlfn.XMATCH(INDEX(Transactions[[Transaction name]:[Parent code]],_xlfn.XMATCH(Transactions[[#This Row],[L2N]],Transactions[Transaction name],0),3),Transactions[Transaction code],0),2),Transactions[[#This Row],[L2N]])</f>
        <v>Electricity, CHP and heat plants (T)</v>
      </c>
      <c r="AN519" s="26" t="str" cm="1">
        <f t="array" ref="AN519">IFERROR(INDEX(Transactions[[Transaction code]:[Transaction name]],_xlfn.XMATCH(INDEX(Transactions[[Transaction name]:[Parent code]],_xlfn.XMATCH(Transactions[[#This Row],[L3N]],Transactions[Transaction name],0),3),Transactions[Transaction code],0),2),Transactions[[#This Row],[L3N]])</f>
        <v>Transformation</v>
      </c>
      <c r="AO519" s="26" t="str" cm="1">
        <f t="array" ref="AO519">IFERROR(INDEX(Transactions[[Transaction code]:[Transaction name]],_xlfn.XMATCH(INDEX(Transactions[[Transaction name]:[Parent code]],_xlfn.XMATCH(Transactions[[#This Row],[L4N]],Transactions[Transaction name],0),3),Transactions[Transaction code],0),2),Transactions[[#This Row],[L4N]])</f>
        <v>Transformation</v>
      </c>
      <c r="AP519" s="26" t="str" cm="1">
        <f t="array" ref="AP519">IFERROR(INDEX(Transactions[[Transaction code]:[Transaction name]],_xlfn.XMATCH(INDEX(Transactions[[Transaction name]:[Parent code]],_xlfn.XMATCH(Transactions[[#This Row],[L5N]],Transactions[Transaction name],0),3),Transactions[Transaction code],0),2),Transactions[[#This Row],[L5N]])</f>
        <v>Transformation</v>
      </c>
      <c r="AQ519" s="26" t="str" cm="1">
        <f t="array" ref="AQ519">IFERROR(INDEX(Transactions[[Transaction code]:[Transaction name]],_xlfn.XMATCH(INDEX(Transactions[[Transaction name]:[Parent code]],_xlfn.XMATCH(Transactions[[#This Row],[L6N]],Transactions[Transaction name],0),3),Transactions[Transaction code],0),2),Transactions[[#This Row],[L6N]])</f>
        <v>Transformation</v>
      </c>
      <c r="AR519" s="30" t="str">
        <f>IF(Transactions[[#This Row],[L7N]]=Transactions[[#This Row],[L6N]],Transactions[[#This Row],[L7N]],IF(Transactions[[#This Row],[L6N]]=Transactions[[#This Row],[L5N]],Transactions[[#This Row],[L6N]],IF(Transactions[[#This Row],[L5N]]=Transactions[[#This Row],[L4N]],Transactions[[#This Row],[L5N]],IF(Transactions[[#This Row],[L4N]]=Transactions[[#This Row],[L3N]],Transactions[[#This Row],[L4N]],IF(Transactions[[#This Row],[L3N]]=Transactions[[#This Row],[L2N]],Transactions[[#This Row],[L3N]],IF(Transactions[[#This Row],[L2N]]=Transactions[[#This Row],[L1N]],Transactions[[#This Row],[L2N]],IF(Transactions[[#This Row],[L1N]]=Transactions[[#This Row],[Transaction name]],Transactions[[#This Row],[L1N]],Transactions[[#This Row],[Transaction name]])))))))</f>
        <v>Transformation</v>
      </c>
      <c r="AS519" s="26" t="str">
        <f>IF(Transactions[[#This Row],[Level 0]]=Transactions[[#This Row],[Transaction name]],Transactions[[#This Row],[Transaction name]],IF(Transactions[[#This Row],[Level 0]]=Transactions[[#This Row],[L1N]],Transactions[[#This Row],[Transaction name]],IF(Transactions[[#This Row],[Level 0]]=Transactions[[#This Row],[L2N]],Transactions[[#This Row],[L1N]],IF(Transactions[[#This Row],[Level 0]]=Transactions[[#This Row],[L3N]],Transactions[[#This Row],[L2N]],IF(Transactions[[#This Row],[Level 0]]=Transactions[[#This Row],[L4N]],Transactions[[#This Row],[L3N]],IF(Transactions[[#This Row],[Level 0]]=Transactions[[#This Row],[L5N]],Transactions[[#This Row],[L4N]],IF(Transactions[[#This Row],[Level 0]]=Transactions[[#This Row],[L6N]],Transactions[[#This Row],[L5N]],IF(Transactions[[#This Row],[Level 0]]=Transactions[[#This Row],[L7N]],Transactions[[#This Row],[L6N]],Transactions[[#This Row],[L7N]]))))))))</f>
        <v>Electricity, CHP and heat plants (T)</v>
      </c>
      <c r="AT519" s="26" t="str">
        <f>IF(Transactions[[#This Row],[Level 1]]=Transactions[[#This Row],[Transaction name]],Transactions[[#This Row],[Transaction name]],IF(Transactions[[#This Row],[Level 1]]=Transactions[[#This Row],[L1N]],Transactions[[#This Row],[Transaction name]],IF(Transactions[[#This Row],[Level 1]]=Transactions[[#This Row],[L2N]],Transactions[[#This Row],[L1N]],IF(Transactions[[#This Row],[Level 1]]=Transactions[[#This Row],[L3N]],Transactions[[#This Row],[L2N]],IF(Transactions[[#This Row],[Level 1]]=Transactions[[#This Row],[L4N]],Transactions[[#This Row],[L3N]],IF(Transactions[[#This Row],[Level 1]]=Transactions[[#This Row],[L5N]],Transactions[[#This Row],[L4N]],IF(Transactions[[#This Row],[Level 1]]=Transactions[[#This Row],[L6N]],Transactions[[#This Row],[L5N]],IF(Transactions[[#This Row],[Level 1]]=Transactions[[#This Row],[L7N]],Transactions[[#This Row],[L6N]],Transactions[[#This Row],[L7N]]))))))))</f>
        <v>Heat plants</v>
      </c>
      <c r="AU519" s="26" t="str">
        <f>IF(Transactions[[#This Row],[Level 2]]=Transactions[[#This Row],[Transaction name]],Transactions[[#This Row],[Transaction name]],IF(Transactions[[#This Row],[Level 2]]=Transactions[[#This Row],[L1N]],Transactions[[#This Row],[Transaction name]],IF(Transactions[[#This Row],[Level 2]]=Transactions[[#This Row],[L2N]],Transactions[[#This Row],[L1N]],IF(Transactions[[#This Row],[Level 2]]=Transactions[[#This Row],[L3N]],Transactions[[#This Row],[L2N]],IF(Transactions[[#This Row],[Level 2]]=Transactions[[#This Row],[L4N]],Transactions[[#This Row],[L3N]],IF(Transactions[[#This Row],[Level 2]]=Transactions[[#This Row],[L5N]],Transactions[[#This Row],[L4N]],IF(Transactions[[#This Row],[Level 2]]=Transactions[[#This Row],[L6N]],Transactions[[#This Row],[L5N]],IF(Transactions[[#This Row],[Level 2]]=Transactions[[#This Row],[L7N]],Transactions[[#This Row],[L6N]],Transactions[[#This Row],[L7N]]))))))))</f>
        <v>Heat plants - Solar CSP</v>
      </c>
      <c r="AV519" s="26" t="str">
        <f>IF(Transactions[[#This Row],[Level 3]]=Transactions[[#This Row],[Transaction name]],Transactions[[#This Row],[Transaction name]],IF(Transactions[[#This Row],[Level 3]]=Transactions[[#This Row],[L1N]],Transactions[[#This Row],[Transaction name]],IF(Transactions[[#This Row],[Level 3]]=Transactions[[#This Row],[L2N]],Transactions[[#This Row],[L1N]],IF(Transactions[[#This Row],[Level 3]]=Transactions[[#This Row],[L3N]],Transactions[[#This Row],[L2N]],IF(Transactions[[#This Row],[Level 3]]=Transactions[[#This Row],[L4N]],Transactions[[#This Row],[L3N]],IF(Transactions[[#This Row],[Level 3]]=Transactions[[#This Row],[L5N]],Transactions[[#This Row],[L4N]],IF(Transactions[[#This Row],[Level 3]]=Transactions[[#This Row],[L6N]],Transactions[[#This Row],[L5N]],IF(Transactions[[#This Row],[Level 3]]=Transactions[[#This Row],[L7N]],Transactions[[#This Row],[L6N]],Transactions[[#This Row],[L7N]]))))))))</f>
        <v>Heat plants - Solar CSP</v>
      </c>
      <c r="AW519" s="26" t="str">
        <f>IF(Transactions[[#This Row],[Level 4]]=Transactions[[#This Row],[Transaction name]],Transactions[[#This Row],[Transaction name]],IF(Transactions[[#This Row],[Level 4]]=Transactions[[#This Row],[L1N]],Transactions[[#This Row],[Transaction name]],IF(Transactions[[#This Row],[Level 4]]=Transactions[[#This Row],[L2N]],Transactions[[#This Row],[L1N]],IF(Transactions[[#This Row],[Level 4]]=Transactions[[#This Row],[L3N]],Transactions[[#This Row],[L2N]],IF(Transactions[[#This Row],[Level 4]]=Transactions[[#This Row],[L4N]],Transactions[[#This Row],[L3N]],IF(Transactions[[#This Row],[Level 4]]=Transactions[[#This Row],[L5N]],Transactions[[#This Row],[L4N]],IF(Transactions[[#This Row],[Level 4]]=Transactions[[#This Row],[L6N]],Transactions[[#This Row],[L5N]],IF(Transactions[[#This Row],[Level 4]]=Transactions[[#This Row],[L7N]],Transactions[[#This Row],[L6N]],Transactions[[#This Row],[L7N]]))))))))</f>
        <v>Heat plants - Solar CSP</v>
      </c>
      <c r="AX519" s="26" t="str">
        <f>IF(Transactions[[#This Row],[Level 5]]=Transactions[[#This Row],[Transaction name]],Transactions[[#This Row],[Transaction name]],IF(Transactions[[#This Row],[Level 5]]=Transactions[[#This Row],[L1N]],Transactions[[#This Row],[Transaction name]],IF(Transactions[[#This Row],[Level 5]]=Transactions[[#This Row],[L2N]],Transactions[[#This Row],[L1N]],IF(Transactions[[#This Row],[Level 5]]=Transactions[[#This Row],[L3N]],Transactions[[#This Row],[L2N]],IF(Transactions[[#This Row],[Level 5]]=Transactions[[#This Row],[L4N]],Transactions[[#This Row],[L3N]],IF(Transactions[[#This Row],[Level 5]]=Transactions[[#This Row],[L5N]],Transactions[[#This Row],[L4N]],IF(Transactions[[#This Row],[Level 5]]=Transactions[[#This Row],[L6N]],Transactions[[#This Row],[L5N]],IF(Transactions[[#This Row],[Level 5]]=Transactions[[#This Row],[L7N]],Transactions[[#This Row],[L6N]],Transactions[[#This Row],[L7N]]))))))))</f>
        <v>Heat plants - Solar CSP</v>
      </c>
      <c r="AY519" s="26" t="str">
        <f>IF(Transactions[[#This Row],[Level 6]]=Transactions[[#This Row],[Transaction name]],Transactions[[#This Row],[Transaction name]],IF(Transactions[[#This Row],[Level 6]]=Transactions[[#This Row],[L1N]],Transactions[[#This Row],[Transaction name]],IF(Transactions[[#This Row],[Level 6]]=Transactions[[#This Row],[L2N]],Transactions[[#This Row],[L1N]],IF(Transactions[[#This Row],[Level 6]]=Transactions[[#This Row],[L3N]],Transactions[[#This Row],[L2N]],IF(Transactions[[#This Row],[Level 6]]=Transactions[[#This Row],[L4N]],Transactions[[#This Row],[L3N]],IF(Transactions[[#This Row],[Level 6]]=Transactions[[#This Row],[L5N]],Transactions[[#This Row],[L4N]],IF(Transactions[[#This Row],[Level 6]]=Transactions[[#This Row],[L6N]],Transactions[[#This Row],[L5N]],IF(Transactions[[#This Row],[Level 6]]=Transactions[[#This Row],[L7N]],Transactions[[#This Row],[L6N]],Transactions[[#This Row],[L7N]]))))))))</f>
        <v>Heat plants - Solar CSP</v>
      </c>
    </row>
    <row r="520" spans="25:51" x14ac:dyDescent="0.45">
      <c r="Y520" s="5" t="s">
        <v>1276</v>
      </c>
      <c r="Z520" s="7" t="s">
        <v>1215</v>
      </c>
      <c r="AA520" s="4" t="s">
        <v>1397</v>
      </c>
      <c r="AB520" s="19" t="s">
        <v>1560</v>
      </c>
      <c r="AC520" s="24" t="str">
        <f>IFERROR(VLOOKUP(Transactions[[#This Row],[Parent code]],Transactions[[Transaction code]:[Transaction name]],2,0),"")</f>
        <v>Heat plants - solid coal products</v>
      </c>
      <c r="AD520" s="4" t="s">
        <v>189</v>
      </c>
      <c r="AE520" s="4" t="s">
        <v>924</v>
      </c>
      <c r="AF520" s="4" t="s">
        <v>642</v>
      </c>
      <c r="AG520" s="4" t="s">
        <v>1</v>
      </c>
      <c r="AH520" s="4" t="s">
        <v>696</v>
      </c>
      <c r="AI520" s="12" t="s">
        <v>1416</v>
      </c>
      <c r="AK520" s="24" t="str" cm="1">
        <f t="array" ref="AK520">IFERROR(INDEX(Transactions[[Transaction code]:[Transaction name]],_xlfn.XMATCH(Transactions[[#This Row],[Parent code]],Transactions[Transaction name],0),3),Transactions[[#This Row],[Transaction name]])</f>
        <v>Heat plants - Autoproducer - solid coal products</v>
      </c>
      <c r="AL520" s="24" t="str" cm="1">
        <f t="array" ref="AL520">IFERROR(INDEX(Transactions[[Transaction code]:[Transaction name]],_xlfn.XMATCH(INDEX(Transactions[[Transaction name]:[Parent code]],_xlfn.XMATCH(Transactions[[#This Row],[L1N]],Transactions[Transaction name],0),3),Transactions[Transaction code],0),2),Transactions[[#This Row],[L1N]])</f>
        <v>Heat plants - solid coal products</v>
      </c>
      <c r="AM520" s="24" t="str" cm="1">
        <f t="array" ref="AM520">IFERROR(INDEX(Transactions[[Transaction code]:[Transaction name]],_xlfn.XMATCH(INDEX(Transactions[[Transaction name]:[Parent code]],_xlfn.XMATCH(Transactions[[#This Row],[L2N]],Transactions[Transaction name],0),3),Transactions[Transaction code],0),2),Transactions[[#This Row],[L2N]])</f>
        <v>Heat plants</v>
      </c>
      <c r="AN520" s="24" t="str" cm="1">
        <f t="array" ref="AN520">IFERROR(INDEX(Transactions[[Transaction code]:[Transaction name]],_xlfn.XMATCH(INDEX(Transactions[[Transaction name]:[Parent code]],_xlfn.XMATCH(Transactions[[#This Row],[L3N]],Transactions[Transaction name],0),3),Transactions[Transaction code],0),2),Transactions[[#This Row],[L3N]])</f>
        <v>Electricity, CHP and heat plants (T)</v>
      </c>
      <c r="AO520" s="24" t="str" cm="1">
        <f t="array" ref="AO520">IFERROR(INDEX(Transactions[[Transaction code]:[Transaction name]],_xlfn.XMATCH(INDEX(Transactions[[Transaction name]:[Parent code]],_xlfn.XMATCH(Transactions[[#This Row],[L4N]],Transactions[Transaction name],0),3),Transactions[Transaction code],0),2),Transactions[[#This Row],[L4N]])</f>
        <v>Transformation</v>
      </c>
      <c r="AP520" s="24" t="str" cm="1">
        <f t="array" ref="AP520">IFERROR(INDEX(Transactions[[Transaction code]:[Transaction name]],_xlfn.XMATCH(INDEX(Transactions[[Transaction name]:[Parent code]],_xlfn.XMATCH(Transactions[[#This Row],[L5N]],Transactions[Transaction name],0),3),Transactions[Transaction code],0),2),Transactions[[#This Row],[L5N]])</f>
        <v>Transformation</v>
      </c>
      <c r="AQ520" s="24" t="str" cm="1">
        <f t="array" ref="AQ520">IFERROR(INDEX(Transactions[[Transaction code]:[Transaction name]],_xlfn.XMATCH(INDEX(Transactions[[Transaction name]:[Parent code]],_xlfn.XMATCH(Transactions[[#This Row],[L6N]],Transactions[Transaction name],0),3),Transactions[Transaction code],0),2),Transactions[[#This Row],[L6N]])</f>
        <v>Transformation</v>
      </c>
      <c r="AR520" s="27" t="str">
        <f>IF(Transactions[[#This Row],[L7N]]=Transactions[[#This Row],[L6N]],Transactions[[#This Row],[L7N]],IF(Transactions[[#This Row],[L6N]]=Transactions[[#This Row],[L5N]],Transactions[[#This Row],[L6N]],IF(Transactions[[#This Row],[L5N]]=Transactions[[#This Row],[L4N]],Transactions[[#This Row],[L5N]],IF(Transactions[[#This Row],[L4N]]=Transactions[[#This Row],[L3N]],Transactions[[#This Row],[L4N]],IF(Transactions[[#This Row],[L3N]]=Transactions[[#This Row],[L2N]],Transactions[[#This Row],[L3N]],IF(Transactions[[#This Row],[L2N]]=Transactions[[#This Row],[L1N]],Transactions[[#This Row],[L2N]],IF(Transactions[[#This Row],[L1N]]=Transactions[[#This Row],[Transaction name]],Transactions[[#This Row],[L1N]],Transactions[[#This Row],[Transaction name]])))))))</f>
        <v>Transformation</v>
      </c>
      <c r="AS520" s="24" t="str">
        <f>IF(Transactions[[#This Row],[Level 0]]=Transactions[[#This Row],[Transaction name]],Transactions[[#This Row],[Transaction name]],IF(Transactions[[#This Row],[Level 0]]=Transactions[[#This Row],[L1N]],Transactions[[#This Row],[Transaction name]],IF(Transactions[[#This Row],[Level 0]]=Transactions[[#This Row],[L2N]],Transactions[[#This Row],[L1N]],IF(Transactions[[#This Row],[Level 0]]=Transactions[[#This Row],[L3N]],Transactions[[#This Row],[L2N]],IF(Transactions[[#This Row],[Level 0]]=Transactions[[#This Row],[L4N]],Transactions[[#This Row],[L3N]],IF(Transactions[[#This Row],[Level 0]]=Transactions[[#This Row],[L5N]],Transactions[[#This Row],[L4N]],IF(Transactions[[#This Row],[Level 0]]=Transactions[[#This Row],[L6N]],Transactions[[#This Row],[L5N]],IF(Transactions[[#This Row],[Level 0]]=Transactions[[#This Row],[L7N]],Transactions[[#This Row],[L6N]],Transactions[[#This Row],[L7N]]))))))))</f>
        <v>Electricity, CHP and heat plants (T)</v>
      </c>
      <c r="AT520" s="24" t="str">
        <f>IF(Transactions[[#This Row],[Level 1]]=Transactions[[#This Row],[Transaction name]],Transactions[[#This Row],[Transaction name]],IF(Transactions[[#This Row],[Level 1]]=Transactions[[#This Row],[L1N]],Transactions[[#This Row],[Transaction name]],IF(Transactions[[#This Row],[Level 1]]=Transactions[[#This Row],[L2N]],Transactions[[#This Row],[L1N]],IF(Transactions[[#This Row],[Level 1]]=Transactions[[#This Row],[L3N]],Transactions[[#This Row],[L2N]],IF(Transactions[[#This Row],[Level 1]]=Transactions[[#This Row],[L4N]],Transactions[[#This Row],[L3N]],IF(Transactions[[#This Row],[Level 1]]=Transactions[[#This Row],[L5N]],Transactions[[#This Row],[L4N]],IF(Transactions[[#This Row],[Level 1]]=Transactions[[#This Row],[L6N]],Transactions[[#This Row],[L5N]],IF(Transactions[[#This Row],[Level 1]]=Transactions[[#This Row],[L7N]],Transactions[[#This Row],[L6N]],Transactions[[#This Row],[L7N]]))))))))</f>
        <v>Heat plants</v>
      </c>
      <c r="AU520" s="24" t="str">
        <f>IF(Transactions[[#This Row],[Level 2]]=Transactions[[#This Row],[Transaction name]],Transactions[[#This Row],[Transaction name]],IF(Transactions[[#This Row],[Level 2]]=Transactions[[#This Row],[L1N]],Transactions[[#This Row],[Transaction name]],IF(Transactions[[#This Row],[Level 2]]=Transactions[[#This Row],[L2N]],Transactions[[#This Row],[L1N]],IF(Transactions[[#This Row],[Level 2]]=Transactions[[#This Row],[L3N]],Transactions[[#This Row],[L2N]],IF(Transactions[[#This Row],[Level 2]]=Transactions[[#This Row],[L4N]],Transactions[[#This Row],[L3N]],IF(Transactions[[#This Row],[Level 2]]=Transactions[[#This Row],[L5N]],Transactions[[#This Row],[L4N]],IF(Transactions[[#This Row],[Level 2]]=Transactions[[#This Row],[L6N]],Transactions[[#This Row],[L5N]],IF(Transactions[[#This Row],[Level 2]]=Transactions[[#This Row],[L7N]],Transactions[[#This Row],[L6N]],Transactions[[#This Row],[L7N]]))))))))</f>
        <v>Heat plants - solid coal products</v>
      </c>
      <c r="AV520" s="24" t="str">
        <f>IF(Transactions[[#This Row],[Level 3]]=Transactions[[#This Row],[Transaction name]],Transactions[[#This Row],[Transaction name]],IF(Transactions[[#This Row],[Level 3]]=Transactions[[#This Row],[L1N]],Transactions[[#This Row],[Transaction name]],IF(Transactions[[#This Row],[Level 3]]=Transactions[[#This Row],[L2N]],Transactions[[#This Row],[L1N]],IF(Transactions[[#This Row],[Level 3]]=Transactions[[#This Row],[L3N]],Transactions[[#This Row],[L2N]],IF(Transactions[[#This Row],[Level 3]]=Transactions[[#This Row],[L4N]],Transactions[[#This Row],[L3N]],IF(Transactions[[#This Row],[Level 3]]=Transactions[[#This Row],[L5N]],Transactions[[#This Row],[L4N]],IF(Transactions[[#This Row],[Level 3]]=Transactions[[#This Row],[L6N]],Transactions[[#This Row],[L5N]],IF(Transactions[[#This Row],[Level 3]]=Transactions[[#This Row],[L7N]],Transactions[[#This Row],[L6N]],Transactions[[#This Row],[L7N]]))))))))</f>
        <v>Heat plants - Autoproducer - solid coal products</v>
      </c>
      <c r="AW520" s="24" t="str">
        <f>IF(Transactions[[#This Row],[Level 4]]=Transactions[[#This Row],[Transaction name]],Transactions[[#This Row],[Transaction name]],IF(Transactions[[#This Row],[Level 4]]=Transactions[[#This Row],[L1N]],Transactions[[#This Row],[Transaction name]],IF(Transactions[[#This Row],[Level 4]]=Transactions[[#This Row],[L2N]],Transactions[[#This Row],[L1N]],IF(Transactions[[#This Row],[Level 4]]=Transactions[[#This Row],[L3N]],Transactions[[#This Row],[L2N]],IF(Transactions[[#This Row],[Level 4]]=Transactions[[#This Row],[L4N]],Transactions[[#This Row],[L3N]],IF(Transactions[[#This Row],[Level 4]]=Transactions[[#This Row],[L5N]],Transactions[[#This Row],[L4N]],IF(Transactions[[#This Row],[Level 4]]=Transactions[[#This Row],[L6N]],Transactions[[#This Row],[L5N]],IF(Transactions[[#This Row],[Level 4]]=Transactions[[#This Row],[L7N]],Transactions[[#This Row],[L6N]],Transactions[[#This Row],[L7N]]))))))))</f>
        <v>Heat plants - Autoproducer - solid coal products</v>
      </c>
      <c r="AX520" s="24" t="str">
        <f>IF(Transactions[[#This Row],[Level 5]]=Transactions[[#This Row],[Transaction name]],Transactions[[#This Row],[Transaction name]],IF(Transactions[[#This Row],[Level 5]]=Transactions[[#This Row],[L1N]],Transactions[[#This Row],[Transaction name]],IF(Transactions[[#This Row],[Level 5]]=Transactions[[#This Row],[L2N]],Transactions[[#This Row],[L1N]],IF(Transactions[[#This Row],[Level 5]]=Transactions[[#This Row],[L3N]],Transactions[[#This Row],[L2N]],IF(Transactions[[#This Row],[Level 5]]=Transactions[[#This Row],[L4N]],Transactions[[#This Row],[L3N]],IF(Transactions[[#This Row],[Level 5]]=Transactions[[#This Row],[L5N]],Transactions[[#This Row],[L4N]],IF(Transactions[[#This Row],[Level 5]]=Transactions[[#This Row],[L6N]],Transactions[[#This Row],[L5N]],IF(Transactions[[#This Row],[Level 5]]=Transactions[[#This Row],[L7N]],Transactions[[#This Row],[L6N]],Transactions[[#This Row],[L7N]]))))))))</f>
        <v>Heat plants - Autoproducer - solid coal products</v>
      </c>
      <c r="AY520" s="24" t="str">
        <f>IF(Transactions[[#This Row],[Level 6]]=Transactions[[#This Row],[Transaction name]],Transactions[[#This Row],[Transaction name]],IF(Transactions[[#This Row],[Level 6]]=Transactions[[#This Row],[L1N]],Transactions[[#This Row],[Transaction name]],IF(Transactions[[#This Row],[Level 6]]=Transactions[[#This Row],[L2N]],Transactions[[#This Row],[L1N]],IF(Transactions[[#This Row],[Level 6]]=Transactions[[#This Row],[L3N]],Transactions[[#This Row],[L2N]],IF(Transactions[[#This Row],[Level 6]]=Transactions[[#This Row],[L4N]],Transactions[[#This Row],[L3N]],IF(Transactions[[#This Row],[Level 6]]=Transactions[[#This Row],[L5N]],Transactions[[#This Row],[L4N]],IF(Transactions[[#This Row],[Level 6]]=Transactions[[#This Row],[L6N]],Transactions[[#This Row],[L5N]],IF(Transactions[[#This Row],[Level 6]]=Transactions[[#This Row],[L7N]],Transactions[[#This Row],[L6N]],Transactions[[#This Row],[L7N]]))))))))</f>
        <v>Heat plants - Autoproducer - solid coal products</v>
      </c>
    </row>
    <row r="521" spans="25:51" x14ac:dyDescent="0.45">
      <c r="Y521" s="5" t="s">
        <v>1272</v>
      </c>
      <c r="Z521" s="7" t="s">
        <v>1211</v>
      </c>
      <c r="AA521" s="4" t="s">
        <v>1397</v>
      </c>
      <c r="AB521" s="19" t="s">
        <v>1560</v>
      </c>
      <c r="AC521" s="24" t="str">
        <f>IFERROR(VLOOKUP(Transactions[[#This Row],[Parent code]],Transactions[[Transaction code]:[Transaction name]],2,0),"")</f>
        <v>Heat plants - solid coal products</v>
      </c>
      <c r="AD521" s="4" t="s">
        <v>189</v>
      </c>
      <c r="AE521" s="4" t="s">
        <v>924</v>
      </c>
      <c r="AF521" s="4" t="s">
        <v>642</v>
      </c>
      <c r="AG521" s="4" t="s">
        <v>1</v>
      </c>
      <c r="AH521" s="4" t="s">
        <v>696</v>
      </c>
      <c r="AI521" s="12" t="s">
        <v>1416</v>
      </c>
      <c r="AK521" s="24" t="str" cm="1">
        <f t="array" ref="AK521">IFERROR(INDEX(Transactions[[Transaction code]:[Transaction name]],_xlfn.XMATCH(Transactions[[#This Row],[Parent code]],Transactions[Transaction name],0),3),Transactions[[#This Row],[Transaction name]])</f>
        <v>Heat plants - Main activity - solid coal products</v>
      </c>
      <c r="AL521" s="24" t="str" cm="1">
        <f t="array" ref="AL521">IFERROR(INDEX(Transactions[[Transaction code]:[Transaction name]],_xlfn.XMATCH(INDEX(Transactions[[Transaction name]:[Parent code]],_xlfn.XMATCH(Transactions[[#This Row],[L1N]],Transactions[Transaction name],0),3),Transactions[Transaction code],0),2),Transactions[[#This Row],[L1N]])</f>
        <v>Heat plants - solid coal products</v>
      </c>
      <c r="AM521" s="24" t="str" cm="1">
        <f t="array" ref="AM521">IFERROR(INDEX(Transactions[[Transaction code]:[Transaction name]],_xlfn.XMATCH(INDEX(Transactions[[Transaction name]:[Parent code]],_xlfn.XMATCH(Transactions[[#This Row],[L2N]],Transactions[Transaction name],0),3),Transactions[Transaction code],0),2),Transactions[[#This Row],[L2N]])</f>
        <v>Heat plants</v>
      </c>
      <c r="AN521" s="24" t="str" cm="1">
        <f t="array" ref="AN521">IFERROR(INDEX(Transactions[[Transaction code]:[Transaction name]],_xlfn.XMATCH(INDEX(Transactions[[Transaction name]:[Parent code]],_xlfn.XMATCH(Transactions[[#This Row],[L3N]],Transactions[Transaction name],0),3),Transactions[Transaction code],0),2),Transactions[[#This Row],[L3N]])</f>
        <v>Electricity, CHP and heat plants (T)</v>
      </c>
      <c r="AO521" s="24" t="str" cm="1">
        <f t="array" ref="AO521">IFERROR(INDEX(Transactions[[Transaction code]:[Transaction name]],_xlfn.XMATCH(INDEX(Transactions[[Transaction name]:[Parent code]],_xlfn.XMATCH(Transactions[[#This Row],[L4N]],Transactions[Transaction name],0),3),Transactions[Transaction code],0),2),Transactions[[#This Row],[L4N]])</f>
        <v>Transformation</v>
      </c>
      <c r="AP521" s="24" t="str" cm="1">
        <f t="array" ref="AP521">IFERROR(INDEX(Transactions[[Transaction code]:[Transaction name]],_xlfn.XMATCH(INDEX(Transactions[[Transaction name]:[Parent code]],_xlfn.XMATCH(Transactions[[#This Row],[L5N]],Transactions[Transaction name],0),3),Transactions[Transaction code],0),2),Transactions[[#This Row],[L5N]])</f>
        <v>Transformation</v>
      </c>
      <c r="AQ521" s="24" t="str" cm="1">
        <f t="array" ref="AQ521">IFERROR(INDEX(Transactions[[Transaction code]:[Transaction name]],_xlfn.XMATCH(INDEX(Transactions[[Transaction name]:[Parent code]],_xlfn.XMATCH(Transactions[[#This Row],[L6N]],Transactions[Transaction name],0),3),Transactions[Transaction code],0),2),Transactions[[#This Row],[L6N]])</f>
        <v>Transformation</v>
      </c>
      <c r="AR521" s="28" t="str">
        <f>IF(Transactions[[#This Row],[L7N]]=Transactions[[#This Row],[L6N]],Transactions[[#This Row],[L7N]],IF(Transactions[[#This Row],[L6N]]=Transactions[[#This Row],[L5N]],Transactions[[#This Row],[L6N]],IF(Transactions[[#This Row],[L5N]]=Transactions[[#This Row],[L4N]],Transactions[[#This Row],[L5N]],IF(Transactions[[#This Row],[L4N]]=Transactions[[#This Row],[L3N]],Transactions[[#This Row],[L4N]],IF(Transactions[[#This Row],[L3N]]=Transactions[[#This Row],[L2N]],Transactions[[#This Row],[L3N]],IF(Transactions[[#This Row],[L2N]]=Transactions[[#This Row],[L1N]],Transactions[[#This Row],[L2N]],IF(Transactions[[#This Row],[L1N]]=Transactions[[#This Row],[Transaction name]],Transactions[[#This Row],[L1N]],Transactions[[#This Row],[Transaction name]])))))))</f>
        <v>Transformation</v>
      </c>
      <c r="AS521" s="24" t="str">
        <f>IF(Transactions[[#This Row],[Level 0]]=Transactions[[#This Row],[Transaction name]],Transactions[[#This Row],[Transaction name]],IF(Transactions[[#This Row],[Level 0]]=Transactions[[#This Row],[L1N]],Transactions[[#This Row],[Transaction name]],IF(Transactions[[#This Row],[Level 0]]=Transactions[[#This Row],[L2N]],Transactions[[#This Row],[L1N]],IF(Transactions[[#This Row],[Level 0]]=Transactions[[#This Row],[L3N]],Transactions[[#This Row],[L2N]],IF(Transactions[[#This Row],[Level 0]]=Transactions[[#This Row],[L4N]],Transactions[[#This Row],[L3N]],IF(Transactions[[#This Row],[Level 0]]=Transactions[[#This Row],[L5N]],Transactions[[#This Row],[L4N]],IF(Transactions[[#This Row],[Level 0]]=Transactions[[#This Row],[L6N]],Transactions[[#This Row],[L5N]],IF(Transactions[[#This Row],[Level 0]]=Transactions[[#This Row],[L7N]],Transactions[[#This Row],[L6N]],Transactions[[#This Row],[L7N]]))))))))</f>
        <v>Electricity, CHP and heat plants (T)</v>
      </c>
      <c r="AT521" s="24" t="str">
        <f>IF(Transactions[[#This Row],[Level 1]]=Transactions[[#This Row],[Transaction name]],Transactions[[#This Row],[Transaction name]],IF(Transactions[[#This Row],[Level 1]]=Transactions[[#This Row],[L1N]],Transactions[[#This Row],[Transaction name]],IF(Transactions[[#This Row],[Level 1]]=Transactions[[#This Row],[L2N]],Transactions[[#This Row],[L1N]],IF(Transactions[[#This Row],[Level 1]]=Transactions[[#This Row],[L3N]],Transactions[[#This Row],[L2N]],IF(Transactions[[#This Row],[Level 1]]=Transactions[[#This Row],[L4N]],Transactions[[#This Row],[L3N]],IF(Transactions[[#This Row],[Level 1]]=Transactions[[#This Row],[L5N]],Transactions[[#This Row],[L4N]],IF(Transactions[[#This Row],[Level 1]]=Transactions[[#This Row],[L6N]],Transactions[[#This Row],[L5N]],IF(Transactions[[#This Row],[Level 1]]=Transactions[[#This Row],[L7N]],Transactions[[#This Row],[L6N]],Transactions[[#This Row],[L7N]]))))))))</f>
        <v>Heat plants</v>
      </c>
      <c r="AU521" s="24" t="str">
        <f>IF(Transactions[[#This Row],[Level 2]]=Transactions[[#This Row],[Transaction name]],Transactions[[#This Row],[Transaction name]],IF(Transactions[[#This Row],[Level 2]]=Transactions[[#This Row],[L1N]],Transactions[[#This Row],[Transaction name]],IF(Transactions[[#This Row],[Level 2]]=Transactions[[#This Row],[L2N]],Transactions[[#This Row],[L1N]],IF(Transactions[[#This Row],[Level 2]]=Transactions[[#This Row],[L3N]],Transactions[[#This Row],[L2N]],IF(Transactions[[#This Row],[Level 2]]=Transactions[[#This Row],[L4N]],Transactions[[#This Row],[L3N]],IF(Transactions[[#This Row],[Level 2]]=Transactions[[#This Row],[L5N]],Transactions[[#This Row],[L4N]],IF(Transactions[[#This Row],[Level 2]]=Transactions[[#This Row],[L6N]],Transactions[[#This Row],[L5N]],IF(Transactions[[#This Row],[Level 2]]=Transactions[[#This Row],[L7N]],Transactions[[#This Row],[L6N]],Transactions[[#This Row],[L7N]]))))))))</f>
        <v>Heat plants - solid coal products</v>
      </c>
      <c r="AV521" s="24" t="str">
        <f>IF(Transactions[[#This Row],[Level 3]]=Transactions[[#This Row],[Transaction name]],Transactions[[#This Row],[Transaction name]],IF(Transactions[[#This Row],[Level 3]]=Transactions[[#This Row],[L1N]],Transactions[[#This Row],[Transaction name]],IF(Transactions[[#This Row],[Level 3]]=Transactions[[#This Row],[L2N]],Transactions[[#This Row],[L1N]],IF(Transactions[[#This Row],[Level 3]]=Transactions[[#This Row],[L3N]],Transactions[[#This Row],[L2N]],IF(Transactions[[#This Row],[Level 3]]=Transactions[[#This Row],[L4N]],Transactions[[#This Row],[L3N]],IF(Transactions[[#This Row],[Level 3]]=Transactions[[#This Row],[L5N]],Transactions[[#This Row],[L4N]],IF(Transactions[[#This Row],[Level 3]]=Transactions[[#This Row],[L6N]],Transactions[[#This Row],[L5N]],IF(Transactions[[#This Row],[Level 3]]=Transactions[[#This Row],[L7N]],Transactions[[#This Row],[L6N]],Transactions[[#This Row],[L7N]]))))))))</f>
        <v>Heat plants - Main activity - solid coal products</v>
      </c>
      <c r="AW521" s="24" t="str">
        <f>IF(Transactions[[#This Row],[Level 4]]=Transactions[[#This Row],[Transaction name]],Transactions[[#This Row],[Transaction name]],IF(Transactions[[#This Row],[Level 4]]=Transactions[[#This Row],[L1N]],Transactions[[#This Row],[Transaction name]],IF(Transactions[[#This Row],[Level 4]]=Transactions[[#This Row],[L2N]],Transactions[[#This Row],[L1N]],IF(Transactions[[#This Row],[Level 4]]=Transactions[[#This Row],[L3N]],Transactions[[#This Row],[L2N]],IF(Transactions[[#This Row],[Level 4]]=Transactions[[#This Row],[L4N]],Transactions[[#This Row],[L3N]],IF(Transactions[[#This Row],[Level 4]]=Transactions[[#This Row],[L5N]],Transactions[[#This Row],[L4N]],IF(Transactions[[#This Row],[Level 4]]=Transactions[[#This Row],[L6N]],Transactions[[#This Row],[L5N]],IF(Transactions[[#This Row],[Level 4]]=Transactions[[#This Row],[L7N]],Transactions[[#This Row],[L6N]],Transactions[[#This Row],[L7N]]))))))))</f>
        <v>Heat plants - Main activity - solid coal products</v>
      </c>
      <c r="AX521" s="24" t="str">
        <f>IF(Transactions[[#This Row],[Level 5]]=Transactions[[#This Row],[Transaction name]],Transactions[[#This Row],[Transaction name]],IF(Transactions[[#This Row],[Level 5]]=Transactions[[#This Row],[L1N]],Transactions[[#This Row],[Transaction name]],IF(Transactions[[#This Row],[Level 5]]=Transactions[[#This Row],[L2N]],Transactions[[#This Row],[L1N]],IF(Transactions[[#This Row],[Level 5]]=Transactions[[#This Row],[L3N]],Transactions[[#This Row],[L2N]],IF(Transactions[[#This Row],[Level 5]]=Transactions[[#This Row],[L4N]],Transactions[[#This Row],[L3N]],IF(Transactions[[#This Row],[Level 5]]=Transactions[[#This Row],[L5N]],Transactions[[#This Row],[L4N]],IF(Transactions[[#This Row],[Level 5]]=Transactions[[#This Row],[L6N]],Transactions[[#This Row],[L5N]],IF(Transactions[[#This Row],[Level 5]]=Transactions[[#This Row],[L7N]],Transactions[[#This Row],[L6N]],Transactions[[#This Row],[L7N]]))))))))</f>
        <v>Heat plants - Main activity - solid coal products</v>
      </c>
      <c r="AY521" s="24" t="str">
        <f>IF(Transactions[[#This Row],[Level 6]]=Transactions[[#This Row],[Transaction name]],Transactions[[#This Row],[Transaction name]],IF(Transactions[[#This Row],[Level 6]]=Transactions[[#This Row],[L1N]],Transactions[[#This Row],[Transaction name]],IF(Transactions[[#This Row],[Level 6]]=Transactions[[#This Row],[L2N]],Transactions[[#This Row],[L1N]],IF(Transactions[[#This Row],[Level 6]]=Transactions[[#This Row],[L3N]],Transactions[[#This Row],[L2N]],IF(Transactions[[#This Row],[Level 6]]=Transactions[[#This Row],[L4N]],Transactions[[#This Row],[L3N]],IF(Transactions[[#This Row],[Level 6]]=Transactions[[#This Row],[L5N]],Transactions[[#This Row],[L4N]],IF(Transactions[[#This Row],[Level 6]]=Transactions[[#This Row],[L6N]],Transactions[[#This Row],[L5N]],IF(Transactions[[#This Row],[Level 6]]=Transactions[[#This Row],[L7N]],Transactions[[#This Row],[L6N]],Transactions[[#This Row],[L7N]]))))))))</f>
        <v>Heat plants - Main activity - solid coal products</v>
      </c>
    </row>
    <row r="522" spans="25:51" x14ac:dyDescent="0.45">
      <c r="Y522" s="19" t="s">
        <v>1560</v>
      </c>
      <c r="Z522" s="18" t="s">
        <v>1397</v>
      </c>
      <c r="AA522" s="18" t="s">
        <v>1397</v>
      </c>
      <c r="AB522" s="19" t="s">
        <v>1574</v>
      </c>
      <c r="AC522" s="26" t="str">
        <f>IFERROR(VLOOKUP(Transactions[[#This Row],[Parent code]],Transactions[[Transaction code]:[Transaction name]],2,0),"")</f>
        <v>Heat plants</v>
      </c>
      <c r="AD522" s="18" t="s">
        <v>189</v>
      </c>
      <c r="AE522" s="18" t="s">
        <v>924</v>
      </c>
      <c r="AF522" s="18" t="s">
        <v>642</v>
      </c>
      <c r="AG522" s="18" t="s">
        <v>1</v>
      </c>
      <c r="AH522" s="18" t="s">
        <v>696</v>
      </c>
      <c r="AI522" s="18" t="s">
        <v>1416</v>
      </c>
      <c r="AJ522" s="18"/>
      <c r="AK522" s="26" t="str" cm="1">
        <f t="array" ref="AK522">IFERROR(INDEX(Transactions[[Transaction code]:[Transaction name]],_xlfn.XMATCH(Transactions[[#This Row],[Parent code]],Transactions[Transaction name],0),3),Transactions[[#This Row],[Transaction name]])</f>
        <v>Heat plants - solid coal products</v>
      </c>
      <c r="AL522" s="26" t="str" cm="1">
        <f t="array" ref="AL522">IFERROR(INDEX(Transactions[[Transaction code]:[Transaction name]],_xlfn.XMATCH(INDEX(Transactions[[Transaction name]:[Parent code]],_xlfn.XMATCH(Transactions[[#This Row],[L1N]],Transactions[Transaction name],0),3),Transactions[Transaction code],0),2),Transactions[[#This Row],[L1N]])</f>
        <v>Heat plants</v>
      </c>
      <c r="AM522" s="26" t="str" cm="1">
        <f t="array" ref="AM522">IFERROR(INDEX(Transactions[[Transaction code]:[Transaction name]],_xlfn.XMATCH(INDEX(Transactions[[Transaction name]:[Parent code]],_xlfn.XMATCH(Transactions[[#This Row],[L2N]],Transactions[Transaction name],0),3),Transactions[Transaction code],0),2),Transactions[[#This Row],[L2N]])</f>
        <v>Electricity, CHP and heat plants (T)</v>
      </c>
      <c r="AN522" s="26" t="str" cm="1">
        <f t="array" ref="AN522">IFERROR(INDEX(Transactions[[Transaction code]:[Transaction name]],_xlfn.XMATCH(INDEX(Transactions[[Transaction name]:[Parent code]],_xlfn.XMATCH(Transactions[[#This Row],[L3N]],Transactions[Transaction name],0),3),Transactions[Transaction code],0),2),Transactions[[#This Row],[L3N]])</f>
        <v>Transformation</v>
      </c>
      <c r="AO522" s="26" t="str" cm="1">
        <f t="array" ref="AO522">IFERROR(INDEX(Transactions[[Transaction code]:[Transaction name]],_xlfn.XMATCH(INDEX(Transactions[[Transaction name]:[Parent code]],_xlfn.XMATCH(Transactions[[#This Row],[L4N]],Transactions[Transaction name],0),3),Transactions[Transaction code],0),2),Transactions[[#This Row],[L4N]])</f>
        <v>Transformation</v>
      </c>
      <c r="AP522" s="26" t="str" cm="1">
        <f t="array" ref="AP522">IFERROR(INDEX(Transactions[[Transaction code]:[Transaction name]],_xlfn.XMATCH(INDEX(Transactions[[Transaction name]:[Parent code]],_xlfn.XMATCH(Transactions[[#This Row],[L5N]],Transactions[Transaction name],0),3),Transactions[Transaction code],0),2),Transactions[[#This Row],[L5N]])</f>
        <v>Transformation</v>
      </c>
      <c r="AQ522" s="26" t="str" cm="1">
        <f t="array" ref="AQ522">IFERROR(INDEX(Transactions[[Transaction code]:[Transaction name]],_xlfn.XMATCH(INDEX(Transactions[[Transaction name]:[Parent code]],_xlfn.XMATCH(Transactions[[#This Row],[L6N]],Transactions[Transaction name],0),3),Transactions[Transaction code],0),2),Transactions[[#This Row],[L6N]])</f>
        <v>Transformation</v>
      </c>
      <c r="AR522" s="29" t="str">
        <f>IF(Transactions[[#This Row],[L7N]]=Transactions[[#This Row],[L6N]],Transactions[[#This Row],[L7N]],IF(Transactions[[#This Row],[L6N]]=Transactions[[#This Row],[L5N]],Transactions[[#This Row],[L6N]],IF(Transactions[[#This Row],[L5N]]=Transactions[[#This Row],[L4N]],Transactions[[#This Row],[L5N]],IF(Transactions[[#This Row],[L4N]]=Transactions[[#This Row],[L3N]],Transactions[[#This Row],[L4N]],IF(Transactions[[#This Row],[L3N]]=Transactions[[#This Row],[L2N]],Transactions[[#This Row],[L3N]],IF(Transactions[[#This Row],[L2N]]=Transactions[[#This Row],[L1N]],Transactions[[#This Row],[L2N]],IF(Transactions[[#This Row],[L1N]]=Transactions[[#This Row],[Transaction name]],Transactions[[#This Row],[L1N]],Transactions[[#This Row],[Transaction name]])))))))</f>
        <v>Transformation</v>
      </c>
      <c r="AS522" s="26" t="str">
        <f>IF(Transactions[[#This Row],[Level 0]]=Transactions[[#This Row],[Transaction name]],Transactions[[#This Row],[Transaction name]],IF(Transactions[[#This Row],[Level 0]]=Transactions[[#This Row],[L1N]],Transactions[[#This Row],[Transaction name]],IF(Transactions[[#This Row],[Level 0]]=Transactions[[#This Row],[L2N]],Transactions[[#This Row],[L1N]],IF(Transactions[[#This Row],[Level 0]]=Transactions[[#This Row],[L3N]],Transactions[[#This Row],[L2N]],IF(Transactions[[#This Row],[Level 0]]=Transactions[[#This Row],[L4N]],Transactions[[#This Row],[L3N]],IF(Transactions[[#This Row],[Level 0]]=Transactions[[#This Row],[L5N]],Transactions[[#This Row],[L4N]],IF(Transactions[[#This Row],[Level 0]]=Transactions[[#This Row],[L6N]],Transactions[[#This Row],[L5N]],IF(Transactions[[#This Row],[Level 0]]=Transactions[[#This Row],[L7N]],Transactions[[#This Row],[L6N]],Transactions[[#This Row],[L7N]]))))))))</f>
        <v>Electricity, CHP and heat plants (T)</v>
      </c>
      <c r="AT522" s="26" t="str">
        <f>IF(Transactions[[#This Row],[Level 1]]=Transactions[[#This Row],[Transaction name]],Transactions[[#This Row],[Transaction name]],IF(Transactions[[#This Row],[Level 1]]=Transactions[[#This Row],[L1N]],Transactions[[#This Row],[Transaction name]],IF(Transactions[[#This Row],[Level 1]]=Transactions[[#This Row],[L2N]],Transactions[[#This Row],[L1N]],IF(Transactions[[#This Row],[Level 1]]=Transactions[[#This Row],[L3N]],Transactions[[#This Row],[L2N]],IF(Transactions[[#This Row],[Level 1]]=Transactions[[#This Row],[L4N]],Transactions[[#This Row],[L3N]],IF(Transactions[[#This Row],[Level 1]]=Transactions[[#This Row],[L5N]],Transactions[[#This Row],[L4N]],IF(Transactions[[#This Row],[Level 1]]=Transactions[[#This Row],[L6N]],Transactions[[#This Row],[L5N]],IF(Transactions[[#This Row],[Level 1]]=Transactions[[#This Row],[L7N]],Transactions[[#This Row],[L6N]],Transactions[[#This Row],[L7N]]))))))))</f>
        <v>Heat plants</v>
      </c>
      <c r="AU522" s="26" t="str">
        <f>IF(Transactions[[#This Row],[Level 2]]=Transactions[[#This Row],[Transaction name]],Transactions[[#This Row],[Transaction name]],IF(Transactions[[#This Row],[Level 2]]=Transactions[[#This Row],[L1N]],Transactions[[#This Row],[Transaction name]],IF(Transactions[[#This Row],[Level 2]]=Transactions[[#This Row],[L2N]],Transactions[[#This Row],[L1N]],IF(Transactions[[#This Row],[Level 2]]=Transactions[[#This Row],[L3N]],Transactions[[#This Row],[L2N]],IF(Transactions[[#This Row],[Level 2]]=Transactions[[#This Row],[L4N]],Transactions[[#This Row],[L3N]],IF(Transactions[[#This Row],[Level 2]]=Transactions[[#This Row],[L5N]],Transactions[[#This Row],[L4N]],IF(Transactions[[#This Row],[Level 2]]=Transactions[[#This Row],[L6N]],Transactions[[#This Row],[L5N]],IF(Transactions[[#This Row],[Level 2]]=Transactions[[#This Row],[L7N]],Transactions[[#This Row],[L6N]],Transactions[[#This Row],[L7N]]))))))))</f>
        <v>Heat plants - solid coal products</v>
      </c>
      <c r="AV522" s="26" t="str">
        <f>IF(Transactions[[#This Row],[Level 3]]=Transactions[[#This Row],[Transaction name]],Transactions[[#This Row],[Transaction name]],IF(Transactions[[#This Row],[Level 3]]=Transactions[[#This Row],[L1N]],Transactions[[#This Row],[Transaction name]],IF(Transactions[[#This Row],[Level 3]]=Transactions[[#This Row],[L2N]],Transactions[[#This Row],[L1N]],IF(Transactions[[#This Row],[Level 3]]=Transactions[[#This Row],[L3N]],Transactions[[#This Row],[L2N]],IF(Transactions[[#This Row],[Level 3]]=Transactions[[#This Row],[L4N]],Transactions[[#This Row],[L3N]],IF(Transactions[[#This Row],[Level 3]]=Transactions[[#This Row],[L5N]],Transactions[[#This Row],[L4N]],IF(Transactions[[#This Row],[Level 3]]=Transactions[[#This Row],[L6N]],Transactions[[#This Row],[L5N]],IF(Transactions[[#This Row],[Level 3]]=Transactions[[#This Row],[L7N]],Transactions[[#This Row],[L6N]],Transactions[[#This Row],[L7N]]))))))))</f>
        <v>Heat plants - solid coal products</v>
      </c>
      <c r="AW522" s="26" t="str">
        <f>IF(Transactions[[#This Row],[Level 4]]=Transactions[[#This Row],[Transaction name]],Transactions[[#This Row],[Transaction name]],IF(Transactions[[#This Row],[Level 4]]=Transactions[[#This Row],[L1N]],Transactions[[#This Row],[Transaction name]],IF(Transactions[[#This Row],[Level 4]]=Transactions[[#This Row],[L2N]],Transactions[[#This Row],[L1N]],IF(Transactions[[#This Row],[Level 4]]=Transactions[[#This Row],[L3N]],Transactions[[#This Row],[L2N]],IF(Transactions[[#This Row],[Level 4]]=Transactions[[#This Row],[L4N]],Transactions[[#This Row],[L3N]],IF(Transactions[[#This Row],[Level 4]]=Transactions[[#This Row],[L5N]],Transactions[[#This Row],[L4N]],IF(Transactions[[#This Row],[Level 4]]=Transactions[[#This Row],[L6N]],Transactions[[#This Row],[L5N]],IF(Transactions[[#This Row],[Level 4]]=Transactions[[#This Row],[L7N]],Transactions[[#This Row],[L6N]],Transactions[[#This Row],[L7N]]))))))))</f>
        <v>Heat plants - solid coal products</v>
      </c>
      <c r="AX522" s="26" t="str">
        <f>IF(Transactions[[#This Row],[Level 5]]=Transactions[[#This Row],[Transaction name]],Transactions[[#This Row],[Transaction name]],IF(Transactions[[#This Row],[Level 5]]=Transactions[[#This Row],[L1N]],Transactions[[#This Row],[Transaction name]],IF(Transactions[[#This Row],[Level 5]]=Transactions[[#This Row],[L2N]],Transactions[[#This Row],[L1N]],IF(Transactions[[#This Row],[Level 5]]=Transactions[[#This Row],[L3N]],Transactions[[#This Row],[L2N]],IF(Transactions[[#This Row],[Level 5]]=Transactions[[#This Row],[L4N]],Transactions[[#This Row],[L3N]],IF(Transactions[[#This Row],[Level 5]]=Transactions[[#This Row],[L5N]],Transactions[[#This Row],[L4N]],IF(Transactions[[#This Row],[Level 5]]=Transactions[[#This Row],[L6N]],Transactions[[#This Row],[L5N]],IF(Transactions[[#This Row],[Level 5]]=Transactions[[#This Row],[L7N]],Transactions[[#This Row],[L6N]],Transactions[[#This Row],[L7N]]))))))))</f>
        <v>Heat plants - solid coal products</v>
      </c>
      <c r="AY522" s="26" t="str">
        <f>IF(Transactions[[#This Row],[Level 6]]=Transactions[[#This Row],[Transaction name]],Transactions[[#This Row],[Transaction name]],IF(Transactions[[#This Row],[Level 6]]=Transactions[[#This Row],[L1N]],Transactions[[#This Row],[Transaction name]],IF(Transactions[[#This Row],[Level 6]]=Transactions[[#This Row],[L2N]],Transactions[[#This Row],[L1N]],IF(Transactions[[#This Row],[Level 6]]=Transactions[[#This Row],[L3N]],Transactions[[#This Row],[L2N]],IF(Transactions[[#This Row],[Level 6]]=Transactions[[#This Row],[L4N]],Transactions[[#This Row],[L3N]],IF(Transactions[[#This Row],[Level 6]]=Transactions[[#This Row],[L5N]],Transactions[[#This Row],[L4N]],IF(Transactions[[#This Row],[Level 6]]=Transactions[[#This Row],[L6N]],Transactions[[#This Row],[L5N]],IF(Transactions[[#This Row],[Level 6]]=Transactions[[#This Row],[L7N]],Transactions[[#This Row],[L6N]],Transactions[[#This Row],[L7N]]))))))))</f>
        <v>Heat plants - solid coal products</v>
      </c>
    </row>
    <row r="523" spans="25:51" x14ac:dyDescent="0.45">
      <c r="Y523" s="5" t="s">
        <v>1112</v>
      </c>
      <c r="Z523" s="7" t="s">
        <v>1120</v>
      </c>
      <c r="AA523" s="4" t="s">
        <v>1361</v>
      </c>
      <c r="AB523" s="19" t="s">
        <v>1577</v>
      </c>
      <c r="AC523" s="24" t="str">
        <f>IFERROR(VLOOKUP(Transactions[[#This Row],[Parent code]],Transactions[[Transaction code]:[Transaction name]],2,0),"")</f>
        <v>Heat plants - wood</v>
      </c>
      <c r="AD523" s="4" t="s">
        <v>189</v>
      </c>
      <c r="AE523" s="4" t="s">
        <v>924</v>
      </c>
      <c r="AF523" s="4" t="s">
        <v>642</v>
      </c>
      <c r="AG523" s="4" t="s">
        <v>1</v>
      </c>
      <c r="AH523" s="4" t="s">
        <v>696</v>
      </c>
      <c r="AI523" s="12" t="s">
        <v>1416</v>
      </c>
      <c r="AK523" s="24" t="str" cm="1">
        <f t="array" ref="AK523">IFERROR(INDEX(Transactions[[Transaction code]:[Transaction name]],_xlfn.XMATCH(Transactions[[#This Row],[Parent code]],Transactions[Transaction name],0),3),Transactions[[#This Row],[Transaction name]])</f>
        <v>Heat plants - Autoproducer - wood</v>
      </c>
      <c r="AL523" s="24" t="str" cm="1">
        <f t="array" ref="AL523">IFERROR(INDEX(Transactions[[Transaction code]:[Transaction name]],_xlfn.XMATCH(INDEX(Transactions[[Transaction name]:[Parent code]],_xlfn.XMATCH(Transactions[[#This Row],[L1N]],Transactions[Transaction name],0),3),Transactions[Transaction code],0),2),Transactions[[#This Row],[L1N]])</f>
        <v>Heat plants - wood</v>
      </c>
      <c r="AM523" s="24" t="str" cm="1">
        <f t="array" ref="AM523">IFERROR(INDEX(Transactions[[Transaction code]:[Transaction name]],_xlfn.XMATCH(INDEX(Transactions[[Transaction name]:[Parent code]],_xlfn.XMATCH(Transactions[[#This Row],[L2N]],Transactions[Transaction name],0),3),Transactions[Transaction code],0),2),Transactions[[#This Row],[L2N]])</f>
        <v>Heat plants</v>
      </c>
      <c r="AN523" s="24" t="str" cm="1">
        <f t="array" ref="AN523">IFERROR(INDEX(Transactions[[Transaction code]:[Transaction name]],_xlfn.XMATCH(INDEX(Transactions[[Transaction name]:[Parent code]],_xlfn.XMATCH(Transactions[[#This Row],[L3N]],Transactions[Transaction name],0),3),Transactions[Transaction code],0),2),Transactions[[#This Row],[L3N]])</f>
        <v>Electricity, CHP and heat plants (T)</v>
      </c>
      <c r="AO523" s="24" t="str" cm="1">
        <f t="array" ref="AO523">IFERROR(INDEX(Transactions[[Transaction code]:[Transaction name]],_xlfn.XMATCH(INDEX(Transactions[[Transaction name]:[Parent code]],_xlfn.XMATCH(Transactions[[#This Row],[L4N]],Transactions[Transaction name],0),3),Transactions[Transaction code],0),2),Transactions[[#This Row],[L4N]])</f>
        <v>Transformation</v>
      </c>
      <c r="AP523" s="24" t="str" cm="1">
        <f t="array" ref="AP523">IFERROR(INDEX(Transactions[[Transaction code]:[Transaction name]],_xlfn.XMATCH(INDEX(Transactions[[Transaction name]:[Parent code]],_xlfn.XMATCH(Transactions[[#This Row],[L5N]],Transactions[Transaction name],0),3),Transactions[Transaction code],0),2),Transactions[[#This Row],[L5N]])</f>
        <v>Transformation</v>
      </c>
      <c r="AQ523" s="24" t="str" cm="1">
        <f t="array" ref="AQ523">IFERROR(INDEX(Transactions[[Transaction code]:[Transaction name]],_xlfn.XMATCH(INDEX(Transactions[[Transaction name]:[Parent code]],_xlfn.XMATCH(Transactions[[#This Row],[L6N]],Transactions[Transaction name],0),3),Transactions[Transaction code],0),2),Transactions[[#This Row],[L6N]])</f>
        <v>Transformation</v>
      </c>
      <c r="AR523" s="28" t="str">
        <f>IF(Transactions[[#This Row],[L7N]]=Transactions[[#This Row],[L6N]],Transactions[[#This Row],[L7N]],IF(Transactions[[#This Row],[L6N]]=Transactions[[#This Row],[L5N]],Transactions[[#This Row],[L6N]],IF(Transactions[[#This Row],[L5N]]=Transactions[[#This Row],[L4N]],Transactions[[#This Row],[L5N]],IF(Transactions[[#This Row],[L4N]]=Transactions[[#This Row],[L3N]],Transactions[[#This Row],[L4N]],IF(Transactions[[#This Row],[L3N]]=Transactions[[#This Row],[L2N]],Transactions[[#This Row],[L3N]],IF(Transactions[[#This Row],[L2N]]=Transactions[[#This Row],[L1N]],Transactions[[#This Row],[L2N]],IF(Transactions[[#This Row],[L1N]]=Transactions[[#This Row],[Transaction name]],Transactions[[#This Row],[L1N]],Transactions[[#This Row],[Transaction name]])))))))</f>
        <v>Transformation</v>
      </c>
      <c r="AS523" s="24" t="str">
        <f>IF(Transactions[[#This Row],[Level 0]]=Transactions[[#This Row],[Transaction name]],Transactions[[#This Row],[Transaction name]],IF(Transactions[[#This Row],[Level 0]]=Transactions[[#This Row],[L1N]],Transactions[[#This Row],[Transaction name]],IF(Transactions[[#This Row],[Level 0]]=Transactions[[#This Row],[L2N]],Transactions[[#This Row],[L1N]],IF(Transactions[[#This Row],[Level 0]]=Transactions[[#This Row],[L3N]],Transactions[[#This Row],[L2N]],IF(Transactions[[#This Row],[Level 0]]=Transactions[[#This Row],[L4N]],Transactions[[#This Row],[L3N]],IF(Transactions[[#This Row],[Level 0]]=Transactions[[#This Row],[L5N]],Transactions[[#This Row],[L4N]],IF(Transactions[[#This Row],[Level 0]]=Transactions[[#This Row],[L6N]],Transactions[[#This Row],[L5N]],IF(Transactions[[#This Row],[Level 0]]=Transactions[[#This Row],[L7N]],Transactions[[#This Row],[L6N]],Transactions[[#This Row],[L7N]]))))))))</f>
        <v>Electricity, CHP and heat plants (T)</v>
      </c>
      <c r="AT523" s="24" t="str">
        <f>IF(Transactions[[#This Row],[Level 1]]=Transactions[[#This Row],[Transaction name]],Transactions[[#This Row],[Transaction name]],IF(Transactions[[#This Row],[Level 1]]=Transactions[[#This Row],[L1N]],Transactions[[#This Row],[Transaction name]],IF(Transactions[[#This Row],[Level 1]]=Transactions[[#This Row],[L2N]],Transactions[[#This Row],[L1N]],IF(Transactions[[#This Row],[Level 1]]=Transactions[[#This Row],[L3N]],Transactions[[#This Row],[L2N]],IF(Transactions[[#This Row],[Level 1]]=Transactions[[#This Row],[L4N]],Transactions[[#This Row],[L3N]],IF(Transactions[[#This Row],[Level 1]]=Transactions[[#This Row],[L5N]],Transactions[[#This Row],[L4N]],IF(Transactions[[#This Row],[Level 1]]=Transactions[[#This Row],[L6N]],Transactions[[#This Row],[L5N]],IF(Transactions[[#This Row],[Level 1]]=Transactions[[#This Row],[L7N]],Transactions[[#This Row],[L6N]],Transactions[[#This Row],[L7N]]))))))))</f>
        <v>Heat plants</v>
      </c>
      <c r="AU523" s="24" t="str">
        <f>IF(Transactions[[#This Row],[Level 2]]=Transactions[[#This Row],[Transaction name]],Transactions[[#This Row],[Transaction name]],IF(Transactions[[#This Row],[Level 2]]=Transactions[[#This Row],[L1N]],Transactions[[#This Row],[Transaction name]],IF(Transactions[[#This Row],[Level 2]]=Transactions[[#This Row],[L2N]],Transactions[[#This Row],[L1N]],IF(Transactions[[#This Row],[Level 2]]=Transactions[[#This Row],[L3N]],Transactions[[#This Row],[L2N]],IF(Transactions[[#This Row],[Level 2]]=Transactions[[#This Row],[L4N]],Transactions[[#This Row],[L3N]],IF(Transactions[[#This Row],[Level 2]]=Transactions[[#This Row],[L5N]],Transactions[[#This Row],[L4N]],IF(Transactions[[#This Row],[Level 2]]=Transactions[[#This Row],[L6N]],Transactions[[#This Row],[L5N]],IF(Transactions[[#This Row],[Level 2]]=Transactions[[#This Row],[L7N]],Transactions[[#This Row],[L6N]],Transactions[[#This Row],[L7N]]))))))))</f>
        <v>Heat plants - wood</v>
      </c>
      <c r="AV523" s="24" t="str">
        <f>IF(Transactions[[#This Row],[Level 3]]=Transactions[[#This Row],[Transaction name]],Transactions[[#This Row],[Transaction name]],IF(Transactions[[#This Row],[Level 3]]=Transactions[[#This Row],[L1N]],Transactions[[#This Row],[Transaction name]],IF(Transactions[[#This Row],[Level 3]]=Transactions[[#This Row],[L2N]],Transactions[[#This Row],[L1N]],IF(Transactions[[#This Row],[Level 3]]=Transactions[[#This Row],[L3N]],Transactions[[#This Row],[L2N]],IF(Transactions[[#This Row],[Level 3]]=Transactions[[#This Row],[L4N]],Transactions[[#This Row],[L3N]],IF(Transactions[[#This Row],[Level 3]]=Transactions[[#This Row],[L5N]],Transactions[[#This Row],[L4N]],IF(Transactions[[#This Row],[Level 3]]=Transactions[[#This Row],[L6N]],Transactions[[#This Row],[L5N]],IF(Transactions[[#This Row],[Level 3]]=Transactions[[#This Row],[L7N]],Transactions[[#This Row],[L6N]],Transactions[[#This Row],[L7N]]))))))))</f>
        <v>Heat plants - Autoproducer - wood</v>
      </c>
      <c r="AW523" s="24" t="str">
        <f>IF(Transactions[[#This Row],[Level 4]]=Transactions[[#This Row],[Transaction name]],Transactions[[#This Row],[Transaction name]],IF(Transactions[[#This Row],[Level 4]]=Transactions[[#This Row],[L1N]],Transactions[[#This Row],[Transaction name]],IF(Transactions[[#This Row],[Level 4]]=Transactions[[#This Row],[L2N]],Transactions[[#This Row],[L1N]],IF(Transactions[[#This Row],[Level 4]]=Transactions[[#This Row],[L3N]],Transactions[[#This Row],[L2N]],IF(Transactions[[#This Row],[Level 4]]=Transactions[[#This Row],[L4N]],Transactions[[#This Row],[L3N]],IF(Transactions[[#This Row],[Level 4]]=Transactions[[#This Row],[L5N]],Transactions[[#This Row],[L4N]],IF(Transactions[[#This Row],[Level 4]]=Transactions[[#This Row],[L6N]],Transactions[[#This Row],[L5N]],IF(Transactions[[#This Row],[Level 4]]=Transactions[[#This Row],[L7N]],Transactions[[#This Row],[L6N]],Transactions[[#This Row],[L7N]]))))))))</f>
        <v>Heat plants - Autoproducer - wood</v>
      </c>
      <c r="AX523" s="24" t="str">
        <f>IF(Transactions[[#This Row],[Level 5]]=Transactions[[#This Row],[Transaction name]],Transactions[[#This Row],[Transaction name]],IF(Transactions[[#This Row],[Level 5]]=Transactions[[#This Row],[L1N]],Transactions[[#This Row],[Transaction name]],IF(Transactions[[#This Row],[Level 5]]=Transactions[[#This Row],[L2N]],Transactions[[#This Row],[L1N]],IF(Transactions[[#This Row],[Level 5]]=Transactions[[#This Row],[L3N]],Transactions[[#This Row],[L2N]],IF(Transactions[[#This Row],[Level 5]]=Transactions[[#This Row],[L4N]],Transactions[[#This Row],[L3N]],IF(Transactions[[#This Row],[Level 5]]=Transactions[[#This Row],[L5N]],Transactions[[#This Row],[L4N]],IF(Transactions[[#This Row],[Level 5]]=Transactions[[#This Row],[L6N]],Transactions[[#This Row],[L5N]],IF(Transactions[[#This Row],[Level 5]]=Transactions[[#This Row],[L7N]],Transactions[[#This Row],[L6N]],Transactions[[#This Row],[L7N]]))))))))</f>
        <v>Heat plants - Autoproducer - wood</v>
      </c>
      <c r="AY523" s="24" t="str">
        <f>IF(Transactions[[#This Row],[Level 6]]=Transactions[[#This Row],[Transaction name]],Transactions[[#This Row],[Transaction name]],IF(Transactions[[#This Row],[Level 6]]=Transactions[[#This Row],[L1N]],Transactions[[#This Row],[Transaction name]],IF(Transactions[[#This Row],[Level 6]]=Transactions[[#This Row],[L2N]],Transactions[[#This Row],[L1N]],IF(Transactions[[#This Row],[Level 6]]=Transactions[[#This Row],[L3N]],Transactions[[#This Row],[L2N]],IF(Transactions[[#This Row],[Level 6]]=Transactions[[#This Row],[L4N]],Transactions[[#This Row],[L3N]],IF(Transactions[[#This Row],[Level 6]]=Transactions[[#This Row],[L5N]],Transactions[[#This Row],[L4N]],IF(Transactions[[#This Row],[Level 6]]=Transactions[[#This Row],[L6N]],Transactions[[#This Row],[L5N]],IF(Transactions[[#This Row],[Level 6]]=Transactions[[#This Row],[L7N]],Transactions[[#This Row],[L6N]],Transactions[[#This Row],[L7N]]))))))))</f>
        <v>Heat plants - Autoproducer - wood</v>
      </c>
    </row>
    <row r="524" spans="25:51" x14ac:dyDescent="0.45">
      <c r="Y524" s="5" t="s">
        <v>1108</v>
      </c>
      <c r="Z524" s="7" t="s">
        <v>1116</v>
      </c>
      <c r="AA524" s="4" t="s">
        <v>1361</v>
      </c>
      <c r="AB524" s="19" t="s">
        <v>1577</v>
      </c>
      <c r="AC524" s="24" t="str">
        <f>IFERROR(VLOOKUP(Transactions[[#This Row],[Parent code]],Transactions[[Transaction code]:[Transaction name]],2,0),"")</f>
        <v>Heat plants - wood</v>
      </c>
      <c r="AD524" s="4" t="s">
        <v>189</v>
      </c>
      <c r="AE524" s="4" t="s">
        <v>924</v>
      </c>
      <c r="AF524" s="4" t="s">
        <v>642</v>
      </c>
      <c r="AG524" s="4" t="s">
        <v>1</v>
      </c>
      <c r="AH524" s="4" t="s">
        <v>696</v>
      </c>
      <c r="AI524" s="12" t="s">
        <v>1416</v>
      </c>
      <c r="AK524" s="24" t="str" cm="1">
        <f t="array" ref="AK524">IFERROR(INDEX(Transactions[[Transaction code]:[Transaction name]],_xlfn.XMATCH(Transactions[[#This Row],[Parent code]],Transactions[Transaction name],0),3),Transactions[[#This Row],[Transaction name]])</f>
        <v>Heat plants - Main activity - wood</v>
      </c>
      <c r="AL524" s="24" t="str" cm="1">
        <f t="array" ref="AL524">IFERROR(INDEX(Transactions[[Transaction code]:[Transaction name]],_xlfn.XMATCH(INDEX(Transactions[[Transaction name]:[Parent code]],_xlfn.XMATCH(Transactions[[#This Row],[L1N]],Transactions[Transaction name],0),3),Transactions[Transaction code],0),2),Transactions[[#This Row],[L1N]])</f>
        <v>Heat plants - wood</v>
      </c>
      <c r="AM524" s="24" t="str" cm="1">
        <f t="array" ref="AM524">IFERROR(INDEX(Transactions[[Transaction code]:[Transaction name]],_xlfn.XMATCH(INDEX(Transactions[[Transaction name]:[Parent code]],_xlfn.XMATCH(Transactions[[#This Row],[L2N]],Transactions[Transaction name],0),3),Transactions[Transaction code],0),2),Transactions[[#This Row],[L2N]])</f>
        <v>Heat plants</v>
      </c>
      <c r="AN524" s="24" t="str" cm="1">
        <f t="array" ref="AN524">IFERROR(INDEX(Transactions[[Transaction code]:[Transaction name]],_xlfn.XMATCH(INDEX(Transactions[[Transaction name]:[Parent code]],_xlfn.XMATCH(Transactions[[#This Row],[L3N]],Transactions[Transaction name],0),3),Transactions[Transaction code],0),2),Transactions[[#This Row],[L3N]])</f>
        <v>Electricity, CHP and heat plants (T)</v>
      </c>
      <c r="AO524" s="24" t="str" cm="1">
        <f t="array" ref="AO524">IFERROR(INDEX(Transactions[[Transaction code]:[Transaction name]],_xlfn.XMATCH(INDEX(Transactions[[Transaction name]:[Parent code]],_xlfn.XMATCH(Transactions[[#This Row],[L4N]],Transactions[Transaction name],0),3),Transactions[Transaction code],0),2),Transactions[[#This Row],[L4N]])</f>
        <v>Transformation</v>
      </c>
      <c r="AP524" s="24" t="str" cm="1">
        <f t="array" ref="AP524">IFERROR(INDEX(Transactions[[Transaction code]:[Transaction name]],_xlfn.XMATCH(INDEX(Transactions[[Transaction name]:[Parent code]],_xlfn.XMATCH(Transactions[[#This Row],[L5N]],Transactions[Transaction name],0),3),Transactions[Transaction code],0),2),Transactions[[#This Row],[L5N]])</f>
        <v>Transformation</v>
      </c>
      <c r="AQ524" s="24" t="str" cm="1">
        <f t="array" ref="AQ524">IFERROR(INDEX(Transactions[[Transaction code]:[Transaction name]],_xlfn.XMATCH(INDEX(Transactions[[Transaction name]:[Parent code]],_xlfn.XMATCH(Transactions[[#This Row],[L6N]],Transactions[Transaction name],0),3),Transactions[Transaction code],0),2),Transactions[[#This Row],[L6N]])</f>
        <v>Transformation</v>
      </c>
      <c r="AR524" s="28" t="str">
        <f>IF(Transactions[[#This Row],[L7N]]=Transactions[[#This Row],[L6N]],Transactions[[#This Row],[L7N]],IF(Transactions[[#This Row],[L6N]]=Transactions[[#This Row],[L5N]],Transactions[[#This Row],[L6N]],IF(Transactions[[#This Row],[L5N]]=Transactions[[#This Row],[L4N]],Transactions[[#This Row],[L5N]],IF(Transactions[[#This Row],[L4N]]=Transactions[[#This Row],[L3N]],Transactions[[#This Row],[L4N]],IF(Transactions[[#This Row],[L3N]]=Transactions[[#This Row],[L2N]],Transactions[[#This Row],[L3N]],IF(Transactions[[#This Row],[L2N]]=Transactions[[#This Row],[L1N]],Transactions[[#This Row],[L2N]],IF(Transactions[[#This Row],[L1N]]=Transactions[[#This Row],[Transaction name]],Transactions[[#This Row],[L1N]],Transactions[[#This Row],[Transaction name]])))))))</f>
        <v>Transformation</v>
      </c>
      <c r="AS524" s="24" t="str">
        <f>IF(Transactions[[#This Row],[Level 0]]=Transactions[[#This Row],[Transaction name]],Transactions[[#This Row],[Transaction name]],IF(Transactions[[#This Row],[Level 0]]=Transactions[[#This Row],[L1N]],Transactions[[#This Row],[Transaction name]],IF(Transactions[[#This Row],[Level 0]]=Transactions[[#This Row],[L2N]],Transactions[[#This Row],[L1N]],IF(Transactions[[#This Row],[Level 0]]=Transactions[[#This Row],[L3N]],Transactions[[#This Row],[L2N]],IF(Transactions[[#This Row],[Level 0]]=Transactions[[#This Row],[L4N]],Transactions[[#This Row],[L3N]],IF(Transactions[[#This Row],[Level 0]]=Transactions[[#This Row],[L5N]],Transactions[[#This Row],[L4N]],IF(Transactions[[#This Row],[Level 0]]=Transactions[[#This Row],[L6N]],Transactions[[#This Row],[L5N]],IF(Transactions[[#This Row],[Level 0]]=Transactions[[#This Row],[L7N]],Transactions[[#This Row],[L6N]],Transactions[[#This Row],[L7N]]))))))))</f>
        <v>Electricity, CHP and heat plants (T)</v>
      </c>
      <c r="AT524" s="24" t="str">
        <f>IF(Transactions[[#This Row],[Level 1]]=Transactions[[#This Row],[Transaction name]],Transactions[[#This Row],[Transaction name]],IF(Transactions[[#This Row],[Level 1]]=Transactions[[#This Row],[L1N]],Transactions[[#This Row],[Transaction name]],IF(Transactions[[#This Row],[Level 1]]=Transactions[[#This Row],[L2N]],Transactions[[#This Row],[L1N]],IF(Transactions[[#This Row],[Level 1]]=Transactions[[#This Row],[L3N]],Transactions[[#This Row],[L2N]],IF(Transactions[[#This Row],[Level 1]]=Transactions[[#This Row],[L4N]],Transactions[[#This Row],[L3N]],IF(Transactions[[#This Row],[Level 1]]=Transactions[[#This Row],[L5N]],Transactions[[#This Row],[L4N]],IF(Transactions[[#This Row],[Level 1]]=Transactions[[#This Row],[L6N]],Transactions[[#This Row],[L5N]],IF(Transactions[[#This Row],[Level 1]]=Transactions[[#This Row],[L7N]],Transactions[[#This Row],[L6N]],Transactions[[#This Row],[L7N]]))))))))</f>
        <v>Heat plants</v>
      </c>
      <c r="AU524" s="24" t="str">
        <f>IF(Transactions[[#This Row],[Level 2]]=Transactions[[#This Row],[Transaction name]],Transactions[[#This Row],[Transaction name]],IF(Transactions[[#This Row],[Level 2]]=Transactions[[#This Row],[L1N]],Transactions[[#This Row],[Transaction name]],IF(Transactions[[#This Row],[Level 2]]=Transactions[[#This Row],[L2N]],Transactions[[#This Row],[L1N]],IF(Transactions[[#This Row],[Level 2]]=Transactions[[#This Row],[L3N]],Transactions[[#This Row],[L2N]],IF(Transactions[[#This Row],[Level 2]]=Transactions[[#This Row],[L4N]],Transactions[[#This Row],[L3N]],IF(Transactions[[#This Row],[Level 2]]=Transactions[[#This Row],[L5N]],Transactions[[#This Row],[L4N]],IF(Transactions[[#This Row],[Level 2]]=Transactions[[#This Row],[L6N]],Transactions[[#This Row],[L5N]],IF(Transactions[[#This Row],[Level 2]]=Transactions[[#This Row],[L7N]],Transactions[[#This Row],[L6N]],Transactions[[#This Row],[L7N]]))))))))</f>
        <v>Heat plants - wood</v>
      </c>
      <c r="AV524" s="24" t="str">
        <f>IF(Transactions[[#This Row],[Level 3]]=Transactions[[#This Row],[Transaction name]],Transactions[[#This Row],[Transaction name]],IF(Transactions[[#This Row],[Level 3]]=Transactions[[#This Row],[L1N]],Transactions[[#This Row],[Transaction name]],IF(Transactions[[#This Row],[Level 3]]=Transactions[[#This Row],[L2N]],Transactions[[#This Row],[L1N]],IF(Transactions[[#This Row],[Level 3]]=Transactions[[#This Row],[L3N]],Transactions[[#This Row],[L2N]],IF(Transactions[[#This Row],[Level 3]]=Transactions[[#This Row],[L4N]],Transactions[[#This Row],[L3N]],IF(Transactions[[#This Row],[Level 3]]=Transactions[[#This Row],[L5N]],Transactions[[#This Row],[L4N]],IF(Transactions[[#This Row],[Level 3]]=Transactions[[#This Row],[L6N]],Transactions[[#This Row],[L5N]],IF(Transactions[[#This Row],[Level 3]]=Transactions[[#This Row],[L7N]],Transactions[[#This Row],[L6N]],Transactions[[#This Row],[L7N]]))))))))</f>
        <v>Heat plants - Main activity - wood</v>
      </c>
      <c r="AW524" s="24" t="str">
        <f>IF(Transactions[[#This Row],[Level 4]]=Transactions[[#This Row],[Transaction name]],Transactions[[#This Row],[Transaction name]],IF(Transactions[[#This Row],[Level 4]]=Transactions[[#This Row],[L1N]],Transactions[[#This Row],[Transaction name]],IF(Transactions[[#This Row],[Level 4]]=Transactions[[#This Row],[L2N]],Transactions[[#This Row],[L1N]],IF(Transactions[[#This Row],[Level 4]]=Transactions[[#This Row],[L3N]],Transactions[[#This Row],[L2N]],IF(Transactions[[#This Row],[Level 4]]=Transactions[[#This Row],[L4N]],Transactions[[#This Row],[L3N]],IF(Transactions[[#This Row],[Level 4]]=Transactions[[#This Row],[L5N]],Transactions[[#This Row],[L4N]],IF(Transactions[[#This Row],[Level 4]]=Transactions[[#This Row],[L6N]],Transactions[[#This Row],[L5N]],IF(Transactions[[#This Row],[Level 4]]=Transactions[[#This Row],[L7N]],Transactions[[#This Row],[L6N]],Transactions[[#This Row],[L7N]]))))))))</f>
        <v>Heat plants - Main activity - wood</v>
      </c>
      <c r="AX524" s="24" t="str">
        <f>IF(Transactions[[#This Row],[Level 5]]=Transactions[[#This Row],[Transaction name]],Transactions[[#This Row],[Transaction name]],IF(Transactions[[#This Row],[Level 5]]=Transactions[[#This Row],[L1N]],Transactions[[#This Row],[Transaction name]],IF(Transactions[[#This Row],[Level 5]]=Transactions[[#This Row],[L2N]],Transactions[[#This Row],[L1N]],IF(Transactions[[#This Row],[Level 5]]=Transactions[[#This Row],[L3N]],Transactions[[#This Row],[L2N]],IF(Transactions[[#This Row],[Level 5]]=Transactions[[#This Row],[L4N]],Transactions[[#This Row],[L3N]],IF(Transactions[[#This Row],[Level 5]]=Transactions[[#This Row],[L5N]],Transactions[[#This Row],[L4N]],IF(Transactions[[#This Row],[Level 5]]=Transactions[[#This Row],[L6N]],Transactions[[#This Row],[L5N]],IF(Transactions[[#This Row],[Level 5]]=Transactions[[#This Row],[L7N]],Transactions[[#This Row],[L6N]],Transactions[[#This Row],[L7N]]))))))))</f>
        <v>Heat plants - Main activity - wood</v>
      </c>
      <c r="AY524" s="24" t="str">
        <f>IF(Transactions[[#This Row],[Level 6]]=Transactions[[#This Row],[Transaction name]],Transactions[[#This Row],[Transaction name]],IF(Transactions[[#This Row],[Level 6]]=Transactions[[#This Row],[L1N]],Transactions[[#This Row],[Transaction name]],IF(Transactions[[#This Row],[Level 6]]=Transactions[[#This Row],[L2N]],Transactions[[#This Row],[L1N]],IF(Transactions[[#This Row],[Level 6]]=Transactions[[#This Row],[L3N]],Transactions[[#This Row],[L2N]],IF(Transactions[[#This Row],[Level 6]]=Transactions[[#This Row],[L4N]],Transactions[[#This Row],[L3N]],IF(Transactions[[#This Row],[Level 6]]=Transactions[[#This Row],[L5N]],Transactions[[#This Row],[L4N]],IF(Transactions[[#This Row],[Level 6]]=Transactions[[#This Row],[L6N]],Transactions[[#This Row],[L5N]],IF(Transactions[[#This Row],[Level 6]]=Transactions[[#This Row],[L7N]],Transactions[[#This Row],[L6N]],Transactions[[#This Row],[L7N]]))))))))</f>
        <v>Heat plants - Main activity - wood</v>
      </c>
    </row>
    <row r="525" spans="25:51" x14ac:dyDescent="0.45">
      <c r="Y525" s="19" t="s">
        <v>1577</v>
      </c>
      <c r="Z525" s="18" t="s">
        <v>1361</v>
      </c>
      <c r="AA525" s="18" t="s">
        <v>1361</v>
      </c>
      <c r="AB525" s="19" t="s">
        <v>1574</v>
      </c>
      <c r="AC525" s="26" t="str">
        <f>IFERROR(VLOOKUP(Transactions[[#This Row],[Parent code]],Transactions[[Transaction code]:[Transaction name]],2,0),"")</f>
        <v>Heat plants</v>
      </c>
      <c r="AD525" s="18" t="s">
        <v>189</v>
      </c>
      <c r="AE525" s="18" t="s">
        <v>924</v>
      </c>
      <c r="AF525" s="18" t="s">
        <v>642</v>
      </c>
      <c r="AG525" s="18" t="s">
        <v>1</v>
      </c>
      <c r="AH525" s="18" t="s">
        <v>696</v>
      </c>
      <c r="AI525" s="18" t="s">
        <v>1416</v>
      </c>
      <c r="AJ525" s="18"/>
      <c r="AK525" s="26" t="str" cm="1">
        <f t="array" ref="AK525">IFERROR(INDEX(Transactions[[Transaction code]:[Transaction name]],_xlfn.XMATCH(Transactions[[#This Row],[Parent code]],Transactions[Transaction name],0),3),Transactions[[#This Row],[Transaction name]])</f>
        <v>Heat plants - wood</v>
      </c>
      <c r="AL525" s="26" t="str" cm="1">
        <f t="array" ref="AL525">IFERROR(INDEX(Transactions[[Transaction code]:[Transaction name]],_xlfn.XMATCH(INDEX(Transactions[[Transaction name]:[Parent code]],_xlfn.XMATCH(Transactions[[#This Row],[L1N]],Transactions[Transaction name],0),3),Transactions[Transaction code],0),2),Transactions[[#This Row],[L1N]])</f>
        <v>Heat plants</v>
      </c>
      <c r="AM525" s="26" t="str" cm="1">
        <f t="array" ref="AM525">IFERROR(INDEX(Transactions[[Transaction code]:[Transaction name]],_xlfn.XMATCH(INDEX(Transactions[[Transaction name]:[Parent code]],_xlfn.XMATCH(Transactions[[#This Row],[L2N]],Transactions[Transaction name],0),3),Transactions[Transaction code],0),2),Transactions[[#This Row],[L2N]])</f>
        <v>Electricity, CHP and heat plants (T)</v>
      </c>
      <c r="AN525" s="26" t="str" cm="1">
        <f t="array" ref="AN525">IFERROR(INDEX(Transactions[[Transaction code]:[Transaction name]],_xlfn.XMATCH(INDEX(Transactions[[Transaction name]:[Parent code]],_xlfn.XMATCH(Transactions[[#This Row],[L3N]],Transactions[Transaction name],0),3),Transactions[Transaction code],0),2),Transactions[[#This Row],[L3N]])</f>
        <v>Transformation</v>
      </c>
      <c r="AO525" s="26" t="str" cm="1">
        <f t="array" ref="AO525">IFERROR(INDEX(Transactions[[Transaction code]:[Transaction name]],_xlfn.XMATCH(INDEX(Transactions[[Transaction name]:[Parent code]],_xlfn.XMATCH(Transactions[[#This Row],[L4N]],Transactions[Transaction name],0),3),Transactions[Transaction code],0),2),Transactions[[#This Row],[L4N]])</f>
        <v>Transformation</v>
      </c>
      <c r="AP525" s="26" t="str" cm="1">
        <f t="array" ref="AP525">IFERROR(INDEX(Transactions[[Transaction code]:[Transaction name]],_xlfn.XMATCH(INDEX(Transactions[[Transaction name]:[Parent code]],_xlfn.XMATCH(Transactions[[#This Row],[L5N]],Transactions[Transaction name],0),3),Transactions[Transaction code],0),2),Transactions[[#This Row],[L5N]])</f>
        <v>Transformation</v>
      </c>
      <c r="AQ525" s="26" t="str" cm="1">
        <f t="array" ref="AQ525">IFERROR(INDEX(Transactions[[Transaction code]:[Transaction name]],_xlfn.XMATCH(INDEX(Transactions[[Transaction name]:[Parent code]],_xlfn.XMATCH(Transactions[[#This Row],[L6N]],Transactions[Transaction name],0),3),Transactions[Transaction code],0),2),Transactions[[#This Row],[L6N]])</f>
        <v>Transformation</v>
      </c>
      <c r="AR525" s="29" t="str">
        <f>IF(Transactions[[#This Row],[L7N]]=Transactions[[#This Row],[L6N]],Transactions[[#This Row],[L7N]],IF(Transactions[[#This Row],[L6N]]=Transactions[[#This Row],[L5N]],Transactions[[#This Row],[L6N]],IF(Transactions[[#This Row],[L5N]]=Transactions[[#This Row],[L4N]],Transactions[[#This Row],[L5N]],IF(Transactions[[#This Row],[L4N]]=Transactions[[#This Row],[L3N]],Transactions[[#This Row],[L4N]],IF(Transactions[[#This Row],[L3N]]=Transactions[[#This Row],[L2N]],Transactions[[#This Row],[L3N]],IF(Transactions[[#This Row],[L2N]]=Transactions[[#This Row],[L1N]],Transactions[[#This Row],[L2N]],IF(Transactions[[#This Row],[L1N]]=Transactions[[#This Row],[Transaction name]],Transactions[[#This Row],[L1N]],Transactions[[#This Row],[Transaction name]])))))))</f>
        <v>Transformation</v>
      </c>
      <c r="AS525" s="26" t="str">
        <f>IF(Transactions[[#This Row],[Level 0]]=Transactions[[#This Row],[Transaction name]],Transactions[[#This Row],[Transaction name]],IF(Transactions[[#This Row],[Level 0]]=Transactions[[#This Row],[L1N]],Transactions[[#This Row],[Transaction name]],IF(Transactions[[#This Row],[Level 0]]=Transactions[[#This Row],[L2N]],Transactions[[#This Row],[L1N]],IF(Transactions[[#This Row],[Level 0]]=Transactions[[#This Row],[L3N]],Transactions[[#This Row],[L2N]],IF(Transactions[[#This Row],[Level 0]]=Transactions[[#This Row],[L4N]],Transactions[[#This Row],[L3N]],IF(Transactions[[#This Row],[Level 0]]=Transactions[[#This Row],[L5N]],Transactions[[#This Row],[L4N]],IF(Transactions[[#This Row],[Level 0]]=Transactions[[#This Row],[L6N]],Transactions[[#This Row],[L5N]],IF(Transactions[[#This Row],[Level 0]]=Transactions[[#This Row],[L7N]],Transactions[[#This Row],[L6N]],Transactions[[#This Row],[L7N]]))))))))</f>
        <v>Electricity, CHP and heat plants (T)</v>
      </c>
      <c r="AT525" s="26" t="str">
        <f>IF(Transactions[[#This Row],[Level 1]]=Transactions[[#This Row],[Transaction name]],Transactions[[#This Row],[Transaction name]],IF(Transactions[[#This Row],[Level 1]]=Transactions[[#This Row],[L1N]],Transactions[[#This Row],[Transaction name]],IF(Transactions[[#This Row],[Level 1]]=Transactions[[#This Row],[L2N]],Transactions[[#This Row],[L1N]],IF(Transactions[[#This Row],[Level 1]]=Transactions[[#This Row],[L3N]],Transactions[[#This Row],[L2N]],IF(Transactions[[#This Row],[Level 1]]=Transactions[[#This Row],[L4N]],Transactions[[#This Row],[L3N]],IF(Transactions[[#This Row],[Level 1]]=Transactions[[#This Row],[L5N]],Transactions[[#This Row],[L4N]],IF(Transactions[[#This Row],[Level 1]]=Transactions[[#This Row],[L6N]],Transactions[[#This Row],[L5N]],IF(Transactions[[#This Row],[Level 1]]=Transactions[[#This Row],[L7N]],Transactions[[#This Row],[L6N]],Transactions[[#This Row],[L7N]]))))))))</f>
        <v>Heat plants</v>
      </c>
      <c r="AU525" s="26" t="str">
        <f>IF(Transactions[[#This Row],[Level 2]]=Transactions[[#This Row],[Transaction name]],Transactions[[#This Row],[Transaction name]],IF(Transactions[[#This Row],[Level 2]]=Transactions[[#This Row],[L1N]],Transactions[[#This Row],[Transaction name]],IF(Transactions[[#This Row],[Level 2]]=Transactions[[#This Row],[L2N]],Transactions[[#This Row],[L1N]],IF(Transactions[[#This Row],[Level 2]]=Transactions[[#This Row],[L3N]],Transactions[[#This Row],[L2N]],IF(Transactions[[#This Row],[Level 2]]=Transactions[[#This Row],[L4N]],Transactions[[#This Row],[L3N]],IF(Transactions[[#This Row],[Level 2]]=Transactions[[#This Row],[L5N]],Transactions[[#This Row],[L4N]],IF(Transactions[[#This Row],[Level 2]]=Transactions[[#This Row],[L6N]],Transactions[[#This Row],[L5N]],IF(Transactions[[#This Row],[Level 2]]=Transactions[[#This Row],[L7N]],Transactions[[#This Row],[L6N]],Transactions[[#This Row],[L7N]]))))))))</f>
        <v>Heat plants - wood</v>
      </c>
      <c r="AV525" s="26" t="str">
        <f>IF(Transactions[[#This Row],[Level 3]]=Transactions[[#This Row],[Transaction name]],Transactions[[#This Row],[Transaction name]],IF(Transactions[[#This Row],[Level 3]]=Transactions[[#This Row],[L1N]],Transactions[[#This Row],[Transaction name]],IF(Transactions[[#This Row],[Level 3]]=Transactions[[#This Row],[L2N]],Transactions[[#This Row],[L1N]],IF(Transactions[[#This Row],[Level 3]]=Transactions[[#This Row],[L3N]],Transactions[[#This Row],[L2N]],IF(Transactions[[#This Row],[Level 3]]=Transactions[[#This Row],[L4N]],Transactions[[#This Row],[L3N]],IF(Transactions[[#This Row],[Level 3]]=Transactions[[#This Row],[L5N]],Transactions[[#This Row],[L4N]],IF(Transactions[[#This Row],[Level 3]]=Transactions[[#This Row],[L6N]],Transactions[[#This Row],[L5N]],IF(Transactions[[#This Row],[Level 3]]=Transactions[[#This Row],[L7N]],Transactions[[#This Row],[L6N]],Transactions[[#This Row],[L7N]]))))))))</f>
        <v>Heat plants - wood</v>
      </c>
      <c r="AW525" s="26" t="str">
        <f>IF(Transactions[[#This Row],[Level 4]]=Transactions[[#This Row],[Transaction name]],Transactions[[#This Row],[Transaction name]],IF(Transactions[[#This Row],[Level 4]]=Transactions[[#This Row],[L1N]],Transactions[[#This Row],[Transaction name]],IF(Transactions[[#This Row],[Level 4]]=Transactions[[#This Row],[L2N]],Transactions[[#This Row],[L1N]],IF(Transactions[[#This Row],[Level 4]]=Transactions[[#This Row],[L3N]],Transactions[[#This Row],[L2N]],IF(Transactions[[#This Row],[Level 4]]=Transactions[[#This Row],[L4N]],Transactions[[#This Row],[L3N]],IF(Transactions[[#This Row],[Level 4]]=Transactions[[#This Row],[L5N]],Transactions[[#This Row],[L4N]],IF(Transactions[[#This Row],[Level 4]]=Transactions[[#This Row],[L6N]],Transactions[[#This Row],[L5N]],IF(Transactions[[#This Row],[Level 4]]=Transactions[[#This Row],[L7N]],Transactions[[#This Row],[L6N]],Transactions[[#This Row],[L7N]]))))))))</f>
        <v>Heat plants - wood</v>
      </c>
      <c r="AX525" s="26" t="str">
        <f>IF(Transactions[[#This Row],[Level 5]]=Transactions[[#This Row],[Transaction name]],Transactions[[#This Row],[Transaction name]],IF(Transactions[[#This Row],[Level 5]]=Transactions[[#This Row],[L1N]],Transactions[[#This Row],[Transaction name]],IF(Transactions[[#This Row],[Level 5]]=Transactions[[#This Row],[L2N]],Transactions[[#This Row],[L1N]],IF(Transactions[[#This Row],[Level 5]]=Transactions[[#This Row],[L3N]],Transactions[[#This Row],[L2N]],IF(Transactions[[#This Row],[Level 5]]=Transactions[[#This Row],[L4N]],Transactions[[#This Row],[L3N]],IF(Transactions[[#This Row],[Level 5]]=Transactions[[#This Row],[L5N]],Transactions[[#This Row],[L4N]],IF(Transactions[[#This Row],[Level 5]]=Transactions[[#This Row],[L6N]],Transactions[[#This Row],[L5N]],IF(Transactions[[#This Row],[Level 5]]=Transactions[[#This Row],[L7N]],Transactions[[#This Row],[L6N]],Transactions[[#This Row],[L7N]]))))))))</f>
        <v>Heat plants - wood</v>
      </c>
      <c r="AY525" s="26" t="str">
        <f>IF(Transactions[[#This Row],[Level 6]]=Transactions[[#This Row],[Transaction name]],Transactions[[#This Row],[Transaction name]],IF(Transactions[[#This Row],[Level 6]]=Transactions[[#This Row],[L1N]],Transactions[[#This Row],[Transaction name]],IF(Transactions[[#This Row],[Level 6]]=Transactions[[#This Row],[L2N]],Transactions[[#This Row],[L1N]],IF(Transactions[[#This Row],[Level 6]]=Transactions[[#This Row],[L3N]],Transactions[[#This Row],[L2N]],IF(Transactions[[#This Row],[Level 6]]=Transactions[[#This Row],[L4N]],Transactions[[#This Row],[L3N]],IF(Transactions[[#This Row],[Level 6]]=Transactions[[#This Row],[L5N]],Transactions[[#This Row],[L4N]],IF(Transactions[[#This Row],[Level 6]]=Transactions[[#This Row],[L6N]],Transactions[[#This Row],[L5N]],IF(Transactions[[#This Row],[Level 6]]=Transactions[[#This Row],[L7N]],Transactions[[#This Row],[L6N]],Transactions[[#This Row],[L7N]]))))))))</f>
        <v>Heat plants - wood</v>
      </c>
    </row>
    <row r="526" spans="25:51" x14ac:dyDescent="0.45">
      <c r="Y526" s="5" t="s">
        <v>187</v>
      </c>
      <c r="Z526" s="4" t="s">
        <v>720</v>
      </c>
      <c r="AA526" s="4" t="s">
        <v>720</v>
      </c>
      <c r="AB526" s="6" t="s">
        <v>164</v>
      </c>
      <c r="AC526" s="24" t="str">
        <f>IFERROR(VLOOKUP(Transactions[[#This Row],[Parent code]],Transactions[[Transaction code]:[Transaction name]],2,0),"")</f>
        <v>Transformation</v>
      </c>
      <c r="AD526" s="4" t="s">
        <v>189</v>
      </c>
      <c r="AE526" s="4" t="s">
        <v>926</v>
      </c>
      <c r="AF526" s="4" t="s">
        <v>642</v>
      </c>
      <c r="AG526" s="4" t="s">
        <v>1</v>
      </c>
      <c r="AH526" s="4" t="s">
        <v>695</v>
      </c>
      <c r="AK526" s="24" t="str" cm="1">
        <f t="array" ref="AK526">IFERROR(INDEX(Transactions[[Transaction code]:[Transaction name]],_xlfn.XMATCH(Transactions[[#This Row],[Parent code]],Transactions[Transaction name],0),3),Transactions[[#This Row],[Transaction name]])</f>
        <v>Gas works (T)</v>
      </c>
      <c r="AL526" s="24" t="str" cm="1">
        <f t="array" ref="AL526">IFERROR(INDEX(Transactions[[Transaction code]:[Transaction name]],_xlfn.XMATCH(INDEX(Transactions[[Transaction name]:[Parent code]],_xlfn.XMATCH(Transactions[[#This Row],[L1N]],Transactions[Transaction name],0),3),Transactions[Transaction code],0),2),Transactions[[#This Row],[L1N]])</f>
        <v>Transformation</v>
      </c>
      <c r="AM526" s="24" t="str" cm="1">
        <f t="array" ref="AM526">IFERROR(INDEX(Transactions[[Transaction code]:[Transaction name]],_xlfn.XMATCH(INDEX(Transactions[[Transaction name]:[Parent code]],_xlfn.XMATCH(Transactions[[#This Row],[L2N]],Transactions[Transaction name],0),3),Transactions[Transaction code],0),2),Transactions[[#This Row],[L2N]])</f>
        <v>Transformation</v>
      </c>
      <c r="AN526" s="24" t="str" cm="1">
        <f t="array" ref="AN526">IFERROR(INDEX(Transactions[[Transaction code]:[Transaction name]],_xlfn.XMATCH(INDEX(Transactions[[Transaction name]:[Parent code]],_xlfn.XMATCH(Transactions[[#This Row],[L3N]],Transactions[Transaction name],0),3),Transactions[Transaction code],0),2),Transactions[[#This Row],[L3N]])</f>
        <v>Transformation</v>
      </c>
      <c r="AO526" s="24" t="str" cm="1">
        <f t="array" ref="AO526">IFERROR(INDEX(Transactions[[Transaction code]:[Transaction name]],_xlfn.XMATCH(INDEX(Transactions[[Transaction name]:[Parent code]],_xlfn.XMATCH(Transactions[[#This Row],[L4N]],Transactions[Transaction name],0),3),Transactions[Transaction code],0),2),Transactions[[#This Row],[L4N]])</f>
        <v>Transformation</v>
      </c>
      <c r="AP526" s="24" t="str" cm="1">
        <f t="array" ref="AP526">IFERROR(INDEX(Transactions[[Transaction code]:[Transaction name]],_xlfn.XMATCH(INDEX(Transactions[[Transaction name]:[Parent code]],_xlfn.XMATCH(Transactions[[#This Row],[L5N]],Transactions[Transaction name],0),3),Transactions[Transaction code],0),2),Transactions[[#This Row],[L5N]])</f>
        <v>Transformation</v>
      </c>
      <c r="AQ526" s="24" t="str" cm="1">
        <f t="array" ref="AQ526">IFERROR(INDEX(Transactions[[Transaction code]:[Transaction name]],_xlfn.XMATCH(INDEX(Transactions[[Transaction name]:[Parent code]],_xlfn.XMATCH(Transactions[[#This Row],[L6N]],Transactions[Transaction name],0),3),Transactions[Transaction code],0),2),Transactions[[#This Row],[L6N]])</f>
        <v>Transformation</v>
      </c>
      <c r="AR526" s="28" t="str">
        <f>IF(Transactions[[#This Row],[L7N]]=Transactions[[#This Row],[L6N]],Transactions[[#This Row],[L7N]],IF(Transactions[[#This Row],[L6N]]=Transactions[[#This Row],[L5N]],Transactions[[#This Row],[L6N]],IF(Transactions[[#This Row],[L5N]]=Transactions[[#This Row],[L4N]],Transactions[[#This Row],[L5N]],IF(Transactions[[#This Row],[L4N]]=Transactions[[#This Row],[L3N]],Transactions[[#This Row],[L4N]],IF(Transactions[[#This Row],[L3N]]=Transactions[[#This Row],[L2N]],Transactions[[#This Row],[L3N]],IF(Transactions[[#This Row],[L2N]]=Transactions[[#This Row],[L1N]],Transactions[[#This Row],[L2N]],IF(Transactions[[#This Row],[L1N]]=Transactions[[#This Row],[Transaction name]],Transactions[[#This Row],[L1N]],Transactions[[#This Row],[Transaction name]])))))))</f>
        <v>Transformation</v>
      </c>
      <c r="AS526" s="24" t="str">
        <f>IF(Transactions[[#This Row],[Level 0]]=Transactions[[#This Row],[Transaction name]],Transactions[[#This Row],[Transaction name]],IF(Transactions[[#This Row],[Level 0]]=Transactions[[#This Row],[L1N]],Transactions[[#This Row],[Transaction name]],IF(Transactions[[#This Row],[Level 0]]=Transactions[[#This Row],[L2N]],Transactions[[#This Row],[L1N]],IF(Transactions[[#This Row],[Level 0]]=Transactions[[#This Row],[L3N]],Transactions[[#This Row],[L2N]],IF(Transactions[[#This Row],[Level 0]]=Transactions[[#This Row],[L4N]],Transactions[[#This Row],[L3N]],IF(Transactions[[#This Row],[Level 0]]=Transactions[[#This Row],[L5N]],Transactions[[#This Row],[L4N]],IF(Transactions[[#This Row],[Level 0]]=Transactions[[#This Row],[L6N]],Transactions[[#This Row],[L5N]],IF(Transactions[[#This Row],[Level 0]]=Transactions[[#This Row],[L7N]],Transactions[[#This Row],[L6N]],Transactions[[#This Row],[L7N]]))))))))</f>
        <v>Gas works (T)</v>
      </c>
      <c r="AT526" s="24" t="str">
        <f>IF(Transactions[[#This Row],[Level 1]]=Transactions[[#This Row],[Transaction name]],Transactions[[#This Row],[Transaction name]],IF(Transactions[[#This Row],[Level 1]]=Transactions[[#This Row],[L1N]],Transactions[[#This Row],[Transaction name]],IF(Transactions[[#This Row],[Level 1]]=Transactions[[#This Row],[L2N]],Transactions[[#This Row],[L1N]],IF(Transactions[[#This Row],[Level 1]]=Transactions[[#This Row],[L3N]],Transactions[[#This Row],[L2N]],IF(Transactions[[#This Row],[Level 1]]=Transactions[[#This Row],[L4N]],Transactions[[#This Row],[L3N]],IF(Transactions[[#This Row],[Level 1]]=Transactions[[#This Row],[L5N]],Transactions[[#This Row],[L4N]],IF(Transactions[[#This Row],[Level 1]]=Transactions[[#This Row],[L6N]],Transactions[[#This Row],[L5N]],IF(Transactions[[#This Row],[Level 1]]=Transactions[[#This Row],[L7N]],Transactions[[#This Row],[L6N]],Transactions[[#This Row],[L7N]]))))))))</f>
        <v>Gas works (T)</v>
      </c>
      <c r="AU526" s="24" t="str">
        <f>IF(Transactions[[#This Row],[Level 2]]=Transactions[[#This Row],[Transaction name]],Transactions[[#This Row],[Transaction name]],IF(Transactions[[#This Row],[Level 2]]=Transactions[[#This Row],[L1N]],Transactions[[#This Row],[Transaction name]],IF(Transactions[[#This Row],[Level 2]]=Transactions[[#This Row],[L2N]],Transactions[[#This Row],[L1N]],IF(Transactions[[#This Row],[Level 2]]=Transactions[[#This Row],[L3N]],Transactions[[#This Row],[L2N]],IF(Transactions[[#This Row],[Level 2]]=Transactions[[#This Row],[L4N]],Transactions[[#This Row],[L3N]],IF(Transactions[[#This Row],[Level 2]]=Transactions[[#This Row],[L5N]],Transactions[[#This Row],[L4N]],IF(Transactions[[#This Row],[Level 2]]=Transactions[[#This Row],[L6N]],Transactions[[#This Row],[L5N]],IF(Transactions[[#This Row],[Level 2]]=Transactions[[#This Row],[L7N]],Transactions[[#This Row],[L6N]],Transactions[[#This Row],[L7N]]))))))))</f>
        <v>Gas works (T)</v>
      </c>
      <c r="AV526" s="24" t="str">
        <f>IF(Transactions[[#This Row],[Level 3]]=Transactions[[#This Row],[Transaction name]],Transactions[[#This Row],[Transaction name]],IF(Transactions[[#This Row],[Level 3]]=Transactions[[#This Row],[L1N]],Transactions[[#This Row],[Transaction name]],IF(Transactions[[#This Row],[Level 3]]=Transactions[[#This Row],[L2N]],Transactions[[#This Row],[L1N]],IF(Transactions[[#This Row],[Level 3]]=Transactions[[#This Row],[L3N]],Transactions[[#This Row],[L2N]],IF(Transactions[[#This Row],[Level 3]]=Transactions[[#This Row],[L4N]],Transactions[[#This Row],[L3N]],IF(Transactions[[#This Row],[Level 3]]=Transactions[[#This Row],[L5N]],Transactions[[#This Row],[L4N]],IF(Transactions[[#This Row],[Level 3]]=Transactions[[#This Row],[L6N]],Transactions[[#This Row],[L5N]],IF(Transactions[[#This Row],[Level 3]]=Transactions[[#This Row],[L7N]],Transactions[[#This Row],[L6N]],Transactions[[#This Row],[L7N]]))))))))</f>
        <v>Gas works (T)</v>
      </c>
      <c r="AW526" s="24" t="str">
        <f>IF(Transactions[[#This Row],[Level 4]]=Transactions[[#This Row],[Transaction name]],Transactions[[#This Row],[Transaction name]],IF(Transactions[[#This Row],[Level 4]]=Transactions[[#This Row],[L1N]],Transactions[[#This Row],[Transaction name]],IF(Transactions[[#This Row],[Level 4]]=Transactions[[#This Row],[L2N]],Transactions[[#This Row],[L1N]],IF(Transactions[[#This Row],[Level 4]]=Transactions[[#This Row],[L3N]],Transactions[[#This Row],[L2N]],IF(Transactions[[#This Row],[Level 4]]=Transactions[[#This Row],[L4N]],Transactions[[#This Row],[L3N]],IF(Transactions[[#This Row],[Level 4]]=Transactions[[#This Row],[L5N]],Transactions[[#This Row],[L4N]],IF(Transactions[[#This Row],[Level 4]]=Transactions[[#This Row],[L6N]],Transactions[[#This Row],[L5N]],IF(Transactions[[#This Row],[Level 4]]=Transactions[[#This Row],[L7N]],Transactions[[#This Row],[L6N]],Transactions[[#This Row],[L7N]]))))))))</f>
        <v>Gas works (T)</v>
      </c>
      <c r="AX526" s="24" t="str">
        <f>IF(Transactions[[#This Row],[Level 5]]=Transactions[[#This Row],[Transaction name]],Transactions[[#This Row],[Transaction name]],IF(Transactions[[#This Row],[Level 5]]=Transactions[[#This Row],[L1N]],Transactions[[#This Row],[Transaction name]],IF(Transactions[[#This Row],[Level 5]]=Transactions[[#This Row],[L2N]],Transactions[[#This Row],[L1N]],IF(Transactions[[#This Row],[Level 5]]=Transactions[[#This Row],[L3N]],Transactions[[#This Row],[L2N]],IF(Transactions[[#This Row],[Level 5]]=Transactions[[#This Row],[L4N]],Transactions[[#This Row],[L3N]],IF(Transactions[[#This Row],[Level 5]]=Transactions[[#This Row],[L5N]],Transactions[[#This Row],[L4N]],IF(Transactions[[#This Row],[Level 5]]=Transactions[[#This Row],[L6N]],Transactions[[#This Row],[L5N]],IF(Transactions[[#This Row],[Level 5]]=Transactions[[#This Row],[L7N]],Transactions[[#This Row],[L6N]],Transactions[[#This Row],[L7N]]))))))))</f>
        <v>Gas works (T)</v>
      </c>
      <c r="AY526" s="24" t="str">
        <f>IF(Transactions[[#This Row],[Level 6]]=Transactions[[#This Row],[Transaction name]],Transactions[[#This Row],[Transaction name]],IF(Transactions[[#This Row],[Level 6]]=Transactions[[#This Row],[L1N]],Transactions[[#This Row],[Transaction name]],IF(Transactions[[#This Row],[Level 6]]=Transactions[[#This Row],[L2N]],Transactions[[#This Row],[L1N]],IF(Transactions[[#This Row],[Level 6]]=Transactions[[#This Row],[L3N]],Transactions[[#This Row],[L2N]],IF(Transactions[[#This Row],[Level 6]]=Transactions[[#This Row],[L4N]],Transactions[[#This Row],[L3N]],IF(Transactions[[#This Row],[Level 6]]=Transactions[[#This Row],[L5N]],Transactions[[#This Row],[L4N]],IF(Transactions[[#This Row],[Level 6]]=Transactions[[#This Row],[L6N]],Transactions[[#This Row],[L5N]],IF(Transactions[[#This Row],[Level 6]]=Transactions[[#This Row],[L7N]],Transactions[[#This Row],[L6N]],Transactions[[#This Row],[L7N]]))))))))</f>
        <v>Gas works (T)</v>
      </c>
    </row>
    <row r="527" spans="25:51" x14ac:dyDescent="0.45">
      <c r="Y527" s="5" t="s">
        <v>182</v>
      </c>
      <c r="Z527" s="4" t="s">
        <v>725</v>
      </c>
      <c r="AA527" s="4" t="s">
        <v>725</v>
      </c>
      <c r="AB527" s="6" t="s">
        <v>164</v>
      </c>
      <c r="AC527" s="24" t="str">
        <f>IFERROR(VLOOKUP(Transactions[[#This Row],[Parent code]],Transactions[[Transaction code]:[Transaction name]],2,0),"")</f>
        <v>Transformation</v>
      </c>
      <c r="AD527" s="4" t="s">
        <v>189</v>
      </c>
      <c r="AE527" s="4" t="s">
        <v>947</v>
      </c>
      <c r="AF527" s="4" t="s">
        <v>642</v>
      </c>
      <c r="AG527" s="4" t="s">
        <v>1</v>
      </c>
      <c r="AH527" s="4" t="s">
        <v>695</v>
      </c>
      <c r="AK527" s="24" t="str" cm="1">
        <f t="array" ref="AK527">IFERROR(INDEX(Transactions[[Transaction code]:[Transaction name]],_xlfn.XMATCH(Transactions[[#This Row],[Parent code]],Transactions[Transaction name],0),3),Transactions[[#This Row],[Transaction name]])</f>
        <v>Gas-to-liquid (GTL) plants (T)</v>
      </c>
      <c r="AL527" s="24" t="str" cm="1">
        <f t="array" ref="AL527">IFERROR(INDEX(Transactions[[Transaction code]:[Transaction name]],_xlfn.XMATCH(INDEX(Transactions[[Transaction name]:[Parent code]],_xlfn.XMATCH(Transactions[[#This Row],[L1N]],Transactions[Transaction name],0),3),Transactions[Transaction code],0),2),Transactions[[#This Row],[L1N]])</f>
        <v>Transformation</v>
      </c>
      <c r="AM527" s="24" t="str" cm="1">
        <f t="array" ref="AM527">IFERROR(INDEX(Transactions[[Transaction code]:[Transaction name]],_xlfn.XMATCH(INDEX(Transactions[[Transaction name]:[Parent code]],_xlfn.XMATCH(Transactions[[#This Row],[L2N]],Transactions[Transaction name],0),3),Transactions[Transaction code],0),2),Transactions[[#This Row],[L2N]])</f>
        <v>Transformation</v>
      </c>
      <c r="AN527" s="24" t="str" cm="1">
        <f t="array" ref="AN527">IFERROR(INDEX(Transactions[[Transaction code]:[Transaction name]],_xlfn.XMATCH(INDEX(Transactions[[Transaction name]:[Parent code]],_xlfn.XMATCH(Transactions[[#This Row],[L3N]],Transactions[Transaction name],0),3),Transactions[Transaction code],0),2),Transactions[[#This Row],[L3N]])</f>
        <v>Transformation</v>
      </c>
      <c r="AO527" s="24" t="str" cm="1">
        <f t="array" ref="AO527">IFERROR(INDEX(Transactions[[Transaction code]:[Transaction name]],_xlfn.XMATCH(INDEX(Transactions[[Transaction name]:[Parent code]],_xlfn.XMATCH(Transactions[[#This Row],[L4N]],Transactions[Transaction name],0),3),Transactions[Transaction code],0),2),Transactions[[#This Row],[L4N]])</f>
        <v>Transformation</v>
      </c>
      <c r="AP527" s="24" t="str" cm="1">
        <f t="array" ref="AP527">IFERROR(INDEX(Transactions[[Transaction code]:[Transaction name]],_xlfn.XMATCH(INDEX(Transactions[[Transaction name]:[Parent code]],_xlfn.XMATCH(Transactions[[#This Row],[L5N]],Transactions[Transaction name],0),3),Transactions[Transaction code],0),2),Transactions[[#This Row],[L5N]])</f>
        <v>Transformation</v>
      </c>
      <c r="AQ527" s="24" t="str" cm="1">
        <f t="array" ref="AQ527">IFERROR(INDEX(Transactions[[Transaction code]:[Transaction name]],_xlfn.XMATCH(INDEX(Transactions[[Transaction name]:[Parent code]],_xlfn.XMATCH(Transactions[[#This Row],[L6N]],Transactions[Transaction name],0),3),Transactions[Transaction code],0),2),Transactions[[#This Row],[L6N]])</f>
        <v>Transformation</v>
      </c>
      <c r="AR527" s="28" t="str">
        <f>IF(Transactions[[#This Row],[L7N]]=Transactions[[#This Row],[L6N]],Transactions[[#This Row],[L7N]],IF(Transactions[[#This Row],[L6N]]=Transactions[[#This Row],[L5N]],Transactions[[#This Row],[L6N]],IF(Transactions[[#This Row],[L5N]]=Transactions[[#This Row],[L4N]],Transactions[[#This Row],[L5N]],IF(Transactions[[#This Row],[L4N]]=Transactions[[#This Row],[L3N]],Transactions[[#This Row],[L4N]],IF(Transactions[[#This Row],[L3N]]=Transactions[[#This Row],[L2N]],Transactions[[#This Row],[L3N]],IF(Transactions[[#This Row],[L2N]]=Transactions[[#This Row],[L1N]],Transactions[[#This Row],[L2N]],IF(Transactions[[#This Row],[L1N]]=Transactions[[#This Row],[Transaction name]],Transactions[[#This Row],[L1N]],Transactions[[#This Row],[Transaction name]])))))))</f>
        <v>Transformation</v>
      </c>
      <c r="AS527" s="24" t="str">
        <f>IF(Transactions[[#This Row],[Level 0]]=Transactions[[#This Row],[Transaction name]],Transactions[[#This Row],[Transaction name]],IF(Transactions[[#This Row],[Level 0]]=Transactions[[#This Row],[L1N]],Transactions[[#This Row],[Transaction name]],IF(Transactions[[#This Row],[Level 0]]=Transactions[[#This Row],[L2N]],Transactions[[#This Row],[L1N]],IF(Transactions[[#This Row],[Level 0]]=Transactions[[#This Row],[L3N]],Transactions[[#This Row],[L2N]],IF(Transactions[[#This Row],[Level 0]]=Transactions[[#This Row],[L4N]],Transactions[[#This Row],[L3N]],IF(Transactions[[#This Row],[Level 0]]=Transactions[[#This Row],[L5N]],Transactions[[#This Row],[L4N]],IF(Transactions[[#This Row],[Level 0]]=Transactions[[#This Row],[L6N]],Transactions[[#This Row],[L5N]],IF(Transactions[[#This Row],[Level 0]]=Transactions[[#This Row],[L7N]],Transactions[[#This Row],[L6N]],Transactions[[#This Row],[L7N]]))))))))</f>
        <v>Gas-to-liquid (GTL) plants (T)</v>
      </c>
      <c r="AT527" s="24" t="str">
        <f>IF(Transactions[[#This Row],[Level 1]]=Transactions[[#This Row],[Transaction name]],Transactions[[#This Row],[Transaction name]],IF(Transactions[[#This Row],[Level 1]]=Transactions[[#This Row],[L1N]],Transactions[[#This Row],[Transaction name]],IF(Transactions[[#This Row],[Level 1]]=Transactions[[#This Row],[L2N]],Transactions[[#This Row],[L1N]],IF(Transactions[[#This Row],[Level 1]]=Transactions[[#This Row],[L3N]],Transactions[[#This Row],[L2N]],IF(Transactions[[#This Row],[Level 1]]=Transactions[[#This Row],[L4N]],Transactions[[#This Row],[L3N]],IF(Transactions[[#This Row],[Level 1]]=Transactions[[#This Row],[L5N]],Transactions[[#This Row],[L4N]],IF(Transactions[[#This Row],[Level 1]]=Transactions[[#This Row],[L6N]],Transactions[[#This Row],[L5N]],IF(Transactions[[#This Row],[Level 1]]=Transactions[[#This Row],[L7N]],Transactions[[#This Row],[L6N]],Transactions[[#This Row],[L7N]]))))))))</f>
        <v>Gas-to-liquid (GTL) plants (T)</v>
      </c>
      <c r="AU527" s="24" t="str">
        <f>IF(Transactions[[#This Row],[Level 2]]=Transactions[[#This Row],[Transaction name]],Transactions[[#This Row],[Transaction name]],IF(Transactions[[#This Row],[Level 2]]=Transactions[[#This Row],[L1N]],Transactions[[#This Row],[Transaction name]],IF(Transactions[[#This Row],[Level 2]]=Transactions[[#This Row],[L2N]],Transactions[[#This Row],[L1N]],IF(Transactions[[#This Row],[Level 2]]=Transactions[[#This Row],[L3N]],Transactions[[#This Row],[L2N]],IF(Transactions[[#This Row],[Level 2]]=Transactions[[#This Row],[L4N]],Transactions[[#This Row],[L3N]],IF(Transactions[[#This Row],[Level 2]]=Transactions[[#This Row],[L5N]],Transactions[[#This Row],[L4N]],IF(Transactions[[#This Row],[Level 2]]=Transactions[[#This Row],[L6N]],Transactions[[#This Row],[L5N]],IF(Transactions[[#This Row],[Level 2]]=Transactions[[#This Row],[L7N]],Transactions[[#This Row],[L6N]],Transactions[[#This Row],[L7N]]))))))))</f>
        <v>Gas-to-liquid (GTL) plants (T)</v>
      </c>
      <c r="AV527" s="24" t="str">
        <f>IF(Transactions[[#This Row],[Level 3]]=Transactions[[#This Row],[Transaction name]],Transactions[[#This Row],[Transaction name]],IF(Transactions[[#This Row],[Level 3]]=Transactions[[#This Row],[L1N]],Transactions[[#This Row],[Transaction name]],IF(Transactions[[#This Row],[Level 3]]=Transactions[[#This Row],[L2N]],Transactions[[#This Row],[L1N]],IF(Transactions[[#This Row],[Level 3]]=Transactions[[#This Row],[L3N]],Transactions[[#This Row],[L2N]],IF(Transactions[[#This Row],[Level 3]]=Transactions[[#This Row],[L4N]],Transactions[[#This Row],[L3N]],IF(Transactions[[#This Row],[Level 3]]=Transactions[[#This Row],[L5N]],Transactions[[#This Row],[L4N]],IF(Transactions[[#This Row],[Level 3]]=Transactions[[#This Row],[L6N]],Transactions[[#This Row],[L5N]],IF(Transactions[[#This Row],[Level 3]]=Transactions[[#This Row],[L7N]],Transactions[[#This Row],[L6N]],Transactions[[#This Row],[L7N]]))))))))</f>
        <v>Gas-to-liquid (GTL) plants (T)</v>
      </c>
      <c r="AW527" s="24" t="str">
        <f>IF(Transactions[[#This Row],[Level 4]]=Transactions[[#This Row],[Transaction name]],Transactions[[#This Row],[Transaction name]],IF(Transactions[[#This Row],[Level 4]]=Transactions[[#This Row],[L1N]],Transactions[[#This Row],[Transaction name]],IF(Transactions[[#This Row],[Level 4]]=Transactions[[#This Row],[L2N]],Transactions[[#This Row],[L1N]],IF(Transactions[[#This Row],[Level 4]]=Transactions[[#This Row],[L3N]],Transactions[[#This Row],[L2N]],IF(Transactions[[#This Row],[Level 4]]=Transactions[[#This Row],[L4N]],Transactions[[#This Row],[L3N]],IF(Transactions[[#This Row],[Level 4]]=Transactions[[#This Row],[L5N]],Transactions[[#This Row],[L4N]],IF(Transactions[[#This Row],[Level 4]]=Transactions[[#This Row],[L6N]],Transactions[[#This Row],[L5N]],IF(Transactions[[#This Row],[Level 4]]=Transactions[[#This Row],[L7N]],Transactions[[#This Row],[L6N]],Transactions[[#This Row],[L7N]]))))))))</f>
        <v>Gas-to-liquid (GTL) plants (T)</v>
      </c>
      <c r="AX527" s="24" t="str">
        <f>IF(Transactions[[#This Row],[Level 5]]=Transactions[[#This Row],[Transaction name]],Transactions[[#This Row],[Transaction name]],IF(Transactions[[#This Row],[Level 5]]=Transactions[[#This Row],[L1N]],Transactions[[#This Row],[Transaction name]],IF(Transactions[[#This Row],[Level 5]]=Transactions[[#This Row],[L2N]],Transactions[[#This Row],[L1N]],IF(Transactions[[#This Row],[Level 5]]=Transactions[[#This Row],[L3N]],Transactions[[#This Row],[L2N]],IF(Transactions[[#This Row],[Level 5]]=Transactions[[#This Row],[L4N]],Transactions[[#This Row],[L3N]],IF(Transactions[[#This Row],[Level 5]]=Transactions[[#This Row],[L5N]],Transactions[[#This Row],[L4N]],IF(Transactions[[#This Row],[Level 5]]=Transactions[[#This Row],[L6N]],Transactions[[#This Row],[L5N]],IF(Transactions[[#This Row],[Level 5]]=Transactions[[#This Row],[L7N]],Transactions[[#This Row],[L6N]],Transactions[[#This Row],[L7N]]))))))))</f>
        <v>Gas-to-liquid (GTL) plants (T)</v>
      </c>
      <c r="AY527" s="24" t="str">
        <f>IF(Transactions[[#This Row],[Level 6]]=Transactions[[#This Row],[Transaction name]],Transactions[[#This Row],[Transaction name]],IF(Transactions[[#This Row],[Level 6]]=Transactions[[#This Row],[L1N]],Transactions[[#This Row],[Transaction name]],IF(Transactions[[#This Row],[Level 6]]=Transactions[[#This Row],[L2N]],Transactions[[#This Row],[L1N]],IF(Transactions[[#This Row],[Level 6]]=Transactions[[#This Row],[L3N]],Transactions[[#This Row],[L2N]],IF(Transactions[[#This Row],[Level 6]]=Transactions[[#This Row],[L4N]],Transactions[[#This Row],[L3N]],IF(Transactions[[#This Row],[Level 6]]=Transactions[[#This Row],[L5N]],Transactions[[#This Row],[L4N]],IF(Transactions[[#This Row],[Level 6]]=Transactions[[#This Row],[L6N]],Transactions[[#This Row],[L5N]],IF(Transactions[[#This Row],[Level 6]]=Transactions[[#This Row],[L7N]],Transactions[[#This Row],[L6N]],Transactions[[#This Row],[L7N]]))))))))</f>
        <v>Gas-to-liquid (GTL) plants (T)</v>
      </c>
    </row>
    <row r="528" spans="25:51" x14ac:dyDescent="0.45">
      <c r="Y528" s="5" t="s">
        <v>178</v>
      </c>
      <c r="Z528" s="4" t="s">
        <v>729</v>
      </c>
      <c r="AA528" s="4" t="s">
        <v>729</v>
      </c>
      <c r="AB528" s="6" t="s">
        <v>164</v>
      </c>
      <c r="AC528" s="24" t="str">
        <f>IFERROR(VLOOKUP(Transactions[[#This Row],[Parent code]],Transactions[[Transaction code]:[Transaction name]],2,0),"")</f>
        <v>Transformation</v>
      </c>
      <c r="AD528" s="4" t="s">
        <v>189</v>
      </c>
      <c r="AE528" s="4" t="s">
        <v>933</v>
      </c>
      <c r="AF528" s="4" t="s">
        <v>642</v>
      </c>
      <c r="AG528" s="4" t="s">
        <v>1</v>
      </c>
      <c r="AH528" s="4" t="s">
        <v>695</v>
      </c>
      <c r="AK528" s="24" t="str" cm="1">
        <f t="array" ref="AK528">IFERROR(INDEX(Transactions[[Transaction code]:[Transaction name]],_xlfn.XMATCH(Transactions[[#This Row],[Parent code]],Transactions[Transaction name],0),3),Transactions[[#This Row],[Transaction name]])</f>
        <v>Natural gas blending plants (T)</v>
      </c>
      <c r="AL528" s="24" t="str" cm="1">
        <f t="array" ref="AL528">IFERROR(INDEX(Transactions[[Transaction code]:[Transaction name]],_xlfn.XMATCH(INDEX(Transactions[[Transaction name]:[Parent code]],_xlfn.XMATCH(Transactions[[#This Row],[L1N]],Transactions[Transaction name],0),3),Transactions[Transaction code],0),2),Transactions[[#This Row],[L1N]])</f>
        <v>Transformation</v>
      </c>
      <c r="AM528" s="24" t="str" cm="1">
        <f t="array" ref="AM528">IFERROR(INDEX(Transactions[[Transaction code]:[Transaction name]],_xlfn.XMATCH(INDEX(Transactions[[Transaction name]:[Parent code]],_xlfn.XMATCH(Transactions[[#This Row],[L2N]],Transactions[Transaction name],0),3),Transactions[Transaction code],0),2),Transactions[[#This Row],[L2N]])</f>
        <v>Transformation</v>
      </c>
      <c r="AN528" s="24" t="str" cm="1">
        <f t="array" ref="AN528">IFERROR(INDEX(Transactions[[Transaction code]:[Transaction name]],_xlfn.XMATCH(INDEX(Transactions[[Transaction name]:[Parent code]],_xlfn.XMATCH(Transactions[[#This Row],[L3N]],Transactions[Transaction name],0),3),Transactions[Transaction code],0),2),Transactions[[#This Row],[L3N]])</f>
        <v>Transformation</v>
      </c>
      <c r="AO528" s="24" t="str" cm="1">
        <f t="array" ref="AO528">IFERROR(INDEX(Transactions[[Transaction code]:[Transaction name]],_xlfn.XMATCH(INDEX(Transactions[[Transaction name]:[Parent code]],_xlfn.XMATCH(Transactions[[#This Row],[L4N]],Transactions[Transaction name],0),3),Transactions[Transaction code],0),2),Transactions[[#This Row],[L4N]])</f>
        <v>Transformation</v>
      </c>
      <c r="AP528" s="24" t="str" cm="1">
        <f t="array" ref="AP528">IFERROR(INDEX(Transactions[[Transaction code]:[Transaction name]],_xlfn.XMATCH(INDEX(Transactions[[Transaction name]:[Parent code]],_xlfn.XMATCH(Transactions[[#This Row],[L5N]],Transactions[Transaction name],0),3),Transactions[Transaction code],0),2),Transactions[[#This Row],[L5N]])</f>
        <v>Transformation</v>
      </c>
      <c r="AQ528" s="24" t="str" cm="1">
        <f t="array" ref="AQ528">IFERROR(INDEX(Transactions[[Transaction code]:[Transaction name]],_xlfn.XMATCH(INDEX(Transactions[[Transaction name]:[Parent code]],_xlfn.XMATCH(Transactions[[#This Row],[L6N]],Transactions[Transaction name],0),3),Transactions[Transaction code],0),2),Transactions[[#This Row],[L6N]])</f>
        <v>Transformation</v>
      </c>
      <c r="AR528" s="28" t="str">
        <f>IF(Transactions[[#This Row],[L7N]]=Transactions[[#This Row],[L6N]],Transactions[[#This Row],[L7N]],IF(Transactions[[#This Row],[L6N]]=Transactions[[#This Row],[L5N]],Transactions[[#This Row],[L6N]],IF(Transactions[[#This Row],[L5N]]=Transactions[[#This Row],[L4N]],Transactions[[#This Row],[L5N]],IF(Transactions[[#This Row],[L4N]]=Transactions[[#This Row],[L3N]],Transactions[[#This Row],[L4N]],IF(Transactions[[#This Row],[L3N]]=Transactions[[#This Row],[L2N]],Transactions[[#This Row],[L3N]],IF(Transactions[[#This Row],[L2N]]=Transactions[[#This Row],[L1N]],Transactions[[#This Row],[L2N]],IF(Transactions[[#This Row],[L1N]]=Transactions[[#This Row],[Transaction name]],Transactions[[#This Row],[L1N]],Transactions[[#This Row],[Transaction name]])))))))</f>
        <v>Transformation</v>
      </c>
      <c r="AS528" s="24" t="str">
        <f>IF(Transactions[[#This Row],[Level 0]]=Transactions[[#This Row],[Transaction name]],Transactions[[#This Row],[Transaction name]],IF(Transactions[[#This Row],[Level 0]]=Transactions[[#This Row],[L1N]],Transactions[[#This Row],[Transaction name]],IF(Transactions[[#This Row],[Level 0]]=Transactions[[#This Row],[L2N]],Transactions[[#This Row],[L1N]],IF(Transactions[[#This Row],[Level 0]]=Transactions[[#This Row],[L3N]],Transactions[[#This Row],[L2N]],IF(Transactions[[#This Row],[Level 0]]=Transactions[[#This Row],[L4N]],Transactions[[#This Row],[L3N]],IF(Transactions[[#This Row],[Level 0]]=Transactions[[#This Row],[L5N]],Transactions[[#This Row],[L4N]],IF(Transactions[[#This Row],[Level 0]]=Transactions[[#This Row],[L6N]],Transactions[[#This Row],[L5N]],IF(Transactions[[#This Row],[Level 0]]=Transactions[[#This Row],[L7N]],Transactions[[#This Row],[L6N]],Transactions[[#This Row],[L7N]]))))))))</f>
        <v>Natural gas blending plants (T)</v>
      </c>
      <c r="AT528" s="24" t="str">
        <f>IF(Transactions[[#This Row],[Level 1]]=Transactions[[#This Row],[Transaction name]],Transactions[[#This Row],[Transaction name]],IF(Transactions[[#This Row],[Level 1]]=Transactions[[#This Row],[L1N]],Transactions[[#This Row],[Transaction name]],IF(Transactions[[#This Row],[Level 1]]=Transactions[[#This Row],[L2N]],Transactions[[#This Row],[L1N]],IF(Transactions[[#This Row],[Level 1]]=Transactions[[#This Row],[L3N]],Transactions[[#This Row],[L2N]],IF(Transactions[[#This Row],[Level 1]]=Transactions[[#This Row],[L4N]],Transactions[[#This Row],[L3N]],IF(Transactions[[#This Row],[Level 1]]=Transactions[[#This Row],[L5N]],Transactions[[#This Row],[L4N]],IF(Transactions[[#This Row],[Level 1]]=Transactions[[#This Row],[L6N]],Transactions[[#This Row],[L5N]],IF(Transactions[[#This Row],[Level 1]]=Transactions[[#This Row],[L7N]],Transactions[[#This Row],[L6N]],Transactions[[#This Row],[L7N]]))))))))</f>
        <v>Natural gas blending plants (T)</v>
      </c>
      <c r="AU528" s="24" t="str">
        <f>IF(Transactions[[#This Row],[Level 2]]=Transactions[[#This Row],[Transaction name]],Transactions[[#This Row],[Transaction name]],IF(Transactions[[#This Row],[Level 2]]=Transactions[[#This Row],[L1N]],Transactions[[#This Row],[Transaction name]],IF(Transactions[[#This Row],[Level 2]]=Transactions[[#This Row],[L2N]],Transactions[[#This Row],[L1N]],IF(Transactions[[#This Row],[Level 2]]=Transactions[[#This Row],[L3N]],Transactions[[#This Row],[L2N]],IF(Transactions[[#This Row],[Level 2]]=Transactions[[#This Row],[L4N]],Transactions[[#This Row],[L3N]],IF(Transactions[[#This Row],[Level 2]]=Transactions[[#This Row],[L5N]],Transactions[[#This Row],[L4N]],IF(Transactions[[#This Row],[Level 2]]=Transactions[[#This Row],[L6N]],Transactions[[#This Row],[L5N]],IF(Transactions[[#This Row],[Level 2]]=Transactions[[#This Row],[L7N]],Transactions[[#This Row],[L6N]],Transactions[[#This Row],[L7N]]))))))))</f>
        <v>Natural gas blending plants (T)</v>
      </c>
      <c r="AV528" s="24" t="str">
        <f>IF(Transactions[[#This Row],[Level 3]]=Transactions[[#This Row],[Transaction name]],Transactions[[#This Row],[Transaction name]],IF(Transactions[[#This Row],[Level 3]]=Transactions[[#This Row],[L1N]],Transactions[[#This Row],[Transaction name]],IF(Transactions[[#This Row],[Level 3]]=Transactions[[#This Row],[L2N]],Transactions[[#This Row],[L1N]],IF(Transactions[[#This Row],[Level 3]]=Transactions[[#This Row],[L3N]],Transactions[[#This Row],[L2N]],IF(Transactions[[#This Row],[Level 3]]=Transactions[[#This Row],[L4N]],Transactions[[#This Row],[L3N]],IF(Transactions[[#This Row],[Level 3]]=Transactions[[#This Row],[L5N]],Transactions[[#This Row],[L4N]],IF(Transactions[[#This Row],[Level 3]]=Transactions[[#This Row],[L6N]],Transactions[[#This Row],[L5N]],IF(Transactions[[#This Row],[Level 3]]=Transactions[[#This Row],[L7N]],Transactions[[#This Row],[L6N]],Transactions[[#This Row],[L7N]]))))))))</f>
        <v>Natural gas blending plants (T)</v>
      </c>
      <c r="AW528" s="24" t="str">
        <f>IF(Transactions[[#This Row],[Level 4]]=Transactions[[#This Row],[Transaction name]],Transactions[[#This Row],[Transaction name]],IF(Transactions[[#This Row],[Level 4]]=Transactions[[#This Row],[L1N]],Transactions[[#This Row],[Transaction name]],IF(Transactions[[#This Row],[Level 4]]=Transactions[[#This Row],[L2N]],Transactions[[#This Row],[L1N]],IF(Transactions[[#This Row],[Level 4]]=Transactions[[#This Row],[L3N]],Transactions[[#This Row],[L2N]],IF(Transactions[[#This Row],[Level 4]]=Transactions[[#This Row],[L4N]],Transactions[[#This Row],[L3N]],IF(Transactions[[#This Row],[Level 4]]=Transactions[[#This Row],[L5N]],Transactions[[#This Row],[L4N]],IF(Transactions[[#This Row],[Level 4]]=Transactions[[#This Row],[L6N]],Transactions[[#This Row],[L5N]],IF(Transactions[[#This Row],[Level 4]]=Transactions[[#This Row],[L7N]],Transactions[[#This Row],[L6N]],Transactions[[#This Row],[L7N]]))))))))</f>
        <v>Natural gas blending plants (T)</v>
      </c>
      <c r="AX528" s="24" t="str">
        <f>IF(Transactions[[#This Row],[Level 5]]=Transactions[[#This Row],[Transaction name]],Transactions[[#This Row],[Transaction name]],IF(Transactions[[#This Row],[Level 5]]=Transactions[[#This Row],[L1N]],Transactions[[#This Row],[Transaction name]],IF(Transactions[[#This Row],[Level 5]]=Transactions[[#This Row],[L2N]],Transactions[[#This Row],[L1N]],IF(Transactions[[#This Row],[Level 5]]=Transactions[[#This Row],[L3N]],Transactions[[#This Row],[L2N]],IF(Transactions[[#This Row],[Level 5]]=Transactions[[#This Row],[L4N]],Transactions[[#This Row],[L3N]],IF(Transactions[[#This Row],[Level 5]]=Transactions[[#This Row],[L5N]],Transactions[[#This Row],[L4N]],IF(Transactions[[#This Row],[Level 5]]=Transactions[[#This Row],[L6N]],Transactions[[#This Row],[L5N]],IF(Transactions[[#This Row],[Level 5]]=Transactions[[#This Row],[L7N]],Transactions[[#This Row],[L6N]],Transactions[[#This Row],[L7N]]))))))))</f>
        <v>Natural gas blending plants (T)</v>
      </c>
      <c r="AY528" s="24" t="str">
        <f>IF(Transactions[[#This Row],[Level 6]]=Transactions[[#This Row],[Transaction name]],Transactions[[#This Row],[Transaction name]],IF(Transactions[[#This Row],[Level 6]]=Transactions[[#This Row],[L1N]],Transactions[[#This Row],[Transaction name]],IF(Transactions[[#This Row],[Level 6]]=Transactions[[#This Row],[L2N]],Transactions[[#This Row],[L1N]],IF(Transactions[[#This Row],[Level 6]]=Transactions[[#This Row],[L3N]],Transactions[[#This Row],[L2N]],IF(Transactions[[#This Row],[Level 6]]=Transactions[[#This Row],[L4N]],Transactions[[#This Row],[L3N]],IF(Transactions[[#This Row],[Level 6]]=Transactions[[#This Row],[L5N]],Transactions[[#This Row],[L4N]],IF(Transactions[[#This Row],[Level 6]]=Transactions[[#This Row],[L6N]],Transactions[[#This Row],[L5N]],IF(Transactions[[#This Row],[Level 6]]=Transactions[[#This Row],[L7N]],Transactions[[#This Row],[L6N]],Transactions[[#This Row],[L7N]]))))))))</f>
        <v>Natural gas blending plants (T)</v>
      </c>
    </row>
    <row r="529" spans="25:51" x14ac:dyDescent="0.45">
      <c r="Y529" s="5" t="s">
        <v>179</v>
      </c>
      <c r="Z529" s="4" t="s">
        <v>728</v>
      </c>
      <c r="AA529" s="4" t="s">
        <v>728</v>
      </c>
      <c r="AB529" s="6" t="s">
        <v>164</v>
      </c>
      <c r="AC529" s="24" t="str">
        <f>IFERROR(VLOOKUP(Transactions[[#This Row],[Parent code]],Transactions[[Transaction code]:[Transaction name]],2,0),"")</f>
        <v>Transformation</v>
      </c>
      <c r="AD529" s="4" t="s">
        <v>189</v>
      </c>
      <c r="AE529" s="4" t="s">
        <v>930</v>
      </c>
      <c r="AF529" s="4" t="s">
        <v>642</v>
      </c>
      <c r="AG529" s="4" t="s">
        <v>1</v>
      </c>
      <c r="AH529" s="4" t="s">
        <v>695</v>
      </c>
      <c r="AK529" s="24" t="str" cm="1">
        <f t="array" ref="AK529">IFERROR(INDEX(Transactions[[Transaction code]:[Transaction name]],_xlfn.XMATCH(Transactions[[#This Row],[Parent code]],Transactions[Transaction name],0),3),Transactions[[#This Row],[Transaction name]])</f>
        <v>Oil refineries (T)</v>
      </c>
      <c r="AL529" s="24" t="str" cm="1">
        <f t="array" ref="AL529">IFERROR(INDEX(Transactions[[Transaction code]:[Transaction name]],_xlfn.XMATCH(INDEX(Transactions[[Transaction name]:[Parent code]],_xlfn.XMATCH(Transactions[[#This Row],[L1N]],Transactions[Transaction name],0),3),Transactions[Transaction code],0),2),Transactions[[#This Row],[L1N]])</f>
        <v>Transformation</v>
      </c>
      <c r="AM529" s="24" t="str" cm="1">
        <f t="array" ref="AM529">IFERROR(INDEX(Transactions[[Transaction code]:[Transaction name]],_xlfn.XMATCH(INDEX(Transactions[[Transaction name]:[Parent code]],_xlfn.XMATCH(Transactions[[#This Row],[L2N]],Transactions[Transaction name],0),3),Transactions[Transaction code],0),2),Transactions[[#This Row],[L2N]])</f>
        <v>Transformation</v>
      </c>
      <c r="AN529" s="24" t="str" cm="1">
        <f t="array" ref="AN529">IFERROR(INDEX(Transactions[[Transaction code]:[Transaction name]],_xlfn.XMATCH(INDEX(Transactions[[Transaction name]:[Parent code]],_xlfn.XMATCH(Transactions[[#This Row],[L3N]],Transactions[Transaction name],0),3),Transactions[Transaction code],0),2),Transactions[[#This Row],[L3N]])</f>
        <v>Transformation</v>
      </c>
      <c r="AO529" s="24" t="str" cm="1">
        <f t="array" ref="AO529">IFERROR(INDEX(Transactions[[Transaction code]:[Transaction name]],_xlfn.XMATCH(INDEX(Transactions[[Transaction name]:[Parent code]],_xlfn.XMATCH(Transactions[[#This Row],[L4N]],Transactions[Transaction name],0),3),Transactions[Transaction code],0),2),Transactions[[#This Row],[L4N]])</f>
        <v>Transformation</v>
      </c>
      <c r="AP529" s="24" t="str" cm="1">
        <f t="array" ref="AP529">IFERROR(INDEX(Transactions[[Transaction code]:[Transaction name]],_xlfn.XMATCH(INDEX(Transactions[[Transaction name]:[Parent code]],_xlfn.XMATCH(Transactions[[#This Row],[L5N]],Transactions[Transaction name],0),3),Transactions[Transaction code],0),2),Transactions[[#This Row],[L5N]])</f>
        <v>Transformation</v>
      </c>
      <c r="AQ529" s="24" t="str" cm="1">
        <f t="array" ref="AQ529">IFERROR(INDEX(Transactions[[Transaction code]:[Transaction name]],_xlfn.XMATCH(INDEX(Transactions[[Transaction name]:[Parent code]],_xlfn.XMATCH(Transactions[[#This Row],[L6N]],Transactions[Transaction name],0),3),Transactions[Transaction code],0),2),Transactions[[#This Row],[L6N]])</f>
        <v>Transformation</v>
      </c>
      <c r="AR529" s="28" t="str">
        <f>IF(Transactions[[#This Row],[L7N]]=Transactions[[#This Row],[L6N]],Transactions[[#This Row],[L7N]],IF(Transactions[[#This Row],[L6N]]=Transactions[[#This Row],[L5N]],Transactions[[#This Row],[L6N]],IF(Transactions[[#This Row],[L5N]]=Transactions[[#This Row],[L4N]],Transactions[[#This Row],[L5N]],IF(Transactions[[#This Row],[L4N]]=Transactions[[#This Row],[L3N]],Transactions[[#This Row],[L4N]],IF(Transactions[[#This Row],[L3N]]=Transactions[[#This Row],[L2N]],Transactions[[#This Row],[L3N]],IF(Transactions[[#This Row],[L2N]]=Transactions[[#This Row],[L1N]],Transactions[[#This Row],[L2N]],IF(Transactions[[#This Row],[L1N]]=Transactions[[#This Row],[Transaction name]],Transactions[[#This Row],[L1N]],Transactions[[#This Row],[Transaction name]])))))))</f>
        <v>Transformation</v>
      </c>
      <c r="AS529" s="24" t="str">
        <f>IF(Transactions[[#This Row],[Level 0]]=Transactions[[#This Row],[Transaction name]],Transactions[[#This Row],[Transaction name]],IF(Transactions[[#This Row],[Level 0]]=Transactions[[#This Row],[L1N]],Transactions[[#This Row],[Transaction name]],IF(Transactions[[#This Row],[Level 0]]=Transactions[[#This Row],[L2N]],Transactions[[#This Row],[L1N]],IF(Transactions[[#This Row],[Level 0]]=Transactions[[#This Row],[L3N]],Transactions[[#This Row],[L2N]],IF(Transactions[[#This Row],[Level 0]]=Transactions[[#This Row],[L4N]],Transactions[[#This Row],[L3N]],IF(Transactions[[#This Row],[Level 0]]=Transactions[[#This Row],[L5N]],Transactions[[#This Row],[L4N]],IF(Transactions[[#This Row],[Level 0]]=Transactions[[#This Row],[L6N]],Transactions[[#This Row],[L5N]],IF(Transactions[[#This Row],[Level 0]]=Transactions[[#This Row],[L7N]],Transactions[[#This Row],[L6N]],Transactions[[#This Row],[L7N]]))))))))</f>
        <v>Oil refineries (T)</v>
      </c>
      <c r="AT529" s="24" t="str">
        <f>IF(Transactions[[#This Row],[Level 1]]=Transactions[[#This Row],[Transaction name]],Transactions[[#This Row],[Transaction name]],IF(Transactions[[#This Row],[Level 1]]=Transactions[[#This Row],[L1N]],Transactions[[#This Row],[Transaction name]],IF(Transactions[[#This Row],[Level 1]]=Transactions[[#This Row],[L2N]],Transactions[[#This Row],[L1N]],IF(Transactions[[#This Row],[Level 1]]=Transactions[[#This Row],[L3N]],Transactions[[#This Row],[L2N]],IF(Transactions[[#This Row],[Level 1]]=Transactions[[#This Row],[L4N]],Transactions[[#This Row],[L3N]],IF(Transactions[[#This Row],[Level 1]]=Transactions[[#This Row],[L5N]],Transactions[[#This Row],[L4N]],IF(Transactions[[#This Row],[Level 1]]=Transactions[[#This Row],[L6N]],Transactions[[#This Row],[L5N]],IF(Transactions[[#This Row],[Level 1]]=Transactions[[#This Row],[L7N]],Transactions[[#This Row],[L6N]],Transactions[[#This Row],[L7N]]))))))))</f>
        <v>Oil refineries (T)</v>
      </c>
      <c r="AU529" s="24" t="str">
        <f>IF(Transactions[[#This Row],[Level 2]]=Transactions[[#This Row],[Transaction name]],Transactions[[#This Row],[Transaction name]],IF(Transactions[[#This Row],[Level 2]]=Transactions[[#This Row],[L1N]],Transactions[[#This Row],[Transaction name]],IF(Transactions[[#This Row],[Level 2]]=Transactions[[#This Row],[L2N]],Transactions[[#This Row],[L1N]],IF(Transactions[[#This Row],[Level 2]]=Transactions[[#This Row],[L3N]],Transactions[[#This Row],[L2N]],IF(Transactions[[#This Row],[Level 2]]=Transactions[[#This Row],[L4N]],Transactions[[#This Row],[L3N]],IF(Transactions[[#This Row],[Level 2]]=Transactions[[#This Row],[L5N]],Transactions[[#This Row],[L4N]],IF(Transactions[[#This Row],[Level 2]]=Transactions[[#This Row],[L6N]],Transactions[[#This Row],[L5N]],IF(Transactions[[#This Row],[Level 2]]=Transactions[[#This Row],[L7N]],Transactions[[#This Row],[L6N]],Transactions[[#This Row],[L7N]]))))))))</f>
        <v>Oil refineries (T)</v>
      </c>
      <c r="AV529" s="24" t="str">
        <f>IF(Transactions[[#This Row],[Level 3]]=Transactions[[#This Row],[Transaction name]],Transactions[[#This Row],[Transaction name]],IF(Transactions[[#This Row],[Level 3]]=Transactions[[#This Row],[L1N]],Transactions[[#This Row],[Transaction name]],IF(Transactions[[#This Row],[Level 3]]=Transactions[[#This Row],[L2N]],Transactions[[#This Row],[L1N]],IF(Transactions[[#This Row],[Level 3]]=Transactions[[#This Row],[L3N]],Transactions[[#This Row],[L2N]],IF(Transactions[[#This Row],[Level 3]]=Transactions[[#This Row],[L4N]],Transactions[[#This Row],[L3N]],IF(Transactions[[#This Row],[Level 3]]=Transactions[[#This Row],[L5N]],Transactions[[#This Row],[L4N]],IF(Transactions[[#This Row],[Level 3]]=Transactions[[#This Row],[L6N]],Transactions[[#This Row],[L5N]],IF(Transactions[[#This Row],[Level 3]]=Transactions[[#This Row],[L7N]],Transactions[[#This Row],[L6N]],Transactions[[#This Row],[L7N]]))))))))</f>
        <v>Oil refineries (T)</v>
      </c>
      <c r="AW529" s="24" t="str">
        <f>IF(Transactions[[#This Row],[Level 4]]=Transactions[[#This Row],[Transaction name]],Transactions[[#This Row],[Transaction name]],IF(Transactions[[#This Row],[Level 4]]=Transactions[[#This Row],[L1N]],Transactions[[#This Row],[Transaction name]],IF(Transactions[[#This Row],[Level 4]]=Transactions[[#This Row],[L2N]],Transactions[[#This Row],[L1N]],IF(Transactions[[#This Row],[Level 4]]=Transactions[[#This Row],[L3N]],Transactions[[#This Row],[L2N]],IF(Transactions[[#This Row],[Level 4]]=Transactions[[#This Row],[L4N]],Transactions[[#This Row],[L3N]],IF(Transactions[[#This Row],[Level 4]]=Transactions[[#This Row],[L5N]],Transactions[[#This Row],[L4N]],IF(Transactions[[#This Row],[Level 4]]=Transactions[[#This Row],[L6N]],Transactions[[#This Row],[L5N]],IF(Transactions[[#This Row],[Level 4]]=Transactions[[#This Row],[L7N]],Transactions[[#This Row],[L6N]],Transactions[[#This Row],[L7N]]))))))))</f>
        <v>Oil refineries (T)</v>
      </c>
      <c r="AX529" s="24" t="str">
        <f>IF(Transactions[[#This Row],[Level 5]]=Transactions[[#This Row],[Transaction name]],Transactions[[#This Row],[Transaction name]],IF(Transactions[[#This Row],[Level 5]]=Transactions[[#This Row],[L1N]],Transactions[[#This Row],[Transaction name]],IF(Transactions[[#This Row],[Level 5]]=Transactions[[#This Row],[L2N]],Transactions[[#This Row],[L1N]],IF(Transactions[[#This Row],[Level 5]]=Transactions[[#This Row],[L3N]],Transactions[[#This Row],[L2N]],IF(Transactions[[#This Row],[Level 5]]=Transactions[[#This Row],[L4N]],Transactions[[#This Row],[L3N]],IF(Transactions[[#This Row],[Level 5]]=Transactions[[#This Row],[L5N]],Transactions[[#This Row],[L4N]],IF(Transactions[[#This Row],[Level 5]]=Transactions[[#This Row],[L6N]],Transactions[[#This Row],[L5N]],IF(Transactions[[#This Row],[Level 5]]=Transactions[[#This Row],[L7N]],Transactions[[#This Row],[L6N]],Transactions[[#This Row],[L7N]]))))))))</f>
        <v>Oil refineries (T)</v>
      </c>
      <c r="AY529" s="24" t="str">
        <f>IF(Transactions[[#This Row],[Level 6]]=Transactions[[#This Row],[Transaction name]],Transactions[[#This Row],[Transaction name]],IF(Transactions[[#This Row],[Level 6]]=Transactions[[#This Row],[L1N]],Transactions[[#This Row],[Transaction name]],IF(Transactions[[#This Row],[Level 6]]=Transactions[[#This Row],[L2N]],Transactions[[#This Row],[L1N]],IF(Transactions[[#This Row],[Level 6]]=Transactions[[#This Row],[L3N]],Transactions[[#This Row],[L2N]],IF(Transactions[[#This Row],[Level 6]]=Transactions[[#This Row],[L4N]],Transactions[[#This Row],[L3N]],IF(Transactions[[#This Row],[Level 6]]=Transactions[[#This Row],[L5N]],Transactions[[#This Row],[L4N]],IF(Transactions[[#This Row],[Level 6]]=Transactions[[#This Row],[L6N]],Transactions[[#This Row],[L5N]],IF(Transactions[[#This Row],[Level 6]]=Transactions[[#This Row],[L7N]],Transactions[[#This Row],[L6N]],Transactions[[#This Row],[L7N]]))))))))</f>
        <v>Oil refineries (T)</v>
      </c>
    </row>
    <row r="530" spans="25:51" x14ac:dyDescent="0.45">
      <c r="Y530" s="5" t="s">
        <v>375</v>
      </c>
      <c r="Z530" s="4" t="s">
        <v>374</v>
      </c>
      <c r="AA530" s="4" t="s">
        <v>374</v>
      </c>
      <c r="AB530" s="6" t="s">
        <v>179</v>
      </c>
      <c r="AC530" s="24" t="str">
        <f>IFERROR(VLOOKUP(Transactions[[#This Row],[Parent code]],Transactions[[Transaction code]:[Transaction name]],2,0),"")</f>
        <v>Oil refineries (T)</v>
      </c>
      <c r="AD530" s="4" t="s">
        <v>189</v>
      </c>
      <c r="AE530" s="4" t="s">
        <v>930</v>
      </c>
      <c r="AF530" s="4" t="s">
        <v>642</v>
      </c>
      <c r="AG530" s="4" t="s">
        <v>1</v>
      </c>
      <c r="AH530" s="4" t="s">
        <v>696</v>
      </c>
      <c r="AK530" s="24" t="str" cm="1">
        <f t="array" ref="AK530">IFERROR(INDEX(Transactions[[Transaction code]:[Transaction name]],_xlfn.XMATCH(Transactions[[#This Row],[Parent code]],Transactions[Transaction name],0),3),Transactions[[#This Row],[Transaction name]])</f>
        <v>Production from refineries</v>
      </c>
      <c r="AL530" s="24" t="str" cm="1">
        <f t="array" ref="AL530">IFERROR(INDEX(Transactions[[Transaction code]:[Transaction name]],_xlfn.XMATCH(INDEX(Transactions[[Transaction name]:[Parent code]],_xlfn.XMATCH(Transactions[[#This Row],[L1N]],Transactions[Transaction name],0),3),Transactions[Transaction code],0),2),Transactions[[#This Row],[L1N]])</f>
        <v>Oil refineries (T)</v>
      </c>
      <c r="AM530" s="24" t="str" cm="1">
        <f t="array" ref="AM530">IFERROR(INDEX(Transactions[[Transaction code]:[Transaction name]],_xlfn.XMATCH(INDEX(Transactions[[Transaction name]:[Parent code]],_xlfn.XMATCH(Transactions[[#This Row],[L2N]],Transactions[Transaction name],0),3),Transactions[Transaction code],0),2),Transactions[[#This Row],[L2N]])</f>
        <v>Transformation</v>
      </c>
      <c r="AN530" s="24" t="str" cm="1">
        <f t="array" ref="AN530">IFERROR(INDEX(Transactions[[Transaction code]:[Transaction name]],_xlfn.XMATCH(INDEX(Transactions[[Transaction name]:[Parent code]],_xlfn.XMATCH(Transactions[[#This Row],[L3N]],Transactions[Transaction name],0),3),Transactions[Transaction code],0),2),Transactions[[#This Row],[L3N]])</f>
        <v>Transformation</v>
      </c>
      <c r="AO530" s="24" t="str" cm="1">
        <f t="array" ref="AO530">IFERROR(INDEX(Transactions[[Transaction code]:[Transaction name]],_xlfn.XMATCH(INDEX(Transactions[[Transaction name]:[Parent code]],_xlfn.XMATCH(Transactions[[#This Row],[L4N]],Transactions[Transaction name],0),3),Transactions[Transaction code],0),2),Transactions[[#This Row],[L4N]])</f>
        <v>Transformation</v>
      </c>
      <c r="AP530" s="24" t="str" cm="1">
        <f t="array" ref="AP530">IFERROR(INDEX(Transactions[[Transaction code]:[Transaction name]],_xlfn.XMATCH(INDEX(Transactions[[Transaction name]:[Parent code]],_xlfn.XMATCH(Transactions[[#This Row],[L5N]],Transactions[Transaction name],0),3),Transactions[Transaction code],0),2),Transactions[[#This Row],[L5N]])</f>
        <v>Transformation</v>
      </c>
      <c r="AQ530" s="24" t="str" cm="1">
        <f t="array" ref="AQ530">IFERROR(INDEX(Transactions[[Transaction code]:[Transaction name]],_xlfn.XMATCH(INDEX(Transactions[[Transaction name]:[Parent code]],_xlfn.XMATCH(Transactions[[#This Row],[L6N]],Transactions[Transaction name],0),3),Transactions[Transaction code],0),2),Transactions[[#This Row],[L6N]])</f>
        <v>Transformation</v>
      </c>
      <c r="AR530" s="28" t="str">
        <f>IF(Transactions[[#This Row],[L7N]]=Transactions[[#This Row],[L6N]],Transactions[[#This Row],[L7N]],IF(Transactions[[#This Row],[L6N]]=Transactions[[#This Row],[L5N]],Transactions[[#This Row],[L6N]],IF(Transactions[[#This Row],[L5N]]=Transactions[[#This Row],[L4N]],Transactions[[#This Row],[L5N]],IF(Transactions[[#This Row],[L4N]]=Transactions[[#This Row],[L3N]],Transactions[[#This Row],[L4N]],IF(Transactions[[#This Row],[L3N]]=Transactions[[#This Row],[L2N]],Transactions[[#This Row],[L3N]],IF(Transactions[[#This Row],[L2N]]=Transactions[[#This Row],[L1N]],Transactions[[#This Row],[L2N]],IF(Transactions[[#This Row],[L1N]]=Transactions[[#This Row],[Transaction name]],Transactions[[#This Row],[L1N]],Transactions[[#This Row],[Transaction name]])))))))</f>
        <v>Transformation</v>
      </c>
      <c r="AS530" s="24" t="str">
        <f>IF(Transactions[[#This Row],[Level 0]]=Transactions[[#This Row],[Transaction name]],Transactions[[#This Row],[Transaction name]],IF(Transactions[[#This Row],[Level 0]]=Transactions[[#This Row],[L1N]],Transactions[[#This Row],[Transaction name]],IF(Transactions[[#This Row],[Level 0]]=Transactions[[#This Row],[L2N]],Transactions[[#This Row],[L1N]],IF(Transactions[[#This Row],[Level 0]]=Transactions[[#This Row],[L3N]],Transactions[[#This Row],[L2N]],IF(Transactions[[#This Row],[Level 0]]=Transactions[[#This Row],[L4N]],Transactions[[#This Row],[L3N]],IF(Transactions[[#This Row],[Level 0]]=Transactions[[#This Row],[L5N]],Transactions[[#This Row],[L4N]],IF(Transactions[[#This Row],[Level 0]]=Transactions[[#This Row],[L6N]],Transactions[[#This Row],[L5N]],IF(Transactions[[#This Row],[Level 0]]=Transactions[[#This Row],[L7N]],Transactions[[#This Row],[L6N]],Transactions[[#This Row],[L7N]]))))))))</f>
        <v>Oil refineries (T)</v>
      </c>
      <c r="AT530" s="24" t="str">
        <f>IF(Transactions[[#This Row],[Level 1]]=Transactions[[#This Row],[Transaction name]],Transactions[[#This Row],[Transaction name]],IF(Transactions[[#This Row],[Level 1]]=Transactions[[#This Row],[L1N]],Transactions[[#This Row],[Transaction name]],IF(Transactions[[#This Row],[Level 1]]=Transactions[[#This Row],[L2N]],Transactions[[#This Row],[L1N]],IF(Transactions[[#This Row],[Level 1]]=Transactions[[#This Row],[L3N]],Transactions[[#This Row],[L2N]],IF(Transactions[[#This Row],[Level 1]]=Transactions[[#This Row],[L4N]],Transactions[[#This Row],[L3N]],IF(Transactions[[#This Row],[Level 1]]=Transactions[[#This Row],[L5N]],Transactions[[#This Row],[L4N]],IF(Transactions[[#This Row],[Level 1]]=Transactions[[#This Row],[L6N]],Transactions[[#This Row],[L5N]],IF(Transactions[[#This Row],[Level 1]]=Transactions[[#This Row],[L7N]],Transactions[[#This Row],[L6N]],Transactions[[#This Row],[L7N]]))))))))</f>
        <v>Production from refineries</v>
      </c>
      <c r="AU530" s="24" t="str">
        <f>IF(Transactions[[#This Row],[Level 2]]=Transactions[[#This Row],[Transaction name]],Transactions[[#This Row],[Transaction name]],IF(Transactions[[#This Row],[Level 2]]=Transactions[[#This Row],[L1N]],Transactions[[#This Row],[Transaction name]],IF(Transactions[[#This Row],[Level 2]]=Transactions[[#This Row],[L2N]],Transactions[[#This Row],[L1N]],IF(Transactions[[#This Row],[Level 2]]=Transactions[[#This Row],[L3N]],Transactions[[#This Row],[L2N]],IF(Transactions[[#This Row],[Level 2]]=Transactions[[#This Row],[L4N]],Transactions[[#This Row],[L3N]],IF(Transactions[[#This Row],[Level 2]]=Transactions[[#This Row],[L5N]],Transactions[[#This Row],[L4N]],IF(Transactions[[#This Row],[Level 2]]=Transactions[[#This Row],[L6N]],Transactions[[#This Row],[L5N]],IF(Transactions[[#This Row],[Level 2]]=Transactions[[#This Row],[L7N]],Transactions[[#This Row],[L6N]],Transactions[[#This Row],[L7N]]))))))))</f>
        <v>Production from refineries</v>
      </c>
      <c r="AV530" s="24" t="str">
        <f>IF(Transactions[[#This Row],[Level 3]]=Transactions[[#This Row],[Transaction name]],Transactions[[#This Row],[Transaction name]],IF(Transactions[[#This Row],[Level 3]]=Transactions[[#This Row],[L1N]],Transactions[[#This Row],[Transaction name]],IF(Transactions[[#This Row],[Level 3]]=Transactions[[#This Row],[L2N]],Transactions[[#This Row],[L1N]],IF(Transactions[[#This Row],[Level 3]]=Transactions[[#This Row],[L3N]],Transactions[[#This Row],[L2N]],IF(Transactions[[#This Row],[Level 3]]=Transactions[[#This Row],[L4N]],Transactions[[#This Row],[L3N]],IF(Transactions[[#This Row],[Level 3]]=Transactions[[#This Row],[L5N]],Transactions[[#This Row],[L4N]],IF(Transactions[[#This Row],[Level 3]]=Transactions[[#This Row],[L6N]],Transactions[[#This Row],[L5N]],IF(Transactions[[#This Row],[Level 3]]=Transactions[[#This Row],[L7N]],Transactions[[#This Row],[L6N]],Transactions[[#This Row],[L7N]]))))))))</f>
        <v>Production from refineries</v>
      </c>
      <c r="AW530" s="24" t="str">
        <f>IF(Transactions[[#This Row],[Level 4]]=Transactions[[#This Row],[Transaction name]],Transactions[[#This Row],[Transaction name]],IF(Transactions[[#This Row],[Level 4]]=Transactions[[#This Row],[L1N]],Transactions[[#This Row],[Transaction name]],IF(Transactions[[#This Row],[Level 4]]=Transactions[[#This Row],[L2N]],Transactions[[#This Row],[L1N]],IF(Transactions[[#This Row],[Level 4]]=Transactions[[#This Row],[L3N]],Transactions[[#This Row],[L2N]],IF(Transactions[[#This Row],[Level 4]]=Transactions[[#This Row],[L4N]],Transactions[[#This Row],[L3N]],IF(Transactions[[#This Row],[Level 4]]=Transactions[[#This Row],[L5N]],Transactions[[#This Row],[L4N]],IF(Transactions[[#This Row],[Level 4]]=Transactions[[#This Row],[L6N]],Transactions[[#This Row],[L5N]],IF(Transactions[[#This Row],[Level 4]]=Transactions[[#This Row],[L7N]],Transactions[[#This Row],[L6N]],Transactions[[#This Row],[L7N]]))))))))</f>
        <v>Production from refineries</v>
      </c>
      <c r="AX530" s="24" t="str">
        <f>IF(Transactions[[#This Row],[Level 5]]=Transactions[[#This Row],[Transaction name]],Transactions[[#This Row],[Transaction name]],IF(Transactions[[#This Row],[Level 5]]=Transactions[[#This Row],[L1N]],Transactions[[#This Row],[Transaction name]],IF(Transactions[[#This Row],[Level 5]]=Transactions[[#This Row],[L2N]],Transactions[[#This Row],[L1N]],IF(Transactions[[#This Row],[Level 5]]=Transactions[[#This Row],[L3N]],Transactions[[#This Row],[L2N]],IF(Transactions[[#This Row],[Level 5]]=Transactions[[#This Row],[L4N]],Transactions[[#This Row],[L3N]],IF(Transactions[[#This Row],[Level 5]]=Transactions[[#This Row],[L5N]],Transactions[[#This Row],[L4N]],IF(Transactions[[#This Row],[Level 5]]=Transactions[[#This Row],[L6N]],Transactions[[#This Row],[L5N]],IF(Transactions[[#This Row],[Level 5]]=Transactions[[#This Row],[L7N]],Transactions[[#This Row],[L6N]],Transactions[[#This Row],[L7N]]))))))))</f>
        <v>Production from refineries</v>
      </c>
      <c r="AY530" s="24" t="str">
        <f>IF(Transactions[[#This Row],[Level 6]]=Transactions[[#This Row],[Transaction name]],Transactions[[#This Row],[Transaction name]],IF(Transactions[[#This Row],[Level 6]]=Transactions[[#This Row],[L1N]],Transactions[[#This Row],[Transaction name]],IF(Transactions[[#This Row],[Level 6]]=Transactions[[#This Row],[L2N]],Transactions[[#This Row],[L1N]],IF(Transactions[[#This Row],[Level 6]]=Transactions[[#This Row],[L3N]],Transactions[[#This Row],[L2N]],IF(Transactions[[#This Row],[Level 6]]=Transactions[[#This Row],[L4N]],Transactions[[#This Row],[L3N]],IF(Transactions[[#This Row],[Level 6]]=Transactions[[#This Row],[L5N]],Transactions[[#This Row],[L4N]],IF(Transactions[[#This Row],[Level 6]]=Transactions[[#This Row],[L6N]],Transactions[[#This Row],[L5N]],IF(Transactions[[#This Row],[Level 6]]=Transactions[[#This Row],[L7N]],Transactions[[#This Row],[L6N]],Transactions[[#This Row],[L7N]]))))))))</f>
        <v>Production from refineries</v>
      </c>
    </row>
    <row r="531" spans="25:51" x14ac:dyDescent="0.45">
      <c r="Y531" s="5" t="s">
        <v>166</v>
      </c>
      <c r="Z531" s="4" t="s">
        <v>165</v>
      </c>
      <c r="AA531" s="4" t="s">
        <v>165</v>
      </c>
      <c r="AB531" s="6" t="s">
        <v>164</v>
      </c>
      <c r="AC531" s="24" t="str">
        <f>IFERROR(VLOOKUP(Transactions[[#This Row],[Parent code]],Transactions[[Transaction code]:[Transaction name]],2,0),"")</f>
        <v>Transformation</v>
      </c>
      <c r="AD531" s="4" t="s">
        <v>189</v>
      </c>
      <c r="AE531" s="4" t="s">
        <v>165</v>
      </c>
      <c r="AF531" s="4" t="s">
        <v>642</v>
      </c>
      <c r="AG531" s="4" t="s">
        <v>1</v>
      </c>
      <c r="AH531" s="4" t="s">
        <v>695</v>
      </c>
      <c r="AK531" s="24" t="str" cm="1">
        <f t="array" ref="AK531">IFERROR(INDEX(Transactions[[Transaction code]:[Transaction name]],_xlfn.XMATCH(Transactions[[#This Row],[Parent code]],Transactions[Transaction name],0),3),Transactions[[#This Row],[Transaction name]])</f>
        <v>Other transformation</v>
      </c>
      <c r="AL531" s="24" t="str" cm="1">
        <f t="array" ref="AL531">IFERROR(INDEX(Transactions[[Transaction code]:[Transaction name]],_xlfn.XMATCH(INDEX(Transactions[[Transaction name]:[Parent code]],_xlfn.XMATCH(Transactions[[#This Row],[L1N]],Transactions[Transaction name],0),3),Transactions[Transaction code],0),2),Transactions[[#This Row],[L1N]])</f>
        <v>Transformation</v>
      </c>
      <c r="AM531" s="24" t="str" cm="1">
        <f t="array" ref="AM531">IFERROR(INDEX(Transactions[[Transaction code]:[Transaction name]],_xlfn.XMATCH(INDEX(Transactions[[Transaction name]:[Parent code]],_xlfn.XMATCH(Transactions[[#This Row],[L2N]],Transactions[Transaction name],0),3),Transactions[Transaction code],0),2),Transactions[[#This Row],[L2N]])</f>
        <v>Transformation</v>
      </c>
      <c r="AN531" s="24" t="str" cm="1">
        <f t="array" ref="AN531">IFERROR(INDEX(Transactions[[Transaction code]:[Transaction name]],_xlfn.XMATCH(INDEX(Transactions[[Transaction name]:[Parent code]],_xlfn.XMATCH(Transactions[[#This Row],[L3N]],Transactions[Transaction name],0),3),Transactions[Transaction code],0),2),Transactions[[#This Row],[L3N]])</f>
        <v>Transformation</v>
      </c>
      <c r="AO531" s="24" t="str" cm="1">
        <f t="array" ref="AO531">IFERROR(INDEX(Transactions[[Transaction code]:[Transaction name]],_xlfn.XMATCH(INDEX(Transactions[[Transaction name]:[Parent code]],_xlfn.XMATCH(Transactions[[#This Row],[L4N]],Transactions[Transaction name],0),3),Transactions[Transaction code],0),2),Transactions[[#This Row],[L4N]])</f>
        <v>Transformation</v>
      </c>
      <c r="AP531" s="24" t="str" cm="1">
        <f t="array" ref="AP531">IFERROR(INDEX(Transactions[[Transaction code]:[Transaction name]],_xlfn.XMATCH(INDEX(Transactions[[Transaction name]:[Parent code]],_xlfn.XMATCH(Transactions[[#This Row],[L5N]],Transactions[Transaction name],0),3),Transactions[Transaction code],0),2),Transactions[[#This Row],[L5N]])</f>
        <v>Transformation</v>
      </c>
      <c r="AQ531" s="24" t="str" cm="1">
        <f t="array" ref="AQ531">IFERROR(INDEX(Transactions[[Transaction code]:[Transaction name]],_xlfn.XMATCH(INDEX(Transactions[[Transaction name]:[Parent code]],_xlfn.XMATCH(Transactions[[#This Row],[L6N]],Transactions[Transaction name],0),3),Transactions[Transaction code],0),2),Transactions[[#This Row],[L6N]])</f>
        <v>Transformation</v>
      </c>
      <c r="AR531" s="28" t="str">
        <f>IF(Transactions[[#This Row],[L7N]]=Transactions[[#This Row],[L6N]],Transactions[[#This Row],[L7N]],IF(Transactions[[#This Row],[L6N]]=Transactions[[#This Row],[L5N]],Transactions[[#This Row],[L6N]],IF(Transactions[[#This Row],[L5N]]=Transactions[[#This Row],[L4N]],Transactions[[#This Row],[L5N]],IF(Transactions[[#This Row],[L4N]]=Transactions[[#This Row],[L3N]],Transactions[[#This Row],[L4N]],IF(Transactions[[#This Row],[L3N]]=Transactions[[#This Row],[L2N]],Transactions[[#This Row],[L3N]],IF(Transactions[[#This Row],[L2N]]=Transactions[[#This Row],[L1N]],Transactions[[#This Row],[L2N]],IF(Transactions[[#This Row],[L1N]]=Transactions[[#This Row],[Transaction name]],Transactions[[#This Row],[L1N]],Transactions[[#This Row],[Transaction name]])))))))</f>
        <v>Transformation</v>
      </c>
      <c r="AS531" s="24" t="str">
        <f>IF(Transactions[[#This Row],[Level 0]]=Transactions[[#This Row],[Transaction name]],Transactions[[#This Row],[Transaction name]],IF(Transactions[[#This Row],[Level 0]]=Transactions[[#This Row],[L1N]],Transactions[[#This Row],[Transaction name]],IF(Transactions[[#This Row],[Level 0]]=Transactions[[#This Row],[L2N]],Transactions[[#This Row],[L1N]],IF(Transactions[[#This Row],[Level 0]]=Transactions[[#This Row],[L3N]],Transactions[[#This Row],[L2N]],IF(Transactions[[#This Row],[Level 0]]=Transactions[[#This Row],[L4N]],Transactions[[#This Row],[L3N]],IF(Transactions[[#This Row],[Level 0]]=Transactions[[#This Row],[L5N]],Transactions[[#This Row],[L4N]],IF(Transactions[[#This Row],[Level 0]]=Transactions[[#This Row],[L6N]],Transactions[[#This Row],[L5N]],IF(Transactions[[#This Row],[Level 0]]=Transactions[[#This Row],[L7N]],Transactions[[#This Row],[L6N]],Transactions[[#This Row],[L7N]]))))))))</f>
        <v>Other transformation</v>
      </c>
      <c r="AT531" s="24" t="str">
        <f>IF(Transactions[[#This Row],[Level 1]]=Transactions[[#This Row],[Transaction name]],Transactions[[#This Row],[Transaction name]],IF(Transactions[[#This Row],[Level 1]]=Transactions[[#This Row],[L1N]],Transactions[[#This Row],[Transaction name]],IF(Transactions[[#This Row],[Level 1]]=Transactions[[#This Row],[L2N]],Transactions[[#This Row],[L1N]],IF(Transactions[[#This Row],[Level 1]]=Transactions[[#This Row],[L3N]],Transactions[[#This Row],[L2N]],IF(Transactions[[#This Row],[Level 1]]=Transactions[[#This Row],[L4N]],Transactions[[#This Row],[L3N]],IF(Transactions[[#This Row],[Level 1]]=Transactions[[#This Row],[L5N]],Transactions[[#This Row],[L4N]],IF(Transactions[[#This Row],[Level 1]]=Transactions[[#This Row],[L6N]],Transactions[[#This Row],[L5N]],IF(Transactions[[#This Row],[Level 1]]=Transactions[[#This Row],[L7N]],Transactions[[#This Row],[L6N]],Transactions[[#This Row],[L7N]]))))))))</f>
        <v>Other transformation</v>
      </c>
      <c r="AU531" s="24" t="str">
        <f>IF(Transactions[[#This Row],[Level 2]]=Transactions[[#This Row],[Transaction name]],Transactions[[#This Row],[Transaction name]],IF(Transactions[[#This Row],[Level 2]]=Transactions[[#This Row],[L1N]],Transactions[[#This Row],[Transaction name]],IF(Transactions[[#This Row],[Level 2]]=Transactions[[#This Row],[L2N]],Transactions[[#This Row],[L1N]],IF(Transactions[[#This Row],[Level 2]]=Transactions[[#This Row],[L3N]],Transactions[[#This Row],[L2N]],IF(Transactions[[#This Row],[Level 2]]=Transactions[[#This Row],[L4N]],Transactions[[#This Row],[L3N]],IF(Transactions[[#This Row],[Level 2]]=Transactions[[#This Row],[L5N]],Transactions[[#This Row],[L4N]],IF(Transactions[[#This Row],[Level 2]]=Transactions[[#This Row],[L6N]],Transactions[[#This Row],[L5N]],IF(Transactions[[#This Row],[Level 2]]=Transactions[[#This Row],[L7N]],Transactions[[#This Row],[L6N]],Transactions[[#This Row],[L7N]]))))))))</f>
        <v>Other transformation</v>
      </c>
      <c r="AV531" s="24" t="str">
        <f>IF(Transactions[[#This Row],[Level 3]]=Transactions[[#This Row],[Transaction name]],Transactions[[#This Row],[Transaction name]],IF(Transactions[[#This Row],[Level 3]]=Transactions[[#This Row],[L1N]],Transactions[[#This Row],[Transaction name]],IF(Transactions[[#This Row],[Level 3]]=Transactions[[#This Row],[L2N]],Transactions[[#This Row],[L1N]],IF(Transactions[[#This Row],[Level 3]]=Transactions[[#This Row],[L3N]],Transactions[[#This Row],[L2N]],IF(Transactions[[#This Row],[Level 3]]=Transactions[[#This Row],[L4N]],Transactions[[#This Row],[L3N]],IF(Transactions[[#This Row],[Level 3]]=Transactions[[#This Row],[L5N]],Transactions[[#This Row],[L4N]],IF(Transactions[[#This Row],[Level 3]]=Transactions[[#This Row],[L6N]],Transactions[[#This Row],[L5N]],IF(Transactions[[#This Row],[Level 3]]=Transactions[[#This Row],[L7N]],Transactions[[#This Row],[L6N]],Transactions[[#This Row],[L7N]]))))))))</f>
        <v>Other transformation</v>
      </c>
      <c r="AW531" s="24" t="str">
        <f>IF(Transactions[[#This Row],[Level 4]]=Transactions[[#This Row],[Transaction name]],Transactions[[#This Row],[Transaction name]],IF(Transactions[[#This Row],[Level 4]]=Transactions[[#This Row],[L1N]],Transactions[[#This Row],[Transaction name]],IF(Transactions[[#This Row],[Level 4]]=Transactions[[#This Row],[L2N]],Transactions[[#This Row],[L1N]],IF(Transactions[[#This Row],[Level 4]]=Transactions[[#This Row],[L3N]],Transactions[[#This Row],[L2N]],IF(Transactions[[#This Row],[Level 4]]=Transactions[[#This Row],[L4N]],Transactions[[#This Row],[L3N]],IF(Transactions[[#This Row],[Level 4]]=Transactions[[#This Row],[L5N]],Transactions[[#This Row],[L4N]],IF(Transactions[[#This Row],[Level 4]]=Transactions[[#This Row],[L6N]],Transactions[[#This Row],[L5N]],IF(Transactions[[#This Row],[Level 4]]=Transactions[[#This Row],[L7N]],Transactions[[#This Row],[L6N]],Transactions[[#This Row],[L7N]]))))))))</f>
        <v>Other transformation</v>
      </c>
      <c r="AX531" s="24" t="str">
        <f>IF(Transactions[[#This Row],[Level 5]]=Transactions[[#This Row],[Transaction name]],Transactions[[#This Row],[Transaction name]],IF(Transactions[[#This Row],[Level 5]]=Transactions[[#This Row],[L1N]],Transactions[[#This Row],[Transaction name]],IF(Transactions[[#This Row],[Level 5]]=Transactions[[#This Row],[L2N]],Transactions[[#This Row],[L1N]],IF(Transactions[[#This Row],[Level 5]]=Transactions[[#This Row],[L3N]],Transactions[[#This Row],[L2N]],IF(Transactions[[#This Row],[Level 5]]=Transactions[[#This Row],[L4N]],Transactions[[#This Row],[L3N]],IF(Transactions[[#This Row],[Level 5]]=Transactions[[#This Row],[L5N]],Transactions[[#This Row],[L4N]],IF(Transactions[[#This Row],[Level 5]]=Transactions[[#This Row],[L6N]],Transactions[[#This Row],[L5N]],IF(Transactions[[#This Row],[Level 5]]=Transactions[[#This Row],[L7N]],Transactions[[#This Row],[L6N]],Transactions[[#This Row],[L7N]]))))))))</f>
        <v>Other transformation</v>
      </c>
      <c r="AY531" s="24" t="str">
        <f>IF(Transactions[[#This Row],[Level 6]]=Transactions[[#This Row],[Transaction name]],Transactions[[#This Row],[Transaction name]],IF(Transactions[[#This Row],[Level 6]]=Transactions[[#This Row],[L1N]],Transactions[[#This Row],[Transaction name]],IF(Transactions[[#This Row],[Level 6]]=Transactions[[#This Row],[L2N]],Transactions[[#This Row],[L1N]],IF(Transactions[[#This Row],[Level 6]]=Transactions[[#This Row],[L3N]],Transactions[[#This Row],[L2N]],IF(Transactions[[#This Row],[Level 6]]=Transactions[[#This Row],[L4N]],Transactions[[#This Row],[L3N]],IF(Transactions[[#This Row],[Level 6]]=Transactions[[#This Row],[L5N]],Transactions[[#This Row],[L4N]],IF(Transactions[[#This Row],[Level 6]]=Transactions[[#This Row],[L6N]],Transactions[[#This Row],[L5N]],IF(Transactions[[#This Row],[Level 6]]=Transactions[[#This Row],[L7N]],Transactions[[#This Row],[L6N]],Transactions[[#This Row],[L7N]]))))))))</f>
        <v>Other transformation</v>
      </c>
    </row>
    <row r="532" spans="25:51" x14ac:dyDescent="0.45">
      <c r="Y532" s="5" t="s">
        <v>371</v>
      </c>
      <c r="Z532" s="4" t="s">
        <v>370</v>
      </c>
      <c r="AA532" s="4" t="s">
        <v>370</v>
      </c>
      <c r="AB532" s="6" t="s">
        <v>166</v>
      </c>
      <c r="AC532" s="24" t="str">
        <f>IFERROR(VLOOKUP(Transactions[[#This Row],[Parent code]],Transactions[[Transaction code]:[Transaction name]],2,0),"")</f>
        <v>Other transformation</v>
      </c>
      <c r="AD532" s="4" t="s">
        <v>189</v>
      </c>
      <c r="AE532" s="4" t="s">
        <v>165</v>
      </c>
      <c r="AF532" s="4" t="s">
        <v>642</v>
      </c>
      <c r="AG532" s="4" t="s">
        <v>1</v>
      </c>
      <c r="AH532" s="4" t="s">
        <v>696</v>
      </c>
      <c r="AK532" s="24" t="str" cm="1">
        <f t="array" ref="AK532">IFERROR(INDEX(Transactions[[Transaction code]:[Transaction name]],_xlfn.XMATCH(Transactions[[#This Row],[Parent code]],Transactions[Transaction name],0),3),Transactions[[#This Row],[Transaction name]])</f>
        <v>Production from plants</v>
      </c>
      <c r="AL532" s="24" t="str" cm="1">
        <f t="array" ref="AL532">IFERROR(INDEX(Transactions[[Transaction code]:[Transaction name]],_xlfn.XMATCH(INDEX(Transactions[[Transaction name]:[Parent code]],_xlfn.XMATCH(Transactions[[#This Row],[L1N]],Transactions[Transaction name],0),3),Transactions[Transaction code],0),2),Transactions[[#This Row],[L1N]])</f>
        <v>Other transformation</v>
      </c>
      <c r="AM532" s="24" t="str" cm="1">
        <f t="array" ref="AM532">IFERROR(INDEX(Transactions[[Transaction code]:[Transaction name]],_xlfn.XMATCH(INDEX(Transactions[[Transaction name]:[Parent code]],_xlfn.XMATCH(Transactions[[#This Row],[L2N]],Transactions[Transaction name],0),3),Transactions[Transaction code],0),2),Transactions[[#This Row],[L2N]])</f>
        <v>Transformation</v>
      </c>
      <c r="AN532" s="24" t="str" cm="1">
        <f t="array" ref="AN532">IFERROR(INDEX(Transactions[[Transaction code]:[Transaction name]],_xlfn.XMATCH(INDEX(Transactions[[Transaction name]:[Parent code]],_xlfn.XMATCH(Transactions[[#This Row],[L3N]],Transactions[Transaction name],0),3),Transactions[Transaction code],0),2),Transactions[[#This Row],[L3N]])</f>
        <v>Transformation</v>
      </c>
      <c r="AO532" s="24" t="str" cm="1">
        <f t="array" ref="AO532">IFERROR(INDEX(Transactions[[Transaction code]:[Transaction name]],_xlfn.XMATCH(INDEX(Transactions[[Transaction name]:[Parent code]],_xlfn.XMATCH(Transactions[[#This Row],[L4N]],Transactions[Transaction name],0),3),Transactions[Transaction code],0),2),Transactions[[#This Row],[L4N]])</f>
        <v>Transformation</v>
      </c>
      <c r="AP532" s="24" t="str" cm="1">
        <f t="array" ref="AP532">IFERROR(INDEX(Transactions[[Transaction code]:[Transaction name]],_xlfn.XMATCH(INDEX(Transactions[[Transaction name]:[Parent code]],_xlfn.XMATCH(Transactions[[#This Row],[L5N]],Transactions[Transaction name],0),3),Transactions[Transaction code],0),2),Transactions[[#This Row],[L5N]])</f>
        <v>Transformation</v>
      </c>
      <c r="AQ532" s="24" t="str" cm="1">
        <f t="array" ref="AQ532">IFERROR(INDEX(Transactions[[Transaction code]:[Transaction name]],_xlfn.XMATCH(INDEX(Transactions[[Transaction name]:[Parent code]],_xlfn.XMATCH(Transactions[[#This Row],[L6N]],Transactions[Transaction name],0),3),Transactions[Transaction code],0),2),Transactions[[#This Row],[L6N]])</f>
        <v>Transformation</v>
      </c>
      <c r="AR532" s="28" t="str">
        <f>IF(Transactions[[#This Row],[L7N]]=Transactions[[#This Row],[L6N]],Transactions[[#This Row],[L7N]],IF(Transactions[[#This Row],[L6N]]=Transactions[[#This Row],[L5N]],Transactions[[#This Row],[L6N]],IF(Transactions[[#This Row],[L5N]]=Transactions[[#This Row],[L4N]],Transactions[[#This Row],[L5N]],IF(Transactions[[#This Row],[L4N]]=Transactions[[#This Row],[L3N]],Transactions[[#This Row],[L4N]],IF(Transactions[[#This Row],[L3N]]=Transactions[[#This Row],[L2N]],Transactions[[#This Row],[L3N]],IF(Transactions[[#This Row],[L2N]]=Transactions[[#This Row],[L1N]],Transactions[[#This Row],[L2N]],IF(Transactions[[#This Row],[L1N]]=Transactions[[#This Row],[Transaction name]],Transactions[[#This Row],[L1N]],Transactions[[#This Row],[Transaction name]])))))))</f>
        <v>Transformation</v>
      </c>
      <c r="AS532" s="24" t="str">
        <f>IF(Transactions[[#This Row],[Level 0]]=Transactions[[#This Row],[Transaction name]],Transactions[[#This Row],[Transaction name]],IF(Transactions[[#This Row],[Level 0]]=Transactions[[#This Row],[L1N]],Transactions[[#This Row],[Transaction name]],IF(Transactions[[#This Row],[Level 0]]=Transactions[[#This Row],[L2N]],Transactions[[#This Row],[L1N]],IF(Transactions[[#This Row],[Level 0]]=Transactions[[#This Row],[L3N]],Transactions[[#This Row],[L2N]],IF(Transactions[[#This Row],[Level 0]]=Transactions[[#This Row],[L4N]],Transactions[[#This Row],[L3N]],IF(Transactions[[#This Row],[Level 0]]=Transactions[[#This Row],[L5N]],Transactions[[#This Row],[L4N]],IF(Transactions[[#This Row],[Level 0]]=Transactions[[#This Row],[L6N]],Transactions[[#This Row],[L5N]],IF(Transactions[[#This Row],[Level 0]]=Transactions[[#This Row],[L7N]],Transactions[[#This Row],[L6N]],Transactions[[#This Row],[L7N]]))))))))</f>
        <v>Other transformation</v>
      </c>
      <c r="AT532" s="24" t="str">
        <f>IF(Transactions[[#This Row],[Level 1]]=Transactions[[#This Row],[Transaction name]],Transactions[[#This Row],[Transaction name]],IF(Transactions[[#This Row],[Level 1]]=Transactions[[#This Row],[L1N]],Transactions[[#This Row],[Transaction name]],IF(Transactions[[#This Row],[Level 1]]=Transactions[[#This Row],[L2N]],Transactions[[#This Row],[L1N]],IF(Transactions[[#This Row],[Level 1]]=Transactions[[#This Row],[L3N]],Transactions[[#This Row],[L2N]],IF(Transactions[[#This Row],[Level 1]]=Transactions[[#This Row],[L4N]],Transactions[[#This Row],[L3N]],IF(Transactions[[#This Row],[Level 1]]=Transactions[[#This Row],[L5N]],Transactions[[#This Row],[L4N]],IF(Transactions[[#This Row],[Level 1]]=Transactions[[#This Row],[L6N]],Transactions[[#This Row],[L5N]],IF(Transactions[[#This Row],[Level 1]]=Transactions[[#This Row],[L7N]],Transactions[[#This Row],[L6N]],Transactions[[#This Row],[L7N]]))))))))</f>
        <v>Production from plants</v>
      </c>
      <c r="AU532" s="24" t="str">
        <f>IF(Transactions[[#This Row],[Level 2]]=Transactions[[#This Row],[Transaction name]],Transactions[[#This Row],[Transaction name]],IF(Transactions[[#This Row],[Level 2]]=Transactions[[#This Row],[L1N]],Transactions[[#This Row],[Transaction name]],IF(Transactions[[#This Row],[Level 2]]=Transactions[[#This Row],[L2N]],Transactions[[#This Row],[L1N]],IF(Transactions[[#This Row],[Level 2]]=Transactions[[#This Row],[L3N]],Transactions[[#This Row],[L2N]],IF(Transactions[[#This Row],[Level 2]]=Transactions[[#This Row],[L4N]],Transactions[[#This Row],[L3N]],IF(Transactions[[#This Row],[Level 2]]=Transactions[[#This Row],[L5N]],Transactions[[#This Row],[L4N]],IF(Transactions[[#This Row],[Level 2]]=Transactions[[#This Row],[L6N]],Transactions[[#This Row],[L5N]],IF(Transactions[[#This Row],[Level 2]]=Transactions[[#This Row],[L7N]],Transactions[[#This Row],[L6N]],Transactions[[#This Row],[L7N]]))))))))</f>
        <v>Production from plants</v>
      </c>
      <c r="AV532" s="24" t="str">
        <f>IF(Transactions[[#This Row],[Level 3]]=Transactions[[#This Row],[Transaction name]],Transactions[[#This Row],[Transaction name]],IF(Transactions[[#This Row],[Level 3]]=Transactions[[#This Row],[L1N]],Transactions[[#This Row],[Transaction name]],IF(Transactions[[#This Row],[Level 3]]=Transactions[[#This Row],[L2N]],Transactions[[#This Row],[L1N]],IF(Transactions[[#This Row],[Level 3]]=Transactions[[#This Row],[L3N]],Transactions[[#This Row],[L2N]],IF(Transactions[[#This Row],[Level 3]]=Transactions[[#This Row],[L4N]],Transactions[[#This Row],[L3N]],IF(Transactions[[#This Row],[Level 3]]=Transactions[[#This Row],[L5N]],Transactions[[#This Row],[L4N]],IF(Transactions[[#This Row],[Level 3]]=Transactions[[#This Row],[L6N]],Transactions[[#This Row],[L5N]],IF(Transactions[[#This Row],[Level 3]]=Transactions[[#This Row],[L7N]],Transactions[[#This Row],[L6N]],Transactions[[#This Row],[L7N]]))))))))</f>
        <v>Production from plants</v>
      </c>
      <c r="AW532" s="24" t="str">
        <f>IF(Transactions[[#This Row],[Level 4]]=Transactions[[#This Row],[Transaction name]],Transactions[[#This Row],[Transaction name]],IF(Transactions[[#This Row],[Level 4]]=Transactions[[#This Row],[L1N]],Transactions[[#This Row],[Transaction name]],IF(Transactions[[#This Row],[Level 4]]=Transactions[[#This Row],[L2N]],Transactions[[#This Row],[L1N]],IF(Transactions[[#This Row],[Level 4]]=Transactions[[#This Row],[L3N]],Transactions[[#This Row],[L2N]],IF(Transactions[[#This Row],[Level 4]]=Transactions[[#This Row],[L4N]],Transactions[[#This Row],[L3N]],IF(Transactions[[#This Row],[Level 4]]=Transactions[[#This Row],[L5N]],Transactions[[#This Row],[L4N]],IF(Transactions[[#This Row],[Level 4]]=Transactions[[#This Row],[L6N]],Transactions[[#This Row],[L5N]],IF(Transactions[[#This Row],[Level 4]]=Transactions[[#This Row],[L7N]],Transactions[[#This Row],[L6N]],Transactions[[#This Row],[L7N]]))))))))</f>
        <v>Production from plants</v>
      </c>
      <c r="AX532" s="24" t="str">
        <f>IF(Transactions[[#This Row],[Level 5]]=Transactions[[#This Row],[Transaction name]],Transactions[[#This Row],[Transaction name]],IF(Transactions[[#This Row],[Level 5]]=Transactions[[#This Row],[L1N]],Transactions[[#This Row],[Transaction name]],IF(Transactions[[#This Row],[Level 5]]=Transactions[[#This Row],[L2N]],Transactions[[#This Row],[L1N]],IF(Transactions[[#This Row],[Level 5]]=Transactions[[#This Row],[L3N]],Transactions[[#This Row],[L2N]],IF(Transactions[[#This Row],[Level 5]]=Transactions[[#This Row],[L4N]],Transactions[[#This Row],[L3N]],IF(Transactions[[#This Row],[Level 5]]=Transactions[[#This Row],[L5N]],Transactions[[#This Row],[L4N]],IF(Transactions[[#This Row],[Level 5]]=Transactions[[#This Row],[L6N]],Transactions[[#This Row],[L5N]],IF(Transactions[[#This Row],[Level 5]]=Transactions[[#This Row],[L7N]],Transactions[[#This Row],[L6N]],Transactions[[#This Row],[L7N]]))))))))</f>
        <v>Production from plants</v>
      </c>
      <c r="AY532" s="24" t="str">
        <f>IF(Transactions[[#This Row],[Level 6]]=Transactions[[#This Row],[Transaction name]],Transactions[[#This Row],[Transaction name]],IF(Transactions[[#This Row],[Level 6]]=Transactions[[#This Row],[L1N]],Transactions[[#This Row],[Transaction name]],IF(Transactions[[#This Row],[Level 6]]=Transactions[[#This Row],[L2N]],Transactions[[#This Row],[L1N]],IF(Transactions[[#This Row],[Level 6]]=Transactions[[#This Row],[L3N]],Transactions[[#This Row],[L2N]],IF(Transactions[[#This Row],[Level 6]]=Transactions[[#This Row],[L4N]],Transactions[[#This Row],[L3N]],IF(Transactions[[#This Row],[Level 6]]=Transactions[[#This Row],[L5N]],Transactions[[#This Row],[L4N]],IF(Transactions[[#This Row],[Level 6]]=Transactions[[#This Row],[L6N]],Transactions[[#This Row],[L5N]],IF(Transactions[[#This Row],[Level 6]]=Transactions[[#This Row],[L7N]],Transactions[[#This Row],[L6N]],Transactions[[#This Row],[L7N]]))))))))</f>
        <v>Production from plants</v>
      </c>
    </row>
    <row r="533" spans="25:51" x14ac:dyDescent="0.45">
      <c r="Y533" s="5" t="s">
        <v>180</v>
      </c>
      <c r="Z533" s="4" t="s">
        <v>727</v>
      </c>
      <c r="AA533" s="4" t="s">
        <v>727</v>
      </c>
      <c r="AB533" s="6" t="s">
        <v>164</v>
      </c>
      <c r="AC533" s="24" t="str">
        <f>IFERROR(VLOOKUP(Transactions[[#This Row],[Parent code]],Transactions[[Transaction code]:[Transaction name]],2,0),"")</f>
        <v>Transformation</v>
      </c>
      <c r="AD533" s="4" t="s">
        <v>189</v>
      </c>
      <c r="AE533" s="4" t="s">
        <v>929</v>
      </c>
      <c r="AF533" s="4" t="s">
        <v>642</v>
      </c>
      <c r="AG533" s="4" t="s">
        <v>1</v>
      </c>
      <c r="AH533" s="4" t="s">
        <v>695</v>
      </c>
      <c r="AK533" s="24" t="str" cm="1">
        <f t="array" ref="AK533">IFERROR(INDEX(Transactions[[Transaction code]:[Transaction name]],_xlfn.XMATCH(Transactions[[#This Row],[Parent code]],Transactions[Transaction name],0),3),Transactions[[#This Row],[Transaction name]])</f>
        <v>Petrochemical plants (T)</v>
      </c>
      <c r="AL533" s="24" t="str" cm="1">
        <f t="array" ref="AL533">IFERROR(INDEX(Transactions[[Transaction code]:[Transaction name]],_xlfn.XMATCH(INDEX(Transactions[[Transaction name]:[Parent code]],_xlfn.XMATCH(Transactions[[#This Row],[L1N]],Transactions[Transaction name],0),3),Transactions[Transaction code],0),2),Transactions[[#This Row],[L1N]])</f>
        <v>Transformation</v>
      </c>
      <c r="AM533" s="24" t="str" cm="1">
        <f t="array" ref="AM533">IFERROR(INDEX(Transactions[[Transaction code]:[Transaction name]],_xlfn.XMATCH(INDEX(Transactions[[Transaction name]:[Parent code]],_xlfn.XMATCH(Transactions[[#This Row],[L2N]],Transactions[Transaction name],0),3),Transactions[Transaction code],0),2),Transactions[[#This Row],[L2N]])</f>
        <v>Transformation</v>
      </c>
      <c r="AN533" s="24" t="str" cm="1">
        <f t="array" ref="AN533">IFERROR(INDEX(Transactions[[Transaction code]:[Transaction name]],_xlfn.XMATCH(INDEX(Transactions[[Transaction name]:[Parent code]],_xlfn.XMATCH(Transactions[[#This Row],[L3N]],Transactions[Transaction name],0),3),Transactions[Transaction code],0),2),Transactions[[#This Row],[L3N]])</f>
        <v>Transformation</v>
      </c>
      <c r="AO533" s="24" t="str" cm="1">
        <f t="array" ref="AO533">IFERROR(INDEX(Transactions[[Transaction code]:[Transaction name]],_xlfn.XMATCH(INDEX(Transactions[[Transaction name]:[Parent code]],_xlfn.XMATCH(Transactions[[#This Row],[L4N]],Transactions[Transaction name],0),3),Transactions[Transaction code],0),2),Transactions[[#This Row],[L4N]])</f>
        <v>Transformation</v>
      </c>
      <c r="AP533" s="24" t="str" cm="1">
        <f t="array" ref="AP533">IFERROR(INDEX(Transactions[[Transaction code]:[Transaction name]],_xlfn.XMATCH(INDEX(Transactions[[Transaction name]:[Parent code]],_xlfn.XMATCH(Transactions[[#This Row],[L5N]],Transactions[Transaction name],0),3),Transactions[Transaction code],0),2),Transactions[[#This Row],[L5N]])</f>
        <v>Transformation</v>
      </c>
      <c r="AQ533" s="24" t="str" cm="1">
        <f t="array" ref="AQ533">IFERROR(INDEX(Transactions[[Transaction code]:[Transaction name]],_xlfn.XMATCH(INDEX(Transactions[[Transaction name]:[Parent code]],_xlfn.XMATCH(Transactions[[#This Row],[L6N]],Transactions[Transaction name],0),3),Transactions[Transaction code],0),2),Transactions[[#This Row],[L6N]])</f>
        <v>Transformation</v>
      </c>
      <c r="AR533" s="28" t="str">
        <f>IF(Transactions[[#This Row],[L7N]]=Transactions[[#This Row],[L6N]],Transactions[[#This Row],[L7N]],IF(Transactions[[#This Row],[L6N]]=Transactions[[#This Row],[L5N]],Transactions[[#This Row],[L6N]],IF(Transactions[[#This Row],[L5N]]=Transactions[[#This Row],[L4N]],Transactions[[#This Row],[L5N]],IF(Transactions[[#This Row],[L4N]]=Transactions[[#This Row],[L3N]],Transactions[[#This Row],[L4N]],IF(Transactions[[#This Row],[L3N]]=Transactions[[#This Row],[L2N]],Transactions[[#This Row],[L3N]],IF(Transactions[[#This Row],[L2N]]=Transactions[[#This Row],[L1N]],Transactions[[#This Row],[L2N]],IF(Transactions[[#This Row],[L1N]]=Transactions[[#This Row],[Transaction name]],Transactions[[#This Row],[L1N]],Transactions[[#This Row],[Transaction name]])))))))</f>
        <v>Transformation</v>
      </c>
      <c r="AS533" s="24" t="str">
        <f>IF(Transactions[[#This Row],[Level 0]]=Transactions[[#This Row],[Transaction name]],Transactions[[#This Row],[Transaction name]],IF(Transactions[[#This Row],[Level 0]]=Transactions[[#This Row],[L1N]],Transactions[[#This Row],[Transaction name]],IF(Transactions[[#This Row],[Level 0]]=Transactions[[#This Row],[L2N]],Transactions[[#This Row],[L1N]],IF(Transactions[[#This Row],[Level 0]]=Transactions[[#This Row],[L3N]],Transactions[[#This Row],[L2N]],IF(Transactions[[#This Row],[Level 0]]=Transactions[[#This Row],[L4N]],Transactions[[#This Row],[L3N]],IF(Transactions[[#This Row],[Level 0]]=Transactions[[#This Row],[L5N]],Transactions[[#This Row],[L4N]],IF(Transactions[[#This Row],[Level 0]]=Transactions[[#This Row],[L6N]],Transactions[[#This Row],[L5N]],IF(Transactions[[#This Row],[Level 0]]=Transactions[[#This Row],[L7N]],Transactions[[#This Row],[L6N]],Transactions[[#This Row],[L7N]]))))))))</f>
        <v>Petrochemical plants (T)</v>
      </c>
      <c r="AT533" s="24" t="str">
        <f>IF(Transactions[[#This Row],[Level 1]]=Transactions[[#This Row],[Transaction name]],Transactions[[#This Row],[Transaction name]],IF(Transactions[[#This Row],[Level 1]]=Transactions[[#This Row],[L1N]],Transactions[[#This Row],[Transaction name]],IF(Transactions[[#This Row],[Level 1]]=Transactions[[#This Row],[L2N]],Transactions[[#This Row],[L1N]],IF(Transactions[[#This Row],[Level 1]]=Transactions[[#This Row],[L3N]],Transactions[[#This Row],[L2N]],IF(Transactions[[#This Row],[Level 1]]=Transactions[[#This Row],[L4N]],Transactions[[#This Row],[L3N]],IF(Transactions[[#This Row],[Level 1]]=Transactions[[#This Row],[L5N]],Transactions[[#This Row],[L4N]],IF(Transactions[[#This Row],[Level 1]]=Transactions[[#This Row],[L6N]],Transactions[[#This Row],[L5N]],IF(Transactions[[#This Row],[Level 1]]=Transactions[[#This Row],[L7N]],Transactions[[#This Row],[L6N]],Transactions[[#This Row],[L7N]]))))))))</f>
        <v>Petrochemical plants (T)</v>
      </c>
      <c r="AU533" s="24" t="str">
        <f>IF(Transactions[[#This Row],[Level 2]]=Transactions[[#This Row],[Transaction name]],Transactions[[#This Row],[Transaction name]],IF(Transactions[[#This Row],[Level 2]]=Transactions[[#This Row],[L1N]],Transactions[[#This Row],[Transaction name]],IF(Transactions[[#This Row],[Level 2]]=Transactions[[#This Row],[L2N]],Transactions[[#This Row],[L1N]],IF(Transactions[[#This Row],[Level 2]]=Transactions[[#This Row],[L3N]],Transactions[[#This Row],[L2N]],IF(Transactions[[#This Row],[Level 2]]=Transactions[[#This Row],[L4N]],Transactions[[#This Row],[L3N]],IF(Transactions[[#This Row],[Level 2]]=Transactions[[#This Row],[L5N]],Transactions[[#This Row],[L4N]],IF(Transactions[[#This Row],[Level 2]]=Transactions[[#This Row],[L6N]],Transactions[[#This Row],[L5N]],IF(Transactions[[#This Row],[Level 2]]=Transactions[[#This Row],[L7N]],Transactions[[#This Row],[L6N]],Transactions[[#This Row],[L7N]]))))))))</f>
        <v>Petrochemical plants (T)</v>
      </c>
      <c r="AV533" s="24" t="str">
        <f>IF(Transactions[[#This Row],[Level 3]]=Transactions[[#This Row],[Transaction name]],Transactions[[#This Row],[Transaction name]],IF(Transactions[[#This Row],[Level 3]]=Transactions[[#This Row],[L1N]],Transactions[[#This Row],[Transaction name]],IF(Transactions[[#This Row],[Level 3]]=Transactions[[#This Row],[L2N]],Transactions[[#This Row],[L1N]],IF(Transactions[[#This Row],[Level 3]]=Transactions[[#This Row],[L3N]],Transactions[[#This Row],[L2N]],IF(Transactions[[#This Row],[Level 3]]=Transactions[[#This Row],[L4N]],Transactions[[#This Row],[L3N]],IF(Transactions[[#This Row],[Level 3]]=Transactions[[#This Row],[L5N]],Transactions[[#This Row],[L4N]],IF(Transactions[[#This Row],[Level 3]]=Transactions[[#This Row],[L6N]],Transactions[[#This Row],[L5N]],IF(Transactions[[#This Row],[Level 3]]=Transactions[[#This Row],[L7N]],Transactions[[#This Row],[L6N]],Transactions[[#This Row],[L7N]]))))))))</f>
        <v>Petrochemical plants (T)</v>
      </c>
      <c r="AW533" s="24" t="str">
        <f>IF(Transactions[[#This Row],[Level 4]]=Transactions[[#This Row],[Transaction name]],Transactions[[#This Row],[Transaction name]],IF(Transactions[[#This Row],[Level 4]]=Transactions[[#This Row],[L1N]],Transactions[[#This Row],[Transaction name]],IF(Transactions[[#This Row],[Level 4]]=Transactions[[#This Row],[L2N]],Transactions[[#This Row],[L1N]],IF(Transactions[[#This Row],[Level 4]]=Transactions[[#This Row],[L3N]],Transactions[[#This Row],[L2N]],IF(Transactions[[#This Row],[Level 4]]=Transactions[[#This Row],[L4N]],Transactions[[#This Row],[L3N]],IF(Transactions[[#This Row],[Level 4]]=Transactions[[#This Row],[L5N]],Transactions[[#This Row],[L4N]],IF(Transactions[[#This Row],[Level 4]]=Transactions[[#This Row],[L6N]],Transactions[[#This Row],[L5N]],IF(Transactions[[#This Row],[Level 4]]=Transactions[[#This Row],[L7N]],Transactions[[#This Row],[L6N]],Transactions[[#This Row],[L7N]]))))))))</f>
        <v>Petrochemical plants (T)</v>
      </c>
      <c r="AX533" s="24" t="str">
        <f>IF(Transactions[[#This Row],[Level 5]]=Transactions[[#This Row],[Transaction name]],Transactions[[#This Row],[Transaction name]],IF(Transactions[[#This Row],[Level 5]]=Transactions[[#This Row],[L1N]],Transactions[[#This Row],[Transaction name]],IF(Transactions[[#This Row],[Level 5]]=Transactions[[#This Row],[L2N]],Transactions[[#This Row],[L1N]],IF(Transactions[[#This Row],[Level 5]]=Transactions[[#This Row],[L3N]],Transactions[[#This Row],[L2N]],IF(Transactions[[#This Row],[Level 5]]=Transactions[[#This Row],[L4N]],Transactions[[#This Row],[L3N]],IF(Transactions[[#This Row],[Level 5]]=Transactions[[#This Row],[L5N]],Transactions[[#This Row],[L4N]],IF(Transactions[[#This Row],[Level 5]]=Transactions[[#This Row],[L6N]],Transactions[[#This Row],[L5N]],IF(Transactions[[#This Row],[Level 5]]=Transactions[[#This Row],[L7N]],Transactions[[#This Row],[L6N]],Transactions[[#This Row],[L7N]]))))))))</f>
        <v>Petrochemical plants (T)</v>
      </c>
      <c r="AY533" s="24" t="str">
        <f>IF(Transactions[[#This Row],[Level 6]]=Transactions[[#This Row],[Transaction name]],Transactions[[#This Row],[Transaction name]],IF(Transactions[[#This Row],[Level 6]]=Transactions[[#This Row],[L1N]],Transactions[[#This Row],[Transaction name]],IF(Transactions[[#This Row],[Level 6]]=Transactions[[#This Row],[L2N]],Transactions[[#This Row],[L1N]],IF(Transactions[[#This Row],[Level 6]]=Transactions[[#This Row],[L3N]],Transactions[[#This Row],[L2N]],IF(Transactions[[#This Row],[Level 6]]=Transactions[[#This Row],[L4N]],Transactions[[#This Row],[L3N]],IF(Transactions[[#This Row],[Level 6]]=Transactions[[#This Row],[L5N]],Transactions[[#This Row],[L4N]],IF(Transactions[[#This Row],[Level 6]]=Transactions[[#This Row],[L6N]],Transactions[[#This Row],[L5N]],IF(Transactions[[#This Row],[Level 6]]=Transactions[[#This Row],[L7N]],Transactions[[#This Row],[L6N]],Transactions[[#This Row],[L7N]]))))))))</f>
        <v>Petrochemical plants (T)</v>
      </c>
    </row>
    <row r="534" spans="25:51" x14ac:dyDescent="0.45">
      <c r="Y534" s="5" t="s">
        <v>164</v>
      </c>
      <c r="Z534" s="4" t="s">
        <v>189</v>
      </c>
      <c r="AA534" s="4" t="s">
        <v>189</v>
      </c>
      <c r="AC534" s="24" t="str">
        <f>IFERROR(VLOOKUP(Transactions[[#This Row],[Parent code]],Transactions[[Transaction code]:[Transaction name]],2,0),"")</f>
        <v/>
      </c>
      <c r="AD534" s="4" t="s">
        <v>189</v>
      </c>
      <c r="AF534" s="4" t="s">
        <v>642</v>
      </c>
      <c r="AG534" s="4" t="s">
        <v>1</v>
      </c>
      <c r="AH534" s="4" t="s">
        <v>695</v>
      </c>
      <c r="AJ534" s="4" t="s">
        <v>0</v>
      </c>
      <c r="AK534" s="24" t="str" cm="1">
        <f t="array" ref="AK534">IFERROR(INDEX(Transactions[[Transaction code]:[Transaction name]],_xlfn.XMATCH(Transactions[[#This Row],[Parent code]],Transactions[Transaction name],0),3),Transactions[[#This Row],[Transaction name]])</f>
        <v>Transformation</v>
      </c>
      <c r="AL534" s="24" t="str" cm="1">
        <f t="array" ref="AL534">IFERROR(INDEX(Transactions[[Transaction code]:[Transaction name]],_xlfn.XMATCH(INDEX(Transactions[[Transaction name]:[Parent code]],_xlfn.XMATCH(Transactions[[#This Row],[L1N]],Transactions[Transaction name],0),3),Transactions[Transaction code],0),2),Transactions[[#This Row],[L1N]])</f>
        <v>Transformation</v>
      </c>
      <c r="AM534" s="24" t="str" cm="1">
        <f t="array" ref="AM534">IFERROR(INDEX(Transactions[[Transaction code]:[Transaction name]],_xlfn.XMATCH(INDEX(Transactions[[Transaction name]:[Parent code]],_xlfn.XMATCH(Transactions[[#This Row],[L2N]],Transactions[Transaction name],0),3),Transactions[Transaction code],0),2),Transactions[[#This Row],[L2N]])</f>
        <v>Transformation</v>
      </c>
      <c r="AN534" s="24" t="str" cm="1">
        <f t="array" ref="AN534">IFERROR(INDEX(Transactions[[Transaction code]:[Transaction name]],_xlfn.XMATCH(INDEX(Transactions[[Transaction name]:[Parent code]],_xlfn.XMATCH(Transactions[[#This Row],[L3N]],Transactions[Transaction name],0),3),Transactions[Transaction code],0),2),Transactions[[#This Row],[L3N]])</f>
        <v>Transformation</v>
      </c>
      <c r="AO534" s="24" t="str" cm="1">
        <f t="array" ref="AO534">IFERROR(INDEX(Transactions[[Transaction code]:[Transaction name]],_xlfn.XMATCH(INDEX(Transactions[[Transaction name]:[Parent code]],_xlfn.XMATCH(Transactions[[#This Row],[L4N]],Transactions[Transaction name],0),3),Transactions[Transaction code],0),2),Transactions[[#This Row],[L4N]])</f>
        <v>Transformation</v>
      </c>
      <c r="AP534" s="24" t="str" cm="1">
        <f t="array" ref="AP534">IFERROR(INDEX(Transactions[[Transaction code]:[Transaction name]],_xlfn.XMATCH(INDEX(Transactions[[Transaction name]:[Parent code]],_xlfn.XMATCH(Transactions[[#This Row],[L5N]],Transactions[Transaction name],0),3),Transactions[Transaction code],0),2),Transactions[[#This Row],[L5N]])</f>
        <v>Transformation</v>
      </c>
      <c r="AQ534" s="24" t="str" cm="1">
        <f t="array" ref="AQ534">IFERROR(INDEX(Transactions[[Transaction code]:[Transaction name]],_xlfn.XMATCH(INDEX(Transactions[[Transaction name]:[Parent code]],_xlfn.XMATCH(Transactions[[#This Row],[L6N]],Transactions[Transaction name],0),3),Transactions[Transaction code],0),2),Transactions[[#This Row],[L6N]])</f>
        <v>Transformation</v>
      </c>
      <c r="AR534" s="28" t="str">
        <f>IF(Transactions[[#This Row],[L7N]]=Transactions[[#This Row],[L6N]],Transactions[[#This Row],[L7N]],IF(Transactions[[#This Row],[L6N]]=Transactions[[#This Row],[L5N]],Transactions[[#This Row],[L6N]],IF(Transactions[[#This Row],[L5N]]=Transactions[[#This Row],[L4N]],Transactions[[#This Row],[L5N]],IF(Transactions[[#This Row],[L4N]]=Transactions[[#This Row],[L3N]],Transactions[[#This Row],[L4N]],IF(Transactions[[#This Row],[L3N]]=Transactions[[#This Row],[L2N]],Transactions[[#This Row],[L3N]],IF(Transactions[[#This Row],[L2N]]=Transactions[[#This Row],[L1N]],Transactions[[#This Row],[L2N]],IF(Transactions[[#This Row],[L1N]]=Transactions[[#This Row],[Transaction name]],Transactions[[#This Row],[L1N]],Transactions[[#This Row],[Transaction name]])))))))</f>
        <v>Transformation</v>
      </c>
      <c r="AS534" s="24" t="str">
        <f>IF(Transactions[[#This Row],[Level 0]]=Transactions[[#This Row],[Transaction name]],Transactions[[#This Row],[Transaction name]],IF(Transactions[[#This Row],[Level 0]]=Transactions[[#This Row],[L1N]],Transactions[[#This Row],[Transaction name]],IF(Transactions[[#This Row],[Level 0]]=Transactions[[#This Row],[L2N]],Transactions[[#This Row],[L1N]],IF(Transactions[[#This Row],[Level 0]]=Transactions[[#This Row],[L3N]],Transactions[[#This Row],[L2N]],IF(Transactions[[#This Row],[Level 0]]=Transactions[[#This Row],[L4N]],Transactions[[#This Row],[L3N]],IF(Transactions[[#This Row],[Level 0]]=Transactions[[#This Row],[L5N]],Transactions[[#This Row],[L4N]],IF(Transactions[[#This Row],[Level 0]]=Transactions[[#This Row],[L6N]],Transactions[[#This Row],[L5N]],IF(Transactions[[#This Row],[Level 0]]=Transactions[[#This Row],[L7N]],Transactions[[#This Row],[L6N]],Transactions[[#This Row],[L7N]]))))))))</f>
        <v>Transformation</v>
      </c>
      <c r="AT534" s="24" t="str">
        <f>IF(Transactions[[#This Row],[Level 1]]=Transactions[[#This Row],[Transaction name]],Transactions[[#This Row],[Transaction name]],IF(Transactions[[#This Row],[Level 1]]=Transactions[[#This Row],[L1N]],Transactions[[#This Row],[Transaction name]],IF(Transactions[[#This Row],[Level 1]]=Transactions[[#This Row],[L2N]],Transactions[[#This Row],[L1N]],IF(Transactions[[#This Row],[Level 1]]=Transactions[[#This Row],[L3N]],Transactions[[#This Row],[L2N]],IF(Transactions[[#This Row],[Level 1]]=Transactions[[#This Row],[L4N]],Transactions[[#This Row],[L3N]],IF(Transactions[[#This Row],[Level 1]]=Transactions[[#This Row],[L5N]],Transactions[[#This Row],[L4N]],IF(Transactions[[#This Row],[Level 1]]=Transactions[[#This Row],[L6N]],Transactions[[#This Row],[L5N]],IF(Transactions[[#This Row],[Level 1]]=Transactions[[#This Row],[L7N]],Transactions[[#This Row],[L6N]],Transactions[[#This Row],[L7N]]))))))))</f>
        <v>Transformation</v>
      </c>
      <c r="AU534" s="24" t="str">
        <f>IF(Transactions[[#This Row],[Level 2]]=Transactions[[#This Row],[Transaction name]],Transactions[[#This Row],[Transaction name]],IF(Transactions[[#This Row],[Level 2]]=Transactions[[#This Row],[L1N]],Transactions[[#This Row],[Transaction name]],IF(Transactions[[#This Row],[Level 2]]=Transactions[[#This Row],[L2N]],Transactions[[#This Row],[L1N]],IF(Transactions[[#This Row],[Level 2]]=Transactions[[#This Row],[L3N]],Transactions[[#This Row],[L2N]],IF(Transactions[[#This Row],[Level 2]]=Transactions[[#This Row],[L4N]],Transactions[[#This Row],[L3N]],IF(Transactions[[#This Row],[Level 2]]=Transactions[[#This Row],[L5N]],Transactions[[#This Row],[L4N]],IF(Transactions[[#This Row],[Level 2]]=Transactions[[#This Row],[L6N]],Transactions[[#This Row],[L5N]],IF(Transactions[[#This Row],[Level 2]]=Transactions[[#This Row],[L7N]],Transactions[[#This Row],[L6N]],Transactions[[#This Row],[L7N]]))))))))</f>
        <v>Transformation</v>
      </c>
      <c r="AV534" s="24" t="str">
        <f>IF(Transactions[[#This Row],[Level 3]]=Transactions[[#This Row],[Transaction name]],Transactions[[#This Row],[Transaction name]],IF(Transactions[[#This Row],[Level 3]]=Transactions[[#This Row],[L1N]],Transactions[[#This Row],[Transaction name]],IF(Transactions[[#This Row],[Level 3]]=Transactions[[#This Row],[L2N]],Transactions[[#This Row],[L1N]],IF(Transactions[[#This Row],[Level 3]]=Transactions[[#This Row],[L3N]],Transactions[[#This Row],[L2N]],IF(Transactions[[#This Row],[Level 3]]=Transactions[[#This Row],[L4N]],Transactions[[#This Row],[L3N]],IF(Transactions[[#This Row],[Level 3]]=Transactions[[#This Row],[L5N]],Transactions[[#This Row],[L4N]],IF(Transactions[[#This Row],[Level 3]]=Transactions[[#This Row],[L6N]],Transactions[[#This Row],[L5N]],IF(Transactions[[#This Row],[Level 3]]=Transactions[[#This Row],[L7N]],Transactions[[#This Row],[L6N]],Transactions[[#This Row],[L7N]]))))))))</f>
        <v>Transformation</v>
      </c>
      <c r="AW534" s="24" t="str">
        <f>IF(Transactions[[#This Row],[Level 4]]=Transactions[[#This Row],[Transaction name]],Transactions[[#This Row],[Transaction name]],IF(Transactions[[#This Row],[Level 4]]=Transactions[[#This Row],[L1N]],Transactions[[#This Row],[Transaction name]],IF(Transactions[[#This Row],[Level 4]]=Transactions[[#This Row],[L2N]],Transactions[[#This Row],[L1N]],IF(Transactions[[#This Row],[Level 4]]=Transactions[[#This Row],[L3N]],Transactions[[#This Row],[L2N]],IF(Transactions[[#This Row],[Level 4]]=Transactions[[#This Row],[L4N]],Transactions[[#This Row],[L3N]],IF(Transactions[[#This Row],[Level 4]]=Transactions[[#This Row],[L5N]],Transactions[[#This Row],[L4N]],IF(Transactions[[#This Row],[Level 4]]=Transactions[[#This Row],[L6N]],Transactions[[#This Row],[L5N]],IF(Transactions[[#This Row],[Level 4]]=Transactions[[#This Row],[L7N]],Transactions[[#This Row],[L6N]],Transactions[[#This Row],[L7N]]))))))))</f>
        <v>Transformation</v>
      </c>
      <c r="AX534" s="24" t="str">
        <f>IF(Transactions[[#This Row],[Level 5]]=Transactions[[#This Row],[Transaction name]],Transactions[[#This Row],[Transaction name]],IF(Transactions[[#This Row],[Level 5]]=Transactions[[#This Row],[L1N]],Transactions[[#This Row],[Transaction name]],IF(Transactions[[#This Row],[Level 5]]=Transactions[[#This Row],[L2N]],Transactions[[#This Row],[L1N]],IF(Transactions[[#This Row],[Level 5]]=Transactions[[#This Row],[L3N]],Transactions[[#This Row],[L2N]],IF(Transactions[[#This Row],[Level 5]]=Transactions[[#This Row],[L4N]],Transactions[[#This Row],[L3N]],IF(Transactions[[#This Row],[Level 5]]=Transactions[[#This Row],[L5N]],Transactions[[#This Row],[L4N]],IF(Transactions[[#This Row],[Level 5]]=Transactions[[#This Row],[L6N]],Transactions[[#This Row],[L5N]],IF(Transactions[[#This Row],[Level 5]]=Transactions[[#This Row],[L7N]],Transactions[[#This Row],[L6N]],Transactions[[#This Row],[L7N]]))))))))</f>
        <v>Transformation</v>
      </c>
      <c r="AY534" s="24" t="str">
        <f>IF(Transactions[[#This Row],[Level 6]]=Transactions[[#This Row],[Transaction name]],Transactions[[#This Row],[Transaction name]],IF(Transactions[[#This Row],[Level 6]]=Transactions[[#This Row],[L1N]],Transactions[[#This Row],[Transaction name]],IF(Transactions[[#This Row],[Level 6]]=Transactions[[#This Row],[L2N]],Transactions[[#This Row],[L1N]],IF(Transactions[[#This Row],[Level 6]]=Transactions[[#This Row],[L3N]],Transactions[[#This Row],[L2N]],IF(Transactions[[#This Row],[Level 6]]=Transactions[[#This Row],[L4N]],Transactions[[#This Row],[L3N]],IF(Transactions[[#This Row],[Level 6]]=Transactions[[#This Row],[L5N]],Transactions[[#This Row],[L4N]],IF(Transactions[[#This Row],[Level 6]]=Transactions[[#This Row],[L6N]],Transactions[[#This Row],[L5N]],IF(Transactions[[#This Row],[Level 6]]=Transactions[[#This Row],[L7N]],Transactions[[#This Row],[L6N]],Transactions[[#This Row],[L7N]]))))))))</f>
        <v>Transformation</v>
      </c>
    </row>
    <row r="535" spans="25:51" x14ac:dyDescent="0.45">
      <c r="Y535" s="4" t="s">
        <v>527</v>
      </c>
      <c r="Z535" s="4" t="s">
        <v>892</v>
      </c>
      <c r="AA535" s="4" t="s">
        <v>892</v>
      </c>
      <c r="AB535" s="4" t="s">
        <v>502</v>
      </c>
      <c r="AC535" s="24" t="str">
        <f>IFERROR(VLOOKUP(Transactions[[#This Row],[Parent code]],Transactions[[Transaction code]:[Transaction name]],2,0),"")</f>
        <v>Transformation (S)</v>
      </c>
      <c r="AD535" s="4" t="s">
        <v>189</v>
      </c>
      <c r="AF535" s="4" t="s">
        <v>642</v>
      </c>
      <c r="AG535" s="4" t="s">
        <v>385</v>
      </c>
      <c r="AK535" s="24" t="str" cm="1">
        <f t="array" ref="AK535">IFERROR(INDEX(Transactions[[Transaction code]:[Transaction name]],_xlfn.XMATCH(Transactions[[#This Row],[Parent code]],Transactions[Transaction name],0),3),Transactions[[#This Row],[Transaction name]])</f>
        <v>Electricity, Heat and CHP plants (S)</v>
      </c>
      <c r="AL535" s="24" t="str" cm="1">
        <f t="array" ref="AL535">IFERROR(INDEX(Transactions[[Transaction code]:[Transaction name]],_xlfn.XMATCH(INDEX(Transactions[[Transaction name]:[Parent code]],_xlfn.XMATCH(Transactions[[#This Row],[L1N]],Transactions[Transaction name],0),3),Transactions[Transaction code],0),2),Transactions[[#This Row],[L1N]])</f>
        <v>Transformation (S)</v>
      </c>
      <c r="AM535" s="24" t="str" cm="1">
        <f t="array" ref="AM535">IFERROR(INDEX(Transactions[[Transaction code]:[Transaction name]],_xlfn.XMATCH(INDEX(Transactions[[Transaction name]:[Parent code]],_xlfn.XMATCH(Transactions[[#This Row],[L2N]],Transactions[Transaction name],0),3),Transactions[Transaction code],0),2),Transactions[[#This Row],[L2N]])</f>
        <v>Transformation (S)</v>
      </c>
      <c r="AN535" s="24" t="str" cm="1">
        <f t="array" ref="AN535">IFERROR(INDEX(Transactions[[Transaction code]:[Transaction name]],_xlfn.XMATCH(INDEX(Transactions[[Transaction name]:[Parent code]],_xlfn.XMATCH(Transactions[[#This Row],[L3N]],Transactions[Transaction name],0),3),Transactions[Transaction code],0),2),Transactions[[#This Row],[L3N]])</f>
        <v>Transformation (S)</v>
      </c>
      <c r="AO535" s="24" t="str" cm="1">
        <f t="array" ref="AO535">IFERROR(INDEX(Transactions[[Transaction code]:[Transaction name]],_xlfn.XMATCH(INDEX(Transactions[[Transaction name]:[Parent code]],_xlfn.XMATCH(Transactions[[#This Row],[L4N]],Transactions[Transaction name],0),3),Transactions[Transaction code],0),2),Transactions[[#This Row],[L4N]])</f>
        <v>Transformation (S)</v>
      </c>
      <c r="AP535" s="24" t="str" cm="1">
        <f t="array" ref="AP535">IFERROR(INDEX(Transactions[[Transaction code]:[Transaction name]],_xlfn.XMATCH(INDEX(Transactions[[Transaction name]:[Parent code]],_xlfn.XMATCH(Transactions[[#This Row],[L5N]],Transactions[Transaction name],0),3),Transactions[Transaction code],0),2),Transactions[[#This Row],[L5N]])</f>
        <v>Transformation (S)</v>
      </c>
      <c r="AQ535" s="24" t="str" cm="1">
        <f t="array" ref="AQ535">IFERROR(INDEX(Transactions[[Transaction code]:[Transaction name]],_xlfn.XMATCH(INDEX(Transactions[[Transaction name]:[Parent code]],_xlfn.XMATCH(Transactions[[#This Row],[L6N]],Transactions[Transaction name],0),3),Transactions[Transaction code],0),2),Transactions[[#This Row],[L6N]])</f>
        <v>Transformation (S)</v>
      </c>
      <c r="AR535" s="28" t="str">
        <f>IF(Transactions[[#This Row],[L7N]]=Transactions[[#This Row],[L6N]],Transactions[[#This Row],[L7N]],IF(Transactions[[#This Row],[L6N]]=Transactions[[#This Row],[L5N]],Transactions[[#This Row],[L6N]],IF(Transactions[[#This Row],[L5N]]=Transactions[[#This Row],[L4N]],Transactions[[#This Row],[L5N]],IF(Transactions[[#This Row],[L4N]]=Transactions[[#This Row],[L3N]],Transactions[[#This Row],[L4N]],IF(Transactions[[#This Row],[L3N]]=Transactions[[#This Row],[L2N]],Transactions[[#This Row],[L3N]],IF(Transactions[[#This Row],[L2N]]=Transactions[[#This Row],[L1N]],Transactions[[#This Row],[L2N]],IF(Transactions[[#This Row],[L1N]]=Transactions[[#This Row],[Transaction name]],Transactions[[#This Row],[L1N]],Transactions[[#This Row],[Transaction name]])))))))</f>
        <v>Transformation (S)</v>
      </c>
      <c r="AS535" s="24" t="str">
        <f>IF(Transactions[[#This Row],[Level 0]]=Transactions[[#This Row],[Transaction name]],Transactions[[#This Row],[Transaction name]],IF(Transactions[[#This Row],[Level 0]]=Transactions[[#This Row],[L1N]],Transactions[[#This Row],[Transaction name]],IF(Transactions[[#This Row],[Level 0]]=Transactions[[#This Row],[L2N]],Transactions[[#This Row],[L1N]],IF(Transactions[[#This Row],[Level 0]]=Transactions[[#This Row],[L3N]],Transactions[[#This Row],[L2N]],IF(Transactions[[#This Row],[Level 0]]=Transactions[[#This Row],[L4N]],Transactions[[#This Row],[L3N]],IF(Transactions[[#This Row],[Level 0]]=Transactions[[#This Row],[L5N]],Transactions[[#This Row],[L4N]],IF(Transactions[[#This Row],[Level 0]]=Transactions[[#This Row],[L6N]],Transactions[[#This Row],[L5N]],IF(Transactions[[#This Row],[Level 0]]=Transactions[[#This Row],[L7N]],Transactions[[#This Row],[L6N]],Transactions[[#This Row],[L7N]]))))))))</f>
        <v>Electricity, Heat and CHP plants (S)</v>
      </c>
      <c r="AT535" s="24" t="str">
        <f>IF(Transactions[[#This Row],[Level 1]]=Transactions[[#This Row],[Transaction name]],Transactions[[#This Row],[Transaction name]],IF(Transactions[[#This Row],[Level 1]]=Transactions[[#This Row],[L1N]],Transactions[[#This Row],[Transaction name]],IF(Transactions[[#This Row],[Level 1]]=Transactions[[#This Row],[L2N]],Transactions[[#This Row],[L1N]],IF(Transactions[[#This Row],[Level 1]]=Transactions[[#This Row],[L3N]],Transactions[[#This Row],[L2N]],IF(Transactions[[#This Row],[Level 1]]=Transactions[[#This Row],[L4N]],Transactions[[#This Row],[L3N]],IF(Transactions[[#This Row],[Level 1]]=Transactions[[#This Row],[L5N]],Transactions[[#This Row],[L4N]],IF(Transactions[[#This Row],[Level 1]]=Transactions[[#This Row],[L6N]],Transactions[[#This Row],[L5N]],IF(Transactions[[#This Row],[Level 1]]=Transactions[[#This Row],[L7N]],Transactions[[#This Row],[L6N]],Transactions[[#This Row],[L7N]]))))))))</f>
        <v>Electricity, Heat and CHP plants (S)</v>
      </c>
      <c r="AU535" s="24" t="str">
        <f>IF(Transactions[[#This Row],[Level 2]]=Transactions[[#This Row],[Transaction name]],Transactions[[#This Row],[Transaction name]],IF(Transactions[[#This Row],[Level 2]]=Transactions[[#This Row],[L1N]],Transactions[[#This Row],[Transaction name]],IF(Transactions[[#This Row],[Level 2]]=Transactions[[#This Row],[L2N]],Transactions[[#This Row],[L1N]],IF(Transactions[[#This Row],[Level 2]]=Transactions[[#This Row],[L3N]],Transactions[[#This Row],[L2N]],IF(Transactions[[#This Row],[Level 2]]=Transactions[[#This Row],[L4N]],Transactions[[#This Row],[L3N]],IF(Transactions[[#This Row],[Level 2]]=Transactions[[#This Row],[L5N]],Transactions[[#This Row],[L4N]],IF(Transactions[[#This Row],[Level 2]]=Transactions[[#This Row],[L6N]],Transactions[[#This Row],[L5N]],IF(Transactions[[#This Row],[Level 2]]=Transactions[[#This Row],[L7N]],Transactions[[#This Row],[L6N]],Transactions[[#This Row],[L7N]]))))))))</f>
        <v>Electricity, Heat and CHP plants (S)</v>
      </c>
      <c r="AV535" s="24" t="str">
        <f>IF(Transactions[[#This Row],[Level 3]]=Transactions[[#This Row],[Transaction name]],Transactions[[#This Row],[Transaction name]],IF(Transactions[[#This Row],[Level 3]]=Transactions[[#This Row],[L1N]],Transactions[[#This Row],[Transaction name]],IF(Transactions[[#This Row],[Level 3]]=Transactions[[#This Row],[L2N]],Transactions[[#This Row],[L1N]],IF(Transactions[[#This Row],[Level 3]]=Transactions[[#This Row],[L3N]],Transactions[[#This Row],[L2N]],IF(Transactions[[#This Row],[Level 3]]=Transactions[[#This Row],[L4N]],Transactions[[#This Row],[L3N]],IF(Transactions[[#This Row],[Level 3]]=Transactions[[#This Row],[L5N]],Transactions[[#This Row],[L4N]],IF(Transactions[[#This Row],[Level 3]]=Transactions[[#This Row],[L6N]],Transactions[[#This Row],[L5N]],IF(Transactions[[#This Row],[Level 3]]=Transactions[[#This Row],[L7N]],Transactions[[#This Row],[L6N]],Transactions[[#This Row],[L7N]]))))))))</f>
        <v>Electricity, Heat and CHP plants (S)</v>
      </c>
      <c r="AW535" s="24" t="str">
        <f>IF(Transactions[[#This Row],[Level 4]]=Transactions[[#This Row],[Transaction name]],Transactions[[#This Row],[Transaction name]],IF(Transactions[[#This Row],[Level 4]]=Transactions[[#This Row],[L1N]],Transactions[[#This Row],[Transaction name]],IF(Transactions[[#This Row],[Level 4]]=Transactions[[#This Row],[L2N]],Transactions[[#This Row],[L1N]],IF(Transactions[[#This Row],[Level 4]]=Transactions[[#This Row],[L3N]],Transactions[[#This Row],[L2N]],IF(Transactions[[#This Row],[Level 4]]=Transactions[[#This Row],[L4N]],Transactions[[#This Row],[L3N]],IF(Transactions[[#This Row],[Level 4]]=Transactions[[#This Row],[L5N]],Transactions[[#This Row],[L4N]],IF(Transactions[[#This Row],[Level 4]]=Transactions[[#This Row],[L6N]],Transactions[[#This Row],[L5N]],IF(Transactions[[#This Row],[Level 4]]=Transactions[[#This Row],[L7N]],Transactions[[#This Row],[L6N]],Transactions[[#This Row],[L7N]]))))))))</f>
        <v>Electricity, Heat and CHP plants (S)</v>
      </c>
      <c r="AX535" s="24" t="str">
        <f>IF(Transactions[[#This Row],[Level 5]]=Transactions[[#This Row],[Transaction name]],Transactions[[#This Row],[Transaction name]],IF(Transactions[[#This Row],[Level 5]]=Transactions[[#This Row],[L1N]],Transactions[[#This Row],[Transaction name]],IF(Transactions[[#This Row],[Level 5]]=Transactions[[#This Row],[L2N]],Transactions[[#This Row],[L1N]],IF(Transactions[[#This Row],[Level 5]]=Transactions[[#This Row],[L3N]],Transactions[[#This Row],[L2N]],IF(Transactions[[#This Row],[Level 5]]=Transactions[[#This Row],[L4N]],Transactions[[#This Row],[L3N]],IF(Transactions[[#This Row],[Level 5]]=Transactions[[#This Row],[L5N]],Transactions[[#This Row],[L4N]],IF(Transactions[[#This Row],[Level 5]]=Transactions[[#This Row],[L6N]],Transactions[[#This Row],[L5N]],IF(Transactions[[#This Row],[Level 5]]=Transactions[[#This Row],[L7N]],Transactions[[#This Row],[L6N]],Transactions[[#This Row],[L7N]]))))))))</f>
        <v>Electricity, Heat and CHP plants (S)</v>
      </c>
      <c r="AY535" s="24" t="str">
        <f>IF(Transactions[[#This Row],[Level 6]]=Transactions[[#This Row],[Transaction name]],Transactions[[#This Row],[Transaction name]],IF(Transactions[[#This Row],[Level 6]]=Transactions[[#This Row],[L1N]],Transactions[[#This Row],[Transaction name]],IF(Transactions[[#This Row],[Level 6]]=Transactions[[#This Row],[L2N]],Transactions[[#This Row],[L1N]],IF(Transactions[[#This Row],[Level 6]]=Transactions[[#This Row],[L3N]],Transactions[[#This Row],[L2N]],IF(Transactions[[#This Row],[Level 6]]=Transactions[[#This Row],[L4N]],Transactions[[#This Row],[L3N]],IF(Transactions[[#This Row],[Level 6]]=Transactions[[#This Row],[L5N]],Transactions[[#This Row],[L4N]],IF(Transactions[[#This Row],[Level 6]]=Transactions[[#This Row],[L6N]],Transactions[[#This Row],[L5N]],IF(Transactions[[#This Row],[Level 6]]=Transactions[[#This Row],[L7N]],Transactions[[#This Row],[L6N]],Transactions[[#This Row],[L7N]]))))))))</f>
        <v>Electricity, Heat and CHP plants (S)</v>
      </c>
    </row>
    <row r="536" spans="25:51" x14ac:dyDescent="0.45">
      <c r="Y536" s="4" t="s">
        <v>531</v>
      </c>
      <c r="Z536" s="4" t="s">
        <v>894</v>
      </c>
      <c r="AA536" s="4" t="s">
        <v>894</v>
      </c>
      <c r="AB536" s="4" t="s">
        <v>527</v>
      </c>
      <c r="AC536" s="24" t="str">
        <f>IFERROR(VLOOKUP(Transactions[[#This Row],[Parent code]],Transactions[[Transaction code]:[Transaction name]],2,0),"")</f>
        <v>Electricity, Heat and CHP plants (S)</v>
      </c>
      <c r="AD536" s="4" t="s">
        <v>189</v>
      </c>
      <c r="AF536" s="4" t="s">
        <v>642</v>
      </c>
      <c r="AG536" s="4" t="s">
        <v>385</v>
      </c>
      <c r="AK536" s="24" t="str" cm="1">
        <f t="array" ref="AK536">IFERROR(INDEX(Transactions[[Transaction code]:[Transaction name]],_xlfn.XMATCH(Transactions[[#This Row],[Parent code]],Transactions[Transaction name],0),3),Transactions[[#This Row],[Transaction name]])</f>
        <v>Transformation in CHP plants - main activity producers (S)</v>
      </c>
      <c r="AL536" s="24" t="str" cm="1">
        <f t="array" ref="AL536">IFERROR(INDEX(Transactions[[Transaction code]:[Transaction name]],_xlfn.XMATCH(INDEX(Transactions[[Transaction name]:[Parent code]],_xlfn.XMATCH(Transactions[[#This Row],[L1N]],Transactions[Transaction name],0),3),Transactions[Transaction code],0),2),Transactions[[#This Row],[L1N]])</f>
        <v>Electricity, Heat and CHP plants (S)</v>
      </c>
      <c r="AM536" s="24" t="str" cm="1">
        <f t="array" ref="AM536">IFERROR(INDEX(Transactions[[Transaction code]:[Transaction name]],_xlfn.XMATCH(INDEX(Transactions[[Transaction name]:[Parent code]],_xlfn.XMATCH(Transactions[[#This Row],[L2N]],Transactions[Transaction name],0),3),Transactions[Transaction code],0),2),Transactions[[#This Row],[L2N]])</f>
        <v>Transformation (S)</v>
      </c>
      <c r="AN536" s="24" t="str" cm="1">
        <f t="array" ref="AN536">IFERROR(INDEX(Transactions[[Transaction code]:[Transaction name]],_xlfn.XMATCH(INDEX(Transactions[[Transaction name]:[Parent code]],_xlfn.XMATCH(Transactions[[#This Row],[L3N]],Transactions[Transaction name],0),3),Transactions[Transaction code],0),2),Transactions[[#This Row],[L3N]])</f>
        <v>Transformation (S)</v>
      </c>
      <c r="AO536" s="24" t="str" cm="1">
        <f t="array" ref="AO536">IFERROR(INDEX(Transactions[[Transaction code]:[Transaction name]],_xlfn.XMATCH(INDEX(Transactions[[Transaction name]:[Parent code]],_xlfn.XMATCH(Transactions[[#This Row],[L4N]],Transactions[Transaction name],0),3),Transactions[Transaction code],0),2),Transactions[[#This Row],[L4N]])</f>
        <v>Transformation (S)</v>
      </c>
      <c r="AP536" s="24" t="str" cm="1">
        <f t="array" ref="AP536">IFERROR(INDEX(Transactions[[Transaction code]:[Transaction name]],_xlfn.XMATCH(INDEX(Transactions[[Transaction name]:[Parent code]],_xlfn.XMATCH(Transactions[[#This Row],[L5N]],Transactions[Transaction name],0),3),Transactions[Transaction code],0),2),Transactions[[#This Row],[L5N]])</f>
        <v>Transformation (S)</v>
      </c>
      <c r="AQ536" s="24" t="str" cm="1">
        <f t="array" ref="AQ536">IFERROR(INDEX(Transactions[[Transaction code]:[Transaction name]],_xlfn.XMATCH(INDEX(Transactions[[Transaction name]:[Parent code]],_xlfn.XMATCH(Transactions[[#This Row],[L6N]],Transactions[Transaction name],0),3),Transactions[Transaction code],0),2),Transactions[[#This Row],[L6N]])</f>
        <v>Transformation (S)</v>
      </c>
      <c r="AR536" s="28" t="str">
        <f>IF(Transactions[[#This Row],[L7N]]=Transactions[[#This Row],[L6N]],Transactions[[#This Row],[L7N]],IF(Transactions[[#This Row],[L6N]]=Transactions[[#This Row],[L5N]],Transactions[[#This Row],[L6N]],IF(Transactions[[#This Row],[L5N]]=Transactions[[#This Row],[L4N]],Transactions[[#This Row],[L5N]],IF(Transactions[[#This Row],[L4N]]=Transactions[[#This Row],[L3N]],Transactions[[#This Row],[L4N]],IF(Transactions[[#This Row],[L3N]]=Transactions[[#This Row],[L2N]],Transactions[[#This Row],[L3N]],IF(Transactions[[#This Row],[L2N]]=Transactions[[#This Row],[L1N]],Transactions[[#This Row],[L2N]],IF(Transactions[[#This Row],[L1N]]=Transactions[[#This Row],[Transaction name]],Transactions[[#This Row],[L1N]],Transactions[[#This Row],[Transaction name]])))))))</f>
        <v>Transformation (S)</v>
      </c>
      <c r="AS536" s="24" t="str">
        <f>IF(Transactions[[#This Row],[Level 0]]=Transactions[[#This Row],[Transaction name]],Transactions[[#This Row],[Transaction name]],IF(Transactions[[#This Row],[Level 0]]=Transactions[[#This Row],[L1N]],Transactions[[#This Row],[Transaction name]],IF(Transactions[[#This Row],[Level 0]]=Transactions[[#This Row],[L2N]],Transactions[[#This Row],[L1N]],IF(Transactions[[#This Row],[Level 0]]=Transactions[[#This Row],[L3N]],Transactions[[#This Row],[L2N]],IF(Transactions[[#This Row],[Level 0]]=Transactions[[#This Row],[L4N]],Transactions[[#This Row],[L3N]],IF(Transactions[[#This Row],[Level 0]]=Transactions[[#This Row],[L5N]],Transactions[[#This Row],[L4N]],IF(Transactions[[#This Row],[Level 0]]=Transactions[[#This Row],[L6N]],Transactions[[#This Row],[L5N]],IF(Transactions[[#This Row],[Level 0]]=Transactions[[#This Row],[L7N]],Transactions[[#This Row],[L6N]],Transactions[[#This Row],[L7N]]))))))))</f>
        <v>Electricity, Heat and CHP plants (S)</v>
      </c>
      <c r="AT536" s="24" t="str">
        <f>IF(Transactions[[#This Row],[Level 1]]=Transactions[[#This Row],[Transaction name]],Transactions[[#This Row],[Transaction name]],IF(Transactions[[#This Row],[Level 1]]=Transactions[[#This Row],[L1N]],Transactions[[#This Row],[Transaction name]],IF(Transactions[[#This Row],[Level 1]]=Transactions[[#This Row],[L2N]],Transactions[[#This Row],[L1N]],IF(Transactions[[#This Row],[Level 1]]=Transactions[[#This Row],[L3N]],Transactions[[#This Row],[L2N]],IF(Transactions[[#This Row],[Level 1]]=Transactions[[#This Row],[L4N]],Transactions[[#This Row],[L3N]],IF(Transactions[[#This Row],[Level 1]]=Transactions[[#This Row],[L5N]],Transactions[[#This Row],[L4N]],IF(Transactions[[#This Row],[Level 1]]=Transactions[[#This Row],[L6N]],Transactions[[#This Row],[L5N]],IF(Transactions[[#This Row],[Level 1]]=Transactions[[#This Row],[L7N]],Transactions[[#This Row],[L6N]],Transactions[[#This Row],[L7N]]))))))))</f>
        <v>Transformation in CHP plants - main activity producers (S)</v>
      </c>
      <c r="AU536" s="24" t="str">
        <f>IF(Transactions[[#This Row],[Level 2]]=Transactions[[#This Row],[Transaction name]],Transactions[[#This Row],[Transaction name]],IF(Transactions[[#This Row],[Level 2]]=Transactions[[#This Row],[L1N]],Transactions[[#This Row],[Transaction name]],IF(Transactions[[#This Row],[Level 2]]=Transactions[[#This Row],[L2N]],Transactions[[#This Row],[L1N]],IF(Transactions[[#This Row],[Level 2]]=Transactions[[#This Row],[L3N]],Transactions[[#This Row],[L2N]],IF(Transactions[[#This Row],[Level 2]]=Transactions[[#This Row],[L4N]],Transactions[[#This Row],[L3N]],IF(Transactions[[#This Row],[Level 2]]=Transactions[[#This Row],[L5N]],Transactions[[#This Row],[L4N]],IF(Transactions[[#This Row],[Level 2]]=Transactions[[#This Row],[L6N]],Transactions[[#This Row],[L5N]],IF(Transactions[[#This Row],[Level 2]]=Transactions[[#This Row],[L7N]],Transactions[[#This Row],[L6N]],Transactions[[#This Row],[L7N]]))))))))</f>
        <v>Transformation in CHP plants - main activity producers (S)</v>
      </c>
      <c r="AV536" s="24" t="str">
        <f>IF(Transactions[[#This Row],[Level 3]]=Transactions[[#This Row],[Transaction name]],Transactions[[#This Row],[Transaction name]],IF(Transactions[[#This Row],[Level 3]]=Transactions[[#This Row],[L1N]],Transactions[[#This Row],[Transaction name]],IF(Transactions[[#This Row],[Level 3]]=Transactions[[#This Row],[L2N]],Transactions[[#This Row],[L1N]],IF(Transactions[[#This Row],[Level 3]]=Transactions[[#This Row],[L3N]],Transactions[[#This Row],[L2N]],IF(Transactions[[#This Row],[Level 3]]=Transactions[[#This Row],[L4N]],Transactions[[#This Row],[L3N]],IF(Transactions[[#This Row],[Level 3]]=Transactions[[#This Row],[L5N]],Transactions[[#This Row],[L4N]],IF(Transactions[[#This Row],[Level 3]]=Transactions[[#This Row],[L6N]],Transactions[[#This Row],[L5N]],IF(Transactions[[#This Row],[Level 3]]=Transactions[[#This Row],[L7N]],Transactions[[#This Row],[L6N]],Transactions[[#This Row],[L7N]]))))))))</f>
        <v>Transformation in CHP plants - main activity producers (S)</v>
      </c>
      <c r="AW536" s="24" t="str">
        <f>IF(Transactions[[#This Row],[Level 4]]=Transactions[[#This Row],[Transaction name]],Transactions[[#This Row],[Transaction name]],IF(Transactions[[#This Row],[Level 4]]=Transactions[[#This Row],[L1N]],Transactions[[#This Row],[Transaction name]],IF(Transactions[[#This Row],[Level 4]]=Transactions[[#This Row],[L2N]],Transactions[[#This Row],[L1N]],IF(Transactions[[#This Row],[Level 4]]=Transactions[[#This Row],[L3N]],Transactions[[#This Row],[L2N]],IF(Transactions[[#This Row],[Level 4]]=Transactions[[#This Row],[L4N]],Transactions[[#This Row],[L3N]],IF(Transactions[[#This Row],[Level 4]]=Transactions[[#This Row],[L5N]],Transactions[[#This Row],[L4N]],IF(Transactions[[#This Row],[Level 4]]=Transactions[[#This Row],[L6N]],Transactions[[#This Row],[L5N]],IF(Transactions[[#This Row],[Level 4]]=Transactions[[#This Row],[L7N]],Transactions[[#This Row],[L6N]],Transactions[[#This Row],[L7N]]))))))))</f>
        <v>Transformation in CHP plants - main activity producers (S)</v>
      </c>
      <c r="AX536" s="24" t="str">
        <f>IF(Transactions[[#This Row],[Level 5]]=Transactions[[#This Row],[Transaction name]],Transactions[[#This Row],[Transaction name]],IF(Transactions[[#This Row],[Level 5]]=Transactions[[#This Row],[L1N]],Transactions[[#This Row],[Transaction name]],IF(Transactions[[#This Row],[Level 5]]=Transactions[[#This Row],[L2N]],Transactions[[#This Row],[L1N]],IF(Transactions[[#This Row],[Level 5]]=Transactions[[#This Row],[L3N]],Transactions[[#This Row],[L2N]],IF(Transactions[[#This Row],[Level 5]]=Transactions[[#This Row],[L4N]],Transactions[[#This Row],[L3N]],IF(Transactions[[#This Row],[Level 5]]=Transactions[[#This Row],[L5N]],Transactions[[#This Row],[L4N]],IF(Transactions[[#This Row],[Level 5]]=Transactions[[#This Row],[L6N]],Transactions[[#This Row],[L5N]],IF(Transactions[[#This Row],[Level 5]]=Transactions[[#This Row],[L7N]],Transactions[[#This Row],[L6N]],Transactions[[#This Row],[L7N]]))))))))</f>
        <v>Transformation in CHP plants - main activity producers (S)</v>
      </c>
      <c r="AY536" s="24" t="str">
        <f>IF(Transactions[[#This Row],[Level 6]]=Transactions[[#This Row],[Transaction name]],Transactions[[#This Row],[Transaction name]],IF(Transactions[[#This Row],[Level 6]]=Transactions[[#This Row],[L1N]],Transactions[[#This Row],[Transaction name]],IF(Transactions[[#This Row],[Level 6]]=Transactions[[#This Row],[L2N]],Transactions[[#This Row],[L1N]],IF(Transactions[[#This Row],[Level 6]]=Transactions[[#This Row],[L3N]],Transactions[[#This Row],[L2N]],IF(Transactions[[#This Row],[Level 6]]=Transactions[[#This Row],[L4N]],Transactions[[#This Row],[L3N]],IF(Transactions[[#This Row],[Level 6]]=Transactions[[#This Row],[L5N]],Transactions[[#This Row],[L4N]],IF(Transactions[[#This Row],[Level 6]]=Transactions[[#This Row],[L6N]],Transactions[[#This Row],[L5N]],IF(Transactions[[#This Row],[Level 6]]=Transactions[[#This Row],[L7N]],Transactions[[#This Row],[L6N]],Transactions[[#This Row],[L7N]]))))))))</f>
        <v>Transformation in CHP plants - main activity producers (S)</v>
      </c>
    </row>
    <row r="537" spans="25:51" x14ac:dyDescent="0.45">
      <c r="Y537" s="4" t="s">
        <v>533</v>
      </c>
      <c r="Z537" s="4" t="s">
        <v>893</v>
      </c>
      <c r="AA537" s="4" t="s">
        <v>893</v>
      </c>
      <c r="AB537" s="4" t="s">
        <v>527</v>
      </c>
      <c r="AC537" s="24" t="str">
        <f>IFERROR(VLOOKUP(Transactions[[#This Row],[Parent code]],Transactions[[Transaction code]:[Transaction name]],2,0),"")</f>
        <v>Electricity, Heat and CHP plants (S)</v>
      </c>
      <c r="AD537" s="4" t="s">
        <v>189</v>
      </c>
      <c r="AF537" s="4" t="s">
        <v>642</v>
      </c>
      <c r="AG537" s="4" t="s">
        <v>385</v>
      </c>
      <c r="AK537" s="24" t="str" cm="1">
        <f t="array" ref="AK537">IFERROR(INDEX(Transactions[[Transaction code]:[Transaction name]],_xlfn.XMATCH(Transactions[[#This Row],[Parent code]],Transactions[Transaction name],0),3),Transactions[[#This Row],[Transaction name]])</f>
        <v>Transformation in electricity plants - main activity producers (S)</v>
      </c>
      <c r="AL537" s="24" t="str" cm="1">
        <f t="array" ref="AL537">IFERROR(INDEX(Transactions[[Transaction code]:[Transaction name]],_xlfn.XMATCH(INDEX(Transactions[[Transaction name]:[Parent code]],_xlfn.XMATCH(Transactions[[#This Row],[L1N]],Transactions[Transaction name],0),3),Transactions[Transaction code],0),2),Transactions[[#This Row],[L1N]])</f>
        <v>Electricity, Heat and CHP plants (S)</v>
      </c>
      <c r="AM537" s="24" t="str" cm="1">
        <f t="array" ref="AM537">IFERROR(INDEX(Transactions[[Transaction code]:[Transaction name]],_xlfn.XMATCH(INDEX(Transactions[[Transaction name]:[Parent code]],_xlfn.XMATCH(Transactions[[#This Row],[L2N]],Transactions[Transaction name],0),3),Transactions[Transaction code],0),2),Transactions[[#This Row],[L2N]])</f>
        <v>Transformation (S)</v>
      </c>
      <c r="AN537" s="24" t="str" cm="1">
        <f t="array" ref="AN537">IFERROR(INDEX(Transactions[[Transaction code]:[Transaction name]],_xlfn.XMATCH(INDEX(Transactions[[Transaction name]:[Parent code]],_xlfn.XMATCH(Transactions[[#This Row],[L3N]],Transactions[Transaction name],0),3),Transactions[Transaction code],0),2),Transactions[[#This Row],[L3N]])</f>
        <v>Transformation (S)</v>
      </c>
      <c r="AO537" s="24" t="str" cm="1">
        <f t="array" ref="AO537">IFERROR(INDEX(Transactions[[Transaction code]:[Transaction name]],_xlfn.XMATCH(INDEX(Transactions[[Transaction name]:[Parent code]],_xlfn.XMATCH(Transactions[[#This Row],[L4N]],Transactions[Transaction name],0),3),Transactions[Transaction code],0),2),Transactions[[#This Row],[L4N]])</f>
        <v>Transformation (S)</v>
      </c>
      <c r="AP537" s="24" t="str" cm="1">
        <f t="array" ref="AP537">IFERROR(INDEX(Transactions[[Transaction code]:[Transaction name]],_xlfn.XMATCH(INDEX(Transactions[[Transaction name]:[Parent code]],_xlfn.XMATCH(Transactions[[#This Row],[L5N]],Transactions[Transaction name],0),3),Transactions[Transaction code],0),2),Transactions[[#This Row],[L5N]])</f>
        <v>Transformation (S)</v>
      </c>
      <c r="AQ537" s="24" t="str" cm="1">
        <f t="array" ref="AQ537">IFERROR(INDEX(Transactions[[Transaction code]:[Transaction name]],_xlfn.XMATCH(INDEX(Transactions[[Transaction name]:[Parent code]],_xlfn.XMATCH(Transactions[[#This Row],[L6N]],Transactions[Transaction name],0),3),Transactions[Transaction code],0),2),Transactions[[#This Row],[L6N]])</f>
        <v>Transformation (S)</v>
      </c>
      <c r="AR537" s="28" t="str">
        <f>IF(Transactions[[#This Row],[L7N]]=Transactions[[#This Row],[L6N]],Transactions[[#This Row],[L7N]],IF(Transactions[[#This Row],[L6N]]=Transactions[[#This Row],[L5N]],Transactions[[#This Row],[L6N]],IF(Transactions[[#This Row],[L5N]]=Transactions[[#This Row],[L4N]],Transactions[[#This Row],[L5N]],IF(Transactions[[#This Row],[L4N]]=Transactions[[#This Row],[L3N]],Transactions[[#This Row],[L4N]],IF(Transactions[[#This Row],[L3N]]=Transactions[[#This Row],[L2N]],Transactions[[#This Row],[L3N]],IF(Transactions[[#This Row],[L2N]]=Transactions[[#This Row],[L1N]],Transactions[[#This Row],[L2N]],IF(Transactions[[#This Row],[L1N]]=Transactions[[#This Row],[Transaction name]],Transactions[[#This Row],[L1N]],Transactions[[#This Row],[Transaction name]])))))))</f>
        <v>Transformation (S)</v>
      </c>
      <c r="AS537" s="24" t="str">
        <f>IF(Transactions[[#This Row],[Level 0]]=Transactions[[#This Row],[Transaction name]],Transactions[[#This Row],[Transaction name]],IF(Transactions[[#This Row],[Level 0]]=Transactions[[#This Row],[L1N]],Transactions[[#This Row],[Transaction name]],IF(Transactions[[#This Row],[Level 0]]=Transactions[[#This Row],[L2N]],Transactions[[#This Row],[L1N]],IF(Transactions[[#This Row],[Level 0]]=Transactions[[#This Row],[L3N]],Transactions[[#This Row],[L2N]],IF(Transactions[[#This Row],[Level 0]]=Transactions[[#This Row],[L4N]],Transactions[[#This Row],[L3N]],IF(Transactions[[#This Row],[Level 0]]=Transactions[[#This Row],[L5N]],Transactions[[#This Row],[L4N]],IF(Transactions[[#This Row],[Level 0]]=Transactions[[#This Row],[L6N]],Transactions[[#This Row],[L5N]],IF(Transactions[[#This Row],[Level 0]]=Transactions[[#This Row],[L7N]],Transactions[[#This Row],[L6N]],Transactions[[#This Row],[L7N]]))))))))</f>
        <v>Electricity, Heat and CHP plants (S)</v>
      </c>
      <c r="AT537" s="24" t="str">
        <f>IF(Transactions[[#This Row],[Level 1]]=Transactions[[#This Row],[Transaction name]],Transactions[[#This Row],[Transaction name]],IF(Transactions[[#This Row],[Level 1]]=Transactions[[#This Row],[L1N]],Transactions[[#This Row],[Transaction name]],IF(Transactions[[#This Row],[Level 1]]=Transactions[[#This Row],[L2N]],Transactions[[#This Row],[L1N]],IF(Transactions[[#This Row],[Level 1]]=Transactions[[#This Row],[L3N]],Transactions[[#This Row],[L2N]],IF(Transactions[[#This Row],[Level 1]]=Transactions[[#This Row],[L4N]],Transactions[[#This Row],[L3N]],IF(Transactions[[#This Row],[Level 1]]=Transactions[[#This Row],[L5N]],Transactions[[#This Row],[L4N]],IF(Transactions[[#This Row],[Level 1]]=Transactions[[#This Row],[L6N]],Transactions[[#This Row],[L5N]],IF(Transactions[[#This Row],[Level 1]]=Transactions[[#This Row],[L7N]],Transactions[[#This Row],[L6N]],Transactions[[#This Row],[L7N]]))))))))</f>
        <v>Transformation in electricity plants - main activity producers (S)</v>
      </c>
      <c r="AU537" s="24" t="str">
        <f>IF(Transactions[[#This Row],[Level 2]]=Transactions[[#This Row],[Transaction name]],Transactions[[#This Row],[Transaction name]],IF(Transactions[[#This Row],[Level 2]]=Transactions[[#This Row],[L1N]],Transactions[[#This Row],[Transaction name]],IF(Transactions[[#This Row],[Level 2]]=Transactions[[#This Row],[L2N]],Transactions[[#This Row],[L1N]],IF(Transactions[[#This Row],[Level 2]]=Transactions[[#This Row],[L3N]],Transactions[[#This Row],[L2N]],IF(Transactions[[#This Row],[Level 2]]=Transactions[[#This Row],[L4N]],Transactions[[#This Row],[L3N]],IF(Transactions[[#This Row],[Level 2]]=Transactions[[#This Row],[L5N]],Transactions[[#This Row],[L4N]],IF(Transactions[[#This Row],[Level 2]]=Transactions[[#This Row],[L6N]],Transactions[[#This Row],[L5N]],IF(Transactions[[#This Row],[Level 2]]=Transactions[[#This Row],[L7N]],Transactions[[#This Row],[L6N]],Transactions[[#This Row],[L7N]]))))))))</f>
        <v>Transformation in electricity plants - main activity producers (S)</v>
      </c>
      <c r="AV537" s="24" t="str">
        <f>IF(Transactions[[#This Row],[Level 3]]=Transactions[[#This Row],[Transaction name]],Transactions[[#This Row],[Transaction name]],IF(Transactions[[#This Row],[Level 3]]=Transactions[[#This Row],[L1N]],Transactions[[#This Row],[Transaction name]],IF(Transactions[[#This Row],[Level 3]]=Transactions[[#This Row],[L2N]],Transactions[[#This Row],[L1N]],IF(Transactions[[#This Row],[Level 3]]=Transactions[[#This Row],[L3N]],Transactions[[#This Row],[L2N]],IF(Transactions[[#This Row],[Level 3]]=Transactions[[#This Row],[L4N]],Transactions[[#This Row],[L3N]],IF(Transactions[[#This Row],[Level 3]]=Transactions[[#This Row],[L5N]],Transactions[[#This Row],[L4N]],IF(Transactions[[#This Row],[Level 3]]=Transactions[[#This Row],[L6N]],Transactions[[#This Row],[L5N]],IF(Transactions[[#This Row],[Level 3]]=Transactions[[#This Row],[L7N]],Transactions[[#This Row],[L6N]],Transactions[[#This Row],[L7N]]))))))))</f>
        <v>Transformation in electricity plants - main activity producers (S)</v>
      </c>
      <c r="AW537" s="24" t="str">
        <f>IF(Transactions[[#This Row],[Level 4]]=Transactions[[#This Row],[Transaction name]],Transactions[[#This Row],[Transaction name]],IF(Transactions[[#This Row],[Level 4]]=Transactions[[#This Row],[L1N]],Transactions[[#This Row],[Transaction name]],IF(Transactions[[#This Row],[Level 4]]=Transactions[[#This Row],[L2N]],Transactions[[#This Row],[L1N]],IF(Transactions[[#This Row],[Level 4]]=Transactions[[#This Row],[L3N]],Transactions[[#This Row],[L2N]],IF(Transactions[[#This Row],[Level 4]]=Transactions[[#This Row],[L4N]],Transactions[[#This Row],[L3N]],IF(Transactions[[#This Row],[Level 4]]=Transactions[[#This Row],[L5N]],Transactions[[#This Row],[L4N]],IF(Transactions[[#This Row],[Level 4]]=Transactions[[#This Row],[L6N]],Transactions[[#This Row],[L5N]],IF(Transactions[[#This Row],[Level 4]]=Transactions[[#This Row],[L7N]],Transactions[[#This Row],[L6N]],Transactions[[#This Row],[L7N]]))))))))</f>
        <v>Transformation in electricity plants - main activity producers (S)</v>
      </c>
      <c r="AX537" s="24" t="str">
        <f>IF(Transactions[[#This Row],[Level 5]]=Transactions[[#This Row],[Transaction name]],Transactions[[#This Row],[Transaction name]],IF(Transactions[[#This Row],[Level 5]]=Transactions[[#This Row],[L1N]],Transactions[[#This Row],[Transaction name]],IF(Transactions[[#This Row],[Level 5]]=Transactions[[#This Row],[L2N]],Transactions[[#This Row],[L1N]],IF(Transactions[[#This Row],[Level 5]]=Transactions[[#This Row],[L3N]],Transactions[[#This Row],[L2N]],IF(Transactions[[#This Row],[Level 5]]=Transactions[[#This Row],[L4N]],Transactions[[#This Row],[L3N]],IF(Transactions[[#This Row],[Level 5]]=Transactions[[#This Row],[L5N]],Transactions[[#This Row],[L4N]],IF(Transactions[[#This Row],[Level 5]]=Transactions[[#This Row],[L6N]],Transactions[[#This Row],[L5N]],IF(Transactions[[#This Row],[Level 5]]=Transactions[[#This Row],[L7N]],Transactions[[#This Row],[L6N]],Transactions[[#This Row],[L7N]]))))))))</f>
        <v>Transformation in electricity plants - main activity producers (S)</v>
      </c>
      <c r="AY537" s="24" t="str">
        <f>IF(Transactions[[#This Row],[Level 6]]=Transactions[[#This Row],[Transaction name]],Transactions[[#This Row],[Transaction name]],IF(Transactions[[#This Row],[Level 6]]=Transactions[[#This Row],[L1N]],Transactions[[#This Row],[Transaction name]],IF(Transactions[[#This Row],[Level 6]]=Transactions[[#This Row],[L2N]],Transactions[[#This Row],[L1N]],IF(Transactions[[#This Row],[Level 6]]=Transactions[[#This Row],[L3N]],Transactions[[#This Row],[L2N]],IF(Transactions[[#This Row],[Level 6]]=Transactions[[#This Row],[L4N]],Transactions[[#This Row],[L3N]],IF(Transactions[[#This Row],[Level 6]]=Transactions[[#This Row],[L5N]],Transactions[[#This Row],[L4N]],IF(Transactions[[#This Row],[Level 6]]=Transactions[[#This Row],[L6N]],Transactions[[#This Row],[L5N]],IF(Transactions[[#This Row],[Level 6]]=Transactions[[#This Row],[L7N]],Transactions[[#This Row],[L6N]],Transactions[[#This Row],[L7N]]))))))))</f>
        <v>Transformation in electricity plants - main activity producers (S)</v>
      </c>
    </row>
    <row r="538" spans="25:51" x14ac:dyDescent="0.45">
      <c r="Y538" s="4" t="s">
        <v>528</v>
      </c>
      <c r="Z538" s="4" t="s">
        <v>895</v>
      </c>
      <c r="AA538" s="4" t="s">
        <v>895</v>
      </c>
      <c r="AB538" s="4" t="s">
        <v>527</v>
      </c>
      <c r="AC538" s="24" t="str">
        <f>IFERROR(VLOOKUP(Transactions[[#This Row],[Parent code]],Transactions[[Transaction code]:[Transaction name]],2,0),"")</f>
        <v>Electricity, Heat and CHP plants (S)</v>
      </c>
      <c r="AD538" s="4" t="s">
        <v>189</v>
      </c>
      <c r="AF538" s="4" t="s">
        <v>642</v>
      </c>
      <c r="AG538" s="4" t="s">
        <v>385</v>
      </c>
      <c r="AK538" s="24" t="str" cm="1">
        <f t="array" ref="AK538">IFERROR(INDEX(Transactions[[Transaction code]:[Transaction name]],_xlfn.XMATCH(Transactions[[#This Row],[Parent code]],Transactions[Transaction name],0),3),Transactions[[#This Row],[Transaction name]])</f>
        <v>Transformation in heat plants - main activity producers (S)</v>
      </c>
      <c r="AL538" s="24" t="str" cm="1">
        <f t="array" ref="AL538">IFERROR(INDEX(Transactions[[Transaction code]:[Transaction name]],_xlfn.XMATCH(INDEX(Transactions[[Transaction name]:[Parent code]],_xlfn.XMATCH(Transactions[[#This Row],[L1N]],Transactions[Transaction name],0),3),Transactions[Transaction code],0),2),Transactions[[#This Row],[L1N]])</f>
        <v>Electricity, Heat and CHP plants (S)</v>
      </c>
      <c r="AM538" s="24" t="str" cm="1">
        <f t="array" ref="AM538">IFERROR(INDEX(Transactions[[Transaction code]:[Transaction name]],_xlfn.XMATCH(INDEX(Transactions[[Transaction name]:[Parent code]],_xlfn.XMATCH(Transactions[[#This Row],[L2N]],Transactions[Transaction name],0),3),Transactions[Transaction code],0),2),Transactions[[#This Row],[L2N]])</f>
        <v>Transformation (S)</v>
      </c>
      <c r="AN538" s="24" t="str" cm="1">
        <f t="array" ref="AN538">IFERROR(INDEX(Transactions[[Transaction code]:[Transaction name]],_xlfn.XMATCH(INDEX(Transactions[[Transaction name]:[Parent code]],_xlfn.XMATCH(Transactions[[#This Row],[L3N]],Transactions[Transaction name],0),3),Transactions[Transaction code],0),2),Transactions[[#This Row],[L3N]])</f>
        <v>Transformation (S)</v>
      </c>
      <c r="AO538" s="24" t="str" cm="1">
        <f t="array" ref="AO538">IFERROR(INDEX(Transactions[[Transaction code]:[Transaction name]],_xlfn.XMATCH(INDEX(Transactions[[Transaction name]:[Parent code]],_xlfn.XMATCH(Transactions[[#This Row],[L4N]],Transactions[Transaction name],0),3),Transactions[Transaction code],0),2),Transactions[[#This Row],[L4N]])</f>
        <v>Transformation (S)</v>
      </c>
      <c r="AP538" s="24" t="str" cm="1">
        <f t="array" ref="AP538">IFERROR(INDEX(Transactions[[Transaction code]:[Transaction name]],_xlfn.XMATCH(INDEX(Transactions[[Transaction name]:[Parent code]],_xlfn.XMATCH(Transactions[[#This Row],[L5N]],Transactions[Transaction name],0),3),Transactions[Transaction code],0),2),Transactions[[#This Row],[L5N]])</f>
        <v>Transformation (S)</v>
      </c>
      <c r="AQ538" s="24" t="str" cm="1">
        <f t="array" ref="AQ538">IFERROR(INDEX(Transactions[[Transaction code]:[Transaction name]],_xlfn.XMATCH(INDEX(Transactions[[Transaction name]:[Parent code]],_xlfn.XMATCH(Transactions[[#This Row],[L6N]],Transactions[Transaction name],0),3),Transactions[Transaction code],0),2),Transactions[[#This Row],[L6N]])</f>
        <v>Transformation (S)</v>
      </c>
      <c r="AR538" s="28" t="str">
        <f>IF(Transactions[[#This Row],[L7N]]=Transactions[[#This Row],[L6N]],Transactions[[#This Row],[L7N]],IF(Transactions[[#This Row],[L6N]]=Transactions[[#This Row],[L5N]],Transactions[[#This Row],[L6N]],IF(Transactions[[#This Row],[L5N]]=Transactions[[#This Row],[L4N]],Transactions[[#This Row],[L5N]],IF(Transactions[[#This Row],[L4N]]=Transactions[[#This Row],[L3N]],Transactions[[#This Row],[L4N]],IF(Transactions[[#This Row],[L3N]]=Transactions[[#This Row],[L2N]],Transactions[[#This Row],[L3N]],IF(Transactions[[#This Row],[L2N]]=Transactions[[#This Row],[L1N]],Transactions[[#This Row],[L2N]],IF(Transactions[[#This Row],[L1N]]=Transactions[[#This Row],[Transaction name]],Transactions[[#This Row],[L1N]],Transactions[[#This Row],[Transaction name]])))))))</f>
        <v>Transformation (S)</v>
      </c>
      <c r="AS538" s="24" t="str">
        <f>IF(Transactions[[#This Row],[Level 0]]=Transactions[[#This Row],[Transaction name]],Transactions[[#This Row],[Transaction name]],IF(Transactions[[#This Row],[Level 0]]=Transactions[[#This Row],[L1N]],Transactions[[#This Row],[Transaction name]],IF(Transactions[[#This Row],[Level 0]]=Transactions[[#This Row],[L2N]],Transactions[[#This Row],[L1N]],IF(Transactions[[#This Row],[Level 0]]=Transactions[[#This Row],[L3N]],Transactions[[#This Row],[L2N]],IF(Transactions[[#This Row],[Level 0]]=Transactions[[#This Row],[L4N]],Transactions[[#This Row],[L3N]],IF(Transactions[[#This Row],[Level 0]]=Transactions[[#This Row],[L5N]],Transactions[[#This Row],[L4N]],IF(Transactions[[#This Row],[Level 0]]=Transactions[[#This Row],[L6N]],Transactions[[#This Row],[L5N]],IF(Transactions[[#This Row],[Level 0]]=Transactions[[#This Row],[L7N]],Transactions[[#This Row],[L6N]],Transactions[[#This Row],[L7N]]))))))))</f>
        <v>Electricity, Heat and CHP plants (S)</v>
      </c>
      <c r="AT538" s="24" t="str">
        <f>IF(Transactions[[#This Row],[Level 1]]=Transactions[[#This Row],[Transaction name]],Transactions[[#This Row],[Transaction name]],IF(Transactions[[#This Row],[Level 1]]=Transactions[[#This Row],[L1N]],Transactions[[#This Row],[Transaction name]],IF(Transactions[[#This Row],[Level 1]]=Transactions[[#This Row],[L2N]],Transactions[[#This Row],[L1N]],IF(Transactions[[#This Row],[Level 1]]=Transactions[[#This Row],[L3N]],Transactions[[#This Row],[L2N]],IF(Transactions[[#This Row],[Level 1]]=Transactions[[#This Row],[L4N]],Transactions[[#This Row],[L3N]],IF(Transactions[[#This Row],[Level 1]]=Transactions[[#This Row],[L5N]],Transactions[[#This Row],[L4N]],IF(Transactions[[#This Row],[Level 1]]=Transactions[[#This Row],[L6N]],Transactions[[#This Row],[L5N]],IF(Transactions[[#This Row],[Level 1]]=Transactions[[#This Row],[L7N]],Transactions[[#This Row],[L6N]],Transactions[[#This Row],[L7N]]))))))))</f>
        <v>Transformation in heat plants - main activity producers (S)</v>
      </c>
      <c r="AU538" s="24" t="str">
        <f>IF(Transactions[[#This Row],[Level 2]]=Transactions[[#This Row],[Transaction name]],Transactions[[#This Row],[Transaction name]],IF(Transactions[[#This Row],[Level 2]]=Transactions[[#This Row],[L1N]],Transactions[[#This Row],[Transaction name]],IF(Transactions[[#This Row],[Level 2]]=Transactions[[#This Row],[L2N]],Transactions[[#This Row],[L1N]],IF(Transactions[[#This Row],[Level 2]]=Transactions[[#This Row],[L3N]],Transactions[[#This Row],[L2N]],IF(Transactions[[#This Row],[Level 2]]=Transactions[[#This Row],[L4N]],Transactions[[#This Row],[L3N]],IF(Transactions[[#This Row],[Level 2]]=Transactions[[#This Row],[L5N]],Transactions[[#This Row],[L4N]],IF(Transactions[[#This Row],[Level 2]]=Transactions[[#This Row],[L6N]],Transactions[[#This Row],[L5N]],IF(Transactions[[#This Row],[Level 2]]=Transactions[[#This Row],[L7N]],Transactions[[#This Row],[L6N]],Transactions[[#This Row],[L7N]]))))))))</f>
        <v>Transformation in heat plants - main activity producers (S)</v>
      </c>
      <c r="AV538" s="24" t="str">
        <f>IF(Transactions[[#This Row],[Level 3]]=Transactions[[#This Row],[Transaction name]],Transactions[[#This Row],[Transaction name]],IF(Transactions[[#This Row],[Level 3]]=Transactions[[#This Row],[L1N]],Transactions[[#This Row],[Transaction name]],IF(Transactions[[#This Row],[Level 3]]=Transactions[[#This Row],[L2N]],Transactions[[#This Row],[L1N]],IF(Transactions[[#This Row],[Level 3]]=Transactions[[#This Row],[L3N]],Transactions[[#This Row],[L2N]],IF(Transactions[[#This Row],[Level 3]]=Transactions[[#This Row],[L4N]],Transactions[[#This Row],[L3N]],IF(Transactions[[#This Row],[Level 3]]=Transactions[[#This Row],[L5N]],Transactions[[#This Row],[L4N]],IF(Transactions[[#This Row],[Level 3]]=Transactions[[#This Row],[L6N]],Transactions[[#This Row],[L5N]],IF(Transactions[[#This Row],[Level 3]]=Transactions[[#This Row],[L7N]],Transactions[[#This Row],[L6N]],Transactions[[#This Row],[L7N]]))))))))</f>
        <v>Transformation in heat plants - main activity producers (S)</v>
      </c>
      <c r="AW538" s="24" t="str">
        <f>IF(Transactions[[#This Row],[Level 4]]=Transactions[[#This Row],[Transaction name]],Transactions[[#This Row],[Transaction name]],IF(Transactions[[#This Row],[Level 4]]=Transactions[[#This Row],[L1N]],Transactions[[#This Row],[Transaction name]],IF(Transactions[[#This Row],[Level 4]]=Transactions[[#This Row],[L2N]],Transactions[[#This Row],[L1N]],IF(Transactions[[#This Row],[Level 4]]=Transactions[[#This Row],[L3N]],Transactions[[#This Row],[L2N]],IF(Transactions[[#This Row],[Level 4]]=Transactions[[#This Row],[L4N]],Transactions[[#This Row],[L3N]],IF(Transactions[[#This Row],[Level 4]]=Transactions[[#This Row],[L5N]],Transactions[[#This Row],[L4N]],IF(Transactions[[#This Row],[Level 4]]=Transactions[[#This Row],[L6N]],Transactions[[#This Row],[L5N]],IF(Transactions[[#This Row],[Level 4]]=Transactions[[#This Row],[L7N]],Transactions[[#This Row],[L6N]],Transactions[[#This Row],[L7N]]))))))))</f>
        <v>Transformation in heat plants - main activity producers (S)</v>
      </c>
      <c r="AX538" s="24" t="str">
        <f>IF(Transactions[[#This Row],[Level 5]]=Transactions[[#This Row],[Transaction name]],Transactions[[#This Row],[Transaction name]],IF(Transactions[[#This Row],[Level 5]]=Transactions[[#This Row],[L1N]],Transactions[[#This Row],[Transaction name]],IF(Transactions[[#This Row],[Level 5]]=Transactions[[#This Row],[L2N]],Transactions[[#This Row],[L1N]],IF(Transactions[[#This Row],[Level 5]]=Transactions[[#This Row],[L3N]],Transactions[[#This Row],[L2N]],IF(Transactions[[#This Row],[Level 5]]=Transactions[[#This Row],[L4N]],Transactions[[#This Row],[L3N]],IF(Transactions[[#This Row],[Level 5]]=Transactions[[#This Row],[L5N]],Transactions[[#This Row],[L4N]],IF(Transactions[[#This Row],[Level 5]]=Transactions[[#This Row],[L6N]],Transactions[[#This Row],[L5N]],IF(Transactions[[#This Row],[Level 5]]=Transactions[[#This Row],[L7N]],Transactions[[#This Row],[L6N]],Transactions[[#This Row],[L7N]]))))))))</f>
        <v>Transformation in heat plants - main activity producers (S)</v>
      </c>
      <c r="AY538" s="24" t="str">
        <f>IF(Transactions[[#This Row],[Level 6]]=Transactions[[#This Row],[Transaction name]],Transactions[[#This Row],[Transaction name]],IF(Transactions[[#This Row],[Level 6]]=Transactions[[#This Row],[L1N]],Transactions[[#This Row],[Transaction name]],IF(Transactions[[#This Row],[Level 6]]=Transactions[[#This Row],[L2N]],Transactions[[#This Row],[L1N]],IF(Transactions[[#This Row],[Level 6]]=Transactions[[#This Row],[L3N]],Transactions[[#This Row],[L2N]],IF(Transactions[[#This Row],[Level 6]]=Transactions[[#This Row],[L4N]],Transactions[[#This Row],[L3N]],IF(Transactions[[#This Row],[Level 6]]=Transactions[[#This Row],[L5N]],Transactions[[#This Row],[L4N]],IF(Transactions[[#This Row],[Level 6]]=Transactions[[#This Row],[L6N]],Transactions[[#This Row],[L5N]],IF(Transactions[[#This Row],[Level 6]]=Transactions[[#This Row],[L7N]],Transactions[[#This Row],[L6N]],Transactions[[#This Row],[L7N]]))))))))</f>
        <v>Transformation in heat plants - main activity producers (S)</v>
      </c>
    </row>
    <row r="539" spans="25:51" x14ac:dyDescent="0.45">
      <c r="Y539" s="4" t="s">
        <v>503</v>
      </c>
      <c r="Z539" s="4" t="s">
        <v>871</v>
      </c>
      <c r="AA539" s="4" t="s">
        <v>871</v>
      </c>
      <c r="AB539" s="4" t="s">
        <v>502</v>
      </c>
      <c r="AC539" s="24" t="str">
        <f>IFERROR(VLOOKUP(Transactions[[#This Row],[Parent code]],Transactions[[Transaction code]:[Transaction name]],2,0),"")</f>
        <v>Transformation (S)</v>
      </c>
      <c r="AD539" s="4" t="s">
        <v>189</v>
      </c>
      <c r="AF539" s="4" t="s">
        <v>642</v>
      </c>
      <c r="AG539" s="4" t="s">
        <v>385</v>
      </c>
      <c r="AK539" s="24" t="str" cm="1">
        <f t="array" ref="AK539">IFERROR(INDEX(Transactions[[Transaction code]:[Transaction name]],_xlfn.XMATCH(Transactions[[#This Row],[Parent code]],Transactions[Transaction name],0),3),Transactions[[#This Row],[Transaction name]])</f>
        <v>Other transformation (S)</v>
      </c>
      <c r="AL539" s="24" t="str" cm="1">
        <f t="array" ref="AL539">IFERROR(INDEX(Transactions[[Transaction code]:[Transaction name]],_xlfn.XMATCH(INDEX(Transactions[[Transaction name]:[Parent code]],_xlfn.XMATCH(Transactions[[#This Row],[L1N]],Transactions[Transaction name],0),3),Transactions[Transaction code],0),2),Transactions[[#This Row],[L1N]])</f>
        <v>Transformation (S)</v>
      </c>
      <c r="AM539" s="24" t="str" cm="1">
        <f t="array" ref="AM539">IFERROR(INDEX(Transactions[[Transaction code]:[Transaction name]],_xlfn.XMATCH(INDEX(Transactions[[Transaction name]:[Parent code]],_xlfn.XMATCH(Transactions[[#This Row],[L2N]],Transactions[Transaction name],0),3),Transactions[Transaction code],0),2),Transactions[[#This Row],[L2N]])</f>
        <v>Transformation (S)</v>
      </c>
      <c r="AN539" s="24" t="str" cm="1">
        <f t="array" ref="AN539">IFERROR(INDEX(Transactions[[Transaction code]:[Transaction name]],_xlfn.XMATCH(INDEX(Transactions[[Transaction name]:[Parent code]],_xlfn.XMATCH(Transactions[[#This Row],[L3N]],Transactions[Transaction name],0),3),Transactions[Transaction code],0),2),Transactions[[#This Row],[L3N]])</f>
        <v>Transformation (S)</v>
      </c>
      <c r="AO539" s="24" t="str" cm="1">
        <f t="array" ref="AO539">IFERROR(INDEX(Transactions[[Transaction code]:[Transaction name]],_xlfn.XMATCH(INDEX(Transactions[[Transaction name]:[Parent code]],_xlfn.XMATCH(Transactions[[#This Row],[L4N]],Transactions[Transaction name],0),3),Transactions[Transaction code],0),2),Transactions[[#This Row],[L4N]])</f>
        <v>Transformation (S)</v>
      </c>
      <c r="AP539" s="24" t="str" cm="1">
        <f t="array" ref="AP539">IFERROR(INDEX(Transactions[[Transaction code]:[Transaction name]],_xlfn.XMATCH(INDEX(Transactions[[Transaction name]:[Parent code]],_xlfn.XMATCH(Transactions[[#This Row],[L5N]],Transactions[Transaction name],0),3),Transactions[Transaction code],0),2),Transactions[[#This Row],[L5N]])</f>
        <v>Transformation (S)</v>
      </c>
      <c r="AQ539" s="24" t="str" cm="1">
        <f t="array" ref="AQ539">IFERROR(INDEX(Transactions[[Transaction code]:[Transaction name]],_xlfn.XMATCH(INDEX(Transactions[[Transaction name]:[Parent code]],_xlfn.XMATCH(Transactions[[#This Row],[L6N]],Transactions[Transaction name],0),3),Transactions[Transaction code],0),2),Transactions[[#This Row],[L6N]])</f>
        <v>Transformation (S)</v>
      </c>
      <c r="AR539" s="28" t="str">
        <f>IF(Transactions[[#This Row],[L7N]]=Transactions[[#This Row],[L6N]],Transactions[[#This Row],[L7N]],IF(Transactions[[#This Row],[L6N]]=Transactions[[#This Row],[L5N]],Transactions[[#This Row],[L6N]],IF(Transactions[[#This Row],[L5N]]=Transactions[[#This Row],[L4N]],Transactions[[#This Row],[L5N]],IF(Transactions[[#This Row],[L4N]]=Transactions[[#This Row],[L3N]],Transactions[[#This Row],[L4N]],IF(Transactions[[#This Row],[L3N]]=Transactions[[#This Row],[L2N]],Transactions[[#This Row],[L3N]],IF(Transactions[[#This Row],[L2N]]=Transactions[[#This Row],[L1N]],Transactions[[#This Row],[L2N]],IF(Transactions[[#This Row],[L1N]]=Transactions[[#This Row],[Transaction name]],Transactions[[#This Row],[L1N]],Transactions[[#This Row],[Transaction name]])))))))</f>
        <v>Transformation (S)</v>
      </c>
      <c r="AS539" s="24" t="str">
        <f>IF(Transactions[[#This Row],[Level 0]]=Transactions[[#This Row],[Transaction name]],Transactions[[#This Row],[Transaction name]],IF(Transactions[[#This Row],[Level 0]]=Transactions[[#This Row],[L1N]],Transactions[[#This Row],[Transaction name]],IF(Transactions[[#This Row],[Level 0]]=Transactions[[#This Row],[L2N]],Transactions[[#This Row],[L1N]],IF(Transactions[[#This Row],[Level 0]]=Transactions[[#This Row],[L3N]],Transactions[[#This Row],[L2N]],IF(Transactions[[#This Row],[Level 0]]=Transactions[[#This Row],[L4N]],Transactions[[#This Row],[L3N]],IF(Transactions[[#This Row],[Level 0]]=Transactions[[#This Row],[L5N]],Transactions[[#This Row],[L4N]],IF(Transactions[[#This Row],[Level 0]]=Transactions[[#This Row],[L6N]],Transactions[[#This Row],[L5N]],IF(Transactions[[#This Row],[Level 0]]=Transactions[[#This Row],[L7N]],Transactions[[#This Row],[L6N]],Transactions[[#This Row],[L7N]]))))))))</f>
        <v>Other transformation (S)</v>
      </c>
      <c r="AT539" s="24" t="str">
        <f>IF(Transactions[[#This Row],[Level 1]]=Transactions[[#This Row],[Transaction name]],Transactions[[#This Row],[Transaction name]],IF(Transactions[[#This Row],[Level 1]]=Transactions[[#This Row],[L1N]],Transactions[[#This Row],[Transaction name]],IF(Transactions[[#This Row],[Level 1]]=Transactions[[#This Row],[L2N]],Transactions[[#This Row],[L1N]],IF(Transactions[[#This Row],[Level 1]]=Transactions[[#This Row],[L3N]],Transactions[[#This Row],[L2N]],IF(Transactions[[#This Row],[Level 1]]=Transactions[[#This Row],[L4N]],Transactions[[#This Row],[L3N]],IF(Transactions[[#This Row],[Level 1]]=Transactions[[#This Row],[L5N]],Transactions[[#This Row],[L4N]],IF(Transactions[[#This Row],[Level 1]]=Transactions[[#This Row],[L6N]],Transactions[[#This Row],[L5N]],IF(Transactions[[#This Row],[Level 1]]=Transactions[[#This Row],[L7N]],Transactions[[#This Row],[L6N]],Transactions[[#This Row],[L7N]]))))))))</f>
        <v>Other transformation (S)</v>
      </c>
      <c r="AU539" s="24" t="str">
        <f>IF(Transactions[[#This Row],[Level 2]]=Transactions[[#This Row],[Transaction name]],Transactions[[#This Row],[Transaction name]],IF(Transactions[[#This Row],[Level 2]]=Transactions[[#This Row],[L1N]],Transactions[[#This Row],[Transaction name]],IF(Transactions[[#This Row],[Level 2]]=Transactions[[#This Row],[L2N]],Transactions[[#This Row],[L1N]],IF(Transactions[[#This Row],[Level 2]]=Transactions[[#This Row],[L3N]],Transactions[[#This Row],[L2N]],IF(Transactions[[#This Row],[Level 2]]=Transactions[[#This Row],[L4N]],Transactions[[#This Row],[L3N]],IF(Transactions[[#This Row],[Level 2]]=Transactions[[#This Row],[L5N]],Transactions[[#This Row],[L4N]],IF(Transactions[[#This Row],[Level 2]]=Transactions[[#This Row],[L6N]],Transactions[[#This Row],[L5N]],IF(Transactions[[#This Row],[Level 2]]=Transactions[[#This Row],[L7N]],Transactions[[#This Row],[L6N]],Transactions[[#This Row],[L7N]]))))))))</f>
        <v>Other transformation (S)</v>
      </c>
      <c r="AV539" s="24" t="str">
        <f>IF(Transactions[[#This Row],[Level 3]]=Transactions[[#This Row],[Transaction name]],Transactions[[#This Row],[Transaction name]],IF(Transactions[[#This Row],[Level 3]]=Transactions[[#This Row],[L1N]],Transactions[[#This Row],[Transaction name]],IF(Transactions[[#This Row],[Level 3]]=Transactions[[#This Row],[L2N]],Transactions[[#This Row],[L1N]],IF(Transactions[[#This Row],[Level 3]]=Transactions[[#This Row],[L3N]],Transactions[[#This Row],[L2N]],IF(Transactions[[#This Row],[Level 3]]=Transactions[[#This Row],[L4N]],Transactions[[#This Row],[L3N]],IF(Transactions[[#This Row],[Level 3]]=Transactions[[#This Row],[L5N]],Transactions[[#This Row],[L4N]],IF(Transactions[[#This Row],[Level 3]]=Transactions[[#This Row],[L6N]],Transactions[[#This Row],[L5N]],IF(Transactions[[#This Row],[Level 3]]=Transactions[[#This Row],[L7N]],Transactions[[#This Row],[L6N]],Transactions[[#This Row],[L7N]]))))))))</f>
        <v>Other transformation (S)</v>
      </c>
      <c r="AW539" s="24" t="str">
        <f>IF(Transactions[[#This Row],[Level 4]]=Transactions[[#This Row],[Transaction name]],Transactions[[#This Row],[Transaction name]],IF(Transactions[[#This Row],[Level 4]]=Transactions[[#This Row],[L1N]],Transactions[[#This Row],[Transaction name]],IF(Transactions[[#This Row],[Level 4]]=Transactions[[#This Row],[L2N]],Transactions[[#This Row],[L1N]],IF(Transactions[[#This Row],[Level 4]]=Transactions[[#This Row],[L3N]],Transactions[[#This Row],[L2N]],IF(Transactions[[#This Row],[Level 4]]=Transactions[[#This Row],[L4N]],Transactions[[#This Row],[L3N]],IF(Transactions[[#This Row],[Level 4]]=Transactions[[#This Row],[L5N]],Transactions[[#This Row],[L4N]],IF(Transactions[[#This Row],[Level 4]]=Transactions[[#This Row],[L6N]],Transactions[[#This Row],[L5N]],IF(Transactions[[#This Row],[Level 4]]=Transactions[[#This Row],[L7N]],Transactions[[#This Row],[L6N]],Transactions[[#This Row],[L7N]]))))))))</f>
        <v>Other transformation (S)</v>
      </c>
      <c r="AX539" s="24" t="str">
        <f>IF(Transactions[[#This Row],[Level 5]]=Transactions[[#This Row],[Transaction name]],Transactions[[#This Row],[Transaction name]],IF(Transactions[[#This Row],[Level 5]]=Transactions[[#This Row],[L1N]],Transactions[[#This Row],[Transaction name]],IF(Transactions[[#This Row],[Level 5]]=Transactions[[#This Row],[L2N]],Transactions[[#This Row],[L1N]],IF(Transactions[[#This Row],[Level 5]]=Transactions[[#This Row],[L3N]],Transactions[[#This Row],[L2N]],IF(Transactions[[#This Row],[Level 5]]=Transactions[[#This Row],[L4N]],Transactions[[#This Row],[L3N]],IF(Transactions[[#This Row],[Level 5]]=Transactions[[#This Row],[L5N]],Transactions[[#This Row],[L4N]],IF(Transactions[[#This Row],[Level 5]]=Transactions[[#This Row],[L6N]],Transactions[[#This Row],[L5N]],IF(Transactions[[#This Row],[Level 5]]=Transactions[[#This Row],[L7N]],Transactions[[#This Row],[L6N]],Transactions[[#This Row],[L7N]]))))))))</f>
        <v>Other transformation (S)</v>
      </c>
      <c r="AY539" s="24" t="str">
        <f>IF(Transactions[[#This Row],[Level 6]]=Transactions[[#This Row],[Transaction name]],Transactions[[#This Row],[Transaction name]],IF(Transactions[[#This Row],[Level 6]]=Transactions[[#This Row],[L1N]],Transactions[[#This Row],[Transaction name]],IF(Transactions[[#This Row],[Level 6]]=Transactions[[#This Row],[L2N]],Transactions[[#This Row],[L1N]],IF(Transactions[[#This Row],[Level 6]]=Transactions[[#This Row],[L3N]],Transactions[[#This Row],[L2N]],IF(Transactions[[#This Row],[Level 6]]=Transactions[[#This Row],[L4N]],Transactions[[#This Row],[L3N]],IF(Transactions[[#This Row],[Level 6]]=Transactions[[#This Row],[L5N]],Transactions[[#This Row],[L4N]],IF(Transactions[[#This Row],[Level 6]]=Transactions[[#This Row],[L6N]],Transactions[[#This Row],[L5N]],IF(Transactions[[#This Row],[Level 6]]=Transactions[[#This Row],[L7N]],Transactions[[#This Row],[L6N]],Transactions[[#This Row],[L7N]]))))))))</f>
        <v>Other transformation (S)</v>
      </c>
    </row>
    <row r="540" spans="25:51" x14ac:dyDescent="0.45">
      <c r="Y540" s="4" t="s">
        <v>502</v>
      </c>
      <c r="Z540" s="4" t="s">
        <v>882</v>
      </c>
      <c r="AA540" s="4" t="s">
        <v>882</v>
      </c>
      <c r="AC540" s="24" t="str">
        <f>IFERROR(VLOOKUP(Transactions[[#This Row],[Parent code]],Transactions[[Transaction code]:[Transaction name]],2,0),"")</f>
        <v/>
      </c>
      <c r="AD540" s="4" t="s">
        <v>189</v>
      </c>
      <c r="AF540" s="4" t="s">
        <v>642</v>
      </c>
      <c r="AG540" s="4" t="s">
        <v>385</v>
      </c>
      <c r="AK540" s="24" t="str" cm="1">
        <f t="array" ref="AK540">IFERROR(INDEX(Transactions[[Transaction code]:[Transaction name]],_xlfn.XMATCH(Transactions[[#This Row],[Parent code]],Transactions[Transaction name],0),3),Transactions[[#This Row],[Transaction name]])</f>
        <v>Transformation (S)</v>
      </c>
      <c r="AL540" s="24" t="str" cm="1">
        <f t="array" ref="AL540">IFERROR(INDEX(Transactions[[Transaction code]:[Transaction name]],_xlfn.XMATCH(INDEX(Transactions[[Transaction name]:[Parent code]],_xlfn.XMATCH(Transactions[[#This Row],[L1N]],Transactions[Transaction name],0),3),Transactions[Transaction code],0),2),Transactions[[#This Row],[L1N]])</f>
        <v>Transformation (S)</v>
      </c>
      <c r="AM540" s="24" t="str" cm="1">
        <f t="array" ref="AM540">IFERROR(INDEX(Transactions[[Transaction code]:[Transaction name]],_xlfn.XMATCH(INDEX(Transactions[[Transaction name]:[Parent code]],_xlfn.XMATCH(Transactions[[#This Row],[L2N]],Transactions[Transaction name],0),3),Transactions[Transaction code],0),2),Transactions[[#This Row],[L2N]])</f>
        <v>Transformation (S)</v>
      </c>
      <c r="AN540" s="24" t="str" cm="1">
        <f t="array" ref="AN540">IFERROR(INDEX(Transactions[[Transaction code]:[Transaction name]],_xlfn.XMATCH(INDEX(Transactions[[Transaction name]:[Parent code]],_xlfn.XMATCH(Transactions[[#This Row],[L3N]],Transactions[Transaction name],0),3),Transactions[Transaction code],0),2),Transactions[[#This Row],[L3N]])</f>
        <v>Transformation (S)</v>
      </c>
      <c r="AO540" s="24" t="str" cm="1">
        <f t="array" ref="AO540">IFERROR(INDEX(Transactions[[Transaction code]:[Transaction name]],_xlfn.XMATCH(INDEX(Transactions[[Transaction name]:[Parent code]],_xlfn.XMATCH(Transactions[[#This Row],[L4N]],Transactions[Transaction name],0),3),Transactions[Transaction code],0),2),Transactions[[#This Row],[L4N]])</f>
        <v>Transformation (S)</v>
      </c>
      <c r="AP540" s="24" t="str" cm="1">
        <f t="array" ref="AP540">IFERROR(INDEX(Transactions[[Transaction code]:[Transaction name]],_xlfn.XMATCH(INDEX(Transactions[[Transaction name]:[Parent code]],_xlfn.XMATCH(Transactions[[#This Row],[L5N]],Transactions[Transaction name],0),3),Transactions[Transaction code],0),2),Transactions[[#This Row],[L5N]])</f>
        <v>Transformation (S)</v>
      </c>
      <c r="AQ540" s="24" t="str" cm="1">
        <f t="array" ref="AQ540">IFERROR(INDEX(Transactions[[Transaction code]:[Transaction name]],_xlfn.XMATCH(INDEX(Transactions[[Transaction name]:[Parent code]],_xlfn.XMATCH(Transactions[[#This Row],[L6N]],Transactions[Transaction name],0),3),Transactions[Transaction code],0),2),Transactions[[#This Row],[L6N]])</f>
        <v>Transformation (S)</v>
      </c>
      <c r="AR540" s="28" t="str">
        <f>IF(Transactions[[#This Row],[L7N]]=Transactions[[#This Row],[L6N]],Transactions[[#This Row],[L7N]],IF(Transactions[[#This Row],[L6N]]=Transactions[[#This Row],[L5N]],Transactions[[#This Row],[L6N]],IF(Transactions[[#This Row],[L5N]]=Transactions[[#This Row],[L4N]],Transactions[[#This Row],[L5N]],IF(Transactions[[#This Row],[L4N]]=Transactions[[#This Row],[L3N]],Transactions[[#This Row],[L4N]],IF(Transactions[[#This Row],[L3N]]=Transactions[[#This Row],[L2N]],Transactions[[#This Row],[L3N]],IF(Transactions[[#This Row],[L2N]]=Transactions[[#This Row],[L1N]],Transactions[[#This Row],[L2N]],IF(Transactions[[#This Row],[L1N]]=Transactions[[#This Row],[Transaction name]],Transactions[[#This Row],[L1N]],Transactions[[#This Row],[Transaction name]])))))))</f>
        <v>Transformation (S)</v>
      </c>
      <c r="AS540" s="24" t="str">
        <f>IF(Transactions[[#This Row],[Level 0]]=Transactions[[#This Row],[Transaction name]],Transactions[[#This Row],[Transaction name]],IF(Transactions[[#This Row],[Level 0]]=Transactions[[#This Row],[L1N]],Transactions[[#This Row],[Transaction name]],IF(Transactions[[#This Row],[Level 0]]=Transactions[[#This Row],[L2N]],Transactions[[#This Row],[L1N]],IF(Transactions[[#This Row],[Level 0]]=Transactions[[#This Row],[L3N]],Transactions[[#This Row],[L2N]],IF(Transactions[[#This Row],[Level 0]]=Transactions[[#This Row],[L4N]],Transactions[[#This Row],[L3N]],IF(Transactions[[#This Row],[Level 0]]=Transactions[[#This Row],[L5N]],Transactions[[#This Row],[L4N]],IF(Transactions[[#This Row],[Level 0]]=Transactions[[#This Row],[L6N]],Transactions[[#This Row],[L5N]],IF(Transactions[[#This Row],[Level 0]]=Transactions[[#This Row],[L7N]],Transactions[[#This Row],[L6N]],Transactions[[#This Row],[L7N]]))))))))</f>
        <v>Transformation (S)</v>
      </c>
      <c r="AT540" s="24" t="str">
        <f>IF(Transactions[[#This Row],[Level 1]]=Transactions[[#This Row],[Transaction name]],Transactions[[#This Row],[Transaction name]],IF(Transactions[[#This Row],[Level 1]]=Transactions[[#This Row],[L1N]],Transactions[[#This Row],[Transaction name]],IF(Transactions[[#This Row],[Level 1]]=Transactions[[#This Row],[L2N]],Transactions[[#This Row],[L1N]],IF(Transactions[[#This Row],[Level 1]]=Transactions[[#This Row],[L3N]],Transactions[[#This Row],[L2N]],IF(Transactions[[#This Row],[Level 1]]=Transactions[[#This Row],[L4N]],Transactions[[#This Row],[L3N]],IF(Transactions[[#This Row],[Level 1]]=Transactions[[#This Row],[L5N]],Transactions[[#This Row],[L4N]],IF(Transactions[[#This Row],[Level 1]]=Transactions[[#This Row],[L6N]],Transactions[[#This Row],[L5N]],IF(Transactions[[#This Row],[Level 1]]=Transactions[[#This Row],[L7N]],Transactions[[#This Row],[L6N]],Transactions[[#This Row],[L7N]]))))))))</f>
        <v>Transformation (S)</v>
      </c>
      <c r="AU540" s="24" t="str">
        <f>IF(Transactions[[#This Row],[Level 2]]=Transactions[[#This Row],[Transaction name]],Transactions[[#This Row],[Transaction name]],IF(Transactions[[#This Row],[Level 2]]=Transactions[[#This Row],[L1N]],Transactions[[#This Row],[Transaction name]],IF(Transactions[[#This Row],[Level 2]]=Transactions[[#This Row],[L2N]],Transactions[[#This Row],[L1N]],IF(Transactions[[#This Row],[Level 2]]=Transactions[[#This Row],[L3N]],Transactions[[#This Row],[L2N]],IF(Transactions[[#This Row],[Level 2]]=Transactions[[#This Row],[L4N]],Transactions[[#This Row],[L3N]],IF(Transactions[[#This Row],[Level 2]]=Transactions[[#This Row],[L5N]],Transactions[[#This Row],[L4N]],IF(Transactions[[#This Row],[Level 2]]=Transactions[[#This Row],[L6N]],Transactions[[#This Row],[L5N]],IF(Transactions[[#This Row],[Level 2]]=Transactions[[#This Row],[L7N]],Transactions[[#This Row],[L6N]],Transactions[[#This Row],[L7N]]))))))))</f>
        <v>Transformation (S)</v>
      </c>
      <c r="AV540" s="24" t="str">
        <f>IF(Transactions[[#This Row],[Level 3]]=Transactions[[#This Row],[Transaction name]],Transactions[[#This Row],[Transaction name]],IF(Transactions[[#This Row],[Level 3]]=Transactions[[#This Row],[L1N]],Transactions[[#This Row],[Transaction name]],IF(Transactions[[#This Row],[Level 3]]=Transactions[[#This Row],[L2N]],Transactions[[#This Row],[L1N]],IF(Transactions[[#This Row],[Level 3]]=Transactions[[#This Row],[L3N]],Transactions[[#This Row],[L2N]],IF(Transactions[[#This Row],[Level 3]]=Transactions[[#This Row],[L4N]],Transactions[[#This Row],[L3N]],IF(Transactions[[#This Row],[Level 3]]=Transactions[[#This Row],[L5N]],Transactions[[#This Row],[L4N]],IF(Transactions[[#This Row],[Level 3]]=Transactions[[#This Row],[L6N]],Transactions[[#This Row],[L5N]],IF(Transactions[[#This Row],[Level 3]]=Transactions[[#This Row],[L7N]],Transactions[[#This Row],[L6N]],Transactions[[#This Row],[L7N]]))))))))</f>
        <v>Transformation (S)</v>
      </c>
      <c r="AW540" s="24" t="str">
        <f>IF(Transactions[[#This Row],[Level 4]]=Transactions[[#This Row],[Transaction name]],Transactions[[#This Row],[Transaction name]],IF(Transactions[[#This Row],[Level 4]]=Transactions[[#This Row],[L1N]],Transactions[[#This Row],[Transaction name]],IF(Transactions[[#This Row],[Level 4]]=Transactions[[#This Row],[L2N]],Transactions[[#This Row],[L1N]],IF(Transactions[[#This Row],[Level 4]]=Transactions[[#This Row],[L3N]],Transactions[[#This Row],[L2N]],IF(Transactions[[#This Row],[Level 4]]=Transactions[[#This Row],[L4N]],Transactions[[#This Row],[L3N]],IF(Transactions[[#This Row],[Level 4]]=Transactions[[#This Row],[L5N]],Transactions[[#This Row],[L4N]],IF(Transactions[[#This Row],[Level 4]]=Transactions[[#This Row],[L6N]],Transactions[[#This Row],[L5N]],IF(Transactions[[#This Row],[Level 4]]=Transactions[[#This Row],[L7N]],Transactions[[#This Row],[L6N]],Transactions[[#This Row],[L7N]]))))))))</f>
        <v>Transformation (S)</v>
      </c>
      <c r="AX540" s="24" t="str">
        <f>IF(Transactions[[#This Row],[Level 5]]=Transactions[[#This Row],[Transaction name]],Transactions[[#This Row],[Transaction name]],IF(Transactions[[#This Row],[Level 5]]=Transactions[[#This Row],[L1N]],Transactions[[#This Row],[Transaction name]],IF(Transactions[[#This Row],[Level 5]]=Transactions[[#This Row],[L2N]],Transactions[[#This Row],[L1N]],IF(Transactions[[#This Row],[Level 5]]=Transactions[[#This Row],[L3N]],Transactions[[#This Row],[L2N]],IF(Transactions[[#This Row],[Level 5]]=Transactions[[#This Row],[L4N]],Transactions[[#This Row],[L3N]],IF(Transactions[[#This Row],[Level 5]]=Transactions[[#This Row],[L5N]],Transactions[[#This Row],[L4N]],IF(Transactions[[#This Row],[Level 5]]=Transactions[[#This Row],[L6N]],Transactions[[#This Row],[L5N]],IF(Transactions[[#This Row],[Level 5]]=Transactions[[#This Row],[L7N]],Transactions[[#This Row],[L6N]],Transactions[[#This Row],[L7N]]))))))))</f>
        <v>Transformation (S)</v>
      </c>
      <c r="AY540" s="24" t="str">
        <f>IF(Transactions[[#This Row],[Level 6]]=Transactions[[#This Row],[Transaction name]],Transactions[[#This Row],[Transaction name]],IF(Transactions[[#This Row],[Level 6]]=Transactions[[#This Row],[L1N]],Transactions[[#This Row],[Transaction name]],IF(Transactions[[#This Row],[Level 6]]=Transactions[[#This Row],[L2N]],Transactions[[#This Row],[L1N]],IF(Transactions[[#This Row],[Level 6]]=Transactions[[#This Row],[L3N]],Transactions[[#This Row],[L2N]],IF(Transactions[[#This Row],[Level 6]]=Transactions[[#This Row],[L4N]],Transactions[[#This Row],[L3N]],IF(Transactions[[#This Row],[Level 6]]=Transactions[[#This Row],[L5N]],Transactions[[#This Row],[L4N]],IF(Transactions[[#This Row],[Level 6]]=Transactions[[#This Row],[L6N]],Transactions[[#This Row],[L5N]],IF(Transactions[[#This Row],[Level 6]]=Transactions[[#This Row],[L7N]],Transactions[[#This Row],[L6N]],Transactions[[#This Row],[L7N]]))))))))</f>
        <v>Transformation (S)</v>
      </c>
    </row>
    <row r="541" spans="25:51" x14ac:dyDescent="0.45">
      <c r="Y541" s="4" t="s">
        <v>512</v>
      </c>
      <c r="Z541" s="4" t="s">
        <v>900</v>
      </c>
      <c r="AA541" s="4" t="s">
        <v>900</v>
      </c>
      <c r="AB541" s="4" t="s">
        <v>502</v>
      </c>
      <c r="AC541" s="24" t="str">
        <f>IFERROR(VLOOKUP(Transactions[[#This Row],[Parent code]],Transactions[[Transaction code]:[Transaction name]],2,0),"")</f>
        <v>Transformation (S)</v>
      </c>
      <c r="AD541" s="4" t="s">
        <v>189</v>
      </c>
      <c r="AF541" s="4" t="s">
        <v>642</v>
      </c>
      <c r="AG541" s="4" t="s">
        <v>385</v>
      </c>
      <c r="AK541" s="24" t="str" cm="1">
        <f t="array" ref="AK541">IFERROR(INDEX(Transactions[[Transaction code]:[Transaction name]],_xlfn.XMATCH(Transactions[[#This Row],[Parent code]],Transactions[Transaction name],0),3),Transactions[[#This Row],[Transaction name]])</f>
        <v>Transformation in blast furnaces (S)</v>
      </c>
      <c r="AL541" s="24" t="str" cm="1">
        <f t="array" ref="AL541">IFERROR(INDEX(Transactions[[Transaction code]:[Transaction name]],_xlfn.XMATCH(INDEX(Transactions[[Transaction name]:[Parent code]],_xlfn.XMATCH(Transactions[[#This Row],[L1N]],Transactions[Transaction name],0),3),Transactions[Transaction code],0),2),Transactions[[#This Row],[L1N]])</f>
        <v>Transformation (S)</v>
      </c>
      <c r="AM541" s="24" t="str" cm="1">
        <f t="array" ref="AM541">IFERROR(INDEX(Transactions[[Transaction code]:[Transaction name]],_xlfn.XMATCH(INDEX(Transactions[[Transaction name]:[Parent code]],_xlfn.XMATCH(Transactions[[#This Row],[L2N]],Transactions[Transaction name],0),3),Transactions[Transaction code],0),2),Transactions[[#This Row],[L2N]])</f>
        <v>Transformation (S)</v>
      </c>
      <c r="AN541" s="24" t="str" cm="1">
        <f t="array" ref="AN541">IFERROR(INDEX(Transactions[[Transaction code]:[Transaction name]],_xlfn.XMATCH(INDEX(Transactions[[Transaction name]:[Parent code]],_xlfn.XMATCH(Transactions[[#This Row],[L3N]],Transactions[Transaction name],0),3),Transactions[Transaction code],0),2),Transactions[[#This Row],[L3N]])</f>
        <v>Transformation (S)</v>
      </c>
      <c r="AO541" s="24" t="str" cm="1">
        <f t="array" ref="AO541">IFERROR(INDEX(Transactions[[Transaction code]:[Transaction name]],_xlfn.XMATCH(INDEX(Transactions[[Transaction name]:[Parent code]],_xlfn.XMATCH(Transactions[[#This Row],[L4N]],Transactions[Transaction name],0),3),Transactions[Transaction code],0),2),Transactions[[#This Row],[L4N]])</f>
        <v>Transformation (S)</v>
      </c>
      <c r="AP541" s="24" t="str" cm="1">
        <f t="array" ref="AP541">IFERROR(INDEX(Transactions[[Transaction code]:[Transaction name]],_xlfn.XMATCH(INDEX(Transactions[[Transaction name]:[Parent code]],_xlfn.XMATCH(Transactions[[#This Row],[L5N]],Transactions[Transaction name],0),3),Transactions[Transaction code],0),2),Transactions[[#This Row],[L5N]])</f>
        <v>Transformation (S)</v>
      </c>
      <c r="AQ541" s="24" t="str" cm="1">
        <f t="array" ref="AQ541">IFERROR(INDEX(Transactions[[Transaction code]:[Transaction name]],_xlfn.XMATCH(INDEX(Transactions[[Transaction name]:[Parent code]],_xlfn.XMATCH(Transactions[[#This Row],[L6N]],Transactions[Transaction name],0),3),Transactions[Transaction code],0),2),Transactions[[#This Row],[L6N]])</f>
        <v>Transformation (S)</v>
      </c>
      <c r="AR541" s="28" t="str">
        <f>IF(Transactions[[#This Row],[L7N]]=Transactions[[#This Row],[L6N]],Transactions[[#This Row],[L7N]],IF(Transactions[[#This Row],[L6N]]=Transactions[[#This Row],[L5N]],Transactions[[#This Row],[L6N]],IF(Transactions[[#This Row],[L5N]]=Transactions[[#This Row],[L4N]],Transactions[[#This Row],[L5N]],IF(Transactions[[#This Row],[L4N]]=Transactions[[#This Row],[L3N]],Transactions[[#This Row],[L4N]],IF(Transactions[[#This Row],[L3N]]=Transactions[[#This Row],[L2N]],Transactions[[#This Row],[L3N]],IF(Transactions[[#This Row],[L2N]]=Transactions[[#This Row],[L1N]],Transactions[[#This Row],[L2N]],IF(Transactions[[#This Row],[L1N]]=Transactions[[#This Row],[Transaction name]],Transactions[[#This Row],[L1N]],Transactions[[#This Row],[Transaction name]])))))))</f>
        <v>Transformation (S)</v>
      </c>
      <c r="AS541" s="24" t="str">
        <f>IF(Transactions[[#This Row],[Level 0]]=Transactions[[#This Row],[Transaction name]],Transactions[[#This Row],[Transaction name]],IF(Transactions[[#This Row],[Level 0]]=Transactions[[#This Row],[L1N]],Transactions[[#This Row],[Transaction name]],IF(Transactions[[#This Row],[Level 0]]=Transactions[[#This Row],[L2N]],Transactions[[#This Row],[L1N]],IF(Transactions[[#This Row],[Level 0]]=Transactions[[#This Row],[L3N]],Transactions[[#This Row],[L2N]],IF(Transactions[[#This Row],[Level 0]]=Transactions[[#This Row],[L4N]],Transactions[[#This Row],[L3N]],IF(Transactions[[#This Row],[Level 0]]=Transactions[[#This Row],[L5N]],Transactions[[#This Row],[L4N]],IF(Transactions[[#This Row],[Level 0]]=Transactions[[#This Row],[L6N]],Transactions[[#This Row],[L5N]],IF(Transactions[[#This Row],[Level 0]]=Transactions[[#This Row],[L7N]],Transactions[[#This Row],[L6N]],Transactions[[#This Row],[L7N]]))))))))</f>
        <v>Transformation in blast furnaces (S)</v>
      </c>
      <c r="AT541" s="24" t="str">
        <f>IF(Transactions[[#This Row],[Level 1]]=Transactions[[#This Row],[Transaction name]],Transactions[[#This Row],[Transaction name]],IF(Transactions[[#This Row],[Level 1]]=Transactions[[#This Row],[L1N]],Transactions[[#This Row],[Transaction name]],IF(Transactions[[#This Row],[Level 1]]=Transactions[[#This Row],[L2N]],Transactions[[#This Row],[L1N]],IF(Transactions[[#This Row],[Level 1]]=Transactions[[#This Row],[L3N]],Transactions[[#This Row],[L2N]],IF(Transactions[[#This Row],[Level 1]]=Transactions[[#This Row],[L4N]],Transactions[[#This Row],[L3N]],IF(Transactions[[#This Row],[Level 1]]=Transactions[[#This Row],[L5N]],Transactions[[#This Row],[L4N]],IF(Transactions[[#This Row],[Level 1]]=Transactions[[#This Row],[L6N]],Transactions[[#This Row],[L5N]],IF(Transactions[[#This Row],[Level 1]]=Transactions[[#This Row],[L7N]],Transactions[[#This Row],[L6N]],Transactions[[#This Row],[L7N]]))))))))</f>
        <v>Transformation in blast furnaces (S)</v>
      </c>
      <c r="AU541" s="24" t="str">
        <f>IF(Transactions[[#This Row],[Level 2]]=Transactions[[#This Row],[Transaction name]],Transactions[[#This Row],[Transaction name]],IF(Transactions[[#This Row],[Level 2]]=Transactions[[#This Row],[L1N]],Transactions[[#This Row],[Transaction name]],IF(Transactions[[#This Row],[Level 2]]=Transactions[[#This Row],[L2N]],Transactions[[#This Row],[L1N]],IF(Transactions[[#This Row],[Level 2]]=Transactions[[#This Row],[L3N]],Transactions[[#This Row],[L2N]],IF(Transactions[[#This Row],[Level 2]]=Transactions[[#This Row],[L4N]],Transactions[[#This Row],[L3N]],IF(Transactions[[#This Row],[Level 2]]=Transactions[[#This Row],[L5N]],Transactions[[#This Row],[L4N]],IF(Transactions[[#This Row],[Level 2]]=Transactions[[#This Row],[L6N]],Transactions[[#This Row],[L5N]],IF(Transactions[[#This Row],[Level 2]]=Transactions[[#This Row],[L7N]],Transactions[[#This Row],[L6N]],Transactions[[#This Row],[L7N]]))))))))</f>
        <v>Transformation in blast furnaces (S)</v>
      </c>
      <c r="AV541" s="24" t="str">
        <f>IF(Transactions[[#This Row],[Level 3]]=Transactions[[#This Row],[Transaction name]],Transactions[[#This Row],[Transaction name]],IF(Transactions[[#This Row],[Level 3]]=Transactions[[#This Row],[L1N]],Transactions[[#This Row],[Transaction name]],IF(Transactions[[#This Row],[Level 3]]=Transactions[[#This Row],[L2N]],Transactions[[#This Row],[L1N]],IF(Transactions[[#This Row],[Level 3]]=Transactions[[#This Row],[L3N]],Transactions[[#This Row],[L2N]],IF(Transactions[[#This Row],[Level 3]]=Transactions[[#This Row],[L4N]],Transactions[[#This Row],[L3N]],IF(Transactions[[#This Row],[Level 3]]=Transactions[[#This Row],[L5N]],Transactions[[#This Row],[L4N]],IF(Transactions[[#This Row],[Level 3]]=Transactions[[#This Row],[L6N]],Transactions[[#This Row],[L5N]],IF(Transactions[[#This Row],[Level 3]]=Transactions[[#This Row],[L7N]],Transactions[[#This Row],[L6N]],Transactions[[#This Row],[L7N]]))))))))</f>
        <v>Transformation in blast furnaces (S)</v>
      </c>
      <c r="AW541" s="24" t="str">
        <f>IF(Transactions[[#This Row],[Level 4]]=Transactions[[#This Row],[Transaction name]],Transactions[[#This Row],[Transaction name]],IF(Transactions[[#This Row],[Level 4]]=Transactions[[#This Row],[L1N]],Transactions[[#This Row],[Transaction name]],IF(Transactions[[#This Row],[Level 4]]=Transactions[[#This Row],[L2N]],Transactions[[#This Row],[L1N]],IF(Transactions[[#This Row],[Level 4]]=Transactions[[#This Row],[L3N]],Transactions[[#This Row],[L2N]],IF(Transactions[[#This Row],[Level 4]]=Transactions[[#This Row],[L4N]],Transactions[[#This Row],[L3N]],IF(Transactions[[#This Row],[Level 4]]=Transactions[[#This Row],[L5N]],Transactions[[#This Row],[L4N]],IF(Transactions[[#This Row],[Level 4]]=Transactions[[#This Row],[L6N]],Transactions[[#This Row],[L5N]],IF(Transactions[[#This Row],[Level 4]]=Transactions[[#This Row],[L7N]],Transactions[[#This Row],[L6N]],Transactions[[#This Row],[L7N]]))))))))</f>
        <v>Transformation in blast furnaces (S)</v>
      </c>
      <c r="AX541" s="24" t="str">
        <f>IF(Transactions[[#This Row],[Level 5]]=Transactions[[#This Row],[Transaction name]],Transactions[[#This Row],[Transaction name]],IF(Transactions[[#This Row],[Level 5]]=Transactions[[#This Row],[L1N]],Transactions[[#This Row],[Transaction name]],IF(Transactions[[#This Row],[Level 5]]=Transactions[[#This Row],[L2N]],Transactions[[#This Row],[L1N]],IF(Transactions[[#This Row],[Level 5]]=Transactions[[#This Row],[L3N]],Transactions[[#This Row],[L2N]],IF(Transactions[[#This Row],[Level 5]]=Transactions[[#This Row],[L4N]],Transactions[[#This Row],[L3N]],IF(Transactions[[#This Row],[Level 5]]=Transactions[[#This Row],[L5N]],Transactions[[#This Row],[L4N]],IF(Transactions[[#This Row],[Level 5]]=Transactions[[#This Row],[L6N]],Transactions[[#This Row],[L5N]],IF(Transactions[[#This Row],[Level 5]]=Transactions[[#This Row],[L7N]],Transactions[[#This Row],[L6N]],Transactions[[#This Row],[L7N]]))))))))</f>
        <v>Transformation in blast furnaces (S)</v>
      </c>
      <c r="AY541" s="24" t="str">
        <f>IF(Transactions[[#This Row],[Level 6]]=Transactions[[#This Row],[Transaction name]],Transactions[[#This Row],[Transaction name]],IF(Transactions[[#This Row],[Level 6]]=Transactions[[#This Row],[L1N]],Transactions[[#This Row],[Transaction name]],IF(Transactions[[#This Row],[Level 6]]=Transactions[[#This Row],[L2N]],Transactions[[#This Row],[L1N]],IF(Transactions[[#This Row],[Level 6]]=Transactions[[#This Row],[L3N]],Transactions[[#This Row],[L2N]],IF(Transactions[[#This Row],[Level 6]]=Transactions[[#This Row],[L4N]],Transactions[[#This Row],[L3N]],IF(Transactions[[#This Row],[Level 6]]=Transactions[[#This Row],[L5N]],Transactions[[#This Row],[L4N]],IF(Transactions[[#This Row],[Level 6]]=Transactions[[#This Row],[L6N]],Transactions[[#This Row],[L5N]],IF(Transactions[[#This Row],[Level 6]]=Transactions[[#This Row],[L7N]],Transactions[[#This Row],[L6N]],Transactions[[#This Row],[L7N]]))))))))</f>
        <v>Transformation in blast furnaces (S)</v>
      </c>
    </row>
    <row r="542" spans="25:51" x14ac:dyDescent="0.45">
      <c r="Y542" s="4" t="s">
        <v>521</v>
      </c>
      <c r="Z542" s="4" t="s">
        <v>897</v>
      </c>
      <c r="AA542" s="4" t="s">
        <v>897</v>
      </c>
      <c r="AB542" s="4" t="s">
        <v>502</v>
      </c>
      <c r="AC542" s="24" t="str">
        <f>IFERROR(VLOOKUP(Transactions[[#This Row],[Parent code]],Transactions[[Transaction code]:[Transaction name]],2,0),"")</f>
        <v>Transformation (S)</v>
      </c>
      <c r="AD542" s="4" t="s">
        <v>189</v>
      </c>
      <c r="AF542" s="4" t="s">
        <v>642</v>
      </c>
      <c r="AG542" s="4" t="s">
        <v>385</v>
      </c>
      <c r="AK542" s="24" t="str" cm="1">
        <f t="array" ref="AK542">IFERROR(INDEX(Transactions[[Transaction code]:[Transaction name]],_xlfn.XMATCH(Transactions[[#This Row],[Parent code]],Transactions[Transaction name],0),3),Transactions[[#This Row],[Transaction name]])</f>
        <v>Transformation in briquetting plants (S)</v>
      </c>
      <c r="AL542" s="24" t="str" cm="1">
        <f t="array" ref="AL542">IFERROR(INDEX(Transactions[[Transaction code]:[Transaction name]],_xlfn.XMATCH(INDEX(Transactions[[Transaction name]:[Parent code]],_xlfn.XMATCH(Transactions[[#This Row],[L1N]],Transactions[Transaction name],0),3),Transactions[Transaction code],0),2),Transactions[[#This Row],[L1N]])</f>
        <v>Transformation (S)</v>
      </c>
      <c r="AM542" s="24" t="str" cm="1">
        <f t="array" ref="AM542">IFERROR(INDEX(Transactions[[Transaction code]:[Transaction name]],_xlfn.XMATCH(INDEX(Transactions[[Transaction name]:[Parent code]],_xlfn.XMATCH(Transactions[[#This Row],[L2N]],Transactions[Transaction name],0),3),Transactions[Transaction code],0),2),Transactions[[#This Row],[L2N]])</f>
        <v>Transformation (S)</v>
      </c>
      <c r="AN542" s="24" t="str" cm="1">
        <f t="array" ref="AN542">IFERROR(INDEX(Transactions[[Transaction code]:[Transaction name]],_xlfn.XMATCH(INDEX(Transactions[[Transaction name]:[Parent code]],_xlfn.XMATCH(Transactions[[#This Row],[L3N]],Transactions[Transaction name],0),3),Transactions[Transaction code],0),2),Transactions[[#This Row],[L3N]])</f>
        <v>Transformation (S)</v>
      </c>
      <c r="AO542" s="24" t="str" cm="1">
        <f t="array" ref="AO542">IFERROR(INDEX(Transactions[[Transaction code]:[Transaction name]],_xlfn.XMATCH(INDEX(Transactions[[Transaction name]:[Parent code]],_xlfn.XMATCH(Transactions[[#This Row],[L4N]],Transactions[Transaction name],0),3),Transactions[Transaction code],0),2),Transactions[[#This Row],[L4N]])</f>
        <v>Transformation (S)</v>
      </c>
      <c r="AP542" s="24" t="str" cm="1">
        <f t="array" ref="AP542">IFERROR(INDEX(Transactions[[Transaction code]:[Transaction name]],_xlfn.XMATCH(INDEX(Transactions[[Transaction name]:[Parent code]],_xlfn.XMATCH(Transactions[[#This Row],[L5N]],Transactions[Transaction name],0),3),Transactions[Transaction code],0),2),Transactions[[#This Row],[L5N]])</f>
        <v>Transformation (S)</v>
      </c>
      <c r="AQ542" s="24" t="str" cm="1">
        <f t="array" ref="AQ542">IFERROR(INDEX(Transactions[[Transaction code]:[Transaction name]],_xlfn.XMATCH(INDEX(Transactions[[Transaction name]:[Parent code]],_xlfn.XMATCH(Transactions[[#This Row],[L6N]],Transactions[Transaction name],0),3),Transactions[Transaction code],0),2),Transactions[[#This Row],[L6N]])</f>
        <v>Transformation (S)</v>
      </c>
      <c r="AR542" s="28" t="str">
        <f>IF(Transactions[[#This Row],[L7N]]=Transactions[[#This Row],[L6N]],Transactions[[#This Row],[L7N]],IF(Transactions[[#This Row],[L6N]]=Transactions[[#This Row],[L5N]],Transactions[[#This Row],[L6N]],IF(Transactions[[#This Row],[L5N]]=Transactions[[#This Row],[L4N]],Transactions[[#This Row],[L5N]],IF(Transactions[[#This Row],[L4N]]=Transactions[[#This Row],[L3N]],Transactions[[#This Row],[L4N]],IF(Transactions[[#This Row],[L3N]]=Transactions[[#This Row],[L2N]],Transactions[[#This Row],[L3N]],IF(Transactions[[#This Row],[L2N]]=Transactions[[#This Row],[L1N]],Transactions[[#This Row],[L2N]],IF(Transactions[[#This Row],[L1N]]=Transactions[[#This Row],[Transaction name]],Transactions[[#This Row],[L1N]],Transactions[[#This Row],[Transaction name]])))))))</f>
        <v>Transformation (S)</v>
      </c>
      <c r="AS542" s="24" t="str">
        <f>IF(Transactions[[#This Row],[Level 0]]=Transactions[[#This Row],[Transaction name]],Transactions[[#This Row],[Transaction name]],IF(Transactions[[#This Row],[Level 0]]=Transactions[[#This Row],[L1N]],Transactions[[#This Row],[Transaction name]],IF(Transactions[[#This Row],[Level 0]]=Transactions[[#This Row],[L2N]],Transactions[[#This Row],[L1N]],IF(Transactions[[#This Row],[Level 0]]=Transactions[[#This Row],[L3N]],Transactions[[#This Row],[L2N]],IF(Transactions[[#This Row],[Level 0]]=Transactions[[#This Row],[L4N]],Transactions[[#This Row],[L3N]],IF(Transactions[[#This Row],[Level 0]]=Transactions[[#This Row],[L5N]],Transactions[[#This Row],[L4N]],IF(Transactions[[#This Row],[Level 0]]=Transactions[[#This Row],[L6N]],Transactions[[#This Row],[L5N]],IF(Transactions[[#This Row],[Level 0]]=Transactions[[#This Row],[L7N]],Transactions[[#This Row],[L6N]],Transactions[[#This Row],[L7N]]))))))))</f>
        <v>Transformation in briquetting plants (S)</v>
      </c>
      <c r="AT542" s="24" t="str">
        <f>IF(Transactions[[#This Row],[Level 1]]=Transactions[[#This Row],[Transaction name]],Transactions[[#This Row],[Transaction name]],IF(Transactions[[#This Row],[Level 1]]=Transactions[[#This Row],[L1N]],Transactions[[#This Row],[Transaction name]],IF(Transactions[[#This Row],[Level 1]]=Transactions[[#This Row],[L2N]],Transactions[[#This Row],[L1N]],IF(Transactions[[#This Row],[Level 1]]=Transactions[[#This Row],[L3N]],Transactions[[#This Row],[L2N]],IF(Transactions[[#This Row],[Level 1]]=Transactions[[#This Row],[L4N]],Transactions[[#This Row],[L3N]],IF(Transactions[[#This Row],[Level 1]]=Transactions[[#This Row],[L5N]],Transactions[[#This Row],[L4N]],IF(Transactions[[#This Row],[Level 1]]=Transactions[[#This Row],[L6N]],Transactions[[#This Row],[L5N]],IF(Transactions[[#This Row],[Level 1]]=Transactions[[#This Row],[L7N]],Transactions[[#This Row],[L6N]],Transactions[[#This Row],[L7N]]))))))))</f>
        <v>Transformation in briquetting plants (S)</v>
      </c>
      <c r="AU542" s="24" t="str">
        <f>IF(Transactions[[#This Row],[Level 2]]=Transactions[[#This Row],[Transaction name]],Transactions[[#This Row],[Transaction name]],IF(Transactions[[#This Row],[Level 2]]=Transactions[[#This Row],[L1N]],Transactions[[#This Row],[Transaction name]],IF(Transactions[[#This Row],[Level 2]]=Transactions[[#This Row],[L2N]],Transactions[[#This Row],[L1N]],IF(Transactions[[#This Row],[Level 2]]=Transactions[[#This Row],[L3N]],Transactions[[#This Row],[L2N]],IF(Transactions[[#This Row],[Level 2]]=Transactions[[#This Row],[L4N]],Transactions[[#This Row],[L3N]],IF(Transactions[[#This Row],[Level 2]]=Transactions[[#This Row],[L5N]],Transactions[[#This Row],[L4N]],IF(Transactions[[#This Row],[Level 2]]=Transactions[[#This Row],[L6N]],Transactions[[#This Row],[L5N]],IF(Transactions[[#This Row],[Level 2]]=Transactions[[#This Row],[L7N]],Transactions[[#This Row],[L6N]],Transactions[[#This Row],[L7N]]))))))))</f>
        <v>Transformation in briquetting plants (S)</v>
      </c>
      <c r="AV542" s="24" t="str">
        <f>IF(Transactions[[#This Row],[Level 3]]=Transactions[[#This Row],[Transaction name]],Transactions[[#This Row],[Transaction name]],IF(Transactions[[#This Row],[Level 3]]=Transactions[[#This Row],[L1N]],Transactions[[#This Row],[Transaction name]],IF(Transactions[[#This Row],[Level 3]]=Transactions[[#This Row],[L2N]],Transactions[[#This Row],[L1N]],IF(Transactions[[#This Row],[Level 3]]=Transactions[[#This Row],[L3N]],Transactions[[#This Row],[L2N]],IF(Transactions[[#This Row],[Level 3]]=Transactions[[#This Row],[L4N]],Transactions[[#This Row],[L3N]],IF(Transactions[[#This Row],[Level 3]]=Transactions[[#This Row],[L5N]],Transactions[[#This Row],[L4N]],IF(Transactions[[#This Row],[Level 3]]=Transactions[[#This Row],[L6N]],Transactions[[#This Row],[L5N]],IF(Transactions[[#This Row],[Level 3]]=Transactions[[#This Row],[L7N]],Transactions[[#This Row],[L6N]],Transactions[[#This Row],[L7N]]))))))))</f>
        <v>Transformation in briquetting plants (S)</v>
      </c>
      <c r="AW542" s="24" t="str">
        <f>IF(Transactions[[#This Row],[Level 4]]=Transactions[[#This Row],[Transaction name]],Transactions[[#This Row],[Transaction name]],IF(Transactions[[#This Row],[Level 4]]=Transactions[[#This Row],[L1N]],Transactions[[#This Row],[Transaction name]],IF(Transactions[[#This Row],[Level 4]]=Transactions[[#This Row],[L2N]],Transactions[[#This Row],[L1N]],IF(Transactions[[#This Row],[Level 4]]=Transactions[[#This Row],[L3N]],Transactions[[#This Row],[L2N]],IF(Transactions[[#This Row],[Level 4]]=Transactions[[#This Row],[L4N]],Transactions[[#This Row],[L3N]],IF(Transactions[[#This Row],[Level 4]]=Transactions[[#This Row],[L5N]],Transactions[[#This Row],[L4N]],IF(Transactions[[#This Row],[Level 4]]=Transactions[[#This Row],[L6N]],Transactions[[#This Row],[L5N]],IF(Transactions[[#This Row],[Level 4]]=Transactions[[#This Row],[L7N]],Transactions[[#This Row],[L6N]],Transactions[[#This Row],[L7N]]))))))))</f>
        <v>Transformation in briquetting plants (S)</v>
      </c>
      <c r="AX542" s="24" t="str">
        <f>IF(Transactions[[#This Row],[Level 5]]=Transactions[[#This Row],[Transaction name]],Transactions[[#This Row],[Transaction name]],IF(Transactions[[#This Row],[Level 5]]=Transactions[[#This Row],[L1N]],Transactions[[#This Row],[Transaction name]],IF(Transactions[[#This Row],[Level 5]]=Transactions[[#This Row],[L2N]],Transactions[[#This Row],[L1N]],IF(Transactions[[#This Row],[Level 5]]=Transactions[[#This Row],[L3N]],Transactions[[#This Row],[L2N]],IF(Transactions[[#This Row],[Level 5]]=Transactions[[#This Row],[L4N]],Transactions[[#This Row],[L3N]],IF(Transactions[[#This Row],[Level 5]]=Transactions[[#This Row],[L5N]],Transactions[[#This Row],[L4N]],IF(Transactions[[#This Row],[Level 5]]=Transactions[[#This Row],[L6N]],Transactions[[#This Row],[L5N]],IF(Transactions[[#This Row],[Level 5]]=Transactions[[#This Row],[L7N]],Transactions[[#This Row],[L6N]],Transactions[[#This Row],[L7N]]))))))))</f>
        <v>Transformation in briquetting plants (S)</v>
      </c>
      <c r="AY542" s="24" t="str">
        <f>IF(Transactions[[#This Row],[Level 6]]=Transactions[[#This Row],[Transaction name]],Transactions[[#This Row],[Transaction name]],IF(Transactions[[#This Row],[Level 6]]=Transactions[[#This Row],[L1N]],Transactions[[#This Row],[Transaction name]],IF(Transactions[[#This Row],[Level 6]]=Transactions[[#This Row],[L2N]],Transactions[[#This Row],[L1N]],IF(Transactions[[#This Row],[Level 6]]=Transactions[[#This Row],[L3N]],Transactions[[#This Row],[L2N]],IF(Transactions[[#This Row],[Level 6]]=Transactions[[#This Row],[L4N]],Transactions[[#This Row],[L3N]],IF(Transactions[[#This Row],[Level 6]]=Transactions[[#This Row],[L5N]],Transactions[[#This Row],[L4N]],IF(Transactions[[#This Row],[Level 6]]=Transactions[[#This Row],[L6N]],Transactions[[#This Row],[L5N]],IF(Transactions[[#This Row],[Level 6]]=Transactions[[#This Row],[L7N]],Transactions[[#This Row],[L6N]],Transactions[[#This Row],[L7N]]))))))))</f>
        <v>Transformation in briquetting plants (S)</v>
      </c>
    </row>
    <row r="543" spans="25:51" x14ac:dyDescent="0.45">
      <c r="Y543" s="4" t="s">
        <v>524</v>
      </c>
      <c r="Z543" s="4" t="s">
        <v>896</v>
      </c>
      <c r="AA543" s="4" t="s">
        <v>896</v>
      </c>
      <c r="AB543" s="4" t="s">
        <v>502</v>
      </c>
      <c r="AC543" s="24" t="str">
        <f>IFERROR(VLOOKUP(Transactions[[#This Row],[Parent code]],Transactions[[Transaction code]:[Transaction name]],2,0),"")</f>
        <v>Transformation (S)</v>
      </c>
      <c r="AD543" s="4" t="s">
        <v>189</v>
      </c>
      <c r="AF543" s="4" t="s">
        <v>642</v>
      </c>
      <c r="AG543" s="4" t="s">
        <v>385</v>
      </c>
      <c r="AK543" s="24" t="str" cm="1">
        <f t="array" ref="AK543">IFERROR(INDEX(Transactions[[Transaction code]:[Transaction name]],_xlfn.XMATCH(Transactions[[#This Row],[Parent code]],Transactions[Transaction name],0),3),Transactions[[#This Row],[Transaction name]])</f>
        <v>Transformation in coke ovens (S)</v>
      </c>
      <c r="AL543" s="24" t="str" cm="1">
        <f t="array" ref="AL543">IFERROR(INDEX(Transactions[[Transaction code]:[Transaction name]],_xlfn.XMATCH(INDEX(Transactions[[Transaction name]:[Parent code]],_xlfn.XMATCH(Transactions[[#This Row],[L1N]],Transactions[Transaction name],0),3),Transactions[Transaction code],0),2),Transactions[[#This Row],[L1N]])</f>
        <v>Transformation (S)</v>
      </c>
      <c r="AM543" s="24" t="str" cm="1">
        <f t="array" ref="AM543">IFERROR(INDEX(Transactions[[Transaction code]:[Transaction name]],_xlfn.XMATCH(INDEX(Transactions[[Transaction name]:[Parent code]],_xlfn.XMATCH(Transactions[[#This Row],[L2N]],Transactions[Transaction name],0),3),Transactions[Transaction code],0),2),Transactions[[#This Row],[L2N]])</f>
        <v>Transformation (S)</v>
      </c>
      <c r="AN543" s="24" t="str" cm="1">
        <f t="array" ref="AN543">IFERROR(INDEX(Transactions[[Transaction code]:[Transaction name]],_xlfn.XMATCH(INDEX(Transactions[[Transaction name]:[Parent code]],_xlfn.XMATCH(Transactions[[#This Row],[L3N]],Transactions[Transaction name],0),3),Transactions[Transaction code],0),2),Transactions[[#This Row],[L3N]])</f>
        <v>Transformation (S)</v>
      </c>
      <c r="AO543" s="24" t="str" cm="1">
        <f t="array" ref="AO543">IFERROR(INDEX(Transactions[[Transaction code]:[Transaction name]],_xlfn.XMATCH(INDEX(Transactions[[Transaction name]:[Parent code]],_xlfn.XMATCH(Transactions[[#This Row],[L4N]],Transactions[Transaction name],0),3),Transactions[Transaction code],0),2),Transactions[[#This Row],[L4N]])</f>
        <v>Transformation (S)</v>
      </c>
      <c r="AP543" s="24" t="str" cm="1">
        <f t="array" ref="AP543">IFERROR(INDEX(Transactions[[Transaction code]:[Transaction name]],_xlfn.XMATCH(INDEX(Transactions[[Transaction name]:[Parent code]],_xlfn.XMATCH(Transactions[[#This Row],[L5N]],Transactions[Transaction name],0),3),Transactions[Transaction code],0),2),Transactions[[#This Row],[L5N]])</f>
        <v>Transformation (S)</v>
      </c>
      <c r="AQ543" s="24" t="str" cm="1">
        <f t="array" ref="AQ543">IFERROR(INDEX(Transactions[[Transaction code]:[Transaction name]],_xlfn.XMATCH(INDEX(Transactions[[Transaction name]:[Parent code]],_xlfn.XMATCH(Transactions[[#This Row],[L6N]],Transactions[Transaction name],0),3),Transactions[Transaction code],0),2),Transactions[[#This Row],[L6N]])</f>
        <v>Transformation (S)</v>
      </c>
      <c r="AR543" s="28" t="str">
        <f>IF(Transactions[[#This Row],[L7N]]=Transactions[[#This Row],[L6N]],Transactions[[#This Row],[L7N]],IF(Transactions[[#This Row],[L6N]]=Transactions[[#This Row],[L5N]],Transactions[[#This Row],[L6N]],IF(Transactions[[#This Row],[L5N]]=Transactions[[#This Row],[L4N]],Transactions[[#This Row],[L5N]],IF(Transactions[[#This Row],[L4N]]=Transactions[[#This Row],[L3N]],Transactions[[#This Row],[L4N]],IF(Transactions[[#This Row],[L3N]]=Transactions[[#This Row],[L2N]],Transactions[[#This Row],[L3N]],IF(Transactions[[#This Row],[L2N]]=Transactions[[#This Row],[L1N]],Transactions[[#This Row],[L2N]],IF(Transactions[[#This Row],[L1N]]=Transactions[[#This Row],[Transaction name]],Transactions[[#This Row],[L1N]],Transactions[[#This Row],[Transaction name]])))))))</f>
        <v>Transformation (S)</v>
      </c>
      <c r="AS543" s="24" t="str">
        <f>IF(Transactions[[#This Row],[Level 0]]=Transactions[[#This Row],[Transaction name]],Transactions[[#This Row],[Transaction name]],IF(Transactions[[#This Row],[Level 0]]=Transactions[[#This Row],[L1N]],Transactions[[#This Row],[Transaction name]],IF(Transactions[[#This Row],[Level 0]]=Transactions[[#This Row],[L2N]],Transactions[[#This Row],[L1N]],IF(Transactions[[#This Row],[Level 0]]=Transactions[[#This Row],[L3N]],Transactions[[#This Row],[L2N]],IF(Transactions[[#This Row],[Level 0]]=Transactions[[#This Row],[L4N]],Transactions[[#This Row],[L3N]],IF(Transactions[[#This Row],[Level 0]]=Transactions[[#This Row],[L5N]],Transactions[[#This Row],[L4N]],IF(Transactions[[#This Row],[Level 0]]=Transactions[[#This Row],[L6N]],Transactions[[#This Row],[L5N]],IF(Transactions[[#This Row],[Level 0]]=Transactions[[#This Row],[L7N]],Transactions[[#This Row],[L6N]],Transactions[[#This Row],[L7N]]))))))))</f>
        <v>Transformation in coke ovens (S)</v>
      </c>
      <c r="AT543" s="24" t="str">
        <f>IF(Transactions[[#This Row],[Level 1]]=Transactions[[#This Row],[Transaction name]],Transactions[[#This Row],[Transaction name]],IF(Transactions[[#This Row],[Level 1]]=Transactions[[#This Row],[L1N]],Transactions[[#This Row],[Transaction name]],IF(Transactions[[#This Row],[Level 1]]=Transactions[[#This Row],[L2N]],Transactions[[#This Row],[L1N]],IF(Transactions[[#This Row],[Level 1]]=Transactions[[#This Row],[L3N]],Transactions[[#This Row],[L2N]],IF(Transactions[[#This Row],[Level 1]]=Transactions[[#This Row],[L4N]],Transactions[[#This Row],[L3N]],IF(Transactions[[#This Row],[Level 1]]=Transactions[[#This Row],[L5N]],Transactions[[#This Row],[L4N]],IF(Transactions[[#This Row],[Level 1]]=Transactions[[#This Row],[L6N]],Transactions[[#This Row],[L5N]],IF(Transactions[[#This Row],[Level 1]]=Transactions[[#This Row],[L7N]],Transactions[[#This Row],[L6N]],Transactions[[#This Row],[L7N]]))))))))</f>
        <v>Transformation in coke ovens (S)</v>
      </c>
      <c r="AU543" s="24" t="str">
        <f>IF(Transactions[[#This Row],[Level 2]]=Transactions[[#This Row],[Transaction name]],Transactions[[#This Row],[Transaction name]],IF(Transactions[[#This Row],[Level 2]]=Transactions[[#This Row],[L1N]],Transactions[[#This Row],[Transaction name]],IF(Transactions[[#This Row],[Level 2]]=Transactions[[#This Row],[L2N]],Transactions[[#This Row],[L1N]],IF(Transactions[[#This Row],[Level 2]]=Transactions[[#This Row],[L3N]],Transactions[[#This Row],[L2N]],IF(Transactions[[#This Row],[Level 2]]=Transactions[[#This Row],[L4N]],Transactions[[#This Row],[L3N]],IF(Transactions[[#This Row],[Level 2]]=Transactions[[#This Row],[L5N]],Transactions[[#This Row],[L4N]],IF(Transactions[[#This Row],[Level 2]]=Transactions[[#This Row],[L6N]],Transactions[[#This Row],[L5N]],IF(Transactions[[#This Row],[Level 2]]=Transactions[[#This Row],[L7N]],Transactions[[#This Row],[L6N]],Transactions[[#This Row],[L7N]]))))))))</f>
        <v>Transformation in coke ovens (S)</v>
      </c>
      <c r="AV543" s="24" t="str">
        <f>IF(Transactions[[#This Row],[Level 3]]=Transactions[[#This Row],[Transaction name]],Transactions[[#This Row],[Transaction name]],IF(Transactions[[#This Row],[Level 3]]=Transactions[[#This Row],[L1N]],Transactions[[#This Row],[Transaction name]],IF(Transactions[[#This Row],[Level 3]]=Transactions[[#This Row],[L2N]],Transactions[[#This Row],[L1N]],IF(Transactions[[#This Row],[Level 3]]=Transactions[[#This Row],[L3N]],Transactions[[#This Row],[L2N]],IF(Transactions[[#This Row],[Level 3]]=Transactions[[#This Row],[L4N]],Transactions[[#This Row],[L3N]],IF(Transactions[[#This Row],[Level 3]]=Transactions[[#This Row],[L5N]],Transactions[[#This Row],[L4N]],IF(Transactions[[#This Row],[Level 3]]=Transactions[[#This Row],[L6N]],Transactions[[#This Row],[L5N]],IF(Transactions[[#This Row],[Level 3]]=Transactions[[#This Row],[L7N]],Transactions[[#This Row],[L6N]],Transactions[[#This Row],[L7N]]))))))))</f>
        <v>Transformation in coke ovens (S)</v>
      </c>
      <c r="AW543" s="24" t="str">
        <f>IF(Transactions[[#This Row],[Level 4]]=Transactions[[#This Row],[Transaction name]],Transactions[[#This Row],[Transaction name]],IF(Transactions[[#This Row],[Level 4]]=Transactions[[#This Row],[L1N]],Transactions[[#This Row],[Transaction name]],IF(Transactions[[#This Row],[Level 4]]=Transactions[[#This Row],[L2N]],Transactions[[#This Row],[L1N]],IF(Transactions[[#This Row],[Level 4]]=Transactions[[#This Row],[L3N]],Transactions[[#This Row],[L2N]],IF(Transactions[[#This Row],[Level 4]]=Transactions[[#This Row],[L4N]],Transactions[[#This Row],[L3N]],IF(Transactions[[#This Row],[Level 4]]=Transactions[[#This Row],[L5N]],Transactions[[#This Row],[L4N]],IF(Transactions[[#This Row],[Level 4]]=Transactions[[#This Row],[L6N]],Transactions[[#This Row],[L5N]],IF(Transactions[[#This Row],[Level 4]]=Transactions[[#This Row],[L7N]],Transactions[[#This Row],[L6N]],Transactions[[#This Row],[L7N]]))))))))</f>
        <v>Transformation in coke ovens (S)</v>
      </c>
      <c r="AX543" s="24" t="str">
        <f>IF(Transactions[[#This Row],[Level 5]]=Transactions[[#This Row],[Transaction name]],Transactions[[#This Row],[Transaction name]],IF(Transactions[[#This Row],[Level 5]]=Transactions[[#This Row],[L1N]],Transactions[[#This Row],[Transaction name]],IF(Transactions[[#This Row],[Level 5]]=Transactions[[#This Row],[L2N]],Transactions[[#This Row],[L1N]],IF(Transactions[[#This Row],[Level 5]]=Transactions[[#This Row],[L3N]],Transactions[[#This Row],[L2N]],IF(Transactions[[#This Row],[Level 5]]=Transactions[[#This Row],[L4N]],Transactions[[#This Row],[L3N]],IF(Transactions[[#This Row],[Level 5]]=Transactions[[#This Row],[L5N]],Transactions[[#This Row],[L4N]],IF(Transactions[[#This Row],[Level 5]]=Transactions[[#This Row],[L6N]],Transactions[[#This Row],[L5N]],IF(Transactions[[#This Row],[Level 5]]=Transactions[[#This Row],[L7N]],Transactions[[#This Row],[L6N]],Transactions[[#This Row],[L7N]]))))))))</f>
        <v>Transformation in coke ovens (S)</v>
      </c>
      <c r="AY543" s="24" t="str">
        <f>IF(Transactions[[#This Row],[Level 6]]=Transactions[[#This Row],[Transaction name]],Transactions[[#This Row],[Transaction name]],IF(Transactions[[#This Row],[Level 6]]=Transactions[[#This Row],[L1N]],Transactions[[#This Row],[Transaction name]],IF(Transactions[[#This Row],[Level 6]]=Transactions[[#This Row],[L2N]],Transactions[[#This Row],[L1N]],IF(Transactions[[#This Row],[Level 6]]=Transactions[[#This Row],[L3N]],Transactions[[#This Row],[L2N]],IF(Transactions[[#This Row],[Level 6]]=Transactions[[#This Row],[L4N]],Transactions[[#This Row],[L3N]],IF(Transactions[[#This Row],[Level 6]]=Transactions[[#This Row],[L5N]],Transactions[[#This Row],[L4N]],IF(Transactions[[#This Row],[Level 6]]=Transactions[[#This Row],[L6N]],Transactions[[#This Row],[L5N]],IF(Transactions[[#This Row],[Level 6]]=Transactions[[#This Row],[L7N]],Transactions[[#This Row],[L6N]],Transactions[[#This Row],[L7N]]))))))))</f>
        <v>Transformation in coke ovens (S)</v>
      </c>
    </row>
    <row r="544" spans="25:51" x14ac:dyDescent="0.45">
      <c r="Y544" s="4" t="s">
        <v>515</v>
      </c>
      <c r="Z544" s="4" t="s">
        <v>899</v>
      </c>
      <c r="AA544" s="4" t="s">
        <v>899</v>
      </c>
      <c r="AB544" s="4" t="s">
        <v>502</v>
      </c>
      <c r="AC544" s="24" t="str">
        <f>IFERROR(VLOOKUP(Transactions[[#This Row],[Parent code]],Transactions[[Transaction code]:[Transaction name]],2,0),"")</f>
        <v>Transformation (S)</v>
      </c>
      <c r="AD544" s="4" t="s">
        <v>189</v>
      </c>
      <c r="AF544" s="4" t="s">
        <v>642</v>
      </c>
      <c r="AG544" s="4" t="s">
        <v>385</v>
      </c>
      <c r="AK544" s="24" t="str" cm="1">
        <f t="array" ref="AK544">IFERROR(INDEX(Transactions[[Transaction code]:[Transaction name]],_xlfn.XMATCH(Transactions[[#This Row],[Parent code]],Transactions[Transaction name],0),3),Transactions[[#This Row],[Transaction name]])</f>
        <v>Transformation in gas works (S)</v>
      </c>
      <c r="AL544" s="24" t="str" cm="1">
        <f t="array" ref="AL544">IFERROR(INDEX(Transactions[[Transaction code]:[Transaction name]],_xlfn.XMATCH(INDEX(Transactions[[Transaction name]:[Parent code]],_xlfn.XMATCH(Transactions[[#This Row],[L1N]],Transactions[Transaction name],0),3),Transactions[Transaction code],0),2),Transactions[[#This Row],[L1N]])</f>
        <v>Transformation (S)</v>
      </c>
      <c r="AM544" s="24" t="str" cm="1">
        <f t="array" ref="AM544">IFERROR(INDEX(Transactions[[Transaction code]:[Transaction name]],_xlfn.XMATCH(INDEX(Transactions[[Transaction name]:[Parent code]],_xlfn.XMATCH(Transactions[[#This Row],[L2N]],Transactions[Transaction name],0),3),Transactions[Transaction code],0),2),Transactions[[#This Row],[L2N]])</f>
        <v>Transformation (S)</v>
      </c>
      <c r="AN544" s="24" t="str" cm="1">
        <f t="array" ref="AN544">IFERROR(INDEX(Transactions[[Transaction code]:[Transaction name]],_xlfn.XMATCH(INDEX(Transactions[[Transaction name]:[Parent code]],_xlfn.XMATCH(Transactions[[#This Row],[L3N]],Transactions[Transaction name],0),3),Transactions[Transaction code],0),2),Transactions[[#This Row],[L3N]])</f>
        <v>Transformation (S)</v>
      </c>
      <c r="AO544" s="24" t="str" cm="1">
        <f t="array" ref="AO544">IFERROR(INDEX(Transactions[[Transaction code]:[Transaction name]],_xlfn.XMATCH(INDEX(Transactions[[Transaction name]:[Parent code]],_xlfn.XMATCH(Transactions[[#This Row],[L4N]],Transactions[Transaction name],0),3),Transactions[Transaction code],0),2),Transactions[[#This Row],[L4N]])</f>
        <v>Transformation (S)</v>
      </c>
      <c r="AP544" s="24" t="str" cm="1">
        <f t="array" ref="AP544">IFERROR(INDEX(Transactions[[Transaction code]:[Transaction name]],_xlfn.XMATCH(INDEX(Transactions[[Transaction name]:[Parent code]],_xlfn.XMATCH(Transactions[[#This Row],[L5N]],Transactions[Transaction name],0),3),Transactions[Transaction code],0),2),Transactions[[#This Row],[L5N]])</f>
        <v>Transformation (S)</v>
      </c>
      <c r="AQ544" s="24" t="str" cm="1">
        <f t="array" ref="AQ544">IFERROR(INDEX(Transactions[[Transaction code]:[Transaction name]],_xlfn.XMATCH(INDEX(Transactions[[Transaction name]:[Parent code]],_xlfn.XMATCH(Transactions[[#This Row],[L6N]],Transactions[Transaction name],0),3),Transactions[Transaction code],0),2),Transactions[[#This Row],[L6N]])</f>
        <v>Transformation (S)</v>
      </c>
      <c r="AR544" s="28" t="str">
        <f>IF(Transactions[[#This Row],[L7N]]=Transactions[[#This Row],[L6N]],Transactions[[#This Row],[L7N]],IF(Transactions[[#This Row],[L6N]]=Transactions[[#This Row],[L5N]],Transactions[[#This Row],[L6N]],IF(Transactions[[#This Row],[L5N]]=Transactions[[#This Row],[L4N]],Transactions[[#This Row],[L5N]],IF(Transactions[[#This Row],[L4N]]=Transactions[[#This Row],[L3N]],Transactions[[#This Row],[L4N]],IF(Transactions[[#This Row],[L3N]]=Transactions[[#This Row],[L2N]],Transactions[[#This Row],[L3N]],IF(Transactions[[#This Row],[L2N]]=Transactions[[#This Row],[L1N]],Transactions[[#This Row],[L2N]],IF(Transactions[[#This Row],[L1N]]=Transactions[[#This Row],[Transaction name]],Transactions[[#This Row],[L1N]],Transactions[[#This Row],[Transaction name]])))))))</f>
        <v>Transformation (S)</v>
      </c>
      <c r="AS544" s="24" t="str">
        <f>IF(Transactions[[#This Row],[Level 0]]=Transactions[[#This Row],[Transaction name]],Transactions[[#This Row],[Transaction name]],IF(Transactions[[#This Row],[Level 0]]=Transactions[[#This Row],[L1N]],Transactions[[#This Row],[Transaction name]],IF(Transactions[[#This Row],[Level 0]]=Transactions[[#This Row],[L2N]],Transactions[[#This Row],[L1N]],IF(Transactions[[#This Row],[Level 0]]=Transactions[[#This Row],[L3N]],Transactions[[#This Row],[L2N]],IF(Transactions[[#This Row],[Level 0]]=Transactions[[#This Row],[L4N]],Transactions[[#This Row],[L3N]],IF(Transactions[[#This Row],[Level 0]]=Transactions[[#This Row],[L5N]],Transactions[[#This Row],[L4N]],IF(Transactions[[#This Row],[Level 0]]=Transactions[[#This Row],[L6N]],Transactions[[#This Row],[L5N]],IF(Transactions[[#This Row],[Level 0]]=Transactions[[#This Row],[L7N]],Transactions[[#This Row],[L6N]],Transactions[[#This Row],[L7N]]))))))))</f>
        <v>Transformation in gas works (S)</v>
      </c>
      <c r="AT544" s="24" t="str">
        <f>IF(Transactions[[#This Row],[Level 1]]=Transactions[[#This Row],[Transaction name]],Transactions[[#This Row],[Transaction name]],IF(Transactions[[#This Row],[Level 1]]=Transactions[[#This Row],[L1N]],Transactions[[#This Row],[Transaction name]],IF(Transactions[[#This Row],[Level 1]]=Transactions[[#This Row],[L2N]],Transactions[[#This Row],[L1N]],IF(Transactions[[#This Row],[Level 1]]=Transactions[[#This Row],[L3N]],Transactions[[#This Row],[L2N]],IF(Transactions[[#This Row],[Level 1]]=Transactions[[#This Row],[L4N]],Transactions[[#This Row],[L3N]],IF(Transactions[[#This Row],[Level 1]]=Transactions[[#This Row],[L5N]],Transactions[[#This Row],[L4N]],IF(Transactions[[#This Row],[Level 1]]=Transactions[[#This Row],[L6N]],Transactions[[#This Row],[L5N]],IF(Transactions[[#This Row],[Level 1]]=Transactions[[#This Row],[L7N]],Transactions[[#This Row],[L6N]],Transactions[[#This Row],[L7N]]))))))))</f>
        <v>Transformation in gas works (S)</v>
      </c>
      <c r="AU544" s="24" t="str">
        <f>IF(Transactions[[#This Row],[Level 2]]=Transactions[[#This Row],[Transaction name]],Transactions[[#This Row],[Transaction name]],IF(Transactions[[#This Row],[Level 2]]=Transactions[[#This Row],[L1N]],Transactions[[#This Row],[Transaction name]],IF(Transactions[[#This Row],[Level 2]]=Transactions[[#This Row],[L2N]],Transactions[[#This Row],[L1N]],IF(Transactions[[#This Row],[Level 2]]=Transactions[[#This Row],[L3N]],Transactions[[#This Row],[L2N]],IF(Transactions[[#This Row],[Level 2]]=Transactions[[#This Row],[L4N]],Transactions[[#This Row],[L3N]],IF(Transactions[[#This Row],[Level 2]]=Transactions[[#This Row],[L5N]],Transactions[[#This Row],[L4N]],IF(Transactions[[#This Row],[Level 2]]=Transactions[[#This Row],[L6N]],Transactions[[#This Row],[L5N]],IF(Transactions[[#This Row],[Level 2]]=Transactions[[#This Row],[L7N]],Transactions[[#This Row],[L6N]],Transactions[[#This Row],[L7N]]))))))))</f>
        <v>Transformation in gas works (S)</v>
      </c>
      <c r="AV544" s="24" t="str">
        <f>IF(Transactions[[#This Row],[Level 3]]=Transactions[[#This Row],[Transaction name]],Transactions[[#This Row],[Transaction name]],IF(Transactions[[#This Row],[Level 3]]=Transactions[[#This Row],[L1N]],Transactions[[#This Row],[Transaction name]],IF(Transactions[[#This Row],[Level 3]]=Transactions[[#This Row],[L2N]],Transactions[[#This Row],[L1N]],IF(Transactions[[#This Row],[Level 3]]=Transactions[[#This Row],[L3N]],Transactions[[#This Row],[L2N]],IF(Transactions[[#This Row],[Level 3]]=Transactions[[#This Row],[L4N]],Transactions[[#This Row],[L3N]],IF(Transactions[[#This Row],[Level 3]]=Transactions[[#This Row],[L5N]],Transactions[[#This Row],[L4N]],IF(Transactions[[#This Row],[Level 3]]=Transactions[[#This Row],[L6N]],Transactions[[#This Row],[L5N]],IF(Transactions[[#This Row],[Level 3]]=Transactions[[#This Row],[L7N]],Transactions[[#This Row],[L6N]],Transactions[[#This Row],[L7N]]))))))))</f>
        <v>Transformation in gas works (S)</v>
      </c>
      <c r="AW544" s="24" t="str">
        <f>IF(Transactions[[#This Row],[Level 4]]=Transactions[[#This Row],[Transaction name]],Transactions[[#This Row],[Transaction name]],IF(Transactions[[#This Row],[Level 4]]=Transactions[[#This Row],[L1N]],Transactions[[#This Row],[Transaction name]],IF(Transactions[[#This Row],[Level 4]]=Transactions[[#This Row],[L2N]],Transactions[[#This Row],[L1N]],IF(Transactions[[#This Row],[Level 4]]=Transactions[[#This Row],[L3N]],Transactions[[#This Row],[L2N]],IF(Transactions[[#This Row],[Level 4]]=Transactions[[#This Row],[L4N]],Transactions[[#This Row],[L3N]],IF(Transactions[[#This Row],[Level 4]]=Transactions[[#This Row],[L5N]],Transactions[[#This Row],[L4N]],IF(Transactions[[#This Row],[Level 4]]=Transactions[[#This Row],[L6N]],Transactions[[#This Row],[L5N]],IF(Transactions[[#This Row],[Level 4]]=Transactions[[#This Row],[L7N]],Transactions[[#This Row],[L6N]],Transactions[[#This Row],[L7N]]))))))))</f>
        <v>Transformation in gas works (S)</v>
      </c>
      <c r="AX544" s="24" t="str">
        <f>IF(Transactions[[#This Row],[Level 5]]=Transactions[[#This Row],[Transaction name]],Transactions[[#This Row],[Transaction name]],IF(Transactions[[#This Row],[Level 5]]=Transactions[[#This Row],[L1N]],Transactions[[#This Row],[Transaction name]],IF(Transactions[[#This Row],[Level 5]]=Transactions[[#This Row],[L2N]],Transactions[[#This Row],[L1N]],IF(Transactions[[#This Row],[Level 5]]=Transactions[[#This Row],[L3N]],Transactions[[#This Row],[L2N]],IF(Transactions[[#This Row],[Level 5]]=Transactions[[#This Row],[L4N]],Transactions[[#This Row],[L3N]],IF(Transactions[[#This Row],[Level 5]]=Transactions[[#This Row],[L5N]],Transactions[[#This Row],[L4N]],IF(Transactions[[#This Row],[Level 5]]=Transactions[[#This Row],[L6N]],Transactions[[#This Row],[L5N]],IF(Transactions[[#This Row],[Level 5]]=Transactions[[#This Row],[L7N]],Transactions[[#This Row],[L6N]],Transactions[[#This Row],[L7N]]))))))))</f>
        <v>Transformation in gas works (S)</v>
      </c>
      <c r="AY544" s="24" t="str">
        <f>IF(Transactions[[#This Row],[Level 6]]=Transactions[[#This Row],[Transaction name]],Transactions[[#This Row],[Transaction name]],IF(Transactions[[#This Row],[Level 6]]=Transactions[[#This Row],[L1N]],Transactions[[#This Row],[Transaction name]],IF(Transactions[[#This Row],[Level 6]]=Transactions[[#This Row],[L2N]],Transactions[[#This Row],[L1N]],IF(Transactions[[#This Row],[Level 6]]=Transactions[[#This Row],[L3N]],Transactions[[#This Row],[L2N]],IF(Transactions[[#This Row],[Level 6]]=Transactions[[#This Row],[L4N]],Transactions[[#This Row],[L3N]],IF(Transactions[[#This Row],[Level 6]]=Transactions[[#This Row],[L5N]],Transactions[[#This Row],[L4N]],IF(Transactions[[#This Row],[Level 6]]=Transactions[[#This Row],[L6N]],Transactions[[#This Row],[L5N]],IF(Transactions[[#This Row],[Level 6]]=Transactions[[#This Row],[L7N]],Transactions[[#This Row],[L6N]],Transactions[[#This Row],[L7N]]))))))))</f>
        <v>Transformation in gas works (S)</v>
      </c>
    </row>
    <row r="545" spans="25:51" x14ac:dyDescent="0.45">
      <c r="Y545" s="4" t="s">
        <v>517</v>
      </c>
      <c r="Z545" s="4" t="s">
        <v>898</v>
      </c>
      <c r="AA545" s="4" t="s">
        <v>898</v>
      </c>
      <c r="AB545" s="4" t="s">
        <v>502</v>
      </c>
      <c r="AC545" s="24" t="str">
        <f>IFERROR(VLOOKUP(Transactions[[#This Row],[Parent code]],Transactions[[Transaction code]:[Transaction name]],2,0),"")</f>
        <v>Transformation (S)</v>
      </c>
      <c r="AD545" s="4" t="s">
        <v>189</v>
      </c>
      <c r="AF545" s="4" t="s">
        <v>642</v>
      </c>
      <c r="AG545" s="4" t="s">
        <v>385</v>
      </c>
      <c r="AK545" s="24" t="str" cm="1">
        <f t="array" ref="AK545">IFERROR(INDEX(Transactions[[Transaction code]:[Transaction name]],_xlfn.XMATCH(Transactions[[#This Row],[Parent code]],Transactions[Transaction name],0),3),Transactions[[#This Row],[Transaction name]])</f>
        <v>Transformation in liquefaction plants (S)</v>
      </c>
      <c r="AL545" s="24" t="str" cm="1">
        <f t="array" ref="AL545">IFERROR(INDEX(Transactions[[Transaction code]:[Transaction name]],_xlfn.XMATCH(INDEX(Transactions[[Transaction name]:[Parent code]],_xlfn.XMATCH(Transactions[[#This Row],[L1N]],Transactions[Transaction name],0),3),Transactions[Transaction code],0),2),Transactions[[#This Row],[L1N]])</f>
        <v>Transformation (S)</v>
      </c>
      <c r="AM545" s="24" t="str" cm="1">
        <f t="array" ref="AM545">IFERROR(INDEX(Transactions[[Transaction code]:[Transaction name]],_xlfn.XMATCH(INDEX(Transactions[[Transaction name]:[Parent code]],_xlfn.XMATCH(Transactions[[#This Row],[L2N]],Transactions[Transaction name],0),3),Transactions[Transaction code],0),2),Transactions[[#This Row],[L2N]])</f>
        <v>Transformation (S)</v>
      </c>
      <c r="AN545" s="24" t="str" cm="1">
        <f t="array" ref="AN545">IFERROR(INDEX(Transactions[[Transaction code]:[Transaction name]],_xlfn.XMATCH(INDEX(Transactions[[Transaction name]:[Parent code]],_xlfn.XMATCH(Transactions[[#This Row],[L3N]],Transactions[Transaction name],0),3),Transactions[Transaction code],0),2),Transactions[[#This Row],[L3N]])</f>
        <v>Transformation (S)</v>
      </c>
      <c r="AO545" s="24" t="str" cm="1">
        <f t="array" ref="AO545">IFERROR(INDEX(Transactions[[Transaction code]:[Transaction name]],_xlfn.XMATCH(INDEX(Transactions[[Transaction name]:[Parent code]],_xlfn.XMATCH(Transactions[[#This Row],[L4N]],Transactions[Transaction name],0),3),Transactions[Transaction code],0),2),Transactions[[#This Row],[L4N]])</f>
        <v>Transformation (S)</v>
      </c>
      <c r="AP545" s="24" t="str" cm="1">
        <f t="array" ref="AP545">IFERROR(INDEX(Transactions[[Transaction code]:[Transaction name]],_xlfn.XMATCH(INDEX(Transactions[[Transaction name]:[Parent code]],_xlfn.XMATCH(Transactions[[#This Row],[L5N]],Transactions[Transaction name],0),3),Transactions[Transaction code],0),2),Transactions[[#This Row],[L5N]])</f>
        <v>Transformation (S)</v>
      </c>
      <c r="AQ545" s="24" t="str" cm="1">
        <f t="array" ref="AQ545">IFERROR(INDEX(Transactions[[Transaction code]:[Transaction name]],_xlfn.XMATCH(INDEX(Transactions[[Transaction name]:[Parent code]],_xlfn.XMATCH(Transactions[[#This Row],[L6N]],Transactions[Transaction name],0),3),Transactions[Transaction code],0),2),Transactions[[#This Row],[L6N]])</f>
        <v>Transformation (S)</v>
      </c>
      <c r="AR545" s="28" t="str">
        <f>IF(Transactions[[#This Row],[L7N]]=Transactions[[#This Row],[L6N]],Transactions[[#This Row],[L7N]],IF(Transactions[[#This Row],[L6N]]=Transactions[[#This Row],[L5N]],Transactions[[#This Row],[L6N]],IF(Transactions[[#This Row],[L5N]]=Transactions[[#This Row],[L4N]],Transactions[[#This Row],[L5N]],IF(Transactions[[#This Row],[L4N]]=Transactions[[#This Row],[L3N]],Transactions[[#This Row],[L4N]],IF(Transactions[[#This Row],[L3N]]=Transactions[[#This Row],[L2N]],Transactions[[#This Row],[L3N]],IF(Transactions[[#This Row],[L2N]]=Transactions[[#This Row],[L1N]],Transactions[[#This Row],[L2N]],IF(Transactions[[#This Row],[L1N]]=Transactions[[#This Row],[Transaction name]],Transactions[[#This Row],[L1N]],Transactions[[#This Row],[Transaction name]])))))))</f>
        <v>Transformation (S)</v>
      </c>
      <c r="AS545" s="24" t="str">
        <f>IF(Transactions[[#This Row],[Level 0]]=Transactions[[#This Row],[Transaction name]],Transactions[[#This Row],[Transaction name]],IF(Transactions[[#This Row],[Level 0]]=Transactions[[#This Row],[L1N]],Transactions[[#This Row],[Transaction name]],IF(Transactions[[#This Row],[Level 0]]=Transactions[[#This Row],[L2N]],Transactions[[#This Row],[L1N]],IF(Transactions[[#This Row],[Level 0]]=Transactions[[#This Row],[L3N]],Transactions[[#This Row],[L2N]],IF(Transactions[[#This Row],[Level 0]]=Transactions[[#This Row],[L4N]],Transactions[[#This Row],[L3N]],IF(Transactions[[#This Row],[Level 0]]=Transactions[[#This Row],[L5N]],Transactions[[#This Row],[L4N]],IF(Transactions[[#This Row],[Level 0]]=Transactions[[#This Row],[L6N]],Transactions[[#This Row],[L5N]],IF(Transactions[[#This Row],[Level 0]]=Transactions[[#This Row],[L7N]],Transactions[[#This Row],[L6N]],Transactions[[#This Row],[L7N]]))))))))</f>
        <v>Transformation in liquefaction plants (S)</v>
      </c>
      <c r="AT545" s="24" t="str">
        <f>IF(Transactions[[#This Row],[Level 1]]=Transactions[[#This Row],[Transaction name]],Transactions[[#This Row],[Transaction name]],IF(Transactions[[#This Row],[Level 1]]=Transactions[[#This Row],[L1N]],Transactions[[#This Row],[Transaction name]],IF(Transactions[[#This Row],[Level 1]]=Transactions[[#This Row],[L2N]],Transactions[[#This Row],[L1N]],IF(Transactions[[#This Row],[Level 1]]=Transactions[[#This Row],[L3N]],Transactions[[#This Row],[L2N]],IF(Transactions[[#This Row],[Level 1]]=Transactions[[#This Row],[L4N]],Transactions[[#This Row],[L3N]],IF(Transactions[[#This Row],[Level 1]]=Transactions[[#This Row],[L5N]],Transactions[[#This Row],[L4N]],IF(Transactions[[#This Row],[Level 1]]=Transactions[[#This Row],[L6N]],Transactions[[#This Row],[L5N]],IF(Transactions[[#This Row],[Level 1]]=Transactions[[#This Row],[L7N]],Transactions[[#This Row],[L6N]],Transactions[[#This Row],[L7N]]))))))))</f>
        <v>Transformation in liquefaction plants (S)</v>
      </c>
      <c r="AU545" s="24" t="str">
        <f>IF(Transactions[[#This Row],[Level 2]]=Transactions[[#This Row],[Transaction name]],Transactions[[#This Row],[Transaction name]],IF(Transactions[[#This Row],[Level 2]]=Transactions[[#This Row],[L1N]],Transactions[[#This Row],[Transaction name]],IF(Transactions[[#This Row],[Level 2]]=Transactions[[#This Row],[L2N]],Transactions[[#This Row],[L1N]],IF(Transactions[[#This Row],[Level 2]]=Transactions[[#This Row],[L3N]],Transactions[[#This Row],[L2N]],IF(Transactions[[#This Row],[Level 2]]=Transactions[[#This Row],[L4N]],Transactions[[#This Row],[L3N]],IF(Transactions[[#This Row],[Level 2]]=Transactions[[#This Row],[L5N]],Transactions[[#This Row],[L4N]],IF(Transactions[[#This Row],[Level 2]]=Transactions[[#This Row],[L6N]],Transactions[[#This Row],[L5N]],IF(Transactions[[#This Row],[Level 2]]=Transactions[[#This Row],[L7N]],Transactions[[#This Row],[L6N]],Transactions[[#This Row],[L7N]]))))))))</f>
        <v>Transformation in liquefaction plants (S)</v>
      </c>
      <c r="AV545" s="24" t="str">
        <f>IF(Transactions[[#This Row],[Level 3]]=Transactions[[#This Row],[Transaction name]],Transactions[[#This Row],[Transaction name]],IF(Transactions[[#This Row],[Level 3]]=Transactions[[#This Row],[L1N]],Transactions[[#This Row],[Transaction name]],IF(Transactions[[#This Row],[Level 3]]=Transactions[[#This Row],[L2N]],Transactions[[#This Row],[L1N]],IF(Transactions[[#This Row],[Level 3]]=Transactions[[#This Row],[L3N]],Transactions[[#This Row],[L2N]],IF(Transactions[[#This Row],[Level 3]]=Transactions[[#This Row],[L4N]],Transactions[[#This Row],[L3N]],IF(Transactions[[#This Row],[Level 3]]=Transactions[[#This Row],[L5N]],Transactions[[#This Row],[L4N]],IF(Transactions[[#This Row],[Level 3]]=Transactions[[#This Row],[L6N]],Transactions[[#This Row],[L5N]],IF(Transactions[[#This Row],[Level 3]]=Transactions[[#This Row],[L7N]],Transactions[[#This Row],[L6N]],Transactions[[#This Row],[L7N]]))))))))</f>
        <v>Transformation in liquefaction plants (S)</v>
      </c>
      <c r="AW545" s="24" t="str">
        <f>IF(Transactions[[#This Row],[Level 4]]=Transactions[[#This Row],[Transaction name]],Transactions[[#This Row],[Transaction name]],IF(Transactions[[#This Row],[Level 4]]=Transactions[[#This Row],[L1N]],Transactions[[#This Row],[Transaction name]],IF(Transactions[[#This Row],[Level 4]]=Transactions[[#This Row],[L2N]],Transactions[[#This Row],[L1N]],IF(Transactions[[#This Row],[Level 4]]=Transactions[[#This Row],[L3N]],Transactions[[#This Row],[L2N]],IF(Transactions[[#This Row],[Level 4]]=Transactions[[#This Row],[L4N]],Transactions[[#This Row],[L3N]],IF(Transactions[[#This Row],[Level 4]]=Transactions[[#This Row],[L5N]],Transactions[[#This Row],[L4N]],IF(Transactions[[#This Row],[Level 4]]=Transactions[[#This Row],[L6N]],Transactions[[#This Row],[L5N]],IF(Transactions[[#This Row],[Level 4]]=Transactions[[#This Row],[L7N]],Transactions[[#This Row],[L6N]],Transactions[[#This Row],[L7N]]))))))))</f>
        <v>Transformation in liquefaction plants (S)</v>
      </c>
      <c r="AX545" s="24" t="str">
        <f>IF(Transactions[[#This Row],[Level 5]]=Transactions[[#This Row],[Transaction name]],Transactions[[#This Row],[Transaction name]],IF(Transactions[[#This Row],[Level 5]]=Transactions[[#This Row],[L1N]],Transactions[[#This Row],[Transaction name]],IF(Transactions[[#This Row],[Level 5]]=Transactions[[#This Row],[L2N]],Transactions[[#This Row],[L1N]],IF(Transactions[[#This Row],[Level 5]]=Transactions[[#This Row],[L3N]],Transactions[[#This Row],[L2N]],IF(Transactions[[#This Row],[Level 5]]=Transactions[[#This Row],[L4N]],Transactions[[#This Row],[L3N]],IF(Transactions[[#This Row],[Level 5]]=Transactions[[#This Row],[L5N]],Transactions[[#This Row],[L4N]],IF(Transactions[[#This Row],[Level 5]]=Transactions[[#This Row],[L6N]],Transactions[[#This Row],[L5N]],IF(Transactions[[#This Row],[Level 5]]=Transactions[[#This Row],[L7N]],Transactions[[#This Row],[L6N]],Transactions[[#This Row],[L7N]]))))))))</f>
        <v>Transformation in liquefaction plants (S)</v>
      </c>
      <c r="AY545" s="24" t="str">
        <f>IF(Transactions[[#This Row],[Level 6]]=Transactions[[#This Row],[Transaction name]],Transactions[[#This Row],[Transaction name]],IF(Transactions[[#This Row],[Level 6]]=Transactions[[#This Row],[L1N]],Transactions[[#This Row],[Transaction name]],IF(Transactions[[#This Row],[Level 6]]=Transactions[[#This Row],[L2N]],Transactions[[#This Row],[L1N]],IF(Transactions[[#This Row],[Level 6]]=Transactions[[#This Row],[L3N]],Transactions[[#This Row],[L2N]],IF(Transactions[[#This Row],[Level 6]]=Transactions[[#This Row],[L4N]],Transactions[[#This Row],[L3N]],IF(Transactions[[#This Row],[Level 6]]=Transactions[[#This Row],[L5N]],Transactions[[#This Row],[L4N]],IF(Transactions[[#This Row],[Level 6]]=Transactions[[#This Row],[L6N]],Transactions[[#This Row],[L5N]],IF(Transactions[[#This Row],[Level 6]]=Transactions[[#This Row],[L7N]],Transactions[[#This Row],[L6N]],Transactions[[#This Row],[L7N]]))))))))</f>
        <v>Transformation in liquefaction plants (S)</v>
      </c>
    </row>
    <row r="546" spans="25:51" x14ac:dyDescent="0.45">
      <c r="Y546" s="4" t="s">
        <v>508</v>
      </c>
      <c r="Z546" s="4" t="s">
        <v>901</v>
      </c>
      <c r="AA546" s="4" t="s">
        <v>901</v>
      </c>
      <c r="AB546" s="4" t="s">
        <v>502</v>
      </c>
      <c r="AC546" s="24" t="str">
        <f>IFERROR(VLOOKUP(Transactions[[#This Row],[Parent code]],Transactions[[Transaction code]:[Transaction name]],2,0),"")</f>
        <v>Transformation (S)</v>
      </c>
      <c r="AD546" s="4" t="s">
        <v>189</v>
      </c>
      <c r="AF546" s="4" t="s">
        <v>642</v>
      </c>
      <c r="AG546" s="4" t="s">
        <v>385</v>
      </c>
      <c r="AK546" s="24" t="str" cm="1">
        <f t="array" ref="AK546">IFERROR(INDEX(Transactions[[Transaction code]:[Transaction name]],_xlfn.XMATCH(Transactions[[#This Row],[Parent code]],Transactions[Transaction name],0),3),Transactions[[#This Row],[Transaction name]])</f>
        <v>Transformation in natural gas blending plants (S)</v>
      </c>
      <c r="AL546" s="24" t="str" cm="1">
        <f t="array" ref="AL546">IFERROR(INDEX(Transactions[[Transaction code]:[Transaction name]],_xlfn.XMATCH(INDEX(Transactions[[Transaction name]:[Parent code]],_xlfn.XMATCH(Transactions[[#This Row],[L1N]],Transactions[Transaction name],0),3),Transactions[Transaction code],0),2),Transactions[[#This Row],[L1N]])</f>
        <v>Transformation (S)</v>
      </c>
      <c r="AM546" s="24" t="str" cm="1">
        <f t="array" ref="AM546">IFERROR(INDEX(Transactions[[Transaction code]:[Transaction name]],_xlfn.XMATCH(INDEX(Transactions[[Transaction name]:[Parent code]],_xlfn.XMATCH(Transactions[[#This Row],[L2N]],Transactions[Transaction name],0),3),Transactions[Transaction code],0),2),Transactions[[#This Row],[L2N]])</f>
        <v>Transformation (S)</v>
      </c>
      <c r="AN546" s="24" t="str" cm="1">
        <f t="array" ref="AN546">IFERROR(INDEX(Transactions[[Transaction code]:[Transaction name]],_xlfn.XMATCH(INDEX(Transactions[[Transaction name]:[Parent code]],_xlfn.XMATCH(Transactions[[#This Row],[L3N]],Transactions[Transaction name],0),3),Transactions[Transaction code],0),2),Transactions[[#This Row],[L3N]])</f>
        <v>Transformation (S)</v>
      </c>
      <c r="AO546" s="24" t="str" cm="1">
        <f t="array" ref="AO546">IFERROR(INDEX(Transactions[[Transaction code]:[Transaction name]],_xlfn.XMATCH(INDEX(Transactions[[Transaction name]:[Parent code]],_xlfn.XMATCH(Transactions[[#This Row],[L4N]],Transactions[Transaction name],0),3),Transactions[Transaction code],0),2),Transactions[[#This Row],[L4N]])</f>
        <v>Transformation (S)</v>
      </c>
      <c r="AP546" s="24" t="str" cm="1">
        <f t="array" ref="AP546">IFERROR(INDEX(Transactions[[Transaction code]:[Transaction name]],_xlfn.XMATCH(INDEX(Transactions[[Transaction name]:[Parent code]],_xlfn.XMATCH(Transactions[[#This Row],[L5N]],Transactions[Transaction name],0),3),Transactions[Transaction code],0),2),Transactions[[#This Row],[L5N]])</f>
        <v>Transformation (S)</v>
      </c>
      <c r="AQ546" s="24" t="str" cm="1">
        <f t="array" ref="AQ546">IFERROR(INDEX(Transactions[[Transaction code]:[Transaction name]],_xlfn.XMATCH(INDEX(Transactions[[Transaction name]:[Parent code]],_xlfn.XMATCH(Transactions[[#This Row],[L6N]],Transactions[Transaction name],0),3),Transactions[Transaction code],0),2),Transactions[[#This Row],[L6N]])</f>
        <v>Transformation (S)</v>
      </c>
      <c r="AR546" s="28" t="str">
        <f>IF(Transactions[[#This Row],[L7N]]=Transactions[[#This Row],[L6N]],Transactions[[#This Row],[L7N]],IF(Transactions[[#This Row],[L6N]]=Transactions[[#This Row],[L5N]],Transactions[[#This Row],[L6N]],IF(Transactions[[#This Row],[L5N]]=Transactions[[#This Row],[L4N]],Transactions[[#This Row],[L5N]],IF(Transactions[[#This Row],[L4N]]=Transactions[[#This Row],[L3N]],Transactions[[#This Row],[L4N]],IF(Transactions[[#This Row],[L3N]]=Transactions[[#This Row],[L2N]],Transactions[[#This Row],[L3N]],IF(Transactions[[#This Row],[L2N]]=Transactions[[#This Row],[L1N]],Transactions[[#This Row],[L2N]],IF(Transactions[[#This Row],[L1N]]=Transactions[[#This Row],[Transaction name]],Transactions[[#This Row],[L1N]],Transactions[[#This Row],[Transaction name]])))))))</f>
        <v>Transformation (S)</v>
      </c>
      <c r="AS546" s="24" t="str">
        <f>IF(Transactions[[#This Row],[Level 0]]=Transactions[[#This Row],[Transaction name]],Transactions[[#This Row],[Transaction name]],IF(Transactions[[#This Row],[Level 0]]=Transactions[[#This Row],[L1N]],Transactions[[#This Row],[Transaction name]],IF(Transactions[[#This Row],[Level 0]]=Transactions[[#This Row],[L2N]],Transactions[[#This Row],[L1N]],IF(Transactions[[#This Row],[Level 0]]=Transactions[[#This Row],[L3N]],Transactions[[#This Row],[L2N]],IF(Transactions[[#This Row],[Level 0]]=Transactions[[#This Row],[L4N]],Transactions[[#This Row],[L3N]],IF(Transactions[[#This Row],[Level 0]]=Transactions[[#This Row],[L5N]],Transactions[[#This Row],[L4N]],IF(Transactions[[#This Row],[Level 0]]=Transactions[[#This Row],[L6N]],Transactions[[#This Row],[L5N]],IF(Transactions[[#This Row],[Level 0]]=Transactions[[#This Row],[L7N]],Transactions[[#This Row],[L6N]],Transactions[[#This Row],[L7N]]))))))))</f>
        <v>Transformation in natural gas blending plants (S)</v>
      </c>
      <c r="AT546" s="24" t="str">
        <f>IF(Transactions[[#This Row],[Level 1]]=Transactions[[#This Row],[Transaction name]],Transactions[[#This Row],[Transaction name]],IF(Transactions[[#This Row],[Level 1]]=Transactions[[#This Row],[L1N]],Transactions[[#This Row],[Transaction name]],IF(Transactions[[#This Row],[Level 1]]=Transactions[[#This Row],[L2N]],Transactions[[#This Row],[L1N]],IF(Transactions[[#This Row],[Level 1]]=Transactions[[#This Row],[L3N]],Transactions[[#This Row],[L2N]],IF(Transactions[[#This Row],[Level 1]]=Transactions[[#This Row],[L4N]],Transactions[[#This Row],[L3N]],IF(Transactions[[#This Row],[Level 1]]=Transactions[[#This Row],[L5N]],Transactions[[#This Row],[L4N]],IF(Transactions[[#This Row],[Level 1]]=Transactions[[#This Row],[L6N]],Transactions[[#This Row],[L5N]],IF(Transactions[[#This Row],[Level 1]]=Transactions[[#This Row],[L7N]],Transactions[[#This Row],[L6N]],Transactions[[#This Row],[L7N]]))))))))</f>
        <v>Transformation in natural gas blending plants (S)</v>
      </c>
      <c r="AU546" s="24" t="str">
        <f>IF(Transactions[[#This Row],[Level 2]]=Transactions[[#This Row],[Transaction name]],Transactions[[#This Row],[Transaction name]],IF(Transactions[[#This Row],[Level 2]]=Transactions[[#This Row],[L1N]],Transactions[[#This Row],[Transaction name]],IF(Transactions[[#This Row],[Level 2]]=Transactions[[#This Row],[L2N]],Transactions[[#This Row],[L1N]],IF(Transactions[[#This Row],[Level 2]]=Transactions[[#This Row],[L3N]],Transactions[[#This Row],[L2N]],IF(Transactions[[#This Row],[Level 2]]=Transactions[[#This Row],[L4N]],Transactions[[#This Row],[L3N]],IF(Transactions[[#This Row],[Level 2]]=Transactions[[#This Row],[L5N]],Transactions[[#This Row],[L4N]],IF(Transactions[[#This Row],[Level 2]]=Transactions[[#This Row],[L6N]],Transactions[[#This Row],[L5N]],IF(Transactions[[#This Row],[Level 2]]=Transactions[[#This Row],[L7N]],Transactions[[#This Row],[L6N]],Transactions[[#This Row],[L7N]]))))))))</f>
        <v>Transformation in natural gas blending plants (S)</v>
      </c>
      <c r="AV546" s="24" t="str">
        <f>IF(Transactions[[#This Row],[Level 3]]=Transactions[[#This Row],[Transaction name]],Transactions[[#This Row],[Transaction name]],IF(Transactions[[#This Row],[Level 3]]=Transactions[[#This Row],[L1N]],Transactions[[#This Row],[Transaction name]],IF(Transactions[[#This Row],[Level 3]]=Transactions[[#This Row],[L2N]],Transactions[[#This Row],[L1N]],IF(Transactions[[#This Row],[Level 3]]=Transactions[[#This Row],[L3N]],Transactions[[#This Row],[L2N]],IF(Transactions[[#This Row],[Level 3]]=Transactions[[#This Row],[L4N]],Transactions[[#This Row],[L3N]],IF(Transactions[[#This Row],[Level 3]]=Transactions[[#This Row],[L5N]],Transactions[[#This Row],[L4N]],IF(Transactions[[#This Row],[Level 3]]=Transactions[[#This Row],[L6N]],Transactions[[#This Row],[L5N]],IF(Transactions[[#This Row],[Level 3]]=Transactions[[#This Row],[L7N]],Transactions[[#This Row],[L6N]],Transactions[[#This Row],[L7N]]))))))))</f>
        <v>Transformation in natural gas blending plants (S)</v>
      </c>
      <c r="AW546" s="24" t="str">
        <f>IF(Transactions[[#This Row],[Level 4]]=Transactions[[#This Row],[Transaction name]],Transactions[[#This Row],[Transaction name]],IF(Transactions[[#This Row],[Level 4]]=Transactions[[#This Row],[L1N]],Transactions[[#This Row],[Transaction name]],IF(Transactions[[#This Row],[Level 4]]=Transactions[[#This Row],[L2N]],Transactions[[#This Row],[L1N]],IF(Transactions[[#This Row],[Level 4]]=Transactions[[#This Row],[L3N]],Transactions[[#This Row],[L2N]],IF(Transactions[[#This Row],[Level 4]]=Transactions[[#This Row],[L4N]],Transactions[[#This Row],[L3N]],IF(Transactions[[#This Row],[Level 4]]=Transactions[[#This Row],[L5N]],Transactions[[#This Row],[L4N]],IF(Transactions[[#This Row],[Level 4]]=Transactions[[#This Row],[L6N]],Transactions[[#This Row],[L5N]],IF(Transactions[[#This Row],[Level 4]]=Transactions[[#This Row],[L7N]],Transactions[[#This Row],[L6N]],Transactions[[#This Row],[L7N]]))))))))</f>
        <v>Transformation in natural gas blending plants (S)</v>
      </c>
      <c r="AX546" s="24" t="str">
        <f>IF(Transactions[[#This Row],[Level 5]]=Transactions[[#This Row],[Transaction name]],Transactions[[#This Row],[Transaction name]],IF(Transactions[[#This Row],[Level 5]]=Transactions[[#This Row],[L1N]],Transactions[[#This Row],[Transaction name]],IF(Transactions[[#This Row],[Level 5]]=Transactions[[#This Row],[L2N]],Transactions[[#This Row],[L1N]],IF(Transactions[[#This Row],[Level 5]]=Transactions[[#This Row],[L3N]],Transactions[[#This Row],[L2N]],IF(Transactions[[#This Row],[Level 5]]=Transactions[[#This Row],[L4N]],Transactions[[#This Row],[L3N]],IF(Transactions[[#This Row],[Level 5]]=Transactions[[#This Row],[L5N]],Transactions[[#This Row],[L4N]],IF(Transactions[[#This Row],[Level 5]]=Transactions[[#This Row],[L6N]],Transactions[[#This Row],[L5N]],IF(Transactions[[#This Row],[Level 5]]=Transactions[[#This Row],[L7N]],Transactions[[#This Row],[L6N]],Transactions[[#This Row],[L7N]]))))))))</f>
        <v>Transformation in natural gas blending plants (S)</v>
      </c>
      <c r="AY546" s="24" t="str">
        <f>IF(Transactions[[#This Row],[Level 6]]=Transactions[[#This Row],[Transaction name]],Transactions[[#This Row],[Transaction name]],IF(Transactions[[#This Row],[Level 6]]=Transactions[[#This Row],[L1N]],Transactions[[#This Row],[Transaction name]],IF(Transactions[[#This Row],[Level 6]]=Transactions[[#This Row],[L2N]],Transactions[[#This Row],[L1N]],IF(Transactions[[#This Row],[Level 6]]=Transactions[[#This Row],[L3N]],Transactions[[#This Row],[L2N]],IF(Transactions[[#This Row],[Level 6]]=Transactions[[#This Row],[L4N]],Transactions[[#This Row],[L3N]],IF(Transactions[[#This Row],[Level 6]]=Transactions[[#This Row],[L5N]],Transactions[[#This Row],[L4N]],IF(Transactions[[#This Row],[Level 6]]=Transactions[[#This Row],[L6N]],Transactions[[#This Row],[L5N]],IF(Transactions[[#This Row],[Level 6]]=Transactions[[#This Row],[L7N]],Transactions[[#This Row],[L6N]],Transactions[[#This Row],[L7N]]))))))))</f>
        <v>Transformation in natural gas blending plants (S)</v>
      </c>
    </row>
    <row r="547" spans="25:51" x14ac:dyDescent="0.45">
      <c r="Y547" s="4" t="s">
        <v>505</v>
      </c>
      <c r="Z547" s="4" t="s">
        <v>902</v>
      </c>
      <c r="AA547" s="4" t="s">
        <v>902</v>
      </c>
      <c r="AB547" s="4" t="s">
        <v>502</v>
      </c>
      <c r="AC547" s="24" t="str">
        <f>IFERROR(VLOOKUP(Transactions[[#This Row],[Parent code]],Transactions[[Transaction code]:[Transaction name]],2,0),"")</f>
        <v>Transformation (S)</v>
      </c>
      <c r="AD547" s="4" t="s">
        <v>189</v>
      </c>
      <c r="AF547" s="4" t="s">
        <v>642</v>
      </c>
      <c r="AG547" s="4" t="s">
        <v>385</v>
      </c>
      <c r="AK547" s="24" t="str" cm="1">
        <f t="array" ref="AK547">IFERROR(INDEX(Transactions[[Transaction code]:[Transaction name]],_xlfn.XMATCH(Transactions[[#This Row],[Parent code]],Transactions[Transaction name],0),3),Transactions[[#This Row],[Transaction name]])</f>
        <v>Transformation in oil refineries (S)</v>
      </c>
      <c r="AL547" s="24" t="str" cm="1">
        <f t="array" ref="AL547">IFERROR(INDEX(Transactions[[Transaction code]:[Transaction name]],_xlfn.XMATCH(INDEX(Transactions[[Transaction name]:[Parent code]],_xlfn.XMATCH(Transactions[[#This Row],[L1N]],Transactions[Transaction name],0),3),Transactions[Transaction code],0),2),Transactions[[#This Row],[L1N]])</f>
        <v>Transformation (S)</v>
      </c>
      <c r="AM547" s="24" t="str" cm="1">
        <f t="array" ref="AM547">IFERROR(INDEX(Transactions[[Transaction code]:[Transaction name]],_xlfn.XMATCH(INDEX(Transactions[[Transaction name]:[Parent code]],_xlfn.XMATCH(Transactions[[#This Row],[L2N]],Transactions[Transaction name],0),3),Transactions[Transaction code],0),2),Transactions[[#This Row],[L2N]])</f>
        <v>Transformation (S)</v>
      </c>
      <c r="AN547" s="24" t="str" cm="1">
        <f t="array" ref="AN547">IFERROR(INDEX(Transactions[[Transaction code]:[Transaction name]],_xlfn.XMATCH(INDEX(Transactions[[Transaction name]:[Parent code]],_xlfn.XMATCH(Transactions[[#This Row],[L3N]],Transactions[Transaction name],0),3),Transactions[Transaction code],0),2),Transactions[[#This Row],[L3N]])</f>
        <v>Transformation (S)</v>
      </c>
      <c r="AO547" s="24" t="str" cm="1">
        <f t="array" ref="AO547">IFERROR(INDEX(Transactions[[Transaction code]:[Transaction name]],_xlfn.XMATCH(INDEX(Transactions[[Transaction name]:[Parent code]],_xlfn.XMATCH(Transactions[[#This Row],[L4N]],Transactions[Transaction name],0),3),Transactions[Transaction code],0),2),Transactions[[#This Row],[L4N]])</f>
        <v>Transformation (S)</v>
      </c>
      <c r="AP547" s="24" t="str" cm="1">
        <f t="array" ref="AP547">IFERROR(INDEX(Transactions[[Transaction code]:[Transaction name]],_xlfn.XMATCH(INDEX(Transactions[[Transaction name]:[Parent code]],_xlfn.XMATCH(Transactions[[#This Row],[L5N]],Transactions[Transaction name],0),3),Transactions[Transaction code],0),2),Transactions[[#This Row],[L5N]])</f>
        <v>Transformation (S)</v>
      </c>
      <c r="AQ547" s="24" t="str" cm="1">
        <f t="array" ref="AQ547">IFERROR(INDEX(Transactions[[Transaction code]:[Transaction name]],_xlfn.XMATCH(INDEX(Transactions[[Transaction name]:[Parent code]],_xlfn.XMATCH(Transactions[[#This Row],[L6N]],Transactions[Transaction name],0),3),Transactions[Transaction code],0),2),Transactions[[#This Row],[L6N]])</f>
        <v>Transformation (S)</v>
      </c>
      <c r="AR547" s="28" t="str">
        <f>IF(Transactions[[#This Row],[L7N]]=Transactions[[#This Row],[L6N]],Transactions[[#This Row],[L7N]],IF(Transactions[[#This Row],[L6N]]=Transactions[[#This Row],[L5N]],Transactions[[#This Row],[L6N]],IF(Transactions[[#This Row],[L5N]]=Transactions[[#This Row],[L4N]],Transactions[[#This Row],[L5N]],IF(Transactions[[#This Row],[L4N]]=Transactions[[#This Row],[L3N]],Transactions[[#This Row],[L4N]],IF(Transactions[[#This Row],[L3N]]=Transactions[[#This Row],[L2N]],Transactions[[#This Row],[L3N]],IF(Transactions[[#This Row],[L2N]]=Transactions[[#This Row],[L1N]],Transactions[[#This Row],[L2N]],IF(Transactions[[#This Row],[L1N]]=Transactions[[#This Row],[Transaction name]],Transactions[[#This Row],[L1N]],Transactions[[#This Row],[Transaction name]])))))))</f>
        <v>Transformation (S)</v>
      </c>
      <c r="AS547" s="24" t="str">
        <f>IF(Transactions[[#This Row],[Level 0]]=Transactions[[#This Row],[Transaction name]],Transactions[[#This Row],[Transaction name]],IF(Transactions[[#This Row],[Level 0]]=Transactions[[#This Row],[L1N]],Transactions[[#This Row],[Transaction name]],IF(Transactions[[#This Row],[Level 0]]=Transactions[[#This Row],[L2N]],Transactions[[#This Row],[L1N]],IF(Transactions[[#This Row],[Level 0]]=Transactions[[#This Row],[L3N]],Transactions[[#This Row],[L2N]],IF(Transactions[[#This Row],[Level 0]]=Transactions[[#This Row],[L4N]],Transactions[[#This Row],[L3N]],IF(Transactions[[#This Row],[Level 0]]=Transactions[[#This Row],[L5N]],Transactions[[#This Row],[L4N]],IF(Transactions[[#This Row],[Level 0]]=Transactions[[#This Row],[L6N]],Transactions[[#This Row],[L5N]],IF(Transactions[[#This Row],[Level 0]]=Transactions[[#This Row],[L7N]],Transactions[[#This Row],[L6N]],Transactions[[#This Row],[L7N]]))))))))</f>
        <v>Transformation in oil refineries (S)</v>
      </c>
      <c r="AT547" s="24" t="str">
        <f>IF(Transactions[[#This Row],[Level 1]]=Transactions[[#This Row],[Transaction name]],Transactions[[#This Row],[Transaction name]],IF(Transactions[[#This Row],[Level 1]]=Transactions[[#This Row],[L1N]],Transactions[[#This Row],[Transaction name]],IF(Transactions[[#This Row],[Level 1]]=Transactions[[#This Row],[L2N]],Transactions[[#This Row],[L1N]],IF(Transactions[[#This Row],[Level 1]]=Transactions[[#This Row],[L3N]],Transactions[[#This Row],[L2N]],IF(Transactions[[#This Row],[Level 1]]=Transactions[[#This Row],[L4N]],Transactions[[#This Row],[L3N]],IF(Transactions[[#This Row],[Level 1]]=Transactions[[#This Row],[L5N]],Transactions[[#This Row],[L4N]],IF(Transactions[[#This Row],[Level 1]]=Transactions[[#This Row],[L6N]],Transactions[[#This Row],[L5N]],IF(Transactions[[#This Row],[Level 1]]=Transactions[[#This Row],[L7N]],Transactions[[#This Row],[L6N]],Transactions[[#This Row],[L7N]]))))))))</f>
        <v>Transformation in oil refineries (S)</v>
      </c>
      <c r="AU547" s="24" t="str">
        <f>IF(Transactions[[#This Row],[Level 2]]=Transactions[[#This Row],[Transaction name]],Transactions[[#This Row],[Transaction name]],IF(Transactions[[#This Row],[Level 2]]=Transactions[[#This Row],[L1N]],Transactions[[#This Row],[Transaction name]],IF(Transactions[[#This Row],[Level 2]]=Transactions[[#This Row],[L2N]],Transactions[[#This Row],[L1N]],IF(Transactions[[#This Row],[Level 2]]=Transactions[[#This Row],[L3N]],Transactions[[#This Row],[L2N]],IF(Transactions[[#This Row],[Level 2]]=Transactions[[#This Row],[L4N]],Transactions[[#This Row],[L3N]],IF(Transactions[[#This Row],[Level 2]]=Transactions[[#This Row],[L5N]],Transactions[[#This Row],[L4N]],IF(Transactions[[#This Row],[Level 2]]=Transactions[[#This Row],[L6N]],Transactions[[#This Row],[L5N]],IF(Transactions[[#This Row],[Level 2]]=Transactions[[#This Row],[L7N]],Transactions[[#This Row],[L6N]],Transactions[[#This Row],[L7N]]))))))))</f>
        <v>Transformation in oil refineries (S)</v>
      </c>
      <c r="AV547" s="24" t="str">
        <f>IF(Transactions[[#This Row],[Level 3]]=Transactions[[#This Row],[Transaction name]],Transactions[[#This Row],[Transaction name]],IF(Transactions[[#This Row],[Level 3]]=Transactions[[#This Row],[L1N]],Transactions[[#This Row],[Transaction name]],IF(Transactions[[#This Row],[Level 3]]=Transactions[[#This Row],[L2N]],Transactions[[#This Row],[L1N]],IF(Transactions[[#This Row],[Level 3]]=Transactions[[#This Row],[L3N]],Transactions[[#This Row],[L2N]],IF(Transactions[[#This Row],[Level 3]]=Transactions[[#This Row],[L4N]],Transactions[[#This Row],[L3N]],IF(Transactions[[#This Row],[Level 3]]=Transactions[[#This Row],[L5N]],Transactions[[#This Row],[L4N]],IF(Transactions[[#This Row],[Level 3]]=Transactions[[#This Row],[L6N]],Transactions[[#This Row],[L5N]],IF(Transactions[[#This Row],[Level 3]]=Transactions[[#This Row],[L7N]],Transactions[[#This Row],[L6N]],Transactions[[#This Row],[L7N]]))))))))</f>
        <v>Transformation in oil refineries (S)</v>
      </c>
      <c r="AW547" s="24" t="str">
        <f>IF(Transactions[[#This Row],[Level 4]]=Transactions[[#This Row],[Transaction name]],Transactions[[#This Row],[Transaction name]],IF(Transactions[[#This Row],[Level 4]]=Transactions[[#This Row],[L1N]],Transactions[[#This Row],[Transaction name]],IF(Transactions[[#This Row],[Level 4]]=Transactions[[#This Row],[L2N]],Transactions[[#This Row],[L1N]],IF(Transactions[[#This Row],[Level 4]]=Transactions[[#This Row],[L3N]],Transactions[[#This Row],[L2N]],IF(Transactions[[#This Row],[Level 4]]=Transactions[[#This Row],[L4N]],Transactions[[#This Row],[L3N]],IF(Transactions[[#This Row],[Level 4]]=Transactions[[#This Row],[L5N]],Transactions[[#This Row],[L4N]],IF(Transactions[[#This Row],[Level 4]]=Transactions[[#This Row],[L6N]],Transactions[[#This Row],[L5N]],IF(Transactions[[#This Row],[Level 4]]=Transactions[[#This Row],[L7N]],Transactions[[#This Row],[L6N]],Transactions[[#This Row],[L7N]]))))))))</f>
        <v>Transformation in oil refineries (S)</v>
      </c>
      <c r="AX547" s="24" t="str">
        <f>IF(Transactions[[#This Row],[Level 5]]=Transactions[[#This Row],[Transaction name]],Transactions[[#This Row],[Transaction name]],IF(Transactions[[#This Row],[Level 5]]=Transactions[[#This Row],[L1N]],Transactions[[#This Row],[Transaction name]],IF(Transactions[[#This Row],[Level 5]]=Transactions[[#This Row],[L2N]],Transactions[[#This Row],[L1N]],IF(Transactions[[#This Row],[Level 5]]=Transactions[[#This Row],[L3N]],Transactions[[#This Row],[L2N]],IF(Transactions[[#This Row],[Level 5]]=Transactions[[#This Row],[L4N]],Transactions[[#This Row],[L3N]],IF(Transactions[[#This Row],[Level 5]]=Transactions[[#This Row],[L5N]],Transactions[[#This Row],[L4N]],IF(Transactions[[#This Row],[Level 5]]=Transactions[[#This Row],[L6N]],Transactions[[#This Row],[L5N]],IF(Transactions[[#This Row],[Level 5]]=Transactions[[#This Row],[L7N]],Transactions[[#This Row],[L6N]],Transactions[[#This Row],[L7N]]))))))))</f>
        <v>Transformation in oil refineries (S)</v>
      </c>
      <c r="AY547" s="24" t="str">
        <f>IF(Transactions[[#This Row],[Level 6]]=Transactions[[#This Row],[Transaction name]],Transactions[[#This Row],[Transaction name]],IF(Transactions[[#This Row],[Level 6]]=Transactions[[#This Row],[L1N]],Transactions[[#This Row],[Transaction name]],IF(Transactions[[#This Row],[Level 6]]=Transactions[[#This Row],[L2N]],Transactions[[#This Row],[L1N]],IF(Transactions[[#This Row],[Level 6]]=Transactions[[#This Row],[L3N]],Transactions[[#This Row],[L2N]],IF(Transactions[[#This Row],[Level 6]]=Transactions[[#This Row],[L4N]],Transactions[[#This Row],[L3N]],IF(Transactions[[#This Row],[Level 6]]=Transactions[[#This Row],[L5N]],Transactions[[#This Row],[L4N]],IF(Transactions[[#This Row],[Level 6]]=Transactions[[#This Row],[L6N]],Transactions[[#This Row],[L5N]],IF(Transactions[[#This Row],[Level 6]]=Transactions[[#This Row],[L7N]],Transactions[[#This Row],[L6N]],Transactions[[#This Row],[L7N]]))))))))</f>
        <v>Transformation in oil refineries (S)</v>
      </c>
    </row>
    <row r="548" spans="25:51" x14ac:dyDescent="0.45">
      <c r="Y548" s="4" t="s">
        <v>628</v>
      </c>
      <c r="Z548" s="4" t="s">
        <v>611</v>
      </c>
      <c r="AA548" s="4" t="s">
        <v>611</v>
      </c>
      <c r="AC548" s="24" t="str">
        <f>IFERROR(VLOOKUP(Transactions[[#This Row],[Parent code]],Transactions[[Transaction code]:[Transaction name]],2,0),"")</f>
        <v/>
      </c>
      <c r="AD548" s="4" t="s">
        <v>630</v>
      </c>
      <c r="AF548" s="4" t="s">
        <v>642</v>
      </c>
      <c r="AH548" s="4" t="s">
        <v>696</v>
      </c>
      <c r="AK548" s="24" t="str" cm="1">
        <f t="array" ref="AK548">IFERROR(INDEX(Transactions[[Transaction code]:[Transaction name]],_xlfn.XMATCH(Transactions[[#This Row],[Parent code]],Transactions[Transaction name],0),3),Transactions[[#This Row],[Transaction name]])</f>
        <v>Transport n.e.s</v>
      </c>
      <c r="AL548" s="24" t="str" cm="1">
        <f t="array" ref="AL548">IFERROR(INDEX(Transactions[[Transaction code]:[Transaction name]],_xlfn.XMATCH(INDEX(Transactions[[Transaction name]:[Parent code]],_xlfn.XMATCH(Transactions[[#This Row],[L1N]],Transactions[Transaction name],0),3),Transactions[Transaction code],0),2),Transactions[[#This Row],[L1N]])</f>
        <v>Transport n.e.s</v>
      </c>
      <c r="AM548" s="24" t="str" cm="1">
        <f t="array" ref="AM548">IFERROR(INDEX(Transactions[[Transaction code]:[Transaction name]],_xlfn.XMATCH(INDEX(Transactions[[Transaction name]:[Parent code]],_xlfn.XMATCH(Transactions[[#This Row],[L2N]],Transactions[Transaction name],0),3),Transactions[Transaction code],0),2),Transactions[[#This Row],[L2N]])</f>
        <v>Transport n.e.s</v>
      </c>
      <c r="AN548" s="24" t="str" cm="1">
        <f t="array" ref="AN548">IFERROR(INDEX(Transactions[[Transaction code]:[Transaction name]],_xlfn.XMATCH(INDEX(Transactions[[Transaction name]:[Parent code]],_xlfn.XMATCH(Transactions[[#This Row],[L3N]],Transactions[Transaction name],0),3),Transactions[Transaction code],0),2),Transactions[[#This Row],[L3N]])</f>
        <v>Transport n.e.s</v>
      </c>
      <c r="AO548" s="24" t="str" cm="1">
        <f t="array" ref="AO548">IFERROR(INDEX(Transactions[[Transaction code]:[Transaction name]],_xlfn.XMATCH(INDEX(Transactions[[Transaction name]:[Parent code]],_xlfn.XMATCH(Transactions[[#This Row],[L4N]],Transactions[Transaction name],0),3),Transactions[Transaction code],0),2),Transactions[[#This Row],[L4N]])</f>
        <v>Transport n.e.s</v>
      </c>
      <c r="AP548" s="24" t="str" cm="1">
        <f t="array" ref="AP548">IFERROR(INDEX(Transactions[[Transaction code]:[Transaction name]],_xlfn.XMATCH(INDEX(Transactions[[Transaction name]:[Parent code]],_xlfn.XMATCH(Transactions[[#This Row],[L5N]],Transactions[Transaction name],0),3),Transactions[Transaction code],0),2),Transactions[[#This Row],[L5N]])</f>
        <v>Transport n.e.s</v>
      </c>
      <c r="AQ548" s="24" t="str" cm="1">
        <f t="array" ref="AQ548">IFERROR(INDEX(Transactions[[Transaction code]:[Transaction name]],_xlfn.XMATCH(INDEX(Transactions[[Transaction name]:[Parent code]],_xlfn.XMATCH(Transactions[[#This Row],[L6N]],Transactions[Transaction name],0),3),Transactions[Transaction code],0),2),Transactions[[#This Row],[L6N]])</f>
        <v>Transport n.e.s</v>
      </c>
      <c r="AR548" s="28" t="str">
        <f>IF(Transactions[[#This Row],[L7N]]=Transactions[[#This Row],[L6N]],Transactions[[#This Row],[L7N]],IF(Transactions[[#This Row],[L6N]]=Transactions[[#This Row],[L5N]],Transactions[[#This Row],[L6N]],IF(Transactions[[#This Row],[L5N]]=Transactions[[#This Row],[L4N]],Transactions[[#This Row],[L5N]],IF(Transactions[[#This Row],[L4N]]=Transactions[[#This Row],[L3N]],Transactions[[#This Row],[L4N]],IF(Transactions[[#This Row],[L3N]]=Transactions[[#This Row],[L2N]],Transactions[[#This Row],[L3N]],IF(Transactions[[#This Row],[L2N]]=Transactions[[#This Row],[L1N]],Transactions[[#This Row],[L2N]],IF(Transactions[[#This Row],[L1N]]=Transactions[[#This Row],[Transaction name]],Transactions[[#This Row],[L1N]],Transactions[[#This Row],[Transaction name]])))))))</f>
        <v>Transport n.e.s</v>
      </c>
      <c r="AS548" s="24" t="str">
        <f>IF(Transactions[[#This Row],[Level 0]]=Transactions[[#This Row],[Transaction name]],Transactions[[#This Row],[Transaction name]],IF(Transactions[[#This Row],[Level 0]]=Transactions[[#This Row],[L1N]],Transactions[[#This Row],[Transaction name]],IF(Transactions[[#This Row],[Level 0]]=Transactions[[#This Row],[L2N]],Transactions[[#This Row],[L1N]],IF(Transactions[[#This Row],[Level 0]]=Transactions[[#This Row],[L3N]],Transactions[[#This Row],[L2N]],IF(Transactions[[#This Row],[Level 0]]=Transactions[[#This Row],[L4N]],Transactions[[#This Row],[L3N]],IF(Transactions[[#This Row],[Level 0]]=Transactions[[#This Row],[L5N]],Transactions[[#This Row],[L4N]],IF(Transactions[[#This Row],[Level 0]]=Transactions[[#This Row],[L6N]],Transactions[[#This Row],[L5N]],IF(Transactions[[#This Row],[Level 0]]=Transactions[[#This Row],[L7N]],Transactions[[#This Row],[L6N]],Transactions[[#This Row],[L7N]]))))))))</f>
        <v>Transport n.e.s</v>
      </c>
      <c r="AT548" s="24" t="str">
        <f>IF(Transactions[[#This Row],[Level 1]]=Transactions[[#This Row],[Transaction name]],Transactions[[#This Row],[Transaction name]],IF(Transactions[[#This Row],[Level 1]]=Transactions[[#This Row],[L1N]],Transactions[[#This Row],[Transaction name]],IF(Transactions[[#This Row],[Level 1]]=Transactions[[#This Row],[L2N]],Transactions[[#This Row],[L1N]],IF(Transactions[[#This Row],[Level 1]]=Transactions[[#This Row],[L3N]],Transactions[[#This Row],[L2N]],IF(Transactions[[#This Row],[Level 1]]=Transactions[[#This Row],[L4N]],Transactions[[#This Row],[L3N]],IF(Transactions[[#This Row],[Level 1]]=Transactions[[#This Row],[L5N]],Transactions[[#This Row],[L4N]],IF(Transactions[[#This Row],[Level 1]]=Transactions[[#This Row],[L6N]],Transactions[[#This Row],[L5N]],IF(Transactions[[#This Row],[Level 1]]=Transactions[[#This Row],[L7N]],Transactions[[#This Row],[L6N]],Transactions[[#This Row],[L7N]]))))))))</f>
        <v>Transport n.e.s</v>
      </c>
      <c r="AU548" s="24" t="str">
        <f>IF(Transactions[[#This Row],[Level 2]]=Transactions[[#This Row],[Transaction name]],Transactions[[#This Row],[Transaction name]],IF(Transactions[[#This Row],[Level 2]]=Transactions[[#This Row],[L1N]],Transactions[[#This Row],[Transaction name]],IF(Transactions[[#This Row],[Level 2]]=Transactions[[#This Row],[L2N]],Transactions[[#This Row],[L1N]],IF(Transactions[[#This Row],[Level 2]]=Transactions[[#This Row],[L3N]],Transactions[[#This Row],[L2N]],IF(Transactions[[#This Row],[Level 2]]=Transactions[[#This Row],[L4N]],Transactions[[#This Row],[L3N]],IF(Transactions[[#This Row],[Level 2]]=Transactions[[#This Row],[L5N]],Transactions[[#This Row],[L4N]],IF(Transactions[[#This Row],[Level 2]]=Transactions[[#This Row],[L6N]],Transactions[[#This Row],[L5N]],IF(Transactions[[#This Row],[Level 2]]=Transactions[[#This Row],[L7N]],Transactions[[#This Row],[L6N]],Transactions[[#This Row],[L7N]]))))))))</f>
        <v>Transport n.e.s</v>
      </c>
      <c r="AV548" s="24" t="str">
        <f>IF(Transactions[[#This Row],[Level 3]]=Transactions[[#This Row],[Transaction name]],Transactions[[#This Row],[Transaction name]],IF(Transactions[[#This Row],[Level 3]]=Transactions[[#This Row],[L1N]],Transactions[[#This Row],[Transaction name]],IF(Transactions[[#This Row],[Level 3]]=Transactions[[#This Row],[L2N]],Transactions[[#This Row],[L1N]],IF(Transactions[[#This Row],[Level 3]]=Transactions[[#This Row],[L3N]],Transactions[[#This Row],[L2N]],IF(Transactions[[#This Row],[Level 3]]=Transactions[[#This Row],[L4N]],Transactions[[#This Row],[L3N]],IF(Transactions[[#This Row],[Level 3]]=Transactions[[#This Row],[L5N]],Transactions[[#This Row],[L4N]],IF(Transactions[[#This Row],[Level 3]]=Transactions[[#This Row],[L6N]],Transactions[[#This Row],[L5N]],IF(Transactions[[#This Row],[Level 3]]=Transactions[[#This Row],[L7N]],Transactions[[#This Row],[L6N]],Transactions[[#This Row],[L7N]]))))))))</f>
        <v>Transport n.e.s</v>
      </c>
      <c r="AW548" s="24" t="str">
        <f>IF(Transactions[[#This Row],[Level 4]]=Transactions[[#This Row],[Transaction name]],Transactions[[#This Row],[Transaction name]],IF(Transactions[[#This Row],[Level 4]]=Transactions[[#This Row],[L1N]],Transactions[[#This Row],[Transaction name]],IF(Transactions[[#This Row],[Level 4]]=Transactions[[#This Row],[L2N]],Transactions[[#This Row],[L1N]],IF(Transactions[[#This Row],[Level 4]]=Transactions[[#This Row],[L3N]],Transactions[[#This Row],[L2N]],IF(Transactions[[#This Row],[Level 4]]=Transactions[[#This Row],[L4N]],Transactions[[#This Row],[L3N]],IF(Transactions[[#This Row],[Level 4]]=Transactions[[#This Row],[L5N]],Transactions[[#This Row],[L4N]],IF(Transactions[[#This Row],[Level 4]]=Transactions[[#This Row],[L6N]],Transactions[[#This Row],[L5N]],IF(Transactions[[#This Row],[Level 4]]=Transactions[[#This Row],[L7N]],Transactions[[#This Row],[L6N]],Transactions[[#This Row],[L7N]]))))))))</f>
        <v>Transport n.e.s</v>
      </c>
      <c r="AX548" s="24" t="str">
        <f>IF(Transactions[[#This Row],[Level 5]]=Transactions[[#This Row],[Transaction name]],Transactions[[#This Row],[Transaction name]],IF(Transactions[[#This Row],[Level 5]]=Transactions[[#This Row],[L1N]],Transactions[[#This Row],[Transaction name]],IF(Transactions[[#This Row],[Level 5]]=Transactions[[#This Row],[L2N]],Transactions[[#This Row],[L1N]],IF(Transactions[[#This Row],[Level 5]]=Transactions[[#This Row],[L3N]],Transactions[[#This Row],[L2N]],IF(Transactions[[#This Row],[Level 5]]=Transactions[[#This Row],[L4N]],Transactions[[#This Row],[L3N]],IF(Transactions[[#This Row],[Level 5]]=Transactions[[#This Row],[L5N]],Transactions[[#This Row],[L4N]],IF(Transactions[[#This Row],[Level 5]]=Transactions[[#This Row],[L6N]],Transactions[[#This Row],[L5N]],IF(Transactions[[#This Row],[Level 5]]=Transactions[[#This Row],[L7N]],Transactions[[#This Row],[L6N]],Transactions[[#This Row],[L7N]]))))))))</f>
        <v>Transport n.e.s</v>
      </c>
      <c r="AY548" s="24" t="str">
        <f>IF(Transactions[[#This Row],[Level 6]]=Transactions[[#This Row],[Transaction name]],Transactions[[#This Row],[Transaction name]],IF(Transactions[[#This Row],[Level 6]]=Transactions[[#This Row],[L1N]],Transactions[[#This Row],[Transaction name]],IF(Transactions[[#This Row],[Level 6]]=Transactions[[#This Row],[L2N]],Transactions[[#This Row],[L1N]],IF(Transactions[[#This Row],[Level 6]]=Transactions[[#This Row],[L3N]],Transactions[[#This Row],[L2N]],IF(Transactions[[#This Row],[Level 6]]=Transactions[[#This Row],[L4N]],Transactions[[#This Row],[L3N]],IF(Transactions[[#This Row],[Level 6]]=Transactions[[#This Row],[L5N]],Transactions[[#This Row],[L4N]],IF(Transactions[[#This Row],[Level 6]]=Transactions[[#This Row],[L6N]],Transactions[[#This Row],[L5N]],IF(Transactions[[#This Row],[Level 6]]=Transactions[[#This Row],[L7N]],Transactions[[#This Row],[L6N]],Transactions[[#This Row],[L7N]]))))))))</f>
        <v>Transport n.e.s</v>
      </c>
    </row>
    <row r="549" spans="25:51" x14ac:dyDescent="0.45">
      <c r="Y549" s="5" t="s">
        <v>170</v>
      </c>
      <c r="Z549" s="4" t="s">
        <v>169</v>
      </c>
      <c r="AA549" s="4" t="s">
        <v>169</v>
      </c>
      <c r="AC549" s="24" t="str">
        <f>IFERROR(VLOOKUP(Transactions[[#This Row],[Parent code]],Transactions[[Transaction code]:[Transaction name]],2,0),"")</f>
        <v/>
      </c>
      <c r="AD549" s="4" t="s">
        <v>189</v>
      </c>
      <c r="AE549" s="4" t="s">
        <v>934</v>
      </c>
      <c r="AF549" s="4" t="s">
        <v>642</v>
      </c>
      <c r="AG549" s="4" t="s">
        <v>1</v>
      </c>
      <c r="AH549" s="4" t="s">
        <v>695</v>
      </c>
      <c r="AJ549" s="18" t="s">
        <v>0</v>
      </c>
      <c r="AK549" s="24" t="str" cm="1">
        <f t="array" ref="AK549">IFERROR(INDEX(Transactions[[Transaction code]:[Transaction name]],_xlfn.XMATCH(Transactions[[#This Row],[Parent code]],Transactions[Transaction name],0),3),Transactions[[#This Row],[Transaction name]])</f>
        <v>Used for electric boilers</v>
      </c>
      <c r="AL549" s="24" t="str" cm="1">
        <f t="array" ref="AL549">IFERROR(INDEX(Transactions[[Transaction code]:[Transaction name]],_xlfn.XMATCH(INDEX(Transactions[[Transaction name]:[Parent code]],_xlfn.XMATCH(Transactions[[#This Row],[L1N]],Transactions[Transaction name],0),3),Transactions[Transaction code],0),2),Transactions[[#This Row],[L1N]])</f>
        <v>Used for electric boilers</v>
      </c>
      <c r="AM549" s="24" t="str" cm="1">
        <f t="array" ref="AM549">IFERROR(INDEX(Transactions[[Transaction code]:[Transaction name]],_xlfn.XMATCH(INDEX(Transactions[[Transaction name]:[Parent code]],_xlfn.XMATCH(Transactions[[#This Row],[L2N]],Transactions[Transaction name],0),3),Transactions[Transaction code],0),2),Transactions[[#This Row],[L2N]])</f>
        <v>Used for electric boilers</v>
      </c>
      <c r="AN549" s="24" t="str" cm="1">
        <f t="array" ref="AN549">IFERROR(INDEX(Transactions[[Transaction code]:[Transaction name]],_xlfn.XMATCH(INDEX(Transactions[[Transaction name]:[Parent code]],_xlfn.XMATCH(Transactions[[#This Row],[L3N]],Transactions[Transaction name],0),3),Transactions[Transaction code],0),2),Transactions[[#This Row],[L3N]])</f>
        <v>Used for electric boilers</v>
      </c>
      <c r="AO549" s="24" t="str" cm="1">
        <f t="array" ref="AO549">IFERROR(INDEX(Transactions[[Transaction code]:[Transaction name]],_xlfn.XMATCH(INDEX(Transactions[[Transaction name]:[Parent code]],_xlfn.XMATCH(Transactions[[#This Row],[L4N]],Transactions[Transaction name],0),3),Transactions[Transaction code],0),2),Transactions[[#This Row],[L4N]])</f>
        <v>Used for electric boilers</v>
      </c>
      <c r="AP549" s="24" t="str" cm="1">
        <f t="array" ref="AP549">IFERROR(INDEX(Transactions[[Transaction code]:[Transaction name]],_xlfn.XMATCH(INDEX(Transactions[[Transaction name]:[Parent code]],_xlfn.XMATCH(Transactions[[#This Row],[L5N]],Transactions[Transaction name],0),3),Transactions[Transaction code],0),2),Transactions[[#This Row],[L5N]])</f>
        <v>Used for electric boilers</v>
      </c>
      <c r="AQ549" s="24" t="str" cm="1">
        <f t="array" ref="AQ549">IFERROR(INDEX(Transactions[[Transaction code]:[Transaction name]],_xlfn.XMATCH(INDEX(Transactions[[Transaction name]:[Parent code]],_xlfn.XMATCH(Transactions[[#This Row],[L6N]],Transactions[Transaction name],0),3),Transactions[Transaction code],0),2),Transactions[[#This Row],[L6N]])</f>
        <v>Used for electric boilers</v>
      </c>
      <c r="AR549" s="28" t="str">
        <f>IF(Transactions[[#This Row],[L7N]]=Transactions[[#This Row],[L6N]],Transactions[[#This Row],[L7N]],IF(Transactions[[#This Row],[L6N]]=Transactions[[#This Row],[L5N]],Transactions[[#This Row],[L6N]],IF(Transactions[[#This Row],[L5N]]=Transactions[[#This Row],[L4N]],Transactions[[#This Row],[L5N]],IF(Transactions[[#This Row],[L4N]]=Transactions[[#This Row],[L3N]],Transactions[[#This Row],[L4N]],IF(Transactions[[#This Row],[L3N]]=Transactions[[#This Row],[L2N]],Transactions[[#This Row],[L3N]],IF(Transactions[[#This Row],[L2N]]=Transactions[[#This Row],[L1N]],Transactions[[#This Row],[L2N]],IF(Transactions[[#This Row],[L1N]]=Transactions[[#This Row],[Transaction name]],Transactions[[#This Row],[L1N]],Transactions[[#This Row],[Transaction name]])))))))</f>
        <v>Used for electric boilers</v>
      </c>
      <c r="AS549" s="24" t="str">
        <f>IF(Transactions[[#This Row],[Level 0]]=Transactions[[#This Row],[Transaction name]],Transactions[[#This Row],[Transaction name]],IF(Transactions[[#This Row],[Level 0]]=Transactions[[#This Row],[L1N]],Transactions[[#This Row],[Transaction name]],IF(Transactions[[#This Row],[Level 0]]=Transactions[[#This Row],[L2N]],Transactions[[#This Row],[L1N]],IF(Transactions[[#This Row],[Level 0]]=Transactions[[#This Row],[L3N]],Transactions[[#This Row],[L2N]],IF(Transactions[[#This Row],[Level 0]]=Transactions[[#This Row],[L4N]],Transactions[[#This Row],[L3N]],IF(Transactions[[#This Row],[Level 0]]=Transactions[[#This Row],[L5N]],Transactions[[#This Row],[L4N]],IF(Transactions[[#This Row],[Level 0]]=Transactions[[#This Row],[L6N]],Transactions[[#This Row],[L5N]],IF(Transactions[[#This Row],[Level 0]]=Transactions[[#This Row],[L7N]],Transactions[[#This Row],[L6N]],Transactions[[#This Row],[L7N]]))))))))</f>
        <v>Used for electric boilers</v>
      </c>
      <c r="AT549" s="24" t="str">
        <f>IF(Transactions[[#This Row],[Level 1]]=Transactions[[#This Row],[Transaction name]],Transactions[[#This Row],[Transaction name]],IF(Transactions[[#This Row],[Level 1]]=Transactions[[#This Row],[L1N]],Transactions[[#This Row],[Transaction name]],IF(Transactions[[#This Row],[Level 1]]=Transactions[[#This Row],[L2N]],Transactions[[#This Row],[L1N]],IF(Transactions[[#This Row],[Level 1]]=Transactions[[#This Row],[L3N]],Transactions[[#This Row],[L2N]],IF(Transactions[[#This Row],[Level 1]]=Transactions[[#This Row],[L4N]],Transactions[[#This Row],[L3N]],IF(Transactions[[#This Row],[Level 1]]=Transactions[[#This Row],[L5N]],Transactions[[#This Row],[L4N]],IF(Transactions[[#This Row],[Level 1]]=Transactions[[#This Row],[L6N]],Transactions[[#This Row],[L5N]],IF(Transactions[[#This Row],[Level 1]]=Transactions[[#This Row],[L7N]],Transactions[[#This Row],[L6N]],Transactions[[#This Row],[L7N]]))))))))</f>
        <v>Used for electric boilers</v>
      </c>
      <c r="AU549" s="24" t="str">
        <f>IF(Transactions[[#This Row],[Level 2]]=Transactions[[#This Row],[Transaction name]],Transactions[[#This Row],[Transaction name]],IF(Transactions[[#This Row],[Level 2]]=Transactions[[#This Row],[L1N]],Transactions[[#This Row],[Transaction name]],IF(Transactions[[#This Row],[Level 2]]=Transactions[[#This Row],[L2N]],Transactions[[#This Row],[L1N]],IF(Transactions[[#This Row],[Level 2]]=Transactions[[#This Row],[L3N]],Transactions[[#This Row],[L2N]],IF(Transactions[[#This Row],[Level 2]]=Transactions[[#This Row],[L4N]],Transactions[[#This Row],[L3N]],IF(Transactions[[#This Row],[Level 2]]=Transactions[[#This Row],[L5N]],Transactions[[#This Row],[L4N]],IF(Transactions[[#This Row],[Level 2]]=Transactions[[#This Row],[L6N]],Transactions[[#This Row],[L5N]],IF(Transactions[[#This Row],[Level 2]]=Transactions[[#This Row],[L7N]],Transactions[[#This Row],[L6N]],Transactions[[#This Row],[L7N]]))))))))</f>
        <v>Used for electric boilers</v>
      </c>
      <c r="AV549" s="24" t="str">
        <f>IF(Transactions[[#This Row],[Level 3]]=Transactions[[#This Row],[Transaction name]],Transactions[[#This Row],[Transaction name]],IF(Transactions[[#This Row],[Level 3]]=Transactions[[#This Row],[L1N]],Transactions[[#This Row],[Transaction name]],IF(Transactions[[#This Row],[Level 3]]=Transactions[[#This Row],[L2N]],Transactions[[#This Row],[L1N]],IF(Transactions[[#This Row],[Level 3]]=Transactions[[#This Row],[L3N]],Transactions[[#This Row],[L2N]],IF(Transactions[[#This Row],[Level 3]]=Transactions[[#This Row],[L4N]],Transactions[[#This Row],[L3N]],IF(Transactions[[#This Row],[Level 3]]=Transactions[[#This Row],[L5N]],Transactions[[#This Row],[L4N]],IF(Transactions[[#This Row],[Level 3]]=Transactions[[#This Row],[L6N]],Transactions[[#This Row],[L5N]],IF(Transactions[[#This Row],[Level 3]]=Transactions[[#This Row],[L7N]],Transactions[[#This Row],[L6N]],Transactions[[#This Row],[L7N]]))))))))</f>
        <v>Used for electric boilers</v>
      </c>
      <c r="AW549" s="24" t="str">
        <f>IF(Transactions[[#This Row],[Level 4]]=Transactions[[#This Row],[Transaction name]],Transactions[[#This Row],[Transaction name]],IF(Transactions[[#This Row],[Level 4]]=Transactions[[#This Row],[L1N]],Transactions[[#This Row],[Transaction name]],IF(Transactions[[#This Row],[Level 4]]=Transactions[[#This Row],[L2N]],Transactions[[#This Row],[L1N]],IF(Transactions[[#This Row],[Level 4]]=Transactions[[#This Row],[L3N]],Transactions[[#This Row],[L2N]],IF(Transactions[[#This Row],[Level 4]]=Transactions[[#This Row],[L4N]],Transactions[[#This Row],[L3N]],IF(Transactions[[#This Row],[Level 4]]=Transactions[[#This Row],[L5N]],Transactions[[#This Row],[L4N]],IF(Transactions[[#This Row],[Level 4]]=Transactions[[#This Row],[L6N]],Transactions[[#This Row],[L5N]],IF(Transactions[[#This Row],[Level 4]]=Transactions[[#This Row],[L7N]],Transactions[[#This Row],[L6N]],Transactions[[#This Row],[L7N]]))))))))</f>
        <v>Used for electric boilers</v>
      </c>
      <c r="AX549" s="24" t="str">
        <f>IF(Transactions[[#This Row],[Level 5]]=Transactions[[#This Row],[Transaction name]],Transactions[[#This Row],[Transaction name]],IF(Transactions[[#This Row],[Level 5]]=Transactions[[#This Row],[L1N]],Transactions[[#This Row],[Transaction name]],IF(Transactions[[#This Row],[Level 5]]=Transactions[[#This Row],[L2N]],Transactions[[#This Row],[L1N]],IF(Transactions[[#This Row],[Level 5]]=Transactions[[#This Row],[L3N]],Transactions[[#This Row],[L2N]],IF(Transactions[[#This Row],[Level 5]]=Transactions[[#This Row],[L4N]],Transactions[[#This Row],[L3N]],IF(Transactions[[#This Row],[Level 5]]=Transactions[[#This Row],[L5N]],Transactions[[#This Row],[L4N]],IF(Transactions[[#This Row],[Level 5]]=Transactions[[#This Row],[L6N]],Transactions[[#This Row],[L5N]],IF(Transactions[[#This Row],[Level 5]]=Transactions[[#This Row],[L7N]],Transactions[[#This Row],[L6N]],Transactions[[#This Row],[L7N]]))))))))</f>
        <v>Used for electric boilers</v>
      </c>
      <c r="AY549" s="24" t="str">
        <f>IF(Transactions[[#This Row],[Level 6]]=Transactions[[#This Row],[Transaction name]],Transactions[[#This Row],[Transaction name]],IF(Transactions[[#This Row],[Level 6]]=Transactions[[#This Row],[L1N]],Transactions[[#This Row],[Transaction name]],IF(Transactions[[#This Row],[Level 6]]=Transactions[[#This Row],[L2N]],Transactions[[#This Row],[L1N]],IF(Transactions[[#This Row],[Level 6]]=Transactions[[#This Row],[L3N]],Transactions[[#This Row],[L2N]],IF(Transactions[[#This Row],[Level 6]]=Transactions[[#This Row],[L4N]],Transactions[[#This Row],[L3N]],IF(Transactions[[#This Row],[Level 6]]=Transactions[[#This Row],[L5N]],Transactions[[#This Row],[L4N]],IF(Transactions[[#This Row],[Level 6]]=Transactions[[#This Row],[L6N]],Transactions[[#This Row],[L5N]],IF(Transactions[[#This Row],[Level 6]]=Transactions[[#This Row],[L7N]],Transactions[[#This Row],[L6N]],Transactions[[#This Row],[L7N]]))))))))</f>
        <v>Used for electric boilers</v>
      </c>
    </row>
    <row r="550" spans="25:51" x14ac:dyDescent="0.45">
      <c r="Y550" s="5" t="s">
        <v>168</v>
      </c>
      <c r="Z550" s="4" t="s">
        <v>167</v>
      </c>
      <c r="AA550" s="4" t="s">
        <v>167</v>
      </c>
      <c r="AC550" s="24" t="str">
        <f>IFERROR(VLOOKUP(Transactions[[#This Row],[Parent code]],Transactions[[Transaction code]:[Transaction name]],2,0),"")</f>
        <v/>
      </c>
      <c r="AD550" s="4" t="s">
        <v>189</v>
      </c>
      <c r="AE550" s="4" t="s">
        <v>935</v>
      </c>
      <c r="AF550" s="4" t="s">
        <v>642</v>
      </c>
      <c r="AG550" s="4" t="s">
        <v>1</v>
      </c>
      <c r="AH550" s="4" t="s">
        <v>695</v>
      </c>
      <c r="AJ550" s="18" t="s">
        <v>0</v>
      </c>
      <c r="AK550" s="24" t="str" cm="1">
        <f t="array" ref="AK550">IFERROR(INDEX(Transactions[[Transaction code]:[Transaction name]],_xlfn.XMATCH(Transactions[[#This Row],[Parent code]],Transactions[Transaction name],0),3),Transactions[[#This Row],[Transaction name]])</f>
        <v>Used for heat pumps</v>
      </c>
      <c r="AL550" s="24" t="str" cm="1">
        <f t="array" ref="AL550">IFERROR(INDEX(Transactions[[Transaction code]:[Transaction name]],_xlfn.XMATCH(INDEX(Transactions[[Transaction name]:[Parent code]],_xlfn.XMATCH(Transactions[[#This Row],[L1N]],Transactions[Transaction name],0),3),Transactions[Transaction code],0),2),Transactions[[#This Row],[L1N]])</f>
        <v>Used for heat pumps</v>
      </c>
      <c r="AM550" s="24" t="str" cm="1">
        <f t="array" ref="AM550">IFERROR(INDEX(Transactions[[Transaction code]:[Transaction name]],_xlfn.XMATCH(INDEX(Transactions[[Transaction name]:[Parent code]],_xlfn.XMATCH(Transactions[[#This Row],[L2N]],Transactions[Transaction name],0),3),Transactions[Transaction code],0),2),Transactions[[#This Row],[L2N]])</f>
        <v>Used for heat pumps</v>
      </c>
      <c r="AN550" s="24" t="str" cm="1">
        <f t="array" ref="AN550">IFERROR(INDEX(Transactions[[Transaction code]:[Transaction name]],_xlfn.XMATCH(INDEX(Transactions[[Transaction name]:[Parent code]],_xlfn.XMATCH(Transactions[[#This Row],[L3N]],Transactions[Transaction name],0),3),Transactions[Transaction code],0),2),Transactions[[#This Row],[L3N]])</f>
        <v>Used for heat pumps</v>
      </c>
      <c r="AO550" s="24" t="str" cm="1">
        <f t="array" ref="AO550">IFERROR(INDEX(Transactions[[Transaction code]:[Transaction name]],_xlfn.XMATCH(INDEX(Transactions[[Transaction name]:[Parent code]],_xlfn.XMATCH(Transactions[[#This Row],[L4N]],Transactions[Transaction name],0),3),Transactions[Transaction code],0),2),Transactions[[#This Row],[L4N]])</f>
        <v>Used for heat pumps</v>
      </c>
      <c r="AP550" s="24" t="str" cm="1">
        <f t="array" ref="AP550">IFERROR(INDEX(Transactions[[Transaction code]:[Transaction name]],_xlfn.XMATCH(INDEX(Transactions[[Transaction name]:[Parent code]],_xlfn.XMATCH(Transactions[[#This Row],[L5N]],Transactions[Transaction name],0),3),Transactions[Transaction code],0),2),Transactions[[#This Row],[L5N]])</f>
        <v>Used for heat pumps</v>
      </c>
      <c r="AQ550" s="24" t="str" cm="1">
        <f t="array" ref="AQ550">IFERROR(INDEX(Transactions[[Transaction code]:[Transaction name]],_xlfn.XMATCH(INDEX(Transactions[[Transaction name]:[Parent code]],_xlfn.XMATCH(Transactions[[#This Row],[L6N]],Transactions[Transaction name],0),3),Transactions[Transaction code],0),2),Transactions[[#This Row],[L6N]])</f>
        <v>Used for heat pumps</v>
      </c>
      <c r="AR550" s="28" t="str">
        <f>IF(Transactions[[#This Row],[L7N]]=Transactions[[#This Row],[L6N]],Transactions[[#This Row],[L7N]],IF(Transactions[[#This Row],[L6N]]=Transactions[[#This Row],[L5N]],Transactions[[#This Row],[L6N]],IF(Transactions[[#This Row],[L5N]]=Transactions[[#This Row],[L4N]],Transactions[[#This Row],[L5N]],IF(Transactions[[#This Row],[L4N]]=Transactions[[#This Row],[L3N]],Transactions[[#This Row],[L4N]],IF(Transactions[[#This Row],[L3N]]=Transactions[[#This Row],[L2N]],Transactions[[#This Row],[L3N]],IF(Transactions[[#This Row],[L2N]]=Transactions[[#This Row],[L1N]],Transactions[[#This Row],[L2N]],IF(Transactions[[#This Row],[L1N]]=Transactions[[#This Row],[Transaction name]],Transactions[[#This Row],[L1N]],Transactions[[#This Row],[Transaction name]])))))))</f>
        <v>Used for heat pumps</v>
      </c>
      <c r="AS550" s="24" t="str">
        <f>IF(Transactions[[#This Row],[Level 0]]=Transactions[[#This Row],[Transaction name]],Transactions[[#This Row],[Transaction name]],IF(Transactions[[#This Row],[Level 0]]=Transactions[[#This Row],[L1N]],Transactions[[#This Row],[Transaction name]],IF(Transactions[[#This Row],[Level 0]]=Transactions[[#This Row],[L2N]],Transactions[[#This Row],[L1N]],IF(Transactions[[#This Row],[Level 0]]=Transactions[[#This Row],[L3N]],Transactions[[#This Row],[L2N]],IF(Transactions[[#This Row],[Level 0]]=Transactions[[#This Row],[L4N]],Transactions[[#This Row],[L3N]],IF(Transactions[[#This Row],[Level 0]]=Transactions[[#This Row],[L5N]],Transactions[[#This Row],[L4N]],IF(Transactions[[#This Row],[Level 0]]=Transactions[[#This Row],[L6N]],Transactions[[#This Row],[L5N]],IF(Transactions[[#This Row],[Level 0]]=Transactions[[#This Row],[L7N]],Transactions[[#This Row],[L6N]],Transactions[[#This Row],[L7N]]))))))))</f>
        <v>Used for heat pumps</v>
      </c>
      <c r="AT550" s="24" t="str">
        <f>IF(Transactions[[#This Row],[Level 1]]=Transactions[[#This Row],[Transaction name]],Transactions[[#This Row],[Transaction name]],IF(Transactions[[#This Row],[Level 1]]=Transactions[[#This Row],[L1N]],Transactions[[#This Row],[Transaction name]],IF(Transactions[[#This Row],[Level 1]]=Transactions[[#This Row],[L2N]],Transactions[[#This Row],[L1N]],IF(Transactions[[#This Row],[Level 1]]=Transactions[[#This Row],[L3N]],Transactions[[#This Row],[L2N]],IF(Transactions[[#This Row],[Level 1]]=Transactions[[#This Row],[L4N]],Transactions[[#This Row],[L3N]],IF(Transactions[[#This Row],[Level 1]]=Transactions[[#This Row],[L5N]],Transactions[[#This Row],[L4N]],IF(Transactions[[#This Row],[Level 1]]=Transactions[[#This Row],[L6N]],Transactions[[#This Row],[L5N]],IF(Transactions[[#This Row],[Level 1]]=Transactions[[#This Row],[L7N]],Transactions[[#This Row],[L6N]],Transactions[[#This Row],[L7N]]))))))))</f>
        <v>Used for heat pumps</v>
      </c>
      <c r="AU550" s="24" t="str">
        <f>IF(Transactions[[#This Row],[Level 2]]=Transactions[[#This Row],[Transaction name]],Transactions[[#This Row],[Transaction name]],IF(Transactions[[#This Row],[Level 2]]=Transactions[[#This Row],[L1N]],Transactions[[#This Row],[Transaction name]],IF(Transactions[[#This Row],[Level 2]]=Transactions[[#This Row],[L2N]],Transactions[[#This Row],[L1N]],IF(Transactions[[#This Row],[Level 2]]=Transactions[[#This Row],[L3N]],Transactions[[#This Row],[L2N]],IF(Transactions[[#This Row],[Level 2]]=Transactions[[#This Row],[L4N]],Transactions[[#This Row],[L3N]],IF(Transactions[[#This Row],[Level 2]]=Transactions[[#This Row],[L5N]],Transactions[[#This Row],[L4N]],IF(Transactions[[#This Row],[Level 2]]=Transactions[[#This Row],[L6N]],Transactions[[#This Row],[L5N]],IF(Transactions[[#This Row],[Level 2]]=Transactions[[#This Row],[L7N]],Transactions[[#This Row],[L6N]],Transactions[[#This Row],[L7N]]))))))))</f>
        <v>Used for heat pumps</v>
      </c>
      <c r="AV550" s="24" t="str">
        <f>IF(Transactions[[#This Row],[Level 3]]=Transactions[[#This Row],[Transaction name]],Transactions[[#This Row],[Transaction name]],IF(Transactions[[#This Row],[Level 3]]=Transactions[[#This Row],[L1N]],Transactions[[#This Row],[Transaction name]],IF(Transactions[[#This Row],[Level 3]]=Transactions[[#This Row],[L2N]],Transactions[[#This Row],[L1N]],IF(Transactions[[#This Row],[Level 3]]=Transactions[[#This Row],[L3N]],Transactions[[#This Row],[L2N]],IF(Transactions[[#This Row],[Level 3]]=Transactions[[#This Row],[L4N]],Transactions[[#This Row],[L3N]],IF(Transactions[[#This Row],[Level 3]]=Transactions[[#This Row],[L5N]],Transactions[[#This Row],[L4N]],IF(Transactions[[#This Row],[Level 3]]=Transactions[[#This Row],[L6N]],Transactions[[#This Row],[L5N]],IF(Transactions[[#This Row],[Level 3]]=Transactions[[#This Row],[L7N]],Transactions[[#This Row],[L6N]],Transactions[[#This Row],[L7N]]))))))))</f>
        <v>Used for heat pumps</v>
      </c>
      <c r="AW550" s="24" t="str">
        <f>IF(Transactions[[#This Row],[Level 4]]=Transactions[[#This Row],[Transaction name]],Transactions[[#This Row],[Transaction name]],IF(Transactions[[#This Row],[Level 4]]=Transactions[[#This Row],[L1N]],Transactions[[#This Row],[Transaction name]],IF(Transactions[[#This Row],[Level 4]]=Transactions[[#This Row],[L2N]],Transactions[[#This Row],[L1N]],IF(Transactions[[#This Row],[Level 4]]=Transactions[[#This Row],[L3N]],Transactions[[#This Row],[L2N]],IF(Transactions[[#This Row],[Level 4]]=Transactions[[#This Row],[L4N]],Transactions[[#This Row],[L3N]],IF(Transactions[[#This Row],[Level 4]]=Transactions[[#This Row],[L5N]],Transactions[[#This Row],[L4N]],IF(Transactions[[#This Row],[Level 4]]=Transactions[[#This Row],[L6N]],Transactions[[#This Row],[L5N]],IF(Transactions[[#This Row],[Level 4]]=Transactions[[#This Row],[L7N]],Transactions[[#This Row],[L6N]],Transactions[[#This Row],[L7N]]))))))))</f>
        <v>Used for heat pumps</v>
      </c>
      <c r="AX550" s="24" t="str">
        <f>IF(Transactions[[#This Row],[Level 5]]=Transactions[[#This Row],[Transaction name]],Transactions[[#This Row],[Transaction name]],IF(Transactions[[#This Row],[Level 5]]=Transactions[[#This Row],[L1N]],Transactions[[#This Row],[Transaction name]],IF(Transactions[[#This Row],[Level 5]]=Transactions[[#This Row],[L2N]],Transactions[[#This Row],[L1N]],IF(Transactions[[#This Row],[Level 5]]=Transactions[[#This Row],[L3N]],Transactions[[#This Row],[L2N]],IF(Transactions[[#This Row],[Level 5]]=Transactions[[#This Row],[L4N]],Transactions[[#This Row],[L3N]],IF(Transactions[[#This Row],[Level 5]]=Transactions[[#This Row],[L5N]],Transactions[[#This Row],[L4N]],IF(Transactions[[#This Row],[Level 5]]=Transactions[[#This Row],[L6N]],Transactions[[#This Row],[L5N]],IF(Transactions[[#This Row],[Level 5]]=Transactions[[#This Row],[L7N]],Transactions[[#This Row],[L6N]],Transactions[[#This Row],[L7N]]))))))))</f>
        <v>Used for heat pumps</v>
      </c>
      <c r="AY550" s="24" t="str">
        <f>IF(Transactions[[#This Row],[Level 6]]=Transactions[[#This Row],[Transaction name]],Transactions[[#This Row],[Transaction name]],IF(Transactions[[#This Row],[Level 6]]=Transactions[[#This Row],[L1N]],Transactions[[#This Row],[Transaction name]],IF(Transactions[[#This Row],[Level 6]]=Transactions[[#This Row],[L2N]],Transactions[[#This Row],[L1N]],IF(Transactions[[#This Row],[Level 6]]=Transactions[[#This Row],[L3N]],Transactions[[#This Row],[L2N]],IF(Transactions[[#This Row],[Level 6]]=Transactions[[#This Row],[L4N]],Transactions[[#This Row],[L3N]],IF(Transactions[[#This Row],[Level 6]]=Transactions[[#This Row],[L5N]],Transactions[[#This Row],[L4N]],IF(Transactions[[#This Row],[Level 6]]=Transactions[[#This Row],[L6N]],Transactions[[#This Row],[L5N]],IF(Transactions[[#This Row],[Level 6]]=Transactions[[#This Row],[L7N]],Transactions[[#This Row],[L6N]],Transactions[[#This Row],[L7N]]))))))))</f>
        <v>Used for heat pumps</v>
      </c>
    </row>
    <row r="551" spans="25:51" x14ac:dyDescent="0.45">
      <c r="Y551" s="19" t="s">
        <v>1665</v>
      </c>
      <c r="Z551" s="20" t="s">
        <v>1302</v>
      </c>
      <c r="AA551" s="18" t="s">
        <v>1407</v>
      </c>
      <c r="AB551" s="19" t="s">
        <v>1630</v>
      </c>
      <c r="AC551" s="26" t="str">
        <f>IFERROR(VLOOKUP(Transactions[[#This Row],[Parent code]],Transactions[[Transaction code]:[Transaction name]],2,0),"")</f>
        <v>CHP plants - Solar CSP</v>
      </c>
      <c r="AD551" s="18" t="s">
        <v>189</v>
      </c>
      <c r="AE551" s="18" t="s">
        <v>924</v>
      </c>
      <c r="AF551" s="18" t="s">
        <v>642</v>
      </c>
      <c r="AG551" s="18" t="s">
        <v>1</v>
      </c>
      <c r="AH551" s="18" t="s">
        <v>696</v>
      </c>
      <c r="AI551" s="18"/>
      <c r="AJ551" s="18"/>
      <c r="AK551" s="26" t="str" cm="1">
        <f t="array" ref="AK551">IFERROR(INDEX(Transactions[[Transaction code]:[Transaction name]],_xlfn.XMATCH(Transactions[[#This Row],[Parent code]],Transactions[Transaction name],0),3),Transactions[[#This Row],[Transaction name]])</f>
        <v>CHP plants - Autoproducer - Solar CSP</v>
      </c>
      <c r="AL551" s="26" t="str" cm="1">
        <f t="array" ref="AL551">IFERROR(INDEX(Transactions[[Transaction code]:[Transaction name]],_xlfn.XMATCH(INDEX(Transactions[[Transaction name]:[Parent code]],_xlfn.XMATCH(Transactions[[#This Row],[L1N]],Transactions[Transaction name],0),3),Transactions[Transaction code],0),2),Transactions[[#This Row],[L1N]])</f>
        <v>CHP plants - Solar CSP</v>
      </c>
      <c r="AM551" s="26" t="str" cm="1">
        <f t="array" ref="AM551">IFERROR(INDEX(Transactions[[Transaction code]:[Transaction name]],_xlfn.XMATCH(INDEX(Transactions[[Transaction name]:[Parent code]],_xlfn.XMATCH(Transactions[[#This Row],[L2N]],Transactions[Transaction name],0),3),Transactions[Transaction code],0),2),Transactions[[#This Row],[L2N]])</f>
        <v>CHP plants</v>
      </c>
      <c r="AN551" s="26" t="str" cm="1">
        <f t="array" ref="AN551">IFERROR(INDEX(Transactions[[Transaction code]:[Transaction name]],_xlfn.XMATCH(INDEX(Transactions[[Transaction name]:[Parent code]],_xlfn.XMATCH(Transactions[[#This Row],[L3N]],Transactions[Transaction name],0),3),Transactions[Transaction code],0),2),Transactions[[#This Row],[L3N]])</f>
        <v>Electricity, CHP and heat plants (T)</v>
      </c>
      <c r="AO551" s="26" t="str" cm="1">
        <f t="array" ref="AO551">IFERROR(INDEX(Transactions[[Transaction code]:[Transaction name]],_xlfn.XMATCH(INDEX(Transactions[[Transaction name]:[Parent code]],_xlfn.XMATCH(Transactions[[#This Row],[L4N]],Transactions[Transaction name],0),3),Transactions[Transaction code],0),2),Transactions[[#This Row],[L4N]])</f>
        <v>Transformation</v>
      </c>
      <c r="AP551" s="26" t="str" cm="1">
        <f t="array" ref="AP551">IFERROR(INDEX(Transactions[[Transaction code]:[Transaction name]],_xlfn.XMATCH(INDEX(Transactions[[Transaction name]:[Parent code]],_xlfn.XMATCH(Transactions[[#This Row],[L5N]],Transactions[Transaction name],0),3),Transactions[Transaction code],0),2),Transactions[[#This Row],[L5N]])</f>
        <v>Transformation</v>
      </c>
      <c r="AQ551" s="26" t="str" cm="1">
        <f t="array" ref="AQ551">IFERROR(INDEX(Transactions[[Transaction code]:[Transaction name]],_xlfn.XMATCH(INDEX(Transactions[[Transaction name]:[Parent code]],_xlfn.XMATCH(Transactions[[#This Row],[L6N]],Transactions[Transaction name],0),3),Transactions[Transaction code],0),2),Transactions[[#This Row],[L6N]])</f>
        <v>Transformation</v>
      </c>
      <c r="AR551" s="29" t="str">
        <f>IF(Transactions[[#This Row],[L7N]]=Transactions[[#This Row],[L6N]],Transactions[[#This Row],[L7N]],IF(Transactions[[#This Row],[L6N]]=Transactions[[#This Row],[L5N]],Transactions[[#This Row],[L6N]],IF(Transactions[[#This Row],[L5N]]=Transactions[[#This Row],[L4N]],Transactions[[#This Row],[L5N]],IF(Transactions[[#This Row],[L4N]]=Transactions[[#This Row],[L3N]],Transactions[[#This Row],[L4N]],IF(Transactions[[#This Row],[L3N]]=Transactions[[#This Row],[L2N]],Transactions[[#This Row],[L3N]],IF(Transactions[[#This Row],[L2N]]=Transactions[[#This Row],[L1N]],Transactions[[#This Row],[L2N]],IF(Transactions[[#This Row],[L1N]]=Transactions[[#This Row],[Transaction name]],Transactions[[#This Row],[L1N]],Transactions[[#This Row],[Transaction name]])))))))</f>
        <v>Transformation</v>
      </c>
      <c r="AS551" s="26" t="str">
        <f>IF(Transactions[[#This Row],[Level 0]]=Transactions[[#This Row],[Transaction name]],Transactions[[#This Row],[Transaction name]],IF(Transactions[[#This Row],[Level 0]]=Transactions[[#This Row],[L1N]],Transactions[[#This Row],[Transaction name]],IF(Transactions[[#This Row],[Level 0]]=Transactions[[#This Row],[L2N]],Transactions[[#This Row],[L1N]],IF(Transactions[[#This Row],[Level 0]]=Transactions[[#This Row],[L3N]],Transactions[[#This Row],[L2N]],IF(Transactions[[#This Row],[Level 0]]=Transactions[[#This Row],[L4N]],Transactions[[#This Row],[L3N]],IF(Transactions[[#This Row],[Level 0]]=Transactions[[#This Row],[L5N]],Transactions[[#This Row],[L4N]],IF(Transactions[[#This Row],[Level 0]]=Transactions[[#This Row],[L6N]],Transactions[[#This Row],[L5N]],IF(Transactions[[#This Row],[Level 0]]=Transactions[[#This Row],[L7N]],Transactions[[#This Row],[L6N]],Transactions[[#This Row],[L7N]]))))))))</f>
        <v>Electricity, CHP and heat plants (T)</v>
      </c>
      <c r="AT551" s="26" t="str">
        <f>IF(Transactions[[#This Row],[Level 1]]=Transactions[[#This Row],[Transaction name]],Transactions[[#This Row],[Transaction name]],IF(Transactions[[#This Row],[Level 1]]=Transactions[[#This Row],[L1N]],Transactions[[#This Row],[Transaction name]],IF(Transactions[[#This Row],[Level 1]]=Transactions[[#This Row],[L2N]],Transactions[[#This Row],[L1N]],IF(Transactions[[#This Row],[Level 1]]=Transactions[[#This Row],[L3N]],Transactions[[#This Row],[L2N]],IF(Transactions[[#This Row],[Level 1]]=Transactions[[#This Row],[L4N]],Transactions[[#This Row],[L3N]],IF(Transactions[[#This Row],[Level 1]]=Transactions[[#This Row],[L5N]],Transactions[[#This Row],[L4N]],IF(Transactions[[#This Row],[Level 1]]=Transactions[[#This Row],[L6N]],Transactions[[#This Row],[L5N]],IF(Transactions[[#This Row],[Level 1]]=Transactions[[#This Row],[L7N]],Transactions[[#This Row],[L6N]],Transactions[[#This Row],[L7N]]))))))))</f>
        <v>CHP plants</v>
      </c>
      <c r="AU551" s="26" t="str">
        <f>IF(Transactions[[#This Row],[Level 2]]=Transactions[[#This Row],[Transaction name]],Transactions[[#This Row],[Transaction name]],IF(Transactions[[#This Row],[Level 2]]=Transactions[[#This Row],[L1N]],Transactions[[#This Row],[Transaction name]],IF(Transactions[[#This Row],[Level 2]]=Transactions[[#This Row],[L2N]],Transactions[[#This Row],[L1N]],IF(Transactions[[#This Row],[Level 2]]=Transactions[[#This Row],[L3N]],Transactions[[#This Row],[L2N]],IF(Transactions[[#This Row],[Level 2]]=Transactions[[#This Row],[L4N]],Transactions[[#This Row],[L3N]],IF(Transactions[[#This Row],[Level 2]]=Transactions[[#This Row],[L5N]],Transactions[[#This Row],[L4N]],IF(Transactions[[#This Row],[Level 2]]=Transactions[[#This Row],[L6N]],Transactions[[#This Row],[L5N]],IF(Transactions[[#This Row],[Level 2]]=Transactions[[#This Row],[L7N]],Transactions[[#This Row],[L6N]],Transactions[[#This Row],[L7N]]))))))))</f>
        <v>CHP plants - Solar CSP</v>
      </c>
      <c r="AV551" s="26" t="str">
        <f>IF(Transactions[[#This Row],[Level 3]]=Transactions[[#This Row],[Transaction name]],Transactions[[#This Row],[Transaction name]],IF(Transactions[[#This Row],[Level 3]]=Transactions[[#This Row],[L1N]],Transactions[[#This Row],[Transaction name]],IF(Transactions[[#This Row],[Level 3]]=Transactions[[#This Row],[L2N]],Transactions[[#This Row],[L1N]],IF(Transactions[[#This Row],[Level 3]]=Transactions[[#This Row],[L3N]],Transactions[[#This Row],[L2N]],IF(Transactions[[#This Row],[Level 3]]=Transactions[[#This Row],[L4N]],Transactions[[#This Row],[L3N]],IF(Transactions[[#This Row],[Level 3]]=Transactions[[#This Row],[L5N]],Transactions[[#This Row],[L4N]],IF(Transactions[[#This Row],[Level 3]]=Transactions[[#This Row],[L6N]],Transactions[[#This Row],[L5N]],IF(Transactions[[#This Row],[Level 3]]=Transactions[[#This Row],[L7N]],Transactions[[#This Row],[L6N]],Transactions[[#This Row],[L7N]]))))))))</f>
        <v>CHP plants - Autoproducer - Solar CSP</v>
      </c>
      <c r="AW551" s="26" t="str">
        <f>IF(Transactions[[#This Row],[Level 4]]=Transactions[[#This Row],[Transaction name]],Transactions[[#This Row],[Transaction name]],IF(Transactions[[#This Row],[Level 4]]=Transactions[[#This Row],[L1N]],Transactions[[#This Row],[Transaction name]],IF(Transactions[[#This Row],[Level 4]]=Transactions[[#This Row],[L2N]],Transactions[[#This Row],[L1N]],IF(Transactions[[#This Row],[Level 4]]=Transactions[[#This Row],[L3N]],Transactions[[#This Row],[L2N]],IF(Transactions[[#This Row],[Level 4]]=Transactions[[#This Row],[L4N]],Transactions[[#This Row],[L3N]],IF(Transactions[[#This Row],[Level 4]]=Transactions[[#This Row],[L5N]],Transactions[[#This Row],[L4N]],IF(Transactions[[#This Row],[Level 4]]=Transactions[[#This Row],[L6N]],Transactions[[#This Row],[L5N]],IF(Transactions[[#This Row],[Level 4]]=Transactions[[#This Row],[L7N]],Transactions[[#This Row],[L6N]],Transactions[[#This Row],[L7N]]))))))))</f>
        <v>CHP plants - Autoproducer - Solar CSP</v>
      </c>
      <c r="AX551" s="26" t="str">
        <f>IF(Transactions[[#This Row],[Level 5]]=Transactions[[#This Row],[Transaction name]],Transactions[[#This Row],[Transaction name]],IF(Transactions[[#This Row],[Level 5]]=Transactions[[#This Row],[L1N]],Transactions[[#This Row],[Transaction name]],IF(Transactions[[#This Row],[Level 5]]=Transactions[[#This Row],[L2N]],Transactions[[#This Row],[L1N]],IF(Transactions[[#This Row],[Level 5]]=Transactions[[#This Row],[L3N]],Transactions[[#This Row],[L2N]],IF(Transactions[[#This Row],[Level 5]]=Transactions[[#This Row],[L4N]],Transactions[[#This Row],[L3N]],IF(Transactions[[#This Row],[Level 5]]=Transactions[[#This Row],[L5N]],Transactions[[#This Row],[L4N]],IF(Transactions[[#This Row],[Level 5]]=Transactions[[#This Row],[L6N]],Transactions[[#This Row],[L5N]],IF(Transactions[[#This Row],[Level 5]]=Transactions[[#This Row],[L7N]],Transactions[[#This Row],[L6N]],Transactions[[#This Row],[L7N]]))))))))</f>
        <v>CHP plants - Autoproducer - Solar CSP</v>
      </c>
      <c r="AY551" s="26" t="str">
        <f>IF(Transactions[[#This Row],[Level 6]]=Transactions[[#This Row],[Transaction name]],Transactions[[#This Row],[Transaction name]],IF(Transactions[[#This Row],[Level 6]]=Transactions[[#This Row],[L1N]],Transactions[[#This Row],[Transaction name]],IF(Transactions[[#This Row],[Level 6]]=Transactions[[#This Row],[L2N]],Transactions[[#This Row],[L1N]],IF(Transactions[[#This Row],[Level 6]]=Transactions[[#This Row],[L3N]],Transactions[[#This Row],[L2N]],IF(Transactions[[#This Row],[Level 6]]=Transactions[[#This Row],[L4N]],Transactions[[#This Row],[L3N]],IF(Transactions[[#This Row],[Level 6]]=Transactions[[#This Row],[L5N]],Transactions[[#This Row],[L4N]],IF(Transactions[[#This Row],[Level 6]]=Transactions[[#This Row],[L6N]],Transactions[[#This Row],[L5N]],IF(Transactions[[#This Row],[Level 6]]=Transactions[[#This Row],[L7N]],Transactions[[#This Row],[L6N]],Transactions[[#This Row],[L7N]]))))))))</f>
        <v>CHP plants - Autoproducer - Solar CSP</v>
      </c>
    </row>
    <row r="552" spans="25:51" x14ac:dyDescent="0.45">
      <c r="Y552" s="19" t="s">
        <v>1666</v>
      </c>
      <c r="Z552" s="20" t="s">
        <v>1298</v>
      </c>
      <c r="AA552" s="18" t="s">
        <v>1407</v>
      </c>
      <c r="AB552" s="19" t="s">
        <v>1630</v>
      </c>
      <c r="AC552" s="26" t="str">
        <f>IFERROR(VLOOKUP(Transactions[[#This Row],[Parent code]],Transactions[[Transaction code]:[Transaction name]],2,0),"")</f>
        <v>CHP plants - Solar CSP</v>
      </c>
      <c r="AD552" s="18" t="s">
        <v>189</v>
      </c>
      <c r="AE552" s="18" t="s">
        <v>924</v>
      </c>
      <c r="AF552" s="18" t="s">
        <v>642</v>
      </c>
      <c r="AG552" s="18" t="s">
        <v>1</v>
      </c>
      <c r="AH552" s="18" t="s">
        <v>696</v>
      </c>
      <c r="AI552" s="18"/>
      <c r="AJ552" s="18"/>
      <c r="AK552" s="26" t="str" cm="1">
        <f t="array" ref="AK552">IFERROR(INDEX(Transactions[[Transaction code]:[Transaction name]],_xlfn.XMATCH(Transactions[[#This Row],[Parent code]],Transactions[Transaction name],0),3),Transactions[[#This Row],[Transaction name]])</f>
        <v>CHP plants - Main activity - Solar CSP</v>
      </c>
      <c r="AL552" s="26" t="str" cm="1">
        <f t="array" ref="AL552">IFERROR(INDEX(Transactions[[Transaction code]:[Transaction name]],_xlfn.XMATCH(INDEX(Transactions[[Transaction name]:[Parent code]],_xlfn.XMATCH(Transactions[[#This Row],[L1N]],Transactions[Transaction name],0),3),Transactions[Transaction code],0),2),Transactions[[#This Row],[L1N]])</f>
        <v>CHP plants - Solar CSP</v>
      </c>
      <c r="AM552" s="26" t="str" cm="1">
        <f t="array" ref="AM552">IFERROR(INDEX(Transactions[[Transaction code]:[Transaction name]],_xlfn.XMATCH(INDEX(Transactions[[Transaction name]:[Parent code]],_xlfn.XMATCH(Transactions[[#This Row],[L2N]],Transactions[Transaction name],0),3),Transactions[Transaction code],0),2),Transactions[[#This Row],[L2N]])</f>
        <v>CHP plants</v>
      </c>
      <c r="AN552" s="26" t="str" cm="1">
        <f t="array" ref="AN552">IFERROR(INDEX(Transactions[[Transaction code]:[Transaction name]],_xlfn.XMATCH(INDEX(Transactions[[Transaction name]:[Parent code]],_xlfn.XMATCH(Transactions[[#This Row],[L3N]],Transactions[Transaction name],0),3),Transactions[Transaction code],0),2),Transactions[[#This Row],[L3N]])</f>
        <v>Electricity, CHP and heat plants (T)</v>
      </c>
      <c r="AO552" s="26" t="str" cm="1">
        <f t="array" ref="AO552">IFERROR(INDEX(Transactions[[Transaction code]:[Transaction name]],_xlfn.XMATCH(INDEX(Transactions[[Transaction name]:[Parent code]],_xlfn.XMATCH(Transactions[[#This Row],[L4N]],Transactions[Transaction name],0),3),Transactions[Transaction code],0),2),Transactions[[#This Row],[L4N]])</f>
        <v>Transformation</v>
      </c>
      <c r="AP552" s="26" t="str" cm="1">
        <f t="array" ref="AP552">IFERROR(INDEX(Transactions[[Transaction code]:[Transaction name]],_xlfn.XMATCH(INDEX(Transactions[[Transaction name]:[Parent code]],_xlfn.XMATCH(Transactions[[#This Row],[L5N]],Transactions[Transaction name],0),3),Transactions[Transaction code],0),2),Transactions[[#This Row],[L5N]])</f>
        <v>Transformation</v>
      </c>
      <c r="AQ552" s="26" t="str" cm="1">
        <f t="array" ref="AQ552">IFERROR(INDEX(Transactions[[Transaction code]:[Transaction name]],_xlfn.XMATCH(INDEX(Transactions[[Transaction name]:[Parent code]],_xlfn.XMATCH(Transactions[[#This Row],[L6N]],Transactions[Transaction name],0),3),Transactions[Transaction code],0),2),Transactions[[#This Row],[L6N]])</f>
        <v>Transformation</v>
      </c>
      <c r="AR552" s="30" t="str">
        <f>IF(Transactions[[#This Row],[L7N]]=Transactions[[#This Row],[L6N]],Transactions[[#This Row],[L7N]],IF(Transactions[[#This Row],[L6N]]=Transactions[[#This Row],[L5N]],Transactions[[#This Row],[L6N]],IF(Transactions[[#This Row],[L5N]]=Transactions[[#This Row],[L4N]],Transactions[[#This Row],[L5N]],IF(Transactions[[#This Row],[L4N]]=Transactions[[#This Row],[L3N]],Transactions[[#This Row],[L4N]],IF(Transactions[[#This Row],[L3N]]=Transactions[[#This Row],[L2N]],Transactions[[#This Row],[L3N]],IF(Transactions[[#This Row],[L2N]]=Transactions[[#This Row],[L1N]],Transactions[[#This Row],[L2N]],IF(Transactions[[#This Row],[L1N]]=Transactions[[#This Row],[Transaction name]],Transactions[[#This Row],[L1N]],Transactions[[#This Row],[Transaction name]])))))))</f>
        <v>Transformation</v>
      </c>
      <c r="AS552" s="26" t="str">
        <f>IF(Transactions[[#This Row],[Level 0]]=Transactions[[#This Row],[Transaction name]],Transactions[[#This Row],[Transaction name]],IF(Transactions[[#This Row],[Level 0]]=Transactions[[#This Row],[L1N]],Transactions[[#This Row],[Transaction name]],IF(Transactions[[#This Row],[Level 0]]=Transactions[[#This Row],[L2N]],Transactions[[#This Row],[L1N]],IF(Transactions[[#This Row],[Level 0]]=Transactions[[#This Row],[L3N]],Transactions[[#This Row],[L2N]],IF(Transactions[[#This Row],[Level 0]]=Transactions[[#This Row],[L4N]],Transactions[[#This Row],[L3N]],IF(Transactions[[#This Row],[Level 0]]=Transactions[[#This Row],[L5N]],Transactions[[#This Row],[L4N]],IF(Transactions[[#This Row],[Level 0]]=Transactions[[#This Row],[L6N]],Transactions[[#This Row],[L5N]],IF(Transactions[[#This Row],[Level 0]]=Transactions[[#This Row],[L7N]],Transactions[[#This Row],[L6N]],Transactions[[#This Row],[L7N]]))))))))</f>
        <v>Electricity, CHP and heat plants (T)</v>
      </c>
      <c r="AT552" s="26" t="str">
        <f>IF(Transactions[[#This Row],[Level 1]]=Transactions[[#This Row],[Transaction name]],Transactions[[#This Row],[Transaction name]],IF(Transactions[[#This Row],[Level 1]]=Transactions[[#This Row],[L1N]],Transactions[[#This Row],[Transaction name]],IF(Transactions[[#This Row],[Level 1]]=Transactions[[#This Row],[L2N]],Transactions[[#This Row],[L1N]],IF(Transactions[[#This Row],[Level 1]]=Transactions[[#This Row],[L3N]],Transactions[[#This Row],[L2N]],IF(Transactions[[#This Row],[Level 1]]=Transactions[[#This Row],[L4N]],Transactions[[#This Row],[L3N]],IF(Transactions[[#This Row],[Level 1]]=Transactions[[#This Row],[L5N]],Transactions[[#This Row],[L4N]],IF(Transactions[[#This Row],[Level 1]]=Transactions[[#This Row],[L6N]],Transactions[[#This Row],[L5N]],IF(Transactions[[#This Row],[Level 1]]=Transactions[[#This Row],[L7N]],Transactions[[#This Row],[L6N]],Transactions[[#This Row],[L7N]]))))))))</f>
        <v>CHP plants</v>
      </c>
      <c r="AU552" s="26" t="str">
        <f>IF(Transactions[[#This Row],[Level 2]]=Transactions[[#This Row],[Transaction name]],Transactions[[#This Row],[Transaction name]],IF(Transactions[[#This Row],[Level 2]]=Transactions[[#This Row],[L1N]],Transactions[[#This Row],[Transaction name]],IF(Transactions[[#This Row],[Level 2]]=Transactions[[#This Row],[L2N]],Transactions[[#This Row],[L1N]],IF(Transactions[[#This Row],[Level 2]]=Transactions[[#This Row],[L3N]],Transactions[[#This Row],[L2N]],IF(Transactions[[#This Row],[Level 2]]=Transactions[[#This Row],[L4N]],Transactions[[#This Row],[L3N]],IF(Transactions[[#This Row],[Level 2]]=Transactions[[#This Row],[L5N]],Transactions[[#This Row],[L4N]],IF(Transactions[[#This Row],[Level 2]]=Transactions[[#This Row],[L6N]],Transactions[[#This Row],[L5N]],IF(Transactions[[#This Row],[Level 2]]=Transactions[[#This Row],[L7N]],Transactions[[#This Row],[L6N]],Transactions[[#This Row],[L7N]]))))))))</f>
        <v>CHP plants - Solar CSP</v>
      </c>
      <c r="AV552" s="26" t="str">
        <f>IF(Transactions[[#This Row],[Level 3]]=Transactions[[#This Row],[Transaction name]],Transactions[[#This Row],[Transaction name]],IF(Transactions[[#This Row],[Level 3]]=Transactions[[#This Row],[L1N]],Transactions[[#This Row],[Transaction name]],IF(Transactions[[#This Row],[Level 3]]=Transactions[[#This Row],[L2N]],Transactions[[#This Row],[L1N]],IF(Transactions[[#This Row],[Level 3]]=Transactions[[#This Row],[L3N]],Transactions[[#This Row],[L2N]],IF(Transactions[[#This Row],[Level 3]]=Transactions[[#This Row],[L4N]],Transactions[[#This Row],[L3N]],IF(Transactions[[#This Row],[Level 3]]=Transactions[[#This Row],[L5N]],Transactions[[#This Row],[L4N]],IF(Transactions[[#This Row],[Level 3]]=Transactions[[#This Row],[L6N]],Transactions[[#This Row],[L5N]],IF(Transactions[[#This Row],[Level 3]]=Transactions[[#This Row],[L7N]],Transactions[[#This Row],[L6N]],Transactions[[#This Row],[L7N]]))))))))</f>
        <v>CHP plants - Main activity - Solar CSP</v>
      </c>
      <c r="AW552" s="26" t="str">
        <f>IF(Transactions[[#This Row],[Level 4]]=Transactions[[#This Row],[Transaction name]],Transactions[[#This Row],[Transaction name]],IF(Transactions[[#This Row],[Level 4]]=Transactions[[#This Row],[L1N]],Transactions[[#This Row],[Transaction name]],IF(Transactions[[#This Row],[Level 4]]=Transactions[[#This Row],[L2N]],Transactions[[#This Row],[L1N]],IF(Transactions[[#This Row],[Level 4]]=Transactions[[#This Row],[L3N]],Transactions[[#This Row],[L2N]],IF(Transactions[[#This Row],[Level 4]]=Transactions[[#This Row],[L4N]],Transactions[[#This Row],[L3N]],IF(Transactions[[#This Row],[Level 4]]=Transactions[[#This Row],[L5N]],Transactions[[#This Row],[L4N]],IF(Transactions[[#This Row],[Level 4]]=Transactions[[#This Row],[L6N]],Transactions[[#This Row],[L5N]],IF(Transactions[[#This Row],[Level 4]]=Transactions[[#This Row],[L7N]],Transactions[[#This Row],[L6N]],Transactions[[#This Row],[L7N]]))))))))</f>
        <v>CHP plants - Main activity - Solar CSP</v>
      </c>
      <c r="AX552" s="26" t="str">
        <f>IF(Transactions[[#This Row],[Level 5]]=Transactions[[#This Row],[Transaction name]],Transactions[[#This Row],[Transaction name]],IF(Transactions[[#This Row],[Level 5]]=Transactions[[#This Row],[L1N]],Transactions[[#This Row],[Transaction name]],IF(Transactions[[#This Row],[Level 5]]=Transactions[[#This Row],[L2N]],Transactions[[#This Row],[L1N]],IF(Transactions[[#This Row],[Level 5]]=Transactions[[#This Row],[L3N]],Transactions[[#This Row],[L2N]],IF(Transactions[[#This Row],[Level 5]]=Transactions[[#This Row],[L4N]],Transactions[[#This Row],[L3N]],IF(Transactions[[#This Row],[Level 5]]=Transactions[[#This Row],[L5N]],Transactions[[#This Row],[L4N]],IF(Transactions[[#This Row],[Level 5]]=Transactions[[#This Row],[L6N]],Transactions[[#This Row],[L5N]],IF(Transactions[[#This Row],[Level 5]]=Transactions[[#This Row],[L7N]],Transactions[[#This Row],[L6N]],Transactions[[#This Row],[L7N]]))))))))</f>
        <v>CHP plants - Main activity - Solar CSP</v>
      </c>
      <c r="AY552" s="26" t="str">
        <f>IF(Transactions[[#This Row],[Level 6]]=Transactions[[#This Row],[Transaction name]],Transactions[[#This Row],[Transaction name]],IF(Transactions[[#This Row],[Level 6]]=Transactions[[#This Row],[L1N]],Transactions[[#This Row],[Transaction name]],IF(Transactions[[#This Row],[Level 6]]=Transactions[[#This Row],[L2N]],Transactions[[#This Row],[L1N]],IF(Transactions[[#This Row],[Level 6]]=Transactions[[#This Row],[L3N]],Transactions[[#This Row],[L2N]],IF(Transactions[[#This Row],[Level 6]]=Transactions[[#This Row],[L4N]],Transactions[[#This Row],[L3N]],IF(Transactions[[#This Row],[Level 6]]=Transactions[[#This Row],[L5N]],Transactions[[#This Row],[L4N]],IF(Transactions[[#This Row],[Level 6]]=Transactions[[#This Row],[L6N]],Transactions[[#This Row],[L5N]],IF(Transactions[[#This Row],[Level 6]]=Transactions[[#This Row],[L7N]],Transactions[[#This Row],[L6N]],Transactions[[#This Row],[L7N]]))))))))</f>
        <v>CHP plants - Main activity - Solar CSP</v>
      </c>
    </row>
  </sheetData>
  <phoneticPr fontId="6" type="noConversion"/>
  <conditionalFormatting sqref="K4:K104">
    <cfRule type="duplicateValues" dxfId="372" priority="216"/>
  </conditionalFormatting>
  <conditionalFormatting sqref="Z294:Z297">
    <cfRule type="duplicateValues" dxfId="371" priority="626"/>
  </conditionalFormatting>
  <conditionalFormatting sqref="Z298:Z301">
    <cfRule type="duplicateValues" dxfId="370" priority="625"/>
  </conditionalFormatting>
  <conditionalFormatting sqref="Z302:Z305">
    <cfRule type="duplicateValues" dxfId="369" priority="623"/>
  </conditionalFormatting>
  <conditionalFormatting sqref="Z302:Z309">
    <cfRule type="duplicateValues" dxfId="368" priority="624"/>
  </conditionalFormatting>
  <conditionalFormatting sqref="Z306:Z309">
    <cfRule type="duplicateValues" dxfId="367" priority="622"/>
  </conditionalFormatting>
  <conditionalFormatting sqref="Z310:Z313">
    <cfRule type="duplicateValues" dxfId="366" priority="619"/>
  </conditionalFormatting>
  <conditionalFormatting sqref="Z310:Z317">
    <cfRule type="duplicateValues" dxfId="365" priority="620"/>
    <cfRule type="duplicateValues" dxfId="364" priority="621"/>
  </conditionalFormatting>
  <conditionalFormatting sqref="Z314:Z317">
    <cfRule type="duplicateValues" dxfId="363" priority="618"/>
  </conditionalFormatting>
  <conditionalFormatting sqref="Z318:Z321">
    <cfRule type="duplicateValues" dxfId="362" priority="614"/>
  </conditionalFormatting>
  <conditionalFormatting sqref="Z318:Z325">
    <cfRule type="duplicateValues" dxfId="361" priority="615"/>
    <cfRule type="duplicateValues" dxfId="360" priority="616"/>
    <cfRule type="duplicateValues" dxfId="359" priority="617"/>
  </conditionalFormatting>
  <conditionalFormatting sqref="Z322:Z325">
    <cfRule type="duplicateValues" dxfId="358" priority="613"/>
  </conditionalFormatting>
  <conditionalFormatting sqref="Z326:Z329">
    <cfRule type="duplicateValues" dxfId="357" priority="608"/>
  </conditionalFormatting>
  <conditionalFormatting sqref="Z326:Z333">
    <cfRule type="duplicateValues" dxfId="356" priority="609"/>
    <cfRule type="duplicateValues" dxfId="355" priority="610"/>
    <cfRule type="duplicateValues" dxfId="354" priority="611"/>
    <cfRule type="duplicateValues" dxfId="353" priority="612"/>
  </conditionalFormatting>
  <conditionalFormatting sqref="Z330:Z333">
    <cfRule type="duplicateValues" dxfId="352" priority="607"/>
  </conditionalFormatting>
  <conditionalFormatting sqref="Z334:Z337">
    <cfRule type="duplicateValues" dxfId="351" priority="601"/>
  </conditionalFormatting>
  <conditionalFormatting sqref="Z334:Z341">
    <cfRule type="duplicateValues" dxfId="350" priority="602"/>
    <cfRule type="duplicateValues" dxfId="349" priority="603"/>
    <cfRule type="duplicateValues" dxfId="348" priority="604"/>
    <cfRule type="duplicateValues" dxfId="347" priority="605"/>
    <cfRule type="duplicateValues" dxfId="346" priority="606"/>
  </conditionalFormatting>
  <conditionalFormatting sqref="Z338:Z341">
    <cfRule type="duplicateValues" dxfId="345" priority="600"/>
  </conditionalFormatting>
  <conditionalFormatting sqref="Z342:Z345">
    <cfRule type="duplicateValues" dxfId="344" priority="592"/>
  </conditionalFormatting>
  <conditionalFormatting sqref="Z342:Z349">
    <cfRule type="duplicateValues" dxfId="343" priority="593"/>
    <cfRule type="duplicateValues" dxfId="342" priority="594"/>
    <cfRule type="duplicateValues" dxfId="341" priority="595"/>
    <cfRule type="duplicateValues" dxfId="340" priority="596"/>
    <cfRule type="duplicateValues" dxfId="339" priority="597"/>
    <cfRule type="duplicateValues" dxfId="338" priority="598"/>
  </conditionalFormatting>
  <conditionalFormatting sqref="Z346:Z349">
    <cfRule type="duplicateValues" dxfId="337" priority="591"/>
  </conditionalFormatting>
  <conditionalFormatting sqref="Z350:Z353">
    <cfRule type="duplicateValues" dxfId="336" priority="583"/>
  </conditionalFormatting>
  <conditionalFormatting sqref="Z350:Z357">
    <cfRule type="duplicateValues" dxfId="335" priority="584"/>
    <cfRule type="duplicateValues" dxfId="334" priority="585"/>
    <cfRule type="duplicateValues" dxfId="333" priority="586"/>
    <cfRule type="duplicateValues" dxfId="332" priority="587"/>
    <cfRule type="duplicateValues" dxfId="331" priority="588"/>
    <cfRule type="duplicateValues" dxfId="330" priority="589"/>
    <cfRule type="duplicateValues" dxfId="329" priority="590"/>
  </conditionalFormatting>
  <conditionalFormatting sqref="Z354:Z357">
    <cfRule type="duplicateValues" dxfId="328" priority="582"/>
  </conditionalFormatting>
  <conditionalFormatting sqref="Z358:Z361">
    <cfRule type="duplicateValues" dxfId="327" priority="574"/>
  </conditionalFormatting>
  <conditionalFormatting sqref="Z358:Z365">
    <cfRule type="duplicateValues" dxfId="326" priority="575"/>
    <cfRule type="duplicateValues" dxfId="325" priority="576"/>
    <cfRule type="duplicateValues" dxfId="324" priority="577"/>
    <cfRule type="duplicateValues" dxfId="323" priority="578"/>
    <cfRule type="duplicateValues" dxfId="322" priority="579"/>
    <cfRule type="duplicateValues" dxfId="321" priority="580"/>
    <cfRule type="duplicateValues" dxfId="320" priority="581"/>
  </conditionalFormatting>
  <conditionalFormatting sqref="Z362:Z365">
    <cfRule type="duplicateValues" dxfId="319" priority="573"/>
  </conditionalFormatting>
  <conditionalFormatting sqref="Z366:Z369">
    <cfRule type="duplicateValues" dxfId="318" priority="564"/>
  </conditionalFormatting>
  <conditionalFormatting sqref="Z366:Z373">
    <cfRule type="duplicateValues" dxfId="317" priority="565"/>
    <cfRule type="duplicateValues" dxfId="316" priority="566"/>
    <cfRule type="duplicateValues" dxfId="315" priority="567"/>
    <cfRule type="duplicateValues" dxfId="314" priority="568"/>
    <cfRule type="duplicateValues" dxfId="313" priority="569"/>
    <cfRule type="duplicateValues" dxfId="312" priority="570"/>
    <cfRule type="duplicateValues" dxfId="311" priority="571"/>
    <cfRule type="duplicateValues" dxfId="310" priority="572"/>
  </conditionalFormatting>
  <conditionalFormatting sqref="Z370:Z373">
    <cfRule type="duplicateValues" dxfId="309" priority="563"/>
  </conditionalFormatting>
  <conditionalFormatting sqref="Z374:Z377">
    <cfRule type="duplicateValues" dxfId="308" priority="553"/>
  </conditionalFormatting>
  <conditionalFormatting sqref="Z374:Z381">
    <cfRule type="duplicateValues" dxfId="307" priority="554"/>
    <cfRule type="duplicateValues" dxfId="306" priority="555"/>
    <cfRule type="duplicateValues" dxfId="305" priority="556"/>
    <cfRule type="duplicateValues" dxfId="304" priority="557"/>
    <cfRule type="duplicateValues" dxfId="303" priority="558"/>
    <cfRule type="duplicateValues" dxfId="302" priority="559"/>
    <cfRule type="duplicateValues" dxfId="301" priority="560"/>
    <cfRule type="duplicateValues" dxfId="300" priority="561"/>
    <cfRule type="duplicateValues" dxfId="299" priority="562"/>
  </conditionalFormatting>
  <conditionalFormatting sqref="Z378:Z381">
    <cfRule type="duplicateValues" dxfId="298" priority="552"/>
  </conditionalFormatting>
  <conditionalFormatting sqref="Z382:Z385">
    <cfRule type="duplicateValues" dxfId="297" priority="541"/>
  </conditionalFormatting>
  <conditionalFormatting sqref="Z382:Z389">
    <cfRule type="duplicateValues" dxfId="296" priority="542"/>
    <cfRule type="duplicateValues" dxfId="295" priority="543"/>
    <cfRule type="duplicateValues" dxfId="294" priority="544"/>
    <cfRule type="duplicateValues" dxfId="293" priority="545"/>
    <cfRule type="duplicateValues" dxfId="292" priority="546"/>
    <cfRule type="duplicateValues" dxfId="291" priority="547"/>
    <cfRule type="duplicateValues" dxfId="290" priority="548"/>
    <cfRule type="duplicateValues" dxfId="289" priority="549"/>
    <cfRule type="duplicateValues" dxfId="288" priority="550"/>
    <cfRule type="duplicateValues" dxfId="287" priority="551"/>
  </conditionalFormatting>
  <conditionalFormatting sqref="Z386:Z389">
    <cfRule type="duplicateValues" dxfId="286" priority="540"/>
  </conditionalFormatting>
  <conditionalFormatting sqref="Z390:Z393">
    <cfRule type="duplicateValues" dxfId="285" priority="528"/>
  </conditionalFormatting>
  <conditionalFormatting sqref="Z390:Z397">
    <cfRule type="duplicateValues" dxfId="284" priority="529"/>
    <cfRule type="duplicateValues" dxfId="283" priority="530"/>
    <cfRule type="duplicateValues" dxfId="282" priority="531"/>
    <cfRule type="duplicateValues" dxfId="281" priority="532"/>
    <cfRule type="duplicateValues" dxfId="280" priority="533"/>
    <cfRule type="duplicateValues" dxfId="279" priority="534"/>
    <cfRule type="duplicateValues" dxfId="278" priority="535"/>
    <cfRule type="duplicateValues" dxfId="277" priority="536"/>
    <cfRule type="duplicateValues" dxfId="276" priority="537"/>
    <cfRule type="duplicateValues" dxfId="275" priority="538"/>
    <cfRule type="duplicateValues" dxfId="274" priority="539"/>
  </conditionalFormatting>
  <conditionalFormatting sqref="Z394:Z397">
    <cfRule type="duplicateValues" dxfId="273" priority="527"/>
  </conditionalFormatting>
  <conditionalFormatting sqref="Z398:Z401">
    <cfRule type="duplicateValues" dxfId="272" priority="514"/>
  </conditionalFormatting>
  <conditionalFormatting sqref="Z398:Z405">
    <cfRule type="duplicateValues" dxfId="271" priority="515"/>
    <cfRule type="duplicateValues" dxfId="270" priority="516"/>
    <cfRule type="duplicateValues" dxfId="269" priority="517"/>
    <cfRule type="duplicateValues" dxfId="268" priority="518"/>
    <cfRule type="duplicateValues" dxfId="267" priority="519"/>
    <cfRule type="duplicateValues" dxfId="266" priority="520"/>
    <cfRule type="duplicateValues" dxfId="265" priority="521"/>
    <cfRule type="duplicateValues" dxfId="264" priority="522"/>
    <cfRule type="duplicateValues" dxfId="263" priority="523"/>
    <cfRule type="duplicateValues" dxfId="262" priority="524"/>
    <cfRule type="duplicateValues" dxfId="261" priority="525"/>
    <cfRule type="duplicateValues" dxfId="260" priority="526"/>
  </conditionalFormatting>
  <conditionalFormatting sqref="Z402:Z405">
    <cfRule type="duplicateValues" dxfId="259" priority="513"/>
  </conditionalFormatting>
  <conditionalFormatting sqref="Z406:Z409">
    <cfRule type="duplicateValues" dxfId="258" priority="499"/>
  </conditionalFormatting>
  <conditionalFormatting sqref="Z406:Z413">
    <cfRule type="duplicateValues" dxfId="257" priority="500"/>
    <cfRule type="duplicateValues" dxfId="256" priority="501"/>
    <cfRule type="duplicateValues" dxfId="255" priority="502"/>
    <cfRule type="duplicateValues" dxfId="254" priority="503"/>
    <cfRule type="duplicateValues" dxfId="253" priority="504"/>
    <cfRule type="duplicateValues" dxfId="252" priority="505"/>
    <cfRule type="duplicateValues" dxfId="251" priority="506"/>
    <cfRule type="duplicateValues" dxfId="250" priority="507"/>
    <cfRule type="duplicateValues" dxfId="249" priority="508"/>
    <cfRule type="duplicateValues" dxfId="248" priority="509"/>
    <cfRule type="duplicateValues" dxfId="247" priority="510"/>
    <cfRule type="duplicateValues" dxfId="246" priority="511"/>
    <cfRule type="duplicateValues" dxfId="245" priority="512"/>
  </conditionalFormatting>
  <conditionalFormatting sqref="Z410:Z413">
    <cfRule type="duplicateValues" dxfId="244" priority="498"/>
  </conditionalFormatting>
  <conditionalFormatting sqref="Z414:Z417">
    <cfRule type="duplicateValues" dxfId="243" priority="483"/>
  </conditionalFormatting>
  <conditionalFormatting sqref="Z414:Z421">
    <cfRule type="duplicateValues" dxfId="242" priority="484"/>
    <cfRule type="duplicateValues" dxfId="241" priority="485"/>
    <cfRule type="duplicateValues" dxfId="240" priority="486"/>
    <cfRule type="duplicateValues" dxfId="239" priority="487"/>
    <cfRule type="duplicateValues" dxfId="238" priority="488"/>
    <cfRule type="duplicateValues" dxfId="237" priority="489"/>
    <cfRule type="duplicateValues" dxfId="236" priority="490"/>
    <cfRule type="duplicateValues" dxfId="235" priority="491"/>
    <cfRule type="duplicateValues" dxfId="234" priority="492"/>
    <cfRule type="duplicateValues" dxfId="233" priority="493"/>
    <cfRule type="duplicateValues" dxfId="232" priority="494"/>
    <cfRule type="duplicateValues" dxfId="231" priority="495"/>
    <cfRule type="duplicateValues" dxfId="230" priority="496"/>
    <cfRule type="duplicateValues" dxfId="229" priority="497"/>
  </conditionalFormatting>
  <conditionalFormatting sqref="Z418:Z421">
    <cfRule type="duplicateValues" dxfId="228" priority="482"/>
  </conditionalFormatting>
  <conditionalFormatting sqref="Z422:Z425">
    <cfRule type="duplicateValues" dxfId="227" priority="466"/>
  </conditionalFormatting>
  <conditionalFormatting sqref="Z422:Z429">
    <cfRule type="duplicateValues" dxfId="226" priority="467"/>
    <cfRule type="duplicateValues" dxfId="225" priority="468"/>
    <cfRule type="duplicateValues" dxfId="224" priority="469"/>
    <cfRule type="duplicateValues" dxfId="223" priority="470"/>
    <cfRule type="duplicateValues" dxfId="222" priority="471"/>
    <cfRule type="duplicateValues" dxfId="221" priority="472"/>
    <cfRule type="duplicateValues" dxfId="220" priority="473"/>
    <cfRule type="duplicateValues" dxfId="219" priority="474"/>
    <cfRule type="duplicateValues" dxfId="218" priority="475"/>
    <cfRule type="duplicateValues" dxfId="217" priority="476"/>
    <cfRule type="duplicateValues" dxfId="216" priority="477"/>
    <cfRule type="duplicateValues" dxfId="215" priority="478"/>
    <cfRule type="duplicateValues" dxfId="214" priority="479"/>
    <cfRule type="duplicateValues" dxfId="213" priority="480"/>
    <cfRule type="duplicateValues" dxfId="212" priority="481"/>
  </conditionalFormatting>
  <conditionalFormatting sqref="Z426:Z429">
    <cfRule type="duplicateValues" dxfId="211" priority="465"/>
  </conditionalFormatting>
  <conditionalFormatting sqref="Z430:Z433">
    <cfRule type="duplicateValues" dxfId="210" priority="448"/>
  </conditionalFormatting>
  <conditionalFormatting sqref="Z430:Z437">
    <cfRule type="duplicateValues" dxfId="209" priority="449"/>
    <cfRule type="duplicateValues" dxfId="208" priority="450"/>
    <cfRule type="duplicateValues" dxfId="207" priority="451"/>
    <cfRule type="duplicateValues" dxfId="206" priority="452"/>
    <cfRule type="duplicateValues" dxfId="205" priority="453"/>
    <cfRule type="duplicateValues" dxfId="204" priority="454"/>
    <cfRule type="duplicateValues" dxfId="203" priority="455"/>
    <cfRule type="duplicateValues" dxfId="202" priority="456"/>
    <cfRule type="duplicateValues" dxfId="201" priority="457"/>
    <cfRule type="duplicateValues" dxfId="200" priority="458"/>
    <cfRule type="duplicateValues" dxfId="199" priority="459"/>
    <cfRule type="duplicateValues" dxfId="198" priority="460"/>
    <cfRule type="duplicateValues" dxfId="197" priority="461"/>
    <cfRule type="duplicateValues" dxfId="196" priority="462"/>
    <cfRule type="duplicateValues" dxfId="195" priority="463"/>
    <cfRule type="duplicateValues" dxfId="194" priority="464"/>
  </conditionalFormatting>
  <conditionalFormatting sqref="Z434:Z437">
    <cfRule type="duplicateValues" dxfId="193" priority="447"/>
  </conditionalFormatting>
  <conditionalFormatting sqref="Z438:Z441">
    <cfRule type="duplicateValues" dxfId="192" priority="429"/>
  </conditionalFormatting>
  <conditionalFormatting sqref="Z438:Z445">
    <cfRule type="duplicateValues" dxfId="191" priority="430"/>
    <cfRule type="duplicateValues" dxfId="190" priority="431"/>
    <cfRule type="duplicateValues" dxfId="189" priority="432"/>
    <cfRule type="duplicateValues" dxfId="188" priority="433"/>
    <cfRule type="duplicateValues" dxfId="187" priority="434"/>
    <cfRule type="duplicateValues" dxfId="186" priority="435"/>
    <cfRule type="duplicateValues" dxfId="185" priority="436"/>
    <cfRule type="duplicateValues" dxfId="184" priority="437"/>
    <cfRule type="duplicateValues" dxfId="183" priority="438"/>
    <cfRule type="duplicateValues" dxfId="182" priority="439"/>
    <cfRule type="duplicateValues" dxfId="181" priority="440"/>
    <cfRule type="duplicateValues" dxfId="180" priority="441"/>
    <cfRule type="duplicateValues" dxfId="179" priority="442"/>
    <cfRule type="duplicateValues" dxfId="178" priority="443"/>
    <cfRule type="duplicateValues" dxfId="177" priority="444"/>
    <cfRule type="duplicateValues" dxfId="176" priority="445"/>
    <cfRule type="duplicateValues" dxfId="175" priority="446"/>
  </conditionalFormatting>
  <conditionalFormatting sqref="Z442:Z445">
    <cfRule type="duplicateValues" dxfId="174" priority="428"/>
  </conditionalFormatting>
  <conditionalFormatting sqref="AH4:AI552">
    <cfRule type="cellIs" dxfId="173" priority="636" operator="equal">
      <formula>"Negative"</formula>
    </cfRule>
    <cfRule type="cellIs" dxfId="172" priority="637" operator="equal">
      <formula>"Positive"</formula>
    </cfRule>
  </conditionalFormatting>
  <conditionalFormatting sqref="BE243">
    <cfRule type="duplicateValues" dxfId="171" priority="426"/>
  </conditionalFormatting>
  <conditionalFormatting sqref="BE242">
    <cfRule type="duplicateValues" dxfId="170" priority="427"/>
  </conditionalFormatting>
  <conditionalFormatting sqref="AB469">
    <cfRule type="duplicateValues" dxfId="169" priority="1996"/>
  </conditionalFormatting>
  <conditionalFormatting sqref="AB547">
    <cfRule type="duplicateValues" dxfId="168" priority="2530"/>
  </conditionalFormatting>
  <conditionalFormatting sqref="AB550">
    <cfRule type="duplicateValues" dxfId="167" priority="2538"/>
  </conditionalFormatting>
  <conditionalFormatting sqref="Z4:Z445">
    <cfRule type="duplicateValues" dxfId="166" priority="2571"/>
  </conditionalFormatting>
  <conditionalFormatting sqref="AB40:AB41">
    <cfRule type="duplicateValues" dxfId="165" priority="204"/>
  </conditionalFormatting>
  <conditionalFormatting sqref="AB43:AB44">
    <cfRule type="duplicateValues" dxfId="164" priority="202"/>
  </conditionalFormatting>
  <conditionalFormatting sqref="AB46:AB47">
    <cfRule type="duplicateValues" dxfId="163" priority="201"/>
  </conditionalFormatting>
  <conditionalFormatting sqref="AB49:AB50">
    <cfRule type="duplicateValues" dxfId="162" priority="200"/>
  </conditionalFormatting>
  <conditionalFormatting sqref="AB52:AB53">
    <cfRule type="duplicateValues" dxfId="161" priority="199"/>
  </conditionalFormatting>
  <conditionalFormatting sqref="AB55:AB56">
    <cfRule type="duplicateValues" dxfId="160" priority="198"/>
  </conditionalFormatting>
  <conditionalFormatting sqref="AB18">
    <cfRule type="duplicateValues" dxfId="159" priority="194"/>
  </conditionalFormatting>
  <conditionalFormatting sqref="AB21">
    <cfRule type="duplicateValues" dxfId="158" priority="193"/>
  </conditionalFormatting>
  <conditionalFormatting sqref="AB24">
    <cfRule type="duplicateValues" dxfId="157" priority="192"/>
  </conditionalFormatting>
  <conditionalFormatting sqref="AB27">
    <cfRule type="duplicateValues" dxfId="156" priority="191"/>
  </conditionalFormatting>
  <conditionalFormatting sqref="AB30">
    <cfRule type="duplicateValues" dxfId="155" priority="190"/>
  </conditionalFormatting>
  <conditionalFormatting sqref="AB33">
    <cfRule type="duplicateValues" dxfId="154" priority="189"/>
  </conditionalFormatting>
  <conditionalFormatting sqref="AB36">
    <cfRule type="duplicateValues" dxfId="153" priority="188"/>
  </conditionalFormatting>
  <conditionalFormatting sqref="AB39">
    <cfRule type="duplicateValues" dxfId="152" priority="187"/>
  </conditionalFormatting>
  <conditionalFormatting sqref="AB42">
    <cfRule type="duplicateValues" dxfId="151" priority="186"/>
  </conditionalFormatting>
  <conditionalFormatting sqref="AB45">
    <cfRule type="duplicateValues" dxfId="150" priority="185"/>
  </conditionalFormatting>
  <conditionalFormatting sqref="AB48">
    <cfRule type="duplicateValues" dxfId="149" priority="184"/>
  </conditionalFormatting>
  <conditionalFormatting sqref="AB51">
    <cfRule type="duplicateValues" dxfId="148" priority="183"/>
  </conditionalFormatting>
  <conditionalFormatting sqref="AB54">
    <cfRule type="duplicateValues" dxfId="147" priority="182"/>
  </conditionalFormatting>
  <conditionalFormatting sqref="AB57">
    <cfRule type="duplicateValues" dxfId="146" priority="181"/>
  </conditionalFormatting>
  <conditionalFormatting sqref="AB58 AB61 AB64 AB67 AB70 AB73 AB76 AB79 AB82 AB85 AB88 AB91 AB94">
    <cfRule type="duplicateValues" dxfId="145" priority="180"/>
  </conditionalFormatting>
  <conditionalFormatting sqref="AB59:AB60">
    <cfRule type="duplicateValues" dxfId="144" priority="179"/>
  </conditionalFormatting>
  <conditionalFormatting sqref="AB62:AB63">
    <cfRule type="duplicateValues" dxfId="143" priority="178"/>
  </conditionalFormatting>
  <conditionalFormatting sqref="AB65:AB66">
    <cfRule type="duplicateValues" dxfId="142" priority="177"/>
  </conditionalFormatting>
  <conditionalFormatting sqref="AB68:AB69">
    <cfRule type="duplicateValues" dxfId="141" priority="176"/>
  </conditionalFormatting>
  <conditionalFormatting sqref="AB71:AB72">
    <cfRule type="duplicateValues" dxfId="140" priority="175"/>
  </conditionalFormatting>
  <conditionalFormatting sqref="AB74:AB75">
    <cfRule type="duplicateValues" dxfId="139" priority="174"/>
  </conditionalFormatting>
  <conditionalFormatting sqref="AB77:AB78">
    <cfRule type="duplicateValues" dxfId="138" priority="173"/>
  </conditionalFormatting>
  <conditionalFormatting sqref="AB80:AB81">
    <cfRule type="duplicateValues" dxfId="137" priority="172"/>
  </conditionalFormatting>
  <conditionalFormatting sqref="AB83:AB84">
    <cfRule type="duplicateValues" dxfId="136" priority="171"/>
  </conditionalFormatting>
  <conditionalFormatting sqref="AB86:AB87">
    <cfRule type="duplicateValues" dxfId="135" priority="170"/>
  </conditionalFormatting>
  <conditionalFormatting sqref="AB89:AB90">
    <cfRule type="duplicateValues" dxfId="134" priority="169"/>
  </conditionalFormatting>
  <conditionalFormatting sqref="AB92:AB93">
    <cfRule type="duplicateValues" dxfId="133" priority="168"/>
  </conditionalFormatting>
  <conditionalFormatting sqref="AB131:AB132">
    <cfRule type="duplicateValues" dxfId="132" priority="158"/>
  </conditionalFormatting>
  <conditionalFormatting sqref="AB134:AB135">
    <cfRule type="duplicateValues" dxfId="131" priority="157"/>
  </conditionalFormatting>
  <conditionalFormatting sqref="AB137:AB138">
    <cfRule type="duplicateValues" dxfId="130" priority="156"/>
  </conditionalFormatting>
  <conditionalFormatting sqref="AB140:AB141">
    <cfRule type="duplicateValues" dxfId="129" priority="155"/>
  </conditionalFormatting>
  <conditionalFormatting sqref="AB143:AB144">
    <cfRule type="duplicateValues" dxfId="128" priority="154"/>
  </conditionalFormatting>
  <conditionalFormatting sqref="AB146:AB147">
    <cfRule type="duplicateValues" dxfId="127" priority="153"/>
  </conditionalFormatting>
  <conditionalFormatting sqref="AB149:AB150">
    <cfRule type="duplicateValues" dxfId="126" priority="152"/>
  </conditionalFormatting>
  <conditionalFormatting sqref="AB152:AB153">
    <cfRule type="duplicateValues" dxfId="125" priority="151"/>
  </conditionalFormatting>
  <conditionalFormatting sqref="AB155:AB156">
    <cfRule type="duplicateValues" dxfId="124" priority="150"/>
  </conditionalFormatting>
  <conditionalFormatting sqref="AB158:AB159">
    <cfRule type="duplicateValues" dxfId="123" priority="149"/>
  </conditionalFormatting>
  <conditionalFormatting sqref="AB161:AB162">
    <cfRule type="duplicateValues" dxfId="122" priority="148"/>
  </conditionalFormatting>
  <conditionalFormatting sqref="AB164:AB165">
    <cfRule type="duplicateValues" dxfId="121" priority="147"/>
  </conditionalFormatting>
  <conditionalFormatting sqref="AB167:AB168">
    <cfRule type="duplicateValues" dxfId="120" priority="146"/>
  </conditionalFormatting>
  <conditionalFormatting sqref="AB170:AB171">
    <cfRule type="duplicateValues" dxfId="119" priority="145"/>
  </conditionalFormatting>
  <conditionalFormatting sqref="AB174:AB175">
    <cfRule type="duplicateValues" dxfId="118" priority="144"/>
  </conditionalFormatting>
  <conditionalFormatting sqref="AB177:AB178">
    <cfRule type="duplicateValues" dxfId="117" priority="143"/>
  </conditionalFormatting>
  <conditionalFormatting sqref="AB180:AB181">
    <cfRule type="duplicateValues" dxfId="116" priority="142"/>
  </conditionalFormatting>
  <conditionalFormatting sqref="AB183:AB184">
    <cfRule type="duplicateValues" dxfId="115" priority="141"/>
  </conditionalFormatting>
  <conditionalFormatting sqref="AB186:AB187">
    <cfRule type="duplicateValues" dxfId="114" priority="140"/>
  </conditionalFormatting>
  <conditionalFormatting sqref="AB189:AB190">
    <cfRule type="duplicateValues" dxfId="113" priority="139"/>
  </conditionalFormatting>
  <conditionalFormatting sqref="AB192:AB193">
    <cfRule type="duplicateValues" dxfId="112" priority="138"/>
  </conditionalFormatting>
  <conditionalFormatting sqref="AB197:AB198">
    <cfRule type="duplicateValues" dxfId="111" priority="137"/>
  </conditionalFormatting>
  <conditionalFormatting sqref="AB200:AB201">
    <cfRule type="duplicateValues" dxfId="110" priority="136"/>
  </conditionalFormatting>
  <conditionalFormatting sqref="AB203:AB204">
    <cfRule type="duplicateValues" dxfId="109" priority="135"/>
  </conditionalFormatting>
  <conditionalFormatting sqref="AB206:AB207">
    <cfRule type="duplicateValues" dxfId="108" priority="134"/>
  </conditionalFormatting>
  <conditionalFormatting sqref="AB209:AB210">
    <cfRule type="duplicateValues" dxfId="107" priority="133"/>
  </conditionalFormatting>
  <conditionalFormatting sqref="AB212:AB213">
    <cfRule type="duplicateValues" dxfId="106" priority="132"/>
  </conditionalFormatting>
  <conditionalFormatting sqref="AB215:AB216">
    <cfRule type="duplicateValues" dxfId="105" priority="131"/>
  </conditionalFormatting>
  <conditionalFormatting sqref="AB321 AB324 AB327 AB330 AB332 AB335 AB338 AB340 AB343 AB346 AB349 AB352 AB355 AB357 AB360 AB363:AB364 AB367 AB370 AB372 AB375 AB378 AB381 AB384 AB387 AB390 AB393 AB396">
    <cfRule type="duplicateValues" dxfId="104" priority="130"/>
  </conditionalFormatting>
  <conditionalFormatting sqref="AB322:AB323">
    <cfRule type="duplicateValues" dxfId="103" priority="129"/>
  </conditionalFormatting>
  <conditionalFormatting sqref="AB325:AB326">
    <cfRule type="duplicateValues" dxfId="102" priority="128"/>
  </conditionalFormatting>
  <conditionalFormatting sqref="AB328:AB329">
    <cfRule type="duplicateValues" dxfId="101" priority="127"/>
  </conditionalFormatting>
  <conditionalFormatting sqref="AB331">
    <cfRule type="duplicateValues" dxfId="100" priority="126"/>
  </conditionalFormatting>
  <conditionalFormatting sqref="AB333:AB334">
    <cfRule type="duplicateValues" dxfId="99" priority="125"/>
  </conditionalFormatting>
  <conditionalFormatting sqref="AB336:AB337">
    <cfRule type="duplicateValues" dxfId="98" priority="124"/>
  </conditionalFormatting>
  <conditionalFormatting sqref="AB339">
    <cfRule type="duplicateValues" dxfId="97" priority="123"/>
  </conditionalFormatting>
  <conditionalFormatting sqref="AB341:AB342">
    <cfRule type="duplicateValues" dxfId="96" priority="122"/>
  </conditionalFormatting>
  <conditionalFormatting sqref="AB344:AB345">
    <cfRule type="duplicateValues" dxfId="95" priority="121"/>
  </conditionalFormatting>
  <conditionalFormatting sqref="AB347:AB348">
    <cfRule type="duplicateValues" dxfId="94" priority="120"/>
  </conditionalFormatting>
  <conditionalFormatting sqref="AB350:AB351">
    <cfRule type="duplicateValues" dxfId="93" priority="119"/>
  </conditionalFormatting>
  <conditionalFormatting sqref="AB353:AB354">
    <cfRule type="duplicateValues" dxfId="92" priority="118"/>
  </conditionalFormatting>
  <conditionalFormatting sqref="AB356">
    <cfRule type="duplicateValues" dxfId="91" priority="117"/>
  </conditionalFormatting>
  <conditionalFormatting sqref="AB358:AB359">
    <cfRule type="duplicateValues" dxfId="90" priority="116"/>
  </conditionalFormatting>
  <conditionalFormatting sqref="AB361:AB362">
    <cfRule type="duplicateValues" dxfId="89" priority="115"/>
  </conditionalFormatting>
  <conditionalFormatting sqref="AB365:AB366">
    <cfRule type="duplicateValues" dxfId="88" priority="114"/>
  </conditionalFormatting>
  <conditionalFormatting sqref="AB368:AB369">
    <cfRule type="duplicateValues" dxfId="87" priority="113"/>
  </conditionalFormatting>
  <conditionalFormatting sqref="AB371">
    <cfRule type="duplicateValues" dxfId="86" priority="112"/>
  </conditionalFormatting>
  <conditionalFormatting sqref="AB373:AB374">
    <cfRule type="duplicateValues" dxfId="85" priority="111"/>
  </conditionalFormatting>
  <conditionalFormatting sqref="AB376:AB377">
    <cfRule type="duplicateValues" dxfId="84" priority="110"/>
  </conditionalFormatting>
  <conditionalFormatting sqref="AB379:AB380">
    <cfRule type="duplicateValues" dxfId="83" priority="109"/>
  </conditionalFormatting>
  <conditionalFormatting sqref="AB382:AB383">
    <cfRule type="duplicateValues" dxfId="82" priority="108"/>
  </conditionalFormatting>
  <conditionalFormatting sqref="AB385:AB386">
    <cfRule type="duplicateValues" dxfId="81" priority="107"/>
  </conditionalFormatting>
  <conditionalFormatting sqref="AB388:AB389">
    <cfRule type="duplicateValues" dxfId="80" priority="106"/>
  </conditionalFormatting>
  <conditionalFormatting sqref="AB391:AB392">
    <cfRule type="duplicateValues" dxfId="79" priority="105"/>
  </conditionalFormatting>
  <conditionalFormatting sqref="AB394:AB395">
    <cfRule type="duplicateValues" dxfId="78" priority="104"/>
  </conditionalFormatting>
  <conditionalFormatting sqref="I4:I104">
    <cfRule type="duplicateValues" dxfId="77" priority="103"/>
  </conditionalFormatting>
  <conditionalFormatting sqref="Z335">
    <cfRule type="duplicateValues" dxfId="76" priority="98"/>
    <cfRule type="duplicateValues" dxfId="75" priority="99"/>
    <cfRule type="duplicateValues" dxfId="74" priority="100"/>
    <cfRule type="duplicateValues" dxfId="73" priority="101"/>
  </conditionalFormatting>
  <conditionalFormatting sqref="Z335">
    <cfRule type="duplicateValues" dxfId="72" priority="97"/>
  </conditionalFormatting>
  <conditionalFormatting sqref="AB427:AB447">
    <cfRule type="duplicateValues" dxfId="71" priority="96"/>
  </conditionalFormatting>
  <conditionalFormatting sqref="AB449:AB452">
    <cfRule type="duplicateValues" dxfId="70" priority="95"/>
  </conditionalFormatting>
  <conditionalFormatting sqref="AB474:AB496">
    <cfRule type="duplicateValues" dxfId="69" priority="94"/>
  </conditionalFormatting>
  <conditionalFormatting sqref="AB519:AB540">
    <cfRule type="duplicateValues" dxfId="68" priority="92"/>
  </conditionalFormatting>
  <conditionalFormatting sqref="AB542:AB544">
    <cfRule type="duplicateValues" dxfId="67" priority="91"/>
  </conditionalFormatting>
  <conditionalFormatting sqref="AA218:AA235">
    <cfRule type="duplicateValues" dxfId="66" priority="88"/>
  </conditionalFormatting>
  <conditionalFormatting sqref="AA218:AA235">
    <cfRule type="duplicateValues" dxfId="65" priority="87"/>
  </conditionalFormatting>
  <conditionalFormatting sqref="BE268">
    <cfRule type="duplicateValues" dxfId="64" priority="86"/>
  </conditionalFormatting>
  <conditionalFormatting sqref="BE270">
    <cfRule type="duplicateValues" dxfId="63" priority="85"/>
  </conditionalFormatting>
  <conditionalFormatting sqref="BE272">
    <cfRule type="duplicateValues" dxfId="62" priority="84"/>
  </conditionalFormatting>
  <conditionalFormatting sqref="BE274">
    <cfRule type="duplicateValues" dxfId="61" priority="83"/>
  </conditionalFormatting>
  <conditionalFormatting sqref="BE276">
    <cfRule type="duplicateValues" dxfId="60" priority="82"/>
  </conditionalFormatting>
  <conditionalFormatting sqref="BE278">
    <cfRule type="duplicateValues" dxfId="59" priority="81"/>
  </conditionalFormatting>
  <conditionalFormatting sqref="BE280">
    <cfRule type="duplicateValues" dxfId="58" priority="80"/>
  </conditionalFormatting>
  <conditionalFormatting sqref="BE282">
    <cfRule type="duplicateValues" dxfId="57" priority="79"/>
  </conditionalFormatting>
  <conditionalFormatting sqref="BE284">
    <cfRule type="duplicateValues" dxfId="56" priority="78"/>
  </conditionalFormatting>
  <conditionalFormatting sqref="BE286">
    <cfRule type="duplicateValues" dxfId="55" priority="77"/>
  </conditionalFormatting>
  <conditionalFormatting sqref="BE288">
    <cfRule type="duplicateValues" dxfId="54" priority="75"/>
  </conditionalFormatting>
  <conditionalFormatting sqref="AA209">
    <cfRule type="duplicateValues" dxfId="53" priority="60"/>
  </conditionalFormatting>
  <conditionalFormatting sqref="AA209">
    <cfRule type="duplicateValues" dxfId="52" priority="59"/>
  </conditionalFormatting>
  <conditionalFormatting sqref="AA106">
    <cfRule type="duplicateValues" dxfId="51" priority="58"/>
  </conditionalFormatting>
  <conditionalFormatting sqref="AA106">
    <cfRule type="duplicateValues" dxfId="50" priority="57"/>
  </conditionalFormatting>
  <conditionalFormatting sqref="BQ366:BR366">
    <cfRule type="duplicateValues" dxfId="49" priority="56"/>
  </conditionalFormatting>
  <conditionalFormatting sqref="AB19">
    <cfRule type="duplicateValues" dxfId="48" priority="55"/>
  </conditionalFormatting>
  <conditionalFormatting sqref="AH551:AI552">
    <cfRule type="cellIs" dxfId="47" priority="53" operator="equal">
      <formula>"Negative"</formula>
    </cfRule>
    <cfRule type="cellIs" dxfId="46" priority="54" operator="equal">
      <formula>"Positive"</formula>
    </cfRule>
  </conditionalFormatting>
  <conditionalFormatting sqref="AB498:AB504">
    <cfRule type="duplicateValues" dxfId="45" priority="2612"/>
  </conditionalFormatting>
  <conditionalFormatting sqref="Y4:Y552">
    <cfRule type="duplicateValues" dxfId="44" priority="2614"/>
  </conditionalFormatting>
  <conditionalFormatting sqref="Z4:Z552">
    <cfRule type="duplicateValues" dxfId="43" priority="2616"/>
  </conditionalFormatting>
  <conditionalFormatting sqref="BQ367:BR368">
    <cfRule type="duplicateValues" dxfId="42" priority="52"/>
  </conditionalFormatting>
  <conditionalFormatting sqref="BQ369:BR369">
    <cfRule type="duplicateValues" dxfId="41" priority="51"/>
  </conditionalFormatting>
  <conditionalFormatting sqref="BQ370:BR370">
    <cfRule type="duplicateValues" dxfId="40" priority="50"/>
  </conditionalFormatting>
  <conditionalFormatting sqref="BQ371:BR371">
    <cfRule type="duplicateValues" dxfId="39" priority="49"/>
  </conditionalFormatting>
  <conditionalFormatting sqref="BQ374:BR376">
    <cfRule type="duplicateValues" dxfId="38" priority="48"/>
  </conditionalFormatting>
  <conditionalFormatting sqref="BQ374:BR374">
    <cfRule type="duplicateValues" dxfId="37" priority="47"/>
  </conditionalFormatting>
  <conditionalFormatting sqref="BQ405:BR405">
    <cfRule type="duplicateValues" dxfId="36" priority="46"/>
  </conditionalFormatting>
  <conditionalFormatting sqref="BQ416:BR416">
    <cfRule type="duplicateValues" dxfId="35" priority="45"/>
  </conditionalFormatting>
  <conditionalFormatting sqref="BQ417:BR417">
    <cfRule type="duplicateValues" dxfId="34" priority="44"/>
  </conditionalFormatting>
  <conditionalFormatting sqref="BQ417:BR417">
    <cfRule type="duplicateValues" dxfId="33" priority="43"/>
  </conditionalFormatting>
  <conditionalFormatting sqref="BQ418:BR418">
    <cfRule type="duplicateValues" dxfId="32" priority="41"/>
  </conditionalFormatting>
  <conditionalFormatting sqref="BQ418:BR419">
    <cfRule type="duplicateValues" dxfId="31" priority="42"/>
  </conditionalFormatting>
  <conditionalFormatting sqref="BQ420:BR420">
    <cfRule type="duplicateValues" dxfId="30" priority="36"/>
  </conditionalFormatting>
  <conditionalFormatting sqref="BQ420:BR421">
    <cfRule type="duplicateValues" dxfId="29" priority="37"/>
  </conditionalFormatting>
  <conditionalFormatting sqref="BQ422:BR422">
    <cfRule type="duplicateValues" dxfId="28" priority="33"/>
  </conditionalFormatting>
  <conditionalFormatting sqref="BQ423:BR423">
    <cfRule type="duplicateValues" dxfId="27" priority="32"/>
  </conditionalFormatting>
  <conditionalFormatting sqref="BQ437:BR437">
    <cfRule type="duplicateValues" dxfId="26" priority="29"/>
  </conditionalFormatting>
  <conditionalFormatting sqref="BQ438:BR438">
    <cfRule type="duplicateValues" dxfId="25" priority="28"/>
  </conditionalFormatting>
  <conditionalFormatting sqref="BQ439:BR440">
    <cfRule type="duplicateValues" dxfId="24" priority="27"/>
  </conditionalFormatting>
  <conditionalFormatting sqref="BQ441:BR442">
    <cfRule type="duplicateValues" dxfId="23" priority="25"/>
  </conditionalFormatting>
  <conditionalFormatting sqref="BQ444:BR445">
    <cfRule type="duplicateValues" dxfId="22" priority="23"/>
  </conditionalFormatting>
  <conditionalFormatting sqref="BQ447:BR448">
    <cfRule type="duplicateValues" dxfId="21" priority="21"/>
  </conditionalFormatting>
  <conditionalFormatting sqref="BQ451:BR452">
    <cfRule type="duplicateValues" dxfId="20" priority="17"/>
  </conditionalFormatting>
  <conditionalFormatting sqref="BQ424:BR429">
    <cfRule type="duplicateValues" dxfId="19" priority="2636"/>
  </conditionalFormatting>
  <conditionalFormatting sqref="BQ430:BR436">
    <cfRule type="duplicateValues" dxfId="18" priority="2639"/>
  </conditionalFormatting>
  <conditionalFormatting sqref="BQ443:BR443">
    <cfRule type="duplicateValues" dxfId="17" priority="2643"/>
  </conditionalFormatting>
  <conditionalFormatting sqref="BQ446:BR446">
    <cfRule type="duplicateValues" dxfId="16" priority="2645"/>
  </conditionalFormatting>
  <conditionalFormatting sqref="BQ449:BR449">
    <cfRule type="duplicateValues" dxfId="15" priority="2647"/>
  </conditionalFormatting>
  <conditionalFormatting sqref="BQ450:BR450">
    <cfRule type="duplicateValues" dxfId="14" priority="2649"/>
  </conditionalFormatting>
  <conditionalFormatting sqref="BQ458:BR458">
    <cfRule type="duplicateValues" dxfId="13" priority="2651"/>
  </conditionalFormatting>
  <conditionalFormatting sqref="BQ457:BR457">
    <cfRule type="duplicateValues" dxfId="12" priority="2654"/>
  </conditionalFormatting>
  <conditionalFormatting sqref="BQ456:BR456">
    <cfRule type="duplicateValues" dxfId="11" priority="2657"/>
  </conditionalFormatting>
  <conditionalFormatting sqref="BQ455:BR455">
    <cfRule type="duplicateValues" dxfId="10" priority="2660"/>
  </conditionalFormatting>
  <conditionalFormatting sqref="BQ454:BR454">
    <cfRule type="duplicateValues" dxfId="9" priority="2663"/>
  </conditionalFormatting>
  <conditionalFormatting sqref="BQ453:BR453">
    <cfRule type="duplicateValues" dxfId="8" priority="2666"/>
  </conditionalFormatting>
  <conditionalFormatting sqref="BQ4:BR463">
    <cfRule type="duplicateValues" dxfId="7" priority="2668"/>
  </conditionalFormatting>
  <conditionalFormatting sqref="BQ459:BR459">
    <cfRule type="duplicateValues" dxfId="6" priority="4"/>
  </conditionalFormatting>
  <conditionalFormatting sqref="BQ460:BR461">
    <cfRule type="duplicateValues" dxfId="3" priority="3"/>
  </conditionalFormatting>
  <conditionalFormatting sqref="BQ462:BR463">
    <cfRule type="duplicateValues" dxfId="2" priority="2"/>
  </conditionalFormatting>
  <conditionalFormatting sqref="BQ462:BR463">
    <cfRule type="duplicateValues" dxfId="1" priority="1"/>
  </conditionalFormatting>
  <dataValidations count="2">
    <dataValidation type="list" allowBlank="1" showInputMessage="1" showErrorMessage="1" sqref="BL4:BL463 BY4:BY100 BO4:BO463" xr:uid="{5C77E810-EA85-4E2C-9ABD-8F06AE561ABC}">
      <formula1>INDIRECT("Transactions[Transaction name]")</formula1>
    </dataValidation>
    <dataValidation type="list" allowBlank="1" showInputMessage="1" showErrorMessage="1" sqref="BW4:BW100 BM4:BM463 BJ4:BJ463" xr:uid="{FBEBD3CF-2E3F-4063-AD99-0CC5AEA4600D}">
      <formula1>INDIRECT("Commodities[Commodity]")</formula1>
    </dataValidation>
  </dataValidations>
  <pageMargins left="0.7" right="0.7" top="0.75" bottom="0.75" header="0.3" footer="0.3"/>
  <pageSetup paperSize="9" orientation="portrait" r:id="rId1"/>
  <legacyDrawing r:id="rId2"/>
  <tableParts count="7">
    <tablePart r:id="rId3"/>
    <tablePart r:id="rId4"/>
    <tablePart r:id="rId5"/>
    <tablePart r:id="rId6"/>
    <tablePart r:id="rId7"/>
    <tablePart r:id="rId8"/>
    <tablePart r:id="rId9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038A8D-C23F-4EA5-8EE3-420B83CC7B40}">
  <dimension ref="B2:D631"/>
  <sheetViews>
    <sheetView showGridLines="0" workbookViewId="0">
      <selection activeCell="D3" sqref="D3"/>
    </sheetView>
  </sheetViews>
  <sheetFormatPr defaultRowHeight="14.25" x14ac:dyDescent="0.45"/>
  <cols>
    <col min="2" max="2" width="42.1328125" customWidth="1"/>
    <col min="3" max="3" width="18" customWidth="1"/>
    <col min="4" max="4" width="72.86328125" customWidth="1"/>
  </cols>
  <sheetData>
    <row r="2" spans="2:4" x14ac:dyDescent="0.45">
      <c r="B2" t="s">
        <v>830</v>
      </c>
      <c r="C2" t="s">
        <v>599</v>
      </c>
      <c r="D2" t="s">
        <v>831</v>
      </c>
    </row>
    <row r="3" spans="2:4" x14ac:dyDescent="0.45">
      <c r="B3" t="s">
        <v>612</v>
      </c>
      <c r="C3" t="s">
        <v>612</v>
      </c>
      <c r="D3" t="str">
        <f>_xlfn.XLOOKUP(TransactionCleanup[[#This Row],[Transaction code]],Transactions[Transaction code],Transactions[Transaction name],,0,)</f>
        <v>Agriculture forestry and fishing (S)</v>
      </c>
    </row>
    <row r="4" spans="2:4" x14ac:dyDescent="0.45">
      <c r="B4" t="s">
        <v>832</v>
      </c>
      <c r="C4" t="s">
        <v>612</v>
      </c>
      <c r="D4" t="str">
        <f>_xlfn.XLOOKUP(TransactionCleanup[[#This Row],[Transaction code]],Transactions[Transaction code],Transactions[Transaction name],,0,)</f>
        <v>Agriculture forestry and fishing (S)</v>
      </c>
    </row>
    <row r="5" spans="2:4" x14ac:dyDescent="0.45">
      <c r="B5" t="s">
        <v>834</v>
      </c>
      <c r="C5" t="s">
        <v>612</v>
      </c>
      <c r="D5" t="str">
        <f>_xlfn.XLOOKUP(TransactionCleanup[[#This Row],[Transaction code]],Transactions[Transaction code],Transactions[Transaction name],,0,)</f>
        <v>Agriculture forestry and fishing (S)</v>
      </c>
    </row>
    <row r="6" spans="2:4" x14ac:dyDescent="0.45">
      <c r="B6" t="s">
        <v>765</v>
      </c>
      <c r="C6" t="s">
        <v>612</v>
      </c>
      <c r="D6" t="str">
        <f>_xlfn.XLOOKUP(TransactionCleanup[[#This Row],[Transaction code]],Transactions[Transaction code],Transactions[Transaction name],,0,)</f>
        <v>Agriculture forestry and fishing (S)</v>
      </c>
    </row>
    <row r="7" spans="2:4" x14ac:dyDescent="0.45">
      <c r="B7" s="2" t="s">
        <v>103</v>
      </c>
      <c r="C7" s="2" t="s">
        <v>103</v>
      </c>
      <c r="D7" t="str">
        <f>_xlfn.XLOOKUP(TransactionCleanup[[#This Row],[Transaction code]],Transactions[Transaction code],Transactions[Transaction name],,0,)</f>
        <v>Agriculture, forestry and fishing</v>
      </c>
    </row>
    <row r="8" spans="2:4" x14ac:dyDescent="0.45">
      <c r="B8" t="s">
        <v>403</v>
      </c>
      <c r="C8" s="2" t="s">
        <v>103</v>
      </c>
      <c r="D8" t="str">
        <f>_xlfn.XLOOKUP(TransactionCleanup[[#This Row],[Transaction code]],Transactions[Transaction code],Transactions[Transaction name],,0,)</f>
        <v>Agriculture, forestry and fishing</v>
      </c>
    </row>
    <row r="9" spans="2:4" x14ac:dyDescent="0.45">
      <c r="B9" t="s">
        <v>737</v>
      </c>
      <c r="C9" t="s">
        <v>404</v>
      </c>
      <c r="D9" t="str">
        <f>_xlfn.XLOOKUP(TransactionCleanup[[#This Row],[Transaction code]],Transactions[Transaction code],Transactions[Transaction name],,0,)</f>
        <v>Agriculture, forestry and fishing (S)</v>
      </c>
    </row>
    <row r="10" spans="2:4" x14ac:dyDescent="0.45">
      <c r="B10" t="s">
        <v>404</v>
      </c>
      <c r="C10" t="s">
        <v>404</v>
      </c>
      <c r="D10" t="str">
        <f>_xlfn.XLOOKUP(TransactionCleanup[[#This Row],[Transaction code]],Transactions[Transaction code],Transactions[Transaction name],,0,)</f>
        <v>Agriculture, forestry and fishing (S)</v>
      </c>
    </row>
    <row r="11" spans="2:4" x14ac:dyDescent="0.45">
      <c r="B11" s="2" t="s">
        <v>160</v>
      </c>
      <c r="C11" s="2" t="s">
        <v>160</v>
      </c>
      <c r="D11" t="str">
        <f>_xlfn.XLOOKUP(TransactionCleanup[[#This Row],[Transaction code]],Transactions[Transaction code],Transactions[Transaction name],,0,)</f>
        <v>Biogas production plants (own use)</v>
      </c>
    </row>
    <row r="12" spans="2:4" x14ac:dyDescent="0.45">
      <c r="B12" t="s">
        <v>705</v>
      </c>
      <c r="C12" s="2" t="s">
        <v>160</v>
      </c>
      <c r="D12" t="str">
        <f>_xlfn.XLOOKUP(TransactionCleanup[[#This Row],[Transaction code]],Transactions[Transaction code],Transactions[Transaction name],,0,)</f>
        <v>Biogas production plants (own use)</v>
      </c>
    </row>
    <row r="13" spans="2:4" x14ac:dyDescent="0.45">
      <c r="B13" s="2" t="s">
        <v>155</v>
      </c>
      <c r="C13" s="2" t="s">
        <v>155</v>
      </c>
      <c r="D13" t="str">
        <f>_xlfn.XLOOKUP(TransactionCleanup[[#This Row],[Transaction code]],Transactions[Transaction code],Transactions[Transaction name],,0,)</f>
        <v>Blast furnaces (own use)</v>
      </c>
    </row>
    <row r="14" spans="2:4" x14ac:dyDescent="0.45">
      <c r="B14" t="s">
        <v>710</v>
      </c>
      <c r="C14" s="2" t="s">
        <v>155</v>
      </c>
      <c r="D14" t="str">
        <f>_xlfn.XLOOKUP(TransactionCleanup[[#This Row],[Transaction code]],Transactions[Transaction code],Transactions[Transaction name],,0,)</f>
        <v>Blast furnaces (own use)</v>
      </c>
    </row>
    <row r="15" spans="2:4" x14ac:dyDescent="0.45">
      <c r="B15" t="s">
        <v>616</v>
      </c>
      <c r="C15" t="s">
        <v>616</v>
      </c>
      <c r="D15" t="str">
        <f>_xlfn.XLOOKUP(TransactionCleanup[[#This Row],[Transaction code]],Transactions[Transaction code],Transactions[Transaction name],,0,)</f>
        <v>Blast furnaces (S)</v>
      </c>
    </row>
    <row r="16" spans="2:4" x14ac:dyDescent="0.45">
      <c r="B16" t="s">
        <v>833</v>
      </c>
      <c r="C16" t="s">
        <v>616</v>
      </c>
      <c r="D16" t="str">
        <f>_xlfn.XLOOKUP(TransactionCleanup[[#This Row],[Transaction code]],Transactions[Transaction code],Transactions[Transaction name],,0,)</f>
        <v>Blast furnaces (S)</v>
      </c>
    </row>
    <row r="17" spans="2:4" x14ac:dyDescent="0.45">
      <c r="B17" t="s">
        <v>835</v>
      </c>
      <c r="C17" t="s">
        <v>616</v>
      </c>
      <c r="D17" t="str">
        <f>_xlfn.XLOOKUP(TransactionCleanup[[#This Row],[Transaction code]],Transactions[Transaction code],Transactions[Transaction name],,0,)</f>
        <v>Blast furnaces (S)</v>
      </c>
    </row>
    <row r="18" spans="2:4" x14ac:dyDescent="0.45">
      <c r="B18" t="s">
        <v>790</v>
      </c>
      <c r="C18" t="s">
        <v>616</v>
      </c>
      <c r="D18" t="str">
        <f>_xlfn.XLOOKUP(TransactionCleanup[[#This Row],[Transaction code]],Transactions[Transaction code],Transactions[Transaction name],,0,)</f>
        <v>Blast furnaces (S)</v>
      </c>
    </row>
    <row r="19" spans="2:4" x14ac:dyDescent="0.45">
      <c r="B19" s="2" t="s">
        <v>185</v>
      </c>
      <c r="C19" s="2" t="s">
        <v>185</v>
      </c>
      <c r="D19" t="str">
        <f>_xlfn.XLOOKUP(TransactionCleanup[[#This Row],[Transaction code]],Transactions[Transaction code],Transactions[Transaction name],,0,)</f>
        <v>Blast furnaces (T)</v>
      </c>
    </row>
    <row r="20" spans="2:4" x14ac:dyDescent="0.45">
      <c r="B20" t="s">
        <v>722</v>
      </c>
      <c r="C20" s="2" t="s">
        <v>185</v>
      </c>
      <c r="D20" t="str">
        <f>_xlfn.XLOOKUP(TransactionCleanup[[#This Row],[Transaction code]],Transactions[Transaction code],Transactions[Transaction name],,0,)</f>
        <v>Blast furnaces (T)</v>
      </c>
    </row>
    <row r="21" spans="2:4" x14ac:dyDescent="0.45">
      <c r="B21" s="2" t="s">
        <v>156</v>
      </c>
      <c r="C21" s="2" t="s">
        <v>156</v>
      </c>
      <c r="D21" t="str">
        <f>_xlfn.XLOOKUP(TransactionCleanup[[#This Row],[Transaction code]],Transactions[Transaction code],Transactions[Transaction name],,0,)</f>
        <v>Briquetting plants (own use)</v>
      </c>
    </row>
    <row r="22" spans="2:4" x14ac:dyDescent="0.45">
      <c r="B22" t="s">
        <v>709</v>
      </c>
      <c r="C22" s="2" t="s">
        <v>156</v>
      </c>
      <c r="D22" t="str">
        <f>_xlfn.XLOOKUP(TransactionCleanup[[#This Row],[Transaction code]],Transactions[Transaction code],Transactions[Transaction name],,0,)</f>
        <v>Briquetting plants (own use)</v>
      </c>
    </row>
    <row r="23" spans="2:4" x14ac:dyDescent="0.45">
      <c r="B23" t="s">
        <v>613</v>
      </c>
      <c r="C23" t="s">
        <v>613</v>
      </c>
      <c r="D23" t="str">
        <f>_xlfn.XLOOKUP(TransactionCleanup[[#This Row],[Transaction code]],Transactions[Transaction code],Transactions[Transaction name],,0,)</f>
        <v>Briquetting plants (S)</v>
      </c>
    </row>
    <row r="24" spans="2:4" x14ac:dyDescent="0.45">
      <c r="B24" t="s">
        <v>836</v>
      </c>
      <c r="C24" t="s">
        <v>613</v>
      </c>
      <c r="D24" t="str">
        <f>_xlfn.XLOOKUP(TransactionCleanup[[#This Row],[Transaction code]],Transactions[Transaction code],Transactions[Transaction name],,0,)</f>
        <v>Briquetting plants (S)</v>
      </c>
    </row>
    <row r="25" spans="2:4" x14ac:dyDescent="0.45">
      <c r="B25" t="s">
        <v>791</v>
      </c>
      <c r="C25" t="s">
        <v>613</v>
      </c>
      <c r="D25" t="str">
        <f>_xlfn.XLOOKUP(TransactionCleanup[[#This Row],[Transaction code]],Transactions[Transaction code],Transactions[Transaction name],,0,)</f>
        <v>Briquetting plants (S)</v>
      </c>
    </row>
    <row r="26" spans="2:4" x14ac:dyDescent="0.45">
      <c r="B26" s="2" t="s">
        <v>186</v>
      </c>
      <c r="C26" s="2" t="s">
        <v>186</v>
      </c>
      <c r="D26" t="str">
        <f>_xlfn.XLOOKUP(TransactionCleanup[[#This Row],[Transaction code]],Transactions[Transaction code],Transactions[Transaction name],,0,)</f>
        <v>Briquetting plants (T)</v>
      </c>
    </row>
    <row r="27" spans="2:4" x14ac:dyDescent="0.45">
      <c r="B27" t="s">
        <v>719</v>
      </c>
      <c r="C27" s="2" t="s">
        <v>186</v>
      </c>
      <c r="D27" t="str">
        <f>_xlfn.XLOOKUP(TransactionCleanup[[#This Row],[Transaction code]],Transactions[Transaction code],Transactions[Transaction name],,0,)</f>
        <v>Briquetting plants (T)</v>
      </c>
    </row>
    <row r="28" spans="2:4" x14ac:dyDescent="0.45">
      <c r="B28" s="2" t="s">
        <v>146</v>
      </c>
      <c r="C28" s="2" t="s">
        <v>146</v>
      </c>
      <c r="D28" t="str">
        <f>_xlfn.XLOOKUP(TransactionCleanup[[#This Row],[Transaction code]],Transactions[Transaction code],Transactions[Transaction name],,0,)</f>
        <v>Charcoal plants (own use)</v>
      </c>
    </row>
    <row r="29" spans="2:4" x14ac:dyDescent="0.45">
      <c r="B29" t="s">
        <v>717</v>
      </c>
      <c r="C29" s="2" t="s">
        <v>146</v>
      </c>
      <c r="D29" t="str">
        <f>_xlfn.XLOOKUP(TransactionCleanup[[#This Row],[Transaction code]],Transactions[Transaction code],Transactions[Transaction name],,0,)</f>
        <v>Charcoal plants (own use)</v>
      </c>
    </row>
    <row r="30" spans="2:4" x14ac:dyDescent="0.45">
      <c r="B30" s="2" t="s">
        <v>184</v>
      </c>
      <c r="C30" s="2" t="s">
        <v>184</v>
      </c>
      <c r="D30" t="str">
        <f>_xlfn.XLOOKUP(TransactionCleanup[[#This Row],[Transaction code]],Transactions[Transaction code],Transactions[Transaction name],,0,)</f>
        <v>Charcoal plants (T)</v>
      </c>
    </row>
    <row r="31" spans="2:4" x14ac:dyDescent="0.45">
      <c r="B31" t="s">
        <v>723</v>
      </c>
      <c r="C31" s="2" t="s">
        <v>184</v>
      </c>
      <c r="D31" t="str">
        <f>_xlfn.XLOOKUP(TransactionCleanup[[#This Row],[Transaction code]],Transactions[Transaction code],Transactions[Transaction name],,0,)</f>
        <v>Charcoal plants (T)</v>
      </c>
    </row>
    <row r="32" spans="2:4" x14ac:dyDescent="0.45">
      <c r="B32" s="2" t="s">
        <v>128</v>
      </c>
      <c r="C32" s="2" t="s">
        <v>128</v>
      </c>
      <c r="D32" t="str">
        <f>_xlfn.XLOOKUP(TransactionCleanup[[#This Row],[Transaction code]],Transactions[Transaction code],Transactions[Transaction name],,0,)</f>
        <v>Chemical and petrochemical</v>
      </c>
    </row>
    <row r="33" spans="2:4" x14ac:dyDescent="0.45">
      <c r="B33" t="s">
        <v>481</v>
      </c>
      <c r="C33" s="2" t="s">
        <v>128</v>
      </c>
      <c r="D33" t="str">
        <f>_xlfn.XLOOKUP(TransactionCleanup[[#This Row],[Transaction code]],Transactions[Transaction code],Transactions[Transaction name],,0,)</f>
        <v>Chemical and petrochemical</v>
      </c>
    </row>
    <row r="34" spans="2:4" x14ac:dyDescent="0.45">
      <c r="B34" t="s">
        <v>482</v>
      </c>
      <c r="C34" t="s">
        <v>482</v>
      </c>
      <c r="D34" t="str">
        <f>_xlfn.XLOOKUP(TransactionCleanup[[#This Row],[Transaction code]],Transactions[Transaction code],Transactions[Transaction name],,0,)</f>
        <v>Chemical and petrochemical (S)</v>
      </c>
    </row>
    <row r="35" spans="2:4" x14ac:dyDescent="0.45">
      <c r="B35" t="s">
        <v>837</v>
      </c>
      <c r="C35" t="s">
        <v>482</v>
      </c>
      <c r="D35" t="str">
        <f>_xlfn.XLOOKUP(TransactionCleanup[[#This Row],[Transaction code]],Transactions[Transaction code],Transactions[Transaction name],,0,)</f>
        <v>Chemical and petrochemical (S)</v>
      </c>
    </row>
    <row r="36" spans="2:4" x14ac:dyDescent="0.45">
      <c r="B36" t="s">
        <v>742</v>
      </c>
      <c r="C36" t="s">
        <v>482</v>
      </c>
      <c r="D36" t="str">
        <f>_xlfn.XLOOKUP(TransactionCleanup[[#This Row],[Transaction code]],Transactions[Transaction code],Transactions[Transaction name],,0,)</f>
        <v>Chemical and petrochemical (S)</v>
      </c>
    </row>
    <row r="37" spans="2:4" x14ac:dyDescent="0.45">
      <c r="B37" s="2" t="s">
        <v>258</v>
      </c>
      <c r="C37" s="2" t="s">
        <v>258</v>
      </c>
      <c r="D37" t="str">
        <f>_xlfn.XLOOKUP(TransactionCleanup[[#This Row],[Transaction code]],Transactions[Transaction code],Transactions[Transaction name],,0,)</f>
        <v>CHP plants - Autoproducer - chemical heat/sources</v>
      </c>
    </row>
    <row r="38" spans="2:4" x14ac:dyDescent="0.45">
      <c r="B38" t="s">
        <v>655</v>
      </c>
      <c r="C38" s="2" t="s">
        <v>258</v>
      </c>
      <c r="D38" t="str">
        <f>_xlfn.XLOOKUP(TransactionCleanup[[#This Row],[Transaction code]],Transactions[Transaction code],Transactions[Transaction name],,0,)</f>
        <v>CHP plants - Autoproducer - chemical heat/sources</v>
      </c>
    </row>
    <row r="39" spans="2:4" x14ac:dyDescent="0.45">
      <c r="B39" s="2" t="s">
        <v>283</v>
      </c>
      <c r="C39" s="2" t="s">
        <v>283</v>
      </c>
      <c r="D39" t="str">
        <f>_xlfn.XLOOKUP(TransactionCleanup[[#This Row],[Transaction code]],Transactions[Transaction code],Transactions[Transaction name],,0,)</f>
        <v>CHP plants - Autoproducer - combustible fuels</v>
      </c>
    </row>
    <row r="40" spans="2:4" x14ac:dyDescent="0.45">
      <c r="B40" t="s">
        <v>653</v>
      </c>
      <c r="C40" s="2" t="s">
        <v>283</v>
      </c>
      <c r="D40" t="str">
        <f>_xlfn.XLOOKUP(TransactionCleanup[[#This Row],[Transaction code]],Transactions[Transaction code],Transactions[Transaction name],,0,)</f>
        <v>CHP plants - Autoproducer - combustible fuels</v>
      </c>
    </row>
    <row r="41" spans="2:4" x14ac:dyDescent="0.45">
      <c r="B41" s="2" t="s">
        <v>271</v>
      </c>
      <c r="C41" s="2" t="s">
        <v>271</v>
      </c>
      <c r="D41" t="str">
        <f>_xlfn.XLOOKUP(TransactionCleanup[[#This Row],[Transaction code]],Transactions[Transaction code],Transactions[Transaction name],,0,)</f>
        <v>CHP plants - Autoproducer - Geothermal</v>
      </c>
    </row>
    <row r="42" spans="2:4" x14ac:dyDescent="0.45">
      <c r="B42" t="s">
        <v>654</v>
      </c>
      <c r="C42" s="2" t="s">
        <v>271</v>
      </c>
      <c r="D42" t="str">
        <f>_xlfn.XLOOKUP(TransactionCleanup[[#This Row],[Transaction code]],Transactions[Transaction code],Transactions[Transaction name],,0,)</f>
        <v>CHP plants - Autoproducer - Geothermal</v>
      </c>
    </row>
    <row r="43" spans="2:4" x14ac:dyDescent="0.45">
      <c r="B43" s="2" t="s">
        <v>243</v>
      </c>
      <c r="C43" s="2" t="s">
        <v>243</v>
      </c>
      <c r="D43" t="str">
        <f>_xlfn.XLOOKUP(TransactionCleanup[[#This Row],[Transaction code]],Transactions[Transaction code],Transactions[Transaction name],,0,)</f>
        <v>CHP plants - Autoproducer - Nuclear</v>
      </c>
    </row>
    <row r="44" spans="2:4" x14ac:dyDescent="0.45">
      <c r="B44" t="s">
        <v>656</v>
      </c>
      <c r="C44" s="2" t="s">
        <v>243</v>
      </c>
      <c r="D44" t="str">
        <f>_xlfn.XLOOKUP(TransactionCleanup[[#This Row],[Transaction code]],Transactions[Transaction code],Transactions[Transaction name],,0,)</f>
        <v>CHP plants - Autoproducer - Nuclear</v>
      </c>
    </row>
    <row r="45" spans="2:4" x14ac:dyDescent="0.45">
      <c r="B45" s="2" t="s">
        <v>238</v>
      </c>
      <c r="C45" s="2" t="s">
        <v>238</v>
      </c>
      <c r="D45" t="str">
        <f>_xlfn.XLOOKUP(TransactionCleanup[[#This Row],[Transaction code]],Transactions[Transaction code],Transactions[Transaction name],,0,)</f>
        <v>CHP plants - Autoproducer - other sources</v>
      </c>
    </row>
    <row r="46" spans="2:4" x14ac:dyDescent="0.45">
      <c r="B46" t="s">
        <v>657</v>
      </c>
      <c r="C46" s="2" t="s">
        <v>238</v>
      </c>
      <c r="D46" t="str">
        <f>_xlfn.XLOOKUP(TransactionCleanup[[#This Row],[Transaction code]],Transactions[Transaction code],Transactions[Transaction name],,0,)</f>
        <v>CHP plants - Autoproducer - other sources</v>
      </c>
    </row>
    <row r="47" spans="2:4" x14ac:dyDescent="0.45">
      <c r="B47" s="2" t="s">
        <v>231</v>
      </c>
      <c r="C47" s="2" t="s">
        <v>231</v>
      </c>
      <c r="D47" t="str">
        <f>_xlfn.XLOOKUP(TransactionCleanup[[#This Row],[Transaction code]],Transactions[Transaction code],Transactions[Transaction name],,0,)</f>
        <v>Electricity plants - Autoproducer - Solar CSP</v>
      </c>
    </row>
    <row r="48" spans="2:4" x14ac:dyDescent="0.45">
      <c r="B48" t="s">
        <v>803</v>
      </c>
      <c r="C48" s="2" t="s">
        <v>231</v>
      </c>
      <c r="D48" t="str">
        <f>_xlfn.XLOOKUP(TransactionCleanup[[#This Row],[Transaction code]],Transactions[Transaction code],Transactions[Transaction name],,0,)</f>
        <v>Electricity plants - Autoproducer - Solar CSP</v>
      </c>
    </row>
    <row r="49" spans="2:4" x14ac:dyDescent="0.45">
      <c r="B49" s="2" t="s">
        <v>174</v>
      </c>
      <c r="C49" s="2" t="s">
        <v>174</v>
      </c>
      <c r="D49" t="str">
        <f>_xlfn.XLOOKUP(TransactionCleanup[[#This Row],[Transaction code]],Transactions[Transaction code],Transactions[Transaction name],,0,)</f>
        <v>CHP plants - Autoproducers</v>
      </c>
    </row>
    <row r="50" spans="2:4" x14ac:dyDescent="0.45">
      <c r="B50" t="s">
        <v>692</v>
      </c>
      <c r="C50" s="2" t="s">
        <v>174</v>
      </c>
      <c r="D50" t="str">
        <f>_xlfn.XLOOKUP(TransactionCleanup[[#This Row],[Transaction code]],Transactions[Transaction code],Transactions[Transaction name],,0,)</f>
        <v>CHP plants - Autoproducers</v>
      </c>
    </row>
    <row r="51" spans="2:4" x14ac:dyDescent="0.45">
      <c r="B51" s="2" t="s">
        <v>175</v>
      </c>
      <c r="C51" s="2" t="s">
        <v>175</v>
      </c>
      <c r="D51" t="str">
        <f>_xlfn.XLOOKUP(TransactionCleanup[[#This Row],[Transaction code]],Transactions[Transaction code],Transactions[Transaction name],,0,)</f>
        <v>CHP plants - Main activity</v>
      </c>
    </row>
    <row r="52" spans="2:4" x14ac:dyDescent="0.45">
      <c r="B52" t="s">
        <v>691</v>
      </c>
      <c r="C52" s="2" t="s">
        <v>175</v>
      </c>
      <c r="D52" t="str">
        <f>_xlfn.XLOOKUP(TransactionCleanup[[#This Row],[Transaction code]],Transactions[Transaction code],Transactions[Transaction name],,0,)</f>
        <v>CHP plants - Main activity</v>
      </c>
    </row>
    <row r="53" spans="2:4" x14ac:dyDescent="0.45">
      <c r="B53" s="2" t="s">
        <v>339</v>
      </c>
      <c r="C53" s="2" t="s">
        <v>339</v>
      </c>
      <c r="D53" t="str">
        <f>_xlfn.XLOOKUP(TransactionCleanup[[#This Row],[Transaction code]],Transactions[Transaction code],Transactions[Transaction name],,0,)</f>
        <v>CHP plants - Main activity - chemical heat/sources</v>
      </c>
    </row>
    <row r="54" spans="2:4" x14ac:dyDescent="0.45">
      <c r="B54" t="s">
        <v>650</v>
      </c>
      <c r="C54" s="2" t="s">
        <v>339</v>
      </c>
      <c r="D54" t="str">
        <f>_xlfn.XLOOKUP(TransactionCleanup[[#This Row],[Transaction code]],Transactions[Transaction code],Transactions[Transaction name],,0,)</f>
        <v>CHP plants - Main activity - chemical heat/sources</v>
      </c>
    </row>
    <row r="55" spans="2:4" x14ac:dyDescent="0.45">
      <c r="B55" s="2" t="s">
        <v>365</v>
      </c>
      <c r="C55" s="2" t="s">
        <v>365</v>
      </c>
      <c r="D55" t="str">
        <f>_xlfn.XLOOKUP(TransactionCleanup[[#This Row],[Transaction code]],Transactions[Transaction code],Transactions[Transaction name],,0,)</f>
        <v>CHP plants - Main activity - combustible fuels</v>
      </c>
    </row>
    <row r="56" spans="2:4" x14ac:dyDescent="0.45">
      <c r="B56" t="s">
        <v>648</v>
      </c>
      <c r="C56" s="2" t="s">
        <v>365</v>
      </c>
      <c r="D56" t="str">
        <f>_xlfn.XLOOKUP(TransactionCleanup[[#This Row],[Transaction code]],Transactions[Transaction code],Transactions[Transaction name],,0,)</f>
        <v>CHP plants - Main activity - combustible fuels</v>
      </c>
    </row>
    <row r="57" spans="2:4" x14ac:dyDescent="0.45">
      <c r="B57" s="2" t="s">
        <v>350</v>
      </c>
      <c r="C57" s="2" t="s">
        <v>350</v>
      </c>
      <c r="D57" t="str">
        <f>_xlfn.XLOOKUP(TransactionCleanup[[#This Row],[Transaction code]],Transactions[Transaction code],Transactions[Transaction name],,0,)</f>
        <v>CHP plants - Main activity - Geothermal</v>
      </c>
    </row>
    <row r="58" spans="2:4" x14ac:dyDescent="0.45">
      <c r="B58" t="s">
        <v>649</v>
      </c>
      <c r="C58" s="2" t="s">
        <v>350</v>
      </c>
      <c r="D58" t="str">
        <f>_xlfn.XLOOKUP(TransactionCleanup[[#This Row],[Transaction code]],Transactions[Transaction code],Transactions[Transaction name],,0,)</f>
        <v>CHP plants - Main activity - Geothermal</v>
      </c>
    </row>
    <row r="59" spans="2:4" x14ac:dyDescent="0.45">
      <c r="B59" s="2" t="s">
        <v>324</v>
      </c>
      <c r="C59" s="2" t="s">
        <v>324</v>
      </c>
      <c r="D59" t="str">
        <f>_xlfn.XLOOKUP(TransactionCleanup[[#This Row],[Transaction code]],Transactions[Transaction code],Transactions[Transaction name],,0,)</f>
        <v>CHP plants - Main activity - Nuclear</v>
      </c>
    </row>
    <row r="60" spans="2:4" x14ac:dyDescent="0.45">
      <c r="B60" t="s">
        <v>651</v>
      </c>
      <c r="C60" s="2" t="s">
        <v>324</v>
      </c>
      <c r="D60" t="str">
        <f>_xlfn.XLOOKUP(TransactionCleanup[[#This Row],[Transaction code]],Transactions[Transaction code],Transactions[Transaction name],,0,)</f>
        <v>CHP plants - Main activity - Nuclear</v>
      </c>
    </row>
    <row r="61" spans="2:4" x14ac:dyDescent="0.45">
      <c r="B61" s="2" t="s">
        <v>314</v>
      </c>
      <c r="C61" s="2" t="s">
        <v>314</v>
      </c>
      <c r="D61" t="str">
        <f>_xlfn.XLOOKUP(TransactionCleanup[[#This Row],[Transaction code]],Transactions[Transaction code],Transactions[Transaction name],,0,)</f>
        <v>CHP plants - Main activity - other sources</v>
      </c>
    </row>
    <row r="62" spans="2:4" x14ac:dyDescent="0.45">
      <c r="B62" t="s">
        <v>652</v>
      </c>
      <c r="C62" s="2" t="s">
        <v>314</v>
      </c>
      <c r="D62" t="str">
        <f>_xlfn.XLOOKUP(TransactionCleanup[[#This Row],[Transaction code]],Transactions[Transaction code],Transactions[Transaction name],,0,)</f>
        <v>CHP plants - Main activity - other sources</v>
      </c>
    </row>
    <row r="63" spans="2:4" x14ac:dyDescent="0.45">
      <c r="B63" s="2" t="s">
        <v>294</v>
      </c>
      <c r="C63" s="2" t="s">
        <v>294</v>
      </c>
      <c r="D63" t="str">
        <f>_xlfn.XLOOKUP(TransactionCleanup[[#This Row],[Transaction code]],Transactions[Transaction code],Transactions[Transaction name],,0,)</f>
        <v>Electricity plants - Main activity - Solar CSP</v>
      </c>
    </row>
    <row r="64" spans="2:4" x14ac:dyDescent="0.45">
      <c r="B64" t="s">
        <v>810</v>
      </c>
      <c r="C64" s="2" t="s">
        <v>294</v>
      </c>
      <c r="D64" t="str">
        <f>_xlfn.XLOOKUP(TransactionCleanup[[#This Row],[Transaction code]],Transactions[Transaction code],Transactions[Transaction name],,0,)</f>
        <v>Electricity plants - Main activity - Solar CSP</v>
      </c>
    </row>
    <row r="65" spans="2:4" x14ac:dyDescent="0.45">
      <c r="B65" t="s">
        <v>614</v>
      </c>
      <c r="C65" t="s">
        <v>614</v>
      </c>
      <c r="D65" t="str">
        <f>_xlfn.XLOOKUP(TransactionCleanup[[#This Row],[Transaction code]],Transactions[Transaction code],Transactions[Transaction name],,0,)</f>
        <v>CHP plants (S)</v>
      </c>
    </row>
    <row r="66" spans="2:4" x14ac:dyDescent="0.45">
      <c r="B66" t="s">
        <v>838</v>
      </c>
      <c r="C66" t="s">
        <v>614</v>
      </c>
      <c r="D66" t="str">
        <f>_xlfn.XLOOKUP(TransactionCleanup[[#This Row],[Transaction code]],Transactions[Transaction code],Transactions[Transaction name],,0,)</f>
        <v>CHP plants (S)</v>
      </c>
    </row>
    <row r="67" spans="2:4" x14ac:dyDescent="0.45">
      <c r="B67" t="s">
        <v>793</v>
      </c>
      <c r="C67" t="s">
        <v>614</v>
      </c>
      <c r="D67" t="str">
        <f>_xlfn.XLOOKUP(TransactionCleanup[[#This Row],[Transaction code]],Transactions[Transaction code],Transactions[Transaction name],,0,)</f>
        <v>CHP plants (S)</v>
      </c>
    </row>
    <row r="68" spans="2:4" x14ac:dyDescent="0.45">
      <c r="B68" s="2" t="s">
        <v>16</v>
      </c>
      <c r="C68" s="2" t="s">
        <v>16</v>
      </c>
      <c r="D68" t="str">
        <f>_xlfn.XLOOKUP(TransactionCleanup[[#This Row],[Transaction code]],Transactions[Transaction code],Transactions[Transaction name],,0,)</f>
        <v>Closing stock level held on national territory</v>
      </c>
    </row>
    <row r="69" spans="2:4" x14ac:dyDescent="0.45">
      <c r="B69" t="s">
        <v>15</v>
      </c>
      <c r="C69" s="2" t="s">
        <v>16</v>
      </c>
      <c r="D69" t="str">
        <f>_xlfn.XLOOKUP(TransactionCleanup[[#This Row],[Transaction code]],Transactions[Transaction code],Transactions[Transaction name],,0,)</f>
        <v>Closing stock level held on national territory</v>
      </c>
    </row>
    <row r="70" spans="2:4" x14ac:dyDescent="0.45">
      <c r="B70" s="2" t="s">
        <v>149</v>
      </c>
      <c r="C70" s="2" t="s">
        <v>149</v>
      </c>
      <c r="D70" t="str">
        <f>_xlfn.XLOOKUP(TransactionCleanup[[#This Row],[Transaction code]],Transactions[Transaction code],Transactions[Transaction name],,0,)</f>
        <v>Coal liquefaction plants (own use)</v>
      </c>
    </row>
    <row r="71" spans="2:4" x14ac:dyDescent="0.45">
      <c r="B71" t="s">
        <v>715</v>
      </c>
      <c r="C71" s="2" t="s">
        <v>149</v>
      </c>
      <c r="D71" t="str">
        <f>_xlfn.XLOOKUP(TransactionCleanup[[#This Row],[Transaction code]],Transactions[Transaction code],Transactions[Transaction name],,0,)</f>
        <v>Coal liquefaction plants (own use)</v>
      </c>
    </row>
    <row r="72" spans="2:4" x14ac:dyDescent="0.45">
      <c r="B72" s="2" t="s">
        <v>181</v>
      </c>
      <c r="C72" s="2" t="s">
        <v>181</v>
      </c>
      <c r="D72" t="str">
        <f>_xlfn.XLOOKUP(TransactionCleanup[[#This Row],[Transaction code]],Transactions[Transaction code],Transactions[Transaction name],,0,)</f>
        <v>Coal liquefaction plants (T)</v>
      </c>
    </row>
    <row r="73" spans="2:4" x14ac:dyDescent="0.45">
      <c r="B73" t="s">
        <v>726</v>
      </c>
      <c r="C73" s="2" t="s">
        <v>181</v>
      </c>
      <c r="D73" t="str">
        <f>_xlfn.XLOOKUP(TransactionCleanup[[#This Row],[Transaction code]],Transactions[Transaction code],Transactions[Transaction name],,0,)</f>
        <v>Coal liquefaction plants (T)</v>
      </c>
    </row>
    <row r="74" spans="2:4" x14ac:dyDescent="0.45">
      <c r="B74" s="2" t="s">
        <v>162</v>
      </c>
      <c r="C74" s="2" t="s">
        <v>162</v>
      </c>
      <c r="D74" t="str">
        <f>_xlfn.XLOOKUP(TransactionCleanup[[#This Row],[Transaction code]],Transactions[Transaction code],Transactions[Transaction name],,0,)</f>
        <v>Coal mines (own use)</v>
      </c>
    </row>
    <row r="75" spans="2:4" x14ac:dyDescent="0.45">
      <c r="B75" t="s">
        <v>703</v>
      </c>
      <c r="C75" s="2" t="s">
        <v>162</v>
      </c>
      <c r="D75" t="str">
        <f>_xlfn.XLOOKUP(TransactionCleanup[[#This Row],[Transaction code]],Transactions[Transaction code],Transactions[Transaction name],,0,)</f>
        <v>Coal mines (own use)</v>
      </c>
    </row>
    <row r="76" spans="2:4" x14ac:dyDescent="0.45">
      <c r="B76" s="2" t="s">
        <v>158</v>
      </c>
      <c r="C76" s="2" t="s">
        <v>158</v>
      </c>
      <c r="D76" t="str">
        <f>_xlfn.XLOOKUP(TransactionCleanup[[#This Row],[Transaction code]],Transactions[Transaction code],Transactions[Transaction name],,0,)</f>
        <v>Coke ovens (own use)</v>
      </c>
    </row>
    <row r="77" spans="2:4" x14ac:dyDescent="0.45">
      <c r="B77" t="s">
        <v>707</v>
      </c>
      <c r="C77" s="2" t="s">
        <v>158</v>
      </c>
      <c r="D77" t="str">
        <f>_xlfn.XLOOKUP(TransactionCleanup[[#This Row],[Transaction code]],Transactions[Transaction code],Transactions[Transaction name],,0,)</f>
        <v>Coke ovens (own use)</v>
      </c>
    </row>
    <row r="78" spans="2:4" x14ac:dyDescent="0.45">
      <c r="B78" t="s">
        <v>615</v>
      </c>
      <c r="C78" t="s">
        <v>615</v>
      </c>
      <c r="D78" t="str">
        <f>_xlfn.XLOOKUP(TransactionCleanup[[#This Row],[Transaction code]],Transactions[Transaction code],Transactions[Transaction name],,0,)</f>
        <v>Coke ovens (S)</v>
      </c>
    </row>
    <row r="79" spans="2:4" x14ac:dyDescent="0.45">
      <c r="B79" t="s">
        <v>839</v>
      </c>
      <c r="C79" t="s">
        <v>615</v>
      </c>
      <c r="D79" t="str">
        <f>_xlfn.XLOOKUP(TransactionCleanup[[#This Row],[Transaction code]],Transactions[Transaction code],Transactions[Transaction name],,0,)</f>
        <v>Coke ovens (S)</v>
      </c>
    </row>
    <row r="80" spans="2:4" x14ac:dyDescent="0.45">
      <c r="B80" t="s">
        <v>794</v>
      </c>
      <c r="C80" t="s">
        <v>615</v>
      </c>
      <c r="D80" t="str">
        <f>_xlfn.XLOOKUP(TransactionCleanup[[#This Row],[Transaction code]],Transactions[Transaction code],Transactions[Transaction name],,0,)</f>
        <v>Coke ovens (S)</v>
      </c>
    </row>
    <row r="81" spans="2:4" x14ac:dyDescent="0.45">
      <c r="B81" s="2" t="s">
        <v>188</v>
      </c>
      <c r="C81" s="2" t="s">
        <v>188</v>
      </c>
      <c r="D81" t="str">
        <f>_xlfn.XLOOKUP(TransactionCleanup[[#This Row],[Transaction code]],Transactions[Transaction code],Transactions[Transaction name],,0,)</f>
        <v>Coke ovens (T)</v>
      </c>
    </row>
    <row r="82" spans="2:4" x14ac:dyDescent="0.45">
      <c r="B82" t="s">
        <v>721</v>
      </c>
      <c r="C82" s="2" t="s">
        <v>188</v>
      </c>
      <c r="D82" t="str">
        <f>_xlfn.XLOOKUP(TransactionCleanup[[#This Row],[Transaction code]],Transactions[Transaction code],Transactions[Transaction name],,0,)</f>
        <v>Coke ovens (T)</v>
      </c>
    </row>
    <row r="83" spans="2:4" x14ac:dyDescent="0.45">
      <c r="B83" s="2" t="s">
        <v>75</v>
      </c>
      <c r="C83" s="2" t="s">
        <v>75</v>
      </c>
      <c r="D83" t="str">
        <f>_xlfn.XLOOKUP(TransactionCleanup[[#This Row],[Transaction code]],Transactions[Transaction code],Transactions[Transaction name],,0,)</f>
        <v>IC Combustible fuels - Autoproducers</v>
      </c>
    </row>
    <row r="84" spans="2:4" x14ac:dyDescent="0.45">
      <c r="B84" t="s">
        <v>74</v>
      </c>
      <c r="C84" s="2" t="s">
        <v>75</v>
      </c>
      <c r="D84" t="str">
        <f>_xlfn.XLOOKUP(TransactionCleanup[[#This Row],[Transaction code]],Transactions[Transaction code],Transactions[Transaction name],,0,)</f>
        <v>IC Combustible fuels - Autoproducers</v>
      </c>
    </row>
    <row r="85" spans="2:4" x14ac:dyDescent="0.45">
      <c r="B85" s="2" t="s">
        <v>77</v>
      </c>
      <c r="C85" s="2" t="s">
        <v>77</v>
      </c>
      <c r="D85" t="str">
        <f>_xlfn.XLOOKUP(TransactionCleanup[[#This Row],[Transaction code]],Transactions[Transaction code],Transactions[Transaction name],,0,)</f>
        <v>IC Combustible fuels - Main activity producers</v>
      </c>
    </row>
    <row r="86" spans="2:4" x14ac:dyDescent="0.45">
      <c r="B86" t="s">
        <v>76</v>
      </c>
      <c r="C86" s="2" t="s">
        <v>77</v>
      </c>
      <c r="D86" t="str">
        <f>_xlfn.XLOOKUP(TransactionCleanup[[#This Row],[Transaction code]],Transactions[Transaction code],Transactions[Transaction name],,0,)</f>
        <v>IC Combustible fuels - Main activity producers</v>
      </c>
    </row>
    <row r="87" spans="2:4" x14ac:dyDescent="0.45">
      <c r="B87" s="2" t="s">
        <v>71</v>
      </c>
      <c r="C87" s="2" t="s">
        <v>71</v>
      </c>
      <c r="D87" t="str">
        <f>_xlfn.XLOOKUP(TransactionCleanup[[#This Row],[Transaction code]],Transactions[Transaction code],Transactions[Transaction name],,0,)</f>
        <v>IC Combustible fuels</v>
      </c>
    </row>
    <row r="88" spans="2:4" x14ac:dyDescent="0.45">
      <c r="B88" t="s">
        <v>78</v>
      </c>
      <c r="C88" s="2" t="s">
        <v>71</v>
      </c>
      <c r="D88" t="str">
        <f>_xlfn.XLOOKUP(TransactionCleanup[[#This Row],[Transaction code]],Transactions[Transaction code],Transactions[Transaction name],,0,)</f>
        <v>IC Combustible fuels</v>
      </c>
    </row>
    <row r="89" spans="2:4" x14ac:dyDescent="0.45">
      <c r="B89" s="2" t="s">
        <v>99</v>
      </c>
      <c r="C89" s="2" t="s">
        <v>99</v>
      </c>
      <c r="D89" t="str">
        <f>_xlfn.XLOOKUP(TransactionCleanup[[#This Row],[Transaction code]],Transactions[Transaction code],Transactions[Transaction name],,0,)</f>
        <v>Commerce and public services</v>
      </c>
    </row>
    <row r="90" spans="2:4" x14ac:dyDescent="0.45">
      <c r="B90" t="s">
        <v>400</v>
      </c>
      <c r="C90" s="2" t="s">
        <v>99</v>
      </c>
      <c r="D90" t="str">
        <f>_xlfn.XLOOKUP(TransactionCleanup[[#This Row],[Transaction code]],Transactions[Transaction code],Transactions[Transaction name],,0,)</f>
        <v>Commerce and public services</v>
      </c>
    </row>
    <row r="91" spans="2:4" x14ac:dyDescent="0.45">
      <c r="B91" t="s">
        <v>401</v>
      </c>
      <c r="C91" t="s">
        <v>401</v>
      </c>
      <c r="D91" t="str">
        <f>_xlfn.XLOOKUP(TransactionCleanup[[#This Row],[Transaction code]],Transactions[Transaction code],Transactions[Transaction name],,0,)</f>
        <v>Commerce and public services (S)</v>
      </c>
    </row>
    <row r="92" spans="2:4" x14ac:dyDescent="0.45">
      <c r="B92" t="s">
        <v>840</v>
      </c>
      <c r="C92" t="s">
        <v>401</v>
      </c>
      <c r="D92" t="str">
        <f>_xlfn.XLOOKUP(TransactionCleanup[[#This Row],[Transaction code]],Transactions[Transaction code],Transactions[Transaction name],,0,)</f>
        <v>Commerce and public services (S)</v>
      </c>
    </row>
    <row r="93" spans="2:4" x14ac:dyDescent="0.45">
      <c r="B93" t="s">
        <v>762</v>
      </c>
      <c r="C93" t="s">
        <v>401</v>
      </c>
      <c r="D93" t="str">
        <f>_xlfn.XLOOKUP(TransactionCleanup[[#This Row],[Transaction code]],Transactions[Transaction code],Transactions[Transaction name],,0,)</f>
        <v>Commerce and public services (S)</v>
      </c>
    </row>
    <row r="94" spans="2:4" x14ac:dyDescent="0.45">
      <c r="B94" s="2" t="s">
        <v>118</v>
      </c>
      <c r="C94" s="2" t="s">
        <v>118</v>
      </c>
      <c r="D94" t="str">
        <f>_xlfn.XLOOKUP(TransactionCleanup[[#This Row],[Transaction code]],Transactions[Transaction code],Transactions[Transaction name],,0,)</f>
        <v>Construction</v>
      </c>
    </row>
    <row r="95" spans="2:4" x14ac:dyDescent="0.45">
      <c r="B95" t="s">
        <v>441</v>
      </c>
      <c r="C95" s="2" t="s">
        <v>118</v>
      </c>
      <c r="D95" t="str">
        <f>_xlfn.XLOOKUP(TransactionCleanup[[#This Row],[Transaction code]],Transactions[Transaction code],Transactions[Transaction name],,0,)</f>
        <v>Construction</v>
      </c>
    </row>
    <row r="96" spans="2:4" x14ac:dyDescent="0.45">
      <c r="B96" t="s">
        <v>442</v>
      </c>
      <c r="C96" t="s">
        <v>442</v>
      </c>
      <c r="D96" t="str">
        <f>_xlfn.XLOOKUP(TransactionCleanup[[#This Row],[Transaction code]],Transactions[Transaction code],Transactions[Transaction name],,0,)</f>
        <v>Construction (S)</v>
      </c>
    </row>
    <row r="97" spans="2:4" x14ac:dyDescent="0.45">
      <c r="B97" t="s">
        <v>841</v>
      </c>
      <c r="C97" t="s">
        <v>442</v>
      </c>
      <c r="D97" t="str">
        <f>_xlfn.XLOOKUP(TransactionCleanup[[#This Row],[Transaction code]],Transactions[Transaction code],Transactions[Transaction name],,0,)</f>
        <v>Construction (S)</v>
      </c>
    </row>
    <row r="98" spans="2:4" x14ac:dyDescent="0.45">
      <c r="B98" t="s">
        <v>752</v>
      </c>
      <c r="C98" t="s">
        <v>442</v>
      </c>
      <c r="D98" t="str">
        <f>_xlfn.XLOOKUP(TransactionCleanup[[#This Row],[Transaction code]],Transactions[Transaction code],Transactions[Transaction name],,0,)</f>
        <v>Construction (S)</v>
      </c>
    </row>
    <row r="99" spans="2:4" x14ac:dyDescent="0.45">
      <c r="B99" s="2" t="s">
        <v>111</v>
      </c>
      <c r="C99" s="2" t="s">
        <v>111</v>
      </c>
      <c r="D99" t="str">
        <f>_xlfn.XLOOKUP(TransactionCleanup[[#This Row],[Transaction code]],Transactions[Transaction code],Transactions[Transaction name],,0,)</f>
        <v>Domestic aviation</v>
      </c>
    </row>
    <row r="100" spans="2:4" x14ac:dyDescent="0.45">
      <c r="B100" t="s">
        <v>422</v>
      </c>
      <c r="C100" s="2" t="s">
        <v>111</v>
      </c>
      <c r="D100" t="str">
        <f>_xlfn.XLOOKUP(TransactionCleanup[[#This Row],[Transaction code]],Transactions[Transaction code],Transactions[Transaction name],,0,)</f>
        <v>Domestic aviation</v>
      </c>
    </row>
    <row r="101" spans="2:4" x14ac:dyDescent="0.45">
      <c r="B101" t="s">
        <v>423</v>
      </c>
      <c r="C101" t="s">
        <v>423</v>
      </c>
      <c r="D101" t="str">
        <f>_xlfn.XLOOKUP(TransactionCleanup[[#This Row],[Transaction code]],Transactions[Transaction code],Transactions[Transaction name],,0,)</f>
        <v>Domestic aviation (S)</v>
      </c>
    </row>
    <row r="102" spans="2:4" x14ac:dyDescent="0.45">
      <c r="B102" t="s">
        <v>842</v>
      </c>
      <c r="C102" t="s">
        <v>423</v>
      </c>
      <c r="D102" t="str">
        <f>_xlfn.XLOOKUP(TransactionCleanup[[#This Row],[Transaction code]],Transactions[Transaction code],Transactions[Transaction name],,0,)</f>
        <v>Domestic aviation (S)</v>
      </c>
    </row>
    <row r="103" spans="2:4" x14ac:dyDescent="0.45">
      <c r="B103" t="s">
        <v>757</v>
      </c>
      <c r="C103" t="s">
        <v>423</v>
      </c>
      <c r="D103" t="str">
        <f>_xlfn.XLOOKUP(TransactionCleanup[[#This Row],[Transaction code]],Transactions[Transaction code],Transactions[Transaction name],,0,)</f>
        <v>Domestic aviation (S)</v>
      </c>
    </row>
    <row r="104" spans="2:4" x14ac:dyDescent="0.45">
      <c r="B104" s="2" t="s">
        <v>110</v>
      </c>
      <c r="C104" s="2" t="s">
        <v>110</v>
      </c>
      <c r="D104" t="str">
        <f>_xlfn.XLOOKUP(TransactionCleanup[[#This Row],[Transaction code]],Transactions[Transaction code],Transactions[Transaction name],,0,)</f>
        <v>Domestic navigation</v>
      </c>
    </row>
    <row r="105" spans="2:4" x14ac:dyDescent="0.45">
      <c r="B105" t="s">
        <v>418</v>
      </c>
      <c r="C105" s="2" t="s">
        <v>110</v>
      </c>
      <c r="D105" t="str">
        <f>_xlfn.XLOOKUP(TransactionCleanup[[#This Row],[Transaction code]],Transactions[Transaction code],Transactions[Transaction name],,0,)</f>
        <v>Domestic navigation</v>
      </c>
    </row>
    <row r="106" spans="2:4" x14ac:dyDescent="0.45">
      <c r="B106" t="s">
        <v>419</v>
      </c>
      <c r="C106" t="s">
        <v>419</v>
      </c>
      <c r="D106" t="str">
        <f>_xlfn.XLOOKUP(TransactionCleanup[[#This Row],[Transaction code]],Transactions[Transaction code],Transactions[Transaction name],,0,)</f>
        <v>Domestic navigation (S)</v>
      </c>
    </row>
    <row r="107" spans="2:4" x14ac:dyDescent="0.45">
      <c r="B107" t="s">
        <v>843</v>
      </c>
      <c r="C107" t="s">
        <v>419</v>
      </c>
      <c r="D107" t="str">
        <f>_xlfn.XLOOKUP(TransactionCleanup[[#This Row],[Transaction code]],Transactions[Transaction code],Transactions[Transaction name],,0,)</f>
        <v>Domestic navigation (S)</v>
      </c>
    </row>
    <row r="108" spans="2:4" x14ac:dyDescent="0.45">
      <c r="B108" t="s">
        <v>758</v>
      </c>
      <c r="C108" t="s">
        <v>419</v>
      </c>
      <c r="D108" t="str">
        <f>_xlfn.XLOOKUP(TransactionCleanup[[#This Row],[Transaction code]],Transactions[Transaction code],Transactions[Transaction name],,0,)</f>
        <v>Domestic navigation (S)</v>
      </c>
    </row>
    <row r="109" spans="2:4" x14ac:dyDescent="0.45">
      <c r="B109" t="s">
        <v>617</v>
      </c>
      <c r="C109" t="s">
        <v>617</v>
      </c>
      <c r="D109" t="str">
        <f>_xlfn.XLOOKUP(TransactionCleanup[[#This Row],[Transaction code]],Transactions[Transaction code],Transactions[Transaction name],,0,)</f>
        <v>Electricity  CHP &amp; Heat Plants (S)</v>
      </c>
    </row>
    <row r="110" spans="2:4" x14ac:dyDescent="0.45">
      <c r="B110" t="s">
        <v>844</v>
      </c>
      <c r="C110" t="s">
        <v>617</v>
      </c>
      <c r="D110" t="str">
        <f>_xlfn.XLOOKUP(TransactionCleanup[[#This Row],[Transaction code]],Transactions[Transaction code],Transactions[Transaction name],,0,)</f>
        <v>Electricity  CHP &amp; Heat Plants (S)</v>
      </c>
    </row>
    <row r="111" spans="2:4" x14ac:dyDescent="0.45">
      <c r="B111" t="s">
        <v>792</v>
      </c>
      <c r="C111" t="s">
        <v>617</v>
      </c>
      <c r="D111" t="str">
        <f>_xlfn.XLOOKUP(TransactionCleanup[[#This Row],[Transaction code]],Transactions[Transaction code],Transactions[Transaction name],,0,)</f>
        <v>Electricity  CHP &amp; Heat Plants (S)</v>
      </c>
    </row>
    <row r="112" spans="2:4" x14ac:dyDescent="0.45">
      <c r="B112" s="2" t="s">
        <v>222</v>
      </c>
      <c r="C112" s="2" t="s">
        <v>222</v>
      </c>
      <c r="D112" t="str">
        <f>_xlfn.XLOOKUP(TransactionCleanup[[#This Row],[Transaction code]],Transactions[Transaction code],Transactions[Transaction name],,0,)</f>
        <v>Electricity and heat from bagasse</v>
      </c>
    </row>
    <row r="113" spans="2:4" x14ac:dyDescent="0.45">
      <c r="B113" t="s">
        <v>815</v>
      </c>
      <c r="C113" s="2" t="s">
        <v>222</v>
      </c>
      <c r="D113" t="str">
        <f>_xlfn.XLOOKUP(TransactionCleanup[[#This Row],[Transaction code]],Transactions[Transaction code],Transactions[Transaction name],,0,)</f>
        <v>Electricity and heat from bagasse</v>
      </c>
    </row>
    <row r="114" spans="2:4" x14ac:dyDescent="0.45">
      <c r="B114" s="2" t="s">
        <v>223</v>
      </c>
      <c r="C114" s="2" t="s">
        <v>223</v>
      </c>
      <c r="D114" t="str">
        <f>_xlfn.XLOOKUP(TransactionCleanup[[#This Row],[Transaction code]],Transactions[Transaction code],Transactions[Transaction name],,0,)</f>
        <v>Electricity and heat from biogases</v>
      </c>
    </row>
    <row r="115" spans="2:4" x14ac:dyDescent="0.45">
      <c r="B115" t="s">
        <v>814</v>
      </c>
      <c r="C115" s="2" t="s">
        <v>223</v>
      </c>
      <c r="D115" t="str">
        <f>_xlfn.XLOOKUP(TransactionCleanup[[#This Row],[Transaction code]],Transactions[Transaction code],Transactions[Transaction name],,0,)</f>
        <v>Electricity and heat from biogases</v>
      </c>
    </row>
    <row r="116" spans="2:4" x14ac:dyDescent="0.45">
      <c r="B116" s="2" t="s">
        <v>217</v>
      </c>
      <c r="C116" s="2" t="s">
        <v>217</v>
      </c>
      <c r="D116" t="str">
        <f>_xlfn.XLOOKUP(TransactionCleanup[[#This Row],[Transaction code]],Transactions[Transaction code],Transactions[Transaction name],,0,)</f>
        <v>Electricity and heat from brown coal</v>
      </c>
    </row>
    <row r="117" spans="2:4" x14ac:dyDescent="0.45">
      <c r="B117" t="s">
        <v>820</v>
      </c>
      <c r="C117" s="2" t="s">
        <v>217</v>
      </c>
      <c r="D117" t="str">
        <f>_xlfn.XLOOKUP(TransactionCleanup[[#This Row],[Transaction code]],Transactions[Transaction code],Transactions[Transaction name],,0,)</f>
        <v>Electricity and heat from brown coal</v>
      </c>
    </row>
    <row r="118" spans="2:4" x14ac:dyDescent="0.45">
      <c r="B118" s="2" t="s">
        <v>219</v>
      </c>
      <c r="C118" s="2" t="s">
        <v>219</v>
      </c>
      <c r="D118" t="str">
        <f>_xlfn.XLOOKUP(TransactionCleanup[[#This Row],[Transaction code]],Transactions[Transaction code],Transactions[Transaction name],,0,)</f>
        <v>Electricity and heat from crude oil</v>
      </c>
    </row>
    <row r="119" spans="2:4" x14ac:dyDescent="0.45">
      <c r="B119" t="s">
        <v>818</v>
      </c>
      <c r="C119" s="2" t="s">
        <v>219</v>
      </c>
      <c r="D119" t="str">
        <f>_xlfn.XLOOKUP(TransactionCleanup[[#This Row],[Transaction code]],Transactions[Transaction code],Transactions[Transaction name],,0,)</f>
        <v>Electricity and heat from crude oil</v>
      </c>
    </row>
    <row r="120" spans="2:4" x14ac:dyDescent="0.45">
      <c r="B120" s="2" t="s">
        <v>209</v>
      </c>
      <c r="C120" s="2" t="s">
        <v>209</v>
      </c>
      <c r="D120" t="str">
        <f>_xlfn.XLOOKUP(TransactionCleanup[[#This Row],[Transaction code]],Transactions[Transaction code],Transactions[Transaction name],,0,)</f>
        <v>Electricity and heat from fuel oil</v>
      </c>
    </row>
    <row r="121" spans="2:4" x14ac:dyDescent="0.45">
      <c r="B121" t="s">
        <v>828</v>
      </c>
      <c r="C121" s="2" t="s">
        <v>209</v>
      </c>
      <c r="D121" t="str">
        <f>_xlfn.XLOOKUP(TransactionCleanup[[#This Row],[Transaction code]],Transactions[Transaction code],Transactions[Transaction name],,0,)</f>
        <v>Electricity and heat from fuel oil</v>
      </c>
    </row>
    <row r="122" spans="2:4" x14ac:dyDescent="0.45">
      <c r="B122" s="2" t="s">
        <v>218</v>
      </c>
      <c r="C122" s="2" t="s">
        <v>218</v>
      </c>
      <c r="D122" t="str">
        <f>_xlfn.XLOOKUP(TransactionCleanup[[#This Row],[Transaction code]],Transactions[Transaction code],Transactions[Transaction name],,0,)</f>
        <v>Electricity and heat from gas oil/diesel oil</v>
      </c>
    </row>
    <row r="123" spans="2:4" x14ac:dyDescent="0.45">
      <c r="B123" t="s">
        <v>819</v>
      </c>
      <c r="C123" s="2" t="s">
        <v>218</v>
      </c>
      <c r="D123" t="str">
        <f>_xlfn.XLOOKUP(TransactionCleanup[[#This Row],[Transaction code]],Transactions[Transaction code],Transactions[Transaction name],,0,)</f>
        <v>Electricity and heat from gas oil/diesel oil</v>
      </c>
    </row>
    <row r="124" spans="2:4" x14ac:dyDescent="0.45">
      <c r="B124" s="2" t="s">
        <v>221</v>
      </c>
      <c r="C124" s="2" t="s">
        <v>221</v>
      </c>
      <c r="D124" t="str">
        <f>_xlfn.XLOOKUP(TransactionCleanup[[#This Row],[Transaction code]],Transactions[Transaction code],Transactions[Transaction name],,0,)</f>
        <v>Electricity and heat from hard coal</v>
      </c>
    </row>
    <row r="125" spans="2:4" x14ac:dyDescent="0.45">
      <c r="B125" t="s">
        <v>816</v>
      </c>
      <c r="C125" s="2" t="s">
        <v>221</v>
      </c>
      <c r="D125" t="str">
        <f>_xlfn.XLOOKUP(TransactionCleanup[[#This Row],[Transaction code]],Transactions[Transaction code],Transactions[Transaction name],,0,)</f>
        <v>Electricity and heat from hard coal</v>
      </c>
    </row>
    <row r="126" spans="2:4" x14ac:dyDescent="0.45">
      <c r="B126" s="2" t="s">
        <v>216</v>
      </c>
      <c r="C126" s="2" t="s">
        <v>216</v>
      </c>
      <c r="D126" t="str">
        <f>_xlfn.XLOOKUP(TransactionCleanup[[#This Row],[Transaction code]],Transactions[Transaction code],Transactions[Transaction name],,0,)</f>
        <v>Electricity and heat from liquid biofuels</v>
      </c>
    </row>
    <row r="127" spans="2:4" x14ac:dyDescent="0.45">
      <c r="B127" t="s">
        <v>821</v>
      </c>
      <c r="C127" s="2" t="s">
        <v>216</v>
      </c>
      <c r="D127" t="str">
        <f>_xlfn.XLOOKUP(TransactionCleanup[[#This Row],[Transaction code]],Transactions[Transaction code],Transactions[Transaction name],,0,)</f>
        <v>Electricity and heat from liquid biofuels</v>
      </c>
    </row>
    <row r="128" spans="2:4" x14ac:dyDescent="0.45">
      <c r="B128" s="2" t="s">
        <v>215</v>
      </c>
      <c r="C128" s="2" t="s">
        <v>215</v>
      </c>
      <c r="D128" t="str">
        <f>_xlfn.XLOOKUP(TransactionCleanup[[#This Row],[Transaction code]],Transactions[Transaction code],Transactions[Transaction name],,0,)</f>
        <v>Electricity and heat from gas coal products</v>
      </c>
    </row>
    <row r="129" spans="2:4" x14ac:dyDescent="0.45">
      <c r="B129" t="s">
        <v>822</v>
      </c>
      <c r="C129" s="2" t="s">
        <v>215</v>
      </c>
      <c r="D129" t="str">
        <f>_xlfn.XLOOKUP(TransactionCleanup[[#This Row],[Transaction code]],Transactions[Transaction code],Transactions[Transaction name],,0,)</f>
        <v>Electricity and heat from gas coal products</v>
      </c>
    </row>
    <row r="130" spans="2:4" x14ac:dyDescent="0.45">
      <c r="B130" s="2" t="s">
        <v>214</v>
      </c>
      <c r="C130" s="2" t="s">
        <v>214</v>
      </c>
      <c r="D130" t="str">
        <f>_xlfn.XLOOKUP(TransactionCleanup[[#This Row],[Transaction code]],Transactions[Transaction code],Transactions[Transaction name],,0,)</f>
        <v>Electricity and heat from natural gas</v>
      </c>
    </row>
    <row r="131" spans="2:4" x14ac:dyDescent="0.45">
      <c r="B131" t="s">
        <v>823</v>
      </c>
      <c r="C131" s="2" t="s">
        <v>214</v>
      </c>
      <c r="D131" t="str">
        <f>_xlfn.XLOOKUP(TransactionCleanup[[#This Row],[Transaction code]],Transactions[Transaction code],Transactions[Transaction name],,0,)</f>
        <v>Electricity and heat from natural gas</v>
      </c>
    </row>
    <row r="132" spans="2:4" x14ac:dyDescent="0.45">
      <c r="B132" s="2" t="s">
        <v>213</v>
      </c>
      <c r="C132" s="2" t="s">
        <v>213</v>
      </c>
      <c r="D132" t="str">
        <f>_xlfn.XLOOKUP(TransactionCleanup[[#This Row],[Transaction code]],Transactions[Transaction code],Transactions[Transaction name],,0,)</f>
        <v>Electricity and heat from non-renewable waste</v>
      </c>
    </row>
    <row r="133" spans="2:4" x14ac:dyDescent="0.45">
      <c r="B133" t="s">
        <v>824</v>
      </c>
      <c r="C133" s="2" t="s">
        <v>213</v>
      </c>
      <c r="D133" t="str">
        <f>_xlfn.XLOOKUP(TransactionCleanup[[#This Row],[Transaction code]],Transactions[Transaction code],Transactions[Transaction name],,0,)</f>
        <v>Electricity and heat from non-renewable waste</v>
      </c>
    </row>
    <row r="134" spans="2:4" x14ac:dyDescent="0.45">
      <c r="B134" s="2" t="s">
        <v>212</v>
      </c>
      <c r="C134" s="2" t="s">
        <v>212</v>
      </c>
      <c r="D134" t="str">
        <f>_xlfn.XLOOKUP(TransactionCleanup[[#This Row],[Transaction code]],Transactions[Transaction code],Transactions[Transaction name],,0,)</f>
        <v>Electricity and heat from oil shale</v>
      </c>
    </row>
    <row r="135" spans="2:4" x14ac:dyDescent="0.45">
      <c r="B135" t="s">
        <v>825</v>
      </c>
      <c r="C135" s="2" t="s">
        <v>212</v>
      </c>
      <c r="D135" t="str">
        <f>_xlfn.XLOOKUP(TransactionCleanup[[#This Row],[Transaction code]],Transactions[Transaction code],Transactions[Transaction name],,0,)</f>
        <v>Electricity and heat from oil shale</v>
      </c>
    </row>
    <row r="136" spans="2:4" x14ac:dyDescent="0.45">
      <c r="B136" s="2" t="s">
        <v>211</v>
      </c>
      <c r="C136" s="2" t="s">
        <v>211</v>
      </c>
      <c r="D136" t="str">
        <f>_xlfn.XLOOKUP(TransactionCleanup[[#This Row],[Transaction code]],Transactions[Transaction code],Transactions[Transaction name],,0,)</f>
        <v>Electricity and heat from other oil products</v>
      </c>
    </row>
    <row r="137" spans="2:4" x14ac:dyDescent="0.45">
      <c r="B137" t="s">
        <v>826</v>
      </c>
      <c r="C137" s="2" t="s">
        <v>211</v>
      </c>
      <c r="D137" t="str">
        <f>_xlfn.XLOOKUP(TransactionCleanup[[#This Row],[Transaction code]],Transactions[Transaction code],Transactions[Transaction name],,0,)</f>
        <v>Electricity and heat from other oil products</v>
      </c>
    </row>
    <row r="138" spans="2:4" x14ac:dyDescent="0.45">
      <c r="B138" s="2" t="s">
        <v>210</v>
      </c>
      <c r="C138" s="2" t="s">
        <v>210</v>
      </c>
      <c r="D138" t="str">
        <f>_xlfn.XLOOKUP(TransactionCleanup[[#This Row],[Transaction code]],Transactions[Transaction code],Transactions[Transaction name],,0,)</f>
        <v>Electricity and heat from peat</v>
      </c>
    </row>
    <row r="139" spans="2:4" x14ac:dyDescent="0.45">
      <c r="B139" t="s">
        <v>827</v>
      </c>
      <c r="C139" s="2" t="s">
        <v>210</v>
      </c>
      <c r="D139" t="str">
        <f>_xlfn.XLOOKUP(TransactionCleanup[[#This Row],[Transaction code]],Transactions[Transaction code],Transactions[Transaction name],,0,)</f>
        <v>Electricity and heat from peat</v>
      </c>
    </row>
    <row r="140" spans="2:4" x14ac:dyDescent="0.45">
      <c r="B140" s="2" t="s">
        <v>208</v>
      </c>
      <c r="C140" s="2" t="s">
        <v>208</v>
      </c>
      <c r="D140" t="str">
        <f>_xlfn.XLOOKUP(TransactionCleanup[[#This Row],[Transaction code]],Transactions[Transaction code],Transactions[Transaction name],,0,)</f>
        <v>Electricity and heat from renewable municipal waste</v>
      </c>
    </row>
    <row r="141" spans="2:4" x14ac:dyDescent="0.45">
      <c r="B141" t="s">
        <v>829</v>
      </c>
      <c r="C141" s="2" t="s">
        <v>208</v>
      </c>
      <c r="D141" t="str">
        <f>_xlfn.XLOOKUP(TransactionCleanup[[#This Row],[Transaction code]],Transactions[Transaction code],Transactions[Transaction name],,0,)</f>
        <v>Electricity and heat from renewable municipal waste</v>
      </c>
    </row>
    <row r="142" spans="2:4" x14ac:dyDescent="0.45">
      <c r="B142" s="2" t="s">
        <v>207</v>
      </c>
      <c r="C142" s="2" t="s">
        <v>207</v>
      </c>
      <c r="D142" t="str">
        <f>_xlfn.XLOOKUP(TransactionCleanup[[#This Row],[Transaction code]],Transactions[Transaction code],Transactions[Transaction name],,0,)</f>
        <v>Electricity and heat from solid biofuels</v>
      </c>
    </row>
    <row r="143" spans="2:4" x14ac:dyDescent="0.45">
      <c r="B143" t="s">
        <v>813</v>
      </c>
      <c r="C143" s="2" t="s">
        <v>207</v>
      </c>
      <c r="D143" t="str">
        <f>_xlfn.XLOOKUP(TransactionCleanup[[#This Row],[Transaction code]],Transactions[Transaction code],Transactions[Transaction name],,0,)</f>
        <v>Electricity and heat from solid biofuels</v>
      </c>
    </row>
    <row r="144" spans="2:4" x14ac:dyDescent="0.45">
      <c r="B144" s="2" t="s">
        <v>220</v>
      </c>
      <c r="C144" s="2" t="s">
        <v>220</v>
      </c>
      <c r="D144" t="str">
        <f>_xlfn.XLOOKUP(TransactionCleanup[[#This Row],[Transaction code]],Transactions[Transaction code],Transactions[Transaction name],,0,)</f>
        <v>Electricity and heat from solid coal products</v>
      </c>
    </row>
    <row r="145" spans="2:4" x14ac:dyDescent="0.45">
      <c r="B145" t="s">
        <v>817</v>
      </c>
      <c r="C145" s="2" t="s">
        <v>220</v>
      </c>
      <c r="D145" t="str">
        <f>_xlfn.XLOOKUP(TransactionCleanup[[#This Row],[Transaction code]],Transactions[Transaction code],Transactions[Transaction name],,0,)</f>
        <v>Electricity and heat from solid coal products</v>
      </c>
    </row>
    <row r="146" spans="2:4" x14ac:dyDescent="0.45">
      <c r="B146" s="2" t="s">
        <v>49</v>
      </c>
      <c r="C146" s="2" t="s">
        <v>49</v>
      </c>
      <c r="D146" t="str">
        <f>_xlfn.XLOOKUP(TransactionCleanup[[#This Row],[Transaction code]],Transactions[Transaction code],Transactions[Transaction name],,0,)</f>
        <v>IC Other energy</v>
      </c>
    </row>
    <row r="147" spans="2:4" x14ac:dyDescent="0.45">
      <c r="B147" t="s">
        <v>54</v>
      </c>
      <c r="C147" s="2" t="s">
        <v>49</v>
      </c>
      <c r="D147" t="str">
        <f>_xlfn.XLOOKUP(TransactionCleanup[[#This Row],[Transaction code]],Transactions[Transaction code],Transactions[Transaction name],,0,)</f>
        <v>IC Other energy</v>
      </c>
    </row>
    <row r="148" spans="2:4" x14ac:dyDescent="0.45">
      <c r="B148" s="2" t="s">
        <v>51</v>
      </c>
      <c r="C148" s="2" t="s">
        <v>51</v>
      </c>
      <c r="D148" t="str">
        <f>_xlfn.XLOOKUP(TransactionCleanup[[#This Row],[Transaction code]],Transactions[Transaction code],Transactions[Transaction name],,0,)</f>
        <v>IC Other energy - Autoproducers</v>
      </c>
    </row>
    <row r="149" spans="2:4" x14ac:dyDescent="0.45">
      <c r="B149" t="s">
        <v>50</v>
      </c>
      <c r="C149" s="2" t="s">
        <v>51</v>
      </c>
      <c r="D149" t="str">
        <f>_xlfn.XLOOKUP(TransactionCleanup[[#This Row],[Transaction code]],Transactions[Transaction code],Transactions[Transaction name],,0,)</f>
        <v>IC Other energy - Autoproducers</v>
      </c>
    </row>
    <row r="150" spans="2:4" x14ac:dyDescent="0.45">
      <c r="B150" s="2" t="s">
        <v>53</v>
      </c>
      <c r="C150" s="2" t="s">
        <v>53</v>
      </c>
      <c r="D150" t="str">
        <f>_xlfn.XLOOKUP(TransactionCleanup[[#This Row],[Transaction code]],Transactions[Transaction code],Transactions[Transaction name],,0,)</f>
        <v>IC Other energy - Main activity producers</v>
      </c>
    </row>
    <row r="151" spans="2:4" x14ac:dyDescent="0.45">
      <c r="B151" t="s">
        <v>52</v>
      </c>
      <c r="C151" s="2" t="s">
        <v>53</v>
      </c>
      <c r="D151" t="str">
        <f>_xlfn.XLOOKUP(TransactionCleanup[[#This Row],[Transaction code]],Transactions[Transaction code],Transactions[Transaction name],,0,)</f>
        <v>IC Other energy - Main activity producers</v>
      </c>
    </row>
    <row r="152" spans="2:4" x14ac:dyDescent="0.45">
      <c r="B152" s="2" t="s">
        <v>45</v>
      </c>
      <c r="C152" s="2" t="s">
        <v>45</v>
      </c>
      <c r="D152" t="str">
        <f>_xlfn.XLOOKUP(TransactionCleanup[[#This Row],[Transaction code]],Transactions[Transaction code],Transactions[Transaction name],,0,)</f>
        <v>IC Pumped hydropower - Autoproducers</v>
      </c>
    </row>
    <row r="153" spans="2:4" x14ac:dyDescent="0.45">
      <c r="B153" t="s">
        <v>44</v>
      </c>
      <c r="C153" s="2" t="s">
        <v>45</v>
      </c>
      <c r="D153" t="str">
        <f>_xlfn.XLOOKUP(TransactionCleanup[[#This Row],[Transaction code]],Transactions[Transaction code],Transactions[Transaction name],,0,)</f>
        <v>IC Pumped hydropower - Autoproducers</v>
      </c>
    </row>
    <row r="154" spans="2:4" x14ac:dyDescent="0.45">
      <c r="B154" s="2" t="s">
        <v>48</v>
      </c>
      <c r="C154" s="2" t="s">
        <v>48</v>
      </c>
      <c r="D154" t="str">
        <f>_xlfn.XLOOKUP(TransactionCleanup[[#This Row],[Transaction code]],Transactions[Transaction code],Transactions[Transaction name],,0,)</f>
        <v>IC Pumped hydropower - Main activity producers</v>
      </c>
    </row>
    <row r="155" spans="2:4" x14ac:dyDescent="0.45">
      <c r="B155" t="s">
        <v>47</v>
      </c>
      <c r="C155" s="2" t="s">
        <v>48</v>
      </c>
      <c r="D155" t="str">
        <f>_xlfn.XLOOKUP(TransactionCleanup[[#This Row],[Transaction code]],Transactions[Transaction code],Transactions[Transaction name],,0,)</f>
        <v>IC Pumped hydropower - Main activity producers</v>
      </c>
    </row>
    <row r="156" spans="2:4" x14ac:dyDescent="0.45">
      <c r="B156" s="2" t="s">
        <v>40</v>
      </c>
      <c r="C156" s="2" t="s">
        <v>40</v>
      </c>
      <c r="D156" t="str">
        <f>_xlfn.XLOOKUP(TransactionCleanup[[#This Row],[Transaction code]],Transactions[Transaction code],Transactions[Transaction name],,0,)</f>
        <v>IC Solar PV - Autoproducers</v>
      </c>
    </row>
    <row r="157" spans="2:4" x14ac:dyDescent="0.45">
      <c r="B157" t="s">
        <v>39</v>
      </c>
      <c r="C157" s="2" t="s">
        <v>40</v>
      </c>
      <c r="D157" t="str">
        <f>_xlfn.XLOOKUP(TransactionCleanup[[#This Row],[Transaction code]],Transactions[Transaction code],Transactions[Transaction name],,0,)</f>
        <v>IC Solar PV - Autoproducers</v>
      </c>
    </row>
    <row r="158" spans="2:4" x14ac:dyDescent="0.45">
      <c r="B158" s="2" t="s">
        <v>42</v>
      </c>
      <c r="C158" s="2" t="s">
        <v>42</v>
      </c>
      <c r="D158" t="str">
        <f>_xlfn.XLOOKUP(TransactionCleanup[[#This Row],[Transaction code]],Transactions[Transaction code],Transactions[Transaction name],,0,)</f>
        <v>IC Solar PV - Main activity producers</v>
      </c>
    </row>
    <row r="159" spans="2:4" x14ac:dyDescent="0.45">
      <c r="B159" t="s">
        <v>41</v>
      </c>
      <c r="C159" s="2" t="s">
        <v>42</v>
      </c>
      <c r="D159" t="str">
        <f>_xlfn.XLOOKUP(TransactionCleanup[[#This Row],[Transaction code]],Transactions[Transaction code],Transactions[Transaction name],,0,)</f>
        <v>IC Solar PV - Main activity producers</v>
      </c>
    </row>
    <row r="160" spans="2:4" x14ac:dyDescent="0.45">
      <c r="B160" s="2" t="s">
        <v>35</v>
      </c>
      <c r="C160" s="2" t="s">
        <v>35</v>
      </c>
      <c r="D160" t="str">
        <f>_xlfn.XLOOKUP(TransactionCleanup[[#This Row],[Transaction code]],Transactions[Transaction code],Transactions[Transaction name],,0,)</f>
        <v>IC Solar CSP - Autoproducers</v>
      </c>
    </row>
    <row r="161" spans="2:4" x14ac:dyDescent="0.45">
      <c r="B161" t="s">
        <v>34</v>
      </c>
      <c r="C161" s="2" t="s">
        <v>35</v>
      </c>
      <c r="D161" t="str">
        <f>_xlfn.XLOOKUP(TransactionCleanup[[#This Row],[Transaction code]],Transactions[Transaction code],Transactions[Transaction name],,0,)</f>
        <v>IC Solar CSP - Autoproducers</v>
      </c>
    </row>
    <row r="162" spans="2:4" x14ac:dyDescent="0.45">
      <c r="B162" s="2" t="s">
        <v>38</v>
      </c>
      <c r="C162" s="2" t="s">
        <v>38</v>
      </c>
      <c r="D162" t="str">
        <f>_xlfn.XLOOKUP(TransactionCleanup[[#This Row],[Transaction code]],Transactions[Transaction code],Transactions[Transaction name],,0,)</f>
        <v>IC Solar CSP - Main activity producers</v>
      </c>
    </row>
    <row r="163" spans="2:4" x14ac:dyDescent="0.45">
      <c r="B163" t="s">
        <v>37</v>
      </c>
      <c r="C163" s="2" t="s">
        <v>38</v>
      </c>
      <c r="D163" t="str">
        <f>_xlfn.XLOOKUP(TransactionCleanup[[#This Row],[Transaction code]],Transactions[Transaction code],Transactions[Transaction name],,0,)</f>
        <v>IC Solar CSP - Main activity producers</v>
      </c>
    </row>
    <row r="164" spans="2:4" x14ac:dyDescent="0.45">
      <c r="B164" s="2" t="s">
        <v>254</v>
      </c>
      <c r="C164" s="2" t="s">
        <v>254</v>
      </c>
      <c r="D164" t="str">
        <f>_xlfn.XLOOKUP(TransactionCleanup[[#This Row],[Transaction code]],Transactions[Transaction code],Transactions[Transaction name],,0,)</f>
        <v>Electricity plants - Autoproducer - chemical heat/sources</v>
      </c>
    </row>
    <row r="165" spans="2:4" x14ac:dyDescent="0.45">
      <c r="B165" t="s">
        <v>686</v>
      </c>
      <c r="C165" s="2" t="s">
        <v>254</v>
      </c>
      <c r="D165" t="str">
        <f>_xlfn.XLOOKUP(TransactionCleanup[[#This Row],[Transaction code]],Transactions[Transaction code],Transactions[Transaction name],,0,)</f>
        <v>Electricity plants - Autoproducer - chemical heat/sources</v>
      </c>
    </row>
    <row r="166" spans="2:4" x14ac:dyDescent="0.45">
      <c r="B166" s="2" t="s">
        <v>280</v>
      </c>
      <c r="C166" s="2" t="s">
        <v>280</v>
      </c>
      <c r="D166" t="str">
        <f>_xlfn.XLOOKUP(TransactionCleanup[[#This Row],[Transaction code]],Transactions[Transaction code],Transactions[Transaction name],,0,)</f>
        <v>Electricity plants - Autoproducer - combustible fuels</v>
      </c>
    </row>
    <row r="167" spans="2:4" x14ac:dyDescent="0.45">
      <c r="B167" t="s">
        <v>684</v>
      </c>
      <c r="C167" s="2" t="s">
        <v>280</v>
      </c>
      <c r="D167" t="str">
        <f>_xlfn.XLOOKUP(TransactionCleanup[[#This Row],[Transaction code]],Transactions[Transaction code],Transactions[Transaction name],,0,)</f>
        <v>Electricity plants - Autoproducer - combustible fuels</v>
      </c>
    </row>
    <row r="168" spans="2:4" x14ac:dyDescent="0.45">
      <c r="B168" s="2" t="s">
        <v>268</v>
      </c>
      <c r="C168" s="2" t="s">
        <v>268</v>
      </c>
      <c r="D168" t="str">
        <f>_xlfn.XLOOKUP(TransactionCleanup[[#This Row],[Transaction code]],Transactions[Transaction code],Transactions[Transaction name],,0,)</f>
        <v>Electricity plants - Autoproducer - Geothermal</v>
      </c>
    </row>
    <row r="169" spans="2:4" x14ac:dyDescent="0.45">
      <c r="B169" t="s">
        <v>685</v>
      </c>
      <c r="C169" s="2" t="s">
        <v>268</v>
      </c>
      <c r="D169" t="str">
        <f>_xlfn.XLOOKUP(TransactionCleanup[[#This Row],[Transaction code]],Transactions[Transaction code],Transactions[Transaction name],,0,)</f>
        <v>Electricity plants - Autoproducer - Geothermal</v>
      </c>
    </row>
    <row r="170" spans="2:4" x14ac:dyDescent="0.45">
      <c r="B170" s="2" t="s">
        <v>233</v>
      </c>
      <c r="C170" s="2" t="s">
        <v>233</v>
      </c>
      <c r="D170" t="str">
        <f>_xlfn.XLOOKUP(TransactionCleanup[[#This Row],[Transaction code]],Transactions[Transaction code],Transactions[Transaction name],,0,)</f>
        <v>Electricity plants - Autoproducer - Hydro</v>
      </c>
    </row>
    <row r="171" spans="2:4" x14ac:dyDescent="0.45">
      <c r="B171" t="s">
        <v>804</v>
      </c>
      <c r="C171" s="2" t="s">
        <v>233</v>
      </c>
      <c r="D171" t="str">
        <f>_xlfn.XLOOKUP(TransactionCleanup[[#This Row],[Transaction code]],Transactions[Transaction code],Transactions[Transaction name],,0,)</f>
        <v>Electricity plants - Autoproducer - Hydro</v>
      </c>
    </row>
    <row r="172" spans="2:4" x14ac:dyDescent="0.45">
      <c r="B172" s="2" t="s">
        <v>240</v>
      </c>
      <c r="C172" s="2" t="s">
        <v>240</v>
      </c>
      <c r="D172" t="str">
        <f>_xlfn.XLOOKUP(TransactionCleanup[[#This Row],[Transaction code]],Transactions[Transaction code],Transactions[Transaction name],,0,)</f>
        <v>Electricity plants - Autoproducer - Nuclear</v>
      </c>
    </row>
    <row r="173" spans="2:4" x14ac:dyDescent="0.45">
      <c r="B173" t="s">
        <v>687</v>
      </c>
      <c r="C173" s="2" t="s">
        <v>240</v>
      </c>
      <c r="D173" t="str">
        <f>_xlfn.XLOOKUP(TransactionCleanup[[#This Row],[Transaction code]],Transactions[Transaction code],Transactions[Transaction name],,0,)</f>
        <v>Electricity plants - Autoproducer - Nuclear</v>
      </c>
    </row>
    <row r="174" spans="2:4" x14ac:dyDescent="0.45">
      <c r="B174" s="2" t="s">
        <v>237</v>
      </c>
      <c r="C174" s="2" t="s">
        <v>237</v>
      </c>
      <c r="D174" t="str">
        <f>_xlfn.XLOOKUP(TransactionCleanup[[#This Row],[Transaction code]],Transactions[Transaction code],Transactions[Transaction name],,0,)</f>
        <v>Electricity plants - Autoproducer - other sources</v>
      </c>
    </row>
    <row r="175" spans="2:4" x14ac:dyDescent="0.45">
      <c r="B175" t="s">
        <v>688</v>
      </c>
      <c r="C175" s="2" t="s">
        <v>237</v>
      </c>
      <c r="D175" t="str">
        <f>_xlfn.XLOOKUP(TransactionCleanup[[#This Row],[Transaction code]],Transactions[Transaction code],Transactions[Transaction name],,0,)</f>
        <v>Electricity plants - Autoproducer - other sources</v>
      </c>
    </row>
    <row r="176" spans="2:4" x14ac:dyDescent="0.45">
      <c r="B176" s="2" t="s">
        <v>234</v>
      </c>
      <c r="C176" s="2" t="s">
        <v>234</v>
      </c>
      <c r="D176" t="str">
        <f>_xlfn.XLOOKUP(TransactionCleanup[[#This Row],[Transaction code]],Transactions[Transaction code],Transactions[Transaction name],,0,)</f>
        <v>Electricity plants - Autoproducer - Pumped hydro</v>
      </c>
    </row>
    <row r="177" spans="2:4" x14ac:dyDescent="0.45">
      <c r="B177" t="s">
        <v>801</v>
      </c>
      <c r="C177" s="2" t="s">
        <v>234</v>
      </c>
      <c r="D177" t="str">
        <f>_xlfn.XLOOKUP(TransactionCleanup[[#This Row],[Transaction code]],Transactions[Transaction code],Transactions[Transaction name],,0,)</f>
        <v>Electricity plants - Autoproducer - Pumped hydro</v>
      </c>
    </row>
    <row r="178" spans="2:4" x14ac:dyDescent="0.45">
      <c r="B178" s="2" t="s">
        <v>232</v>
      </c>
      <c r="C178" s="2" t="s">
        <v>232</v>
      </c>
      <c r="D178" t="str">
        <f>_xlfn.XLOOKUP(TransactionCleanup[[#This Row],[Transaction code]],Transactions[Transaction code],Transactions[Transaction name],,0,)</f>
        <v>Electricity plants - Autoproducer - Solar PV</v>
      </c>
    </row>
    <row r="179" spans="2:4" x14ac:dyDescent="0.45">
      <c r="B179" t="s">
        <v>802</v>
      </c>
      <c r="C179" s="2" t="s">
        <v>232</v>
      </c>
      <c r="D179" t="str">
        <f>_xlfn.XLOOKUP(TransactionCleanup[[#This Row],[Transaction code]],Transactions[Transaction code],Transactions[Transaction name],,0,)</f>
        <v>Electricity plants - Autoproducer - Solar PV</v>
      </c>
    </row>
    <row r="180" spans="2:4" x14ac:dyDescent="0.45">
      <c r="B180" s="2" t="s">
        <v>229</v>
      </c>
      <c r="C180" s="2" t="s">
        <v>229</v>
      </c>
      <c r="D180" t="str">
        <f>_xlfn.XLOOKUP(TransactionCleanup[[#This Row],[Transaction code]],Transactions[Transaction code],Transactions[Transaction name],,0,)</f>
        <v>Electricity plants - Autoproducer - Tide, wave and marine</v>
      </c>
    </row>
    <row r="181" spans="2:4" x14ac:dyDescent="0.45">
      <c r="B181" t="s">
        <v>811</v>
      </c>
      <c r="C181" s="2" t="s">
        <v>229</v>
      </c>
      <c r="D181" t="str">
        <f>_xlfn.XLOOKUP(TransactionCleanup[[#This Row],[Transaction code]],Transactions[Transaction code],Transactions[Transaction name],,0,)</f>
        <v>Electricity plants - Autoproducer - Tide, wave and marine</v>
      </c>
    </row>
    <row r="182" spans="2:4" x14ac:dyDescent="0.45">
      <c r="B182" s="2" t="s">
        <v>228</v>
      </c>
      <c r="C182" s="2" t="s">
        <v>228</v>
      </c>
      <c r="D182" t="str">
        <f>_xlfn.XLOOKUP(TransactionCleanup[[#This Row],[Transaction code]],Transactions[Transaction code],Transactions[Transaction name],,0,)</f>
        <v>Electricity plants - Autoproducer - Wind</v>
      </c>
    </row>
    <row r="183" spans="2:4" x14ac:dyDescent="0.45">
      <c r="B183" t="s">
        <v>812</v>
      </c>
      <c r="C183" s="2" t="s">
        <v>228</v>
      </c>
      <c r="D183" t="str">
        <f>_xlfn.XLOOKUP(TransactionCleanup[[#This Row],[Transaction code]],Transactions[Transaction code],Transactions[Transaction name],,0,)</f>
        <v>Electricity plants - Autoproducer - Wind</v>
      </c>
    </row>
    <row r="184" spans="2:4" x14ac:dyDescent="0.45">
      <c r="B184" s="2" t="s">
        <v>176</v>
      </c>
      <c r="C184" s="2" t="s">
        <v>176</v>
      </c>
      <c r="D184" t="str">
        <f>_xlfn.XLOOKUP(TransactionCleanup[[#This Row],[Transaction code]],Transactions[Transaction code],Transactions[Transaction name],,0,)</f>
        <v>Electricity plants - Autoproducers</v>
      </c>
    </row>
    <row r="185" spans="2:4" x14ac:dyDescent="0.45">
      <c r="B185" t="s">
        <v>690</v>
      </c>
      <c r="C185" s="2" t="s">
        <v>176</v>
      </c>
      <c r="D185" t="str">
        <f>_xlfn.XLOOKUP(TransactionCleanup[[#This Row],[Transaction code]],Transactions[Transaction code],Transactions[Transaction name],,0,)</f>
        <v>Electricity plants - Autoproducers</v>
      </c>
    </row>
    <row r="186" spans="2:4" x14ac:dyDescent="0.45">
      <c r="B186" s="2" t="s">
        <v>177</v>
      </c>
      <c r="C186" s="2" t="s">
        <v>177</v>
      </c>
      <c r="D186" t="str">
        <f>_xlfn.XLOOKUP(TransactionCleanup[[#This Row],[Transaction code]],Transactions[Transaction code],Transactions[Transaction name],,0,)</f>
        <v>Electricity plants - Main activity</v>
      </c>
    </row>
    <row r="187" spans="2:4" x14ac:dyDescent="0.45">
      <c r="B187" t="s">
        <v>689</v>
      </c>
      <c r="C187" s="2" t="s">
        <v>177</v>
      </c>
      <c r="D187" t="str">
        <f>_xlfn.XLOOKUP(TransactionCleanup[[#This Row],[Transaction code]],Transactions[Transaction code],Transactions[Transaction name],,0,)</f>
        <v>Electricity plants - Main activity</v>
      </c>
    </row>
    <row r="188" spans="2:4" x14ac:dyDescent="0.45">
      <c r="B188" s="2" t="s">
        <v>336</v>
      </c>
      <c r="C188" s="2" t="s">
        <v>336</v>
      </c>
      <c r="D188" t="str">
        <f>_xlfn.XLOOKUP(TransactionCleanup[[#This Row],[Transaction code]],Transactions[Transaction code],Transactions[Transaction name],,0,)</f>
        <v>Electricity plants - Main activity - chemical heat/sources</v>
      </c>
    </row>
    <row r="189" spans="2:4" x14ac:dyDescent="0.45">
      <c r="B189" t="s">
        <v>680</v>
      </c>
      <c r="C189" s="2" t="s">
        <v>336</v>
      </c>
      <c r="D189" t="str">
        <f>_xlfn.XLOOKUP(TransactionCleanup[[#This Row],[Transaction code]],Transactions[Transaction code],Transactions[Transaction name],,0,)</f>
        <v>Electricity plants - Main activity - chemical heat/sources</v>
      </c>
    </row>
    <row r="190" spans="2:4" x14ac:dyDescent="0.45">
      <c r="B190" s="2" t="s">
        <v>362</v>
      </c>
      <c r="C190" s="2" t="s">
        <v>362</v>
      </c>
      <c r="D190" t="str">
        <f>_xlfn.XLOOKUP(TransactionCleanup[[#This Row],[Transaction code]],Transactions[Transaction code],Transactions[Transaction name],,0,)</f>
        <v>Electricity plants - Main activity - combustible fuels</v>
      </c>
    </row>
    <row r="191" spans="2:4" x14ac:dyDescent="0.45">
      <c r="B191" t="s">
        <v>658</v>
      </c>
      <c r="C191" s="2" t="s">
        <v>362</v>
      </c>
      <c r="D191" t="str">
        <f>_xlfn.XLOOKUP(TransactionCleanup[[#This Row],[Transaction code]],Transactions[Transaction code],Transactions[Transaction name],,0,)</f>
        <v>Electricity plants - Main activity - combustible fuels</v>
      </c>
    </row>
    <row r="192" spans="2:4" x14ac:dyDescent="0.45">
      <c r="B192" s="2" t="s">
        <v>355</v>
      </c>
      <c r="C192" s="2" t="s">
        <v>355</v>
      </c>
      <c r="D192" t="str">
        <f>_xlfn.XLOOKUP(TransactionCleanup[[#This Row],[Transaction code]],Transactions[Transaction code],Transactions[Transaction name],,0,)</f>
        <v>Heat plants - Main activity - electric boilers</v>
      </c>
    </row>
    <row r="193" spans="2:4" x14ac:dyDescent="0.45">
      <c r="B193" t="s">
        <v>659</v>
      </c>
      <c r="C193" s="2" t="s">
        <v>355</v>
      </c>
      <c r="D193" t="str">
        <f>_xlfn.XLOOKUP(TransactionCleanup[[#This Row],[Transaction code]],Transactions[Transaction code],Transactions[Transaction name],,0,)</f>
        <v>Heat plants - Main activity - electric boilers</v>
      </c>
    </row>
    <row r="194" spans="2:4" x14ac:dyDescent="0.45">
      <c r="B194" s="2" t="s">
        <v>346</v>
      </c>
      <c r="C194" s="2" t="s">
        <v>346</v>
      </c>
      <c r="D194" t="str">
        <f>_xlfn.XLOOKUP(TransactionCleanup[[#This Row],[Transaction code]],Transactions[Transaction code],Transactions[Transaction name],,0,)</f>
        <v>Electricity plants - Main activity - Geothermal</v>
      </c>
    </row>
    <row r="195" spans="2:4" x14ac:dyDescent="0.45">
      <c r="B195" t="s">
        <v>660</v>
      </c>
      <c r="C195" s="2" t="s">
        <v>346</v>
      </c>
      <c r="D195" t="str">
        <f>_xlfn.XLOOKUP(TransactionCleanup[[#This Row],[Transaction code]],Transactions[Transaction code],Transactions[Transaction name],,0,)</f>
        <v>Electricity plants - Main activity - Geothermal</v>
      </c>
    </row>
    <row r="196" spans="2:4" x14ac:dyDescent="0.45">
      <c r="B196" s="2" t="s">
        <v>303</v>
      </c>
      <c r="C196" s="2" t="s">
        <v>303</v>
      </c>
      <c r="D196" t="str">
        <f>_xlfn.XLOOKUP(TransactionCleanup[[#This Row],[Transaction code]],Transactions[Transaction code],Transactions[Transaction name],,0,)</f>
        <v>Electricity plants - Main activity - Hydro</v>
      </c>
    </row>
    <row r="197" spans="2:4" x14ac:dyDescent="0.45">
      <c r="B197" t="s">
        <v>808</v>
      </c>
      <c r="C197" s="2" t="s">
        <v>303</v>
      </c>
      <c r="D197" t="str">
        <f>_xlfn.XLOOKUP(TransactionCleanup[[#This Row],[Transaction code]],Transactions[Transaction code],Transactions[Transaction name],,0,)</f>
        <v>Electricity plants - Main activity - Hydro</v>
      </c>
    </row>
    <row r="198" spans="2:4" x14ac:dyDescent="0.45">
      <c r="B198" s="2" t="s">
        <v>322</v>
      </c>
      <c r="C198" s="2" t="s">
        <v>322</v>
      </c>
      <c r="D198" t="str">
        <f>_xlfn.XLOOKUP(TransactionCleanup[[#This Row],[Transaction code]],Transactions[Transaction code],Transactions[Transaction name],,0,)</f>
        <v>Electricity plants - Main activity - Nuclear</v>
      </c>
    </row>
    <row r="199" spans="2:4" x14ac:dyDescent="0.45">
      <c r="B199" t="s">
        <v>681</v>
      </c>
      <c r="C199" s="2" t="s">
        <v>322</v>
      </c>
      <c r="D199" t="str">
        <f>_xlfn.XLOOKUP(TransactionCleanup[[#This Row],[Transaction code]],Transactions[Transaction code],Transactions[Transaction name],,0,)</f>
        <v>Electricity plants - Main activity - Nuclear</v>
      </c>
    </row>
    <row r="200" spans="2:4" x14ac:dyDescent="0.45">
      <c r="B200" s="2" t="s">
        <v>311</v>
      </c>
      <c r="C200" s="2" t="s">
        <v>311</v>
      </c>
      <c r="D200" t="str">
        <f>_xlfn.XLOOKUP(TransactionCleanup[[#This Row],[Transaction code]],Transactions[Transaction code],Transactions[Transaction name],,0,)</f>
        <v>Electricity plants - Main activity - other sources</v>
      </c>
    </row>
    <row r="201" spans="2:4" x14ac:dyDescent="0.45">
      <c r="B201" t="s">
        <v>682</v>
      </c>
      <c r="C201" s="2" t="s">
        <v>311</v>
      </c>
      <c r="D201" t="str">
        <f>_xlfn.XLOOKUP(TransactionCleanup[[#This Row],[Transaction code]],Transactions[Transaction code],Transactions[Transaction name],,0,)</f>
        <v>Electricity plants - Main activity - other sources</v>
      </c>
    </row>
    <row r="202" spans="2:4" x14ac:dyDescent="0.45">
      <c r="B202" s="2" t="s">
        <v>296</v>
      </c>
      <c r="C202" s="2" t="s">
        <v>296</v>
      </c>
      <c r="D202" t="str">
        <f>_xlfn.XLOOKUP(TransactionCleanup[[#This Row],[Transaction code]],Transactions[Transaction code],Transactions[Transaction name],,0,)</f>
        <v>Electricity plants - Main activity - Solar PV</v>
      </c>
    </row>
    <row r="203" spans="2:4" x14ac:dyDescent="0.45">
      <c r="B203" t="s">
        <v>809</v>
      </c>
      <c r="C203" s="2" t="s">
        <v>296</v>
      </c>
      <c r="D203" t="str">
        <f>_xlfn.XLOOKUP(TransactionCleanup[[#This Row],[Transaction code]],Transactions[Transaction code],Transactions[Transaction name],,0,)</f>
        <v>Electricity plants - Main activity - Solar PV</v>
      </c>
    </row>
    <row r="204" spans="2:4" x14ac:dyDescent="0.45">
      <c r="B204" s="2" t="s">
        <v>290</v>
      </c>
      <c r="C204" s="2" t="s">
        <v>290</v>
      </c>
      <c r="D204" t="str">
        <f>_xlfn.XLOOKUP(TransactionCleanup[[#This Row],[Transaction code]],Transactions[Transaction code],Transactions[Transaction name],,0,)</f>
        <v>Electricity plants - Main activity - Tide, wave and marine</v>
      </c>
    </row>
    <row r="205" spans="2:4" x14ac:dyDescent="0.45">
      <c r="B205" t="s">
        <v>805</v>
      </c>
      <c r="C205" s="2" t="s">
        <v>290</v>
      </c>
      <c r="D205" t="str">
        <f>_xlfn.XLOOKUP(TransactionCleanup[[#This Row],[Transaction code]],Transactions[Transaction code],Transactions[Transaction name],,0,)</f>
        <v>Electricity plants - Main activity - Tide, wave and marine</v>
      </c>
    </row>
    <row r="206" spans="2:4" x14ac:dyDescent="0.45">
      <c r="B206" s="2" t="s">
        <v>286</v>
      </c>
      <c r="C206" s="2" t="s">
        <v>286</v>
      </c>
      <c r="D206" t="str">
        <f>_xlfn.XLOOKUP(TransactionCleanup[[#This Row],[Transaction code]],Transactions[Transaction code],Transactions[Transaction name],,0,)</f>
        <v>Electricity plants - Main activity - Wind</v>
      </c>
    </row>
    <row r="207" spans="2:4" x14ac:dyDescent="0.45">
      <c r="B207" t="s">
        <v>806</v>
      </c>
      <c r="C207" s="2" t="s">
        <v>286</v>
      </c>
      <c r="D207" t="str">
        <f>_xlfn.XLOOKUP(TransactionCleanup[[#This Row],[Transaction code]],Transactions[Transaction code],Transactions[Transaction name],,0,)</f>
        <v>Electricity plants - Main activity - Wind</v>
      </c>
    </row>
    <row r="208" spans="2:4" x14ac:dyDescent="0.45">
      <c r="B208" t="s">
        <v>618</v>
      </c>
      <c r="C208" t="s">
        <v>618</v>
      </c>
      <c r="D208" t="str">
        <f>_xlfn.XLOOKUP(TransactionCleanup[[#This Row],[Transaction code]],Transactions[Transaction code],Transactions[Transaction name],,0,)</f>
        <v>Electricity Plants (S)</v>
      </c>
    </row>
    <row r="209" spans="2:4" x14ac:dyDescent="0.45">
      <c r="B209" t="s">
        <v>845</v>
      </c>
      <c r="C209" t="s">
        <v>618</v>
      </c>
      <c r="D209" t="str">
        <f>_xlfn.XLOOKUP(TransactionCleanup[[#This Row],[Transaction code]],Transactions[Transaction code],Transactions[Transaction name],,0,)</f>
        <v>Electricity Plants (S)</v>
      </c>
    </row>
    <row r="210" spans="2:4" x14ac:dyDescent="0.45">
      <c r="B210" t="s">
        <v>795</v>
      </c>
      <c r="C210" t="s">
        <v>618</v>
      </c>
      <c r="D210" t="str">
        <f>_xlfn.XLOOKUP(TransactionCleanup[[#This Row],[Transaction code]],Transactions[Transaction code],Transactions[Transaction name],,0,)</f>
        <v>Electricity Plants (S)</v>
      </c>
    </row>
    <row r="211" spans="2:4" x14ac:dyDescent="0.45">
      <c r="B211" s="2" t="s">
        <v>183</v>
      </c>
      <c r="C211" s="2" t="s">
        <v>183</v>
      </c>
      <c r="D211" t="str">
        <f>_xlfn.XLOOKUP(TransactionCleanup[[#This Row],[Transaction code]],Transactions[Transaction code],Transactions[Transaction name],,0,)</f>
        <v>Electricity production (T)</v>
      </c>
    </row>
    <row r="212" spans="2:4" x14ac:dyDescent="0.45">
      <c r="B212" t="s">
        <v>724</v>
      </c>
      <c r="C212" s="2" t="s">
        <v>183</v>
      </c>
      <c r="D212" t="str">
        <f>_xlfn.XLOOKUP(TransactionCleanup[[#This Row],[Transaction code]],Transactions[Transaction code],Transactions[Transaction name],,0,)</f>
        <v>Electricity production (T)</v>
      </c>
    </row>
    <row r="213" spans="2:4" x14ac:dyDescent="0.45">
      <c r="B213" s="2" t="s">
        <v>250</v>
      </c>
      <c r="C213" s="2" t="s">
        <v>250</v>
      </c>
      <c r="D213" t="str">
        <f>_xlfn.XLOOKUP(TransactionCleanup[[#This Row],[Transaction code]],Transactions[Transaction code],Transactions[Transaction name],,0,)</f>
        <v>Electricity, CHP and Heat plants - Autoproducer - chemical heat/sources</v>
      </c>
    </row>
    <row r="214" spans="2:4" x14ac:dyDescent="0.45">
      <c r="B214" t="s">
        <v>668</v>
      </c>
      <c r="C214" s="2" t="s">
        <v>250</v>
      </c>
      <c r="D214" t="str">
        <f>_xlfn.XLOOKUP(TransactionCleanup[[#This Row],[Transaction code]],Transactions[Transaction code],Transactions[Transaction name],,0,)</f>
        <v>Electricity, CHP and Heat plants - Autoproducer - chemical heat/sources</v>
      </c>
    </row>
    <row r="215" spans="2:4" x14ac:dyDescent="0.45">
      <c r="B215" s="2" t="s">
        <v>276</v>
      </c>
      <c r="C215" s="2" t="s">
        <v>276</v>
      </c>
      <c r="D215" t="str">
        <f>_xlfn.XLOOKUP(TransactionCleanup[[#This Row],[Transaction code]],Transactions[Transaction code],Transactions[Transaction name],,0,)</f>
        <v>Electricity, CHP and Heat plants - Autoproducer - combustible fuels</v>
      </c>
    </row>
    <row r="216" spans="2:4" x14ac:dyDescent="0.45">
      <c r="B216" t="s">
        <v>666</v>
      </c>
      <c r="C216" s="2" t="s">
        <v>276</v>
      </c>
      <c r="D216" t="str">
        <f>_xlfn.XLOOKUP(TransactionCleanup[[#This Row],[Transaction code]],Transactions[Transaction code],Transactions[Transaction name],,0,)</f>
        <v>Electricity, CHP and Heat plants - Autoproducer - combustible fuels</v>
      </c>
    </row>
    <row r="217" spans="2:4" x14ac:dyDescent="0.45">
      <c r="B217" s="2" t="s">
        <v>263</v>
      </c>
      <c r="C217" s="2" t="s">
        <v>263</v>
      </c>
      <c r="D217" t="str">
        <f>_xlfn.XLOOKUP(TransactionCleanup[[#This Row],[Transaction code]],Transactions[Transaction code],Transactions[Transaction name],,0,)</f>
        <v>Electricity, CHP and Heat plants - Autoproducer - Geothermal</v>
      </c>
    </row>
    <row r="218" spans="2:4" x14ac:dyDescent="0.45">
      <c r="B218" t="s">
        <v>667</v>
      </c>
      <c r="C218" s="2" t="s">
        <v>263</v>
      </c>
      <c r="D218" t="str">
        <f>_xlfn.XLOOKUP(TransactionCleanup[[#This Row],[Transaction code]],Transactions[Transaction code],Transactions[Transaction name],,0,)</f>
        <v>Electricity, CHP and Heat plants - Autoproducer - Geothermal</v>
      </c>
    </row>
    <row r="219" spans="2:4" x14ac:dyDescent="0.45">
      <c r="B219" s="2" t="s">
        <v>239</v>
      </c>
      <c r="C219" s="2" t="s">
        <v>239</v>
      </c>
      <c r="D219" t="str">
        <f>_xlfn.XLOOKUP(TransactionCleanup[[#This Row],[Transaction code]],Transactions[Transaction code],Transactions[Transaction name],,0,)</f>
        <v>Electricity, CHP and Heat plants - Autoproducer - Nuclear</v>
      </c>
    </row>
    <row r="220" spans="2:4" x14ac:dyDescent="0.45">
      <c r="B220" t="s">
        <v>669</v>
      </c>
      <c r="C220" s="2" t="s">
        <v>239</v>
      </c>
      <c r="D220" t="str">
        <f>_xlfn.XLOOKUP(TransactionCleanup[[#This Row],[Transaction code]],Transactions[Transaction code],Transactions[Transaction name],,0,)</f>
        <v>Electricity, CHP and Heat plants - Autoproducer - Nuclear</v>
      </c>
    </row>
    <row r="221" spans="2:4" x14ac:dyDescent="0.45">
      <c r="B221" s="2" t="s">
        <v>235</v>
      </c>
      <c r="C221" s="2" t="s">
        <v>235</v>
      </c>
      <c r="D221" t="str">
        <f>_xlfn.XLOOKUP(TransactionCleanup[[#This Row],[Transaction code]],Transactions[Transaction code],Transactions[Transaction name],,0,)</f>
        <v>Electricity, CHP and Heat plants - Autoproducer - other sources</v>
      </c>
    </row>
    <row r="222" spans="2:4" x14ac:dyDescent="0.45">
      <c r="B222" t="s">
        <v>670</v>
      </c>
      <c r="C222" s="2" t="s">
        <v>235</v>
      </c>
      <c r="D222" t="str">
        <f>_xlfn.XLOOKUP(TransactionCleanup[[#This Row],[Transaction code]],Transactions[Transaction code],Transactions[Transaction name],,0,)</f>
        <v>Electricity, CHP and Heat plants - Autoproducer - other sources</v>
      </c>
    </row>
    <row r="223" spans="2:4" x14ac:dyDescent="0.45">
      <c r="B223" s="2" t="s">
        <v>230</v>
      </c>
      <c r="C223" s="2" t="s">
        <v>230</v>
      </c>
      <c r="D223" t="str">
        <f>_xlfn.XLOOKUP(TransactionCleanup[[#This Row],[Transaction code]],Transactions[Transaction code],Transactions[Transaction name],,0,)</f>
        <v>Electricity, CHP and Heat plants - Autoproducer - Solar</v>
      </c>
    </row>
    <row r="224" spans="2:4" x14ac:dyDescent="0.45">
      <c r="B224" t="s">
        <v>671</v>
      </c>
      <c r="C224" s="2" t="s">
        <v>230</v>
      </c>
      <c r="D224" t="str">
        <f>_xlfn.XLOOKUP(TransactionCleanup[[#This Row],[Transaction code]],Transactions[Transaction code],Transactions[Transaction name],,0,)</f>
        <v>Electricity, CHP and Heat plants - Autoproducer - Solar</v>
      </c>
    </row>
    <row r="225" spans="2:4" x14ac:dyDescent="0.45">
      <c r="B225" t="s">
        <v>647</v>
      </c>
      <c r="C225" s="2" t="s">
        <v>2</v>
      </c>
      <c r="D225" t="str">
        <f>_xlfn.XLOOKUP(TransactionCleanup[[#This Row],[Transaction code]],Transactions[Transaction code],Transactions[Transaction name],,0,)</f>
        <v>Production, Autoproducers total</v>
      </c>
    </row>
    <row r="226" spans="2:4" x14ac:dyDescent="0.45">
      <c r="B226" s="2" t="s">
        <v>2</v>
      </c>
      <c r="C226" s="2" t="s">
        <v>2</v>
      </c>
      <c r="D226" t="str">
        <f>_xlfn.XLOOKUP(TransactionCleanup[[#This Row],[Transaction code]],Transactions[Transaction code],Transactions[Transaction name],,0,)</f>
        <v>Production, Autoproducers total</v>
      </c>
    </row>
    <row r="227" spans="2:4" x14ac:dyDescent="0.45">
      <c r="B227" t="s">
        <v>646</v>
      </c>
      <c r="C227" s="2" t="s">
        <v>9</v>
      </c>
      <c r="D227" t="str">
        <f>_xlfn.XLOOKUP(TransactionCleanup[[#This Row],[Transaction code]],Transactions[Transaction code],Transactions[Transaction name],,0,)</f>
        <v>Electricity, CHP and Heat plants - Main activity</v>
      </c>
    </row>
    <row r="228" spans="2:4" x14ac:dyDescent="0.45">
      <c r="B228" s="2" t="s">
        <v>9</v>
      </c>
      <c r="C228" s="2" t="s">
        <v>9</v>
      </c>
      <c r="D228" t="str">
        <f>_xlfn.XLOOKUP(TransactionCleanup[[#This Row],[Transaction code]],Transactions[Transaction code],Transactions[Transaction name],,0,)</f>
        <v>Electricity, CHP and Heat plants - Main activity</v>
      </c>
    </row>
    <row r="229" spans="2:4" x14ac:dyDescent="0.45">
      <c r="B229" s="2" t="s">
        <v>335</v>
      </c>
      <c r="C229" s="2" t="s">
        <v>335</v>
      </c>
      <c r="D229" t="str">
        <f>_xlfn.XLOOKUP(TransactionCleanup[[#This Row],[Transaction code]],Transactions[Transaction code],Transactions[Transaction name],,0,)</f>
        <v>Electricity, CHP and Heat plants - Main activity - chemical heat/sources</v>
      </c>
    </row>
    <row r="230" spans="2:4" x14ac:dyDescent="0.45">
      <c r="B230" t="s">
        <v>662</v>
      </c>
      <c r="C230" s="2" t="s">
        <v>335</v>
      </c>
      <c r="D230" t="str">
        <f>_xlfn.XLOOKUP(TransactionCleanup[[#This Row],[Transaction code]],Transactions[Transaction code],Transactions[Transaction name],,0,)</f>
        <v>Electricity, CHP and Heat plants - Main activity - chemical heat/sources</v>
      </c>
    </row>
    <row r="231" spans="2:4" x14ac:dyDescent="0.45">
      <c r="B231" s="2" t="s">
        <v>358</v>
      </c>
      <c r="C231" s="2" t="s">
        <v>358</v>
      </c>
      <c r="D231" t="str">
        <f>_xlfn.XLOOKUP(TransactionCleanup[[#This Row],[Transaction code]],Transactions[Transaction code],Transactions[Transaction name],,0,)</f>
        <v>Electricity, CHP and Heat plants - Main activity - combustible fuels</v>
      </c>
    </row>
    <row r="232" spans="2:4" x14ac:dyDescent="0.45">
      <c r="B232" t="s">
        <v>645</v>
      </c>
      <c r="C232" s="2" t="s">
        <v>358</v>
      </c>
      <c r="D232" t="str">
        <f>_xlfn.XLOOKUP(TransactionCleanup[[#This Row],[Transaction code]],Transactions[Transaction code],Transactions[Transaction name],,0,)</f>
        <v>Electricity, CHP and Heat plants - Main activity - combustible fuels</v>
      </c>
    </row>
    <row r="233" spans="2:4" x14ac:dyDescent="0.45">
      <c r="B233" s="2" t="s">
        <v>343</v>
      </c>
      <c r="C233" s="2" t="s">
        <v>343</v>
      </c>
      <c r="D233" t="str">
        <f>_xlfn.XLOOKUP(TransactionCleanup[[#This Row],[Transaction code]],Transactions[Transaction code],Transactions[Transaction name],,0,)</f>
        <v>Electricity, CHP and Heat plants - Main activity - Geothermal</v>
      </c>
    </row>
    <row r="234" spans="2:4" x14ac:dyDescent="0.45">
      <c r="B234" t="s">
        <v>661</v>
      </c>
      <c r="C234" s="2" t="s">
        <v>343</v>
      </c>
      <c r="D234" t="str">
        <f>_xlfn.XLOOKUP(TransactionCleanup[[#This Row],[Transaction code]],Transactions[Transaction code],Transactions[Transaction name],,0,)</f>
        <v>Electricity, CHP and Heat plants - Main activity - Geothermal</v>
      </c>
    </row>
    <row r="235" spans="2:4" x14ac:dyDescent="0.45">
      <c r="B235" s="2" t="s">
        <v>319</v>
      </c>
      <c r="C235" s="2" t="s">
        <v>319</v>
      </c>
      <c r="D235" t="str">
        <f>_xlfn.XLOOKUP(TransactionCleanup[[#This Row],[Transaction code]],Transactions[Transaction code],Transactions[Transaction name],,0,)</f>
        <v>Electricity, CHP and Heat plants - Main activity - Nuclear</v>
      </c>
    </row>
    <row r="236" spans="2:4" x14ac:dyDescent="0.45">
      <c r="B236" t="s">
        <v>663</v>
      </c>
      <c r="C236" s="2" t="s">
        <v>319</v>
      </c>
      <c r="D236" t="str">
        <f>_xlfn.XLOOKUP(TransactionCleanup[[#This Row],[Transaction code]],Transactions[Transaction code],Transactions[Transaction name],,0,)</f>
        <v>Electricity, CHP and Heat plants - Main activity - Nuclear</v>
      </c>
    </row>
    <row r="237" spans="2:4" x14ac:dyDescent="0.45">
      <c r="B237" s="2" t="s">
        <v>308</v>
      </c>
      <c r="C237" s="2" t="s">
        <v>308</v>
      </c>
      <c r="D237" t="str">
        <f>_xlfn.XLOOKUP(TransactionCleanup[[#This Row],[Transaction code]],Transactions[Transaction code],Transactions[Transaction name],,0,)</f>
        <v>Electricity, CHP and Heat plants - Main activity - other sources</v>
      </c>
    </row>
    <row r="238" spans="2:4" x14ac:dyDescent="0.45">
      <c r="B238" t="s">
        <v>664</v>
      </c>
      <c r="C238" s="2" t="s">
        <v>308</v>
      </c>
      <c r="D238" t="str">
        <f>_xlfn.XLOOKUP(TransactionCleanup[[#This Row],[Transaction code]],Transactions[Transaction code],Transactions[Transaction name],,0,)</f>
        <v>Electricity, CHP and Heat plants - Main activity - other sources</v>
      </c>
    </row>
    <row r="239" spans="2:4" x14ac:dyDescent="0.45">
      <c r="B239" s="2" t="s">
        <v>304</v>
      </c>
      <c r="C239" s="2" t="s">
        <v>304</v>
      </c>
      <c r="D239" t="str">
        <f>_xlfn.XLOOKUP(TransactionCleanup[[#This Row],[Transaction code]],Transactions[Transaction code],Transactions[Transaction name],,0,)</f>
        <v>Electricity plants - Main activity - Pumped hydro</v>
      </c>
    </row>
    <row r="240" spans="2:4" x14ac:dyDescent="0.45">
      <c r="B240" t="s">
        <v>683</v>
      </c>
      <c r="C240" s="2" t="s">
        <v>304</v>
      </c>
      <c r="D240" t="str">
        <f>_xlfn.XLOOKUP(TransactionCleanup[[#This Row],[Transaction code]],Transactions[Transaction code],Transactions[Transaction name],,0,)</f>
        <v>Electricity plants - Main activity - Pumped hydro</v>
      </c>
    </row>
    <row r="241" spans="2:4" x14ac:dyDescent="0.45">
      <c r="B241" s="2" t="s">
        <v>293</v>
      </c>
      <c r="C241" s="2" t="s">
        <v>293</v>
      </c>
      <c r="D241" t="str">
        <f>_xlfn.XLOOKUP(TransactionCleanup[[#This Row],[Transaction code]],Transactions[Transaction code],Transactions[Transaction name],,0,)</f>
        <v>Electricity, CHP and Heat plants - Main activity - Solar</v>
      </c>
    </row>
    <row r="242" spans="2:4" x14ac:dyDescent="0.45">
      <c r="B242" t="s">
        <v>665</v>
      </c>
      <c r="C242" s="2" t="s">
        <v>293</v>
      </c>
      <c r="D242" t="str">
        <f>_xlfn.XLOOKUP(TransactionCleanup[[#This Row],[Transaction code]],Transactions[Transaction code],Transactions[Transaction name],,0,)</f>
        <v>Electricity, CHP and Heat plants - Main activity - Solar</v>
      </c>
    </row>
    <row r="243" spans="2:4" x14ac:dyDescent="0.45">
      <c r="B243" s="2" t="s">
        <v>152</v>
      </c>
      <c r="C243" s="2" t="s">
        <v>152</v>
      </c>
      <c r="D243" t="str">
        <f>_xlfn.XLOOKUP(TransactionCleanup[[#This Row],[Transaction code]],Transactions[Transaction code],Transactions[Transaction name],,0,)</f>
        <v>Electricity, CHP and Heat plants (own use)</v>
      </c>
    </row>
    <row r="244" spans="2:4" x14ac:dyDescent="0.45">
      <c r="B244" t="s">
        <v>714</v>
      </c>
      <c r="C244" s="2" t="s">
        <v>152</v>
      </c>
      <c r="D244" t="str">
        <f>_xlfn.XLOOKUP(TransactionCleanup[[#This Row],[Transaction code]],Transactions[Transaction code],Transactions[Transaction name],,0,)</f>
        <v>Electricity, CHP and Heat plants (own use)</v>
      </c>
    </row>
    <row r="245" spans="2:4" x14ac:dyDescent="0.45">
      <c r="B245" s="2" t="s">
        <v>171</v>
      </c>
      <c r="C245" s="2" t="s">
        <v>171</v>
      </c>
      <c r="D245" t="str">
        <f>_xlfn.XLOOKUP(TransactionCleanup[[#This Row],[Transaction code]],Transactions[Transaction code],Transactions[Transaction name],,0,)</f>
        <v>Electricity, CHP and heat plants (T)</v>
      </c>
    </row>
    <row r="246" spans="2:4" x14ac:dyDescent="0.45">
      <c r="B246" t="s">
        <v>730</v>
      </c>
      <c r="C246" s="2" t="s">
        <v>171</v>
      </c>
      <c r="D246" t="str">
        <f>_xlfn.XLOOKUP(TransactionCleanup[[#This Row],[Transaction code]],Transactions[Transaction code],Transactions[Transaction name],,0,)</f>
        <v>Electricity, CHP and heat plants (T)</v>
      </c>
    </row>
    <row r="247" spans="2:4" x14ac:dyDescent="0.45">
      <c r="B247" t="s">
        <v>527</v>
      </c>
      <c r="C247" t="s">
        <v>527</v>
      </c>
      <c r="D247" t="str">
        <f>_xlfn.XLOOKUP(TransactionCleanup[[#This Row],[Transaction code]],Transactions[Transaction code],Transactions[Transaction name],,0,)</f>
        <v>Electricity, Heat and CHP plants (S)</v>
      </c>
    </row>
    <row r="248" spans="2:4" x14ac:dyDescent="0.45">
      <c r="B248" t="s">
        <v>776</v>
      </c>
      <c r="C248" t="s">
        <v>527</v>
      </c>
      <c r="D248" t="str">
        <f>_xlfn.XLOOKUP(TransactionCleanup[[#This Row],[Transaction code]],Transactions[Transaction code],Transactions[Transaction name],,0,)</f>
        <v>Electricity, Heat and CHP plants (S)</v>
      </c>
    </row>
    <row r="249" spans="2:4" x14ac:dyDescent="0.45">
      <c r="B249" s="2" t="s">
        <v>144</v>
      </c>
      <c r="C249" s="2" t="s">
        <v>144</v>
      </c>
      <c r="D249" t="str">
        <f>_xlfn.XLOOKUP(TransactionCleanup[[#This Row],[Transaction code]],Transactions[Transaction code],Transactions[Transaction name],,0,)</f>
        <v>Energy industries own use</v>
      </c>
    </row>
    <row r="250" spans="2:4" x14ac:dyDescent="0.45">
      <c r="B250" t="s">
        <v>163</v>
      </c>
      <c r="C250" s="2" t="s">
        <v>144</v>
      </c>
      <c r="D250" t="str">
        <f>_xlfn.XLOOKUP(TransactionCleanup[[#This Row],[Transaction code]],Transactions[Transaction code],Transactions[Transaction name],,0,)</f>
        <v>Energy industries own use</v>
      </c>
    </row>
    <row r="251" spans="2:4" x14ac:dyDescent="0.45">
      <c r="B251" t="s">
        <v>499</v>
      </c>
      <c r="C251" t="s">
        <v>499</v>
      </c>
      <c r="D251" t="str">
        <f>_xlfn.XLOOKUP(TransactionCleanup[[#This Row],[Transaction code]],Transactions[Transaction code],Transactions[Transaction name],,0,)</f>
        <v>Energy industries own use (S)</v>
      </c>
    </row>
    <row r="252" spans="2:4" x14ac:dyDescent="0.45">
      <c r="B252" t="s">
        <v>846</v>
      </c>
      <c r="C252" t="s">
        <v>499</v>
      </c>
      <c r="D252" t="str">
        <f>_xlfn.XLOOKUP(TransactionCleanup[[#This Row],[Transaction code]],Transactions[Transaction code],Transactions[Transaction name],,0,)</f>
        <v>Energy industries own use (S)</v>
      </c>
    </row>
    <row r="253" spans="2:4" x14ac:dyDescent="0.45">
      <c r="B253" t="s">
        <v>788</v>
      </c>
      <c r="C253" t="s">
        <v>499</v>
      </c>
      <c r="D253" t="str">
        <f>_xlfn.XLOOKUP(TransactionCleanup[[#This Row],[Transaction code]],Transactions[Transaction code],Transactions[Transaction name],,0,)</f>
        <v>Energy industries own use (S)</v>
      </c>
    </row>
    <row r="254" spans="2:4" x14ac:dyDescent="0.45">
      <c r="B254" s="2" t="s">
        <v>199</v>
      </c>
      <c r="C254" s="2" t="s">
        <v>199</v>
      </c>
      <c r="D254" t="str">
        <f>_xlfn.XLOOKUP(TransactionCleanup[[#This Row],[Transaction code]],Transactions[Transaction code],Transactions[Transaction name],,0,)</f>
        <v>Exports</v>
      </c>
    </row>
    <row r="255" spans="2:4" x14ac:dyDescent="0.45">
      <c r="B255" t="s">
        <v>198</v>
      </c>
      <c r="C255" s="2" t="s">
        <v>199</v>
      </c>
      <c r="D255" t="str">
        <f>_xlfn.XLOOKUP(TransactionCleanup[[#This Row],[Transaction code]],Transactions[Transaction code],Transactions[Transaction name],,0,)</f>
        <v>Exports</v>
      </c>
    </row>
    <row r="256" spans="2:4" x14ac:dyDescent="0.45">
      <c r="B256" t="s">
        <v>563</v>
      </c>
      <c r="C256" t="s">
        <v>563</v>
      </c>
      <c r="D256" t="str">
        <f>_xlfn.XLOOKUP(TransactionCleanup[[#This Row],[Transaction code]],Transactions[Transaction code],Transactions[Transaction name],,0,)</f>
        <v>Exports (S)</v>
      </c>
    </row>
    <row r="257" spans="2:4" x14ac:dyDescent="0.45">
      <c r="B257" t="s">
        <v>847</v>
      </c>
      <c r="C257" t="s">
        <v>563</v>
      </c>
      <c r="D257" t="str">
        <f>_xlfn.XLOOKUP(TransactionCleanup[[#This Row],[Transaction code]],Transactions[Transaction code],Transactions[Transaction name],,0,)</f>
        <v>Exports (S)</v>
      </c>
    </row>
    <row r="258" spans="2:4" x14ac:dyDescent="0.45">
      <c r="B258" t="s">
        <v>768</v>
      </c>
      <c r="C258" t="s">
        <v>563</v>
      </c>
      <c r="D258" t="str">
        <f>_xlfn.XLOOKUP(TransactionCleanup[[#This Row],[Transaction code]],Transactions[Transaction code],Transactions[Transaction name],,0,)</f>
        <v>Exports (S)</v>
      </c>
    </row>
    <row r="259" spans="2:4" x14ac:dyDescent="0.45">
      <c r="B259" t="s">
        <v>848</v>
      </c>
      <c r="C259" t="s">
        <v>563</v>
      </c>
      <c r="D259" t="str">
        <f>_xlfn.XLOOKUP(TransactionCleanup[[#This Row],[Transaction code]],Transactions[Transaction code],Transactions[Transaction name],,0,)</f>
        <v>Exports (S)</v>
      </c>
    </row>
    <row r="260" spans="2:4" x14ac:dyDescent="0.45">
      <c r="B260" t="s">
        <v>738</v>
      </c>
      <c r="C260" t="s">
        <v>563</v>
      </c>
      <c r="D260" t="str">
        <f>_xlfn.XLOOKUP(TransactionCleanup[[#This Row],[Transaction code]],Transactions[Transaction code],Transactions[Transaction name],,0,)</f>
        <v>Exports (S)</v>
      </c>
    </row>
    <row r="261" spans="2:4" x14ac:dyDescent="0.45">
      <c r="B261" s="2" t="s">
        <v>133</v>
      </c>
      <c r="C261" s="2" t="s">
        <v>133</v>
      </c>
      <c r="D261" t="str">
        <f>_xlfn.XLOOKUP(TransactionCleanup[[#This Row],[Transaction code]],Transactions[Transaction code],Transactions[Transaction name],,0,)</f>
        <v>Extraction loss shrinkage</v>
      </c>
    </row>
    <row r="262" spans="2:4" x14ac:dyDescent="0.45">
      <c r="B262" t="s">
        <v>132</v>
      </c>
      <c r="C262" s="2" t="s">
        <v>133</v>
      </c>
      <c r="D262" t="str">
        <f>_xlfn.XLOOKUP(TransactionCleanup[[#This Row],[Transaction code]],Transactions[Transaction code],Transactions[Transaction name],,0,)</f>
        <v>Extraction loss shrinkage</v>
      </c>
    </row>
    <row r="263" spans="2:4" x14ac:dyDescent="0.45">
      <c r="B263" t="s">
        <v>5</v>
      </c>
      <c r="C263" s="2" t="s">
        <v>6</v>
      </c>
      <c r="D263" t="str">
        <f>_xlfn.XLOOKUP(TransactionCleanup[[#This Row],[Transaction code]],Transactions[Transaction code],Transactions[Transaction name],,0,)</f>
        <v>Final consumption</v>
      </c>
    </row>
    <row r="264" spans="2:4" x14ac:dyDescent="0.45">
      <c r="B264" s="2" t="s">
        <v>6</v>
      </c>
      <c r="C264" s="2" t="s">
        <v>6</v>
      </c>
      <c r="D264" t="str">
        <f>_xlfn.XLOOKUP(TransactionCleanup[[#This Row],[Transaction code]],Transactions[Transaction code],Transactions[Transaction name],,0,)</f>
        <v>Final consumption</v>
      </c>
    </row>
    <row r="265" spans="2:4" x14ac:dyDescent="0.45">
      <c r="B265" t="s">
        <v>386</v>
      </c>
      <c r="C265" t="s">
        <v>386</v>
      </c>
      <c r="D265" t="str">
        <f>_xlfn.XLOOKUP(TransactionCleanup[[#This Row],[Transaction code]],Transactions[Transaction code],Transactions[Transaction name],,0,)</f>
        <v>Final consumption (S)</v>
      </c>
    </row>
    <row r="266" spans="2:4" x14ac:dyDescent="0.45">
      <c r="B266" t="s">
        <v>407</v>
      </c>
      <c r="C266" t="s">
        <v>407</v>
      </c>
      <c r="D266" t="str">
        <f>_xlfn.XLOOKUP(TransactionCleanup[[#This Row],[Transaction code]],Transactions[Transaction code],Transactions[Transaction name],,0,)</f>
        <v>Final Energy Consumption (S)</v>
      </c>
    </row>
    <row r="267" spans="2:4" x14ac:dyDescent="0.45">
      <c r="B267" t="s">
        <v>849</v>
      </c>
      <c r="C267" t="s">
        <v>407</v>
      </c>
      <c r="D267" t="str">
        <f>_xlfn.XLOOKUP(TransactionCleanup[[#This Row],[Transaction code]],Transactions[Transaction code],Transactions[Transaction name],,0,)</f>
        <v>Final Energy Consumption (S)</v>
      </c>
    </row>
    <row r="268" spans="2:4" x14ac:dyDescent="0.45">
      <c r="B268" t="s">
        <v>739</v>
      </c>
      <c r="C268" t="s">
        <v>407</v>
      </c>
      <c r="D268" t="str">
        <f>_xlfn.XLOOKUP(TransactionCleanup[[#This Row],[Transaction code]],Transactions[Transaction code],Transactions[Transaction name],,0,)</f>
        <v>Final Energy Consumption (S)</v>
      </c>
    </row>
    <row r="269" spans="2:4" x14ac:dyDescent="0.45">
      <c r="B269" s="2" t="s">
        <v>104</v>
      </c>
      <c r="C269" s="2" t="s">
        <v>104</v>
      </c>
      <c r="D269" t="str">
        <f>_xlfn.XLOOKUP(TransactionCleanup[[#This Row],[Transaction code]],Transactions[Transaction code],Transactions[Transaction name],,0,)</f>
        <v>Fishing</v>
      </c>
    </row>
    <row r="270" spans="2:4" x14ac:dyDescent="0.45">
      <c r="B270" t="s">
        <v>701</v>
      </c>
      <c r="C270" s="2" t="s">
        <v>104</v>
      </c>
      <c r="D270" t="str">
        <f>_xlfn.XLOOKUP(TransactionCleanup[[#This Row],[Transaction code]],Transactions[Transaction code],Transactions[Transaction name],,0,)</f>
        <v>Fishing</v>
      </c>
    </row>
    <row r="271" spans="2:4" x14ac:dyDescent="0.45">
      <c r="B271" s="2" t="s">
        <v>138</v>
      </c>
      <c r="C271" s="2" t="s">
        <v>138</v>
      </c>
      <c r="D271" t="str">
        <f>_xlfn.XLOOKUP(TransactionCleanup[[#This Row],[Transaction code]],Transactions[Transaction code],Transactions[Transaction name],,0,)</f>
        <v>Flared</v>
      </c>
    </row>
    <row r="272" spans="2:4" x14ac:dyDescent="0.45">
      <c r="B272" t="s">
        <v>137</v>
      </c>
      <c r="C272" s="2" t="s">
        <v>138</v>
      </c>
      <c r="D272" t="str">
        <f>_xlfn.XLOOKUP(TransactionCleanup[[#This Row],[Transaction code]],Transactions[Transaction code],Transactions[Transaction name],,0,)</f>
        <v>Flared</v>
      </c>
    </row>
    <row r="273" spans="2:4" x14ac:dyDescent="0.45">
      <c r="B273" s="2" t="s">
        <v>134</v>
      </c>
      <c r="C273" s="2" t="s">
        <v>134</v>
      </c>
      <c r="D273" t="str">
        <f>_xlfn.XLOOKUP(TransactionCleanup[[#This Row],[Transaction code]],Transactions[Transaction code],Transactions[Transaction name],,0,)</f>
        <v>Flared and vented</v>
      </c>
    </row>
    <row r="274" spans="2:4" x14ac:dyDescent="0.45">
      <c r="B274" t="s">
        <v>139</v>
      </c>
      <c r="C274" s="2" t="s">
        <v>134</v>
      </c>
      <c r="D274" t="str">
        <f>_xlfn.XLOOKUP(TransactionCleanup[[#This Row],[Transaction code]],Transactions[Transaction code],Transactions[Transaction name],,0,)</f>
        <v>Flared and vented</v>
      </c>
    </row>
    <row r="275" spans="2:4" x14ac:dyDescent="0.45">
      <c r="B275" s="2" t="s">
        <v>121</v>
      </c>
      <c r="C275" s="2" t="s">
        <v>121</v>
      </c>
      <c r="D275" t="str">
        <f>_xlfn.XLOOKUP(TransactionCleanup[[#This Row],[Transaction code]],Transactions[Transaction code],Transactions[Transaction name],,0,)</f>
        <v>Food and tobacco</v>
      </c>
    </row>
    <row r="276" spans="2:4" x14ac:dyDescent="0.45">
      <c r="B276" t="s">
        <v>457</v>
      </c>
      <c r="C276" s="2" t="s">
        <v>121</v>
      </c>
      <c r="D276" t="str">
        <f>_xlfn.XLOOKUP(TransactionCleanup[[#This Row],[Transaction code]],Transactions[Transaction code],Transactions[Transaction name],,0,)</f>
        <v>Food and tobacco</v>
      </c>
    </row>
    <row r="277" spans="2:4" x14ac:dyDescent="0.45">
      <c r="B277" t="s">
        <v>458</v>
      </c>
      <c r="C277" t="s">
        <v>458</v>
      </c>
      <c r="D277" t="str">
        <f>_xlfn.XLOOKUP(TransactionCleanup[[#This Row],[Transaction code]],Transactions[Transaction code],Transactions[Transaction name],,0,)</f>
        <v>Food and tobacco (S)</v>
      </c>
    </row>
    <row r="278" spans="2:4" x14ac:dyDescent="0.45">
      <c r="B278" t="s">
        <v>850</v>
      </c>
      <c r="C278" t="s">
        <v>458</v>
      </c>
      <c r="D278" t="str">
        <f>_xlfn.XLOOKUP(TransactionCleanup[[#This Row],[Transaction code]],Transactions[Transaction code],Transactions[Transaction name],,0,)</f>
        <v>Food and tobacco (S)</v>
      </c>
    </row>
    <row r="279" spans="2:4" x14ac:dyDescent="0.45">
      <c r="B279" t="s">
        <v>748</v>
      </c>
      <c r="C279" t="s">
        <v>458</v>
      </c>
      <c r="D279" t="str">
        <f>_xlfn.XLOOKUP(TransactionCleanup[[#This Row],[Transaction code]],Transactions[Transaction code],Transactions[Transaction name],,0,)</f>
        <v>Food and tobacco (S)</v>
      </c>
    </row>
    <row r="280" spans="2:4" x14ac:dyDescent="0.45">
      <c r="B280" s="2" t="s">
        <v>157</v>
      </c>
      <c r="C280" s="2" t="s">
        <v>157</v>
      </c>
      <c r="D280" t="str">
        <f>_xlfn.XLOOKUP(TransactionCleanup[[#This Row],[Transaction code]],Transactions[Transaction code],Transactions[Transaction name],,0,)</f>
        <v>Gas works (own use)</v>
      </c>
    </row>
    <row r="281" spans="2:4" x14ac:dyDescent="0.45">
      <c r="B281" t="s">
        <v>708</v>
      </c>
      <c r="C281" s="2" t="s">
        <v>157</v>
      </c>
      <c r="D281" t="str">
        <f>_xlfn.XLOOKUP(TransactionCleanup[[#This Row],[Transaction code]],Transactions[Transaction code],Transactions[Transaction name],,0,)</f>
        <v>Gas works (own use)</v>
      </c>
    </row>
    <row r="282" spans="2:4" x14ac:dyDescent="0.45">
      <c r="B282" t="s">
        <v>851</v>
      </c>
      <c r="C282" t="s">
        <v>620</v>
      </c>
      <c r="D282" t="str">
        <f>_xlfn.XLOOKUP(TransactionCleanup[[#This Row],[Transaction code]],Transactions[Transaction code],Transactions[Transaction name],,0,)</f>
        <v>Gas works (S)</v>
      </c>
    </row>
    <row r="283" spans="2:4" x14ac:dyDescent="0.45">
      <c r="B283" t="s">
        <v>796</v>
      </c>
      <c r="C283" t="s">
        <v>620</v>
      </c>
      <c r="D283" t="str">
        <f>_xlfn.XLOOKUP(TransactionCleanup[[#This Row],[Transaction code]],Transactions[Transaction code],Transactions[Transaction name],,0,)</f>
        <v>Gas works (S)</v>
      </c>
    </row>
    <row r="284" spans="2:4" x14ac:dyDescent="0.45">
      <c r="B284" t="s">
        <v>620</v>
      </c>
      <c r="C284" t="s">
        <v>620</v>
      </c>
      <c r="D284" t="str">
        <f>_xlfn.XLOOKUP(TransactionCleanup[[#This Row],[Transaction code]],Transactions[Transaction code],Transactions[Transaction name],,0,)</f>
        <v>Gas works (S)</v>
      </c>
    </row>
    <row r="285" spans="2:4" x14ac:dyDescent="0.45">
      <c r="B285" s="2" t="s">
        <v>187</v>
      </c>
      <c r="C285" s="2" t="s">
        <v>187</v>
      </c>
      <c r="D285" t="str">
        <f>_xlfn.XLOOKUP(TransactionCleanup[[#This Row],[Transaction code]],Transactions[Transaction code],Transactions[Transaction name],,0,)</f>
        <v>Gas works (T)</v>
      </c>
    </row>
    <row r="286" spans="2:4" x14ac:dyDescent="0.45">
      <c r="B286" t="s">
        <v>720</v>
      </c>
      <c r="C286" s="2" t="s">
        <v>187</v>
      </c>
      <c r="D286" t="str">
        <f>_xlfn.XLOOKUP(TransactionCleanup[[#This Row],[Transaction code]],Transactions[Transaction code],Transactions[Transaction name],,0,)</f>
        <v>Gas works (T)</v>
      </c>
    </row>
    <row r="287" spans="2:4" x14ac:dyDescent="0.45">
      <c r="B287" s="2" t="s">
        <v>147</v>
      </c>
      <c r="C287" s="2" t="s">
        <v>147</v>
      </c>
      <c r="D287" t="str">
        <f>_xlfn.XLOOKUP(TransactionCleanup[[#This Row],[Transaction code]],Transactions[Transaction code],Transactions[Transaction name],,0,)</f>
        <v>Gas-to-liquid (GTL) plants (own use)</v>
      </c>
    </row>
    <row r="288" spans="2:4" x14ac:dyDescent="0.45">
      <c r="B288" t="s">
        <v>711</v>
      </c>
      <c r="C288" s="2" t="s">
        <v>147</v>
      </c>
      <c r="D288" t="str">
        <f>_xlfn.XLOOKUP(TransactionCleanup[[#This Row],[Transaction code]],Transactions[Transaction code],Transactions[Transaction name],,0,)</f>
        <v>Gas-to-liquid (GTL) plants (own use)</v>
      </c>
    </row>
    <row r="289" spans="2:4" x14ac:dyDescent="0.45">
      <c r="B289" s="2" t="s">
        <v>182</v>
      </c>
      <c r="C289" s="2" t="s">
        <v>182</v>
      </c>
      <c r="D289" t="str">
        <f>_xlfn.XLOOKUP(TransactionCleanup[[#This Row],[Transaction code]],Transactions[Transaction code],Transactions[Transaction name],,0,)</f>
        <v>Gas-to-liquid (GTL) plants (T)</v>
      </c>
    </row>
    <row r="290" spans="2:4" x14ac:dyDescent="0.45">
      <c r="B290" t="s">
        <v>725</v>
      </c>
      <c r="C290" s="2" t="s">
        <v>182</v>
      </c>
      <c r="D290" t="str">
        <f>_xlfn.XLOOKUP(TransactionCleanup[[#This Row],[Transaction code]],Transactions[Transaction code],Transactions[Transaction name],,0,)</f>
        <v>Gas-to-liquid (GTL) plants (T)</v>
      </c>
    </row>
    <row r="291" spans="2:4" x14ac:dyDescent="0.45">
      <c r="B291" s="2" t="s">
        <v>81</v>
      </c>
      <c r="C291" s="2" t="s">
        <v>81</v>
      </c>
      <c r="D291" t="str">
        <f>_xlfn.XLOOKUP(TransactionCleanup[[#This Row],[Transaction code]],Transactions[Transaction code],Transactions[Transaction name],,0,)</f>
        <v>IC Geothermal - Autoproducers</v>
      </c>
    </row>
    <row r="292" spans="2:4" x14ac:dyDescent="0.45">
      <c r="B292" t="s">
        <v>80</v>
      </c>
      <c r="C292" s="2" t="s">
        <v>81</v>
      </c>
      <c r="D292" t="str">
        <f>_xlfn.XLOOKUP(TransactionCleanup[[#This Row],[Transaction code]],Transactions[Transaction code],Transactions[Transaction name],,0,)</f>
        <v>IC Geothermal - Autoproducers</v>
      </c>
    </row>
    <row r="293" spans="2:4" x14ac:dyDescent="0.45">
      <c r="B293" s="2" t="s">
        <v>83</v>
      </c>
      <c r="C293" s="2" t="s">
        <v>83</v>
      </c>
      <c r="D293" t="str">
        <f>_xlfn.XLOOKUP(TransactionCleanup[[#This Row],[Transaction code]],Transactions[Transaction code],Transactions[Transaction name],,0,)</f>
        <v>IC Geothermal - Main activity producers</v>
      </c>
    </row>
    <row r="294" spans="2:4" x14ac:dyDescent="0.45">
      <c r="B294" t="s">
        <v>82</v>
      </c>
      <c r="C294" s="2" t="s">
        <v>83</v>
      </c>
      <c r="D294" t="str">
        <f>_xlfn.XLOOKUP(TransactionCleanup[[#This Row],[Transaction code]],Transactions[Transaction code],Transactions[Transaction name],,0,)</f>
        <v>IC Geothermal - Main activity producers</v>
      </c>
    </row>
    <row r="295" spans="2:4" x14ac:dyDescent="0.45">
      <c r="B295" s="2" t="s">
        <v>79</v>
      </c>
      <c r="C295" s="2" t="s">
        <v>79</v>
      </c>
      <c r="D295" t="str">
        <f>_xlfn.XLOOKUP(TransactionCleanup[[#This Row],[Transaction code]],Transactions[Transaction code],Transactions[Transaction name],,0,)</f>
        <v>IC Geothermal</v>
      </c>
    </row>
    <row r="296" spans="2:4" x14ac:dyDescent="0.45">
      <c r="B296" t="s">
        <v>84</v>
      </c>
      <c r="C296" s="2" t="s">
        <v>79</v>
      </c>
      <c r="D296" t="str">
        <f>_xlfn.XLOOKUP(TransactionCleanup[[#This Row],[Transaction code]],Transactions[Transaction code],Transactions[Transaction name],,0,)</f>
        <v>IC Geothermal</v>
      </c>
    </row>
    <row r="297" spans="2:4" x14ac:dyDescent="0.45">
      <c r="B297" s="2" t="s">
        <v>227</v>
      </c>
      <c r="C297" s="2" t="s">
        <v>227</v>
      </c>
      <c r="D297" t="str">
        <f>_xlfn.XLOOKUP(TransactionCleanup[[#This Row],[Transaction code]],Transactions[Transaction code],Transactions[Transaction name],,0,)</f>
        <v>Gross production</v>
      </c>
    </row>
    <row r="298" spans="2:4" x14ac:dyDescent="0.45">
      <c r="B298" t="s">
        <v>226</v>
      </c>
      <c r="C298" s="2" t="s">
        <v>227</v>
      </c>
      <c r="D298" t="str">
        <f>_xlfn.XLOOKUP(TransactionCleanup[[#This Row],[Transaction code]],Transactions[Transaction code],Transactions[Transaction name],,0,)</f>
        <v>Gross production</v>
      </c>
    </row>
    <row r="299" spans="2:4" x14ac:dyDescent="0.45">
      <c r="B299" t="s">
        <v>3</v>
      </c>
      <c r="C299" s="2" t="s">
        <v>4</v>
      </c>
      <c r="D299" t="str">
        <f>_xlfn.XLOOKUP(TransactionCleanup[[#This Row],[Transaction code]],Transactions[Transaction code],Transactions[Transaction name],,0,)</f>
        <v>Gross refinery output</v>
      </c>
    </row>
    <row r="300" spans="2:4" x14ac:dyDescent="0.45">
      <c r="B300" s="2" t="s">
        <v>4</v>
      </c>
      <c r="C300" s="2" t="s">
        <v>4</v>
      </c>
      <c r="D300" t="str">
        <f>_xlfn.XLOOKUP(TransactionCleanup[[#This Row],[Transaction code]],Transactions[Transaction code],Transactions[Transaction name],,0,)</f>
        <v>Gross refinery output</v>
      </c>
    </row>
    <row r="301" spans="2:4" x14ac:dyDescent="0.45">
      <c r="B301" s="2" t="s">
        <v>251</v>
      </c>
      <c r="C301" s="2" t="s">
        <v>251</v>
      </c>
      <c r="D301" t="str">
        <f>_xlfn.XLOOKUP(TransactionCleanup[[#This Row],[Transaction code]],Transactions[Transaction code],Transactions[Transaction name],,0,)</f>
        <v>Heat plants - Autoproducer - chemical heat/sources</v>
      </c>
    </row>
    <row r="302" spans="2:4" x14ac:dyDescent="0.45">
      <c r="B302" t="s">
        <v>678</v>
      </c>
      <c r="C302" s="2" t="s">
        <v>251</v>
      </c>
      <c r="D302" t="str">
        <f>_xlfn.XLOOKUP(TransactionCleanup[[#This Row],[Transaction code]],Transactions[Transaction code],Transactions[Transaction name],,0,)</f>
        <v>Heat plants - Autoproducer - chemical heat/sources</v>
      </c>
    </row>
    <row r="303" spans="2:4" x14ac:dyDescent="0.45">
      <c r="B303" s="2" t="s">
        <v>277</v>
      </c>
      <c r="C303" s="2" t="s">
        <v>277</v>
      </c>
      <c r="D303" t="str">
        <f>_xlfn.XLOOKUP(TransactionCleanup[[#This Row],[Transaction code]],Transactions[Transaction code],Transactions[Transaction name],,0,)</f>
        <v>Heat plants - Autoproducer - combustible fuels</v>
      </c>
    </row>
    <row r="304" spans="2:4" x14ac:dyDescent="0.45">
      <c r="B304" t="s">
        <v>676</v>
      </c>
      <c r="C304" s="2" t="s">
        <v>277</v>
      </c>
      <c r="D304" t="str">
        <f>_xlfn.XLOOKUP(TransactionCleanup[[#This Row],[Transaction code]],Transactions[Transaction code],Transactions[Transaction name],,0,)</f>
        <v>Heat plants - Autoproducer - combustible fuels</v>
      </c>
    </row>
    <row r="305" spans="2:4" x14ac:dyDescent="0.45">
      <c r="B305" s="2" t="s">
        <v>264</v>
      </c>
      <c r="C305" s="2" t="s">
        <v>264</v>
      </c>
      <c r="D305" t="str">
        <f>_xlfn.XLOOKUP(TransactionCleanup[[#This Row],[Transaction code]],Transactions[Transaction code],Transactions[Transaction name],,0,)</f>
        <v>Heat plants - Autoproducer - Geothermal</v>
      </c>
    </row>
    <row r="306" spans="2:4" x14ac:dyDescent="0.45">
      <c r="B306" t="s">
        <v>677</v>
      </c>
      <c r="C306" s="2" t="s">
        <v>264</v>
      </c>
      <c r="D306" t="str">
        <f>_xlfn.XLOOKUP(TransactionCleanup[[#This Row],[Transaction code]],Transactions[Transaction code],Transactions[Transaction name],,0,)</f>
        <v>Heat plants - Autoproducer - Geothermal</v>
      </c>
    </row>
    <row r="307" spans="2:4" x14ac:dyDescent="0.45">
      <c r="B307" s="2" t="s">
        <v>236</v>
      </c>
      <c r="C307" s="2" t="s">
        <v>236</v>
      </c>
      <c r="D307" t="str">
        <f>_xlfn.XLOOKUP(TransactionCleanup[[#This Row],[Transaction code]],Transactions[Transaction code],Transactions[Transaction name],,0,)</f>
        <v>Heat plants - Autoproducer - other sources</v>
      </c>
    </row>
    <row r="308" spans="2:4" x14ac:dyDescent="0.45">
      <c r="B308" t="s">
        <v>679</v>
      </c>
      <c r="C308" s="2" t="s">
        <v>236</v>
      </c>
      <c r="D308" t="str">
        <f>_xlfn.XLOOKUP(TransactionCleanup[[#This Row],[Transaction code]],Transactions[Transaction code],Transactions[Transaction name],,0,)</f>
        <v>Heat plants - Autoproducer - other sources</v>
      </c>
    </row>
    <row r="309" spans="2:4" x14ac:dyDescent="0.45">
      <c r="B309" s="2" t="s">
        <v>172</v>
      </c>
      <c r="C309" s="2" t="s">
        <v>172</v>
      </c>
      <c r="D309" t="str">
        <f>_xlfn.XLOOKUP(TransactionCleanup[[#This Row],[Transaction code]],Transactions[Transaction code],Transactions[Transaction name],,0,)</f>
        <v>Heat plants - Autoproducers</v>
      </c>
    </row>
    <row r="310" spans="2:4" x14ac:dyDescent="0.45">
      <c r="B310" t="s">
        <v>694</v>
      </c>
      <c r="C310" s="2" t="s">
        <v>172</v>
      </c>
      <c r="D310" t="str">
        <f>_xlfn.XLOOKUP(TransactionCleanup[[#This Row],[Transaction code]],Transactions[Transaction code],Transactions[Transaction name],,0,)</f>
        <v>Heat plants - Autoproducers</v>
      </c>
    </row>
    <row r="311" spans="2:4" x14ac:dyDescent="0.45">
      <c r="B311" s="2" t="s">
        <v>173</v>
      </c>
      <c r="C311" s="2" t="s">
        <v>173</v>
      </c>
      <c r="D311" t="str">
        <f>_xlfn.XLOOKUP(TransactionCleanup[[#This Row],[Transaction code]],Transactions[Transaction code],Transactions[Transaction name],,0,)</f>
        <v>Heat plants - Main activity</v>
      </c>
    </row>
    <row r="312" spans="2:4" x14ac:dyDescent="0.45">
      <c r="B312" t="s">
        <v>693</v>
      </c>
      <c r="C312" s="2" t="s">
        <v>173</v>
      </c>
      <c r="D312" t="str">
        <f>_xlfn.XLOOKUP(TransactionCleanup[[#This Row],[Transaction code]],Transactions[Transaction code],Transactions[Transaction name],,0,)</f>
        <v>Heat plants - Main activity</v>
      </c>
    </row>
    <row r="313" spans="2:4" x14ac:dyDescent="0.45">
      <c r="B313" s="2" t="s">
        <v>359</v>
      </c>
      <c r="C313" s="2" t="s">
        <v>359</v>
      </c>
      <c r="D313" t="str">
        <f>_xlfn.XLOOKUP(TransactionCleanup[[#This Row],[Transaction code]],Transactions[Transaction code],Transactions[Transaction name],,0,)</f>
        <v>Heat plants - Main activity - combustible fuels</v>
      </c>
    </row>
    <row r="314" spans="2:4" x14ac:dyDescent="0.45">
      <c r="B314" t="s">
        <v>672</v>
      </c>
      <c r="C314" s="2" t="s">
        <v>359</v>
      </c>
      <c r="D314" t="str">
        <f>_xlfn.XLOOKUP(TransactionCleanup[[#This Row],[Transaction code]],Transactions[Transaction code],Transactions[Transaction name],,0,)</f>
        <v>Heat plants - Main activity - combustible fuels</v>
      </c>
    </row>
    <row r="315" spans="2:4" x14ac:dyDescent="0.45">
      <c r="B315" s="2" t="s">
        <v>344</v>
      </c>
      <c r="C315" s="2" t="s">
        <v>344</v>
      </c>
      <c r="D315" t="str">
        <f>_xlfn.XLOOKUP(TransactionCleanup[[#This Row],[Transaction code]],Transactions[Transaction code],Transactions[Transaction name],,0,)</f>
        <v>Heat plants - Main activity - Geothermal</v>
      </c>
    </row>
    <row r="316" spans="2:4" x14ac:dyDescent="0.45">
      <c r="B316" t="s">
        <v>673</v>
      </c>
      <c r="C316" s="2" t="s">
        <v>344</v>
      </c>
      <c r="D316" t="str">
        <f>_xlfn.XLOOKUP(TransactionCleanup[[#This Row],[Transaction code]],Transactions[Transaction code],Transactions[Transaction name],,0,)</f>
        <v>Heat plants - Main activity - Geothermal</v>
      </c>
    </row>
    <row r="317" spans="2:4" x14ac:dyDescent="0.45">
      <c r="B317" s="2" t="s">
        <v>332</v>
      </c>
      <c r="C317" s="2" t="s">
        <v>332</v>
      </c>
      <c r="D317" t="str">
        <f>_xlfn.XLOOKUP(TransactionCleanup[[#This Row],[Transaction code]],Transactions[Transaction code],Transactions[Transaction name],,0,)</f>
        <v>Heat plants - Main activity - heat pumps</v>
      </c>
    </row>
    <row r="318" spans="2:4" x14ac:dyDescent="0.45">
      <c r="B318" t="s">
        <v>807</v>
      </c>
      <c r="C318" s="2" t="s">
        <v>332</v>
      </c>
      <c r="D318" t="str">
        <f>_xlfn.XLOOKUP(TransactionCleanup[[#This Row],[Transaction code]],Transactions[Transaction code],Transactions[Transaction name],,0,)</f>
        <v>Heat plants - Main activity - heat pumps</v>
      </c>
    </row>
    <row r="319" spans="2:4" x14ac:dyDescent="0.45">
      <c r="B319" s="2" t="s">
        <v>320</v>
      </c>
      <c r="C319" s="2" t="s">
        <v>320</v>
      </c>
      <c r="D319" t="str">
        <f>_xlfn.XLOOKUP(TransactionCleanup[[#This Row],[Transaction code]],Transactions[Transaction code],Transactions[Transaction name],,0,)</f>
        <v>Heat plants - Main activity - Nuclear</v>
      </c>
    </row>
    <row r="320" spans="2:4" x14ac:dyDescent="0.45">
      <c r="B320" t="s">
        <v>674</v>
      </c>
      <c r="C320" s="2" t="s">
        <v>320</v>
      </c>
      <c r="D320" t="str">
        <f>_xlfn.XLOOKUP(TransactionCleanup[[#This Row],[Transaction code]],Transactions[Transaction code],Transactions[Transaction name],,0,)</f>
        <v>Heat plants - Main activity - Nuclear</v>
      </c>
    </row>
    <row r="321" spans="2:4" x14ac:dyDescent="0.45">
      <c r="B321" s="2" t="s">
        <v>309</v>
      </c>
      <c r="C321" s="2" t="s">
        <v>309</v>
      </c>
      <c r="D321" t="str">
        <f>_xlfn.XLOOKUP(TransactionCleanup[[#This Row],[Transaction code]],Transactions[Transaction code],Transactions[Transaction name],,0,)</f>
        <v>Heat plants - Main activity - other sources</v>
      </c>
    </row>
    <row r="322" spans="2:4" x14ac:dyDescent="0.45">
      <c r="B322" t="s">
        <v>675</v>
      </c>
      <c r="C322" s="2" t="s">
        <v>309</v>
      </c>
      <c r="D322" t="str">
        <f>_xlfn.XLOOKUP(TransactionCleanup[[#This Row],[Transaction code]],Transactions[Transaction code],Transactions[Transaction name],,0,)</f>
        <v>Heat plants - Main activity - other sources</v>
      </c>
    </row>
    <row r="323" spans="2:4" x14ac:dyDescent="0.45">
      <c r="B323" t="s">
        <v>619</v>
      </c>
      <c r="C323" t="s">
        <v>619</v>
      </c>
      <c r="D323" t="str">
        <f>_xlfn.XLOOKUP(TransactionCleanup[[#This Row],[Transaction code]],Transactions[Transaction code],Transactions[Transaction name],,0,)</f>
        <v>Heat plants (S)</v>
      </c>
    </row>
    <row r="324" spans="2:4" x14ac:dyDescent="0.45">
      <c r="B324" t="s">
        <v>852</v>
      </c>
      <c r="C324" t="s">
        <v>619</v>
      </c>
      <c r="D324" t="str">
        <f>_xlfn.XLOOKUP(TransactionCleanup[[#This Row],[Transaction code]],Transactions[Transaction code],Transactions[Transaction name],,0,)</f>
        <v>Heat plants (S)</v>
      </c>
    </row>
    <row r="325" spans="2:4" x14ac:dyDescent="0.45">
      <c r="B325" t="s">
        <v>797</v>
      </c>
      <c r="C325" t="s">
        <v>619</v>
      </c>
      <c r="D325" t="str">
        <f>_xlfn.XLOOKUP(TransactionCleanup[[#This Row],[Transaction code]],Transactions[Transaction code],Transactions[Transaction name],,0,)</f>
        <v>Heat plants (S)</v>
      </c>
    </row>
    <row r="326" spans="2:4" x14ac:dyDescent="0.45">
      <c r="B326" s="2" t="s">
        <v>105</v>
      </c>
      <c r="C326" s="2" t="s">
        <v>105</v>
      </c>
      <c r="D326" t="str">
        <f>_xlfn.XLOOKUP(TransactionCleanup[[#This Row],[Transaction code]],Transactions[Transaction code],Transactions[Transaction name],,0,)</f>
        <v>Households</v>
      </c>
    </row>
    <row r="327" spans="2:4" x14ac:dyDescent="0.45">
      <c r="B327" t="s">
        <v>396</v>
      </c>
      <c r="C327" s="2" t="s">
        <v>105</v>
      </c>
      <c r="D327" t="str">
        <f>_xlfn.XLOOKUP(TransactionCleanup[[#This Row],[Transaction code]],Transactions[Transaction code],Transactions[Transaction name],,0,)</f>
        <v>Households</v>
      </c>
    </row>
    <row r="328" spans="2:4" x14ac:dyDescent="0.45">
      <c r="B328" t="s">
        <v>397</v>
      </c>
      <c r="C328" t="s">
        <v>397</v>
      </c>
      <c r="D328" t="str">
        <f>_xlfn.XLOOKUP(TransactionCleanup[[#This Row],[Transaction code]],Transactions[Transaction code],Transactions[Transaction name],,0,)</f>
        <v>Households (S)</v>
      </c>
    </row>
    <row r="329" spans="2:4" x14ac:dyDescent="0.45">
      <c r="B329" t="s">
        <v>853</v>
      </c>
      <c r="C329" t="s">
        <v>397</v>
      </c>
      <c r="D329" t="str">
        <f>_xlfn.XLOOKUP(TransactionCleanup[[#This Row],[Transaction code]],Transactions[Transaction code],Transactions[Transaction name],,0,)</f>
        <v>Households (S)</v>
      </c>
    </row>
    <row r="330" spans="2:4" x14ac:dyDescent="0.45">
      <c r="B330" t="s">
        <v>763</v>
      </c>
      <c r="C330" t="s">
        <v>397</v>
      </c>
      <c r="D330" t="str">
        <f>_xlfn.XLOOKUP(TransactionCleanup[[#This Row],[Transaction code]],Transactions[Transaction code],Transactions[Transaction name],,0,)</f>
        <v>Households (S)</v>
      </c>
    </row>
    <row r="331" spans="2:4" x14ac:dyDescent="0.45">
      <c r="B331" s="2" t="s">
        <v>43</v>
      </c>
      <c r="C331" s="2" t="s">
        <v>43</v>
      </c>
      <c r="D331" t="str">
        <f>_xlfn.XLOOKUP(TransactionCleanup[[#This Row],[Transaction code]],Transactions[Transaction code],Transactions[Transaction name],,0,)</f>
        <v>IC Hydropower - Autoproducers</v>
      </c>
    </row>
    <row r="332" spans="2:4" x14ac:dyDescent="0.45">
      <c r="B332" t="s">
        <v>86</v>
      </c>
      <c r="C332" s="2" t="s">
        <v>43</v>
      </c>
      <c r="D332" t="str">
        <f>_xlfn.XLOOKUP(TransactionCleanup[[#This Row],[Transaction code]],Transactions[Transaction code],Transactions[Transaction name],,0,)</f>
        <v>IC Hydropower - Autoproducers</v>
      </c>
    </row>
    <row r="333" spans="2:4" x14ac:dyDescent="0.45">
      <c r="B333" s="2" t="s">
        <v>46</v>
      </c>
      <c r="C333" s="2" t="s">
        <v>46</v>
      </c>
      <c r="D333" t="str">
        <f>_xlfn.XLOOKUP(TransactionCleanup[[#This Row],[Transaction code]],Transactions[Transaction code],Transactions[Transaction name],,0,)</f>
        <v>IC Hydropower - Main activity producers</v>
      </c>
    </row>
    <row r="334" spans="2:4" x14ac:dyDescent="0.45">
      <c r="B334" t="s">
        <v>87</v>
      </c>
      <c r="C334" s="2" t="s">
        <v>46</v>
      </c>
      <c r="D334" t="str">
        <f>_xlfn.XLOOKUP(TransactionCleanup[[#This Row],[Transaction code]],Transactions[Transaction code],Transactions[Transaction name],,0,)</f>
        <v>IC Hydropower - Main activity producers</v>
      </c>
    </row>
    <row r="335" spans="2:4" x14ac:dyDescent="0.45">
      <c r="B335" s="2" t="s">
        <v>85</v>
      </c>
      <c r="C335" s="2" t="s">
        <v>85</v>
      </c>
      <c r="D335" t="str">
        <f>_xlfn.XLOOKUP(TransactionCleanup[[#This Row],[Transaction code]],Transactions[Transaction code],Transactions[Transaction name],,0,)</f>
        <v>IC Hydropower</v>
      </c>
    </row>
    <row r="336" spans="2:4" x14ac:dyDescent="0.45">
      <c r="B336" t="s">
        <v>88</v>
      </c>
      <c r="C336" s="2" t="s">
        <v>85</v>
      </c>
      <c r="D336" t="str">
        <f>_xlfn.XLOOKUP(TransactionCleanup[[#This Row],[Transaction code]],Transactions[Transaction code],Transactions[Transaction name],,0,)</f>
        <v>IC Hydropower</v>
      </c>
    </row>
    <row r="337" spans="2:4" x14ac:dyDescent="0.45">
      <c r="B337" s="2" t="s">
        <v>19</v>
      </c>
      <c r="C337" s="2" t="s">
        <v>19</v>
      </c>
      <c r="D337" t="str">
        <f>_xlfn.XLOOKUP(TransactionCleanup[[#This Row],[Transaction code]],Transactions[Transaction code],Transactions[Transaction name],,0,)</f>
        <v>Hydropower potential</v>
      </c>
    </row>
    <row r="338" spans="2:4" x14ac:dyDescent="0.45">
      <c r="B338" t="s">
        <v>640</v>
      </c>
      <c r="C338" s="2" t="s">
        <v>19</v>
      </c>
      <c r="D338" t="str">
        <f>_xlfn.XLOOKUP(TransactionCleanup[[#This Row],[Transaction code]],Transactions[Transaction code],Transactions[Transaction name],,0,)</f>
        <v>Hydropower potential</v>
      </c>
    </row>
    <row r="339" spans="2:4" x14ac:dyDescent="0.45">
      <c r="B339" s="2" t="s">
        <v>201</v>
      </c>
      <c r="C339" s="2" t="s">
        <v>201</v>
      </c>
      <c r="D339" t="str">
        <f>_xlfn.XLOOKUP(TransactionCleanup[[#This Row],[Transaction code]],Transactions[Transaction code],Transactions[Transaction name],,0,)</f>
        <v>Imports</v>
      </c>
    </row>
    <row r="340" spans="2:4" x14ac:dyDescent="0.45">
      <c r="B340" t="s">
        <v>200</v>
      </c>
      <c r="C340" s="2" t="s">
        <v>201</v>
      </c>
      <c r="D340" t="str">
        <f>_xlfn.XLOOKUP(TransactionCleanup[[#This Row],[Transaction code]],Transactions[Transaction code],Transactions[Transaction name],,0,)</f>
        <v>Imports</v>
      </c>
    </row>
    <row r="341" spans="2:4" x14ac:dyDescent="0.45">
      <c r="B341" t="s">
        <v>570</v>
      </c>
      <c r="C341" t="s">
        <v>570</v>
      </c>
      <c r="D341" t="str">
        <f>_xlfn.XLOOKUP(TransactionCleanup[[#This Row],[Transaction code]],Transactions[Transaction code],Transactions[Transaction name],,0,)</f>
        <v>Imports (S)</v>
      </c>
    </row>
    <row r="342" spans="2:4" x14ac:dyDescent="0.45">
      <c r="B342" t="s">
        <v>854</v>
      </c>
      <c r="C342" t="s">
        <v>570</v>
      </c>
      <c r="D342" t="str">
        <f>_xlfn.XLOOKUP(TransactionCleanup[[#This Row],[Transaction code]],Transactions[Transaction code],Transactions[Transaction name],,0,)</f>
        <v>Imports (S)</v>
      </c>
    </row>
    <row r="343" spans="2:4" x14ac:dyDescent="0.45">
      <c r="B343" t="s">
        <v>767</v>
      </c>
      <c r="C343" t="s">
        <v>570</v>
      </c>
      <c r="D343" t="str">
        <f>_xlfn.XLOOKUP(TransactionCleanup[[#This Row],[Transaction code]],Transactions[Transaction code],Transactions[Transaction name],,0,)</f>
        <v>Imports (S)</v>
      </c>
    </row>
    <row r="344" spans="2:4" x14ac:dyDescent="0.45">
      <c r="B344" t="s">
        <v>607</v>
      </c>
      <c r="C344" t="s">
        <v>624</v>
      </c>
      <c r="D344" t="str">
        <f>_xlfn.XLOOKUP(TransactionCleanup[[#This Row],[Transaction code]],Transactions[Transaction code],Transactions[Transaction name],,0,)</f>
        <v>Industry n.e.s</v>
      </c>
    </row>
    <row r="345" spans="2:4" x14ac:dyDescent="0.45">
      <c r="B345" t="s">
        <v>624</v>
      </c>
      <c r="C345" t="s">
        <v>624</v>
      </c>
      <c r="D345" t="str">
        <f>_xlfn.XLOOKUP(TransactionCleanup[[#This Row],[Transaction code]],Transactions[Transaction code],Transactions[Transaction name],,0,)</f>
        <v>Industry n.e.s</v>
      </c>
    </row>
    <row r="346" spans="2:4" x14ac:dyDescent="0.45">
      <c r="B346" s="2" t="s">
        <v>116</v>
      </c>
      <c r="C346" s="2" t="s">
        <v>116</v>
      </c>
      <c r="D346" t="str">
        <f>_xlfn.XLOOKUP(TransactionCleanup[[#This Row],[Transaction code]],Transactions[Transaction code],Transactions[Transaction name],,0,)</f>
        <v>Industry n.e.s.</v>
      </c>
    </row>
    <row r="347" spans="2:4" x14ac:dyDescent="0.45">
      <c r="B347" t="s">
        <v>115</v>
      </c>
      <c r="C347" s="2" t="s">
        <v>116</v>
      </c>
      <c r="D347" t="str">
        <f>_xlfn.XLOOKUP(TransactionCleanup[[#This Row],[Transaction code]],Transactions[Transaction code],Transactions[Transaction name],,0,)</f>
        <v>Industry n.e.s.</v>
      </c>
    </row>
    <row r="348" spans="2:4" x14ac:dyDescent="0.45">
      <c r="B348" t="s">
        <v>438</v>
      </c>
      <c r="C348" t="s">
        <v>438</v>
      </c>
      <c r="D348" t="str">
        <f>_xlfn.XLOOKUP(TransactionCleanup[[#This Row],[Transaction code]],Transactions[Transaction code],Transactions[Transaction name],,0,)</f>
        <v>Industry n.e.s. (S)</v>
      </c>
    </row>
    <row r="349" spans="2:4" x14ac:dyDescent="0.45">
      <c r="B349" t="s">
        <v>753</v>
      </c>
      <c r="C349" t="s">
        <v>438</v>
      </c>
      <c r="D349" t="str">
        <f>_xlfn.XLOOKUP(TransactionCleanup[[#This Row],[Transaction code]],Transactions[Transaction code],Transactions[Transaction name],,0,)</f>
        <v>Industry n.e.s. (S)</v>
      </c>
    </row>
    <row r="350" spans="2:4" x14ac:dyDescent="0.45">
      <c r="B350" t="s">
        <v>855</v>
      </c>
      <c r="C350" t="s">
        <v>438</v>
      </c>
      <c r="D350" t="str">
        <f>_xlfn.XLOOKUP(TransactionCleanup[[#This Row],[Transaction code]],Transactions[Transaction code],Transactions[Transaction name],,0,)</f>
        <v>Industry n.e.s. (S)</v>
      </c>
    </row>
    <row r="351" spans="2:4" x14ac:dyDescent="0.45">
      <c r="B351" s="2" t="s">
        <v>195</v>
      </c>
      <c r="C351" s="2" t="s">
        <v>195</v>
      </c>
      <c r="D351" t="str">
        <f>_xlfn.XLOOKUP(TransactionCleanup[[#This Row],[Transaction code]],Transactions[Transaction code],Transactions[Transaction name],,0,)</f>
        <v>International aviation bunkers</v>
      </c>
    </row>
    <row r="352" spans="2:4" x14ac:dyDescent="0.45">
      <c r="B352" t="s">
        <v>194</v>
      </c>
      <c r="C352" s="2" t="s">
        <v>195</v>
      </c>
      <c r="D352" t="str">
        <f>_xlfn.XLOOKUP(TransactionCleanup[[#This Row],[Transaction code]],Transactions[Transaction code],Transactions[Transaction name],,0,)</f>
        <v>International aviation bunkers</v>
      </c>
    </row>
    <row r="353" spans="2:4" x14ac:dyDescent="0.45">
      <c r="B353" t="s">
        <v>555</v>
      </c>
      <c r="C353" t="s">
        <v>555</v>
      </c>
      <c r="D353" t="str">
        <f>_xlfn.XLOOKUP(TransactionCleanup[[#This Row],[Transaction code]],Transactions[Transaction code],Transactions[Transaction name],,0,)</f>
        <v>International aviation bunkers (S)</v>
      </c>
    </row>
    <row r="354" spans="2:4" x14ac:dyDescent="0.45">
      <c r="B354" t="s">
        <v>856</v>
      </c>
      <c r="C354" t="s">
        <v>555</v>
      </c>
      <c r="D354" t="str">
        <f>_xlfn.XLOOKUP(TransactionCleanup[[#This Row],[Transaction code]],Transactions[Transaction code],Transactions[Transaction name],,0,)</f>
        <v>International aviation bunkers (S)</v>
      </c>
    </row>
    <row r="355" spans="2:4" x14ac:dyDescent="0.45">
      <c r="B355" t="s">
        <v>770</v>
      </c>
      <c r="C355" t="s">
        <v>555</v>
      </c>
      <c r="D355" t="str">
        <f>_xlfn.XLOOKUP(TransactionCleanup[[#This Row],[Transaction code]],Transactions[Transaction code],Transactions[Transaction name],,0,)</f>
        <v>International aviation bunkers (S)</v>
      </c>
    </row>
    <row r="356" spans="2:4" x14ac:dyDescent="0.45">
      <c r="B356" s="2" t="s">
        <v>197</v>
      </c>
      <c r="C356" s="2" t="s">
        <v>197</v>
      </c>
      <c r="D356" t="str">
        <f>_xlfn.XLOOKUP(TransactionCleanup[[#This Row],[Transaction code]],Transactions[Transaction code],Transactions[Transaction name],,0,)</f>
        <v>International marine bunkers</v>
      </c>
    </row>
    <row r="357" spans="2:4" x14ac:dyDescent="0.45">
      <c r="B357" t="s">
        <v>196</v>
      </c>
      <c r="C357" s="2" t="s">
        <v>197</v>
      </c>
      <c r="D357" t="str">
        <f>_xlfn.XLOOKUP(TransactionCleanup[[#This Row],[Transaction code]],Transactions[Transaction code],Transactions[Transaction name],,0,)</f>
        <v>International marine bunkers</v>
      </c>
    </row>
    <row r="358" spans="2:4" x14ac:dyDescent="0.45">
      <c r="B358" t="s">
        <v>559</v>
      </c>
      <c r="C358" t="s">
        <v>559</v>
      </c>
      <c r="D358" t="str">
        <f>_xlfn.XLOOKUP(TransactionCleanup[[#This Row],[Transaction code]],Transactions[Transaction code],Transactions[Transaction name],,0,)</f>
        <v>International marine bunkers (S)</v>
      </c>
    </row>
    <row r="359" spans="2:4" x14ac:dyDescent="0.45">
      <c r="B359" t="s">
        <v>857</v>
      </c>
      <c r="C359" t="s">
        <v>559</v>
      </c>
      <c r="D359" t="str">
        <f>_xlfn.XLOOKUP(TransactionCleanup[[#This Row],[Transaction code]],Transactions[Transaction code],Transactions[Transaction name],,0,)</f>
        <v>International marine bunkers (S)</v>
      </c>
    </row>
    <row r="360" spans="2:4" x14ac:dyDescent="0.45">
      <c r="B360" t="s">
        <v>769</v>
      </c>
      <c r="C360" t="s">
        <v>559</v>
      </c>
      <c r="D360" t="str">
        <f>_xlfn.XLOOKUP(TransactionCleanup[[#This Row],[Transaction code]],Transactions[Transaction code],Transactions[Transaction name],,0,)</f>
        <v>International marine bunkers (S)</v>
      </c>
    </row>
    <row r="361" spans="2:4" x14ac:dyDescent="0.45">
      <c r="B361" s="2" t="s">
        <v>129</v>
      </c>
      <c r="C361" s="2" t="s">
        <v>129</v>
      </c>
      <c r="D361" t="str">
        <f>_xlfn.XLOOKUP(TransactionCleanup[[#This Row],[Transaction code]],Transactions[Transaction code],Transactions[Transaction name],,0,)</f>
        <v>Iron and steel</v>
      </c>
    </row>
    <row r="362" spans="2:4" x14ac:dyDescent="0.45">
      <c r="B362" t="s">
        <v>485</v>
      </c>
      <c r="C362" s="2" t="s">
        <v>129</v>
      </c>
      <c r="D362" t="str">
        <f>_xlfn.XLOOKUP(TransactionCleanup[[#This Row],[Transaction code]],Transactions[Transaction code],Transactions[Transaction name],,0,)</f>
        <v>Iron and steel</v>
      </c>
    </row>
    <row r="363" spans="2:4" x14ac:dyDescent="0.45">
      <c r="B363" t="s">
        <v>486</v>
      </c>
      <c r="C363" t="s">
        <v>486</v>
      </c>
      <c r="D363" t="str">
        <f>_xlfn.XLOOKUP(TransactionCleanup[[#This Row],[Transaction code]],Transactions[Transaction code],Transactions[Transaction name],,0,)</f>
        <v>Iron and steel (S)</v>
      </c>
    </row>
    <row r="364" spans="2:4" x14ac:dyDescent="0.45">
      <c r="B364" t="s">
        <v>858</v>
      </c>
      <c r="C364" t="s">
        <v>486</v>
      </c>
      <c r="D364" t="str">
        <f>_xlfn.XLOOKUP(TransactionCleanup[[#This Row],[Transaction code]],Transactions[Transaction code],Transactions[Transaction name],,0,)</f>
        <v>Iron and steel (S)</v>
      </c>
    </row>
    <row r="365" spans="2:4" x14ac:dyDescent="0.45">
      <c r="B365" t="s">
        <v>741</v>
      </c>
      <c r="C365" t="s">
        <v>486</v>
      </c>
      <c r="D365" t="str">
        <f>_xlfn.XLOOKUP(TransactionCleanup[[#This Row],[Transaction code]],Transactions[Transaction code],Transactions[Transaction name],,0,)</f>
        <v>Iron and steel (S)</v>
      </c>
    </row>
    <row r="366" spans="2:4" x14ac:dyDescent="0.45">
      <c r="B366" t="s">
        <v>621</v>
      </c>
      <c r="C366" t="s">
        <v>621</v>
      </c>
      <c r="D366" t="str">
        <f>_xlfn.XLOOKUP(TransactionCleanup[[#This Row],[Transaction code]],Transactions[Transaction code],Transactions[Transaction name],,0,)</f>
        <v>Liquefaction plants (S)</v>
      </c>
    </row>
    <row r="367" spans="2:4" x14ac:dyDescent="0.45">
      <c r="B367" t="s">
        <v>859</v>
      </c>
      <c r="C367" t="s">
        <v>621</v>
      </c>
      <c r="D367" t="str">
        <f>_xlfn.XLOOKUP(TransactionCleanup[[#This Row],[Transaction code]],Transactions[Transaction code],Transactions[Transaction name],,0,)</f>
        <v>Liquefaction plants (S)</v>
      </c>
    </row>
    <row r="368" spans="2:4" x14ac:dyDescent="0.45">
      <c r="B368" t="s">
        <v>798</v>
      </c>
      <c r="C368" t="s">
        <v>621</v>
      </c>
      <c r="D368" t="str">
        <f>_xlfn.XLOOKUP(TransactionCleanup[[#This Row],[Transaction code]],Transactions[Transaction code],Transactions[Transaction name],,0,)</f>
        <v>Liquefaction plants (S)</v>
      </c>
    </row>
    <row r="369" spans="2:4" x14ac:dyDescent="0.45">
      <c r="B369" s="2" t="s">
        <v>145</v>
      </c>
      <c r="C369" s="2" t="s">
        <v>145</v>
      </c>
      <c r="D369" t="str">
        <f>_xlfn.XLOOKUP(TransactionCleanup[[#This Row],[Transaction code]],Transactions[Transaction code],Transactions[Transaction name],,0,)</f>
        <v>LNG/regasification plants (own use)</v>
      </c>
    </row>
    <row r="370" spans="2:4" x14ac:dyDescent="0.45">
      <c r="B370" t="s">
        <v>718</v>
      </c>
      <c r="C370" s="2" t="s">
        <v>145</v>
      </c>
      <c r="D370" t="str">
        <f>_xlfn.XLOOKUP(TransactionCleanup[[#This Row],[Transaction code]],Transactions[Transaction code],Transactions[Transaction name],,0,)</f>
        <v>LNG/regasification plants (own use)</v>
      </c>
    </row>
    <row r="371" spans="2:4" x14ac:dyDescent="0.45">
      <c r="B371" s="2" t="s">
        <v>143</v>
      </c>
      <c r="C371" s="2" t="s">
        <v>143</v>
      </c>
      <c r="D371" t="str">
        <f>_xlfn.XLOOKUP(TransactionCleanup[[#This Row],[Transaction code]],Transactions[Transaction code],Transactions[Transaction name],,0,)</f>
        <v>Losses</v>
      </c>
    </row>
    <row r="372" spans="2:4" x14ac:dyDescent="0.45">
      <c r="B372" t="s">
        <v>142</v>
      </c>
      <c r="C372" s="2" t="s">
        <v>143</v>
      </c>
      <c r="D372" t="str">
        <f>_xlfn.XLOOKUP(TransactionCleanup[[#This Row],[Transaction code]],Transactions[Transaction code],Transactions[Transaction name],,0,)</f>
        <v>Losses</v>
      </c>
    </row>
    <row r="373" spans="2:4" x14ac:dyDescent="0.45">
      <c r="B373" t="s">
        <v>495</v>
      </c>
      <c r="C373" t="s">
        <v>495</v>
      </c>
      <c r="D373" t="str">
        <f>_xlfn.XLOOKUP(TransactionCleanup[[#This Row],[Transaction code]],Transactions[Transaction code],Transactions[Transaction name],,0,)</f>
        <v>Losses (S)</v>
      </c>
    </row>
    <row r="374" spans="2:4" x14ac:dyDescent="0.45">
      <c r="B374" t="s">
        <v>860</v>
      </c>
      <c r="C374" t="s">
        <v>495</v>
      </c>
      <c r="D374" t="str">
        <f>_xlfn.XLOOKUP(TransactionCleanup[[#This Row],[Transaction code]],Transactions[Transaction code],Transactions[Transaction name],,0,)</f>
        <v>Losses (S)</v>
      </c>
    </row>
    <row r="375" spans="2:4" x14ac:dyDescent="0.45">
      <c r="B375" t="s">
        <v>789</v>
      </c>
      <c r="C375" t="s">
        <v>495</v>
      </c>
      <c r="D375" t="str">
        <f>_xlfn.XLOOKUP(TransactionCleanup[[#This Row],[Transaction code]],Transactions[Transaction code],Transactions[Transaction name],,0,)</f>
        <v>Losses (S)</v>
      </c>
    </row>
    <row r="376" spans="2:4" x14ac:dyDescent="0.45">
      <c r="B376" s="2" t="s">
        <v>123</v>
      </c>
      <c r="C376" s="2" t="s">
        <v>123</v>
      </c>
      <c r="D376" t="str">
        <f>_xlfn.XLOOKUP(TransactionCleanup[[#This Row],[Transaction code]],Transactions[Transaction code],Transactions[Transaction name],,0,)</f>
        <v>Machinery</v>
      </c>
    </row>
    <row r="377" spans="2:4" x14ac:dyDescent="0.45">
      <c r="B377" t="s">
        <v>464</v>
      </c>
      <c r="C377" s="2" t="s">
        <v>123</v>
      </c>
      <c r="D377" t="str">
        <f>_xlfn.XLOOKUP(TransactionCleanup[[#This Row],[Transaction code]],Transactions[Transaction code],Transactions[Transaction name],,0,)</f>
        <v>Machinery</v>
      </c>
    </row>
    <row r="378" spans="2:4" x14ac:dyDescent="0.45">
      <c r="B378" t="s">
        <v>465</v>
      </c>
      <c r="C378" t="s">
        <v>465</v>
      </c>
      <c r="D378" t="str">
        <f>_xlfn.XLOOKUP(TransactionCleanup[[#This Row],[Transaction code]],Transactions[Transaction code],Transactions[Transaction name],,0,)</f>
        <v>Machinery (S)</v>
      </c>
    </row>
    <row r="379" spans="2:4" x14ac:dyDescent="0.45">
      <c r="B379" t="s">
        <v>861</v>
      </c>
      <c r="C379" t="s">
        <v>465</v>
      </c>
      <c r="D379" t="str">
        <f>_xlfn.XLOOKUP(TransactionCleanup[[#This Row],[Transaction code]],Transactions[Transaction code],Transactions[Transaction name],,0,)</f>
        <v>Machinery (S)</v>
      </c>
    </row>
    <row r="380" spans="2:4" x14ac:dyDescent="0.45">
      <c r="B380" t="s">
        <v>746</v>
      </c>
      <c r="C380" t="s">
        <v>465</v>
      </c>
      <c r="D380" t="str">
        <f>_xlfn.XLOOKUP(TransactionCleanup[[#This Row],[Transaction code]],Transactions[Transaction code],Transactions[Transaction name],,0,)</f>
        <v>Machinery (S)</v>
      </c>
    </row>
    <row r="381" spans="2:4" x14ac:dyDescent="0.45">
      <c r="B381" t="s">
        <v>622</v>
      </c>
      <c r="C381" t="s">
        <v>622</v>
      </c>
      <c r="D381" t="str">
        <f>_xlfn.XLOOKUP(TransactionCleanup[[#This Row],[Transaction code]],Transactions[Transaction code],Transactions[Transaction name],,0,)</f>
        <v>Manufacturing  const. and mining</v>
      </c>
    </row>
    <row r="382" spans="2:4" x14ac:dyDescent="0.45">
      <c r="B382" t="s">
        <v>608</v>
      </c>
      <c r="C382" t="s">
        <v>622</v>
      </c>
      <c r="D382" t="str">
        <f>_xlfn.XLOOKUP(TransactionCleanup[[#This Row],[Transaction code]],Transactions[Transaction code],Transactions[Transaction name],,0,)</f>
        <v>Manufacturing  const. and mining</v>
      </c>
    </row>
    <row r="383" spans="2:4" x14ac:dyDescent="0.45">
      <c r="B383" s="2" t="s">
        <v>127</v>
      </c>
      <c r="C383" s="2" t="s">
        <v>127</v>
      </c>
      <c r="D383" t="str">
        <f>_xlfn.XLOOKUP(TransactionCleanup[[#This Row],[Transaction code]],Transactions[Transaction code],Transactions[Transaction name],,0,)</f>
        <v>Manufacturing, construction and non-fuel industry</v>
      </c>
    </row>
    <row r="384" spans="2:4" x14ac:dyDescent="0.45">
      <c r="B384" t="s">
        <v>698</v>
      </c>
      <c r="C384" s="2" t="s">
        <v>127</v>
      </c>
      <c r="D384" t="str">
        <f>_xlfn.XLOOKUP(TransactionCleanup[[#This Row],[Transaction code]],Transactions[Transaction code],Transactions[Transaction name],,0,)</f>
        <v>Manufacturing, construction and non-fuel industry</v>
      </c>
    </row>
    <row r="385" spans="2:4" x14ac:dyDescent="0.45">
      <c r="B385" t="s">
        <v>437</v>
      </c>
      <c r="C385" t="s">
        <v>437</v>
      </c>
      <c r="D385" t="str">
        <f>_xlfn.XLOOKUP(TransactionCleanup[[#This Row],[Transaction code]],Transactions[Transaction code],Transactions[Transaction name],,0,)</f>
        <v>Manufacturing, construction and non-fuel mining industries (S)</v>
      </c>
    </row>
    <row r="386" spans="2:4" x14ac:dyDescent="0.45">
      <c r="B386" t="s">
        <v>862</v>
      </c>
      <c r="C386" t="s">
        <v>437</v>
      </c>
      <c r="D386" t="str">
        <f>_xlfn.XLOOKUP(TransactionCleanup[[#This Row],[Transaction code]],Transactions[Transaction code],Transactions[Transaction name],,0,)</f>
        <v>Manufacturing, construction and non-fuel mining industries (S)</v>
      </c>
    </row>
    <row r="387" spans="2:4" x14ac:dyDescent="0.45">
      <c r="B387" t="s">
        <v>740</v>
      </c>
      <c r="C387" t="s">
        <v>437</v>
      </c>
      <c r="D387" t="str">
        <f>_xlfn.XLOOKUP(TransactionCleanup[[#This Row],[Transaction code]],Transactions[Transaction code],Transactions[Transaction name],,0,)</f>
        <v>Manufacturing, construction and non-fuel mining industries (S)</v>
      </c>
    </row>
    <row r="388" spans="2:4" x14ac:dyDescent="0.45">
      <c r="B388" s="2" t="s">
        <v>122</v>
      </c>
      <c r="C388" s="2" t="s">
        <v>122</v>
      </c>
      <c r="D388" t="str">
        <f>_xlfn.XLOOKUP(TransactionCleanup[[#This Row],[Transaction code]],Transactions[Transaction code],Transactions[Transaction name],,0,)</f>
        <v>Mining and quarrying</v>
      </c>
    </row>
    <row r="389" spans="2:4" x14ac:dyDescent="0.45">
      <c r="B389" t="s">
        <v>461</v>
      </c>
      <c r="C389" s="2" t="s">
        <v>122</v>
      </c>
      <c r="D389" t="str">
        <f>_xlfn.XLOOKUP(TransactionCleanup[[#This Row],[Transaction code]],Transactions[Transaction code],Transactions[Transaction name],,0,)</f>
        <v>Mining and quarrying</v>
      </c>
    </row>
    <row r="390" spans="2:4" x14ac:dyDescent="0.45">
      <c r="B390" t="s">
        <v>462</v>
      </c>
      <c r="C390" t="s">
        <v>462</v>
      </c>
      <c r="D390" t="str">
        <f>_xlfn.XLOOKUP(TransactionCleanup[[#This Row],[Transaction code]],Transactions[Transaction code],Transactions[Transaction name],,0,)</f>
        <v>Mining and quarrying (S)</v>
      </c>
    </row>
    <row r="391" spans="2:4" x14ac:dyDescent="0.45">
      <c r="B391" t="s">
        <v>863</v>
      </c>
      <c r="C391" t="s">
        <v>462</v>
      </c>
      <c r="D391" t="str">
        <f>_xlfn.XLOOKUP(TransactionCleanup[[#This Row],[Transaction code]],Transactions[Transaction code],Transactions[Transaction name],,0,)</f>
        <v>Mining and quarrying (S)</v>
      </c>
    </row>
    <row r="392" spans="2:4" x14ac:dyDescent="0.45">
      <c r="B392" t="s">
        <v>747</v>
      </c>
      <c r="C392" t="s">
        <v>462</v>
      </c>
      <c r="D392" t="str">
        <f>_xlfn.XLOOKUP(TransactionCleanup[[#This Row],[Transaction code]],Transactions[Transaction code],Transactions[Transaction name],,0,)</f>
        <v>Mining and quarrying (S)</v>
      </c>
    </row>
    <row r="393" spans="2:4" x14ac:dyDescent="0.45">
      <c r="B393" s="2" t="s">
        <v>73</v>
      </c>
      <c r="C393" s="2" t="s">
        <v>73</v>
      </c>
      <c r="D393" t="str">
        <f>_xlfn.XLOOKUP(TransactionCleanup[[#This Row],[Transaction code]],Transactions[Transaction code],Transactions[Transaction name],,0,)</f>
        <v>IC Combustible fuels - Renewable</v>
      </c>
    </row>
    <row r="394" spans="2:4" x14ac:dyDescent="0.45">
      <c r="B394" t="s">
        <v>72</v>
      </c>
      <c r="C394" s="2" t="s">
        <v>73</v>
      </c>
      <c r="D394" t="str">
        <f>_xlfn.XLOOKUP(TransactionCleanup[[#This Row],[Transaction code]],Transactions[Transaction code],Transactions[Transaction name],,0,)</f>
        <v>IC Combustible fuels - Renewable</v>
      </c>
    </row>
    <row r="395" spans="2:4" x14ac:dyDescent="0.45">
      <c r="B395" s="2" t="s">
        <v>178</v>
      </c>
      <c r="C395" s="2" t="s">
        <v>178</v>
      </c>
      <c r="D395" t="str">
        <f>_xlfn.XLOOKUP(TransactionCleanup[[#This Row],[Transaction code]],Transactions[Transaction code],Transactions[Transaction name],,0,)</f>
        <v>Natural gas blending plants (T)</v>
      </c>
    </row>
    <row r="396" spans="2:4" x14ac:dyDescent="0.45">
      <c r="B396" t="s">
        <v>729</v>
      </c>
      <c r="C396" s="2" t="s">
        <v>178</v>
      </c>
      <c r="D396" t="str">
        <f>_xlfn.XLOOKUP(TransactionCleanup[[#This Row],[Transaction code]],Transactions[Transaction code],Transactions[Transaction name],,0,)</f>
        <v>Natural gas blending plants (T)</v>
      </c>
    </row>
    <row r="397" spans="2:4" x14ac:dyDescent="0.45">
      <c r="B397" s="2" t="s">
        <v>148</v>
      </c>
      <c r="C397" s="2" t="s">
        <v>148</v>
      </c>
      <c r="D397" t="str">
        <f>_xlfn.XLOOKUP(TransactionCleanup[[#This Row],[Transaction code]],Transactions[Transaction code],Transactions[Transaction name],,0,)</f>
        <v>Natural gas separation plants (own use)</v>
      </c>
    </row>
    <row r="398" spans="2:4" x14ac:dyDescent="0.45">
      <c r="B398" t="s">
        <v>716</v>
      </c>
      <c r="C398" s="2" t="s">
        <v>148</v>
      </c>
      <c r="D398" t="str">
        <f>_xlfn.XLOOKUP(TransactionCleanup[[#This Row],[Transaction code]],Transactions[Transaction code],Transactions[Transaction name],,0,)</f>
        <v>Natural gas separation plants (own use)</v>
      </c>
    </row>
    <row r="399" spans="2:4" x14ac:dyDescent="0.45">
      <c r="B399" s="2" t="s">
        <v>225</v>
      </c>
      <c r="C399" s="2" t="s">
        <v>225</v>
      </c>
      <c r="D399" t="str">
        <f>_xlfn.XLOOKUP(TransactionCleanup[[#This Row],[Transaction code]],Transactions[Transaction code],Transactions[Transaction name],,0,)</f>
        <v>Net production</v>
      </c>
    </row>
    <row r="400" spans="2:4" x14ac:dyDescent="0.45">
      <c r="B400" t="s">
        <v>224</v>
      </c>
      <c r="C400" s="2" t="s">
        <v>225</v>
      </c>
      <c r="D400" t="str">
        <f>_xlfn.XLOOKUP(TransactionCleanup[[#This Row],[Transaction code]],Transactions[Transaction code],Transactions[Transaction name],,0,)</f>
        <v>Net production</v>
      </c>
    </row>
    <row r="401" spans="2:4" x14ac:dyDescent="0.45">
      <c r="B401" t="s">
        <v>623</v>
      </c>
      <c r="C401" t="s">
        <v>623</v>
      </c>
      <c r="D401" t="str">
        <f>_xlfn.XLOOKUP(TransactionCleanup[[#This Row],[Transaction code]],Transactions[Transaction code],Transactions[Transaction name],,0,)</f>
        <v>NGL &amp; gas blending (S)</v>
      </c>
    </row>
    <row r="402" spans="2:4" x14ac:dyDescent="0.45">
      <c r="B402" t="s">
        <v>864</v>
      </c>
      <c r="C402" t="s">
        <v>623</v>
      </c>
      <c r="D402" t="str">
        <f>_xlfn.XLOOKUP(TransactionCleanup[[#This Row],[Transaction code]],Transactions[Transaction code],Transactions[Transaction name],,0,)</f>
        <v>NGL &amp; gas blending (S)</v>
      </c>
    </row>
    <row r="403" spans="2:4" x14ac:dyDescent="0.45">
      <c r="B403" t="s">
        <v>799</v>
      </c>
      <c r="C403" t="s">
        <v>623</v>
      </c>
      <c r="D403" t="str">
        <f>_xlfn.XLOOKUP(TransactionCleanup[[#This Row],[Transaction code]],Transactions[Transaction code],Transactions[Transaction name],,0,)</f>
        <v>NGL &amp; gas blending (S)</v>
      </c>
    </row>
    <row r="404" spans="2:4" x14ac:dyDescent="0.45">
      <c r="B404" t="s">
        <v>388</v>
      </c>
      <c r="C404" t="s">
        <v>388</v>
      </c>
      <c r="D404" t="str">
        <f>_xlfn.XLOOKUP(TransactionCleanup[[#This Row],[Transaction code]],Transactions[Transaction code],Transactions[Transaction name],,0,)</f>
        <v>Non-energy use (S)</v>
      </c>
    </row>
    <row r="405" spans="2:4" x14ac:dyDescent="0.45">
      <c r="B405" t="s">
        <v>387</v>
      </c>
      <c r="C405" t="s">
        <v>388</v>
      </c>
      <c r="D405" t="str">
        <f>_xlfn.XLOOKUP(TransactionCleanup[[#This Row],[Transaction code]],Transactions[Transaction code],Transactions[Transaction name],,0,)</f>
        <v>Non-energy use (S)</v>
      </c>
    </row>
    <row r="406" spans="2:4" x14ac:dyDescent="0.45">
      <c r="B406" t="s">
        <v>865</v>
      </c>
      <c r="C406" t="s">
        <v>388</v>
      </c>
      <c r="D406" t="str">
        <f>_xlfn.XLOOKUP(TransactionCleanup[[#This Row],[Transaction code]],Transactions[Transaction code],Transactions[Transaction name],,0,)</f>
        <v>Non-energy use (S)</v>
      </c>
    </row>
    <row r="407" spans="2:4" x14ac:dyDescent="0.45">
      <c r="B407" s="2" t="s">
        <v>131</v>
      </c>
      <c r="C407" s="2" t="s">
        <v>131</v>
      </c>
      <c r="D407" t="str">
        <f>_xlfn.XLOOKUP(TransactionCleanup[[#This Row],[Transaction code]],Transactions[Transaction code],Transactions[Transaction name],,0,)</f>
        <v>Non-energy uses</v>
      </c>
    </row>
    <row r="408" spans="2:4" x14ac:dyDescent="0.45">
      <c r="B408" t="s">
        <v>130</v>
      </c>
      <c r="C408" s="2" t="s">
        <v>131</v>
      </c>
      <c r="D408" t="str">
        <f>_xlfn.XLOOKUP(TransactionCleanup[[#This Row],[Transaction code]],Transactions[Transaction code],Transactions[Transaction name],,0,)</f>
        <v>Non-energy uses</v>
      </c>
    </row>
    <row r="409" spans="2:4" x14ac:dyDescent="0.45">
      <c r="B409" s="2" t="s">
        <v>126</v>
      </c>
      <c r="C409" s="2" t="s">
        <v>126</v>
      </c>
      <c r="D409" t="str">
        <f>_xlfn.XLOOKUP(TransactionCleanup[[#This Row],[Transaction code]],Transactions[Transaction code],Transactions[Transaction name],,0,)</f>
        <v>Non-ferrous metals</v>
      </c>
    </row>
    <row r="410" spans="2:4" x14ac:dyDescent="0.45">
      <c r="B410" t="s">
        <v>478</v>
      </c>
      <c r="C410" s="2" t="s">
        <v>126</v>
      </c>
      <c r="D410" t="str">
        <f>_xlfn.XLOOKUP(TransactionCleanup[[#This Row],[Transaction code]],Transactions[Transaction code],Transactions[Transaction name],,0,)</f>
        <v>Non-ferrous metals</v>
      </c>
    </row>
    <row r="411" spans="2:4" x14ac:dyDescent="0.45">
      <c r="B411" t="s">
        <v>479</v>
      </c>
      <c r="C411" t="s">
        <v>479</v>
      </c>
      <c r="D411" t="str">
        <f>_xlfn.XLOOKUP(TransactionCleanup[[#This Row],[Transaction code]],Transactions[Transaction code],Transactions[Transaction name],,0,)</f>
        <v>Non-ferrous metals (S)</v>
      </c>
    </row>
    <row r="412" spans="2:4" x14ac:dyDescent="0.45">
      <c r="B412" t="s">
        <v>866</v>
      </c>
      <c r="C412" t="s">
        <v>479</v>
      </c>
      <c r="D412" t="str">
        <f>_xlfn.XLOOKUP(TransactionCleanup[[#This Row],[Transaction code]],Transactions[Transaction code],Transactions[Transaction name],,0,)</f>
        <v>Non-ferrous metals (S)</v>
      </c>
    </row>
    <row r="413" spans="2:4" x14ac:dyDescent="0.45">
      <c r="B413" t="s">
        <v>743</v>
      </c>
      <c r="C413" t="s">
        <v>479</v>
      </c>
      <c r="D413" t="str">
        <f>_xlfn.XLOOKUP(TransactionCleanup[[#This Row],[Transaction code]],Transactions[Transaction code],Transactions[Transaction name],,0,)</f>
        <v>Non-ferrous metals (S)</v>
      </c>
    </row>
    <row r="414" spans="2:4" x14ac:dyDescent="0.45">
      <c r="B414" s="2" t="s">
        <v>125</v>
      </c>
      <c r="C414" s="2" t="s">
        <v>125</v>
      </c>
      <c r="D414" t="str">
        <f>_xlfn.XLOOKUP(TransactionCleanup[[#This Row],[Transaction code]],Transactions[Transaction code],Transactions[Transaction name],,0,)</f>
        <v>Non-metallic minerals</v>
      </c>
    </row>
    <row r="415" spans="2:4" x14ac:dyDescent="0.45">
      <c r="B415" t="s">
        <v>474</v>
      </c>
      <c r="C415" s="2" t="s">
        <v>125</v>
      </c>
      <c r="D415" t="str">
        <f>_xlfn.XLOOKUP(TransactionCleanup[[#This Row],[Transaction code]],Transactions[Transaction code],Transactions[Transaction name],,0,)</f>
        <v>Non-metallic minerals</v>
      </c>
    </row>
    <row r="416" spans="2:4" x14ac:dyDescent="0.45">
      <c r="B416" t="s">
        <v>475</v>
      </c>
      <c r="C416" t="s">
        <v>475</v>
      </c>
      <c r="D416" t="str">
        <f>_xlfn.XLOOKUP(TransactionCleanup[[#This Row],[Transaction code]],Transactions[Transaction code],Transactions[Transaction name],,0,)</f>
        <v>Non-metallic minerals (S)</v>
      </c>
    </row>
    <row r="417" spans="2:4" x14ac:dyDescent="0.45">
      <c r="B417" t="s">
        <v>867</v>
      </c>
      <c r="C417" t="s">
        <v>475</v>
      </c>
      <c r="D417" t="str">
        <f>_xlfn.XLOOKUP(TransactionCleanup[[#This Row],[Transaction code]],Transactions[Transaction code],Transactions[Transaction name],,0,)</f>
        <v>Non-metallic minerals (S)</v>
      </c>
    </row>
    <row r="418" spans="2:4" x14ac:dyDescent="0.45">
      <c r="B418" t="s">
        <v>744</v>
      </c>
      <c r="C418" t="s">
        <v>475</v>
      </c>
      <c r="D418" t="str">
        <f>_xlfn.XLOOKUP(TransactionCleanup[[#This Row],[Transaction code]],Transactions[Transaction code],Transactions[Transaction name],,0,)</f>
        <v>Non-metallic minerals (S)</v>
      </c>
    </row>
    <row r="419" spans="2:4" x14ac:dyDescent="0.45">
      <c r="B419" s="2" t="s">
        <v>159</v>
      </c>
      <c r="C419" s="2" t="s">
        <v>159</v>
      </c>
      <c r="D419" t="str">
        <f>_xlfn.XLOOKUP(TransactionCleanup[[#This Row],[Transaction code]],Transactions[Transaction code],Transactions[Transaction name],,0,)</f>
        <v>Nuclear fuel extraction and processing (own use)</v>
      </c>
    </row>
    <row r="420" spans="2:4" x14ac:dyDescent="0.45">
      <c r="B420" t="s">
        <v>706</v>
      </c>
      <c r="C420" s="2" t="s">
        <v>159</v>
      </c>
      <c r="D420" t="str">
        <f>_xlfn.XLOOKUP(TransactionCleanup[[#This Row],[Transaction code]],Transactions[Transaction code],Transactions[Transaction name],,0,)</f>
        <v>Nuclear fuel extraction and processing (own use)</v>
      </c>
    </row>
    <row r="421" spans="2:4" x14ac:dyDescent="0.45">
      <c r="B421" s="2" t="s">
        <v>91</v>
      </c>
      <c r="C421" s="2" t="s">
        <v>91</v>
      </c>
      <c r="D421" t="str">
        <f>_xlfn.XLOOKUP(TransactionCleanup[[#This Row],[Transaction code]],Transactions[Transaction code],Transactions[Transaction name],,0,)</f>
        <v>IC Nuclear - Autoproducers</v>
      </c>
    </row>
    <row r="422" spans="2:4" x14ac:dyDescent="0.45">
      <c r="B422" t="s">
        <v>90</v>
      </c>
      <c r="C422" s="2" t="s">
        <v>91</v>
      </c>
      <c r="D422" t="str">
        <f>_xlfn.XLOOKUP(TransactionCleanup[[#This Row],[Transaction code]],Transactions[Transaction code],Transactions[Transaction name],,0,)</f>
        <v>IC Nuclear - Autoproducers</v>
      </c>
    </row>
    <row r="423" spans="2:4" x14ac:dyDescent="0.45">
      <c r="B423" s="2" t="s">
        <v>93</v>
      </c>
      <c r="C423" s="2" t="s">
        <v>93</v>
      </c>
      <c r="D423" t="str">
        <f>_xlfn.XLOOKUP(TransactionCleanup[[#This Row],[Transaction code]],Transactions[Transaction code],Transactions[Transaction name],,0,)</f>
        <v>IC Nuclear - Main activity producers</v>
      </c>
    </row>
    <row r="424" spans="2:4" x14ac:dyDescent="0.45">
      <c r="B424" t="s">
        <v>92</v>
      </c>
      <c r="C424" s="2" t="s">
        <v>93</v>
      </c>
      <c r="D424" t="str">
        <f>_xlfn.XLOOKUP(TransactionCleanup[[#This Row],[Transaction code]],Transactions[Transaction code],Transactions[Transaction name],,0,)</f>
        <v>IC Nuclear - Main activity producers</v>
      </c>
    </row>
    <row r="425" spans="2:4" x14ac:dyDescent="0.45">
      <c r="B425" s="2" t="s">
        <v>89</v>
      </c>
      <c r="C425" s="2" t="s">
        <v>89</v>
      </c>
      <c r="D425" t="str">
        <f>_xlfn.XLOOKUP(TransactionCleanup[[#This Row],[Transaction code]],Transactions[Transaction code],Transactions[Transaction name],,0,)</f>
        <v>IC Nuclear</v>
      </c>
    </row>
    <row r="426" spans="2:4" x14ac:dyDescent="0.45">
      <c r="B426" t="s">
        <v>94</v>
      </c>
      <c r="C426" s="2" t="s">
        <v>89</v>
      </c>
      <c r="D426" t="str">
        <f>_xlfn.XLOOKUP(TransactionCleanup[[#This Row],[Transaction code]],Transactions[Transaction code],Transactions[Transaction name],,0,)</f>
        <v>IC Nuclear</v>
      </c>
    </row>
    <row r="427" spans="2:4" x14ac:dyDescent="0.45">
      <c r="B427" s="2" t="s">
        <v>204</v>
      </c>
      <c r="C427" s="2" t="s">
        <v>204</v>
      </c>
      <c r="D427" t="str">
        <f>_xlfn.XLOOKUP(TransactionCleanup[[#This Row],[Transaction code]],Transactions[Transaction code],Transactions[Transaction name],,0,)</f>
        <v>Of which: Hydrogen</v>
      </c>
    </row>
    <row r="428" spans="2:4" x14ac:dyDescent="0.45">
      <c r="B428" t="s">
        <v>203</v>
      </c>
      <c r="C428" s="2" t="s">
        <v>204</v>
      </c>
      <c r="D428" t="str">
        <f>_xlfn.XLOOKUP(TransactionCleanup[[#This Row],[Transaction code]],Transactions[Transaction code],Transactions[Transaction name],,0,)</f>
        <v>Of which: Hydrogen</v>
      </c>
    </row>
    <row r="429" spans="2:4" x14ac:dyDescent="0.45">
      <c r="B429" s="2" t="s">
        <v>161</v>
      </c>
      <c r="C429" s="2" t="s">
        <v>161</v>
      </c>
      <c r="D429" t="str">
        <f>_xlfn.XLOOKUP(TransactionCleanup[[#This Row],[Transaction code]],Transactions[Transaction code],Transactions[Transaction name],,0,)</f>
        <v>Oil and gas extraction (own use)</v>
      </c>
    </row>
    <row r="430" spans="2:4" x14ac:dyDescent="0.45">
      <c r="B430" t="s">
        <v>704</v>
      </c>
      <c r="C430" s="2" t="s">
        <v>161</v>
      </c>
      <c r="D430" t="str">
        <f>_xlfn.XLOOKUP(TransactionCleanup[[#This Row],[Transaction code]],Transactions[Transaction code],Transactions[Transaction name],,0,)</f>
        <v>Oil and gas extraction (own use)</v>
      </c>
    </row>
    <row r="431" spans="2:4" x14ac:dyDescent="0.45">
      <c r="B431" s="2" t="s">
        <v>154</v>
      </c>
      <c r="C431" s="2" t="s">
        <v>154</v>
      </c>
      <c r="D431" t="str">
        <f>_xlfn.XLOOKUP(TransactionCleanup[[#This Row],[Transaction code]],Transactions[Transaction code],Transactions[Transaction name],,0,)</f>
        <v>Oil refineries (own use)</v>
      </c>
    </row>
    <row r="432" spans="2:4" x14ac:dyDescent="0.45">
      <c r="B432" t="s">
        <v>712</v>
      </c>
      <c r="C432" s="2" t="s">
        <v>154</v>
      </c>
      <c r="D432" t="str">
        <f>_xlfn.XLOOKUP(TransactionCleanup[[#This Row],[Transaction code]],Transactions[Transaction code],Transactions[Transaction name],,0,)</f>
        <v>Oil refineries (own use)</v>
      </c>
    </row>
    <row r="433" spans="2:4" x14ac:dyDescent="0.45">
      <c r="B433" t="s">
        <v>868</v>
      </c>
      <c r="C433" t="s">
        <v>625</v>
      </c>
      <c r="D433" t="str">
        <f>_xlfn.XLOOKUP(TransactionCleanup[[#This Row],[Transaction code]],Transactions[Transaction code],Transactions[Transaction name],,0,)</f>
        <v>Oil refineries (S)</v>
      </c>
    </row>
    <row r="434" spans="2:4" x14ac:dyDescent="0.45">
      <c r="B434" t="s">
        <v>800</v>
      </c>
      <c r="C434" t="s">
        <v>625</v>
      </c>
      <c r="D434" t="str">
        <f>_xlfn.XLOOKUP(TransactionCleanup[[#This Row],[Transaction code]],Transactions[Transaction code],Transactions[Transaction name],,0,)</f>
        <v>Oil refineries (S)</v>
      </c>
    </row>
    <row r="435" spans="2:4" x14ac:dyDescent="0.45">
      <c r="B435" t="s">
        <v>625</v>
      </c>
      <c r="C435" t="s">
        <v>625</v>
      </c>
      <c r="D435" t="str">
        <f>_xlfn.XLOOKUP(TransactionCleanup[[#This Row],[Transaction code]],Transactions[Transaction code],Transactions[Transaction name],,0,)</f>
        <v>Oil refineries (S)</v>
      </c>
    </row>
    <row r="436" spans="2:4" x14ac:dyDescent="0.45">
      <c r="B436" s="2" t="s">
        <v>179</v>
      </c>
      <c r="C436" s="2" t="s">
        <v>179</v>
      </c>
      <c r="D436" t="str">
        <f>_xlfn.XLOOKUP(TransactionCleanup[[#This Row],[Transaction code]],Transactions[Transaction code],Transactions[Transaction name],,0,)</f>
        <v>Oil refineries (T)</v>
      </c>
    </row>
    <row r="437" spans="2:4" x14ac:dyDescent="0.45">
      <c r="B437" t="s">
        <v>728</v>
      </c>
      <c r="C437" s="2" t="s">
        <v>179</v>
      </c>
      <c r="D437" t="str">
        <f>_xlfn.XLOOKUP(TransactionCleanup[[#This Row],[Transaction code]],Transactions[Transaction code],Transactions[Transaction name],,0,)</f>
        <v>Oil refineries (T)</v>
      </c>
    </row>
    <row r="438" spans="2:4" x14ac:dyDescent="0.45">
      <c r="B438" s="2" t="s">
        <v>18</v>
      </c>
      <c r="C438" s="2" t="s">
        <v>18</v>
      </c>
      <c r="D438" t="str">
        <f>_xlfn.XLOOKUP(TransactionCleanup[[#This Row],[Transaction code]],Transactions[Transaction code],Transactions[Transaction name],,0,)</f>
        <v>Opening stock level held on national territory</v>
      </c>
    </row>
    <row r="439" spans="2:4" x14ac:dyDescent="0.45">
      <c r="B439" t="s">
        <v>17</v>
      </c>
      <c r="C439" s="2" t="s">
        <v>18</v>
      </c>
      <c r="D439" t="str">
        <f>_xlfn.XLOOKUP(TransactionCleanup[[#This Row],[Transaction code]],Transactions[Transaction code],Transactions[Transaction name],,0,)</f>
        <v>Opening stock level held on national territory</v>
      </c>
    </row>
    <row r="440" spans="2:4" x14ac:dyDescent="0.45">
      <c r="B440" s="2" t="s">
        <v>100</v>
      </c>
      <c r="C440" s="2" t="s">
        <v>100</v>
      </c>
      <c r="D440" t="str">
        <f>_xlfn.XLOOKUP(TransactionCleanup[[#This Row],[Transaction code]],Transactions[Transaction code],Transactions[Transaction name],,0,)</f>
        <v>Other</v>
      </c>
    </row>
    <row r="441" spans="2:4" x14ac:dyDescent="0.45">
      <c r="B441" t="s">
        <v>700</v>
      </c>
      <c r="C441" s="2" t="s">
        <v>100</v>
      </c>
      <c r="D441" t="str">
        <f>_xlfn.XLOOKUP(TransactionCleanup[[#This Row],[Transaction code]],Transactions[Transaction code],Transactions[Transaction name],,0,)</f>
        <v>Other</v>
      </c>
    </row>
    <row r="442" spans="2:4" x14ac:dyDescent="0.45">
      <c r="B442" t="s">
        <v>392</v>
      </c>
      <c r="C442" t="s">
        <v>392</v>
      </c>
      <c r="D442" t="str">
        <f>_xlfn.XLOOKUP(TransactionCleanup[[#This Row],[Transaction code]],Transactions[Transaction code],Transactions[Transaction name],,0,)</f>
        <v>Other Consumption (S)</v>
      </c>
    </row>
    <row r="443" spans="2:4" x14ac:dyDescent="0.45">
      <c r="B443" t="s">
        <v>869</v>
      </c>
      <c r="C443" t="s">
        <v>392</v>
      </c>
      <c r="D443" t="str">
        <f>_xlfn.XLOOKUP(TransactionCleanup[[#This Row],[Transaction code]],Transactions[Transaction code],Transactions[Transaction name],,0,)</f>
        <v>Other Consumption (S)</v>
      </c>
    </row>
    <row r="444" spans="2:4" x14ac:dyDescent="0.45">
      <c r="B444" t="s">
        <v>761</v>
      </c>
      <c r="C444" t="s">
        <v>392</v>
      </c>
      <c r="D444" t="str">
        <f>_xlfn.XLOOKUP(TransactionCleanup[[#This Row],[Transaction code]],Transactions[Transaction code],Transactions[Transaction name],,0,)</f>
        <v>Other Consumption (S)</v>
      </c>
    </row>
    <row r="445" spans="2:4" x14ac:dyDescent="0.45">
      <c r="B445" t="s">
        <v>626</v>
      </c>
      <c r="C445" t="s">
        <v>626</v>
      </c>
      <c r="D445" t="str">
        <f>_xlfn.XLOOKUP(TransactionCleanup[[#This Row],[Transaction code]],Transactions[Transaction code],Transactions[Transaction name],,0,)</f>
        <v>Other consumption n.e.s</v>
      </c>
    </row>
    <row r="446" spans="2:4" x14ac:dyDescent="0.45">
      <c r="B446" t="s">
        <v>609</v>
      </c>
      <c r="C446" t="s">
        <v>626</v>
      </c>
      <c r="D446" t="str">
        <f>_xlfn.XLOOKUP(TransactionCleanup[[#This Row],[Transaction code]],Transactions[Transaction code],Transactions[Transaction name],,0,)</f>
        <v>Other consumption n.e.s</v>
      </c>
    </row>
    <row r="447" spans="2:4" x14ac:dyDescent="0.45">
      <c r="B447" t="s">
        <v>393</v>
      </c>
      <c r="C447" t="s">
        <v>393</v>
      </c>
      <c r="D447" t="str">
        <f>_xlfn.XLOOKUP(TransactionCleanup[[#This Row],[Transaction code]],Transactions[Transaction code],Transactions[Transaction name],,0,)</f>
        <v>Other consumption n.e.s. (S)</v>
      </c>
    </row>
    <row r="448" spans="2:4" x14ac:dyDescent="0.45">
      <c r="B448" t="s">
        <v>870</v>
      </c>
      <c r="C448" t="s">
        <v>393</v>
      </c>
      <c r="D448" t="str">
        <f>_xlfn.XLOOKUP(TransactionCleanup[[#This Row],[Transaction code]],Transactions[Transaction code],Transactions[Transaction name],,0,)</f>
        <v>Other consumption n.e.s. (S)</v>
      </c>
    </row>
    <row r="449" spans="2:4" x14ac:dyDescent="0.45">
      <c r="B449" t="s">
        <v>764</v>
      </c>
      <c r="C449" t="s">
        <v>393</v>
      </c>
      <c r="D449" t="str">
        <f>_xlfn.XLOOKUP(TransactionCleanup[[#This Row],[Transaction code]],Transactions[Transaction code],Transactions[Transaction name],,0,)</f>
        <v>Other consumption n.e.s. (S)</v>
      </c>
    </row>
    <row r="450" spans="2:4" x14ac:dyDescent="0.45">
      <c r="B450" s="2" t="s">
        <v>151</v>
      </c>
      <c r="C450" s="2" t="s">
        <v>151</v>
      </c>
      <c r="D450" t="str">
        <f>_xlfn.XLOOKUP(TransactionCleanup[[#This Row],[Transaction code]],Transactions[Transaction code],Transactions[Transaction name],,0,)</f>
        <v>Other energy industry own use</v>
      </c>
    </row>
    <row r="451" spans="2:4" x14ac:dyDescent="0.45">
      <c r="B451" t="s">
        <v>150</v>
      </c>
      <c r="C451" s="2" t="s">
        <v>151</v>
      </c>
      <c r="D451" t="str">
        <f>_xlfn.XLOOKUP(TransactionCleanup[[#This Row],[Transaction code]],Transactions[Transaction code],Transactions[Transaction name],,0,)</f>
        <v>Other energy industry own use</v>
      </c>
    </row>
    <row r="452" spans="2:4" x14ac:dyDescent="0.45">
      <c r="B452" s="2" t="s">
        <v>114</v>
      </c>
      <c r="C452" s="2" t="s">
        <v>114</v>
      </c>
      <c r="D452" t="str">
        <f>_xlfn.XLOOKUP(TransactionCleanup[[#This Row],[Transaction code]],Transactions[Transaction code],Transactions[Transaction name],,0,)</f>
        <v>Other manufacturing, construction and non-fuel industry</v>
      </c>
    </row>
    <row r="453" spans="2:4" x14ac:dyDescent="0.45">
      <c r="B453" t="s">
        <v>699</v>
      </c>
      <c r="C453" s="2" t="s">
        <v>114</v>
      </c>
      <c r="D453" t="str">
        <f>_xlfn.XLOOKUP(TransactionCleanup[[#This Row],[Transaction code]],Transactions[Transaction code],Transactions[Transaction name],,0,)</f>
        <v>Other manufacturing, construction and non-fuel industry</v>
      </c>
    </row>
    <row r="454" spans="2:4" x14ac:dyDescent="0.45">
      <c r="B454" s="2" t="s">
        <v>102</v>
      </c>
      <c r="C454" s="2" t="s">
        <v>102</v>
      </c>
      <c r="D454" t="str">
        <f>_xlfn.XLOOKUP(TransactionCleanup[[#This Row],[Transaction code]],Transactions[Transaction code],Transactions[Transaction name],,0,)</f>
        <v>Other n.e.s.</v>
      </c>
    </row>
    <row r="455" spans="2:4" x14ac:dyDescent="0.45">
      <c r="B455" t="s">
        <v>101</v>
      </c>
      <c r="C455" s="2" t="s">
        <v>102</v>
      </c>
      <c r="D455" t="str">
        <f>_xlfn.XLOOKUP(TransactionCleanup[[#This Row],[Transaction code]],Transactions[Transaction code],Transactions[Transaction name],,0,)</f>
        <v>Other n.e.s.</v>
      </c>
    </row>
    <row r="456" spans="2:4" x14ac:dyDescent="0.45">
      <c r="B456" s="2" t="s">
        <v>24</v>
      </c>
      <c r="C456" s="2" t="s">
        <v>24</v>
      </c>
      <c r="D456" t="str">
        <f>_xlfn.XLOOKUP(TransactionCleanup[[#This Row],[Transaction code]],Transactions[Transaction code],Transactions[Transaction name],,0,)</f>
        <v>Other reserves</v>
      </c>
    </row>
    <row r="457" spans="2:4" x14ac:dyDescent="0.45">
      <c r="B457" t="s">
        <v>23</v>
      </c>
      <c r="C457" s="2" t="s">
        <v>24</v>
      </c>
      <c r="D457" t="str">
        <f>_xlfn.XLOOKUP(TransactionCleanup[[#This Row],[Transaction code]],Transactions[Transaction code],Transactions[Transaction name],,0,)</f>
        <v>Other reserves</v>
      </c>
    </row>
    <row r="458" spans="2:4" x14ac:dyDescent="0.45">
      <c r="B458" s="2" t="s">
        <v>166</v>
      </c>
      <c r="C458" s="2" t="s">
        <v>166</v>
      </c>
      <c r="D458" t="str">
        <f>_xlfn.XLOOKUP(TransactionCleanup[[#This Row],[Transaction code]],Transactions[Transaction code],Transactions[Transaction name],,0,)</f>
        <v>Other transformation</v>
      </c>
    </row>
    <row r="459" spans="2:4" x14ac:dyDescent="0.45">
      <c r="B459" t="s">
        <v>165</v>
      </c>
      <c r="C459" s="2" t="s">
        <v>166</v>
      </c>
      <c r="D459" t="str">
        <f>_xlfn.XLOOKUP(TransactionCleanup[[#This Row],[Transaction code]],Transactions[Transaction code],Transactions[Transaction name],,0,)</f>
        <v>Other transformation</v>
      </c>
    </row>
    <row r="460" spans="2:4" x14ac:dyDescent="0.45">
      <c r="B460" t="s">
        <v>503</v>
      </c>
      <c r="C460" t="s">
        <v>503</v>
      </c>
      <c r="D460" t="str">
        <f>_xlfn.XLOOKUP(TransactionCleanup[[#This Row],[Transaction code]],Transactions[Transaction code],Transactions[Transaction name],,0,)</f>
        <v>Other transformation (S)</v>
      </c>
    </row>
    <row r="461" spans="2:4" x14ac:dyDescent="0.45">
      <c r="B461" t="s">
        <v>871</v>
      </c>
      <c r="C461" t="s">
        <v>503</v>
      </c>
      <c r="D461" t="str">
        <f>_xlfn.XLOOKUP(TransactionCleanup[[#This Row],[Transaction code]],Transactions[Transaction code],Transactions[Transaction name],,0,)</f>
        <v>Other transformation (S)</v>
      </c>
    </row>
    <row r="462" spans="2:4" x14ac:dyDescent="0.45">
      <c r="B462" t="s">
        <v>787</v>
      </c>
      <c r="C462" t="s">
        <v>503</v>
      </c>
      <c r="D462" t="str">
        <f>_xlfn.XLOOKUP(TransactionCleanup[[#This Row],[Transaction code]],Transactions[Transaction code],Transactions[Transaction name],,0,)</f>
        <v>Other transformation (S)</v>
      </c>
    </row>
    <row r="463" spans="2:4" x14ac:dyDescent="0.45">
      <c r="B463" t="s">
        <v>627</v>
      </c>
      <c r="C463" t="s">
        <v>627</v>
      </c>
      <c r="D463" t="str">
        <f>_xlfn.XLOOKUP(TransactionCleanup[[#This Row],[Transaction code]],Transactions[Transaction code],Transactions[Transaction name],,0,)</f>
        <v>Paper  pulp and printing</v>
      </c>
    </row>
    <row r="464" spans="2:4" x14ac:dyDescent="0.45">
      <c r="B464" t="s">
        <v>610</v>
      </c>
      <c r="C464" t="s">
        <v>627</v>
      </c>
      <c r="D464" t="str">
        <f>_xlfn.XLOOKUP(TransactionCleanup[[#This Row],[Transaction code]],Transactions[Transaction code],Transactions[Transaction name],,0,)</f>
        <v>Paper  pulp and printing</v>
      </c>
    </row>
    <row r="465" spans="2:4" x14ac:dyDescent="0.45">
      <c r="B465" s="2" t="s">
        <v>120</v>
      </c>
      <c r="C465" s="2" t="s">
        <v>120</v>
      </c>
      <c r="D465" t="str">
        <f>_xlfn.XLOOKUP(TransactionCleanup[[#This Row],[Transaction code]],Transactions[Transaction code],Transactions[Transaction name],,0,)</f>
        <v>Paper, pulp and printing</v>
      </c>
    </row>
    <row r="466" spans="2:4" x14ac:dyDescent="0.45">
      <c r="B466" t="s">
        <v>452</v>
      </c>
      <c r="C466" s="2" t="s">
        <v>120</v>
      </c>
      <c r="D466" t="str">
        <f>_xlfn.XLOOKUP(TransactionCleanup[[#This Row],[Transaction code]],Transactions[Transaction code],Transactions[Transaction name],,0,)</f>
        <v>Paper, pulp and printing</v>
      </c>
    </row>
    <row r="467" spans="2:4" x14ac:dyDescent="0.45">
      <c r="B467" t="s">
        <v>453</v>
      </c>
      <c r="C467" t="s">
        <v>453</v>
      </c>
      <c r="D467" t="str">
        <f>_xlfn.XLOOKUP(TransactionCleanup[[#This Row],[Transaction code]],Transactions[Transaction code],Transactions[Transaction name],,0,)</f>
        <v>Paper, pulp and printing (S)</v>
      </c>
    </row>
    <row r="468" spans="2:4" x14ac:dyDescent="0.45">
      <c r="B468" t="s">
        <v>872</v>
      </c>
      <c r="C468" t="s">
        <v>453</v>
      </c>
      <c r="D468" t="str">
        <f>_xlfn.XLOOKUP(TransactionCleanup[[#This Row],[Transaction code]],Transactions[Transaction code],Transactions[Transaction name],,0,)</f>
        <v>Paper, pulp and printing (S)</v>
      </c>
    </row>
    <row r="469" spans="2:4" x14ac:dyDescent="0.45">
      <c r="B469" t="s">
        <v>749</v>
      </c>
      <c r="C469" t="s">
        <v>453</v>
      </c>
      <c r="D469" t="str">
        <f>_xlfn.XLOOKUP(TransactionCleanup[[#This Row],[Transaction code]],Transactions[Transaction code],Transactions[Transaction name],,0,)</f>
        <v>Paper, pulp and printing (S)</v>
      </c>
    </row>
    <row r="470" spans="2:4" x14ac:dyDescent="0.45">
      <c r="B470" s="2" t="s">
        <v>180</v>
      </c>
      <c r="C470" s="2" t="s">
        <v>180</v>
      </c>
      <c r="D470" t="str">
        <f>_xlfn.XLOOKUP(TransactionCleanup[[#This Row],[Transaction code]],Transactions[Transaction code],Transactions[Transaction name],,0,)</f>
        <v>Petrochemical plants (T)</v>
      </c>
    </row>
    <row r="471" spans="2:4" x14ac:dyDescent="0.45">
      <c r="B471" t="s">
        <v>727</v>
      </c>
      <c r="C471" s="2" t="s">
        <v>180</v>
      </c>
      <c r="D471" t="str">
        <f>_xlfn.XLOOKUP(TransactionCleanup[[#This Row],[Transaction code]],Transactions[Transaction code],Transactions[Transaction name],,0,)</f>
        <v>Petrochemical plants (T)</v>
      </c>
    </row>
    <row r="472" spans="2:4" x14ac:dyDescent="0.45">
      <c r="B472" s="2" t="s">
        <v>107</v>
      </c>
      <c r="C472" s="2" t="s">
        <v>107</v>
      </c>
      <c r="D472" t="str">
        <f>_xlfn.XLOOKUP(TransactionCleanup[[#This Row],[Transaction code]],Transactions[Transaction code],Transactions[Transaction name],,0,)</f>
        <v>Pipeline transport</v>
      </c>
    </row>
    <row r="473" spans="2:4" x14ac:dyDescent="0.45">
      <c r="B473" t="s">
        <v>414</v>
      </c>
      <c r="C473" s="2" t="s">
        <v>107</v>
      </c>
      <c r="D473" t="str">
        <f>_xlfn.XLOOKUP(TransactionCleanup[[#This Row],[Transaction code]],Transactions[Transaction code],Transactions[Transaction name],,0,)</f>
        <v>Pipeline transport</v>
      </c>
    </row>
    <row r="474" spans="2:4" x14ac:dyDescent="0.45">
      <c r="B474" t="s">
        <v>415</v>
      </c>
      <c r="C474" t="s">
        <v>415</v>
      </c>
      <c r="D474" t="str">
        <f>_xlfn.XLOOKUP(TransactionCleanup[[#This Row],[Transaction code]],Transactions[Transaction code],Transactions[Transaction name],,0,)</f>
        <v>Pipeline transport (S)</v>
      </c>
    </row>
    <row r="475" spans="2:4" x14ac:dyDescent="0.45">
      <c r="B475" t="s">
        <v>873</v>
      </c>
      <c r="C475" t="s">
        <v>415</v>
      </c>
      <c r="D475" t="str">
        <f>_xlfn.XLOOKUP(TransactionCleanup[[#This Row],[Transaction code]],Transactions[Transaction code],Transactions[Transaction name],,0,)</f>
        <v>Pipeline transport (S)</v>
      </c>
    </row>
    <row r="476" spans="2:4" x14ac:dyDescent="0.45">
      <c r="B476" t="s">
        <v>759</v>
      </c>
      <c r="C476" t="s">
        <v>415</v>
      </c>
      <c r="D476" t="str">
        <f>_xlfn.XLOOKUP(TransactionCleanup[[#This Row],[Transaction code]],Transactions[Transaction code],Transactions[Transaction name],,0,)</f>
        <v>Pipeline transport (S)</v>
      </c>
    </row>
    <row r="477" spans="2:4" x14ac:dyDescent="0.45">
      <c r="B477" t="s">
        <v>576</v>
      </c>
      <c r="C477" t="s">
        <v>576</v>
      </c>
      <c r="D477" t="str">
        <f>_xlfn.XLOOKUP(TransactionCleanup[[#This Row],[Transaction code]],Transactions[Transaction code],Transactions[Transaction name],,0,)</f>
        <v>Primary production (S)</v>
      </c>
    </row>
    <row r="478" spans="2:4" x14ac:dyDescent="0.45">
      <c r="B478" t="s">
        <v>874</v>
      </c>
      <c r="C478" t="s">
        <v>576</v>
      </c>
      <c r="D478" t="str">
        <f>_xlfn.XLOOKUP(TransactionCleanup[[#This Row],[Transaction code]],Transactions[Transaction code],Transactions[Transaction name],,0,)</f>
        <v>Primary production (S)</v>
      </c>
    </row>
    <row r="479" spans="2:4" x14ac:dyDescent="0.45">
      <c r="B479" t="s">
        <v>766</v>
      </c>
      <c r="C479" t="s">
        <v>576</v>
      </c>
      <c r="D479" t="str">
        <f>_xlfn.XLOOKUP(TransactionCleanup[[#This Row],[Transaction code]],Transactions[Transaction code],Transactions[Transaction name],,0,)</f>
        <v>Primary production (S)</v>
      </c>
    </row>
    <row r="480" spans="2:4" x14ac:dyDescent="0.45">
      <c r="B480" s="2" t="s">
        <v>206</v>
      </c>
      <c r="C480" s="2" t="s">
        <v>206</v>
      </c>
      <c r="D480" t="str">
        <f>_xlfn.XLOOKUP(TransactionCleanup[[#This Row],[Transaction code]],Transactions[Transaction code],Transactions[Transaction name],,0,)</f>
        <v>Production</v>
      </c>
    </row>
    <row r="481" spans="2:4" x14ac:dyDescent="0.45">
      <c r="B481" t="s">
        <v>383</v>
      </c>
      <c r="C481" s="2" t="s">
        <v>206</v>
      </c>
      <c r="D481" t="str">
        <f>_xlfn.XLOOKUP(TransactionCleanup[[#This Row],[Transaction code]],Transactions[Transaction code],Transactions[Transaction name],,0,)</f>
        <v>Production</v>
      </c>
    </row>
    <row r="482" spans="2:4" x14ac:dyDescent="0.45">
      <c r="B482" s="2" t="s">
        <v>380</v>
      </c>
      <c r="C482" s="2" t="s">
        <v>380</v>
      </c>
      <c r="D482" t="str">
        <f>_xlfn.XLOOKUP(TransactionCleanup[[#This Row],[Transaction code]],Transactions[Transaction code],Transactions[Transaction name],,0,)</f>
        <v>Production from off-shore</v>
      </c>
    </row>
    <row r="483" spans="2:4" x14ac:dyDescent="0.45">
      <c r="B483" t="s">
        <v>379</v>
      </c>
      <c r="C483" s="2" t="s">
        <v>380</v>
      </c>
      <c r="D483" t="str">
        <f>_xlfn.XLOOKUP(TransactionCleanup[[#This Row],[Transaction code]],Transactions[Transaction code],Transactions[Transaction name],,0,)</f>
        <v>Production from off-shore</v>
      </c>
    </row>
    <row r="484" spans="2:4" x14ac:dyDescent="0.45">
      <c r="B484" s="2" t="s">
        <v>371</v>
      </c>
      <c r="C484" s="2" t="s">
        <v>371</v>
      </c>
      <c r="D484" t="str">
        <f>_xlfn.XLOOKUP(TransactionCleanup[[#This Row],[Transaction code]],Transactions[Transaction code],Transactions[Transaction name],,0,)</f>
        <v>Production from plants</v>
      </c>
    </row>
    <row r="485" spans="2:4" x14ac:dyDescent="0.45">
      <c r="B485" t="s">
        <v>370</v>
      </c>
      <c r="C485" s="2" t="s">
        <v>371</v>
      </c>
      <c r="D485" t="str">
        <f>_xlfn.XLOOKUP(TransactionCleanup[[#This Row],[Transaction code]],Transactions[Transaction code],Transactions[Transaction name],,0,)</f>
        <v>Production from plants</v>
      </c>
    </row>
    <row r="486" spans="2:4" x14ac:dyDescent="0.45">
      <c r="B486" s="2" t="s">
        <v>375</v>
      </c>
      <c r="C486" s="2" t="s">
        <v>375</v>
      </c>
      <c r="D486" t="str">
        <f>_xlfn.XLOOKUP(TransactionCleanup[[#This Row],[Transaction code]],Transactions[Transaction code],Transactions[Transaction name],,0,)</f>
        <v>Production from refineries</v>
      </c>
    </row>
    <row r="487" spans="2:4" x14ac:dyDescent="0.45">
      <c r="B487" t="s">
        <v>374</v>
      </c>
      <c r="C487" s="2" t="s">
        <v>375</v>
      </c>
      <c r="D487" t="str">
        <f>_xlfn.XLOOKUP(TransactionCleanup[[#This Row],[Transaction code]],Transactions[Transaction code],Transactions[Transaction name],,0,)</f>
        <v>Production from refineries</v>
      </c>
    </row>
    <row r="488" spans="2:4" x14ac:dyDescent="0.45">
      <c r="B488" s="2" t="s">
        <v>32</v>
      </c>
      <c r="C488" s="2" t="s">
        <v>32</v>
      </c>
      <c r="D488" t="str">
        <f>_xlfn.XLOOKUP(TransactionCleanup[[#This Row],[Transaction code]],Transactions[Transaction code],Transactions[Transaction name],,0,)</f>
        <v>Proven recoverable resources</v>
      </c>
    </row>
    <row r="489" spans="2:4" x14ac:dyDescent="0.45">
      <c r="B489" t="s">
        <v>635</v>
      </c>
      <c r="C489" s="2" t="s">
        <v>32</v>
      </c>
      <c r="D489" t="str">
        <f>_xlfn.XLOOKUP(TransactionCleanup[[#This Row],[Transaction code]],Transactions[Transaction code],Transactions[Transaction name],,0,)</f>
        <v>Proven recoverable resources</v>
      </c>
    </row>
    <row r="490" spans="2:4" x14ac:dyDescent="0.45">
      <c r="B490" s="2" t="s">
        <v>31</v>
      </c>
      <c r="C490" s="2" t="s">
        <v>31</v>
      </c>
      <c r="D490" t="str">
        <f>_xlfn.XLOOKUP(TransactionCleanup[[#This Row],[Transaction code]],Transactions[Transaction code],Transactions[Transaction name],,0,)</f>
        <v>Proven resources</v>
      </c>
    </row>
    <row r="491" spans="2:4" x14ac:dyDescent="0.45">
      <c r="B491" s="2" t="s">
        <v>28</v>
      </c>
      <c r="C491" s="2" t="s">
        <v>28</v>
      </c>
      <c r="D491" t="str">
        <f>_xlfn.XLOOKUP(TransactionCleanup[[#This Row],[Transaction code]],Transactions[Transaction code],Transactions[Transaction name],,0,)</f>
        <v>Reserves from crude petroleum</v>
      </c>
    </row>
    <row r="492" spans="2:4" x14ac:dyDescent="0.45">
      <c r="B492" s="2" t="s">
        <v>25</v>
      </c>
      <c r="C492" s="2" t="s">
        <v>25</v>
      </c>
      <c r="D492" t="str">
        <f>_xlfn.XLOOKUP(TransactionCleanup[[#This Row],[Transaction code]],Transactions[Transaction code],Transactions[Transaction name],,0,)</f>
        <v>Reserves from oil shale and tar sands</v>
      </c>
    </row>
    <row r="493" spans="2:4" x14ac:dyDescent="0.45">
      <c r="B493" s="2" t="s">
        <v>27</v>
      </c>
      <c r="C493" s="2" t="s">
        <v>27</v>
      </c>
      <c r="D493" t="str">
        <f>_xlfn.XLOOKUP(TransactionCleanup[[#This Row],[Transaction code]],Transactions[Transaction code],Transactions[Transaction name],,0,)</f>
        <v>Reserves from oil shale</v>
      </c>
    </row>
    <row r="494" spans="2:4" x14ac:dyDescent="0.45">
      <c r="B494" s="2" t="s">
        <v>26</v>
      </c>
      <c r="C494" s="2" t="s">
        <v>26</v>
      </c>
      <c r="D494" t="str">
        <f>_xlfn.XLOOKUP(TransactionCleanup[[#This Row],[Transaction code]],Transactions[Transaction code],Transactions[Transaction name],,0,)</f>
        <v>Reserves from tar sands</v>
      </c>
    </row>
    <row r="495" spans="2:4" x14ac:dyDescent="0.45">
      <c r="B495" s="2" t="s">
        <v>22</v>
      </c>
      <c r="C495" s="2" t="s">
        <v>22</v>
      </c>
      <c r="D495" t="str">
        <f>_xlfn.XLOOKUP(TransactionCleanup[[#This Row],[Transaction code]],Transactions[Transaction code],Transactions[Transaction name],,0,)</f>
        <v>Total resources of gases</v>
      </c>
    </row>
    <row r="496" spans="2:4" x14ac:dyDescent="0.45">
      <c r="B496" s="2" t="s">
        <v>21</v>
      </c>
      <c r="C496" s="2" t="s">
        <v>21</v>
      </c>
      <c r="D496" t="str">
        <f>_xlfn.XLOOKUP(TransactionCleanup[[#This Row],[Transaction code]],Transactions[Transaction code],Transactions[Transaction name],,0,)</f>
        <v>Reserves of nuclear resources, Reasonably assured</v>
      </c>
    </row>
    <row r="497" spans="2:4" x14ac:dyDescent="0.45">
      <c r="B497" t="s">
        <v>636</v>
      </c>
      <c r="C497" s="2" t="s">
        <v>31</v>
      </c>
      <c r="D497" t="str">
        <f>_xlfn.XLOOKUP(TransactionCleanup[[#This Row],[Transaction code]],Transactions[Transaction code],Transactions[Transaction name],,0,)</f>
        <v>Proven resources</v>
      </c>
    </row>
    <row r="498" spans="2:4" x14ac:dyDescent="0.45">
      <c r="B498" t="s">
        <v>636</v>
      </c>
      <c r="C498" s="2" t="s">
        <v>28</v>
      </c>
      <c r="D498" t="str">
        <f>_xlfn.XLOOKUP(TransactionCleanup[[#This Row],[Transaction code]],Transactions[Transaction code],Transactions[Transaction name],,0,)</f>
        <v>Reserves from crude petroleum</v>
      </c>
    </row>
    <row r="499" spans="2:4" x14ac:dyDescent="0.45">
      <c r="B499" t="s">
        <v>636</v>
      </c>
      <c r="C499" s="2" t="s">
        <v>25</v>
      </c>
      <c r="D499" t="str">
        <f>_xlfn.XLOOKUP(TransactionCleanup[[#This Row],[Transaction code]],Transactions[Transaction code],Transactions[Transaction name],,0,)</f>
        <v>Reserves from oil shale and tar sands</v>
      </c>
    </row>
    <row r="500" spans="2:4" x14ac:dyDescent="0.45">
      <c r="B500" t="s">
        <v>636</v>
      </c>
      <c r="C500" s="2" t="s">
        <v>27</v>
      </c>
      <c r="D500" t="str">
        <f>_xlfn.XLOOKUP(TransactionCleanup[[#This Row],[Transaction code]],Transactions[Transaction code],Transactions[Transaction name],,0,)</f>
        <v>Reserves from oil shale</v>
      </c>
    </row>
    <row r="501" spans="2:4" x14ac:dyDescent="0.45">
      <c r="B501" t="s">
        <v>636</v>
      </c>
      <c r="C501" s="2" t="s">
        <v>26</v>
      </c>
      <c r="D501" t="str">
        <f>_xlfn.XLOOKUP(TransactionCleanup[[#This Row],[Transaction code]],Transactions[Transaction code],Transactions[Transaction name],,0,)</f>
        <v>Reserves from tar sands</v>
      </c>
    </row>
    <row r="502" spans="2:4" x14ac:dyDescent="0.45">
      <c r="B502" t="s">
        <v>636</v>
      </c>
      <c r="C502" s="2" t="s">
        <v>22</v>
      </c>
      <c r="D502" t="str">
        <f>_xlfn.XLOOKUP(TransactionCleanup[[#This Row],[Transaction code]],Transactions[Transaction code],Transactions[Transaction name],,0,)</f>
        <v>Total resources of gases</v>
      </c>
    </row>
    <row r="503" spans="2:4" x14ac:dyDescent="0.45">
      <c r="B503" t="s">
        <v>636</v>
      </c>
      <c r="C503" s="2" t="s">
        <v>21</v>
      </c>
      <c r="D503" t="str">
        <f>_xlfn.XLOOKUP(TransactionCleanup[[#This Row],[Transaction code]],Transactions[Transaction code],Transactions[Transaction name],,0,)</f>
        <v>Reserves of nuclear resources, Reasonably assured</v>
      </c>
    </row>
    <row r="504" spans="2:4" x14ac:dyDescent="0.45">
      <c r="B504" s="2" t="s">
        <v>153</v>
      </c>
      <c r="C504" s="2" t="s">
        <v>153</v>
      </c>
      <c r="D504" t="str">
        <f>_xlfn.XLOOKUP(TransactionCleanup[[#This Row],[Transaction code]],Transactions[Transaction code],Transactions[Transaction name],,0,)</f>
        <v>Pump-storage plants (own use)</v>
      </c>
    </row>
    <row r="505" spans="2:4" x14ac:dyDescent="0.45">
      <c r="B505" t="s">
        <v>713</v>
      </c>
      <c r="C505" s="2" t="s">
        <v>153</v>
      </c>
      <c r="D505" t="str">
        <f>_xlfn.XLOOKUP(TransactionCleanup[[#This Row],[Transaction code]],Transactions[Transaction code],Transactions[Transaction name],,0,)</f>
        <v>Pump-storage plants (own use)</v>
      </c>
    </row>
    <row r="506" spans="2:4" x14ac:dyDescent="0.45">
      <c r="B506" s="2" t="s">
        <v>112</v>
      </c>
      <c r="C506" s="2" t="s">
        <v>112</v>
      </c>
      <c r="D506" t="str">
        <f>_xlfn.XLOOKUP(TransactionCleanup[[#This Row],[Transaction code]],Transactions[Transaction code],Transactions[Transaction name],,0,)</f>
        <v>Rail</v>
      </c>
    </row>
    <row r="507" spans="2:4" x14ac:dyDescent="0.45">
      <c r="B507" t="s">
        <v>426</v>
      </c>
      <c r="C507" s="2" t="s">
        <v>112</v>
      </c>
      <c r="D507" t="str">
        <f>_xlfn.XLOOKUP(TransactionCleanup[[#This Row],[Transaction code]],Transactions[Transaction code],Transactions[Transaction name],,0,)</f>
        <v>Rail</v>
      </c>
    </row>
    <row r="508" spans="2:4" x14ac:dyDescent="0.45">
      <c r="B508" t="s">
        <v>427</v>
      </c>
      <c r="C508" t="s">
        <v>427</v>
      </c>
      <c r="D508" t="str">
        <f>_xlfn.XLOOKUP(TransactionCleanup[[#This Row],[Transaction code]],Transactions[Transaction code],Transactions[Transaction name],,0,)</f>
        <v>Rail (S)</v>
      </c>
    </row>
    <row r="509" spans="2:4" x14ac:dyDescent="0.45">
      <c r="B509" t="s">
        <v>875</v>
      </c>
      <c r="C509" t="s">
        <v>427</v>
      </c>
      <c r="D509" t="str">
        <f>_xlfn.XLOOKUP(TransactionCleanup[[#This Row],[Transaction code]],Transactions[Transaction code],Transactions[Transaction name],,0,)</f>
        <v>Rail (S)</v>
      </c>
    </row>
    <row r="510" spans="2:4" x14ac:dyDescent="0.45">
      <c r="B510" t="s">
        <v>756</v>
      </c>
      <c r="C510" t="s">
        <v>427</v>
      </c>
      <c r="D510" t="str">
        <f>_xlfn.XLOOKUP(TransactionCleanup[[#This Row],[Transaction code]],Transactions[Transaction code],Transactions[Transaction name],,0,)</f>
        <v>Rail (S)</v>
      </c>
    </row>
    <row r="511" spans="2:4" x14ac:dyDescent="0.45">
      <c r="B511" s="2" t="s">
        <v>202</v>
      </c>
      <c r="C511" s="2" t="s">
        <v>202</v>
      </c>
      <c r="D511" t="str">
        <f>_xlfn.XLOOKUP(TransactionCleanup[[#This Row],[Transaction code]],Transactions[Transaction code],Transactions[Transaction name],,0,)</f>
        <v>Receipts from other sources</v>
      </c>
    </row>
    <row r="512" spans="2:4" x14ac:dyDescent="0.45">
      <c r="B512" t="s">
        <v>205</v>
      </c>
      <c r="C512" s="2" t="s">
        <v>202</v>
      </c>
      <c r="D512" t="str">
        <f>_xlfn.XLOOKUP(TransactionCleanup[[#This Row],[Transaction code]],Transactions[Transaction code],Transactions[Transaction name],,0,)</f>
        <v>Receipts from other sources</v>
      </c>
    </row>
    <row r="513" spans="2:4" x14ac:dyDescent="0.45">
      <c r="B513" s="2" t="s">
        <v>97</v>
      </c>
      <c r="C513" s="2" t="s">
        <v>97</v>
      </c>
      <c r="D513" t="str">
        <f>_xlfn.XLOOKUP(TransactionCleanup[[#This Row],[Transaction code]],Transactions[Transaction code],Transactions[Transaction name],,0,)</f>
        <v>Refinery capacity</v>
      </c>
    </row>
    <row r="514" spans="2:4" x14ac:dyDescent="0.45">
      <c r="B514" t="s">
        <v>96</v>
      </c>
      <c r="C514" s="2" t="s">
        <v>97</v>
      </c>
      <c r="D514" t="str">
        <f>_xlfn.XLOOKUP(TransactionCleanup[[#This Row],[Transaction code]],Transactions[Transaction code],Transactions[Transaction name],,0,)</f>
        <v>Refinery capacity</v>
      </c>
    </row>
    <row r="515" spans="2:4" x14ac:dyDescent="0.45">
      <c r="B515" s="2" t="s">
        <v>141</v>
      </c>
      <c r="C515" s="2" t="s">
        <v>141</v>
      </c>
      <c r="D515" t="str">
        <f>_xlfn.XLOOKUP(TransactionCleanup[[#This Row],[Transaction code]],Transactions[Transaction code],Transactions[Transaction name],,0,)</f>
        <v>Re-injected</v>
      </c>
    </row>
    <row r="516" spans="2:4" x14ac:dyDescent="0.45">
      <c r="B516" t="s">
        <v>140</v>
      </c>
      <c r="C516" s="2" t="s">
        <v>141</v>
      </c>
      <c r="D516" t="str">
        <f>_xlfn.XLOOKUP(TransactionCleanup[[#This Row],[Transaction code]],Transactions[Transaction code],Transactions[Transaction name],,0,)</f>
        <v>Re-injected</v>
      </c>
    </row>
    <row r="517" spans="2:4" x14ac:dyDescent="0.45">
      <c r="B517" s="2" t="s">
        <v>113</v>
      </c>
      <c r="C517" s="2" t="s">
        <v>113</v>
      </c>
      <c r="D517" t="str">
        <f>_xlfn.XLOOKUP(TransactionCleanup[[#This Row],[Transaction code]],Transactions[Transaction code],Transactions[Transaction name],,0,)</f>
        <v>Road</v>
      </c>
    </row>
    <row r="518" spans="2:4" x14ac:dyDescent="0.45">
      <c r="B518" t="s">
        <v>430</v>
      </c>
      <c r="C518" s="2" t="s">
        <v>113</v>
      </c>
      <c r="D518" t="str">
        <f>_xlfn.XLOOKUP(TransactionCleanup[[#This Row],[Transaction code]],Transactions[Transaction code],Transactions[Transaction name],,0,)</f>
        <v>Road</v>
      </c>
    </row>
    <row r="519" spans="2:4" x14ac:dyDescent="0.45">
      <c r="B519" t="s">
        <v>431</v>
      </c>
      <c r="C519" t="s">
        <v>431</v>
      </c>
      <c r="D519" t="str">
        <f>_xlfn.XLOOKUP(TransactionCleanup[[#This Row],[Transaction code]],Transactions[Transaction code],Transactions[Transaction name],,0,)</f>
        <v>Road (S)</v>
      </c>
    </row>
    <row r="520" spans="2:4" x14ac:dyDescent="0.45">
      <c r="B520" t="s">
        <v>876</v>
      </c>
      <c r="C520" t="s">
        <v>431</v>
      </c>
      <c r="D520" t="str">
        <f>_xlfn.XLOOKUP(TransactionCleanup[[#This Row],[Transaction code]],Transactions[Transaction code],Transactions[Transaction name],,0,)</f>
        <v>Road (S)</v>
      </c>
    </row>
    <row r="521" spans="2:4" x14ac:dyDescent="0.45">
      <c r="B521" t="s">
        <v>755</v>
      </c>
      <c r="C521" t="s">
        <v>431</v>
      </c>
      <c r="D521" t="str">
        <f>_xlfn.XLOOKUP(TransactionCleanup[[#This Row],[Transaction code]],Transactions[Transaction code],Transactions[Transaction name],,0,)</f>
        <v>Road (S)</v>
      </c>
    </row>
    <row r="522" spans="2:4" x14ac:dyDescent="0.45">
      <c r="B522" s="2" t="s">
        <v>33</v>
      </c>
      <c r="C522" s="2" t="s">
        <v>33</v>
      </c>
      <c r="D522" t="str">
        <f>_xlfn.XLOOKUP(TransactionCleanup[[#This Row],[Transaction code]],Transactions[Transaction code],Transactions[Transaction name],,0,)</f>
        <v>IC Solar - Autoproducers</v>
      </c>
    </row>
    <row r="523" spans="2:4" x14ac:dyDescent="0.45">
      <c r="B523" t="s">
        <v>62</v>
      </c>
      <c r="C523" s="2" t="s">
        <v>33</v>
      </c>
      <c r="D523" t="str">
        <f>_xlfn.XLOOKUP(TransactionCleanup[[#This Row],[Transaction code]],Transactions[Transaction code],Transactions[Transaction name],,0,)</f>
        <v>IC Solar - Autoproducers</v>
      </c>
    </row>
    <row r="524" spans="2:4" x14ac:dyDescent="0.45">
      <c r="B524" s="2" t="s">
        <v>36</v>
      </c>
      <c r="C524" s="2" t="s">
        <v>36</v>
      </c>
      <c r="D524" t="str">
        <f>_xlfn.XLOOKUP(TransactionCleanup[[#This Row],[Transaction code]],Transactions[Transaction code],Transactions[Transaction name],,0,)</f>
        <v>IC Solar - Main activity producers</v>
      </c>
    </row>
    <row r="525" spans="2:4" x14ac:dyDescent="0.45">
      <c r="B525" t="s">
        <v>63</v>
      </c>
      <c r="C525" s="2" t="s">
        <v>36</v>
      </c>
      <c r="D525" t="str">
        <f>_xlfn.XLOOKUP(TransactionCleanup[[#This Row],[Transaction code]],Transactions[Transaction code],Transactions[Transaction name],,0,)</f>
        <v>IC Solar - Main activity producers</v>
      </c>
    </row>
    <row r="526" spans="2:4" x14ac:dyDescent="0.45">
      <c r="B526" s="2" t="s">
        <v>61</v>
      </c>
      <c r="C526" s="2" t="s">
        <v>61</v>
      </c>
      <c r="D526" t="str">
        <f>_xlfn.XLOOKUP(TransactionCleanup[[#This Row],[Transaction code]],Transactions[Transaction code],Transactions[Transaction name],,0,)</f>
        <v>IC Solar</v>
      </c>
    </row>
    <row r="527" spans="2:4" x14ac:dyDescent="0.45">
      <c r="B527" t="s">
        <v>64</v>
      </c>
      <c r="C527" s="2" t="s">
        <v>61</v>
      </c>
      <c r="D527" t="str">
        <f>_xlfn.XLOOKUP(TransactionCleanup[[#This Row],[Transaction code]],Transactions[Transaction code],Transactions[Transaction name],,0,)</f>
        <v>IC Solar</v>
      </c>
    </row>
    <row r="528" spans="2:4" x14ac:dyDescent="0.45">
      <c r="B528" s="1" t="s">
        <v>633</v>
      </c>
      <c r="C528" s="1" t="s">
        <v>633</v>
      </c>
      <c r="D528" t="str">
        <f>_xlfn.XLOOKUP(TransactionCleanup[[#This Row],[Transaction code]],Transactions[Transaction code],Transactions[Transaction name],,0,)</f>
        <v>Statistical differences</v>
      </c>
    </row>
    <row r="529" spans="2:4" x14ac:dyDescent="0.45">
      <c r="B529" t="s">
        <v>542</v>
      </c>
      <c r="C529" s="1" t="s">
        <v>633</v>
      </c>
      <c r="D529" t="str">
        <f>_xlfn.XLOOKUP(TransactionCleanup[[#This Row],[Transaction code]],Transactions[Transaction code],Transactions[Transaction name],,0,)</f>
        <v>Statistical differences</v>
      </c>
    </row>
    <row r="530" spans="2:4" x14ac:dyDescent="0.45">
      <c r="B530" t="s">
        <v>543</v>
      </c>
      <c r="C530" t="s">
        <v>543</v>
      </c>
      <c r="D530" t="str">
        <f>_xlfn.XLOOKUP(TransactionCleanup[[#This Row],[Transaction code]],Transactions[Transaction code],Transactions[Transaction name],,0,)</f>
        <v>Statistical differences (S)</v>
      </c>
    </row>
    <row r="531" spans="2:4" x14ac:dyDescent="0.45">
      <c r="B531" t="s">
        <v>877</v>
      </c>
      <c r="C531" t="s">
        <v>543</v>
      </c>
      <c r="D531" t="str">
        <f>_xlfn.XLOOKUP(TransactionCleanup[[#This Row],[Transaction code]],Transactions[Transaction code],Transactions[Transaction name],,0,)</f>
        <v>Statistical differences (S)</v>
      </c>
    </row>
    <row r="532" spans="2:4" x14ac:dyDescent="0.45">
      <c r="B532" t="s">
        <v>773</v>
      </c>
      <c r="C532" t="s">
        <v>543</v>
      </c>
      <c r="D532" t="str">
        <f>_xlfn.XLOOKUP(TransactionCleanup[[#This Row],[Transaction code]],Transactions[Transaction code],Transactions[Transaction name],,0,)</f>
        <v>Statistical differences (S)</v>
      </c>
    </row>
    <row r="533" spans="2:4" x14ac:dyDescent="0.45">
      <c r="B533" s="2" t="s">
        <v>193</v>
      </c>
      <c r="C533" s="2" t="s">
        <v>193</v>
      </c>
      <c r="D533" t="str">
        <f>_xlfn.XLOOKUP(TransactionCleanup[[#This Row],[Transaction code]],Transactions[Transaction code],Transactions[Transaction name],,0,)</f>
        <v>Stock changes</v>
      </c>
    </row>
    <row r="534" spans="2:4" x14ac:dyDescent="0.45">
      <c r="B534" t="s">
        <v>192</v>
      </c>
      <c r="C534" s="2" t="s">
        <v>193</v>
      </c>
      <c r="D534" t="str">
        <f>_xlfn.XLOOKUP(TransactionCleanup[[#This Row],[Transaction code]],Transactions[Transaction code],Transactions[Transaction name],,0,)</f>
        <v>Stock changes</v>
      </c>
    </row>
    <row r="535" spans="2:4" x14ac:dyDescent="0.45">
      <c r="B535" t="s">
        <v>550</v>
      </c>
      <c r="C535" t="s">
        <v>550</v>
      </c>
      <c r="D535" t="str">
        <f>_xlfn.XLOOKUP(TransactionCleanup[[#This Row],[Transaction code]],Transactions[Transaction code],Transactions[Transaction name],,0,)</f>
        <v>Stock changes (S)</v>
      </c>
    </row>
    <row r="536" spans="2:4" x14ac:dyDescent="0.45">
      <c r="B536" t="s">
        <v>878</v>
      </c>
      <c r="C536" t="s">
        <v>550</v>
      </c>
      <c r="D536" t="str">
        <f>_xlfn.XLOOKUP(TransactionCleanup[[#This Row],[Transaction code]],Transactions[Transaction code],Transactions[Transaction name],,0,)</f>
        <v>Stock changes (S)</v>
      </c>
    </row>
    <row r="537" spans="2:4" x14ac:dyDescent="0.45">
      <c r="B537" t="s">
        <v>771</v>
      </c>
      <c r="C537" t="s">
        <v>550</v>
      </c>
      <c r="D537" t="str">
        <f>_xlfn.XLOOKUP(TransactionCleanup[[#This Row],[Transaction code]],Transactions[Transaction code],Transactions[Transaction name],,0,)</f>
        <v>Stock changes (S)</v>
      </c>
    </row>
    <row r="538" spans="2:4" x14ac:dyDescent="0.45">
      <c r="B538" s="2" t="s">
        <v>117</v>
      </c>
      <c r="C538" s="2" t="s">
        <v>117</v>
      </c>
      <c r="D538" t="str">
        <f>_xlfn.XLOOKUP(TransactionCleanup[[#This Row],[Transaction code]],Transactions[Transaction code],Transactions[Transaction name],,0,)</f>
        <v>Textile and leather</v>
      </c>
    </row>
    <row r="539" spans="2:4" x14ac:dyDescent="0.45">
      <c r="B539" t="s">
        <v>444</v>
      </c>
      <c r="C539" s="2" t="s">
        <v>117</v>
      </c>
      <c r="D539" t="str">
        <f>_xlfn.XLOOKUP(TransactionCleanup[[#This Row],[Transaction code]],Transactions[Transaction code],Transactions[Transaction name],,0,)</f>
        <v>Textile and leather</v>
      </c>
    </row>
    <row r="540" spans="2:4" x14ac:dyDescent="0.45">
      <c r="B540" t="s">
        <v>445</v>
      </c>
      <c r="C540" t="s">
        <v>445</v>
      </c>
      <c r="D540" t="str">
        <f>_xlfn.XLOOKUP(TransactionCleanup[[#This Row],[Transaction code]],Transactions[Transaction code],Transactions[Transaction name],,0,)</f>
        <v>Textile and leather (S)</v>
      </c>
    </row>
    <row r="541" spans="2:4" x14ac:dyDescent="0.45">
      <c r="B541" t="s">
        <v>879</v>
      </c>
      <c r="C541" t="s">
        <v>445</v>
      </c>
      <c r="D541" t="str">
        <f>_xlfn.XLOOKUP(TransactionCleanup[[#This Row],[Transaction code]],Transactions[Transaction code],Transactions[Transaction name],,0,)</f>
        <v>Textile and leather (S)</v>
      </c>
    </row>
    <row r="542" spans="2:4" x14ac:dyDescent="0.45">
      <c r="B542" t="s">
        <v>751</v>
      </c>
      <c r="C542" t="s">
        <v>445</v>
      </c>
      <c r="D542" t="str">
        <f>_xlfn.XLOOKUP(TransactionCleanup[[#This Row],[Transaction code]],Transactions[Transaction code],Transactions[Transaction name],,0,)</f>
        <v>Textile and leather (S)</v>
      </c>
    </row>
    <row r="543" spans="2:4" x14ac:dyDescent="0.45">
      <c r="B543" s="2" t="s">
        <v>57</v>
      </c>
      <c r="C543" s="2" t="s">
        <v>57</v>
      </c>
      <c r="D543" t="str">
        <f>_xlfn.XLOOKUP(TransactionCleanup[[#This Row],[Transaction code]],Transactions[Transaction code],Transactions[Transaction name],,0,)</f>
        <v>IC Marine energy - Autoproducers</v>
      </c>
    </row>
    <row r="544" spans="2:4" x14ac:dyDescent="0.45">
      <c r="B544" t="s">
        <v>56</v>
      </c>
      <c r="C544" s="2" t="s">
        <v>57</v>
      </c>
      <c r="D544" t="str">
        <f>_xlfn.XLOOKUP(TransactionCleanup[[#This Row],[Transaction code]],Transactions[Transaction code],Transactions[Transaction name],,0,)</f>
        <v>IC Marine energy - Autoproducers</v>
      </c>
    </row>
    <row r="545" spans="2:4" x14ac:dyDescent="0.45">
      <c r="B545" s="2" t="s">
        <v>59</v>
      </c>
      <c r="C545" s="2" t="s">
        <v>59</v>
      </c>
      <c r="D545" t="str">
        <f>_xlfn.XLOOKUP(TransactionCleanup[[#This Row],[Transaction code]],Transactions[Transaction code],Transactions[Transaction name],,0,)</f>
        <v>IC Marine energy - Main activity producers</v>
      </c>
    </row>
    <row r="546" spans="2:4" x14ac:dyDescent="0.45">
      <c r="B546" t="s">
        <v>58</v>
      </c>
      <c r="C546" s="2" t="s">
        <v>59</v>
      </c>
      <c r="D546" t="str">
        <f>_xlfn.XLOOKUP(TransactionCleanup[[#This Row],[Transaction code]],Transactions[Transaction code],Transactions[Transaction name],,0,)</f>
        <v>IC Marine energy - Main activity producers</v>
      </c>
    </row>
    <row r="547" spans="2:4" x14ac:dyDescent="0.45">
      <c r="B547" s="2" t="s">
        <v>55</v>
      </c>
      <c r="C547" s="2" t="s">
        <v>55</v>
      </c>
      <c r="D547" t="str">
        <f>_xlfn.XLOOKUP(TransactionCleanup[[#This Row],[Transaction code]],Transactions[Transaction code],Transactions[Transaction name],,0,)</f>
        <v>IC Marine energy</v>
      </c>
    </row>
    <row r="548" spans="2:4" x14ac:dyDescent="0.45">
      <c r="B548" t="s">
        <v>60</v>
      </c>
      <c r="C548" s="2" t="s">
        <v>55</v>
      </c>
      <c r="D548" t="str">
        <f>_xlfn.XLOOKUP(TransactionCleanup[[#This Row],[Transaction code]],Transactions[Transaction code],Transactions[Transaction name],,0,)</f>
        <v>IC Marine energy</v>
      </c>
    </row>
    <row r="549" spans="2:4" x14ac:dyDescent="0.45">
      <c r="B549" s="2" t="s">
        <v>12</v>
      </c>
      <c r="C549" s="2" t="s">
        <v>12</v>
      </c>
      <c r="D549" t="str">
        <f>_xlfn.XLOOKUP(TransactionCleanup[[#This Row],[Transaction code]],Transactions[Transaction code],Transactions[Transaction name],,0,)</f>
        <v>IC Autoproducers</v>
      </c>
    </row>
    <row r="550" spans="2:4" x14ac:dyDescent="0.45">
      <c r="B550" t="s">
        <v>11</v>
      </c>
      <c r="C550" s="2" t="s">
        <v>12</v>
      </c>
      <c r="D550" t="str">
        <f>_xlfn.XLOOKUP(TransactionCleanup[[#This Row],[Transaction code]],Transactions[Transaction code],Transactions[Transaction name],,0,)</f>
        <v>IC Autoproducers</v>
      </c>
    </row>
    <row r="551" spans="2:4" x14ac:dyDescent="0.45">
      <c r="B551" s="2" t="s">
        <v>14</v>
      </c>
      <c r="C551" s="2" t="s">
        <v>14</v>
      </c>
      <c r="D551" t="str">
        <f>_xlfn.XLOOKUP(TransactionCleanup[[#This Row],[Transaction code]],Transactions[Transaction code],Transactions[Transaction name],,0,)</f>
        <v>IC Main activity producers</v>
      </c>
    </row>
    <row r="552" spans="2:4" x14ac:dyDescent="0.45">
      <c r="B552" t="s">
        <v>13</v>
      </c>
      <c r="C552" s="2" t="s">
        <v>14</v>
      </c>
      <c r="D552" t="str">
        <f>_xlfn.XLOOKUP(TransactionCleanup[[#This Row],[Transaction code]],Transactions[Transaction code],Transactions[Transaction name],,0,)</f>
        <v>IC Main activity producers</v>
      </c>
    </row>
    <row r="553" spans="2:4" x14ac:dyDescent="0.45">
      <c r="B553" s="2" t="s">
        <v>10</v>
      </c>
      <c r="C553" s="2" t="s">
        <v>10</v>
      </c>
      <c r="D553" t="str">
        <f>_xlfn.XLOOKUP(TransactionCleanup[[#This Row],[Transaction code]],Transactions[Transaction code],Transactions[Transaction name],,0,)</f>
        <v>IC Electricity plants</v>
      </c>
    </row>
    <row r="554" spans="2:4" x14ac:dyDescent="0.45">
      <c r="B554" t="s">
        <v>95</v>
      </c>
      <c r="C554" s="2" t="s">
        <v>10</v>
      </c>
      <c r="D554" t="str">
        <f>_xlfn.XLOOKUP(TransactionCleanup[[#This Row],[Transaction code]],Transactions[Transaction code],Transactions[Transaction name],,0,)</f>
        <v>IC Electricity plants</v>
      </c>
    </row>
    <row r="555" spans="2:4" x14ac:dyDescent="0.45">
      <c r="B555" s="2" t="s">
        <v>8</v>
      </c>
      <c r="C555" s="2" t="s">
        <v>8</v>
      </c>
      <c r="D555" t="str">
        <f>_xlfn.XLOOKUP(TransactionCleanup[[#This Row],[Transaction code]],Transactions[Transaction code],Transactions[Transaction name],,0,)</f>
        <v>Total energy supply</v>
      </c>
    </row>
    <row r="556" spans="2:4" x14ac:dyDescent="0.45">
      <c r="B556" t="s">
        <v>7</v>
      </c>
      <c r="C556" s="2" t="s">
        <v>8</v>
      </c>
      <c r="D556" t="str">
        <f>_xlfn.XLOOKUP(TransactionCleanup[[#This Row],[Transaction code]],Transactions[Transaction code],Transactions[Transaction name],,0,)</f>
        <v>Total energy supply</v>
      </c>
    </row>
    <row r="557" spans="2:4" x14ac:dyDescent="0.45">
      <c r="B557" t="s">
        <v>539</v>
      </c>
      <c r="C557" t="s">
        <v>539</v>
      </c>
      <c r="D557" t="str">
        <f>_xlfn.XLOOKUP(TransactionCleanup[[#This Row],[Transaction code]],Transactions[Transaction code],Transactions[Transaction name],,0,)</f>
        <v>Total energy supply (S)</v>
      </c>
    </row>
    <row r="558" spans="2:4" x14ac:dyDescent="0.45">
      <c r="B558" t="s">
        <v>880</v>
      </c>
      <c r="C558" t="s">
        <v>539</v>
      </c>
      <c r="D558" t="str">
        <f>_xlfn.XLOOKUP(TransactionCleanup[[#This Row],[Transaction code]],Transactions[Transaction code],Transactions[Transaction name],,0,)</f>
        <v>Total energy supply (S)</v>
      </c>
    </row>
    <row r="559" spans="2:4" x14ac:dyDescent="0.45">
      <c r="B559" t="s">
        <v>772</v>
      </c>
      <c r="C559" t="s">
        <v>539</v>
      </c>
      <c r="D559" t="str">
        <f>_xlfn.XLOOKUP(TransactionCleanup[[#This Row],[Transaction code]],Transactions[Transaction code],Transactions[Transaction name],,0,)</f>
        <v>Total energy supply (S)</v>
      </c>
    </row>
    <row r="560" spans="2:4" x14ac:dyDescent="0.45">
      <c r="B560" s="2" t="s">
        <v>98</v>
      </c>
      <c r="C560" s="2" t="s">
        <v>98</v>
      </c>
      <c r="D560" t="str">
        <f>_xlfn.XLOOKUP(TransactionCleanup[[#This Row],[Transaction code]],Transactions[Transaction code],Transactions[Transaction name],,0,)</f>
        <v>Total Final Energy Consumption</v>
      </c>
    </row>
    <row r="561" spans="2:4" x14ac:dyDescent="0.45">
      <c r="B561" t="s">
        <v>702</v>
      </c>
      <c r="C561" s="2" t="s">
        <v>98</v>
      </c>
      <c r="D561" t="str">
        <f>_xlfn.XLOOKUP(TransactionCleanup[[#This Row],[Transaction code]],Transactions[Transaction code],Transactions[Transaction name],,0,)</f>
        <v>Total Final Energy Consumption</v>
      </c>
    </row>
    <row r="562" spans="2:4" x14ac:dyDescent="0.45">
      <c r="B562" s="2" t="s">
        <v>29</v>
      </c>
      <c r="C562" s="2" t="s">
        <v>29</v>
      </c>
      <c r="D562" t="str">
        <f>_xlfn.XLOOKUP(TransactionCleanup[[#This Row],[Transaction code]],Transactions[Transaction code],Transactions[Transaction name],,0,)</f>
        <v>Total Resources</v>
      </c>
    </row>
    <row r="563" spans="2:4" x14ac:dyDescent="0.45">
      <c r="B563" t="s">
        <v>638</v>
      </c>
      <c r="C563" s="2" t="s">
        <v>29</v>
      </c>
      <c r="D563" t="str">
        <f>_xlfn.XLOOKUP(TransactionCleanup[[#This Row],[Transaction code]],Transactions[Transaction code],Transactions[Transaction name],,0,)</f>
        <v>Total Resources</v>
      </c>
    </row>
    <row r="564" spans="2:4" x14ac:dyDescent="0.45">
      <c r="B564" s="2" t="s">
        <v>191</v>
      </c>
      <c r="C564" s="2" t="s">
        <v>191</v>
      </c>
      <c r="D564" t="str">
        <f>_xlfn.XLOOKUP(TransactionCleanup[[#This Row],[Transaction code]],Transactions[Transaction code],Transactions[Transaction name],,0,)</f>
        <v>Transfers and recycled products</v>
      </c>
    </row>
    <row r="565" spans="2:4" x14ac:dyDescent="0.45">
      <c r="B565" t="s">
        <v>190</v>
      </c>
      <c r="C565" s="2" t="s">
        <v>191</v>
      </c>
      <c r="D565" t="str">
        <f>_xlfn.XLOOKUP(TransactionCleanup[[#This Row],[Transaction code]],Transactions[Transaction code],Transactions[Transaction name],,0,)</f>
        <v>Transfers and recycled products</v>
      </c>
    </row>
    <row r="566" spans="2:4" x14ac:dyDescent="0.45">
      <c r="B566" t="s">
        <v>540</v>
      </c>
      <c r="C566" t="s">
        <v>540</v>
      </c>
      <c r="D566" t="str">
        <f>_xlfn.XLOOKUP(TransactionCleanup[[#This Row],[Transaction code]],Transactions[Transaction code],Transactions[Transaction name],,0,)</f>
        <v>Transfers and recycled products (S)</v>
      </c>
    </row>
    <row r="567" spans="2:4" x14ac:dyDescent="0.45">
      <c r="B567" t="s">
        <v>881</v>
      </c>
      <c r="C567" t="s">
        <v>540</v>
      </c>
      <c r="D567" t="str">
        <f>_xlfn.XLOOKUP(TransactionCleanup[[#This Row],[Transaction code]],Transactions[Transaction code],Transactions[Transaction name],,0,)</f>
        <v>Transfers and recycled products (S)</v>
      </c>
    </row>
    <row r="568" spans="2:4" x14ac:dyDescent="0.45">
      <c r="B568" t="s">
        <v>774</v>
      </c>
      <c r="C568" t="s">
        <v>540</v>
      </c>
      <c r="D568" t="str">
        <f>_xlfn.XLOOKUP(TransactionCleanup[[#This Row],[Transaction code]],Transactions[Transaction code],Transactions[Transaction name],,0,)</f>
        <v>Transfers and recycled products (S)</v>
      </c>
    </row>
    <row r="569" spans="2:4" x14ac:dyDescent="0.45">
      <c r="B569" s="2" t="s">
        <v>164</v>
      </c>
      <c r="C569" s="2" t="s">
        <v>164</v>
      </c>
      <c r="D569" t="str">
        <f>_xlfn.XLOOKUP(TransactionCleanup[[#This Row],[Transaction code]],Transactions[Transaction code],Transactions[Transaction name],,0,)</f>
        <v>Transformation</v>
      </c>
    </row>
    <row r="570" spans="2:4" x14ac:dyDescent="0.45">
      <c r="B570" t="s">
        <v>189</v>
      </c>
      <c r="C570" s="2" t="s">
        <v>164</v>
      </c>
      <c r="D570" t="str">
        <f>_xlfn.XLOOKUP(TransactionCleanup[[#This Row],[Transaction code]],Transactions[Transaction code],Transactions[Transaction name],,0,)</f>
        <v>Transformation</v>
      </c>
    </row>
    <row r="571" spans="2:4" x14ac:dyDescent="0.45">
      <c r="B571" t="s">
        <v>502</v>
      </c>
      <c r="C571" t="s">
        <v>502</v>
      </c>
      <c r="D571" t="str">
        <f>_xlfn.XLOOKUP(TransactionCleanup[[#This Row],[Transaction code]],Transactions[Transaction code],Transactions[Transaction name],,0,)</f>
        <v>Transformation (S)</v>
      </c>
    </row>
    <row r="572" spans="2:4" x14ac:dyDescent="0.45">
      <c r="B572" t="s">
        <v>882</v>
      </c>
      <c r="C572" t="s">
        <v>502</v>
      </c>
      <c r="D572" t="str">
        <f>_xlfn.XLOOKUP(TransactionCleanup[[#This Row],[Transaction code]],Transactions[Transaction code],Transactions[Transaction name],,0,)</f>
        <v>Transformation (S)</v>
      </c>
    </row>
    <row r="573" spans="2:4" x14ac:dyDescent="0.45">
      <c r="B573" t="s">
        <v>775</v>
      </c>
      <c r="C573" t="s">
        <v>502</v>
      </c>
      <c r="D573" t="str">
        <f>_xlfn.XLOOKUP(TransactionCleanup[[#This Row],[Transaction code]],Transactions[Transaction code],Transactions[Transaction name],,0,)</f>
        <v>Transformation (S)</v>
      </c>
    </row>
    <row r="574" spans="2:4" x14ac:dyDescent="0.45">
      <c r="B574" t="s">
        <v>512</v>
      </c>
      <c r="C574" t="s">
        <v>512</v>
      </c>
      <c r="D574" t="str">
        <f>_xlfn.XLOOKUP(TransactionCleanup[[#This Row],[Transaction code]],Transactions[Transaction code],Transactions[Transaction name],,0,)</f>
        <v>Transformation in blast furnaces (S)</v>
      </c>
    </row>
    <row r="575" spans="2:4" x14ac:dyDescent="0.45">
      <c r="B575" t="s">
        <v>784</v>
      </c>
      <c r="C575" t="s">
        <v>512</v>
      </c>
      <c r="D575" t="str">
        <f>_xlfn.XLOOKUP(TransactionCleanup[[#This Row],[Transaction code]],Transactions[Transaction code],Transactions[Transaction name],,0,)</f>
        <v>Transformation in blast furnaces (S)</v>
      </c>
    </row>
    <row r="576" spans="2:4" x14ac:dyDescent="0.45">
      <c r="B576" t="s">
        <v>521</v>
      </c>
      <c r="C576" t="s">
        <v>521</v>
      </c>
      <c r="D576" t="str">
        <f>_xlfn.XLOOKUP(TransactionCleanup[[#This Row],[Transaction code]],Transactions[Transaction code],Transactions[Transaction name],,0,)</f>
        <v>Transformation in briquetting plants (S)</v>
      </c>
    </row>
    <row r="577" spans="2:4" x14ac:dyDescent="0.45">
      <c r="B577" t="s">
        <v>781</v>
      </c>
      <c r="C577" t="s">
        <v>521</v>
      </c>
      <c r="D577" t="str">
        <f>_xlfn.XLOOKUP(TransactionCleanup[[#This Row],[Transaction code]],Transactions[Transaction code],Transactions[Transaction name],,0,)</f>
        <v>Transformation in briquetting plants (S)</v>
      </c>
    </row>
    <row r="578" spans="2:4" x14ac:dyDescent="0.45">
      <c r="B578" t="s">
        <v>531</v>
      </c>
      <c r="C578" t="s">
        <v>531</v>
      </c>
      <c r="D578" t="str">
        <f>_xlfn.XLOOKUP(TransactionCleanup[[#This Row],[Transaction code]],Transactions[Transaction code],Transactions[Transaction name],,0,)</f>
        <v>Transformation in CHP plants - main activity producers (S)</v>
      </c>
    </row>
    <row r="579" spans="2:4" x14ac:dyDescent="0.45">
      <c r="B579" t="s">
        <v>778</v>
      </c>
      <c r="C579" t="s">
        <v>531</v>
      </c>
      <c r="D579" t="str">
        <f>_xlfn.XLOOKUP(TransactionCleanup[[#This Row],[Transaction code]],Transactions[Transaction code],Transactions[Transaction name],,0,)</f>
        <v>Transformation in CHP plants - main activity producers (S)</v>
      </c>
    </row>
    <row r="580" spans="2:4" x14ac:dyDescent="0.45">
      <c r="B580" t="s">
        <v>524</v>
      </c>
      <c r="C580" t="s">
        <v>524</v>
      </c>
      <c r="D580" t="str">
        <f>_xlfn.XLOOKUP(TransactionCleanup[[#This Row],[Transaction code]],Transactions[Transaction code],Transactions[Transaction name],,0,)</f>
        <v>Transformation in coke ovens (S)</v>
      </c>
    </row>
    <row r="581" spans="2:4" x14ac:dyDescent="0.45">
      <c r="B581" t="s">
        <v>780</v>
      </c>
      <c r="C581" t="s">
        <v>524</v>
      </c>
      <c r="D581" t="str">
        <f>_xlfn.XLOOKUP(TransactionCleanup[[#This Row],[Transaction code]],Transactions[Transaction code],Transactions[Transaction name],,0,)</f>
        <v>Transformation in coke ovens (S)</v>
      </c>
    </row>
    <row r="582" spans="2:4" x14ac:dyDescent="0.45">
      <c r="B582" t="s">
        <v>533</v>
      </c>
      <c r="C582" t="s">
        <v>533</v>
      </c>
      <c r="D582" t="str">
        <f>_xlfn.XLOOKUP(TransactionCleanup[[#This Row],[Transaction code]],Transactions[Transaction code],Transactions[Transaction name],,0,)</f>
        <v>Transformation in electricity plants - main activity producers (S)</v>
      </c>
    </row>
    <row r="583" spans="2:4" x14ac:dyDescent="0.45">
      <c r="B583" t="s">
        <v>777</v>
      </c>
      <c r="C583" t="s">
        <v>533</v>
      </c>
      <c r="D583" t="str">
        <f>_xlfn.XLOOKUP(TransactionCleanup[[#This Row],[Transaction code]],Transactions[Transaction code],Transactions[Transaction name],,0,)</f>
        <v>Transformation in electricity plants - main activity producers (S)</v>
      </c>
    </row>
    <row r="584" spans="2:4" x14ac:dyDescent="0.45">
      <c r="B584" t="s">
        <v>515</v>
      </c>
      <c r="C584" t="s">
        <v>515</v>
      </c>
      <c r="D584" t="str">
        <f>_xlfn.XLOOKUP(TransactionCleanup[[#This Row],[Transaction code]],Transactions[Transaction code],Transactions[Transaction name],,0,)</f>
        <v>Transformation in gas works (S)</v>
      </c>
    </row>
    <row r="585" spans="2:4" x14ac:dyDescent="0.45">
      <c r="B585" t="s">
        <v>783</v>
      </c>
      <c r="C585" t="s">
        <v>515</v>
      </c>
      <c r="D585" t="str">
        <f>_xlfn.XLOOKUP(TransactionCleanup[[#This Row],[Transaction code]],Transactions[Transaction code],Transactions[Transaction name],,0,)</f>
        <v>Transformation in gas works (S)</v>
      </c>
    </row>
    <row r="586" spans="2:4" x14ac:dyDescent="0.45">
      <c r="B586" t="s">
        <v>528</v>
      </c>
      <c r="C586" t="s">
        <v>528</v>
      </c>
      <c r="D586" t="str">
        <f>_xlfn.XLOOKUP(TransactionCleanup[[#This Row],[Transaction code]],Transactions[Transaction code],Transactions[Transaction name],,0,)</f>
        <v>Transformation in heat plants - main activity producers (S)</v>
      </c>
    </row>
    <row r="587" spans="2:4" x14ac:dyDescent="0.45">
      <c r="B587" t="s">
        <v>779</v>
      </c>
      <c r="C587" t="s">
        <v>528</v>
      </c>
      <c r="D587" t="str">
        <f>_xlfn.XLOOKUP(TransactionCleanup[[#This Row],[Transaction code]],Transactions[Transaction code],Transactions[Transaction name],,0,)</f>
        <v>Transformation in heat plants - main activity producers (S)</v>
      </c>
    </row>
    <row r="588" spans="2:4" x14ac:dyDescent="0.45">
      <c r="B588" t="s">
        <v>517</v>
      </c>
      <c r="C588" t="s">
        <v>517</v>
      </c>
      <c r="D588" t="str">
        <f>_xlfn.XLOOKUP(TransactionCleanup[[#This Row],[Transaction code]],Transactions[Transaction code],Transactions[Transaction name],,0,)</f>
        <v>Transformation in liquefaction plants (S)</v>
      </c>
    </row>
    <row r="589" spans="2:4" x14ac:dyDescent="0.45">
      <c r="B589" t="s">
        <v>782</v>
      </c>
      <c r="C589" t="s">
        <v>517</v>
      </c>
      <c r="D589" t="str">
        <f>_xlfn.XLOOKUP(TransactionCleanup[[#This Row],[Transaction code]],Transactions[Transaction code],Transactions[Transaction name],,0,)</f>
        <v>Transformation in liquefaction plants (S)</v>
      </c>
    </row>
    <row r="590" spans="2:4" x14ac:dyDescent="0.45">
      <c r="B590" t="s">
        <v>508</v>
      </c>
      <c r="C590" t="s">
        <v>508</v>
      </c>
      <c r="D590" t="str">
        <f>_xlfn.XLOOKUP(TransactionCleanup[[#This Row],[Transaction code]],Transactions[Transaction code],Transactions[Transaction name],,0,)</f>
        <v>Transformation in natural gas blending plants (S)</v>
      </c>
    </row>
    <row r="591" spans="2:4" x14ac:dyDescent="0.45">
      <c r="B591" t="s">
        <v>785</v>
      </c>
      <c r="C591" t="s">
        <v>508</v>
      </c>
      <c r="D591" t="str">
        <f>_xlfn.XLOOKUP(TransactionCleanup[[#This Row],[Transaction code]],Transactions[Transaction code],Transactions[Transaction name],,0,)</f>
        <v>Transformation in natural gas blending plants (S)</v>
      </c>
    </row>
    <row r="592" spans="2:4" x14ac:dyDescent="0.45">
      <c r="B592" t="s">
        <v>505</v>
      </c>
      <c r="C592" t="s">
        <v>505</v>
      </c>
      <c r="D592" t="str">
        <f>_xlfn.XLOOKUP(TransactionCleanup[[#This Row],[Transaction code]],Transactions[Transaction code],Transactions[Transaction name],,0,)</f>
        <v>Transformation in oil refineries (S)</v>
      </c>
    </row>
    <row r="593" spans="2:4" x14ac:dyDescent="0.45">
      <c r="B593" t="s">
        <v>786</v>
      </c>
      <c r="C593" t="s">
        <v>505</v>
      </c>
      <c r="D593" t="str">
        <f>_xlfn.XLOOKUP(TransactionCleanup[[#This Row],[Transaction code]],Transactions[Transaction code],Transactions[Transaction name],,0,)</f>
        <v>Transformation in oil refineries (S)</v>
      </c>
    </row>
    <row r="594" spans="2:4" x14ac:dyDescent="0.45">
      <c r="B594" s="2" t="s">
        <v>106</v>
      </c>
      <c r="C594" s="2" t="s">
        <v>106</v>
      </c>
      <c r="D594" t="str">
        <f>_xlfn.XLOOKUP(TransactionCleanup[[#This Row],[Transaction code]],Transactions[Transaction code],Transactions[Transaction name],,0,)</f>
        <v>Transport</v>
      </c>
    </row>
    <row r="595" spans="2:4" x14ac:dyDescent="0.45">
      <c r="B595" t="s">
        <v>434</v>
      </c>
      <c r="C595" s="2" t="s">
        <v>106</v>
      </c>
      <c r="D595" t="str">
        <f>_xlfn.XLOOKUP(TransactionCleanup[[#This Row],[Transaction code]],Transactions[Transaction code],Transactions[Transaction name],,0,)</f>
        <v>Transport</v>
      </c>
    </row>
    <row r="596" spans="2:4" x14ac:dyDescent="0.45">
      <c r="B596" t="s">
        <v>410</v>
      </c>
      <c r="C596" t="s">
        <v>410</v>
      </c>
      <c r="D596" t="str">
        <f>_xlfn.XLOOKUP(TransactionCleanup[[#This Row],[Transaction code]],Transactions[Transaction code],Transactions[Transaction name],,0,)</f>
        <v>Transport (S)</v>
      </c>
    </row>
    <row r="597" spans="2:4" x14ac:dyDescent="0.45">
      <c r="B597" t="s">
        <v>883</v>
      </c>
      <c r="C597" t="s">
        <v>410</v>
      </c>
      <c r="D597" t="str">
        <f>_xlfn.XLOOKUP(TransactionCleanup[[#This Row],[Transaction code]],Transactions[Transaction code],Transactions[Transaction name],,0,)</f>
        <v>Transport (S)</v>
      </c>
    </row>
    <row r="598" spans="2:4" x14ac:dyDescent="0.45">
      <c r="B598" t="s">
        <v>754</v>
      </c>
      <c r="C598" t="s">
        <v>410</v>
      </c>
      <c r="D598" t="str">
        <f>_xlfn.XLOOKUP(TransactionCleanup[[#This Row],[Transaction code]],Transactions[Transaction code],Transactions[Transaction name],,0,)</f>
        <v>Transport (S)</v>
      </c>
    </row>
    <row r="599" spans="2:4" x14ac:dyDescent="0.45">
      <c r="B599" s="2" t="s">
        <v>124</v>
      </c>
      <c r="C599" s="2" t="s">
        <v>124</v>
      </c>
      <c r="D599" t="str">
        <f>_xlfn.XLOOKUP(TransactionCleanup[[#This Row],[Transaction code]],Transactions[Transaction code],Transactions[Transaction name],,0,)</f>
        <v>Transport equipment</v>
      </c>
    </row>
    <row r="600" spans="2:4" x14ac:dyDescent="0.45">
      <c r="B600" t="s">
        <v>469</v>
      </c>
      <c r="C600" s="2" t="s">
        <v>124</v>
      </c>
      <c r="D600" t="str">
        <f>_xlfn.XLOOKUP(TransactionCleanup[[#This Row],[Transaction code]],Transactions[Transaction code],Transactions[Transaction name],,0,)</f>
        <v>Transport equipment</v>
      </c>
    </row>
    <row r="601" spans="2:4" x14ac:dyDescent="0.45">
      <c r="B601" t="s">
        <v>470</v>
      </c>
      <c r="C601" t="s">
        <v>470</v>
      </c>
      <c r="D601" t="str">
        <f>_xlfn.XLOOKUP(TransactionCleanup[[#This Row],[Transaction code]],Transactions[Transaction code],Transactions[Transaction name],,0,)</f>
        <v>Transport equipment (S)</v>
      </c>
    </row>
    <row r="602" spans="2:4" x14ac:dyDescent="0.45">
      <c r="B602" t="s">
        <v>884</v>
      </c>
      <c r="C602" t="s">
        <v>470</v>
      </c>
      <c r="D602" t="str">
        <f>_xlfn.XLOOKUP(TransactionCleanup[[#This Row],[Transaction code]],Transactions[Transaction code],Transactions[Transaction name],,0,)</f>
        <v>Transport equipment (S)</v>
      </c>
    </row>
    <row r="603" spans="2:4" x14ac:dyDescent="0.45">
      <c r="B603" t="s">
        <v>745</v>
      </c>
      <c r="C603" t="s">
        <v>470</v>
      </c>
      <c r="D603" t="str">
        <f>_xlfn.XLOOKUP(TransactionCleanup[[#This Row],[Transaction code]],Transactions[Transaction code],Transactions[Transaction name],,0,)</f>
        <v>Transport equipment (S)</v>
      </c>
    </row>
    <row r="604" spans="2:4" x14ac:dyDescent="0.45">
      <c r="B604" t="s">
        <v>628</v>
      </c>
      <c r="C604" t="s">
        <v>628</v>
      </c>
      <c r="D604" t="str">
        <f>_xlfn.XLOOKUP(TransactionCleanup[[#This Row],[Transaction code]],Transactions[Transaction code],Transactions[Transaction name],,0,)</f>
        <v>Transport n.e.s</v>
      </c>
    </row>
    <row r="605" spans="2:4" x14ac:dyDescent="0.45">
      <c r="B605" t="s">
        <v>611</v>
      </c>
      <c r="C605" t="s">
        <v>628</v>
      </c>
      <c r="D605" t="str">
        <f>_xlfn.XLOOKUP(TransactionCleanup[[#This Row],[Transaction code]],Transactions[Transaction code],Transactions[Transaction name],,0,)</f>
        <v>Transport n.e.s</v>
      </c>
    </row>
    <row r="606" spans="2:4" x14ac:dyDescent="0.45">
      <c r="B606" s="2" t="s">
        <v>109</v>
      </c>
      <c r="C606" s="2" t="s">
        <v>109</v>
      </c>
      <c r="D606" t="str">
        <f>_xlfn.XLOOKUP(TransactionCleanup[[#This Row],[Transaction code]],Transactions[Transaction code],Transactions[Transaction name],,0,)</f>
        <v>Transport n.e.s.</v>
      </c>
    </row>
    <row r="607" spans="2:4" x14ac:dyDescent="0.45">
      <c r="B607" t="s">
        <v>108</v>
      </c>
      <c r="C607" s="2" t="s">
        <v>109</v>
      </c>
      <c r="D607" t="str">
        <f>_xlfn.XLOOKUP(TransactionCleanup[[#This Row],[Transaction code]],Transactions[Transaction code],Transactions[Transaction name],,0,)</f>
        <v>Transport n.e.s.</v>
      </c>
    </row>
    <row r="608" spans="2:4" x14ac:dyDescent="0.45">
      <c r="B608" t="s">
        <v>411</v>
      </c>
      <c r="C608" t="s">
        <v>411</v>
      </c>
      <c r="D608" t="str">
        <f>_xlfn.XLOOKUP(TransactionCleanup[[#This Row],[Transaction code]],Transactions[Transaction code],Transactions[Transaction name],,0,)</f>
        <v>Transport n.e.s. (S)</v>
      </c>
    </row>
    <row r="609" spans="2:4" x14ac:dyDescent="0.45">
      <c r="B609" t="s">
        <v>885</v>
      </c>
      <c r="C609" t="s">
        <v>411</v>
      </c>
      <c r="D609" t="str">
        <f>_xlfn.XLOOKUP(TransactionCleanup[[#This Row],[Transaction code]],Transactions[Transaction code],Transactions[Transaction name],,0,)</f>
        <v>Transport n.e.s. (S)</v>
      </c>
    </row>
    <row r="610" spans="2:4" x14ac:dyDescent="0.45">
      <c r="B610" t="s">
        <v>760</v>
      </c>
      <c r="C610" t="s">
        <v>411</v>
      </c>
      <c r="D610" t="str">
        <f>_xlfn.XLOOKUP(TransactionCleanup[[#This Row],[Transaction code]],Transactions[Transaction code],Transactions[Transaction name],,0,)</f>
        <v>Transport n.e.s. (S)</v>
      </c>
    </row>
    <row r="611" spans="2:4" x14ac:dyDescent="0.45">
      <c r="B611" s="2" t="s">
        <v>30</v>
      </c>
      <c r="C611" s="2" t="s">
        <v>30</v>
      </c>
      <c r="D611" t="str">
        <f>_xlfn.XLOOKUP(TransactionCleanup[[#This Row],[Transaction code]],Transactions[Transaction code],Transactions[Transaction name],,0,)</f>
        <v>Unproven resources</v>
      </c>
    </row>
    <row r="612" spans="2:4" x14ac:dyDescent="0.45">
      <c r="B612" s="2" t="s">
        <v>20</v>
      </c>
      <c r="C612" s="2" t="s">
        <v>20</v>
      </c>
      <c r="D612" t="str">
        <f>_xlfn.XLOOKUP(TransactionCleanup[[#This Row],[Transaction code]],Transactions[Transaction code],Transactions[Transaction name],,0,)</f>
        <v>Reserves of nuclear resources, Estimated additional</v>
      </c>
    </row>
    <row r="613" spans="2:4" x14ac:dyDescent="0.45">
      <c r="B613" t="s">
        <v>637</v>
      </c>
      <c r="C613" s="2" t="s">
        <v>30</v>
      </c>
      <c r="D613" t="str">
        <f>_xlfn.XLOOKUP(TransactionCleanup[[#This Row],[Transaction code]],Transactions[Transaction code],Transactions[Transaction name],,0,)</f>
        <v>Unproven resources</v>
      </c>
    </row>
    <row r="614" spans="2:4" x14ac:dyDescent="0.45">
      <c r="B614" t="s">
        <v>637</v>
      </c>
      <c r="C614" s="2" t="s">
        <v>20</v>
      </c>
      <c r="D614" t="str">
        <f>_xlfn.XLOOKUP(TransactionCleanup[[#This Row],[Transaction code]],Transactions[Transaction code],Transactions[Transaction name],,0,)</f>
        <v>Reserves of nuclear resources, Estimated additional</v>
      </c>
    </row>
    <row r="615" spans="2:4" x14ac:dyDescent="0.45">
      <c r="B615" s="2" t="s">
        <v>170</v>
      </c>
      <c r="C615" s="2" t="s">
        <v>170</v>
      </c>
      <c r="D615" t="str">
        <f>_xlfn.XLOOKUP(TransactionCleanup[[#This Row],[Transaction code]],Transactions[Transaction code],Transactions[Transaction name],,0,)</f>
        <v>Used for electric boilers</v>
      </c>
    </row>
    <row r="616" spans="2:4" x14ac:dyDescent="0.45">
      <c r="B616" t="s">
        <v>169</v>
      </c>
      <c r="C616" s="2" t="s">
        <v>170</v>
      </c>
      <c r="D616" t="str">
        <f>_xlfn.XLOOKUP(TransactionCleanup[[#This Row],[Transaction code]],Transactions[Transaction code],Transactions[Transaction name],,0,)</f>
        <v>Used for electric boilers</v>
      </c>
    </row>
    <row r="617" spans="2:4" x14ac:dyDescent="0.45">
      <c r="B617" s="2" t="s">
        <v>168</v>
      </c>
      <c r="C617" s="2" t="s">
        <v>168</v>
      </c>
      <c r="D617" t="str">
        <f>_xlfn.XLOOKUP(TransactionCleanup[[#This Row],[Transaction code]],Transactions[Transaction code],Transactions[Transaction name],,0,)</f>
        <v>Used for heat pumps</v>
      </c>
    </row>
    <row r="618" spans="2:4" x14ac:dyDescent="0.45">
      <c r="B618" t="s">
        <v>167</v>
      </c>
      <c r="C618" s="2" t="s">
        <v>168</v>
      </c>
      <c r="D618" t="str">
        <f>_xlfn.XLOOKUP(TransactionCleanup[[#This Row],[Transaction code]],Transactions[Transaction code],Transactions[Transaction name],,0,)</f>
        <v>Used for heat pumps</v>
      </c>
    </row>
    <row r="619" spans="2:4" x14ac:dyDescent="0.45">
      <c r="B619" s="2" t="s">
        <v>136</v>
      </c>
      <c r="C619" s="2" t="s">
        <v>136</v>
      </c>
      <c r="D619" t="str">
        <f>_xlfn.XLOOKUP(TransactionCleanup[[#This Row],[Transaction code]],Transactions[Transaction code],Transactions[Transaction name],,0,)</f>
        <v>Vented</v>
      </c>
    </row>
    <row r="620" spans="2:4" x14ac:dyDescent="0.45">
      <c r="B620" t="s">
        <v>135</v>
      </c>
      <c r="C620" s="2" t="s">
        <v>136</v>
      </c>
      <c r="D620" t="str">
        <f>_xlfn.XLOOKUP(TransactionCleanup[[#This Row],[Transaction code]],Transactions[Transaction code],Transactions[Transaction name],,0,)</f>
        <v>Vented</v>
      </c>
    </row>
    <row r="621" spans="2:4" x14ac:dyDescent="0.45">
      <c r="B621" s="2" t="s">
        <v>67</v>
      </c>
      <c r="C621" s="2" t="s">
        <v>67</v>
      </c>
      <c r="D621" t="str">
        <f>_xlfn.XLOOKUP(TransactionCleanup[[#This Row],[Transaction code]],Transactions[Transaction code],Transactions[Transaction name],,0,)</f>
        <v>IC Wind - Autoproducers</v>
      </c>
    </row>
    <row r="622" spans="2:4" x14ac:dyDescent="0.45">
      <c r="B622" t="s">
        <v>66</v>
      </c>
      <c r="C622" s="2" t="s">
        <v>67</v>
      </c>
      <c r="D622" t="str">
        <f>_xlfn.XLOOKUP(TransactionCleanup[[#This Row],[Transaction code]],Transactions[Transaction code],Transactions[Transaction name],,0,)</f>
        <v>IC Wind - Autoproducers</v>
      </c>
    </row>
    <row r="623" spans="2:4" x14ac:dyDescent="0.45">
      <c r="B623" s="2" t="s">
        <v>69</v>
      </c>
      <c r="C623" s="2" t="s">
        <v>69</v>
      </c>
      <c r="D623" t="str">
        <f>_xlfn.XLOOKUP(TransactionCleanup[[#This Row],[Transaction code]],Transactions[Transaction code],Transactions[Transaction name],,0,)</f>
        <v>IC Wind - Main activity producers</v>
      </c>
    </row>
    <row r="624" spans="2:4" x14ac:dyDescent="0.45">
      <c r="B624" t="s">
        <v>68</v>
      </c>
      <c r="C624" s="2" t="s">
        <v>69</v>
      </c>
      <c r="D624" t="str">
        <f>_xlfn.XLOOKUP(TransactionCleanup[[#This Row],[Transaction code]],Transactions[Transaction code],Transactions[Transaction name],,0,)</f>
        <v>IC Wind - Main activity producers</v>
      </c>
    </row>
    <row r="625" spans="2:4" x14ac:dyDescent="0.45">
      <c r="B625" s="2" t="s">
        <v>65</v>
      </c>
      <c r="C625" s="2" t="s">
        <v>65</v>
      </c>
      <c r="D625" t="str">
        <f>_xlfn.XLOOKUP(TransactionCleanup[[#This Row],[Transaction code]],Transactions[Transaction code],Transactions[Transaction name],,0,)</f>
        <v>IC Wind</v>
      </c>
    </row>
    <row r="626" spans="2:4" x14ac:dyDescent="0.45">
      <c r="B626" t="s">
        <v>70</v>
      </c>
      <c r="C626" s="2" t="s">
        <v>65</v>
      </c>
      <c r="D626" t="str">
        <f>_xlfn.XLOOKUP(TransactionCleanup[[#This Row],[Transaction code]],Transactions[Transaction code],Transactions[Transaction name],,0,)</f>
        <v>IC Wind</v>
      </c>
    </row>
    <row r="627" spans="2:4" x14ac:dyDescent="0.45">
      <c r="B627" s="2" t="s">
        <v>119</v>
      </c>
      <c r="C627" s="2" t="s">
        <v>119</v>
      </c>
      <c r="D627" t="str">
        <f>_xlfn.XLOOKUP(TransactionCleanup[[#This Row],[Transaction code]],Transactions[Transaction code],Transactions[Transaction name],,0,)</f>
        <v>Wood and wood products</v>
      </c>
    </row>
    <row r="628" spans="2:4" x14ac:dyDescent="0.45">
      <c r="B628" t="s">
        <v>448</v>
      </c>
      <c r="C628" s="2" t="s">
        <v>119</v>
      </c>
      <c r="D628" t="str">
        <f>_xlfn.XLOOKUP(TransactionCleanup[[#This Row],[Transaction code]],Transactions[Transaction code],Transactions[Transaction name],,0,)</f>
        <v>Wood and wood products</v>
      </c>
    </row>
    <row r="629" spans="2:4" x14ac:dyDescent="0.45">
      <c r="B629" t="s">
        <v>449</v>
      </c>
      <c r="C629" t="s">
        <v>449</v>
      </c>
      <c r="D629" t="str">
        <f>_xlfn.XLOOKUP(TransactionCleanup[[#This Row],[Transaction code]],Transactions[Transaction code],Transactions[Transaction name],,0,)</f>
        <v>Wood and wood products (S)</v>
      </c>
    </row>
    <row r="630" spans="2:4" x14ac:dyDescent="0.45">
      <c r="B630" t="s">
        <v>886</v>
      </c>
      <c r="C630" t="s">
        <v>449</v>
      </c>
      <c r="D630" t="str">
        <f>_xlfn.XLOOKUP(TransactionCleanup[[#This Row],[Transaction code]],Transactions[Transaction code],Transactions[Transaction name],,0,)</f>
        <v>Wood and wood products (S)</v>
      </c>
    </row>
    <row r="631" spans="2:4" x14ac:dyDescent="0.45">
      <c r="B631" t="s">
        <v>750</v>
      </c>
      <c r="C631" t="s">
        <v>449</v>
      </c>
      <c r="D631" t="str">
        <f>_xlfn.XLOOKUP(TransactionCleanup[[#This Row],[Transaction code]],Transactions[Transaction code],Transactions[Transaction name],,0,)</f>
        <v>Wood and wood products (S)</v>
      </c>
    </row>
  </sheetData>
  <conditionalFormatting sqref="B3:B631">
    <cfRule type="duplicateValues" dxfId="5" priority="43"/>
  </conditionalFormatting>
  <conditionalFormatting sqref="B290:B576">
    <cfRule type="duplicateValues" dxfId="4" priority="1"/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Reference</vt:lpstr>
      <vt:lpstr>Cleanup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Escamilla Garcia Gerardo Alonso</dc:creator>
  <cp:lastModifiedBy>Gerardo Escamilla</cp:lastModifiedBy>
  <dcterms:created xsi:type="dcterms:W3CDTF">2024-08-22T08:41:32Z</dcterms:created>
  <dcterms:modified xsi:type="dcterms:W3CDTF">2026-03-23T02:24:38Z</dcterms:modified>
</cp:coreProperties>
</file>